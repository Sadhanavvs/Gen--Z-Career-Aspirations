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sadhu\Desktop\"/>
    </mc:Choice>
  </mc:AlternateContent>
  <xr:revisionPtr revIDLastSave="0" documentId="8_{58CFC36C-D330-4873-90C2-EF896D4D09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S2800" i="1" l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900"/>
  <sheetViews>
    <sheetView tabSelected="1" workbookViewId="0"/>
  </sheetViews>
  <sheetFormatPr defaultColWidth="12.6328125" defaultRowHeight="15.75" customHeight="1" x14ac:dyDescent="0.25"/>
  <cols>
    <col min="1" max="1" width="20.453125" customWidth="1"/>
  </cols>
  <sheetData>
    <row r="1" spans="1:19" ht="15.75" customHeight="1" x14ac:dyDescent="0.25">
      <c r="A1" s="1" t="str">
        <f ca="1">IFERROR(__xludf.DUMMYFUNCTION("IMPORTRANGE(""https://docs.google.com/spreadsheets/d/1QrGs3rT9RwmBP46hZgfVvScUFPWN3wMCFWiRRmWY3cE/edit#gid=698899005"",""'Form responses 1'!A:S"")"),"Timestamp")</f>
        <v>Timestamp</v>
      </c>
      <c r="B1" s="1" t="str">
        <f ca="1">IFERROR(__xludf.DUMMYFUNCTION("""COMPUTED_VALUE"""),"Your Current Country.")</f>
        <v>Your Current Country.</v>
      </c>
      <c r="C1" s="1" t="str">
        <f ca="1">IFERROR(__xludf.DUMMYFUNCTION("""COMPUTED_VALUE"""),"Your Current Zip Code / Pin Code")</f>
        <v>Your Current Zip Code / Pin Code</v>
      </c>
      <c r="D1" s="1" t="str">
        <f ca="1">IFERROR(__xludf.DUMMYFUNCTION("""COMPUTED_VALUE"""),"Your Gender")</f>
        <v>Your Gender</v>
      </c>
      <c r="E1" s="1" t="str">
        <f ca="1">IFERROR(__xludf.DUMMYFUNCTION("""COMPUTED_VALUE"""),"Which of the below factors influence the most about your career aspirations ?")</f>
        <v>Which of the below factors influence the most about your career aspirations ?</v>
      </c>
      <c r="F1" s="1" t="str">
        <f ca="1">IFERROR(__xludf.DUMMYFUNCTION("""COMPUTED_VALUE"""),"Would you definitely pursue a Higher Education / Post Graduation outside of India ? If only you have to self sponsor it.")</f>
        <v>Would you definitely pursue a Higher Education / Post Graduation outside of India ? If only you have to self sponsor it.</v>
      </c>
      <c r="G1" s="1" t="str">
        <f ca="1">IFERROR(__xludf.DUMMYFUNCTION("""COMPUTED_VALUE"""),"How likely is that you will work for one employer for 3 years or more ?")</f>
        <v>How likely is that you will work for one employer for 3 years or more ?</v>
      </c>
      <c r="H1" s="1" t="str">
        <f ca="1">IFERROR(__xludf.DUMMYFUNCTION("""COMPUTED_VALUE"""),"Would you work for a company whose mission is not clearly defined and publicly posted.")</f>
        <v>Would you work for a company whose mission is not clearly defined and publicly posted.</v>
      </c>
      <c r="I1" s="1" t="str">
        <f ca="1">IFERROR(__xludf.DUMMYFUNCTION("""COMPUTED_VALUE"""),"How likely would you work for a company whose mission is misaligned with their public actions or even their product ?")</f>
        <v>How likely would you work for a company whose mission is misaligned with their public actions or even their product ?</v>
      </c>
      <c r="J1" s="1" t="str">
        <f ca="1">IFERROR(__xludf.DUMMYFUNCTION("""COMPUTED_VALUE"""),"How likely would you work for a company whose mission is not bringing social impact ?")</f>
        <v>How likely would you work for a company whose mission is not bringing social impact ?</v>
      </c>
      <c r="K1" s="1" t="str">
        <f ca="1">IFERROR(__xludf.DUMMYFUNCTION("""COMPUTED_VALUE"""),"What is the most preferred working environment for you.")</f>
        <v>What is the most preferred working environment for you.</v>
      </c>
      <c r="L1" s="1" t="str">
        <f ca="1">IFERROR(__xludf.DUMMYFUNCTION("""COMPUTED_VALUE"""),"Which of the below Employers would you work with.")</f>
        <v>Which of the below Employers would you work with.</v>
      </c>
      <c r="M1" s="1" t="str">
        <f ca="1">IFERROR(__xludf.DUMMYFUNCTION("""COMPUTED_VALUE"""),"Which type of learning environment that you are most likely to work in ?")</f>
        <v>Which type of learning environment that you are most likely to work in ?</v>
      </c>
      <c r="N1" s="1" t="str">
        <f ca="1">IFERROR(__xludf.DUMMYFUNCTION("""COMPUTED_VALUE"""),"Which of the below careers looks close to your Aspirational job ?")</f>
        <v>Which of the below careers looks close to your Aspirational job ?</v>
      </c>
      <c r="O1" s="1" t="str">
        <f ca="1">IFERROR(__xludf.DUMMYFUNCTION("""COMPUTED_VALUE"""),"What type of Manager would you work without looking into your watch ?")</f>
        <v>What type of Manager would you work without looking into your watch ?</v>
      </c>
      <c r="P1" s="1" t="str">
        <f ca="1">IFERROR(__xludf.DUMMYFUNCTION("""COMPUTED_VALUE"""),"Which of the following setup you would like to work ?")</f>
        <v>Which of the following setup you would like to work ?</v>
      </c>
      <c r="Q1" s="1" t="str">
        <f ca="1">IFERROR(__xludf.DUMMYFUNCTION("""COMPUTED_VALUE"""),"Would you work for a company that has Laid-Off Employees recently ?")</f>
        <v>Would you work for a company that has Laid-Off Employees recently ?</v>
      </c>
      <c r="R1" s="1" t="str">
        <f ca="1">IFERROR(__xludf.DUMMYFUNCTION("""COMPUTED_VALUE"""),"How likely is that you will work for one employer for 7 years or more ?")</f>
        <v>How likely is that you will work for one employer for 7 years or more ?</v>
      </c>
      <c r="S1" s="1" t="str">
        <f ca="1">IFERROR(__xludf.DUMMYFUNCTION("""COMPUTED_VALUE"""),"Email address")</f>
        <v>Email address</v>
      </c>
    </row>
    <row r="2" spans="1:19" ht="15.75" customHeight="1" x14ac:dyDescent="0.25">
      <c r="A2" s="2">
        <f ca="1">IFERROR(__xludf.DUMMYFUNCTION("""COMPUTED_VALUE"""),44911.4903468171)</f>
        <v>44911.490346817103</v>
      </c>
      <c r="B2" s="1" t="str">
        <f ca="1">IFERROR(__xludf.DUMMYFUNCTION("""COMPUTED_VALUE"""),"India")</f>
        <v>India</v>
      </c>
      <c r="C2" s="1">
        <f ca="1">IFERROR(__xludf.DUMMYFUNCTION("""COMPUTED_VALUE"""),273005)</f>
        <v>273005</v>
      </c>
      <c r="D2" s="1" t="str">
        <f ca="1">IFERROR(__xludf.DUMMYFUNCTION("""COMPUTED_VALUE"""),"Male")</f>
        <v>Male</v>
      </c>
      <c r="E2" s="1" t="str">
        <f ca="1">IFERROR(__xludf.DUMMYFUNCTION("""COMPUTED_VALUE"""),"People who have changed the world for better")</f>
        <v>People who have changed the world for better</v>
      </c>
      <c r="F2" s="1" t="str">
        <f ca="1">IFERROR(__xludf.DUMMYFUNCTION("""COMPUTED_VALUE"""),"Yes, I will earn and do that")</f>
        <v>Yes, I will earn and do that</v>
      </c>
      <c r="G2" s="1" t="str">
        <f ca="1">IFERROR(__xludf.DUMMYFUNCTION("""COMPUTED_VALUE"""),"This will be hard to do, but if it is the right company I would try")</f>
        <v>This will be hard to do, but if it is the right company I would try</v>
      </c>
      <c r="H2" s="1" t="str">
        <f ca="1">IFERROR(__xludf.DUMMYFUNCTION("""COMPUTED_VALUE"""),"No")</f>
        <v>No</v>
      </c>
      <c r="I2" s="1" t="str">
        <f ca="1">IFERROR(__xludf.DUMMYFUNCTION("""COMPUTED_VALUE"""),"Will NOT work for them")</f>
        <v>Will NOT work for them</v>
      </c>
      <c r="J2" s="1">
        <f ca="1">IFERROR(__xludf.DUMMYFUNCTION("""COMPUTED_VALUE"""),4)</f>
        <v>4</v>
      </c>
      <c r="K2" s="1" t="str">
        <f ca="1">IFERROR(__xludf.DUMMYFUNCTION("""COMPUTED_VALUE"""),"Fully Remote with No option to visit offices")</f>
        <v>Fully Remote with No option to visit offices</v>
      </c>
      <c r="L2" s="1" t="str">
        <f ca="1">IFERROR(__xludf.DUMMYFUNCTION("""COMPUTED_VALUE"""),"Employer who rewards learning and enables that environment")</f>
        <v>Employer who rewards learning and enables that environment</v>
      </c>
      <c r="M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" s="1" t="str">
        <f ca="1">IFERROR(__xludf.DUMMYFUNCTION("""COMPUTED_VALUE"""),"Business Operations in any organization, Build and develop a Team, Work as a freelancer and do my thing my way")</f>
        <v>Business Operations in any organization, Build and develop a Team, Work as a freelancer and do my thing my way</v>
      </c>
      <c r="O2" s="1" t="str">
        <f ca="1">IFERROR(__xludf.DUMMYFUNCTION("""COMPUTED_VALUE"""),"Manager who explains what is expected, sets a goal and helps achieve it")</f>
        <v>Manager who explains what is expected, sets a goal and helps achieve it</v>
      </c>
      <c r="P2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" s="1"/>
      <c r="R2" s="1"/>
      <c r="S2" s="1"/>
    </row>
    <row r="3" spans="1:19" ht="15.75" customHeight="1" x14ac:dyDescent="0.25">
      <c r="A3" s="2">
        <f ca="1">IFERROR(__xludf.DUMMYFUNCTION("""COMPUTED_VALUE"""),44911.490670081)</f>
        <v>44911.490670081002</v>
      </c>
      <c r="B3" s="1" t="str">
        <f ca="1">IFERROR(__xludf.DUMMYFUNCTION("""COMPUTED_VALUE"""),"India")</f>
        <v>India</v>
      </c>
      <c r="C3" s="1">
        <f ca="1">IFERROR(__xludf.DUMMYFUNCTION("""COMPUTED_VALUE"""),851129)</f>
        <v>851129</v>
      </c>
      <c r="D3" s="1" t="str">
        <f ca="1">IFERROR(__xludf.DUMMYFUNCTION("""COMPUTED_VALUE"""),"Male")</f>
        <v>Male</v>
      </c>
      <c r="E3" s="1" t="str">
        <f ca="1">IFERROR(__xludf.DUMMYFUNCTION("""COMPUTED_VALUE"""),"People who have changed the world for better")</f>
        <v>People who have changed the world for better</v>
      </c>
      <c r="F3" s="1" t="str">
        <f ca="1">IFERROR(__xludf.DUMMYFUNCTION("""COMPUTED_VALUE"""),"No, But if someone could bare the cost I will")</f>
        <v>No, But if someone could bare the cost I will</v>
      </c>
      <c r="G3" s="1" t="str">
        <f ca="1">IFERROR(__xludf.DUMMYFUNCTION("""COMPUTED_VALUE"""),"This will be hard to do, but if it is the right company I would try")</f>
        <v>This will be hard to do, but if it is the right company I would try</v>
      </c>
      <c r="H3" s="1" t="str">
        <f ca="1">IFERROR(__xludf.DUMMYFUNCTION("""COMPUTED_VALUE"""),"No")</f>
        <v>No</v>
      </c>
      <c r="I3" s="1" t="str">
        <f ca="1">IFERROR(__xludf.DUMMYFUNCTION("""COMPUTED_VALUE"""),"Will NOT work for them")</f>
        <v>Will NOT work for them</v>
      </c>
      <c r="J3" s="1">
        <f ca="1">IFERROR(__xludf.DUMMYFUNCTION("""COMPUTED_VALUE"""),1)</f>
        <v>1</v>
      </c>
      <c r="K3" s="1" t="str">
        <f ca="1">IFERROR(__xludf.DUMMYFUNCTION("""COMPUTED_VALUE"""),"Fully Remote with Options to travel as and when needed")</f>
        <v>Fully Remote with Options to travel as and when needed</v>
      </c>
      <c r="L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" s="1" t="str">
        <f ca="1">IFERROR(__xludf.DUMMYFUNCTION("""COMPUTED_VALUE"""),"Self Paced Learning Portals, Instructor or Expert Learning Programs")</f>
        <v>Self Paced Learning Portals, Instructor or Expert Learning Programs</v>
      </c>
      <c r="N3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3" s="1" t="str">
        <f ca="1">IFERROR(__xludf.DUMMYFUNCTION("""COMPUTED_VALUE"""),"Manager who explains what is expected, sets a goal and helps achieve it")</f>
        <v>Manager who explains what is expected, sets a goal and helps achieve it</v>
      </c>
      <c r="P3" s="1" t="str">
        <f ca="1">IFERROR(__xludf.DUMMYFUNCTION("""COMPUTED_VALUE"""),"Work with 5 to 6 people in my team")</f>
        <v>Work with 5 to 6 people in my team</v>
      </c>
      <c r="Q3" s="1"/>
      <c r="R3" s="1"/>
      <c r="S3" s="1"/>
    </row>
    <row r="4" spans="1:19" ht="15.75" customHeight="1" x14ac:dyDescent="0.25">
      <c r="A4" s="2">
        <f ca="1">IFERROR(__xludf.DUMMYFUNCTION("""COMPUTED_VALUE"""),44911.4967823958)</f>
        <v>44911.4967823958</v>
      </c>
      <c r="B4" s="1" t="str">
        <f ca="1">IFERROR(__xludf.DUMMYFUNCTION("""COMPUTED_VALUE"""),"India")</f>
        <v>India</v>
      </c>
      <c r="C4" s="1">
        <f ca="1">IFERROR(__xludf.DUMMYFUNCTION("""COMPUTED_VALUE"""),123106)</f>
        <v>123106</v>
      </c>
      <c r="D4" s="1" t="str">
        <f ca="1">IFERROR(__xludf.DUMMYFUNCTION("""COMPUTED_VALUE"""),"Female")</f>
        <v>Female</v>
      </c>
      <c r="E4" s="1" t="str">
        <f ca="1">IFERROR(__xludf.DUMMYFUNCTION("""COMPUTED_VALUE"""),"Social Media like LinkedIn")</f>
        <v>Social Media like LinkedIn</v>
      </c>
      <c r="F4" s="1" t="str">
        <f ca="1">IFERROR(__xludf.DUMMYFUNCTION("""COMPUTED_VALUE"""),"Yes, I will earn and do that")</f>
        <v>Yes, I will earn and do that</v>
      </c>
      <c r="G4" s="1" t="str">
        <f ca="1">IFERROR(__xludf.DUMMYFUNCTION("""COMPUTED_VALUE"""),"Will work for 3 years or more")</f>
        <v>Will work for 3 years or more</v>
      </c>
      <c r="H4" s="1" t="str">
        <f ca="1">IFERROR(__xludf.DUMMYFUNCTION("""COMPUTED_VALUE"""),"Yes")</f>
        <v>Yes</v>
      </c>
      <c r="I4" s="1" t="str">
        <f ca="1">IFERROR(__xludf.DUMMYFUNCTION("""COMPUTED_VALUE"""),"Will work for them")</f>
        <v>Will work for them</v>
      </c>
      <c r="J4" s="1">
        <f ca="1">IFERROR(__xludf.DUMMYFUNCTION("""COMPUTED_VALUE"""),7)</f>
        <v>7</v>
      </c>
      <c r="K4" s="1" t="str">
        <f ca="1">IFERROR(__xludf.DUMMYFUNCTION("""COMPUTED_VALUE"""),"Hybrid Working Environment with less than 15 days a month at office")</f>
        <v>Hybrid Working Environment with less than 15 days a month at office</v>
      </c>
      <c r="L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4" s="1" t="str">
        <f ca="1">IFERROR(__xludf.DUMMYFUNCTION("""COMPUTED_VALUE"""),"Manage and drive End-to-End Projects or Products, Design and Develop amazing software, Become a content Creator in some platform")</f>
        <v>Manage and drive End-to-End Projects or Products, Design and Develop amazing software, Become a content Creator in some platform</v>
      </c>
      <c r="O4" s="1" t="str">
        <f ca="1">IFERROR(__xludf.DUMMYFUNCTION("""COMPUTED_VALUE"""),"Manager who explains what is expected, sets a goal and helps achieve it")</f>
        <v>Manager who explains what is expected, sets a goal and helps achieve it</v>
      </c>
      <c r="P4" s="1" t="str">
        <f ca="1">IFERROR(__xludf.DUMMYFUNCTION("""COMPUTED_VALUE"""),"Work with 2 to 3 people in my team, Work with 5 to 6 people in my team")</f>
        <v>Work with 2 to 3 people in my team, Work with 5 to 6 people in my team</v>
      </c>
      <c r="Q4" s="1"/>
      <c r="R4" s="1"/>
      <c r="S4" s="1"/>
    </row>
    <row r="5" spans="1:19" ht="15.75" customHeight="1" x14ac:dyDescent="0.25">
      <c r="A5" s="2">
        <f ca="1">IFERROR(__xludf.DUMMYFUNCTION("""COMPUTED_VALUE"""),44911.4991419675)</f>
        <v>44911.499141967499</v>
      </c>
      <c r="B5" s="1" t="str">
        <f ca="1">IFERROR(__xludf.DUMMYFUNCTION("""COMPUTED_VALUE"""),"India")</f>
        <v>India</v>
      </c>
      <c r="C5" s="1">
        <f ca="1">IFERROR(__xludf.DUMMYFUNCTION("""COMPUTED_VALUE"""),834003)</f>
        <v>834003</v>
      </c>
      <c r="D5" s="1" t="str">
        <f ca="1">IFERROR(__xludf.DUMMYFUNCTION("""COMPUTED_VALUE"""),"Male")</f>
        <v>Male</v>
      </c>
      <c r="E5" s="1" t="str">
        <f ca="1">IFERROR(__xludf.DUMMYFUNCTION("""COMPUTED_VALUE"""),"People from my circle, but not family members")</f>
        <v>People from my circle, but not family members</v>
      </c>
      <c r="F5" s="1" t="str">
        <f ca="1">IFERROR(__xludf.DUMMYFUNCTION("""COMPUTED_VALUE"""),"No, But if someone could bare the cost I will")</f>
        <v>No, But if someone could bare the cost I will</v>
      </c>
      <c r="G5" s="1" t="str">
        <f ca="1">IFERROR(__xludf.DUMMYFUNCTION("""COMPUTED_VALUE"""),"This will be hard to do, but if it is the right company I would try")</f>
        <v>This will be hard to do, but if it is the right company I would try</v>
      </c>
      <c r="H5" s="1" t="str">
        <f ca="1">IFERROR(__xludf.DUMMYFUNCTION("""COMPUTED_VALUE"""),"No")</f>
        <v>No</v>
      </c>
      <c r="I5" s="1" t="str">
        <f ca="1">IFERROR(__xludf.DUMMYFUNCTION("""COMPUTED_VALUE"""),"Will NOT work for them")</f>
        <v>Will NOT work for them</v>
      </c>
      <c r="J5" s="1">
        <f ca="1">IFERROR(__xludf.DUMMYFUNCTION("""COMPUTED_VALUE"""),6)</f>
        <v>6</v>
      </c>
      <c r="K5" s="1" t="str">
        <f ca="1">IFERROR(__xludf.DUMMYFUNCTION("""COMPUTED_VALUE"""),"Hybrid Working Environment with less than 15 days a month at office")</f>
        <v>Hybrid Working Environment with less than 15 days a month at office</v>
      </c>
      <c r="L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5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5" s="1" t="str">
        <f ca="1">IFERROR(__xludf.DUMMYFUNCTION("""COMPUTED_VALUE"""),"Manager who explains what is expected, sets a goal and helps achieve it")</f>
        <v>Manager who explains what is expected, sets a goal and helps achieve it</v>
      </c>
      <c r="P5" s="1" t="str">
        <f ca="1">IFERROR(__xludf.DUMMYFUNCTION("""COMPUTED_VALUE"""),"Work with 2 to 3 people in my team")</f>
        <v>Work with 2 to 3 people in my team</v>
      </c>
      <c r="Q5" s="1"/>
      <c r="R5" s="1"/>
      <c r="S5" s="1"/>
    </row>
    <row r="6" spans="1:19" ht="15.75" customHeight="1" x14ac:dyDescent="0.25">
      <c r="A6" s="2">
        <f ca="1">IFERROR(__xludf.DUMMYFUNCTION("""COMPUTED_VALUE"""),44911.4996104745)</f>
        <v>44911.499610474501</v>
      </c>
      <c r="B6" s="1" t="str">
        <f ca="1">IFERROR(__xludf.DUMMYFUNCTION("""COMPUTED_VALUE"""),"India")</f>
        <v>India</v>
      </c>
      <c r="C6" s="1">
        <f ca="1">IFERROR(__xludf.DUMMYFUNCTION("""COMPUTED_VALUE"""),301019)</f>
        <v>301019</v>
      </c>
      <c r="D6" s="1" t="str">
        <f ca="1">IFERROR(__xludf.DUMMYFUNCTION("""COMPUTED_VALUE"""),"Female")</f>
        <v>Female</v>
      </c>
      <c r="E6" s="1" t="str">
        <f ca="1">IFERROR(__xludf.DUMMYFUNCTION("""COMPUTED_VALUE"""),"Influencers who had successful careers")</f>
        <v>Influencers who had successful careers</v>
      </c>
      <c r="F6" s="1" t="str">
        <f ca="1">IFERROR(__xludf.DUMMYFUNCTION("""COMPUTED_VALUE"""),"No, But if someone could bare the cost I will")</f>
        <v>No, But if someone could bare the cost I will</v>
      </c>
      <c r="G6" s="1" t="str">
        <f ca="1">IFERROR(__xludf.DUMMYFUNCTION("""COMPUTED_VALUE"""),"Will work for 3 years or more")</f>
        <v>Will work for 3 years or more</v>
      </c>
      <c r="H6" s="1" t="str">
        <f ca="1">IFERROR(__xludf.DUMMYFUNCTION("""COMPUTED_VALUE"""),"No")</f>
        <v>No</v>
      </c>
      <c r="I6" s="1" t="str">
        <f ca="1">IFERROR(__xludf.DUMMYFUNCTION("""COMPUTED_VALUE"""),"Will NOT work for them")</f>
        <v>Will NOT work for them</v>
      </c>
      <c r="J6" s="1">
        <f ca="1">IFERROR(__xludf.DUMMYFUNCTION("""COMPUTED_VALUE"""),5)</f>
        <v>5</v>
      </c>
      <c r="K6" s="1" t="str">
        <f ca="1">IFERROR(__xludf.DUMMYFUNCTION("""COMPUTED_VALUE"""),"Fully Remote with Options to travel as and when needed")</f>
        <v>Fully Remote with Options to travel as and when needed</v>
      </c>
      <c r="L6" s="1" t="str">
        <f ca="1">IFERROR(__xludf.DUMMYFUNCTION("""COMPUTED_VALUE"""),"Employer who appreciates learning and enables that environment")</f>
        <v>Employer who appreciates learning and enables that environment</v>
      </c>
      <c r="M6" s="1" t="str">
        <f ca="1">IFERROR(__xludf.DUMMYFUNCTION("""COMPUTED_VALUE"""),"Self Paced Learning Portals, Learning by observing others")</f>
        <v>Self Paced Learning Portals, Learning by observing others</v>
      </c>
      <c r="N6" s="1" t="str">
        <f ca="1">IFERROR(__xludf.DUMMYFUNCTION("""COMPUTED_VALUE"""),"Teaching in any of the institutes/online or Offline, Business Operations in any organization, Manage and drive End-to-End Projects or Products")</f>
        <v>Teaching in any of the institutes/online or Offline, Business Operations in any organization, Manage and drive End-to-End Projects or Products</v>
      </c>
      <c r="O6" s="1" t="str">
        <f ca="1">IFERROR(__xludf.DUMMYFUNCTION("""COMPUTED_VALUE"""),"Manager who explains what is expected, sets a goal and helps achieve it")</f>
        <v>Manager who explains what is expected, sets a goal and helps achieve it</v>
      </c>
      <c r="P6" s="1" t="str">
        <f ca="1">IFERROR(__xludf.DUMMYFUNCTION("""COMPUTED_VALUE"""),"Work with 2 to 3 people in my team, Work with 5 to 6 people in my team")</f>
        <v>Work with 2 to 3 people in my team, Work with 5 to 6 people in my team</v>
      </c>
      <c r="Q6" s="1"/>
      <c r="R6" s="1"/>
      <c r="S6" s="1"/>
    </row>
    <row r="7" spans="1:19" ht="15.75" customHeight="1" x14ac:dyDescent="0.25">
      <c r="A7" s="2">
        <f ca="1">IFERROR(__xludf.DUMMYFUNCTION("""COMPUTED_VALUE"""),44911.4997339351)</f>
        <v>44911.499733935103</v>
      </c>
      <c r="B7" s="1" t="str">
        <f ca="1">IFERROR(__xludf.DUMMYFUNCTION("""COMPUTED_VALUE"""),"India")</f>
        <v>India</v>
      </c>
      <c r="C7" s="1">
        <f ca="1">IFERROR(__xludf.DUMMYFUNCTION("""COMPUTED_VALUE"""),768028)</f>
        <v>768028</v>
      </c>
      <c r="D7" s="1" t="str">
        <f ca="1">IFERROR(__xludf.DUMMYFUNCTION("""COMPUTED_VALUE"""),"Female")</f>
        <v>Female</v>
      </c>
      <c r="E7" s="1" t="str">
        <f ca="1">IFERROR(__xludf.DUMMYFUNCTION("""COMPUTED_VALUE"""),"My Parents")</f>
        <v>My Parents</v>
      </c>
      <c r="F7" s="1" t="str">
        <f ca="1">IFERROR(__xludf.DUMMYFUNCTION("""COMPUTED_VALUE"""),"Yes, I will earn and do that")</f>
        <v>Yes, I will earn and do that</v>
      </c>
      <c r="G7" s="1" t="str">
        <f ca="1">IFERROR(__xludf.DUMMYFUNCTION("""COMPUTED_VALUE"""),"This will be hard to do, but if it is the right company I would try")</f>
        <v>This will be hard to do, but if it is the right company I would try</v>
      </c>
      <c r="H7" s="1" t="str">
        <f ca="1">IFERROR(__xludf.DUMMYFUNCTION("""COMPUTED_VALUE"""),"No")</f>
        <v>No</v>
      </c>
      <c r="I7" s="1" t="str">
        <f ca="1">IFERROR(__xludf.DUMMYFUNCTION("""COMPUTED_VALUE"""),"Will NOT work for them")</f>
        <v>Will NOT work for them</v>
      </c>
      <c r="J7" s="1">
        <f ca="1">IFERROR(__xludf.DUMMYFUNCTION("""COMPUTED_VALUE"""),6)</f>
        <v>6</v>
      </c>
      <c r="K7" s="1" t="str">
        <f ca="1">IFERROR(__xludf.DUMMYFUNCTION("""COMPUTED_VALUE"""),"Fully Remote with Options to travel as and when needed")</f>
        <v>Fully Remote with Options to travel as and when needed</v>
      </c>
      <c r="L7" s="1" t="str">
        <f ca="1">IFERROR(__xludf.DUMMYFUNCTION("""COMPUTED_VALUE"""),"Employer who appreciates learning and enables that environment")</f>
        <v>Employer who appreciates learning and enables that environment</v>
      </c>
      <c r="M7" s="1" t="str">
        <f ca="1">IFERROR(__xludf.DUMMYFUNCTION("""COMPUTED_VALUE"""),"Instructor or Expert Learning Programs, Learning by observing others")</f>
        <v>Instructor or Expert Learning Programs, Learning by observing others</v>
      </c>
      <c r="N7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7" s="1" t="str">
        <f ca="1">IFERROR(__xludf.DUMMYFUNCTION("""COMPUTED_VALUE"""),"Manager who explains what is expected, sets a goal and helps achieve it")</f>
        <v>Manager who explains what is expected, sets a goal and helps achieve it</v>
      </c>
      <c r="P7" s="1" t="str">
        <f ca="1">IFERROR(__xludf.DUMMYFUNCTION("""COMPUTED_VALUE"""),"Work with 2 to 3 people in my team")</f>
        <v>Work with 2 to 3 people in my team</v>
      </c>
      <c r="Q7" s="1"/>
      <c r="R7" s="1"/>
      <c r="S7" s="1"/>
    </row>
    <row r="8" spans="1:19" ht="15.75" customHeight="1" x14ac:dyDescent="0.25">
      <c r="A8" s="2">
        <f ca="1">IFERROR(__xludf.DUMMYFUNCTION("""COMPUTED_VALUE"""),44911.5000374074)</f>
        <v>44911.500037407401</v>
      </c>
      <c r="B8" s="1" t="str">
        <f ca="1">IFERROR(__xludf.DUMMYFUNCTION("""COMPUTED_VALUE"""),"India")</f>
        <v>India</v>
      </c>
      <c r="C8" s="1">
        <f ca="1">IFERROR(__xludf.DUMMYFUNCTION("""COMPUTED_VALUE"""),301019)</f>
        <v>301019</v>
      </c>
      <c r="D8" s="1" t="str">
        <f ca="1">IFERROR(__xludf.DUMMYFUNCTION("""COMPUTED_VALUE"""),"Male")</f>
        <v>Male</v>
      </c>
      <c r="E8" s="1" t="str">
        <f ca="1">IFERROR(__xludf.DUMMYFUNCTION("""COMPUTED_VALUE"""),"People from my circle, but not family members")</f>
        <v>People from my circle, but not family members</v>
      </c>
      <c r="F8" s="1" t="str">
        <f ca="1">IFERROR(__xludf.DUMMYFUNCTION("""COMPUTED_VALUE"""),"No, But if someone could bare the cost I will")</f>
        <v>No, But if someone could bare the cost I will</v>
      </c>
      <c r="G8" s="1" t="str">
        <f ca="1">IFERROR(__xludf.DUMMYFUNCTION("""COMPUTED_VALUE"""),"This will be hard to do, but if it is the right company I would try")</f>
        <v>This will be hard to do, but if it is the right company I would try</v>
      </c>
      <c r="H8" s="1" t="str">
        <f ca="1">IFERROR(__xludf.DUMMYFUNCTION("""COMPUTED_VALUE"""),"Yes")</f>
        <v>Yes</v>
      </c>
      <c r="I8" s="1" t="str">
        <f ca="1">IFERROR(__xludf.DUMMYFUNCTION("""COMPUTED_VALUE"""),"Will work for them")</f>
        <v>Will work for them</v>
      </c>
      <c r="J8" s="1">
        <f ca="1">IFERROR(__xludf.DUMMYFUNCTION("""COMPUTED_VALUE"""),7)</f>
        <v>7</v>
      </c>
      <c r="K8" s="1" t="str">
        <f ca="1">IFERROR(__xludf.DUMMYFUNCTION("""COMPUTED_VALUE"""),"Fully Remote with Options to travel as and when needed")</f>
        <v>Fully Remote with Options to travel as and when needed</v>
      </c>
      <c r="L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" s="1" t="str">
        <f ca="1">IFERROR(__xludf.DUMMYFUNCTION("""COMPUTED_VALUE"""),"Instructor or Expert Learning Programs, Learning by observing others")</f>
        <v>Instructor or Expert Learning Programs, Learning by observing others</v>
      </c>
      <c r="N8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8" s="1" t="str">
        <f ca="1">IFERROR(__xludf.DUMMYFUNCTION("""COMPUTED_VALUE"""),"Manager who explains what is expected, sets a goal and helps achieve it")</f>
        <v>Manager who explains what is expected, sets a goal and helps achieve it</v>
      </c>
      <c r="P8" s="1" t="str">
        <f ca="1">IFERROR(__xludf.DUMMYFUNCTION("""COMPUTED_VALUE"""),"Work with 5 to 6 people in my team")</f>
        <v>Work with 5 to 6 people in my team</v>
      </c>
      <c r="Q8" s="1"/>
      <c r="R8" s="1"/>
      <c r="S8" s="1"/>
    </row>
    <row r="9" spans="1:19" ht="15.75" customHeight="1" x14ac:dyDescent="0.25">
      <c r="A9" s="2">
        <f ca="1">IFERROR(__xludf.DUMMYFUNCTION("""COMPUTED_VALUE"""),44911.5014718287)</f>
        <v>44911.501471828698</v>
      </c>
      <c r="B9" s="1" t="str">
        <f ca="1">IFERROR(__xludf.DUMMYFUNCTION("""COMPUTED_VALUE"""),"India")</f>
        <v>India</v>
      </c>
      <c r="C9" s="1">
        <f ca="1">IFERROR(__xludf.DUMMYFUNCTION("""COMPUTED_VALUE"""),722207)</f>
        <v>722207</v>
      </c>
      <c r="D9" s="1" t="str">
        <f ca="1">IFERROR(__xludf.DUMMYFUNCTION("""COMPUTED_VALUE"""),"Male")</f>
        <v>Male</v>
      </c>
      <c r="E9" s="1" t="str">
        <f ca="1">IFERROR(__xludf.DUMMYFUNCTION("""COMPUTED_VALUE"""),"People from my circle, but not family members")</f>
        <v>People from my circle, but not family members</v>
      </c>
      <c r="F9" s="1" t="str">
        <f ca="1">IFERROR(__xludf.DUMMYFUNCTION("""COMPUTED_VALUE"""),"No, But if someone could bare the cost I will")</f>
        <v>No, But if someone could bare the cost I will</v>
      </c>
      <c r="G9" s="1" t="str">
        <f ca="1">IFERROR(__xludf.DUMMYFUNCTION("""COMPUTED_VALUE"""),"This will be hard to do, but if it is the right company I would try")</f>
        <v>This will be hard to do, but if it is the right company I would try</v>
      </c>
      <c r="H9" s="1" t="str">
        <f ca="1">IFERROR(__xludf.DUMMYFUNCTION("""COMPUTED_VALUE"""),"No")</f>
        <v>No</v>
      </c>
      <c r="I9" s="1" t="str">
        <f ca="1">IFERROR(__xludf.DUMMYFUNCTION("""COMPUTED_VALUE"""),"Will work for them")</f>
        <v>Will work for them</v>
      </c>
      <c r="J9" s="1">
        <f ca="1">IFERROR(__xludf.DUMMYFUNCTION("""COMPUTED_VALUE"""),5)</f>
        <v>5</v>
      </c>
      <c r="K9" s="1" t="str">
        <f ca="1">IFERROR(__xludf.DUMMYFUNCTION("""COMPUTED_VALUE"""),"Hybrid Working Environment with less than 15 days a month at office")</f>
        <v>Hybrid Working Environment with less than 15 days a month at office</v>
      </c>
      <c r="L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9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9" s="1" t="str">
        <f ca="1">IFERROR(__xludf.DUMMYFUNCTION("""COMPUTED_VALUE"""),"Manager who explains what is expected, sets a goal and helps achieve it")</f>
        <v>Manager who explains what is expected, sets a goal and helps achieve it</v>
      </c>
      <c r="P9" s="1" t="str">
        <f ca="1">IFERROR(__xludf.DUMMYFUNCTION("""COMPUTED_VALUE"""),"Work with 7 to 10 or more people in my team")</f>
        <v>Work with 7 to 10 or more people in my team</v>
      </c>
      <c r="Q9" s="1"/>
      <c r="R9" s="1"/>
      <c r="S9" s="1"/>
    </row>
    <row r="10" spans="1:19" ht="15.75" customHeight="1" x14ac:dyDescent="0.25">
      <c r="A10" s="2">
        <f ca="1">IFERROR(__xludf.DUMMYFUNCTION("""COMPUTED_VALUE"""),44911.508448125)</f>
        <v>44911.508448125001</v>
      </c>
      <c r="B10" s="1" t="str">
        <f ca="1">IFERROR(__xludf.DUMMYFUNCTION("""COMPUTED_VALUE"""),"India")</f>
        <v>India</v>
      </c>
      <c r="C10" s="1">
        <f ca="1">IFERROR(__xludf.DUMMYFUNCTION("""COMPUTED_VALUE"""),400022)</f>
        <v>400022</v>
      </c>
      <c r="D10" s="1" t="str">
        <f ca="1">IFERROR(__xludf.DUMMYFUNCTION("""COMPUTED_VALUE"""),"Male")</f>
        <v>Male</v>
      </c>
      <c r="E10" s="1" t="str">
        <f ca="1">IFERROR(__xludf.DUMMYFUNCTION("""COMPUTED_VALUE"""),"People from my circle, but not family members")</f>
        <v>People from my circle, but not family members</v>
      </c>
      <c r="F10" s="1" t="str">
        <f ca="1">IFERROR(__xludf.DUMMYFUNCTION("""COMPUTED_VALUE"""),"No, But if someone could bare the cost I will")</f>
        <v>No, But if someone could bare the cost I will</v>
      </c>
      <c r="G10" s="1" t="str">
        <f ca="1">IFERROR(__xludf.DUMMYFUNCTION("""COMPUTED_VALUE"""),"This will be hard to do, but if it is the right company I would try")</f>
        <v>This will be hard to do, but if it is the right company I would try</v>
      </c>
      <c r="H10" s="1" t="str">
        <f ca="1">IFERROR(__xludf.DUMMYFUNCTION("""COMPUTED_VALUE"""),"Yes")</f>
        <v>Yes</v>
      </c>
      <c r="I10" s="1" t="str">
        <f ca="1">IFERROR(__xludf.DUMMYFUNCTION("""COMPUTED_VALUE"""),"Will NOT work for them")</f>
        <v>Will NOT work for them</v>
      </c>
      <c r="J10" s="1">
        <f ca="1">IFERROR(__xludf.DUMMYFUNCTION("""COMPUTED_VALUE"""),6)</f>
        <v>6</v>
      </c>
      <c r="K10" s="1" t="str">
        <f ca="1">IFERROR(__xludf.DUMMYFUNCTION("""COMPUTED_VALUE"""),"Fully Remote with Options to travel as and when needed")</f>
        <v>Fully Remote with Options to travel as and when needed</v>
      </c>
      <c r="L10" s="1" t="str">
        <f ca="1">IFERROR(__xludf.DUMMYFUNCTION("""COMPUTED_VALUE"""),"Employer who rewards learning and enables that environment")</f>
        <v>Employer who rewards learning and enables that environment</v>
      </c>
      <c r="M10" s="1" t="str">
        <f ca="1">IFERROR(__xludf.DUMMYFUNCTION("""COMPUTED_VALUE"""),"Self Paced Learning Portals, Instructor or Expert Learning Programs")</f>
        <v>Self Paced Learning Portals, Instructor or Expert Learning Programs</v>
      </c>
      <c r="N10" s="1" t="str">
        <f ca="1">IFERROR(__xludf.DUMMYFUNCTION("""COMPUTED_VALUE"""),"Teaching in any of the institutes/online or Offline, Look deeply into Data and generate insights, Become a content Creator in some platform")</f>
        <v>Teaching in any of the institutes/online or Offline, Look deeply into Data and generate insights, Become a content Creator in some platform</v>
      </c>
      <c r="O10" s="1" t="str">
        <f ca="1">IFERROR(__xludf.DUMMYFUNCTION("""COMPUTED_VALUE"""),"Manager who explains what is expected, sets a goal and helps achieve it")</f>
        <v>Manager who explains what is expected, sets a goal and helps achieve it</v>
      </c>
      <c r="P10" s="1" t="str">
        <f ca="1">IFERROR(__xludf.DUMMYFUNCTION("""COMPUTED_VALUE"""),"Work with 5 to 6 people in my team")</f>
        <v>Work with 5 to 6 people in my team</v>
      </c>
      <c r="Q10" s="1"/>
      <c r="R10" s="1"/>
      <c r="S10" s="1"/>
    </row>
    <row r="11" spans="1:19" ht="15.75" customHeight="1" x14ac:dyDescent="0.25">
      <c r="A11" s="2">
        <f ca="1">IFERROR(__xludf.DUMMYFUNCTION("""COMPUTED_VALUE"""),44911.525286331)</f>
        <v>44911.525286331002</v>
      </c>
      <c r="B11" s="1" t="str">
        <f ca="1">IFERROR(__xludf.DUMMYFUNCTION("""COMPUTED_VALUE"""),"India")</f>
        <v>India</v>
      </c>
      <c r="C11" s="1">
        <f ca="1">IFERROR(__xludf.DUMMYFUNCTION("""COMPUTED_VALUE"""),201310)</f>
        <v>201310</v>
      </c>
      <c r="D11" s="1" t="str">
        <f ca="1">IFERROR(__xludf.DUMMYFUNCTION("""COMPUTED_VALUE"""),"Male")</f>
        <v>Male</v>
      </c>
      <c r="E11" s="1" t="str">
        <f ca="1">IFERROR(__xludf.DUMMYFUNCTION("""COMPUTED_VALUE"""),"Social Media like LinkedIn")</f>
        <v>Social Media like LinkedIn</v>
      </c>
      <c r="F11" s="1" t="str">
        <f ca="1">IFERROR(__xludf.DUMMYFUNCTION("""COMPUTED_VALUE"""),"No, But if someone could bare the cost I will")</f>
        <v>No, But if someone could bare the cost I will</v>
      </c>
      <c r="G11" s="1" t="str">
        <f ca="1">IFERROR(__xludf.DUMMYFUNCTION("""COMPUTED_VALUE"""),"This will be hard to do, but if it is the right company I would try")</f>
        <v>This will be hard to do, but if it is the right company I would try</v>
      </c>
      <c r="H11" s="1" t="str">
        <f ca="1">IFERROR(__xludf.DUMMYFUNCTION("""COMPUTED_VALUE"""),"Yes")</f>
        <v>Yes</v>
      </c>
      <c r="I11" s="1" t="str">
        <f ca="1">IFERROR(__xludf.DUMMYFUNCTION("""COMPUTED_VALUE"""),"Will work for them")</f>
        <v>Will work for them</v>
      </c>
      <c r="J11" s="1">
        <f ca="1">IFERROR(__xludf.DUMMYFUNCTION("""COMPUTED_VALUE"""),7)</f>
        <v>7</v>
      </c>
      <c r="K11" s="1" t="str">
        <f ca="1">IFERROR(__xludf.DUMMYFUNCTION("""COMPUTED_VALUE"""),"Every Day Office Environment")</f>
        <v>Every Day Office Environment</v>
      </c>
      <c r="L11" s="1" t="str">
        <f ca="1">IFERROR(__xludf.DUMMYFUNCTION("""COMPUTED_VALUE"""),"Employer who rewards learning and enables that environment")</f>
        <v>Employer who rewards learning and enables that environment</v>
      </c>
      <c r="M11" s="1" t="str">
        <f ca="1">IFERROR(__xludf.DUMMYFUNCTION("""COMPUTED_VALUE"""),"Self Paced Learning Portals, Learning by observing others")</f>
        <v>Self Paced Learning Portals, Learning by observing others</v>
      </c>
      <c r="N11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11" s="1" t="str">
        <f ca="1">IFERROR(__xludf.DUMMYFUNCTION("""COMPUTED_VALUE"""),"Manager who explains what is expected, sets a goal and helps achieve it")</f>
        <v>Manager who explains what is expected, sets a goal and helps achieve it</v>
      </c>
      <c r="P11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1" s="1"/>
      <c r="R11" s="1"/>
      <c r="S11" s="1"/>
    </row>
    <row r="12" spans="1:19" ht="15.75" customHeight="1" x14ac:dyDescent="0.25">
      <c r="A12" s="2">
        <f ca="1">IFERROR(__xludf.DUMMYFUNCTION("""COMPUTED_VALUE"""),44911.5286915277)</f>
        <v>44911.528691527703</v>
      </c>
      <c r="B12" s="1" t="str">
        <f ca="1">IFERROR(__xludf.DUMMYFUNCTION("""COMPUTED_VALUE"""),"India")</f>
        <v>India</v>
      </c>
      <c r="C12" s="1">
        <f ca="1">IFERROR(__xludf.DUMMYFUNCTION("""COMPUTED_VALUE"""),679121)</f>
        <v>679121</v>
      </c>
      <c r="D12" s="1" t="str">
        <f ca="1">IFERROR(__xludf.DUMMYFUNCTION("""COMPUTED_VALUE"""),"Male")</f>
        <v>Male</v>
      </c>
      <c r="E12" s="1" t="str">
        <f ca="1">IFERROR(__xludf.DUMMYFUNCTION("""COMPUTED_VALUE"""),"People from my circle, but not family members")</f>
        <v>People from my circle, but not family members</v>
      </c>
      <c r="F12" s="1" t="str">
        <f ca="1">IFERROR(__xludf.DUMMYFUNCTION("""COMPUTED_VALUE"""),"Yes, I will earn and do that")</f>
        <v>Yes, I will earn and do that</v>
      </c>
      <c r="G12" s="1" t="str">
        <f ca="1">IFERROR(__xludf.DUMMYFUNCTION("""COMPUTED_VALUE"""),"This will be hard to do, but if it is the right company I would try")</f>
        <v>This will be hard to do, but if it is the right company I would try</v>
      </c>
      <c r="H12" s="1" t="str">
        <f ca="1">IFERROR(__xludf.DUMMYFUNCTION("""COMPUTED_VALUE"""),"Yes")</f>
        <v>Yes</v>
      </c>
      <c r="I12" s="1" t="str">
        <f ca="1">IFERROR(__xludf.DUMMYFUNCTION("""COMPUTED_VALUE"""),"Will work for them")</f>
        <v>Will work for them</v>
      </c>
      <c r="J12" s="1">
        <f ca="1">IFERROR(__xludf.DUMMYFUNCTION("""COMPUTED_VALUE"""),8)</f>
        <v>8</v>
      </c>
      <c r="K12" s="1" t="str">
        <f ca="1">IFERROR(__xludf.DUMMYFUNCTION("""COMPUTED_VALUE"""),"Fully Remote with Options to travel as and when needed")</f>
        <v>Fully Remote with Options to travel as and when needed</v>
      </c>
      <c r="L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2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12" s="1" t="str">
        <f ca="1">IFERROR(__xludf.DUMMYFUNCTION("""COMPUTED_VALUE"""),"Manager who sets goal and helps me achieve it")</f>
        <v>Manager who sets goal and helps me achieve it</v>
      </c>
      <c r="P12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2" s="1"/>
      <c r="R12" s="1"/>
      <c r="S12" s="1"/>
    </row>
    <row r="13" spans="1:19" ht="15.75" customHeight="1" x14ac:dyDescent="0.25">
      <c r="A13" s="2">
        <f ca="1">IFERROR(__xludf.DUMMYFUNCTION("""COMPUTED_VALUE"""),44911.5293222916)</f>
        <v>44911.529322291601</v>
      </c>
      <c r="B13" s="1" t="str">
        <f ca="1">IFERROR(__xludf.DUMMYFUNCTION("""COMPUTED_VALUE"""),"India")</f>
        <v>India</v>
      </c>
      <c r="C13" s="1">
        <f ca="1">IFERROR(__xludf.DUMMYFUNCTION("""COMPUTED_VALUE"""),639111)</f>
        <v>639111</v>
      </c>
      <c r="D13" s="1" t="str">
        <f ca="1">IFERROR(__xludf.DUMMYFUNCTION("""COMPUTED_VALUE"""),"Male")</f>
        <v>Male</v>
      </c>
      <c r="E13" s="1" t="str">
        <f ca="1">IFERROR(__xludf.DUMMYFUNCTION("""COMPUTED_VALUE"""),"People who have changed the world for better")</f>
        <v>People who have changed the world for better</v>
      </c>
      <c r="F13" s="1" t="str">
        <f ca="1">IFERROR(__xludf.DUMMYFUNCTION("""COMPUTED_VALUE"""),"No, But if someone could bare the cost I will")</f>
        <v>No, But if someone could bare the cost I will</v>
      </c>
      <c r="G13" s="1" t="str">
        <f ca="1">IFERROR(__xludf.DUMMYFUNCTION("""COMPUTED_VALUE"""),"Will work for 3 years or more")</f>
        <v>Will work for 3 years or more</v>
      </c>
      <c r="H13" s="1" t="str">
        <f ca="1">IFERROR(__xludf.DUMMYFUNCTION("""COMPUTED_VALUE"""),"No")</f>
        <v>No</v>
      </c>
      <c r="I13" s="1" t="str">
        <f ca="1">IFERROR(__xludf.DUMMYFUNCTION("""COMPUTED_VALUE"""),"Will NOT work for them")</f>
        <v>Will NOT work for them</v>
      </c>
      <c r="J13" s="1">
        <f ca="1">IFERROR(__xludf.DUMMYFUNCTION("""COMPUTED_VALUE"""),1)</f>
        <v>1</v>
      </c>
      <c r="K13" s="1" t="str">
        <f ca="1">IFERROR(__xludf.DUMMYFUNCTION("""COMPUTED_VALUE"""),"Fully Remote with Options to travel as and when needed")</f>
        <v>Fully Remote with Options to travel as and when needed</v>
      </c>
      <c r="L13" s="1" t="str">
        <f ca="1">IFERROR(__xludf.DUMMYFUNCTION("""COMPUTED_VALUE"""),"Employer who appreciates learning and enables that environment")</f>
        <v>Employer who appreciates learning and enables that environment</v>
      </c>
      <c r="M13" s="1" t="str">
        <f ca="1">IFERROR(__xludf.DUMMYFUNCTION("""COMPUTED_VALUE"""),"Self Paced Learning Portals, Instructor or Expert Learning Programs")</f>
        <v>Self Paced Learning Portals, Instructor or Expert Learning Programs</v>
      </c>
      <c r="N13" s="1" t="str">
        <f ca="1">IFERROR(__xludf.DUMMYFUNCTION("""COMPUTED_VALUE"""),"Design and Develop amazing software, Look deeply into Data and generate insights, Work as a freelancer and do my thing my way")</f>
        <v>Design and Develop amazing software, Look deeply into Data and generate insights, Work as a freelancer and do my thing my way</v>
      </c>
      <c r="O13" s="1" t="str">
        <f ca="1">IFERROR(__xludf.DUMMYFUNCTION("""COMPUTED_VALUE"""),"Manager who sets goal and helps me achieve it")</f>
        <v>Manager who sets goal and helps me achieve it</v>
      </c>
      <c r="P13" s="1" t="str">
        <f ca="1">IFERROR(__xludf.DUMMYFUNCTION("""COMPUTED_VALUE"""),"Work alone")</f>
        <v>Work alone</v>
      </c>
      <c r="Q13" s="1"/>
      <c r="R13" s="1"/>
      <c r="S13" s="1"/>
    </row>
    <row r="14" spans="1:19" ht="15.75" customHeight="1" x14ac:dyDescent="0.25">
      <c r="A14" s="2">
        <f ca="1">IFERROR(__xludf.DUMMYFUNCTION("""COMPUTED_VALUE"""),44911.5440213888)</f>
        <v>44911.5440213888</v>
      </c>
      <c r="B14" s="1" t="str">
        <f ca="1">IFERROR(__xludf.DUMMYFUNCTION("""COMPUTED_VALUE"""),"India")</f>
        <v>India</v>
      </c>
      <c r="C14" s="1">
        <f ca="1">IFERROR(__xludf.DUMMYFUNCTION("""COMPUTED_VALUE"""),136119)</f>
        <v>136119</v>
      </c>
      <c r="D14" s="1" t="str">
        <f ca="1">IFERROR(__xludf.DUMMYFUNCTION("""COMPUTED_VALUE"""),"Male")</f>
        <v>Male</v>
      </c>
      <c r="E14" s="1" t="str">
        <f ca="1">IFERROR(__xludf.DUMMYFUNCTION("""COMPUTED_VALUE"""),"My Parents")</f>
        <v>My Parents</v>
      </c>
      <c r="F14" s="1" t="str">
        <f ca="1">IFERROR(__xludf.DUMMYFUNCTION("""COMPUTED_VALUE"""),"No, But if someone could bare the cost I will")</f>
        <v>No, But if someone could bare the cost I will</v>
      </c>
      <c r="G14" s="1" t="str">
        <f ca="1">IFERROR(__xludf.DUMMYFUNCTION("""COMPUTED_VALUE"""),"This will be hard to do, but if it is the right company I would try")</f>
        <v>This will be hard to do, but if it is the right company I would try</v>
      </c>
      <c r="H14" s="1" t="str">
        <f ca="1">IFERROR(__xludf.DUMMYFUNCTION("""COMPUTED_VALUE"""),"Yes")</f>
        <v>Yes</v>
      </c>
      <c r="I14" s="1" t="str">
        <f ca="1">IFERROR(__xludf.DUMMYFUNCTION("""COMPUTED_VALUE"""),"Will work for them")</f>
        <v>Will work for them</v>
      </c>
      <c r="J14" s="1">
        <f ca="1">IFERROR(__xludf.DUMMYFUNCTION("""COMPUTED_VALUE"""),4)</f>
        <v>4</v>
      </c>
      <c r="K14" s="1" t="str">
        <f ca="1">IFERROR(__xludf.DUMMYFUNCTION("""COMPUTED_VALUE"""),"Hybrid Working Environment with less than 15 days a month at office")</f>
        <v>Hybrid Working Environment with less than 15 days a month at office</v>
      </c>
      <c r="L14" s="1" t="str">
        <f ca="1">IFERROR(__xludf.DUMMYFUNCTION("""COMPUTED_VALUE"""),"Employer who appreciates learning and enables that environment")</f>
        <v>Employer who appreciates learning and enables that environment</v>
      </c>
      <c r="M14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4" s="1" t="str">
        <f ca="1">IFERROR(__xludf.DUMMYFUNCTION("""COMPUTED_VALUE"""),"Design and Creative strategy in any company, Teaching in any of the institutes/online or Offline, Manage and drive End-to-End Projects or Products")</f>
        <v>Design and Creative strategy in any company, Teaching in any of the institutes/online or Offline, Manage and drive End-to-End Projects or Products</v>
      </c>
      <c r="O14" s="1" t="str">
        <f ca="1">IFERROR(__xludf.DUMMYFUNCTION("""COMPUTED_VALUE"""),"Manager who sets goal and helps me achieve it")</f>
        <v>Manager who sets goal and helps me achieve it</v>
      </c>
      <c r="P14" s="1" t="str">
        <f ca="1">IFERROR(__xludf.DUMMYFUNCTION("""COMPUTED_VALUE"""),"Work with 2 to 3 people in my team")</f>
        <v>Work with 2 to 3 people in my team</v>
      </c>
      <c r="Q14" s="1"/>
      <c r="R14" s="1"/>
      <c r="S14" s="1"/>
    </row>
    <row r="15" spans="1:19" ht="15.75" customHeight="1" x14ac:dyDescent="0.25">
      <c r="A15" s="2">
        <f ca="1">IFERROR(__xludf.DUMMYFUNCTION("""COMPUTED_VALUE"""),44911.5561873726)</f>
        <v>44911.556187372596</v>
      </c>
      <c r="B15" s="1" t="str">
        <f ca="1">IFERROR(__xludf.DUMMYFUNCTION("""COMPUTED_VALUE"""),"India")</f>
        <v>India</v>
      </c>
      <c r="C15" s="1">
        <f ca="1">IFERROR(__xludf.DUMMYFUNCTION("""COMPUTED_VALUE"""),678104)</f>
        <v>678104</v>
      </c>
      <c r="D15" s="1" t="str">
        <f ca="1">IFERROR(__xludf.DUMMYFUNCTION("""COMPUTED_VALUE"""),"Male")</f>
        <v>Male</v>
      </c>
      <c r="E15" s="1" t="str">
        <f ca="1">IFERROR(__xludf.DUMMYFUNCTION("""COMPUTED_VALUE"""),"People who have changed the world for better")</f>
        <v>People who have changed the world for better</v>
      </c>
      <c r="F15" s="1" t="str">
        <f ca="1">IFERROR(__xludf.DUMMYFUNCTION("""COMPUTED_VALUE"""),"Yes, I will earn and do that")</f>
        <v>Yes, I will earn and do that</v>
      </c>
      <c r="G15" s="1" t="str">
        <f ca="1">IFERROR(__xludf.DUMMYFUNCTION("""COMPUTED_VALUE"""),"This will be hard to do, but if it is the right company I would try")</f>
        <v>This will be hard to do, but if it is the right company I would try</v>
      </c>
      <c r="H15" s="1" t="str">
        <f ca="1">IFERROR(__xludf.DUMMYFUNCTION("""COMPUTED_VALUE"""),"No")</f>
        <v>No</v>
      </c>
      <c r="I15" s="1" t="str">
        <f ca="1">IFERROR(__xludf.DUMMYFUNCTION("""COMPUTED_VALUE"""),"Will NOT work for them")</f>
        <v>Will NOT work for them</v>
      </c>
      <c r="J15" s="1">
        <f ca="1">IFERROR(__xludf.DUMMYFUNCTION("""COMPUTED_VALUE"""),1)</f>
        <v>1</v>
      </c>
      <c r="K15" s="1" t="str">
        <f ca="1">IFERROR(__xludf.DUMMYFUNCTION("""COMPUTED_VALUE"""),"Fully Remote with Options to travel as and when needed")</f>
        <v>Fully Remote with Options to travel as and when needed</v>
      </c>
      <c r="L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5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15" s="1" t="str">
        <f ca="1">IFERROR(__xludf.DUMMYFUNCTION("""COMPUTED_VALUE"""),"Manager who sets goal and helps me achieve it")</f>
        <v>Manager who sets goal and helps me achieve it</v>
      </c>
      <c r="P15" s="1" t="str">
        <f ca="1">IFERROR(__xludf.DUMMYFUNCTION("""COMPUTED_VALUE"""),"Work with 5 to 6 people in my team")</f>
        <v>Work with 5 to 6 people in my team</v>
      </c>
      <c r="Q15" s="1"/>
      <c r="R15" s="1"/>
      <c r="S15" s="1"/>
    </row>
    <row r="16" spans="1:19" ht="15.75" customHeight="1" x14ac:dyDescent="0.25">
      <c r="A16" s="2">
        <f ca="1">IFERROR(__xludf.DUMMYFUNCTION("""COMPUTED_VALUE"""),44911.5579486805)</f>
        <v>44911.5579486805</v>
      </c>
      <c r="B16" s="1" t="str">
        <f ca="1">IFERROR(__xludf.DUMMYFUNCTION("""COMPUTED_VALUE"""),"India")</f>
        <v>India</v>
      </c>
      <c r="C16" s="1">
        <f ca="1">IFERROR(__xludf.DUMMYFUNCTION("""COMPUTED_VALUE"""),560024)</f>
        <v>560024</v>
      </c>
      <c r="D16" s="1" t="str">
        <f ca="1">IFERROR(__xludf.DUMMYFUNCTION("""COMPUTED_VALUE"""),"Female")</f>
        <v>Female</v>
      </c>
      <c r="E16" s="1" t="str">
        <f ca="1">IFERROR(__xludf.DUMMYFUNCTION("""COMPUTED_VALUE"""),"People from my circle, but not family members")</f>
        <v>People from my circle, but not family members</v>
      </c>
      <c r="F16" s="1" t="str">
        <f ca="1">IFERROR(__xludf.DUMMYFUNCTION("""COMPUTED_VALUE"""),"Yes, I will earn and do that")</f>
        <v>Yes, I will earn and do that</v>
      </c>
      <c r="G16" s="1" t="str">
        <f ca="1">IFERROR(__xludf.DUMMYFUNCTION("""COMPUTED_VALUE"""),"This will be hard to do, but if it is the right company I would try")</f>
        <v>This will be hard to do, but if it is the right company I would try</v>
      </c>
      <c r="H16" s="1" t="str">
        <f ca="1">IFERROR(__xludf.DUMMYFUNCTION("""COMPUTED_VALUE"""),"Yes")</f>
        <v>Yes</v>
      </c>
      <c r="I16" s="1" t="str">
        <f ca="1">IFERROR(__xludf.DUMMYFUNCTION("""COMPUTED_VALUE"""),"Will NOT work for them")</f>
        <v>Will NOT work for them</v>
      </c>
      <c r="J16" s="1">
        <f ca="1">IFERROR(__xludf.DUMMYFUNCTION("""COMPUTED_VALUE"""),6)</f>
        <v>6</v>
      </c>
      <c r="K16" s="1" t="str">
        <f ca="1">IFERROR(__xludf.DUMMYFUNCTION("""COMPUTED_VALUE"""),"Hybrid Working Environment with less than 15 days a month at office")</f>
        <v>Hybrid Working Environment with less than 15 days a month at office</v>
      </c>
      <c r="L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" s="1" t="str">
        <f ca="1">IFERROR(__xludf.DUMMYFUNCTION("""COMPUTED_VALUE"""),"Self Paced Learning Portals, Instructor or Expert Learning Programs")</f>
        <v>Self Paced Learning Portals, Instructor or Expert Learning Programs</v>
      </c>
      <c r="N16" s="1" t="str">
        <f ca="1">IFERROR(__xludf.DUMMYFUNCTION("""COMPUTED_VALUE"""),"Design and Creative strategy in any company, Manage and drive End-to-End Projects or Products, Build and develop a Team")</f>
        <v>Design and Creative strategy in any company, Manage and drive End-to-End Projects or Products, Build and develop a Team</v>
      </c>
      <c r="O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6" s="1" t="str">
        <f ca="1">IFERROR(__xludf.DUMMYFUNCTION("""COMPUTED_VALUE"""),"Work with more than 10 people in my team")</f>
        <v>Work with more than 10 people in my team</v>
      </c>
      <c r="Q16" s="1"/>
      <c r="R16" s="1"/>
      <c r="S16" s="1"/>
    </row>
    <row r="17" spans="1:19" ht="15.75" customHeight="1" x14ac:dyDescent="0.25">
      <c r="A17" s="2">
        <f ca="1">IFERROR(__xludf.DUMMYFUNCTION("""COMPUTED_VALUE"""),44911.5590934026)</f>
        <v>44911.559093402699</v>
      </c>
      <c r="B17" s="1" t="str">
        <f ca="1">IFERROR(__xludf.DUMMYFUNCTION("""COMPUTED_VALUE"""),"India")</f>
        <v>India</v>
      </c>
      <c r="C17" s="1">
        <f ca="1">IFERROR(__xludf.DUMMYFUNCTION("""COMPUTED_VALUE"""),560064)</f>
        <v>560064</v>
      </c>
      <c r="D17" s="1" t="str">
        <f ca="1">IFERROR(__xludf.DUMMYFUNCTION("""COMPUTED_VALUE"""),"Male")</f>
        <v>Male</v>
      </c>
      <c r="E17" s="1" t="str">
        <f ca="1">IFERROR(__xludf.DUMMYFUNCTION("""COMPUTED_VALUE"""),"People from my circle, but not family members")</f>
        <v>People from my circle, but not family members</v>
      </c>
      <c r="F17" s="1" t="str">
        <f ca="1">IFERROR(__xludf.DUMMYFUNCTION("""COMPUTED_VALUE"""),"No, But if someone could bare the cost I will")</f>
        <v>No, But if someone could bare the cost I will</v>
      </c>
      <c r="G17" s="1" t="str">
        <f ca="1">IFERROR(__xludf.DUMMYFUNCTION("""COMPUTED_VALUE"""),"This will be hard to do, but if it is the right company I would try")</f>
        <v>This will be hard to do, but if it is the right company I would try</v>
      </c>
      <c r="H17" s="1" t="str">
        <f ca="1">IFERROR(__xludf.DUMMYFUNCTION("""COMPUTED_VALUE"""),"No")</f>
        <v>No</v>
      </c>
      <c r="I17" s="1" t="str">
        <f ca="1">IFERROR(__xludf.DUMMYFUNCTION("""COMPUTED_VALUE"""),"Will NOT work for them")</f>
        <v>Will NOT work for them</v>
      </c>
      <c r="J17" s="1">
        <f ca="1">IFERROR(__xludf.DUMMYFUNCTION("""COMPUTED_VALUE"""),8)</f>
        <v>8</v>
      </c>
      <c r="K17" s="1" t="str">
        <f ca="1">IFERROR(__xludf.DUMMYFUNCTION("""COMPUTED_VALUE"""),"Hybrid Working Environment with less than 10 days a month at office")</f>
        <v>Hybrid Working Environment with less than 10 days a month at office</v>
      </c>
      <c r="L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" s="1" t="str">
        <f ca="1">IFERROR(__xludf.DUMMYFUNCTION("""COMPUTED_VALUE"""),"Instructor or Expert Learning Programs, Learning by observing others")</f>
        <v>Instructor or Expert Learning Programs, Learning by observing others</v>
      </c>
      <c r="N17" s="1" t="str">
        <f ca="1">IFERROR(__xludf.DUMMYFUNCTION("""COMPUTED_VALUE"""),"Teaching in any of the institutes/online or Offline, Build and develop a Team, Look deeply into Data and generate insights")</f>
        <v>Teaching in any of the institutes/online or Offline, Build and develop a Team, Look deeply into Data and generate insights</v>
      </c>
      <c r="O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7" s="1"/>
      <c r="R17" s="1"/>
      <c r="S17" s="1"/>
    </row>
    <row r="18" spans="1:19" ht="15.75" customHeight="1" x14ac:dyDescent="0.25">
      <c r="A18" s="2">
        <f ca="1">IFERROR(__xludf.DUMMYFUNCTION("""COMPUTED_VALUE"""),44911.5597770486)</f>
        <v>44911.559777048598</v>
      </c>
      <c r="B18" s="1" t="str">
        <f ca="1">IFERROR(__xludf.DUMMYFUNCTION("""COMPUTED_VALUE"""),"India")</f>
        <v>India</v>
      </c>
      <c r="C18" s="1">
        <f ca="1">IFERROR(__xludf.DUMMYFUNCTION("""COMPUTED_VALUE"""),561203)</f>
        <v>561203</v>
      </c>
      <c r="D18" s="1" t="str">
        <f ca="1">IFERROR(__xludf.DUMMYFUNCTION("""COMPUTED_VALUE"""),"Male")</f>
        <v>Male</v>
      </c>
      <c r="E18" s="1" t="str">
        <f ca="1">IFERROR(__xludf.DUMMYFUNCTION("""COMPUTED_VALUE"""),"Influencers who had successful careers")</f>
        <v>Influencers who had successful careers</v>
      </c>
      <c r="F18" s="1" t="str">
        <f ca="1">IFERROR(__xludf.DUMMYFUNCTION("""COMPUTED_VALUE"""),"Yes, I will earn and do that")</f>
        <v>Yes, I will earn and do that</v>
      </c>
      <c r="G18" s="1" t="str">
        <f ca="1">IFERROR(__xludf.DUMMYFUNCTION("""COMPUTED_VALUE"""),"This will be hard to do, but if it is the right company I would try")</f>
        <v>This will be hard to do, but if it is the right company I would try</v>
      </c>
      <c r="H18" s="1" t="str">
        <f ca="1">IFERROR(__xludf.DUMMYFUNCTION("""COMPUTED_VALUE"""),"No")</f>
        <v>No</v>
      </c>
      <c r="I18" s="1" t="str">
        <f ca="1">IFERROR(__xludf.DUMMYFUNCTION("""COMPUTED_VALUE"""),"Will NOT work for them")</f>
        <v>Will NOT work for them</v>
      </c>
      <c r="J18" s="1">
        <f ca="1">IFERROR(__xludf.DUMMYFUNCTION("""COMPUTED_VALUE"""),1)</f>
        <v>1</v>
      </c>
      <c r="K18" s="1" t="str">
        <f ca="1">IFERROR(__xludf.DUMMYFUNCTION("""COMPUTED_VALUE"""),"Hybrid Working Environment with less than 15 days a month at office")</f>
        <v>Hybrid Working Environment with less than 15 days a month at office</v>
      </c>
      <c r="L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" s="1" t="str">
        <f ca="1">IFERROR(__xludf.DUMMYFUNCTION("""COMPUTED_VALUE"""),"Self Paced Learning Portals, Instructor or Expert Learning Programs")</f>
        <v>Self Paced Learning Portals, Instructor or Expert Learning Programs</v>
      </c>
      <c r="N18" s="1" t="str">
        <f ca="1">IFERROR(__xludf.DUMMYFUNCTION("""COMPUTED_VALUE"""),"Design and Creative strategy in any company, Teaching in any of the institutes/online or Offline, Design and Develop amazing software")</f>
        <v>Design and Creative strategy in any company, Teaching in any of the institutes/online or Offline, Design and Develop amazing software</v>
      </c>
      <c r="O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8" s="1" t="str">
        <f ca="1">IFERROR(__xludf.DUMMYFUNCTION("""COMPUTED_VALUE"""),"Work with 2 to 3 people in my team, Work with 5 to 6 people in my team")</f>
        <v>Work with 2 to 3 people in my team, Work with 5 to 6 people in my team</v>
      </c>
      <c r="Q18" s="1"/>
      <c r="R18" s="1"/>
      <c r="S18" s="1"/>
    </row>
    <row r="19" spans="1:19" ht="15.75" customHeight="1" x14ac:dyDescent="0.25">
      <c r="A19" s="2">
        <f ca="1">IFERROR(__xludf.DUMMYFUNCTION("""COMPUTED_VALUE"""),44911.5621552546)</f>
        <v>44911.5621552546</v>
      </c>
      <c r="B19" s="1" t="str">
        <f ca="1">IFERROR(__xludf.DUMMYFUNCTION("""COMPUTED_VALUE"""),"India")</f>
        <v>India</v>
      </c>
      <c r="C19" s="1">
        <f ca="1">IFERROR(__xludf.DUMMYFUNCTION("""COMPUTED_VALUE"""),515201)</f>
        <v>515201</v>
      </c>
      <c r="D19" s="1" t="str">
        <f ca="1">IFERROR(__xludf.DUMMYFUNCTION("""COMPUTED_VALUE"""),"Male")</f>
        <v>Male</v>
      </c>
      <c r="E19" s="1" t="str">
        <f ca="1">IFERROR(__xludf.DUMMYFUNCTION("""COMPUTED_VALUE"""),"My Parents")</f>
        <v>My Parents</v>
      </c>
      <c r="F19" s="1" t="str">
        <f ca="1">IFERROR(__xludf.DUMMYFUNCTION("""COMPUTED_VALUE"""),"Yes, I will earn and do that")</f>
        <v>Yes, I will earn and do that</v>
      </c>
      <c r="G19" s="1" t="str">
        <f ca="1">IFERROR(__xludf.DUMMYFUNCTION("""COMPUTED_VALUE"""),"Will work for 3 years or more")</f>
        <v>Will work for 3 years or more</v>
      </c>
      <c r="H19" s="1" t="str">
        <f ca="1">IFERROR(__xludf.DUMMYFUNCTION("""COMPUTED_VALUE"""),"No")</f>
        <v>No</v>
      </c>
      <c r="I19" s="1" t="str">
        <f ca="1">IFERROR(__xludf.DUMMYFUNCTION("""COMPUTED_VALUE"""),"Will NOT work for them")</f>
        <v>Will NOT work for them</v>
      </c>
      <c r="J19" s="1">
        <f ca="1">IFERROR(__xludf.DUMMYFUNCTION("""COMPUTED_VALUE"""),2)</f>
        <v>2</v>
      </c>
      <c r="K19" s="1" t="str">
        <f ca="1">IFERROR(__xludf.DUMMYFUNCTION("""COMPUTED_VALUE"""),"Every Day Office Environment")</f>
        <v>Every Day Office Environment</v>
      </c>
      <c r="L19" s="1" t="str">
        <f ca="1">IFERROR(__xludf.DUMMYFUNCTION("""COMPUTED_VALUE"""),"Employer who appreciates learning and enables that environment")</f>
        <v>Employer who appreciates learning and enables that environment</v>
      </c>
      <c r="M19" s="1" t="str">
        <f ca="1">IFERROR(__xludf.DUMMYFUNCTION("""COMPUTED_VALUE"""),"Self Paced Learning Portals, Instructor or Expert Learning Programs")</f>
        <v>Self Paced Learning Portals, Instructor or Expert Learning Programs</v>
      </c>
      <c r="N19" s="1" t="str">
        <f ca="1">IFERROR(__xludf.DUMMYFUNCTION("""COMPUTED_VALUE"""),"Design and Creative strategy in any company, Business Operations in any organization, Become a content Creator in some platform")</f>
        <v>Design and Creative strategy in any company, Business Operations in any organization, Become a content Creator in some platform</v>
      </c>
      <c r="O19" s="1" t="str">
        <f ca="1">IFERROR(__xludf.DUMMYFUNCTION("""COMPUTED_VALUE"""),"Manager who sets goal and helps me achieve it")</f>
        <v>Manager who sets goal and helps me achieve it</v>
      </c>
      <c r="P19" s="1" t="str">
        <f ca="1">IFERROR(__xludf.DUMMYFUNCTION("""COMPUTED_VALUE"""),"Work with 5 to 6 people in my team")</f>
        <v>Work with 5 to 6 people in my team</v>
      </c>
      <c r="Q19" s="1"/>
      <c r="R19" s="1"/>
      <c r="S19" s="1"/>
    </row>
    <row r="20" spans="1:19" ht="15.75" customHeight="1" x14ac:dyDescent="0.25">
      <c r="A20" s="2">
        <f ca="1">IFERROR(__xludf.DUMMYFUNCTION("""COMPUTED_VALUE"""),44911.5653887268)</f>
        <v>44911.565388726798</v>
      </c>
      <c r="B20" s="1" t="str">
        <f ca="1">IFERROR(__xludf.DUMMYFUNCTION("""COMPUTED_VALUE"""),"India")</f>
        <v>India</v>
      </c>
      <c r="C20" s="1">
        <f ca="1">IFERROR(__xludf.DUMMYFUNCTION("""COMPUTED_VALUE"""),211002)</f>
        <v>211002</v>
      </c>
      <c r="D20" s="1" t="str">
        <f ca="1">IFERROR(__xludf.DUMMYFUNCTION("""COMPUTED_VALUE"""),"Male")</f>
        <v>Male</v>
      </c>
      <c r="E20" s="1" t="str">
        <f ca="1">IFERROR(__xludf.DUMMYFUNCTION("""COMPUTED_VALUE"""),"People who have changed the world for better")</f>
        <v>People who have changed the world for better</v>
      </c>
      <c r="F20" s="1" t="str">
        <f ca="1">IFERROR(__xludf.DUMMYFUNCTION("""COMPUTED_VALUE"""),"Yes, I will earn and do that")</f>
        <v>Yes, I will earn and do that</v>
      </c>
      <c r="G20" s="1" t="str">
        <f ca="1">IFERROR(__xludf.DUMMYFUNCTION("""COMPUTED_VALUE"""),"This will be hard to do, but if it is the right company I would try")</f>
        <v>This will be hard to do, but if it is the right company I would try</v>
      </c>
      <c r="H20" s="1" t="str">
        <f ca="1">IFERROR(__xludf.DUMMYFUNCTION("""COMPUTED_VALUE"""),"No")</f>
        <v>No</v>
      </c>
      <c r="I20" s="1" t="str">
        <f ca="1">IFERROR(__xludf.DUMMYFUNCTION("""COMPUTED_VALUE"""),"Will work for them")</f>
        <v>Will work for them</v>
      </c>
      <c r="J20" s="1">
        <f ca="1">IFERROR(__xludf.DUMMYFUNCTION("""COMPUTED_VALUE"""),6)</f>
        <v>6</v>
      </c>
      <c r="K20" s="1" t="str">
        <f ca="1">IFERROR(__xludf.DUMMYFUNCTION("""COMPUTED_VALUE"""),"Every Day Office Environment")</f>
        <v>Every Day Office Environment</v>
      </c>
      <c r="L20" s="1" t="str">
        <f ca="1">IFERROR(__xludf.DUMMYFUNCTION("""COMPUTED_VALUE"""),"Employer who appreciates learning and enables that environment")</f>
        <v>Employer who appreciates learning and enables that environment</v>
      </c>
      <c r="M20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0" s="1" t="str">
        <f ca="1">IFERROR(__xludf.DUMMYFUNCTION("""COMPUTED_VALUE"""),"Business Operations in any organization, Manage and drive End-to-End Projects or Products, Work in a BPO setup for some well known client")</f>
        <v>Business Operations in any organization, Manage and drive End-to-End Projects or Products, Work in a BPO setup for some well known client</v>
      </c>
      <c r="O20" s="1" t="str">
        <f ca="1">IFERROR(__xludf.DUMMYFUNCTION("""COMPUTED_VALUE"""),"Manager who explains what is expected, sets a goal and helps achieve it")</f>
        <v>Manager who explains what is expected, sets a goal and helps achieve it</v>
      </c>
      <c r="P20" s="1" t="str">
        <f ca="1">IFERROR(__xludf.DUMMYFUNCTION("""COMPUTED_VALUE"""),"Work with more than 10 people in my team")</f>
        <v>Work with more than 10 people in my team</v>
      </c>
      <c r="Q20" s="1"/>
      <c r="R20" s="1"/>
      <c r="S20" s="1"/>
    </row>
    <row r="21" spans="1:19" ht="15.75" customHeight="1" x14ac:dyDescent="0.25">
      <c r="A21" s="2">
        <f ca="1">IFERROR(__xludf.DUMMYFUNCTION("""COMPUTED_VALUE"""),44911.5668785532)</f>
        <v>44911.566878553203</v>
      </c>
      <c r="B21" s="1" t="str">
        <f ca="1">IFERROR(__xludf.DUMMYFUNCTION("""COMPUTED_VALUE"""),"India")</f>
        <v>India</v>
      </c>
      <c r="C21" s="1">
        <f ca="1">IFERROR(__xludf.DUMMYFUNCTION("""COMPUTED_VALUE"""),577002)</f>
        <v>577002</v>
      </c>
      <c r="D21" s="1" t="str">
        <f ca="1">IFERROR(__xludf.DUMMYFUNCTION("""COMPUTED_VALUE"""),"Female")</f>
        <v>Female</v>
      </c>
      <c r="E21" s="1" t="str">
        <f ca="1">IFERROR(__xludf.DUMMYFUNCTION("""COMPUTED_VALUE"""),"Influencers who had successful careers")</f>
        <v>Influencers who had successful careers</v>
      </c>
      <c r="F21" s="1" t="str">
        <f ca="1">IFERROR(__xludf.DUMMYFUNCTION("""COMPUTED_VALUE"""),"Yes, I will earn and do that")</f>
        <v>Yes, I will earn and do that</v>
      </c>
      <c r="G21" s="1" t="str">
        <f ca="1">IFERROR(__xludf.DUMMYFUNCTION("""COMPUTED_VALUE"""),"No way, 3 years with one employer is crazy")</f>
        <v>No way, 3 years with one employer is crazy</v>
      </c>
      <c r="H21" s="1" t="str">
        <f ca="1">IFERROR(__xludf.DUMMYFUNCTION("""COMPUTED_VALUE"""),"No")</f>
        <v>No</v>
      </c>
      <c r="I21" s="1" t="str">
        <f ca="1">IFERROR(__xludf.DUMMYFUNCTION("""COMPUTED_VALUE"""),"Will NOT work for them")</f>
        <v>Will NOT work for them</v>
      </c>
      <c r="J21" s="1">
        <f ca="1">IFERROR(__xludf.DUMMYFUNCTION("""COMPUTED_VALUE"""),7)</f>
        <v>7</v>
      </c>
      <c r="K21" s="1" t="str">
        <f ca="1">IFERROR(__xludf.DUMMYFUNCTION("""COMPUTED_VALUE"""),"Hybrid Working Environment with less than 15 days a month at office")</f>
        <v>Hybrid Working Environment with less than 15 days a month at office</v>
      </c>
      <c r="L21" s="1" t="str">
        <f ca="1">IFERROR(__xludf.DUMMYFUNCTION("""COMPUTED_VALUE"""),"Employer who rewards learning and enables that environment")</f>
        <v>Employer who rewards learning and enables that environment</v>
      </c>
      <c r="M21" s="1" t="str">
        <f ca="1">IFERROR(__xludf.DUMMYFUNCTION("""COMPUTED_VALUE"""),"Instructor or Expert Learning Programs, Learning by observing others")</f>
        <v>Instructor or Expert Learning Programs, Learning by observing others</v>
      </c>
      <c r="N21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1" s="1" t="str">
        <f ca="1">IFERROR(__xludf.DUMMYFUNCTION("""COMPUTED_VALUE"""),"Manager who explains what is expected, sets a goal and helps achieve it")</f>
        <v>Manager who explains what is expected, sets a goal and helps achieve it</v>
      </c>
      <c r="P21" s="1" t="str">
        <f ca="1">IFERROR(__xludf.DUMMYFUNCTION("""COMPUTED_VALUE"""),"Work alone, Work with 5 to 6 people in my team")</f>
        <v>Work alone, Work with 5 to 6 people in my team</v>
      </c>
      <c r="Q21" s="1"/>
      <c r="R21" s="1"/>
      <c r="S21" s="1"/>
    </row>
    <row r="22" spans="1:19" ht="15.75" customHeight="1" x14ac:dyDescent="0.25">
      <c r="A22" s="2">
        <f ca="1">IFERROR(__xludf.DUMMYFUNCTION("""COMPUTED_VALUE"""),44911.5698231944)</f>
        <v>44911.569823194397</v>
      </c>
      <c r="B22" s="1" t="str">
        <f ca="1">IFERROR(__xludf.DUMMYFUNCTION("""COMPUTED_VALUE"""),"India")</f>
        <v>India</v>
      </c>
      <c r="C22" s="1">
        <f ca="1">IFERROR(__xludf.DUMMYFUNCTION("""COMPUTED_VALUE"""),673020)</f>
        <v>673020</v>
      </c>
      <c r="D22" s="1" t="str">
        <f ca="1">IFERROR(__xludf.DUMMYFUNCTION("""COMPUTED_VALUE"""),"Female")</f>
        <v>Female</v>
      </c>
      <c r="E22" s="1" t="str">
        <f ca="1">IFERROR(__xludf.DUMMYFUNCTION("""COMPUTED_VALUE"""),"People from my circle, but not family members")</f>
        <v>People from my circle, but not family members</v>
      </c>
      <c r="F22" s="1" t="str">
        <f ca="1">IFERROR(__xludf.DUMMYFUNCTION("""COMPUTED_VALUE"""),"No, But if someone could bare the cost I will")</f>
        <v>No, But if someone could bare the cost I will</v>
      </c>
      <c r="G22" s="1" t="str">
        <f ca="1">IFERROR(__xludf.DUMMYFUNCTION("""COMPUTED_VALUE"""),"This will be hard to do, but if it is the right company I would try")</f>
        <v>This will be hard to do, but if it is the right company I would try</v>
      </c>
      <c r="H22" s="1" t="str">
        <f ca="1">IFERROR(__xludf.DUMMYFUNCTION("""COMPUTED_VALUE"""),"No")</f>
        <v>No</v>
      </c>
      <c r="I22" s="1" t="str">
        <f ca="1">IFERROR(__xludf.DUMMYFUNCTION("""COMPUTED_VALUE"""),"Will NOT work for them")</f>
        <v>Will NOT work for them</v>
      </c>
      <c r="J22" s="1">
        <f ca="1">IFERROR(__xludf.DUMMYFUNCTION("""COMPUTED_VALUE"""),1)</f>
        <v>1</v>
      </c>
      <c r="K22" s="1" t="str">
        <f ca="1">IFERROR(__xludf.DUMMYFUNCTION("""COMPUTED_VALUE"""),"Hybrid Working Environment with less than 15 days a month at office")</f>
        <v>Hybrid Working Environment with less than 15 days a month at office</v>
      </c>
      <c r="L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2" s="1" t="str">
        <f ca="1">IFERROR(__xludf.DUMMYFUNCTION("""COMPUTED_VALUE"""),"Design and Creative strategy in any company, Teaching in any of the institutes/online or Offline, Build and develop a Team")</f>
        <v>Design and Creative strategy in any company, Teaching in any of the institutes/online or Offline, Build and develop a Team</v>
      </c>
      <c r="O22" s="1" t="str">
        <f ca="1">IFERROR(__xludf.DUMMYFUNCTION("""COMPUTED_VALUE"""),"Manager who explains what is expected, sets a goal and helps achieve it")</f>
        <v>Manager who explains what is expected, sets a goal and helps achieve it</v>
      </c>
      <c r="P22" s="1" t="str">
        <f ca="1">IFERROR(__xludf.DUMMYFUNCTION("""COMPUTED_VALUE"""),"Work with 5 to 6 people in my team")</f>
        <v>Work with 5 to 6 people in my team</v>
      </c>
      <c r="Q22" s="1"/>
      <c r="R22" s="1"/>
      <c r="S22" s="1"/>
    </row>
    <row r="23" spans="1:19" ht="15.75" customHeight="1" x14ac:dyDescent="0.25">
      <c r="A23" s="2">
        <f ca="1">IFERROR(__xludf.DUMMYFUNCTION("""COMPUTED_VALUE"""),44911.5734704166)</f>
        <v>44911.573470416603</v>
      </c>
      <c r="B23" s="1" t="str">
        <f ca="1">IFERROR(__xludf.DUMMYFUNCTION("""COMPUTED_VALUE"""),"India")</f>
        <v>India</v>
      </c>
      <c r="C23" s="1">
        <f ca="1">IFERROR(__xludf.DUMMYFUNCTION("""COMPUTED_VALUE"""),301019)</f>
        <v>301019</v>
      </c>
      <c r="D23" s="1" t="str">
        <f ca="1">IFERROR(__xludf.DUMMYFUNCTION("""COMPUTED_VALUE"""),"Male")</f>
        <v>Male</v>
      </c>
      <c r="E23" s="1" t="str">
        <f ca="1">IFERROR(__xludf.DUMMYFUNCTION("""COMPUTED_VALUE"""),"My Parents")</f>
        <v>My Parents</v>
      </c>
      <c r="F23" s="1" t="str">
        <f ca="1">IFERROR(__xludf.DUMMYFUNCTION("""COMPUTED_VALUE"""),"Yes, I will earn and do that")</f>
        <v>Yes, I will earn and do that</v>
      </c>
      <c r="G23" s="1" t="str">
        <f ca="1">IFERROR(__xludf.DUMMYFUNCTION("""COMPUTED_VALUE"""),"No way, 3 years with one employer is crazy")</f>
        <v>No way, 3 years with one employer is crazy</v>
      </c>
      <c r="H23" s="1" t="str">
        <f ca="1">IFERROR(__xludf.DUMMYFUNCTION("""COMPUTED_VALUE"""),"No")</f>
        <v>No</v>
      </c>
      <c r="I23" s="1" t="str">
        <f ca="1">IFERROR(__xludf.DUMMYFUNCTION("""COMPUTED_VALUE"""),"Will NOT work for them")</f>
        <v>Will NOT work for them</v>
      </c>
      <c r="J23" s="1">
        <f ca="1">IFERROR(__xludf.DUMMYFUNCTION("""COMPUTED_VALUE"""),1)</f>
        <v>1</v>
      </c>
      <c r="K23" s="1" t="str">
        <f ca="1">IFERROR(__xludf.DUMMYFUNCTION("""COMPUTED_VALUE"""),"Every Day Office Environment")</f>
        <v>Every Day Office Environment</v>
      </c>
      <c r="L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" s="1" t="str">
        <f ca="1">IFERROR(__xludf.DUMMYFUNCTION("""COMPUTED_VALUE"""),"Self Paced Learning Portals, Learning by observing others")</f>
        <v>Self Paced Learning Portals, Learning by observing others</v>
      </c>
      <c r="N23" s="1" t="str">
        <f ca="1">IFERROR(__xludf.DUMMYFUNCTION("""COMPUTED_VALUE"""),"Design and Creative strategy in any company, Build and develop a Team, Design and Develop amazing software")</f>
        <v>Design and Creative strategy in any company, Build and develop a Team, Design and Develop amazing software</v>
      </c>
      <c r="O23" s="1" t="str">
        <f ca="1">IFERROR(__xludf.DUMMYFUNCTION("""COMPUTED_VALUE"""),"Manager who clearly describes what she/he needs")</f>
        <v>Manager who clearly describes what she/he needs</v>
      </c>
      <c r="P23" s="1" t="str">
        <f ca="1">IFERROR(__xludf.DUMMYFUNCTION("""COMPUTED_VALUE"""),"Work with 2 to 3 people in my team")</f>
        <v>Work with 2 to 3 people in my team</v>
      </c>
      <c r="Q23" s="1"/>
      <c r="R23" s="1"/>
      <c r="S23" s="1"/>
    </row>
    <row r="24" spans="1:19" ht="15.75" customHeight="1" x14ac:dyDescent="0.25">
      <c r="A24" s="2">
        <f ca="1">IFERROR(__xludf.DUMMYFUNCTION("""COMPUTED_VALUE"""),44911.5742924189)</f>
        <v>44911.574292418903</v>
      </c>
      <c r="B24" s="1" t="str">
        <f ca="1">IFERROR(__xludf.DUMMYFUNCTION("""COMPUTED_VALUE"""),"India")</f>
        <v>India</v>
      </c>
      <c r="C24" s="1">
        <f ca="1">IFERROR(__xludf.DUMMYFUNCTION("""COMPUTED_VALUE"""),680613)</f>
        <v>680613</v>
      </c>
      <c r="D24" s="1" t="str">
        <f ca="1">IFERROR(__xludf.DUMMYFUNCTION("""COMPUTED_VALUE"""),"Female")</f>
        <v>Female</v>
      </c>
      <c r="E24" s="1" t="str">
        <f ca="1">IFERROR(__xludf.DUMMYFUNCTION("""COMPUTED_VALUE"""),"My Parents")</f>
        <v>My Parents</v>
      </c>
      <c r="F24" s="1" t="str">
        <f ca="1">IFERROR(__xludf.DUMMYFUNCTION("""COMPUTED_VALUE"""),"Yes, I will earn and do that")</f>
        <v>Yes, I will earn and do that</v>
      </c>
      <c r="G24" s="1" t="str">
        <f ca="1">IFERROR(__xludf.DUMMYFUNCTION("""COMPUTED_VALUE"""),"This will be hard to do, but if it is the right company I would try")</f>
        <v>This will be hard to do, but if it is the right company I would try</v>
      </c>
      <c r="H24" s="1" t="str">
        <f ca="1">IFERROR(__xludf.DUMMYFUNCTION("""COMPUTED_VALUE"""),"Yes")</f>
        <v>Yes</v>
      </c>
      <c r="I24" s="1" t="str">
        <f ca="1">IFERROR(__xludf.DUMMYFUNCTION("""COMPUTED_VALUE"""),"Will NOT work for them")</f>
        <v>Will NOT work for them</v>
      </c>
      <c r="J24" s="1">
        <f ca="1">IFERROR(__xludf.DUMMYFUNCTION("""COMPUTED_VALUE"""),3)</f>
        <v>3</v>
      </c>
      <c r="K24" s="1" t="str">
        <f ca="1">IFERROR(__xludf.DUMMYFUNCTION("""COMPUTED_VALUE"""),"Fully Remote with Options to travel as and when needed")</f>
        <v>Fully Remote with Options to travel as and when needed</v>
      </c>
      <c r="L24" s="1" t="str">
        <f ca="1">IFERROR(__xludf.DUMMYFUNCTION("""COMPUTED_VALUE"""),"Employer who rewards learning and enables that environment")</f>
        <v>Employer who rewards learning and enables that environment</v>
      </c>
      <c r="M24" s="1" t="str">
        <f ca="1">IFERROR(__xludf.DUMMYFUNCTION("""COMPUTED_VALUE"""),"Self Paced Learning Portals, Learning by observing others")</f>
        <v>Self Paced Learning Portals, Learning by observing others</v>
      </c>
      <c r="N24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24" s="1" t="str">
        <f ca="1">IFERROR(__xludf.DUMMYFUNCTION("""COMPUTED_VALUE"""),"Manager who clearly describes what she/he needs")</f>
        <v>Manager who clearly describes what she/he needs</v>
      </c>
      <c r="P24" s="1" t="str">
        <f ca="1">IFERROR(__xludf.DUMMYFUNCTION("""COMPUTED_VALUE"""),"Work alone, Work with 2 to 3 people in my team, Work with 7 to 10 or more people in my team")</f>
        <v>Work alone, Work with 2 to 3 people in my team, Work with 7 to 10 or more people in my team</v>
      </c>
      <c r="Q24" s="1"/>
      <c r="R24" s="1"/>
      <c r="S24" s="1"/>
    </row>
    <row r="25" spans="1:19" ht="15.75" customHeight="1" x14ac:dyDescent="0.25">
      <c r="A25" s="2">
        <f ca="1">IFERROR(__xludf.DUMMYFUNCTION("""COMPUTED_VALUE"""),44911.5773596527)</f>
        <v>44911.5773596527</v>
      </c>
      <c r="B25" s="1" t="str">
        <f ca="1">IFERROR(__xludf.DUMMYFUNCTION("""COMPUTED_VALUE"""),"India")</f>
        <v>India</v>
      </c>
      <c r="C25" s="1">
        <f ca="1">IFERROR(__xludf.DUMMYFUNCTION("""COMPUTED_VALUE"""),852201)</f>
        <v>852201</v>
      </c>
      <c r="D25" s="1" t="str">
        <f ca="1">IFERROR(__xludf.DUMMYFUNCTION("""COMPUTED_VALUE"""),"Male")</f>
        <v>Male</v>
      </c>
      <c r="E25" s="1" t="str">
        <f ca="1">IFERROR(__xludf.DUMMYFUNCTION("""COMPUTED_VALUE"""),"People who have changed the world for better")</f>
        <v>People who have changed the world for better</v>
      </c>
      <c r="F25" s="1" t="str">
        <f ca="1">IFERROR(__xludf.DUMMYFUNCTION("""COMPUTED_VALUE"""),"No, But if someone could bare the cost I will")</f>
        <v>No, But if someone could bare the cost I will</v>
      </c>
      <c r="G25" s="1" t="str">
        <f ca="1">IFERROR(__xludf.DUMMYFUNCTION("""COMPUTED_VALUE"""),"Will work for 3 years or more")</f>
        <v>Will work for 3 years or more</v>
      </c>
      <c r="H25" s="1" t="str">
        <f ca="1">IFERROR(__xludf.DUMMYFUNCTION("""COMPUTED_VALUE"""),"No")</f>
        <v>No</v>
      </c>
      <c r="I25" s="1" t="str">
        <f ca="1">IFERROR(__xludf.DUMMYFUNCTION("""COMPUTED_VALUE"""),"Will work for them")</f>
        <v>Will work for them</v>
      </c>
      <c r="J25" s="1">
        <f ca="1">IFERROR(__xludf.DUMMYFUNCTION("""COMPUTED_VALUE"""),8)</f>
        <v>8</v>
      </c>
      <c r="K25" s="1" t="str">
        <f ca="1">IFERROR(__xludf.DUMMYFUNCTION("""COMPUTED_VALUE"""),"Every Day Office Environment")</f>
        <v>Every Day Office Environment</v>
      </c>
      <c r="L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5" s="1" t="str">
        <f ca="1">IFERROR(__xludf.DUMMYFUNCTION("""COMPUTED_VALUE"""),"Design and Develop amazing software, Look deeply into Data and generate insights, Work as a freelancer and do my thing my way")</f>
        <v>Design and Develop amazing software, Look deeply into Data and generate insights, Work as a freelancer and do my thing my way</v>
      </c>
      <c r="O25" s="1" t="str">
        <f ca="1">IFERROR(__xludf.DUMMYFUNCTION("""COMPUTED_VALUE"""),"Manager who explains what is expected, sets a goal and helps achieve it")</f>
        <v>Manager who explains what is expected, sets a goal and helps achieve it</v>
      </c>
      <c r="P25" s="1" t="str">
        <f ca="1">IFERROR(__xludf.DUMMYFUNCTION("""COMPUTED_VALUE"""),"Work with 7 to 10 or more people in my team")</f>
        <v>Work with 7 to 10 or more people in my team</v>
      </c>
      <c r="Q25" s="1"/>
      <c r="R25" s="1"/>
      <c r="S25" s="1"/>
    </row>
    <row r="26" spans="1:19" ht="12.5" x14ac:dyDescent="0.25">
      <c r="A26" s="2">
        <f ca="1">IFERROR(__xludf.DUMMYFUNCTION("""COMPUTED_VALUE"""),44911.5795081944)</f>
        <v>44911.579508194402</v>
      </c>
      <c r="B26" s="1" t="str">
        <f ca="1">IFERROR(__xludf.DUMMYFUNCTION("""COMPUTED_VALUE"""),"India")</f>
        <v>India</v>
      </c>
      <c r="C26" s="1">
        <f ca="1">IFERROR(__xludf.DUMMYFUNCTION("""COMPUTED_VALUE"""),731021)</f>
        <v>731021</v>
      </c>
      <c r="D26" s="1" t="str">
        <f ca="1">IFERROR(__xludf.DUMMYFUNCTION("""COMPUTED_VALUE"""),"Male")</f>
        <v>Male</v>
      </c>
      <c r="E26" s="1" t="str">
        <f ca="1">IFERROR(__xludf.DUMMYFUNCTION("""COMPUTED_VALUE"""),"People from my circle, but not family members")</f>
        <v>People from my circle, but not family members</v>
      </c>
      <c r="F26" s="1" t="str">
        <f ca="1">IFERROR(__xludf.DUMMYFUNCTION("""COMPUTED_VALUE"""),"No, But if someone could bare the cost I will")</f>
        <v>No, But if someone could bare the cost I will</v>
      </c>
      <c r="G26" s="1" t="str">
        <f ca="1">IFERROR(__xludf.DUMMYFUNCTION("""COMPUTED_VALUE"""),"Will work for 3 years or more")</f>
        <v>Will work for 3 years or more</v>
      </c>
      <c r="H26" s="1" t="str">
        <f ca="1">IFERROR(__xludf.DUMMYFUNCTION("""COMPUTED_VALUE"""),"No")</f>
        <v>No</v>
      </c>
      <c r="I26" s="1" t="str">
        <f ca="1">IFERROR(__xludf.DUMMYFUNCTION("""COMPUTED_VALUE"""),"Will NOT work for them")</f>
        <v>Will NOT work for them</v>
      </c>
      <c r="J26" s="1">
        <f ca="1">IFERROR(__xludf.DUMMYFUNCTION("""COMPUTED_VALUE"""),5)</f>
        <v>5</v>
      </c>
      <c r="K26" s="1" t="str">
        <f ca="1">IFERROR(__xludf.DUMMYFUNCTION("""COMPUTED_VALUE"""),"Hybrid Working Environment with less than 15 days a month at office")</f>
        <v>Hybrid Working Environment with less than 15 days a month at office</v>
      </c>
      <c r="L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6" s="1" t="str">
        <f ca="1">IFERROR(__xludf.DUMMYFUNCTION("""COMPUTED_VALUE"""),"Design and Creative strategy in any company, Manage and drive End-to-End Projects or Products, Design and Develop amazing software")</f>
        <v>Design and Creative strategy in any company, Manage and drive End-to-End Projects or Products, Design and Develop amazing software</v>
      </c>
      <c r="O26" s="1" t="str">
        <f ca="1">IFERROR(__xludf.DUMMYFUNCTION("""COMPUTED_VALUE"""),"Manager who explains what is expected, sets a goal and helps achieve it")</f>
        <v>Manager who explains what is expected, sets a goal and helps achieve it</v>
      </c>
      <c r="P26" s="1" t="str">
        <f ca="1">IFERROR(__xludf.DUMMYFUNCTION("""COMPUTED_VALUE"""),"Work with 5 to 6 people in my team")</f>
        <v>Work with 5 to 6 people in my team</v>
      </c>
      <c r="Q26" s="1"/>
      <c r="R26" s="1"/>
      <c r="S26" s="1"/>
    </row>
    <row r="27" spans="1:19" ht="12.5" x14ac:dyDescent="0.25">
      <c r="A27" s="2">
        <f ca="1">IFERROR(__xludf.DUMMYFUNCTION("""COMPUTED_VALUE"""),44911.586111875)</f>
        <v>44911.586111875004</v>
      </c>
      <c r="B27" s="1" t="str">
        <f ca="1">IFERROR(__xludf.DUMMYFUNCTION("""COMPUTED_VALUE"""),"India")</f>
        <v>India</v>
      </c>
      <c r="C27" s="1">
        <f ca="1">IFERROR(__xludf.DUMMYFUNCTION("""COMPUTED_VALUE"""),303007)</f>
        <v>303007</v>
      </c>
      <c r="D27" s="1" t="str">
        <f ca="1">IFERROR(__xludf.DUMMYFUNCTION("""COMPUTED_VALUE"""),"Male")</f>
        <v>Male</v>
      </c>
      <c r="E27" s="1" t="str">
        <f ca="1">IFERROR(__xludf.DUMMYFUNCTION("""COMPUTED_VALUE"""),"Influencers who had successful careers")</f>
        <v>Influencers who had successful careers</v>
      </c>
      <c r="F27" s="1" t="str">
        <f ca="1">IFERROR(__xludf.DUMMYFUNCTION("""COMPUTED_VALUE"""),"Yes, I will earn and do that")</f>
        <v>Yes, I will earn and do that</v>
      </c>
      <c r="G27" s="1" t="str">
        <f ca="1">IFERROR(__xludf.DUMMYFUNCTION("""COMPUTED_VALUE"""),"This will be hard to do, but if it is the right company I would try")</f>
        <v>This will be hard to do, but if it is the right company I would try</v>
      </c>
      <c r="H27" s="1" t="str">
        <f ca="1">IFERROR(__xludf.DUMMYFUNCTION("""COMPUTED_VALUE"""),"No")</f>
        <v>No</v>
      </c>
      <c r="I27" s="1" t="str">
        <f ca="1">IFERROR(__xludf.DUMMYFUNCTION("""COMPUTED_VALUE"""),"Will NOT work for them")</f>
        <v>Will NOT work for them</v>
      </c>
      <c r="J27" s="1">
        <f ca="1">IFERROR(__xludf.DUMMYFUNCTION("""COMPUTED_VALUE"""),1)</f>
        <v>1</v>
      </c>
      <c r="K27" s="1" t="str">
        <f ca="1">IFERROR(__xludf.DUMMYFUNCTION("""COMPUTED_VALUE"""),"Fully Remote with Options to travel as and when needed")</f>
        <v>Fully Remote with Options to travel as and when needed</v>
      </c>
      <c r="L27" s="1" t="str">
        <f ca="1">IFERROR(__xludf.DUMMYFUNCTION("""COMPUTED_VALUE"""),"Employer who appreciates learning and enables that environment")</f>
        <v>Employer who appreciates learning and enables that environment</v>
      </c>
      <c r="M27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7" s="1" t="str">
        <f ca="1">IFERROR(__xludf.DUMMYFUNCTION("""COMPUTED_VALUE"""),"Design and Creative strategy in any company, Business Operations in any organization, Work as a freelancer and do my thing my way")</f>
        <v>Design and Creative strategy in any company, Business Operations in any organization, Work as a freelancer and do my thing my way</v>
      </c>
      <c r="O27" s="1" t="str">
        <f ca="1">IFERROR(__xludf.DUMMYFUNCTION("""COMPUTED_VALUE"""),"Manager who sets goal and helps me achieve it")</f>
        <v>Manager who sets goal and helps me achieve it</v>
      </c>
      <c r="P27" s="1" t="str">
        <f ca="1">IFERROR(__xludf.DUMMYFUNCTION("""COMPUTED_VALUE"""),"Work with more than 10 people in my team")</f>
        <v>Work with more than 10 people in my team</v>
      </c>
      <c r="Q27" s="1"/>
      <c r="R27" s="1"/>
      <c r="S27" s="1"/>
    </row>
    <row r="28" spans="1:19" ht="12.5" x14ac:dyDescent="0.25">
      <c r="A28" s="2">
        <f ca="1">IFERROR(__xludf.DUMMYFUNCTION("""COMPUTED_VALUE"""),44911.587258912)</f>
        <v>44911.587258911997</v>
      </c>
      <c r="B28" s="1" t="str">
        <f ca="1">IFERROR(__xludf.DUMMYFUNCTION("""COMPUTED_VALUE"""),"India")</f>
        <v>India</v>
      </c>
      <c r="C28" s="1">
        <f ca="1">IFERROR(__xludf.DUMMYFUNCTION("""COMPUTED_VALUE"""),852201)</f>
        <v>852201</v>
      </c>
      <c r="D28" s="1" t="str">
        <f ca="1">IFERROR(__xludf.DUMMYFUNCTION("""COMPUTED_VALUE"""),"Female")</f>
        <v>Female</v>
      </c>
      <c r="E28" s="1" t="str">
        <f ca="1">IFERROR(__xludf.DUMMYFUNCTION("""COMPUTED_VALUE"""),"My Parents")</f>
        <v>My Parents</v>
      </c>
      <c r="F28" s="1" t="str">
        <f ca="1">IFERROR(__xludf.DUMMYFUNCTION("""COMPUTED_VALUE"""),"No I would not be pursuing Higher Education outside of India")</f>
        <v>No I would not be pursuing Higher Education outside of India</v>
      </c>
      <c r="G28" s="1" t="str">
        <f ca="1">IFERROR(__xludf.DUMMYFUNCTION("""COMPUTED_VALUE"""),"Will work for 3 years or more")</f>
        <v>Will work for 3 years or more</v>
      </c>
      <c r="H28" s="1" t="str">
        <f ca="1">IFERROR(__xludf.DUMMYFUNCTION("""COMPUTED_VALUE"""),"No")</f>
        <v>No</v>
      </c>
      <c r="I28" s="1" t="str">
        <f ca="1">IFERROR(__xludf.DUMMYFUNCTION("""COMPUTED_VALUE"""),"Will work for them")</f>
        <v>Will work for them</v>
      </c>
      <c r="J28" s="1">
        <f ca="1">IFERROR(__xludf.DUMMYFUNCTION("""COMPUTED_VALUE"""),6)</f>
        <v>6</v>
      </c>
      <c r="K28" s="1" t="str">
        <f ca="1">IFERROR(__xludf.DUMMYFUNCTION("""COMPUTED_VALUE"""),"Hybrid Working Environment with less than 3 days a month at office")</f>
        <v>Hybrid Working Environment with less than 3 days a month at office</v>
      </c>
      <c r="L28" s="1" t="str">
        <f ca="1">IFERROR(__xludf.DUMMYFUNCTION("""COMPUTED_VALUE"""),"Employer who appreciates learning and enables that environment")</f>
        <v>Employer who appreciates learning and enables that environment</v>
      </c>
      <c r="M28" s="1" t="str">
        <f ca="1">IFERROR(__xludf.DUMMYFUNCTION("""COMPUTED_VALUE"""),"Self Paced Learning Portals, Instructor or Expert Learning Programs")</f>
        <v>Self Paced Learning Portals, Instructor or Expert Learning Programs</v>
      </c>
      <c r="N28" s="1" t="str">
        <f ca="1">IFERROR(__xludf.DUMMYFUNCTION("""COMPUTED_VALUE"""),"Design and Creative strategy in any company, Business Operations in any organization, Design and Develop amazing software")</f>
        <v>Design and Creative strategy in any company, Business Operations in any organization, Design and Develop amazing software</v>
      </c>
      <c r="O28" s="1" t="str">
        <f ca="1">IFERROR(__xludf.DUMMYFUNCTION("""COMPUTED_VALUE"""),"Manager who sets targets and expects me to achieve it")</f>
        <v>Manager who sets targets and expects me to achieve it</v>
      </c>
      <c r="P28" s="1" t="str">
        <f ca="1">IFERROR(__xludf.DUMMYFUNCTION("""COMPUTED_VALUE"""),"Work with 5 to 6 people in my team")</f>
        <v>Work with 5 to 6 people in my team</v>
      </c>
      <c r="Q28" s="1"/>
      <c r="R28" s="1"/>
      <c r="S28" s="1"/>
    </row>
    <row r="29" spans="1:19" ht="12.5" x14ac:dyDescent="0.25">
      <c r="A29" s="2">
        <f ca="1">IFERROR(__xludf.DUMMYFUNCTION("""COMPUTED_VALUE"""),44911.5904140625)</f>
        <v>44911.590414062499</v>
      </c>
      <c r="B29" s="1" t="str">
        <f ca="1">IFERROR(__xludf.DUMMYFUNCTION("""COMPUTED_VALUE"""),"United Arab Emirates")</f>
        <v>United Arab Emirates</v>
      </c>
      <c r="C29" s="1">
        <f ca="1">IFERROR(__xludf.DUMMYFUNCTION("""COMPUTED_VALUE"""),27287)</f>
        <v>27287</v>
      </c>
      <c r="D29" s="1" t="str">
        <f ca="1">IFERROR(__xludf.DUMMYFUNCTION("""COMPUTED_VALUE"""),"Female")</f>
        <v>Female</v>
      </c>
      <c r="E29" s="1" t="str">
        <f ca="1">IFERROR(__xludf.DUMMYFUNCTION("""COMPUTED_VALUE"""),"My Parents")</f>
        <v>My Parents</v>
      </c>
      <c r="F29" s="1" t="str">
        <f ca="1">IFERROR(__xludf.DUMMYFUNCTION("""COMPUTED_VALUE"""),"Yes, I will earn and do that")</f>
        <v>Yes, I will earn and do that</v>
      </c>
      <c r="G29" s="1" t="str">
        <f ca="1">IFERROR(__xludf.DUMMYFUNCTION("""COMPUTED_VALUE"""),"This will be hard to do, but if it is the right company I would try")</f>
        <v>This will be hard to do, but if it is the right company I would try</v>
      </c>
      <c r="H29" s="1" t="str">
        <f ca="1">IFERROR(__xludf.DUMMYFUNCTION("""COMPUTED_VALUE"""),"No")</f>
        <v>No</v>
      </c>
      <c r="I29" s="1" t="str">
        <f ca="1">IFERROR(__xludf.DUMMYFUNCTION("""COMPUTED_VALUE"""),"Will NOT work for them")</f>
        <v>Will NOT work for them</v>
      </c>
      <c r="J29" s="1">
        <f ca="1">IFERROR(__xludf.DUMMYFUNCTION("""COMPUTED_VALUE"""),6)</f>
        <v>6</v>
      </c>
      <c r="K29" s="1" t="str">
        <f ca="1">IFERROR(__xludf.DUMMYFUNCTION("""COMPUTED_VALUE"""),"Hybrid Working Environment with less than 15 days a month at office")</f>
        <v>Hybrid Working Environment with less than 15 days a month at office</v>
      </c>
      <c r="L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9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9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9" s="1" t="str">
        <f ca="1">IFERROR(__xludf.DUMMYFUNCTION("""COMPUTED_VALUE"""),"Manager who explains what is expected, sets a goal and helps achieve it")</f>
        <v>Manager who explains what is expected, sets a goal and helps achieve it</v>
      </c>
      <c r="P29" s="1" t="str">
        <f ca="1">IFERROR(__xludf.DUMMYFUNCTION("""COMPUTED_VALUE"""),"Work with 2 to 3 people in my team")</f>
        <v>Work with 2 to 3 people in my team</v>
      </c>
      <c r="Q29" s="1"/>
      <c r="R29" s="1"/>
      <c r="S29" s="1"/>
    </row>
    <row r="30" spans="1:19" ht="12.5" x14ac:dyDescent="0.25">
      <c r="A30" s="2">
        <f ca="1">IFERROR(__xludf.DUMMYFUNCTION("""COMPUTED_VALUE"""),44911.5985923495)</f>
        <v>44911.598592349503</v>
      </c>
      <c r="B30" s="1" t="str">
        <f ca="1">IFERROR(__xludf.DUMMYFUNCTION("""COMPUTED_VALUE"""),"India")</f>
        <v>India</v>
      </c>
      <c r="C30" s="1">
        <f ca="1">IFERROR(__xludf.DUMMYFUNCTION("""COMPUTED_VALUE"""),700063)</f>
        <v>700063</v>
      </c>
      <c r="D30" s="1" t="str">
        <f ca="1">IFERROR(__xludf.DUMMYFUNCTION("""COMPUTED_VALUE"""),"Male")</f>
        <v>Male</v>
      </c>
      <c r="E30" s="1" t="str">
        <f ca="1">IFERROR(__xludf.DUMMYFUNCTION("""COMPUTED_VALUE"""),"People who have changed the world for better")</f>
        <v>People who have changed the world for better</v>
      </c>
      <c r="F30" s="1" t="str">
        <f ca="1">IFERROR(__xludf.DUMMYFUNCTION("""COMPUTED_VALUE"""),"Yes, I will earn and do that")</f>
        <v>Yes, I will earn and do that</v>
      </c>
      <c r="G30" s="1" t="str">
        <f ca="1">IFERROR(__xludf.DUMMYFUNCTION("""COMPUTED_VALUE"""),"This will be hard to do, but if it is the right company I would try")</f>
        <v>This will be hard to do, but if it is the right company I would try</v>
      </c>
      <c r="H30" s="1" t="str">
        <f ca="1">IFERROR(__xludf.DUMMYFUNCTION("""COMPUTED_VALUE"""),"No")</f>
        <v>No</v>
      </c>
      <c r="I30" s="1" t="str">
        <f ca="1">IFERROR(__xludf.DUMMYFUNCTION("""COMPUTED_VALUE"""),"Will NOT work for them")</f>
        <v>Will NOT work for them</v>
      </c>
      <c r="J30" s="1">
        <f ca="1">IFERROR(__xludf.DUMMYFUNCTION("""COMPUTED_VALUE"""),5)</f>
        <v>5</v>
      </c>
      <c r="K30" s="1" t="str">
        <f ca="1">IFERROR(__xludf.DUMMYFUNCTION("""COMPUTED_VALUE"""),"Fully Remote with Options to travel as and when needed")</f>
        <v>Fully Remote with Options to travel as and when needed</v>
      </c>
      <c r="L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0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0" s="1" t="str">
        <f ca="1">IFERROR(__xludf.DUMMYFUNCTION("""COMPUTED_VALUE"""),"Teaching in any of the institutes/online or Offline, Look deeply into Data and generate insights, Work as a freelancer and do my thing my way")</f>
        <v>Teaching in any of the institutes/online or Offline, Look deeply into Data and generate insights, Work as a freelancer and do my thing my way</v>
      </c>
      <c r="O30" s="1" t="str">
        <f ca="1">IFERROR(__xludf.DUMMYFUNCTION("""COMPUTED_VALUE"""),"Manager who explains what is expected, sets a goal and helps achieve it")</f>
        <v>Manager who explains what is expected, sets a goal and helps achieve it</v>
      </c>
      <c r="P30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30" s="1"/>
      <c r="R30" s="1"/>
      <c r="S30" s="1"/>
    </row>
    <row r="31" spans="1:19" ht="12.5" x14ac:dyDescent="0.25">
      <c r="A31" s="2">
        <f ca="1">IFERROR(__xludf.DUMMYFUNCTION("""COMPUTED_VALUE"""),44911.6073545833)</f>
        <v>44911.607354583299</v>
      </c>
      <c r="B31" s="1" t="str">
        <f ca="1">IFERROR(__xludf.DUMMYFUNCTION("""COMPUTED_VALUE"""),"India")</f>
        <v>India</v>
      </c>
      <c r="C31" s="1">
        <f ca="1">IFERROR(__xludf.DUMMYFUNCTION("""COMPUTED_VALUE"""),577528)</f>
        <v>577528</v>
      </c>
      <c r="D31" s="1" t="str">
        <f ca="1">IFERROR(__xludf.DUMMYFUNCTION("""COMPUTED_VALUE"""),"Male")</f>
        <v>Male</v>
      </c>
      <c r="E31" s="1" t="str">
        <f ca="1">IFERROR(__xludf.DUMMYFUNCTION("""COMPUTED_VALUE"""),"Social Media like LinkedIn")</f>
        <v>Social Media like LinkedIn</v>
      </c>
      <c r="F31" s="1" t="str">
        <f ca="1">IFERROR(__xludf.DUMMYFUNCTION("""COMPUTED_VALUE"""),"Yes, I will earn and do that")</f>
        <v>Yes, I will earn and do that</v>
      </c>
      <c r="G31" s="1" t="str">
        <f ca="1">IFERROR(__xludf.DUMMYFUNCTION("""COMPUTED_VALUE"""),"This will be hard to do, but if it is the right company I would try")</f>
        <v>This will be hard to do, but if it is the right company I would try</v>
      </c>
      <c r="H31" s="1" t="str">
        <f ca="1">IFERROR(__xludf.DUMMYFUNCTION("""COMPUTED_VALUE"""),"Yes")</f>
        <v>Yes</v>
      </c>
      <c r="I31" s="1" t="str">
        <f ca="1">IFERROR(__xludf.DUMMYFUNCTION("""COMPUTED_VALUE"""),"Will work for them")</f>
        <v>Will work for them</v>
      </c>
      <c r="J31" s="1">
        <f ca="1">IFERROR(__xludf.DUMMYFUNCTION("""COMPUTED_VALUE"""),1)</f>
        <v>1</v>
      </c>
      <c r="K31" s="1" t="str">
        <f ca="1">IFERROR(__xludf.DUMMYFUNCTION("""COMPUTED_VALUE"""),"Every Day Office Environment")</f>
        <v>Every Day Office Environment</v>
      </c>
      <c r="L31" s="1" t="str">
        <f ca="1">IFERROR(__xludf.DUMMYFUNCTION("""COMPUTED_VALUE"""),"Employer who appreciates learning and enables that environment")</f>
        <v>Employer who appreciates learning and enables that environment</v>
      </c>
      <c r="M31" s="1" t="str">
        <f ca="1">IFERROR(__xludf.DUMMYFUNCTION("""COMPUTED_VALUE"""),"Instructor or Expert Learning Programs, Learning by observing others")</f>
        <v>Instructor or Expert Learning Programs, Learning by observing others</v>
      </c>
      <c r="N31" s="1" t="str">
        <f ca="1">IFERROR(__xludf.DUMMYFUNCTION("""COMPUTED_VALUE"""),"Design and Creative strategy in any company, Business Operations in any organization, Become a content Creator in some platform")</f>
        <v>Design and Creative strategy in any company, Business Operations in any organization, Become a content Creator in some platform</v>
      </c>
      <c r="O31" s="1" t="str">
        <f ca="1">IFERROR(__xludf.DUMMYFUNCTION("""COMPUTED_VALUE"""),"Manager who sets targets and expects me to achieve it")</f>
        <v>Manager who sets targets and expects me to achieve it</v>
      </c>
      <c r="P31" s="1" t="str">
        <f ca="1">IFERROR(__xludf.DUMMYFUNCTION("""COMPUTED_VALUE"""),"Work with more than 10 people in my team")</f>
        <v>Work with more than 10 people in my team</v>
      </c>
      <c r="Q31" s="1"/>
      <c r="R31" s="1"/>
      <c r="S31" s="1"/>
    </row>
    <row r="32" spans="1:19" ht="12.5" x14ac:dyDescent="0.25">
      <c r="A32" s="2">
        <f ca="1">IFERROR(__xludf.DUMMYFUNCTION("""COMPUTED_VALUE"""),44911.6114646875)</f>
        <v>44911.611464687499</v>
      </c>
      <c r="B32" s="1" t="str">
        <f ca="1">IFERROR(__xludf.DUMMYFUNCTION("""COMPUTED_VALUE"""),"India")</f>
        <v>India</v>
      </c>
      <c r="C32" s="1">
        <f ca="1">IFERROR(__xludf.DUMMYFUNCTION("""COMPUTED_VALUE"""),122003)</f>
        <v>122003</v>
      </c>
      <c r="D32" s="1" t="str">
        <f ca="1">IFERROR(__xludf.DUMMYFUNCTION("""COMPUTED_VALUE"""),"Male")</f>
        <v>Male</v>
      </c>
      <c r="E32" s="1" t="str">
        <f ca="1">IFERROR(__xludf.DUMMYFUNCTION("""COMPUTED_VALUE"""),"My Parents")</f>
        <v>My Parents</v>
      </c>
      <c r="F32" s="1" t="str">
        <f ca="1">IFERROR(__xludf.DUMMYFUNCTION("""COMPUTED_VALUE"""),"Yes, I will earn and do that")</f>
        <v>Yes, I will earn and do that</v>
      </c>
      <c r="G32" s="1" t="str">
        <f ca="1">IFERROR(__xludf.DUMMYFUNCTION("""COMPUTED_VALUE"""),"Will work for 3 years or more")</f>
        <v>Will work for 3 years or more</v>
      </c>
      <c r="H32" s="1" t="str">
        <f ca="1">IFERROR(__xludf.DUMMYFUNCTION("""COMPUTED_VALUE"""),"No")</f>
        <v>No</v>
      </c>
      <c r="I32" s="1" t="str">
        <f ca="1">IFERROR(__xludf.DUMMYFUNCTION("""COMPUTED_VALUE"""),"Will NOT work for them")</f>
        <v>Will NOT work for them</v>
      </c>
      <c r="J32" s="1">
        <f ca="1">IFERROR(__xludf.DUMMYFUNCTION("""COMPUTED_VALUE"""),7)</f>
        <v>7</v>
      </c>
      <c r="K32" s="1" t="str">
        <f ca="1">IFERROR(__xludf.DUMMYFUNCTION("""COMPUTED_VALUE"""),"Every Day Office Environment")</f>
        <v>Every Day Office Environment</v>
      </c>
      <c r="L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2" s="1" t="str">
        <f ca="1">IFERROR(__xludf.DUMMYFUNCTION("""COMPUTED_VALUE"""),"Instructor or Expert Learning Programs, Learning by observing others")</f>
        <v>Instructor or Expert Learning Programs, Learning by observing others</v>
      </c>
      <c r="N32" s="1" t="str">
        <f ca="1">IFERROR(__xludf.DUMMYFUNCTION("""COMPUTED_VALUE"""),"Design and Creative strategy in any company, Build and develop a Team, Look deeply into Data and generate insights")</f>
        <v>Design and Creative strategy in any company, Build and develop a Team, Look deeply into Data and generate insights</v>
      </c>
      <c r="O32" s="1" t="str">
        <f ca="1">IFERROR(__xludf.DUMMYFUNCTION("""COMPUTED_VALUE"""),"Manager who explains what is expected, sets a goal and helps achieve it")</f>
        <v>Manager who explains what is expected, sets a goal and helps achieve it</v>
      </c>
      <c r="P32" s="1" t="str">
        <f ca="1">IFERROR(__xludf.DUMMYFUNCTION("""COMPUTED_VALUE"""),"Work alone, Work with 2 to 3 people in my team")</f>
        <v>Work alone, Work with 2 to 3 people in my team</v>
      </c>
      <c r="Q32" s="1"/>
      <c r="R32" s="1"/>
      <c r="S32" s="1"/>
    </row>
    <row r="33" spans="1:19" ht="12.5" x14ac:dyDescent="0.25">
      <c r="A33" s="2">
        <f ca="1">IFERROR(__xludf.DUMMYFUNCTION("""COMPUTED_VALUE"""),44911.614053449)</f>
        <v>44911.614053448997</v>
      </c>
      <c r="B33" s="1" t="str">
        <f ca="1">IFERROR(__xludf.DUMMYFUNCTION("""COMPUTED_VALUE"""),"India")</f>
        <v>India</v>
      </c>
      <c r="C33" s="1">
        <f ca="1">IFERROR(__xludf.DUMMYFUNCTION("""COMPUTED_VALUE"""),122003)</f>
        <v>122003</v>
      </c>
      <c r="D33" s="1" t="str">
        <f ca="1">IFERROR(__xludf.DUMMYFUNCTION("""COMPUTED_VALUE"""),"Male")</f>
        <v>Male</v>
      </c>
      <c r="E33" s="1" t="str">
        <f ca="1">IFERROR(__xludf.DUMMYFUNCTION("""COMPUTED_VALUE"""),"People who have changed the world for better")</f>
        <v>People who have changed the world for better</v>
      </c>
      <c r="F33" s="1" t="str">
        <f ca="1">IFERROR(__xludf.DUMMYFUNCTION("""COMPUTED_VALUE"""),"Yes, I will earn and do that")</f>
        <v>Yes, I will earn and do that</v>
      </c>
      <c r="G33" s="1" t="str">
        <f ca="1">IFERROR(__xludf.DUMMYFUNCTION("""COMPUTED_VALUE"""),"This will be hard to do, but if it is the right company I would try")</f>
        <v>This will be hard to do, but if it is the right company I would try</v>
      </c>
      <c r="H33" s="1" t="str">
        <f ca="1">IFERROR(__xludf.DUMMYFUNCTION("""COMPUTED_VALUE"""),"No")</f>
        <v>No</v>
      </c>
      <c r="I33" s="1" t="str">
        <f ca="1">IFERROR(__xludf.DUMMYFUNCTION("""COMPUTED_VALUE"""),"Will NOT work for them")</f>
        <v>Will NOT work for them</v>
      </c>
      <c r="J33" s="1">
        <f ca="1">IFERROR(__xludf.DUMMYFUNCTION("""COMPUTED_VALUE"""),1)</f>
        <v>1</v>
      </c>
      <c r="K33" s="1" t="str">
        <f ca="1">IFERROR(__xludf.DUMMYFUNCTION("""COMPUTED_VALUE"""),"Hybrid Working Environment with less than 10 days a month at office")</f>
        <v>Hybrid Working Environment with less than 10 days a month at office</v>
      </c>
      <c r="L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3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33" s="1" t="str">
        <f ca="1">IFERROR(__xludf.DUMMYFUNCTION("""COMPUTED_VALUE"""),"Manager who explains what is expected, sets a goal and helps achieve it")</f>
        <v>Manager who explains what is expected, sets a goal and helps achieve it</v>
      </c>
      <c r="P33" s="1" t="str">
        <f ca="1">IFERROR(__xludf.DUMMYFUNCTION("""COMPUTED_VALUE"""),"Work with 5 to 6 people in my team")</f>
        <v>Work with 5 to 6 people in my team</v>
      </c>
      <c r="Q33" s="1"/>
      <c r="R33" s="1"/>
      <c r="S33" s="1"/>
    </row>
    <row r="34" spans="1:19" ht="12.5" x14ac:dyDescent="0.25">
      <c r="A34" s="2">
        <f ca="1">IFERROR(__xludf.DUMMYFUNCTION("""COMPUTED_VALUE"""),44911.6160341666)</f>
        <v>44911.616034166596</v>
      </c>
      <c r="B34" s="1" t="str">
        <f ca="1">IFERROR(__xludf.DUMMYFUNCTION("""COMPUTED_VALUE"""),"India")</f>
        <v>India</v>
      </c>
      <c r="C34" s="1">
        <f ca="1">IFERROR(__xludf.DUMMYFUNCTION("""COMPUTED_VALUE"""),440002)</f>
        <v>440002</v>
      </c>
      <c r="D34" s="1" t="str">
        <f ca="1">IFERROR(__xludf.DUMMYFUNCTION("""COMPUTED_VALUE"""),"Male")</f>
        <v>Male</v>
      </c>
      <c r="E34" s="1" t="str">
        <f ca="1">IFERROR(__xludf.DUMMYFUNCTION("""COMPUTED_VALUE"""),"Influencers who had successful careers")</f>
        <v>Influencers who had successful careers</v>
      </c>
      <c r="F34" s="1" t="str">
        <f ca="1">IFERROR(__xludf.DUMMYFUNCTION("""COMPUTED_VALUE"""),"No, But if someone could bare the cost I will")</f>
        <v>No, But if someone could bare the cost I will</v>
      </c>
      <c r="G34" s="1" t="str">
        <f ca="1">IFERROR(__xludf.DUMMYFUNCTION("""COMPUTED_VALUE"""),"Will work for 3 years or more")</f>
        <v>Will work for 3 years or more</v>
      </c>
      <c r="H34" s="1" t="str">
        <f ca="1">IFERROR(__xludf.DUMMYFUNCTION("""COMPUTED_VALUE"""),"No")</f>
        <v>No</v>
      </c>
      <c r="I34" s="1" t="str">
        <f ca="1">IFERROR(__xludf.DUMMYFUNCTION("""COMPUTED_VALUE"""),"Will NOT work for them")</f>
        <v>Will NOT work for them</v>
      </c>
      <c r="J34" s="1">
        <f ca="1">IFERROR(__xludf.DUMMYFUNCTION("""COMPUTED_VALUE"""),7)</f>
        <v>7</v>
      </c>
      <c r="K34" s="1" t="str">
        <f ca="1">IFERROR(__xludf.DUMMYFUNCTION("""COMPUTED_VALUE"""),"Hybrid Working Environment with less than 15 days a month at office")</f>
        <v>Hybrid Working Environment with less than 15 days a month at office</v>
      </c>
      <c r="L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4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34" s="1" t="str">
        <f ca="1">IFERROR(__xludf.DUMMYFUNCTION("""COMPUTED_VALUE"""),"Manager who sets goal and helps me achieve it")</f>
        <v>Manager who sets goal and helps me achieve it</v>
      </c>
      <c r="P34" s="1" t="str">
        <f ca="1">IFERROR(__xludf.DUMMYFUNCTION("""COMPUTED_VALUE"""),"Work with 2 to 3 people in my team, Work with 5 to 6 people in my team")</f>
        <v>Work with 2 to 3 people in my team, Work with 5 to 6 people in my team</v>
      </c>
      <c r="Q34" s="1"/>
      <c r="R34" s="1"/>
      <c r="S34" s="1"/>
    </row>
    <row r="35" spans="1:19" ht="12.5" x14ac:dyDescent="0.25">
      <c r="A35" s="2">
        <f ca="1">IFERROR(__xludf.DUMMYFUNCTION("""COMPUTED_VALUE"""),44911.6168346875)</f>
        <v>44911.616834687498</v>
      </c>
      <c r="B35" s="1" t="str">
        <f ca="1">IFERROR(__xludf.DUMMYFUNCTION("""COMPUTED_VALUE"""),"India")</f>
        <v>India</v>
      </c>
      <c r="C35" s="1">
        <f ca="1">IFERROR(__xludf.DUMMYFUNCTION("""COMPUTED_VALUE"""),852201)</f>
        <v>852201</v>
      </c>
      <c r="D35" s="1" t="str">
        <f ca="1">IFERROR(__xludf.DUMMYFUNCTION("""COMPUTED_VALUE"""),"Female")</f>
        <v>Female</v>
      </c>
      <c r="E35" s="1" t="str">
        <f ca="1">IFERROR(__xludf.DUMMYFUNCTION("""COMPUTED_VALUE"""),"People who have changed the world for better")</f>
        <v>People who have changed the world for better</v>
      </c>
      <c r="F35" s="1" t="str">
        <f ca="1">IFERROR(__xludf.DUMMYFUNCTION("""COMPUTED_VALUE"""),"No, But if someone could bare the cost I will")</f>
        <v>No, But if someone could bare the cost I will</v>
      </c>
      <c r="G35" s="1" t="str">
        <f ca="1">IFERROR(__xludf.DUMMYFUNCTION("""COMPUTED_VALUE"""),"This will be hard to do, but if it is the right company I would try")</f>
        <v>This will be hard to do, but if it is the right company I would try</v>
      </c>
      <c r="H35" s="1" t="str">
        <f ca="1">IFERROR(__xludf.DUMMYFUNCTION("""COMPUTED_VALUE"""),"No")</f>
        <v>No</v>
      </c>
      <c r="I35" s="1" t="str">
        <f ca="1">IFERROR(__xludf.DUMMYFUNCTION("""COMPUTED_VALUE"""),"Will NOT work for them")</f>
        <v>Will NOT work for them</v>
      </c>
      <c r="J35" s="1">
        <f ca="1">IFERROR(__xludf.DUMMYFUNCTION("""COMPUTED_VALUE"""),5)</f>
        <v>5</v>
      </c>
      <c r="K35" s="1" t="str">
        <f ca="1">IFERROR(__xludf.DUMMYFUNCTION("""COMPUTED_VALUE"""),"Fully Remote with No option to visit offices")</f>
        <v>Fully Remote with No option to visit offices</v>
      </c>
      <c r="L3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5" s="1" t="str">
        <f ca="1">IFERROR(__xludf.DUMMYFUNCTION("""COMPUTED_VALUE"""),"Self Paced Learning Portals, Instructor or Expert Learning Programs")</f>
        <v>Self Paced Learning Portals, Instructor or Expert Learning Programs</v>
      </c>
      <c r="N35" s="1" t="str">
        <f ca="1">IFERROR(__xludf.DUMMYFUNCTION("""COMPUTED_VALUE"""),"Teaching in any of the institutes/online or Offline, Work as a freelancer and do my thing my way, Become a content Creator in some platform")</f>
        <v>Teaching in any of the institutes/online or Offline, Work as a freelancer and do my thing my way, Become a content Creator in some platform</v>
      </c>
      <c r="O35" s="1" t="str">
        <f ca="1">IFERROR(__xludf.DUMMYFUNCTION("""COMPUTED_VALUE"""),"Manager who explains what is expected, sets a goal and helps achieve it")</f>
        <v>Manager who explains what is expected, sets a goal and helps achieve it</v>
      </c>
      <c r="P35" s="1" t="str">
        <f ca="1">IFERROR(__xludf.DUMMYFUNCTION("""COMPUTED_VALUE"""),"Work alone, Work with 2 to 3 people in my team")</f>
        <v>Work alone, Work with 2 to 3 people in my team</v>
      </c>
      <c r="Q35" s="1"/>
      <c r="R35" s="1"/>
      <c r="S35" s="1"/>
    </row>
    <row r="36" spans="1:19" ht="12.5" x14ac:dyDescent="0.25">
      <c r="A36" s="2">
        <f ca="1">IFERROR(__xludf.DUMMYFUNCTION("""COMPUTED_VALUE"""),44911.6174134606)</f>
        <v>44911.617413460597</v>
      </c>
      <c r="B36" s="1" t="str">
        <f ca="1">IFERROR(__xludf.DUMMYFUNCTION("""COMPUTED_VALUE"""),"India")</f>
        <v>India</v>
      </c>
      <c r="C36" s="1">
        <f ca="1">IFERROR(__xludf.DUMMYFUNCTION("""COMPUTED_VALUE"""),465674)</f>
        <v>465674</v>
      </c>
      <c r="D36" s="1" t="str">
        <f ca="1">IFERROR(__xludf.DUMMYFUNCTION("""COMPUTED_VALUE"""),"Female")</f>
        <v>Female</v>
      </c>
      <c r="E36" s="1" t="str">
        <f ca="1">IFERROR(__xludf.DUMMYFUNCTION("""COMPUTED_VALUE"""),"My Parents")</f>
        <v>My Parents</v>
      </c>
      <c r="F36" s="1" t="str">
        <f ca="1">IFERROR(__xludf.DUMMYFUNCTION("""COMPUTED_VALUE"""),"No I would not be pursuing Higher Education outside of India")</f>
        <v>No I would not be pursuing Higher Education outside of India</v>
      </c>
      <c r="G36" s="1" t="str">
        <f ca="1">IFERROR(__xludf.DUMMYFUNCTION("""COMPUTED_VALUE"""),"This will be hard to do, but if it is the right company I would try")</f>
        <v>This will be hard to do, but if it is the right company I would try</v>
      </c>
      <c r="H36" s="1" t="str">
        <f ca="1">IFERROR(__xludf.DUMMYFUNCTION("""COMPUTED_VALUE"""),"No")</f>
        <v>No</v>
      </c>
      <c r="I36" s="1" t="str">
        <f ca="1">IFERROR(__xludf.DUMMYFUNCTION("""COMPUTED_VALUE"""),"Will NOT work for them")</f>
        <v>Will NOT work for them</v>
      </c>
      <c r="J36" s="1">
        <f ca="1">IFERROR(__xludf.DUMMYFUNCTION("""COMPUTED_VALUE"""),10)</f>
        <v>10</v>
      </c>
      <c r="K36" s="1" t="str">
        <f ca="1">IFERROR(__xludf.DUMMYFUNCTION("""COMPUTED_VALUE"""),"Hybrid Working Environment with less than 10 days a month at office")</f>
        <v>Hybrid Working Environment with less than 10 days a month at office</v>
      </c>
      <c r="L36" s="1" t="str">
        <f ca="1">IFERROR(__xludf.DUMMYFUNCTION("""COMPUTED_VALUE"""),"Employer who appreciates learning and enables that environment")</f>
        <v>Employer who appreciates learning and enables that environment</v>
      </c>
      <c r="M36" s="1" t="str">
        <f ca="1">IFERROR(__xludf.DUMMYFUNCTION("""COMPUTED_VALUE"""),"Self Paced Learning Portals, Instructor or Expert Learning Programs")</f>
        <v>Self Paced Learning Portals, Instructor or Expert Learning Programs</v>
      </c>
      <c r="N36" s="1" t="str">
        <f ca="1">IFERROR(__xludf.DUMMYFUNCTION("""COMPUTED_VALUE"""),"Design and Creative strategy in any company, Build and develop a Team, Look deeply into Data and generate insights")</f>
        <v>Design and Creative strategy in any company, Build and develop a Team, Look deeply into Data and generate insights</v>
      </c>
      <c r="O36" s="1" t="str">
        <f ca="1">IFERROR(__xludf.DUMMYFUNCTION("""COMPUTED_VALUE"""),"Manager who sets targets and expects me to achieve it")</f>
        <v>Manager who sets targets and expects me to achieve it</v>
      </c>
      <c r="P36" s="1" t="str">
        <f ca="1">IFERROR(__xludf.DUMMYFUNCTION("""COMPUTED_VALUE"""),"Work with 2 to 3 people in my team")</f>
        <v>Work with 2 to 3 people in my team</v>
      </c>
      <c r="Q36" s="1"/>
      <c r="R36" s="1"/>
      <c r="S36" s="1"/>
    </row>
    <row r="37" spans="1:19" ht="12.5" x14ac:dyDescent="0.25">
      <c r="A37" s="2">
        <f ca="1">IFERROR(__xludf.DUMMYFUNCTION("""COMPUTED_VALUE"""),44911.6268969675)</f>
        <v>44911.6268969675</v>
      </c>
      <c r="B37" s="1" t="str">
        <f ca="1">IFERROR(__xludf.DUMMYFUNCTION("""COMPUTED_VALUE"""),"India")</f>
        <v>India</v>
      </c>
      <c r="C37" s="1">
        <f ca="1">IFERROR(__xludf.DUMMYFUNCTION("""COMPUTED_VALUE"""),561203)</f>
        <v>561203</v>
      </c>
      <c r="D37" s="1" t="str">
        <f ca="1">IFERROR(__xludf.DUMMYFUNCTION("""COMPUTED_VALUE"""),"Male")</f>
        <v>Male</v>
      </c>
      <c r="E37" s="1" t="str">
        <f ca="1">IFERROR(__xludf.DUMMYFUNCTION("""COMPUTED_VALUE"""),"Influencers who had successful careers")</f>
        <v>Influencers who had successful careers</v>
      </c>
      <c r="F37" s="1" t="str">
        <f ca="1">IFERROR(__xludf.DUMMYFUNCTION("""COMPUTED_VALUE"""),"Yes, I will earn and do that")</f>
        <v>Yes, I will earn and do that</v>
      </c>
      <c r="G37" s="1" t="str">
        <f ca="1">IFERROR(__xludf.DUMMYFUNCTION("""COMPUTED_VALUE"""),"No way, 3 years with one employer is crazy")</f>
        <v>No way, 3 years with one employer is crazy</v>
      </c>
      <c r="H37" s="1" t="str">
        <f ca="1">IFERROR(__xludf.DUMMYFUNCTION("""COMPUTED_VALUE"""),"No")</f>
        <v>No</v>
      </c>
      <c r="I37" s="1" t="str">
        <f ca="1">IFERROR(__xludf.DUMMYFUNCTION("""COMPUTED_VALUE"""),"Will NOT work for them")</f>
        <v>Will NOT work for them</v>
      </c>
      <c r="J37" s="1">
        <f ca="1">IFERROR(__xludf.DUMMYFUNCTION("""COMPUTED_VALUE"""),6)</f>
        <v>6</v>
      </c>
      <c r="K37" s="1" t="str">
        <f ca="1">IFERROR(__xludf.DUMMYFUNCTION("""COMPUTED_VALUE"""),"Hybrid Working Environment with less than 3 days a month at office")</f>
        <v>Hybrid Working Environment with less than 3 days a month at office</v>
      </c>
      <c r="L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7" s="1" t="str">
        <f ca="1">IFERROR(__xludf.DUMMYFUNCTION("""COMPUTED_VALUE"""),"Self Paced Learning Portals, Learning by observing others")</f>
        <v>Self Paced Learning Portals, Learning by observing others</v>
      </c>
      <c r="N37" s="1" t="str">
        <f ca="1">IFERROR(__xludf.DUMMYFUNCTION("""COMPUTED_VALUE"""),"Teaching in any of the institutes/online or Offline, Design and Develop amazing software, Work as a freelancer and do my thing my way")</f>
        <v>Teaching in any of the institutes/online or Offline, Design and Develop amazing software, Work as a freelancer and do my thing my way</v>
      </c>
      <c r="O37" s="1" t="str">
        <f ca="1">IFERROR(__xludf.DUMMYFUNCTION("""COMPUTED_VALUE"""),"Manager who clearly describes what she/he needs")</f>
        <v>Manager who clearly describes what she/he needs</v>
      </c>
      <c r="P37" s="1" t="str">
        <f ca="1">IFERROR(__xludf.DUMMYFUNCTION("""COMPUTED_VALUE"""),"Work with 2 to 3 people in my team")</f>
        <v>Work with 2 to 3 people in my team</v>
      </c>
      <c r="Q37" s="1"/>
      <c r="R37" s="1"/>
      <c r="S37" s="1"/>
    </row>
    <row r="38" spans="1:19" ht="12.5" x14ac:dyDescent="0.25">
      <c r="A38" s="2">
        <f ca="1">IFERROR(__xludf.DUMMYFUNCTION("""COMPUTED_VALUE"""),44911.6297329282)</f>
        <v>44911.629732928202</v>
      </c>
      <c r="B38" s="1" t="str">
        <f ca="1">IFERROR(__xludf.DUMMYFUNCTION("""COMPUTED_VALUE"""),"India")</f>
        <v>India</v>
      </c>
      <c r="C38" s="1">
        <f ca="1">IFERROR(__xludf.DUMMYFUNCTION("""COMPUTED_VALUE"""),577004)</f>
        <v>577004</v>
      </c>
      <c r="D38" s="1" t="str">
        <f ca="1">IFERROR(__xludf.DUMMYFUNCTION("""COMPUTED_VALUE"""),"Female")</f>
        <v>Female</v>
      </c>
      <c r="E38" s="1" t="str">
        <f ca="1">IFERROR(__xludf.DUMMYFUNCTION("""COMPUTED_VALUE"""),"Influencers who had successful careers")</f>
        <v>Influencers who had successful careers</v>
      </c>
      <c r="F38" s="1" t="str">
        <f ca="1">IFERROR(__xludf.DUMMYFUNCTION("""COMPUTED_VALUE"""),"Yes, I will earn and do that")</f>
        <v>Yes, I will earn and do that</v>
      </c>
      <c r="G38" s="1" t="str">
        <f ca="1">IFERROR(__xludf.DUMMYFUNCTION("""COMPUTED_VALUE"""),"This will be hard to do, but if it is the right company I would try")</f>
        <v>This will be hard to do, but if it is the right company I would try</v>
      </c>
      <c r="H38" s="1" t="str">
        <f ca="1">IFERROR(__xludf.DUMMYFUNCTION("""COMPUTED_VALUE"""),"No")</f>
        <v>No</v>
      </c>
      <c r="I38" s="1" t="str">
        <f ca="1">IFERROR(__xludf.DUMMYFUNCTION("""COMPUTED_VALUE"""),"Will NOT work for them")</f>
        <v>Will NOT work for them</v>
      </c>
      <c r="J38" s="1">
        <f ca="1">IFERROR(__xludf.DUMMYFUNCTION("""COMPUTED_VALUE"""),5)</f>
        <v>5</v>
      </c>
      <c r="K38" s="1" t="str">
        <f ca="1">IFERROR(__xludf.DUMMYFUNCTION("""COMPUTED_VALUE"""),"Every Day Office Environment")</f>
        <v>Every Day Office Environment</v>
      </c>
      <c r="L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8" s="1" t="str">
        <f ca="1">IFERROR(__xludf.DUMMYFUNCTION("""COMPUTED_VALUE"""),"Self Paced Learning Portals, Learning by observing others")</f>
        <v>Self Paced Learning Portals, Learning by observing others</v>
      </c>
      <c r="N38" s="1" t="str">
        <f ca="1">IFERROR(__xludf.DUMMYFUNCTION("""COMPUTED_VALUE"""),"Design and Creative strategy in any company, Business Operations in any organization, Work as a freelancer and do my thing my way")</f>
        <v>Design and Creative strategy in any company, Business Operations in any organization, Work as a freelancer and do my thing my way</v>
      </c>
      <c r="O38" s="1" t="str">
        <f ca="1">IFERROR(__xludf.DUMMYFUNCTION("""COMPUTED_VALUE"""),"Manager who explains what is expected, sets a goal and helps achieve it")</f>
        <v>Manager who explains what is expected, sets a goal and helps achieve it</v>
      </c>
      <c r="P38" s="1" t="str">
        <f ca="1">IFERROR(__xludf.DUMMYFUNCTION("""COMPUTED_VALUE"""),"Work with 5 to 6 people in my team")</f>
        <v>Work with 5 to 6 people in my team</v>
      </c>
      <c r="Q38" s="1"/>
      <c r="R38" s="1"/>
      <c r="S38" s="1"/>
    </row>
    <row r="39" spans="1:19" ht="12.5" x14ac:dyDescent="0.25">
      <c r="A39" s="2">
        <f ca="1">IFERROR(__xludf.DUMMYFUNCTION("""COMPUTED_VALUE"""),44911.6302436226)</f>
        <v>44911.630243622603</v>
      </c>
      <c r="B39" s="1" t="str">
        <f ca="1">IFERROR(__xludf.DUMMYFUNCTION("""COMPUTED_VALUE"""),"India")</f>
        <v>India</v>
      </c>
      <c r="C39" s="1">
        <f ca="1">IFERROR(__xludf.DUMMYFUNCTION("""COMPUTED_VALUE"""),826004)</f>
        <v>826004</v>
      </c>
      <c r="D39" s="1" t="str">
        <f ca="1">IFERROR(__xludf.DUMMYFUNCTION("""COMPUTED_VALUE"""),"Male")</f>
        <v>Male</v>
      </c>
      <c r="E39" s="1" t="str">
        <f ca="1">IFERROR(__xludf.DUMMYFUNCTION("""COMPUTED_VALUE"""),"People who have changed the world for better")</f>
        <v>People who have changed the world for better</v>
      </c>
      <c r="F39" s="1" t="str">
        <f ca="1">IFERROR(__xludf.DUMMYFUNCTION("""COMPUTED_VALUE"""),"Yes, I will earn and do that")</f>
        <v>Yes, I will earn and do that</v>
      </c>
      <c r="G39" s="1" t="str">
        <f ca="1">IFERROR(__xludf.DUMMYFUNCTION("""COMPUTED_VALUE"""),"Will work for 3 years or more")</f>
        <v>Will work for 3 years or more</v>
      </c>
      <c r="H39" s="1" t="str">
        <f ca="1">IFERROR(__xludf.DUMMYFUNCTION("""COMPUTED_VALUE"""),"No")</f>
        <v>No</v>
      </c>
      <c r="I39" s="1" t="str">
        <f ca="1">IFERROR(__xludf.DUMMYFUNCTION("""COMPUTED_VALUE"""),"Will NOT work for them")</f>
        <v>Will NOT work for them</v>
      </c>
      <c r="J39" s="1">
        <f ca="1">IFERROR(__xludf.DUMMYFUNCTION("""COMPUTED_VALUE"""),4)</f>
        <v>4</v>
      </c>
      <c r="K39" s="1" t="str">
        <f ca="1">IFERROR(__xludf.DUMMYFUNCTION("""COMPUTED_VALUE"""),"Every Day Office Environment")</f>
        <v>Every Day Office Environment</v>
      </c>
      <c r="L39" s="1" t="str">
        <f ca="1">IFERROR(__xludf.DUMMYFUNCTION("""COMPUTED_VALUE"""),"Employer who appreciates learning and enables that environment")</f>
        <v>Employer who appreciates learning and enables that environment</v>
      </c>
      <c r="M39" s="1" t="str">
        <f ca="1">IFERROR(__xludf.DUMMYFUNCTION("""COMPUTED_VALUE"""),"Self Paced Learning Portals, Instructor or Expert Learning Programs")</f>
        <v>Self Paced Learning Portals, Instructor or Expert Learning Programs</v>
      </c>
      <c r="N39" s="1" t="str">
        <f ca="1">IFERROR(__xludf.DUMMYFUNCTION("""COMPUTED_VALUE"""),"Teaching in any of the institutes/online or Offline, Work as a freelancer and do my thing my way, Become a content Creator in some platform")</f>
        <v>Teaching in any of the institutes/online or Offline, Work as a freelancer and do my thing my way, Become a content Creator in some platform</v>
      </c>
      <c r="O39" s="1" t="str">
        <f ca="1">IFERROR(__xludf.DUMMYFUNCTION("""COMPUTED_VALUE"""),"Manager who clearly describes what she/he needs")</f>
        <v>Manager who clearly describes what she/he needs</v>
      </c>
      <c r="P39" s="1" t="str">
        <f ca="1">IFERROR(__xludf.DUMMYFUNCTION("""COMPUTED_VALUE"""),"Work with 2 to 3 people in my team")</f>
        <v>Work with 2 to 3 people in my team</v>
      </c>
      <c r="Q39" s="1"/>
      <c r="R39" s="1"/>
      <c r="S39" s="1"/>
    </row>
    <row r="40" spans="1:19" ht="12.5" x14ac:dyDescent="0.25">
      <c r="A40" s="2">
        <f ca="1">IFERROR(__xludf.DUMMYFUNCTION("""COMPUTED_VALUE"""),44911.6429490393)</f>
        <v>44911.642949039298</v>
      </c>
      <c r="B40" s="1" t="str">
        <f ca="1">IFERROR(__xludf.DUMMYFUNCTION("""COMPUTED_VALUE"""),"India")</f>
        <v>India</v>
      </c>
      <c r="C40" s="1">
        <f ca="1">IFERROR(__xludf.DUMMYFUNCTION("""COMPUTED_VALUE"""),826004)</f>
        <v>826004</v>
      </c>
      <c r="D40" s="1" t="str">
        <f ca="1">IFERROR(__xludf.DUMMYFUNCTION("""COMPUTED_VALUE"""),"Male")</f>
        <v>Male</v>
      </c>
      <c r="E40" s="1" t="str">
        <f ca="1">IFERROR(__xludf.DUMMYFUNCTION("""COMPUTED_VALUE"""),"My Parents")</f>
        <v>My Parents</v>
      </c>
      <c r="F40" s="1" t="str">
        <f ca="1">IFERROR(__xludf.DUMMYFUNCTION("""COMPUTED_VALUE"""),"Yes, I will earn and do that")</f>
        <v>Yes, I will earn and do that</v>
      </c>
      <c r="G40" s="1" t="str">
        <f ca="1">IFERROR(__xludf.DUMMYFUNCTION("""COMPUTED_VALUE"""),"This will be hard to do, but if it is the right company I would try")</f>
        <v>This will be hard to do, but if it is the right company I would try</v>
      </c>
      <c r="H40" s="1" t="str">
        <f ca="1">IFERROR(__xludf.DUMMYFUNCTION("""COMPUTED_VALUE"""),"No")</f>
        <v>No</v>
      </c>
      <c r="I40" s="1" t="str">
        <f ca="1">IFERROR(__xludf.DUMMYFUNCTION("""COMPUTED_VALUE"""),"Will NOT work for them")</f>
        <v>Will NOT work for them</v>
      </c>
      <c r="J40" s="1">
        <f ca="1">IFERROR(__xludf.DUMMYFUNCTION("""COMPUTED_VALUE"""),7)</f>
        <v>7</v>
      </c>
      <c r="K40" s="1" t="str">
        <f ca="1">IFERROR(__xludf.DUMMYFUNCTION("""COMPUTED_VALUE"""),"Hybrid Working Environment with less than 15 days a month at office")</f>
        <v>Hybrid Working Environment with less than 15 days a month at office</v>
      </c>
      <c r="L40" s="1" t="str">
        <f ca="1">IFERROR(__xludf.DUMMYFUNCTION("""COMPUTED_VALUE"""),"Employer who appreciates learning and enables that environment")</f>
        <v>Employer who appreciates learning and enables that environment</v>
      </c>
      <c r="M40" s="1" t="str">
        <f ca="1">IFERROR(__xludf.DUMMYFUNCTION("""COMPUTED_VALUE"""),"Instructor or Expert Learning Programs, Learning by observing others")</f>
        <v>Instructor or Expert Learning Programs, Learning by observing others</v>
      </c>
      <c r="N40" s="1" t="str">
        <f ca="1">IFERROR(__xludf.DUMMYFUNCTION("""COMPUTED_VALUE"""),"Design and Creative strategy in any company, Teaching in any of the institutes/online or Offline, Manage and drive End-to-End Projects or Products")</f>
        <v>Design and Creative strategy in any company, Teaching in any of the institutes/online or Offline, Manage and drive End-to-End Projects or Products</v>
      </c>
      <c r="O40" s="1" t="str">
        <f ca="1">IFERROR(__xludf.DUMMYFUNCTION("""COMPUTED_VALUE"""),"Manager who explains what is expected, sets a goal and helps achieve it")</f>
        <v>Manager who explains what is expected, sets a goal and helps achieve it</v>
      </c>
      <c r="P40" s="1" t="str">
        <f ca="1">IFERROR(__xludf.DUMMYFUNCTION("""COMPUTED_VALUE"""),"Work alone, Work with 2 to 3 people in my team")</f>
        <v>Work alone, Work with 2 to 3 people in my team</v>
      </c>
      <c r="Q40" s="1"/>
      <c r="R40" s="1"/>
      <c r="S40" s="1"/>
    </row>
    <row r="41" spans="1:19" ht="12.5" x14ac:dyDescent="0.25">
      <c r="A41" s="2">
        <f ca="1">IFERROR(__xludf.DUMMYFUNCTION("""COMPUTED_VALUE"""),44911.645580706)</f>
        <v>44911.645580705997</v>
      </c>
      <c r="B41" s="1" t="str">
        <f ca="1">IFERROR(__xludf.DUMMYFUNCTION("""COMPUTED_VALUE"""),"India")</f>
        <v>India</v>
      </c>
      <c r="C41" s="1">
        <f ca="1">IFERROR(__xludf.DUMMYFUNCTION("""COMPUTED_VALUE"""),515003)</f>
        <v>515003</v>
      </c>
      <c r="D41" s="1" t="str">
        <f ca="1">IFERROR(__xludf.DUMMYFUNCTION("""COMPUTED_VALUE"""),"Male")</f>
        <v>Male</v>
      </c>
      <c r="E41" s="1" t="str">
        <f ca="1">IFERROR(__xludf.DUMMYFUNCTION("""COMPUTED_VALUE"""),"My Parents")</f>
        <v>My Parents</v>
      </c>
      <c r="F41" s="1" t="str">
        <f ca="1">IFERROR(__xludf.DUMMYFUNCTION("""COMPUTED_VALUE"""),"No I would not be pursuing Higher Education outside of India")</f>
        <v>No I would not be pursuing Higher Education outside of India</v>
      </c>
      <c r="G41" s="1" t="str">
        <f ca="1">IFERROR(__xludf.DUMMYFUNCTION("""COMPUTED_VALUE"""),"Will work for 3 years or more")</f>
        <v>Will work for 3 years or more</v>
      </c>
      <c r="H41" s="1" t="str">
        <f ca="1">IFERROR(__xludf.DUMMYFUNCTION("""COMPUTED_VALUE"""),"No")</f>
        <v>No</v>
      </c>
      <c r="I41" s="1" t="str">
        <f ca="1">IFERROR(__xludf.DUMMYFUNCTION("""COMPUTED_VALUE"""),"Will NOT work for them")</f>
        <v>Will NOT work for them</v>
      </c>
      <c r="J41" s="1">
        <f ca="1">IFERROR(__xludf.DUMMYFUNCTION("""COMPUTED_VALUE"""),8)</f>
        <v>8</v>
      </c>
      <c r="K41" s="1" t="str">
        <f ca="1">IFERROR(__xludf.DUMMYFUNCTION("""COMPUTED_VALUE"""),"Every Day Office Environment")</f>
        <v>Every Day Office Environment</v>
      </c>
      <c r="L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1" s="1" t="str">
        <f ca="1">IFERROR(__xludf.DUMMYFUNCTION("""COMPUTED_VALUE"""),"Instructor or Expert Learning Programs, Learning by observing others")</f>
        <v>Instructor or Expert Learning Programs, Learning by observing others</v>
      </c>
      <c r="N41" s="1" t="str">
        <f ca="1">IFERROR(__xludf.DUMMYFUNCTION("""COMPUTED_VALUE"""),"Design and Creative strategy in any company, Teaching in any of the institutes/online or Offline, Design and Develop amazing software")</f>
        <v>Design and Creative strategy in any company, Teaching in any of the institutes/online or Offline, Design and Develop amazing software</v>
      </c>
      <c r="O41" s="1" t="str">
        <f ca="1">IFERROR(__xludf.DUMMYFUNCTION("""COMPUTED_VALUE"""),"Manager who explains what is expected, sets a goal and helps achieve it")</f>
        <v>Manager who explains what is expected, sets a goal and helps achieve it</v>
      </c>
      <c r="P41" s="1" t="str">
        <f ca="1">IFERROR(__xludf.DUMMYFUNCTION("""COMPUTED_VALUE"""),"Work with 2 to 3 people in my team")</f>
        <v>Work with 2 to 3 people in my team</v>
      </c>
      <c r="Q41" s="1"/>
      <c r="R41" s="1"/>
      <c r="S41" s="1"/>
    </row>
    <row r="42" spans="1:19" ht="12.5" x14ac:dyDescent="0.25">
      <c r="A42" s="2">
        <f ca="1">IFERROR(__xludf.DUMMYFUNCTION("""COMPUTED_VALUE"""),44911.6464124305)</f>
        <v>44911.646412430498</v>
      </c>
      <c r="B42" s="1" t="str">
        <f ca="1">IFERROR(__xludf.DUMMYFUNCTION("""COMPUTED_VALUE"""),"India")</f>
        <v>India</v>
      </c>
      <c r="C42" s="1">
        <f ca="1">IFERROR(__xludf.DUMMYFUNCTION("""COMPUTED_VALUE"""),496001)</f>
        <v>496001</v>
      </c>
      <c r="D42" s="1" t="str">
        <f ca="1">IFERROR(__xludf.DUMMYFUNCTION("""COMPUTED_VALUE"""),"Male")</f>
        <v>Male</v>
      </c>
      <c r="E42" s="1" t="str">
        <f ca="1">IFERROR(__xludf.DUMMYFUNCTION("""COMPUTED_VALUE"""),"My Parents")</f>
        <v>My Parents</v>
      </c>
      <c r="F42" s="1" t="str">
        <f ca="1">IFERROR(__xludf.DUMMYFUNCTION("""COMPUTED_VALUE"""),"Yes, I will earn and do that")</f>
        <v>Yes, I will earn and do that</v>
      </c>
      <c r="G42" s="1" t="str">
        <f ca="1">IFERROR(__xludf.DUMMYFUNCTION("""COMPUTED_VALUE"""),"This will be hard to do, but if it is the right company I would try")</f>
        <v>This will be hard to do, but if it is the right company I would try</v>
      </c>
      <c r="H42" s="1" t="str">
        <f ca="1">IFERROR(__xludf.DUMMYFUNCTION("""COMPUTED_VALUE"""),"No")</f>
        <v>No</v>
      </c>
      <c r="I42" s="1" t="str">
        <f ca="1">IFERROR(__xludf.DUMMYFUNCTION("""COMPUTED_VALUE"""),"Will NOT work for them")</f>
        <v>Will NOT work for them</v>
      </c>
      <c r="J42" s="1">
        <f ca="1">IFERROR(__xludf.DUMMYFUNCTION("""COMPUTED_VALUE"""),2)</f>
        <v>2</v>
      </c>
      <c r="K42" s="1" t="str">
        <f ca="1">IFERROR(__xludf.DUMMYFUNCTION("""COMPUTED_VALUE"""),"Hybrid Working Environment with less than 10 days a month at office")</f>
        <v>Hybrid Working Environment with less than 10 days a month at office</v>
      </c>
      <c r="L42" s="1" t="str">
        <f ca="1">IFERROR(__xludf.DUMMYFUNCTION("""COMPUTED_VALUE"""),"Employer who appreciates learning and enables that environment")</f>
        <v>Employer who appreciates learning and enables that environment</v>
      </c>
      <c r="M42" s="1" t="str">
        <f ca="1">IFERROR(__xludf.DUMMYFUNCTION("""COMPUTED_VALUE"""),"Instructor or Expert Learning Programs, Learning by observing others")</f>
        <v>Instructor or Expert Learning Programs, Learning by observing others</v>
      </c>
      <c r="N42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42" s="1" t="str">
        <f ca="1">IFERROR(__xludf.DUMMYFUNCTION("""COMPUTED_VALUE"""),"Manager who sets goal and helps me achieve it")</f>
        <v>Manager who sets goal and helps me achieve it</v>
      </c>
      <c r="P42" s="1" t="str">
        <f ca="1">IFERROR(__xludf.DUMMYFUNCTION("""COMPUTED_VALUE"""),"Work with 2 to 3 people in my team")</f>
        <v>Work with 2 to 3 people in my team</v>
      </c>
      <c r="Q42" s="1"/>
      <c r="R42" s="1"/>
      <c r="S42" s="1"/>
    </row>
    <row r="43" spans="1:19" ht="12.5" x14ac:dyDescent="0.25">
      <c r="A43" s="2">
        <f ca="1">IFERROR(__xludf.DUMMYFUNCTION("""COMPUTED_VALUE"""),44911.6466687615)</f>
        <v>44911.646668761503</v>
      </c>
      <c r="B43" s="1" t="str">
        <f ca="1">IFERROR(__xludf.DUMMYFUNCTION("""COMPUTED_VALUE"""),"India")</f>
        <v>India</v>
      </c>
      <c r="C43" s="1">
        <f ca="1">IFERROR(__xludf.DUMMYFUNCTION("""COMPUTED_VALUE"""),713104)</f>
        <v>713104</v>
      </c>
      <c r="D43" s="1" t="str">
        <f ca="1">IFERROR(__xludf.DUMMYFUNCTION("""COMPUTED_VALUE"""),"Male")</f>
        <v>Male</v>
      </c>
      <c r="E43" s="1" t="str">
        <f ca="1">IFERROR(__xludf.DUMMYFUNCTION("""COMPUTED_VALUE"""),"People who have changed the world for better")</f>
        <v>People who have changed the world for better</v>
      </c>
      <c r="F43" s="1" t="str">
        <f ca="1">IFERROR(__xludf.DUMMYFUNCTION("""COMPUTED_VALUE"""),"Yes, I will earn and do that")</f>
        <v>Yes, I will earn and do that</v>
      </c>
      <c r="G43" s="1" t="str">
        <f ca="1">IFERROR(__xludf.DUMMYFUNCTION("""COMPUTED_VALUE"""),"Will work for 3 years or more")</f>
        <v>Will work for 3 years or more</v>
      </c>
      <c r="H43" s="1" t="str">
        <f ca="1">IFERROR(__xludf.DUMMYFUNCTION("""COMPUTED_VALUE"""),"No")</f>
        <v>No</v>
      </c>
      <c r="I43" s="1" t="str">
        <f ca="1">IFERROR(__xludf.DUMMYFUNCTION("""COMPUTED_VALUE"""),"Will NOT work for them")</f>
        <v>Will NOT work for them</v>
      </c>
      <c r="J43" s="1">
        <f ca="1">IFERROR(__xludf.DUMMYFUNCTION("""COMPUTED_VALUE"""),5)</f>
        <v>5</v>
      </c>
      <c r="K43" s="1" t="str">
        <f ca="1">IFERROR(__xludf.DUMMYFUNCTION("""COMPUTED_VALUE"""),"Fully Remote with No option to visit offices")</f>
        <v>Fully Remote with No option to visit offices</v>
      </c>
      <c r="L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3" s="1" t="str">
        <f ca="1">IFERROR(__xludf.DUMMYFUNCTION("""COMPUTED_VALUE"""),"Self Paced Learning Portals, Instructor or Expert Learning Programs")</f>
        <v>Self Paced Learning Portals, Instructor or Expert Learning Programs</v>
      </c>
      <c r="N43" s="1" t="str">
        <f ca="1">IFERROR(__xludf.DUMMYFUNCTION("""COMPUTED_VALUE"""),"Design and Creative strategy in any company, Manage and drive End-to-End Projects or Products, Build and develop a Team")</f>
        <v>Design and Creative strategy in any company, Manage and drive End-to-End Projects or Products, Build and develop a Team</v>
      </c>
      <c r="O43" s="1" t="str">
        <f ca="1">IFERROR(__xludf.DUMMYFUNCTION("""COMPUTED_VALUE"""),"Manager who explains what is expected, sets a goal and helps achieve it")</f>
        <v>Manager who explains what is expected, sets a goal and helps achieve it</v>
      </c>
      <c r="P43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43" s="1"/>
      <c r="R43" s="1"/>
      <c r="S43" s="1"/>
    </row>
    <row r="44" spans="1:19" ht="12.5" x14ac:dyDescent="0.25">
      <c r="A44" s="2">
        <f ca="1">IFERROR(__xludf.DUMMYFUNCTION("""COMPUTED_VALUE"""),44911.6467276157)</f>
        <v>44911.646727615698</v>
      </c>
      <c r="B44" s="1" t="str">
        <f ca="1">IFERROR(__xludf.DUMMYFUNCTION("""COMPUTED_VALUE"""),"India")</f>
        <v>India</v>
      </c>
      <c r="C44" s="1">
        <f ca="1">IFERROR(__xludf.DUMMYFUNCTION("""COMPUTED_VALUE"""),416001)</f>
        <v>416001</v>
      </c>
      <c r="D44" s="1" t="str">
        <f ca="1">IFERROR(__xludf.DUMMYFUNCTION("""COMPUTED_VALUE"""),"Male")</f>
        <v>Male</v>
      </c>
      <c r="E44" s="1" t="str">
        <f ca="1">IFERROR(__xludf.DUMMYFUNCTION("""COMPUTED_VALUE"""),"My Parents")</f>
        <v>My Parents</v>
      </c>
      <c r="F44" s="1" t="str">
        <f ca="1">IFERROR(__xludf.DUMMYFUNCTION("""COMPUTED_VALUE"""),"No I would not be pursuing Higher Education outside of India")</f>
        <v>No I would not be pursuing Higher Education outside of India</v>
      </c>
      <c r="G44" s="1" t="str">
        <f ca="1">IFERROR(__xludf.DUMMYFUNCTION("""COMPUTED_VALUE"""),"This will be hard to do, but if it is the right company I would try")</f>
        <v>This will be hard to do, but if it is the right company I would try</v>
      </c>
      <c r="H44" s="1" t="str">
        <f ca="1">IFERROR(__xludf.DUMMYFUNCTION("""COMPUTED_VALUE"""),"Yes")</f>
        <v>Yes</v>
      </c>
      <c r="I44" s="1" t="str">
        <f ca="1">IFERROR(__xludf.DUMMYFUNCTION("""COMPUTED_VALUE"""),"Will NOT work for them")</f>
        <v>Will NOT work for them</v>
      </c>
      <c r="J44" s="1">
        <f ca="1">IFERROR(__xludf.DUMMYFUNCTION("""COMPUTED_VALUE"""),10)</f>
        <v>10</v>
      </c>
      <c r="K44" s="1" t="str">
        <f ca="1">IFERROR(__xludf.DUMMYFUNCTION("""COMPUTED_VALUE"""),"Fully Remote with Options to travel as and when needed")</f>
        <v>Fully Remote with Options to travel as and when needed</v>
      </c>
      <c r="L44" s="1" t="str">
        <f ca="1">IFERROR(__xludf.DUMMYFUNCTION("""COMPUTED_VALUE"""),"Employer who appreciates learning and enables that environment")</f>
        <v>Employer who appreciates learning and enables that environment</v>
      </c>
      <c r="M4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44" s="1" t="str">
        <f ca="1">IFERROR(__xludf.DUMMYFUNCTION("""COMPUTED_VALUE"""),"Business Operations in any organization, Work as a freelancer and do my thing my way, Become a content Creator in some platform")</f>
        <v>Business Operations in any organization, Work as a freelancer and do my thing my way, Become a content Creator in some platform</v>
      </c>
      <c r="O44" s="1" t="str">
        <f ca="1">IFERROR(__xludf.DUMMYFUNCTION("""COMPUTED_VALUE"""),"Manager who explains what is expected, sets a goal and helps achieve it")</f>
        <v>Manager who explains what is expected, sets a goal and helps achieve it</v>
      </c>
      <c r="P4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44" s="1"/>
      <c r="R44" s="1"/>
      <c r="S44" s="1"/>
    </row>
    <row r="45" spans="1:19" ht="12.5" x14ac:dyDescent="0.25">
      <c r="A45" s="2">
        <f ca="1">IFERROR(__xludf.DUMMYFUNCTION("""COMPUTED_VALUE"""),44911.6480711574)</f>
        <v>44911.648071157397</v>
      </c>
      <c r="B45" s="1" t="str">
        <f ca="1">IFERROR(__xludf.DUMMYFUNCTION("""COMPUTED_VALUE"""),"India")</f>
        <v>India</v>
      </c>
      <c r="C45" s="1">
        <f ca="1">IFERROR(__xludf.DUMMYFUNCTION("""COMPUTED_VALUE"""),826004)</f>
        <v>826004</v>
      </c>
      <c r="D45" s="1" t="str">
        <f ca="1">IFERROR(__xludf.DUMMYFUNCTION("""COMPUTED_VALUE"""),"Male")</f>
        <v>Male</v>
      </c>
      <c r="E45" s="1" t="str">
        <f ca="1">IFERROR(__xludf.DUMMYFUNCTION("""COMPUTED_VALUE"""),"People who have changed the world for better")</f>
        <v>People who have changed the world for better</v>
      </c>
      <c r="F45" s="1" t="str">
        <f ca="1">IFERROR(__xludf.DUMMYFUNCTION("""COMPUTED_VALUE"""),"No, But if someone could bare the cost I will")</f>
        <v>No, But if someone could bare the cost I will</v>
      </c>
      <c r="G45" s="1" t="str">
        <f ca="1">IFERROR(__xludf.DUMMYFUNCTION("""COMPUTED_VALUE"""),"This will be hard to do, but if it is the right company I would try")</f>
        <v>This will be hard to do, but if it is the right company I would try</v>
      </c>
      <c r="H45" s="1" t="str">
        <f ca="1">IFERROR(__xludf.DUMMYFUNCTION("""COMPUTED_VALUE"""),"No")</f>
        <v>No</v>
      </c>
      <c r="I45" s="1" t="str">
        <f ca="1">IFERROR(__xludf.DUMMYFUNCTION("""COMPUTED_VALUE"""),"Will NOT work for them")</f>
        <v>Will NOT work for them</v>
      </c>
      <c r="J45" s="1">
        <f ca="1">IFERROR(__xludf.DUMMYFUNCTION("""COMPUTED_VALUE"""),4)</f>
        <v>4</v>
      </c>
      <c r="K45" s="1" t="str">
        <f ca="1">IFERROR(__xludf.DUMMYFUNCTION("""COMPUTED_VALUE"""),"Hybrid Working Environment with less than 15 days a month at office")</f>
        <v>Hybrid Working Environment with less than 15 days a month at office</v>
      </c>
      <c r="L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5" s="1" t="str">
        <f ca="1">IFERROR(__xludf.DUMMYFUNCTION("""COMPUTED_VALUE"""),"Self Paced Learning Portals, Learning by observing others")</f>
        <v>Self Paced Learning Portals, Learning by observing others</v>
      </c>
      <c r="N45" s="1" t="str">
        <f ca="1">IFERROR(__xludf.DUMMYFUNCTION("""COMPUTED_VALUE"""),"Design and Creative strategy in any company, Teaching in any of the institutes/online or Offline, Look deeply into Data and generate insights")</f>
        <v>Design and Creative strategy in any company, Teaching in any of the institutes/online or Offline, Look deeply into Data and generate insights</v>
      </c>
      <c r="O45" s="1" t="str">
        <f ca="1">IFERROR(__xludf.DUMMYFUNCTION("""COMPUTED_VALUE"""),"Manager who explains what is expected, sets a goal and helps achieve it")</f>
        <v>Manager who explains what is expected, sets a goal and helps achieve it</v>
      </c>
      <c r="P45" s="1" t="str">
        <f ca="1">IFERROR(__xludf.DUMMYFUNCTION("""COMPUTED_VALUE"""),"Work alone, Work with 2 to 3 people in my team")</f>
        <v>Work alone, Work with 2 to 3 people in my team</v>
      </c>
      <c r="Q45" s="1"/>
      <c r="R45" s="1"/>
      <c r="S45" s="1"/>
    </row>
    <row r="46" spans="1:19" ht="12.5" x14ac:dyDescent="0.25">
      <c r="A46" s="2">
        <f ca="1">IFERROR(__xludf.DUMMYFUNCTION("""COMPUTED_VALUE"""),44911.6489670717)</f>
        <v>44911.648967071698</v>
      </c>
      <c r="B46" s="1" t="str">
        <f ca="1">IFERROR(__xludf.DUMMYFUNCTION("""COMPUTED_VALUE"""),"India")</f>
        <v>India</v>
      </c>
      <c r="C46" s="1">
        <f ca="1">IFERROR(__xludf.DUMMYFUNCTION("""COMPUTED_VALUE"""),110088)</f>
        <v>110088</v>
      </c>
      <c r="D46" s="1" t="str">
        <f ca="1">IFERROR(__xludf.DUMMYFUNCTION("""COMPUTED_VALUE"""),"Male")</f>
        <v>Male</v>
      </c>
      <c r="E46" s="1" t="str">
        <f ca="1">IFERROR(__xludf.DUMMYFUNCTION("""COMPUTED_VALUE"""),"People from my circle, but not family members")</f>
        <v>People from my circle, but not family members</v>
      </c>
      <c r="F46" s="1" t="str">
        <f ca="1">IFERROR(__xludf.DUMMYFUNCTION("""COMPUTED_VALUE"""),"Yes, I will earn and do that")</f>
        <v>Yes, I will earn and do that</v>
      </c>
      <c r="G46" s="1" t="str">
        <f ca="1">IFERROR(__xludf.DUMMYFUNCTION("""COMPUTED_VALUE"""),"Will work for 3 years or more")</f>
        <v>Will work for 3 years or more</v>
      </c>
      <c r="H46" s="1" t="str">
        <f ca="1">IFERROR(__xludf.DUMMYFUNCTION("""COMPUTED_VALUE"""),"Yes")</f>
        <v>Yes</v>
      </c>
      <c r="I46" s="1" t="str">
        <f ca="1">IFERROR(__xludf.DUMMYFUNCTION("""COMPUTED_VALUE"""),"Will work for them")</f>
        <v>Will work for them</v>
      </c>
      <c r="J46" s="1">
        <f ca="1">IFERROR(__xludf.DUMMYFUNCTION("""COMPUTED_VALUE"""),8)</f>
        <v>8</v>
      </c>
      <c r="K46" s="1" t="str">
        <f ca="1">IFERROR(__xludf.DUMMYFUNCTION("""COMPUTED_VALUE"""),"Hybrid Working Environment with less than 10 days a month at office")</f>
        <v>Hybrid Working Environment with less than 10 days a month at office</v>
      </c>
      <c r="L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6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46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46" s="1" t="str">
        <f ca="1">IFERROR(__xludf.DUMMYFUNCTION("""COMPUTED_VALUE"""),"Manager who explains what is expected, sets a goal and helps achieve it")</f>
        <v>Manager who explains what is expected, sets a goal and helps achieve it</v>
      </c>
      <c r="P46" s="1" t="str">
        <f ca="1">IFERROR(__xludf.DUMMYFUNCTION("""COMPUTED_VALUE"""),"Work with more than 10 people in my team")</f>
        <v>Work with more than 10 people in my team</v>
      </c>
      <c r="Q46" s="1"/>
      <c r="R46" s="1"/>
      <c r="S46" s="1"/>
    </row>
    <row r="47" spans="1:19" ht="12.5" x14ac:dyDescent="0.25">
      <c r="A47" s="2">
        <f ca="1">IFERROR(__xludf.DUMMYFUNCTION("""COMPUTED_VALUE"""),44911.6541017129)</f>
        <v>44911.654101712898</v>
      </c>
      <c r="B47" s="1" t="str">
        <f ca="1">IFERROR(__xludf.DUMMYFUNCTION("""COMPUTED_VALUE"""),"India")</f>
        <v>India</v>
      </c>
      <c r="C47" s="1">
        <f ca="1">IFERROR(__xludf.DUMMYFUNCTION("""COMPUTED_VALUE"""),110016)</f>
        <v>110016</v>
      </c>
      <c r="D47" s="1" t="str">
        <f ca="1">IFERROR(__xludf.DUMMYFUNCTION("""COMPUTED_VALUE"""),"Female")</f>
        <v>Female</v>
      </c>
      <c r="E47" s="1" t="str">
        <f ca="1">IFERROR(__xludf.DUMMYFUNCTION("""COMPUTED_VALUE"""),"My Parents")</f>
        <v>My Parents</v>
      </c>
      <c r="F47" s="1" t="str">
        <f ca="1">IFERROR(__xludf.DUMMYFUNCTION("""COMPUTED_VALUE"""),"No, But if someone could bare the cost I will")</f>
        <v>No, But if someone could bare the cost I will</v>
      </c>
      <c r="G47" s="1" t="str">
        <f ca="1">IFERROR(__xludf.DUMMYFUNCTION("""COMPUTED_VALUE"""),"This will be hard to do, but if it is the right company I would try")</f>
        <v>This will be hard to do, but if it is the right company I would try</v>
      </c>
      <c r="H47" s="1" t="str">
        <f ca="1">IFERROR(__xludf.DUMMYFUNCTION("""COMPUTED_VALUE"""),"No")</f>
        <v>No</v>
      </c>
      <c r="I47" s="1" t="str">
        <f ca="1">IFERROR(__xludf.DUMMYFUNCTION("""COMPUTED_VALUE"""),"Will NOT work for them")</f>
        <v>Will NOT work for them</v>
      </c>
      <c r="J47" s="1">
        <f ca="1">IFERROR(__xludf.DUMMYFUNCTION("""COMPUTED_VALUE"""),8)</f>
        <v>8</v>
      </c>
      <c r="K47" s="1" t="str">
        <f ca="1">IFERROR(__xludf.DUMMYFUNCTION("""COMPUTED_VALUE"""),"Hybrid Working Environment with less than 15 days a month at office")</f>
        <v>Hybrid Working Environment with less than 15 days a month at office</v>
      </c>
      <c r="L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47" s="1" t="str">
        <f ca="1">IFERROR(__xludf.DUMMYFUNCTION("""COMPUTED_VALUE"""),"Teaching in any of the institutes/online or Offline, Manage and drive End-to-End Projects or Products, Look deeply into Data and generate insights")</f>
        <v>Teaching in any of the institutes/online or Offline, Manage and drive End-to-End Projects or Products, Look deeply into Data and generate insights</v>
      </c>
      <c r="O47" s="1" t="str">
        <f ca="1">IFERROR(__xludf.DUMMYFUNCTION("""COMPUTED_VALUE"""),"Manager who explains what is expected, sets a goal and helps achieve it")</f>
        <v>Manager who explains what is expected, sets a goal and helps achieve it</v>
      </c>
      <c r="P47" s="1" t="str">
        <f ca="1">IFERROR(__xludf.DUMMYFUNCTION("""COMPUTED_VALUE"""),"Work with 2 to 3 people in my team, Work with 5 to 6 people in my team")</f>
        <v>Work with 2 to 3 people in my team, Work with 5 to 6 people in my team</v>
      </c>
      <c r="Q47" s="1"/>
      <c r="R47" s="1"/>
      <c r="S47" s="1"/>
    </row>
    <row r="48" spans="1:19" ht="12.5" x14ac:dyDescent="0.25">
      <c r="A48" s="2">
        <f ca="1">IFERROR(__xludf.DUMMYFUNCTION("""COMPUTED_VALUE"""),44911.6553786226)</f>
        <v>44911.6553786226</v>
      </c>
      <c r="B48" s="1" t="str">
        <f ca="1">IFERROR(__xludf.DUMMYFUNCTION("""COMPUTED_VALUE"""),"India")</f>
        <v>India</v>
      </c>
      <c r="C48" s="1">
        <f ca="1">IFERROR(__xludf.DUMMYFUNCTION("""COMPUTED_VALUE"""),131001)</f>
        <v>131001</v>
      </c>
      <c r="D48" s="1" t="str">
        <f ca="1">IFERROR(__xludf.DUMMYFUNCTION("""COMPUTED_VALUE"""),"Male")</f>
        <v>Male</v>
      </c>
      <c r="E48" s="1" t="str">
        <f ca="1">IFERROR(__xludf.DUMMYFUNCTION("""COMPUTED_VALUE"""),"My Parents")</f>
        <v>My Parents</v>
      </c>
      <c r="F48" s="1" t="str">
        <f ca="1">IFERROR(__xludf.DUMMYFUNCTION("""COMPUTED_VALUE"""),"Yes, I will earn and do that")</f>
        <v>Yes, I will earn and do that</v>
      </c>
      <c r="G48" s="1" t="str">
        <f ca="1">IFERROR(__xludf.DUMMYFUNCTION("""COMPUTED_VALUE"""),"Will work for 3 years or more")</f>
        <v>Will work for 3 years or more</v>
      </c>
      <c r="H48" s="1" t="str">
        <f ca="1">IFERROR(__xludf.DUMMYFUNCTION("""COMPUTED_VALUE"""),"Yes")</f>
        <v>Yes</v>
      </c>
      <c r="I48" s="1" t="str">
        <f ca="1">IFERROR(__xludf.DUMMYFUNCTION("""COMPUTED_VALUE"""),"Will work for them")</f>
        <v>Will work for them</v>
      </c>
      <c r="J48" s="1">
        <f ca="1">IFERROR(__xludf.DUMMYFUNCTION("""COMPUTED_VALUE"""),8)</f>
        <v>8</v>
      </c>
      <c r="K48" s="1" t="str">
        <f ca="1">IFERROR(__xludf.DUMMYFUNCTION("""COMPUTED_VALUE"""),"Hybrid Working Environment with less than 15 days a month at office")</f>
        <v>Hybrid Working Environment with less than 15 days a month at office</v>
      </c>
      <c r="L48" s="1" t="str">
        <f ca="1">IFERROR(__xludf.DUMMYFUNCTION("""COMPUTED_VALUE"""),"Employer who rewards learning and enables that environment")</f>
        <v>Employer who rewards learning and enables that environment</v>
      </c>
      <c r="M48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48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48" s="1" t="str">
        <f ca="1">IFERROR(__xludf.DUMMYFUNCTION("""COMPUTED_VALUE"""),"Manager who explains what is expected, sets a goal and helps achieve it")</f>
        <v>Manager who explains what is expected, sets a goal and helps achieve it</v>
      </c>
      <c r="P48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48" s="1"/>
      <c r="R48" s="1"/>
      <c r="S48" s="1"/>
    </row>
    <row r="49" spans="1:19" ht="12.5" x14ac:dyDescent="0.25">
      <c r="A49" s="2">
        <f ca="1">IFERROR(__xludf.DUMMYFUNCTION("""COMPUTED_VALUE"""),44911.6559680902)</f>
        <v>44911.655968090199</v>
      </c>
      <c r="B49" s="1" t="str">
        <f ca="1">IFERROR(__xludf.DUMMYFUNCTION("""COMPUTED_VALUE"""),"India")</f>
        <v>India</v>
      </c>
      <c r="C49" s="1">
        <f ca="1">IFERROR(__xludf.DUMMYFUNCTION("""COMPUTED_VALUE"""),505001)</f>
        <v>505001</v>
      </c>
      <c r="D49" s="1" t="str">
        <f ca="1">IFERROR(__xludf.DUMMYFUNCTION("""COMPUTED_VALUE"""),"Male")</f>
        <v>Male</v>
      </c>
      <c r="E49" s="1" t="str">
        <f ca="1">IFERROR(__xludf.DUMMYFUNCTION("""COMPUTED_VALUE"""),"People who have changed the world for better")</f>
        <v>People who have changed the world for better</v>
      </c>
      <c r="F49" s="1" t="str">
        <f ca="1">IFERROR(__xludf.DUMMYFUNCTION("""COMPUTED_VALUE"""),"No I would not be pursuing Higher Education outside of India")</f>
        <v>No I would not be pursuing Higher Education outside of India</v>
      </c>
      <c r="G49" s="1" t="str">
        <f ca="1">IFERROR(__xludf.DUMMYFUNCTION("""COMPUTED_VALUE"""),"Will work for 3 years or more")</f>
        <v>Will work for 3 years or more</v>
      </c>
      <c r="H49" s="1" t="str">
        <f ca="1">IFERROR(__xludf.DUMMYFUNCTION("""COMPUTED_VALUE"""),"No")</f>
        <v>No</v>
      </c>
      <c r="I49" s="1" t="str">
        <f ca="1">IFERROR(__xludf.DUMMYFUNCTION("""COMPUTED_VALUE"""),"Will NOT work for them")</f>
        <v>Will NOT work for them</v>
      </c>
      <c r="J49" s="1">
        <f ca="1">IFERROR(__xludf.DUMMYFUNCTION("""COMPUTED_VALUE"""),8)</f>
        <v>8</v>
      </c>
      <c r="K49" s="1" t="str">
        <f ca="1">IFERROR(__xludf.DUMMYFUNCTION("""COMPUTED_VALUE"""),"Fully Remote with Options to travel as and when needed")</f>
        <v>Fully Remote with Options to travel as and when needed</v>
      </c>
      <c r="L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9" s="1" t="str">
        <f ca="1">IFERROR(__xludf.DUMMYFUNCTION("""COMPUTED_VALUE"""),"Self Paced Learning Portals, Instructor or Expert Learning Programs")</f>
        <v>Self Paced Learning Portals, Instructor or Expert Learning Programs</v>
      </c>
      <c r="N49" s="1" t="str">
        <f ca="1">IFERROR(__xludf.DUMMYFUNCTION("""COMPUTED_VALUE"""),"Build and develop a Team, Work as a freelancer and do my thing my way, Become a content Creator in some platform")</f>
        <v>Build and develop a Team, Work as a freelancer and do my thing my way, Become a content Creator in some platform</v>
      </c>
      <c r="O49" s="1" t="str">
        <f ca="1">IFERROR(__xludf.DUMMYFUNCTION("""COMPUTED_VALUE"""),"Manager who sets goal and helps me achieve it")</f>
        <v>Manager who sets goal and helps me achieve it</v>
      </c>
      <c r="P49" s="1" t="str">
        <f ca="1">IFERROR(__xludf.DUMMYFUNCTION("""COMPUTED_VALUE"""),"Work alone, Work with more than 10 people in my team")</f>
        <v>Work alone, Work with more than 10 people in my team</v>
      </c>
      <c r="Q49" s="1"/>
      <c r="R49" s="1"/>
      <c r="S49" s="1"/>
    </row>
    <row r="50" spans="1:19" ht="12.5" x14ac:dyDescent="0.25">
      <c r="A50" s="2">
        <f ca="1">IFERROR(__xludf.DUMMYFUNCTION("""COMPUTED_VALUE"""),44911.6565905324)</f>
        <v>44911.656590532402</v>
      </c>
      <c r="B50" s="1" t="str">
        <f ca="1">IFERROR(__xludf.DUMMYFUNCTION("""COMPUTED_VALUE"""),"India")</f>
        <v>India</v>
      </c>
      <c r="C50" s="1">
        <f ca="1">IFERROR(__xludf.DUMMYFUNCTION("""COMPUTED_VALUE"""),600064)</f>
        <v>600064</v>
      </c>
      <c r="D50" s="1" t="str">
        <f ca="1">IFERROR(__xludf.DUMMYFUNCTION("""COMPUTED_VALUE"""),"Female")</f>
        <v>Female</v>
      </c>
      <c r="E50" s="1" t="str">
        <f ca="1">IFERROR(__xludf.DUMMYFUNCTION("""COMPUTED_VALUE"""),"People from my circle, but not family members")</f>
        <v>People from my circle, but not family members</v>
      </c>
      <c r="F50" s="1" t="str">
        <f ca="1">IFERROR(__xludf.DUMMYFUNCTION("""COMPUTED_VALUE"""),"No I would not be pursuing Higher Education outside of India")</f>
        <v>No I would not be pursuing Higher Education outside of India</v>
      </c>
      <c r="G50" s="1" t="str">
        <f ca="1">IFERROR(__xludf.DUMMYFUNCTION("""COMPUTED_VALUE"""),"Will work for 3 years or more")</f>
        <v>Will work for 3 years or more</v>
      </c>
      <c r="H50" s="1" t="str">
        <f ca="1">IFERROR(__xludf.DUMMYFUNCTION("""COMPUTED_VALUE"""),"No")</f>
        <v>No</v>
      </c>
      <c r="I50" s="1" t="str">
        <f ca="1">IFERROR(__xludf.DUMMYFUNCTION("""COMPUTED_VALUE"""),"Will work for them")</f>
        <v>Will work for them</v>
      </c>
      <c r="J50" s="1">
        <f ca="1">IFERROR(__xludf.DUMMYFUNCTION("""COMPUTED_VALUE"""),3)</f>
        <v>3</v>
      </c>
      <c r="K50" s="1" t="str">
        <f ca="1">IFERROR(__xludf.DUMMYFUNCTION("""COMPUTED_VALUE"""),"Hybrid Working Environment with less than 15 days a month at office")</f>
        <v>Hybrid Working Environment with less than 15 days a month at office</v>
      </c>
      <c r="L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0" s="1" t="str">
        <f ca="1">IFERROR(__xludf.DUMMYFUNCTION("""COMPUTED_VALUE"""),"Instructor or Expert Learning Programs, Learning by observing others")</f>
        <v>Instructor or Expert Learning Programs, Learning by observing others</v>
      </c>
      <c r="N50" s="1" t="str">
        <f ca="1">IFERROR(__xludf.DUMMYFUNCTION("""COMPUTED_VALUE"""),"Design and Creative strategy in any company, Build and develop a Team, Design and Develop amazing software")</f>
        <v>Design and Creative strategy in any company, Build and develop a Team, Design and Develop amazing software</v>
      </c>
      <c r="O50" s="1" t="str">
        <f ca="1">IFERROR(__xludf.DUMMYFUNCTION("""COMPUTED_VALUE"""),"Manager who explains what is expected, sets a goal and helps achieve it")</f>
        <v>Manager who explains what is expected, sets a goal and helps achieve it</v>
      </c>
      <c r="P50" s="1" t="str">
        <f ca="1">IFERROR(__xludf.DUMMYFUNCTION("""COMPUTED_VALUE"""),"Work with 5 to 6 people in my team")</f>
        <v>Work with 5 to 6 people in my team</v>
      </c>
      <c r="Q50" s="1"/>
      <c r="R50" s="1"/>
      <c r="S50" s="1"/>
    </row>
    <row r="51" spans="1:19" ht="12.5" x14ac:dyDescent="0.25">
      <c r="A51" s="2">
        <f ca="1">IFERROR(__xludf.DUMMYFUNCTION("""COMPUTED_VALUE"""),44911.6580789699)</f>
        <v>44911.6580789699</v>
      </c>
      <c r="B51" s="1" t="str">
        <f ca="1">IFERROR(__xludf.DUMMYFUNCTION("""COMPUTED_VALUE"""),"India")</f>
        <v>India</v>
      </c>
      <c r="C51" s="1">
        <f ca="1">IFERROR(__xludf.DUMMYFUNCTION("""COMPUTED_VALUE"""),600129)</f>
        <v>600129</v>
      </c>
      <c r="D51" s="1" t="str">
        <f ca="1">IFERROR(__xludf.DUMMYFUNCTION("""COMPUTED_VALUE"""),"Female")</f>
        <v>Female</v>
      </c>
      <c r="E51" s="1" t="str">
        <f ca="1">IFERROR(__xludf.DUMMYFUNCTION("""COMPUTED_VALUE"""),"Influencers who had successful careers")</f>
        <v>Influencers who had successful careers</v>
      </c>
      <c r="F51" s="1" t="str">
        <f ca="1">IFERROR(__xludf.DUMMYFUNCTION("""COMPUTED_VALUE"""),"No I would not be pursuing Higher Education outside of India")</f>
        <v>No I would not be pursuing Higher Education outside of India</v>
      </c>
      <c r="G51" s="1" t="str">
        <f ca="1">IFERROR(__xludf.DUMMYFUNCTION("""COMPUTED_VALUE"""),"Will work for 3 years or more")</f>
        <v>Will work for 3 years or more</v>
      </c>
      <c r="H51" s="1" t="str">
        <f ca="1">IFERROR(__xludf.DUMMYFUNCTION("""COMPUTED_VALUE"""),"Yes")</f>
        <v>Yes</v>
      </c>
      <c r="I51" s="1" t="str">
        <f ca="1">IFERROR(__xludf.DUMMYFUNCTION("""COMPUTED_VALUE"""),"Will work for them")</f>
        <v>Will work for them</v>
      </c>
      <c r="J51" s="1">
        <f ca="1">IFERROR(__xludf.DUMMYFUNCTION("""COMPUTED_VALUE"""),5)</f>
        <v>5</v>
      </c>
      <c r="K51" s="1" t="str">
        <f ca="1">IFERROR(__xludf.DUMMYFUNCTION("""COMPUTED_VALUE"""),"Hybrid Working Environment with less than 10 days a month at office")</f>
        <v>Hybrid Working Environment with less than 10 days a month at office</v>
      </c>
      <c r="L51" s="1" t="str">
        <f ca="1">IFERROR(__xludf.DUMMYFUNCTION("""COMPUTED_VALUE"""),"Employer who rewards learning and enables that environment")</f>
        <v>Employer who rewards learning and enables that environment</v>
      </c>
      <c r="M51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51" s="1" t="str">
        <f ca="1">IFERROR(__xludf.DUMMYFUNCTION("""COMPUTED_VALUE"""),"Manage and drive End-to-End Projects or Products, Build and develop a Team, Look deeply into Data and generate insights")</f>
        <v>Manage and drive End-to-End Projects or Products, Build and develop a Team, Look deeply into Data and generate insights</v>
      </c>
      <c r="O51" s="1" t="str">
        <f ca="1">IFERROR(__xludf.DUMMYFUNCTION("""COMPUTED_VALUE"""),"Manager who explains what is expected, sets a goal and helps achieve it")</f>
        <v>Manager who explains what is expected, sets a goal and helps achieve it</v>
      </c>
      <c r="P51" s="1" t="str">
        <f ca="1">IFERROR(__xludf.DUMMYFUNCTION("""COMPUTED_VALUE"""),"Work with 5 to 6 people in my team")</f>
        <v>Work with 5 to 6 people in my team</v>
      </c>
      <c r="Q51" s="1"/>
      <c r="R51" s="1"/>
      <c r="S51" s="1"/>
    </row>
    <row r="52" spans="1:19" ht="12.5" x14ac:dyDescent="0.25">
      <c r="A52" s="2">
        <f ca="1">IFERROR(__xludf.DUMMYFUNCTION("""COMPUTED_VALUE"""),44911.6606264467)</f>
        <v>44911.660626446697</v>
      </c>
      <c r="B52" s="1" t="str">
        <f ca="1">IFERROR(__xludf.DUMMYFUNCTION("""COMPUTED_VALUE"""),"India")</f>
        <v>India</v>
      </c>
      <c r="C52" s="1">
        <f ca="1">IFERROR(__xludf.DUMMYFUNCTION("""COMPUTED_VALUE"""),263126)</f>
        <v>263126</v>
      </c>
      <c r="D52" s="1" t="str">
        <f ca="1">IFERROR(__xludf.DUMMYFUNCTION("""COMPUTED_VALUE"""),"Male")</f>
        <v>Male</v>
      </c>
      <c r="E52" s="1" t="str">
        <f ca="1">IFERROR(__xludf.DUMMYFUNCTION("""COMPUTED_VALUE"""),"Social Media like LinkedIn")</f>
        <v>Social Media like LinkedIn</v>
      </c>
      <c r="F52" s="1" t="str">
        <f ca="1">IFERROR(__xludf.DUMMYFUNCTION("""COMPUTED_VALUE"""),"Yes, I will earn and do that")</f>
        <v>Yes, I will earn and do that</v>
      </c>
      <c r="G52" s="1" t="str">
        <f ca="1">IFERROR(__xludf.DUMMYFUNCTION("""COMPUTED_VALUE"""),"This will be hard to do, but if it is the right company I would try")</f>
        <v>This will be hard to do, but if it is the right company I would try</v>
      </c>
      <c r="H52" s="1" t="str">
        <f ca="1">IFERROR(__xludf.DUMMYFUNCTION("""COMPUTED_VALUE"""),"Yes")</f>
        <v>Yes</v>
      </c>
      <c r="I52" s="1" t="str">
        <f ca="1">IFERROR(__xludf.DUMMYFUNCTION("""COMPUTED_VALUE"""),"Will NOT work for them")</f>
        <v>Will NOT work for them</v>
      </c>
      <c r="J52" s="1">
        <f ca="1">IFERROR(__xludf.DUMMYFUNCTION("""COMPUTED_VALUE"""),6)</f>
        <v>6</v>
      </c>
      <c r="K52" s="1" t="str">
        <f ca="1">IFERROR(__xludf.DUMMYFUNCTION("""COMPUTED_VALUE"""),"Hybrid Working Environment with less than 3 days a month at office")</f>
        <v>Hybrid Working Environment with less than 3 days a month at office</v>
      </c>
      <c r="L52" s="1" t="str">
        <f ca="1">IFERROR(__xludf.DUMMYFUNCTION("""COMPUTED_VALUE"""),"Employer who rewards learning and enables that environment")</f>
        <v>Employer who rewards learning and enables that environment</v>
      </c>
      <c r="M52" s="1" t="str">
        <f ca="1">IFERROR(__xludf.DUMMYFUNCTION("""COMPUTED_VALUE"""),"Self Paced Learning Portals, Instructor or Expert Learning Programs")</f>
        <v>Self Paced Learning Portals, Instructor or Expert Learning Programs</v>
      </c>
      <c r="N52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52" s="1" t="str">
        <f ca="1">IFERROR(__xludf.DUMMYFUNCTION("""COMPUTED_VALUE"""),"Manager who explains what is expected, sets a goal and helps achieve it")</f>
        <v>Manager who explains what is expected, sets a goal and helps achieve it</v>
      </c>
      <c r="P52" s="1" t="str">
        <f ca="1">IFERROR(__xludf.DUMMYFUNCTION("""COMPUTED_VALUE"""),"Work with more than 10 people in my team")</f>
        <v>Work with more than 10 people in my team</v>
      </c>
      <c r="Q52" s="1"/>
      <c r="R52" s="1"/>
      <c r="S52" s="1"/>
    </row>
    <row r="53" spans="1:19" ht="12.5" x14ac:dyDescent="0.25">
      <c r="A53" s="2">
        <f ca="1">IFERROR(__xludf.DUMMYFUNCTION("""COMPUTED_VALUE"""),44911.66313375)</f>
        <v>44911.66313375</v>
      </c>
      <c r="B53" s="1" t="str">
        <f ca="1">IFERROR(__xludf.DUMMYFUNCTION("""COMPUTED_VALUE"""),"India")</f>
        <v>India</v>
      </c>
      <c r="C53" s="1">
        <f ca="1">IFERROR(__xludf.DUMMYFUNCTION("""COMPUTED_VALUE"""),781008)</f>
        <v>781008</v>
      </c>
      <c r="D53" s="1" t="str">
        <f ca="1">IFERROR(__xludf.DUMMYFUNCTION("""COMPUTED_VALUE"""),"Male")</f>
        <v>Male</v>
      </c>
      <c r="E53" s="1" t="str">
        <f ca="1">IFERROR(__xludf.DUMMYFUNCTION("""COMPUTED_VALUE"""),"People from my circle, but not family members")</f>
        <v>People from my circle, but not family members</v>
      </c>
      <c r="F53" s="1" t="str">
        <f ca="1">IFERROR(__xludf.DUMMYFUNCTION("""COMPUTED_VALUE"""),"Yes, I will earn and do that")</f>
        <v>Yes, I will earn and do that</v>
      </c>
      <c r="G53" s="1" t="str">
        <f ca="1">IFERROR(__xludf.DUMMYFUNCTION("""COMPUTED_VALUE"""),"This will be hard to do, but if it is the right company I would try")</f>
        <v>This will be hard to do, but if it is the right company I would try</v>
      </c>
      <c r="H53" s="1" t="str">
        <f ca="1">IFERROR(__xludf.DUMMYFUNCTION("""COMPUTED_VALUE"""),"No")</f>
        <v>No</v>
      </c>
      <c r="I53" s="1" t="str">
        <f ca="1">IFERROR(__xludf.DUMMYFUNCTION("""COMPUTED_VALUE"""),"Will NOT work for them")</f>
        <v>Will NOT work for them</v>
      </c>
      <c r="J53" s="1">
        <f ca="1">IFERROR(__xludf.DUMMYFUNCTION("""COMPUTED_VALUE"""),5)</f>
        <v>5</v>
      </c>
      <c r="K53" s="1" t="str">
        <f ca="1">IFERROR(__xludf.DUMMYFUNCTION("""COMPUTED_VALUE"""),"Fully Remote with Options to travel as and when needed")</f>
        <v>Fully Remote with Options to travel as and when needed</v>
      </c>
      <c r="L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53" s="1" t="str">
        <f ca="1">IFERROR(__xludf.DUMMYFUNCTION("""COMPUTED_VALUE"""),"Build and develop a Team, Look deeply into Data and generate insights, Become a content Creator in some platform")</f>
        <v>Build and develop a Team, Look deeply into Data and generate insights, Become a content Creator in some platform</v>
      </c>
      <c r="O53" s="1" t="str">
        <f ca="1">IFERROR(__xludf.DUMMYFUNCTION("""COMPUTED_VALUE"""),"Manager who sets goal and helps me achieve it")</f>
        <v>Manager who sets goal and helps me achieve it</v>
      </c>
      <c r="P53" s="1" t="str">
        <f ca="1">IFERROR(__xludf.DUMMYFUNCTION("""COMPUTED_VALUE"""),"Work with 2 to 3 people in my team, Work with 5 to 6 people in my team")</f>
        <v>Work with 2 to 3 people in my team, Work with 5 to 6 people in my team</v>
      </c>
      <c r="Q53" s="1"/>
      <c r="R53" s="1"/>
      <c r="S53" s="1"/>
    </row>
    <row r="54" spans="1:19" ht="12.5" x14ac:dyDescent="0.25">
      <c r="A54" s="2">
        <f ca="1">IFERROR(__xludf.DUMMYFUNCTION("""COMPUTED_VALUE"""),44911.6648083217)</f>
        <v>44911.664808321701</v>
      </c>
      <c r="B54" s="1" t="str">
        <f ca="1">IFERROR(__xludf.DUMMYFUNCTION("""COMPUTED_VALUE"""),"India")</f>
        <v>India</v>
      </c>
      <c r="C54" s="1">
        <f ca="1">IFERROR(__xludf.DUMMYFUNCTION("""COMPUTED_VALUE"""),785001)</f>
        <v>785001</v>
      </c>
      <c r="D54" s="1" t="str">
        <f ca="1">IFERROR(__xludf.DUMMYFUNCTION("""COMPUTED_VALUE"""),"Male")</f>
        <v>Male</v>
      </c>
      <c r="E54" s="1" t="str">
        <f ca="1">IFERROR(__xludf.DUMMYFUNCTION("""COMPUTED_VALUE"""),"People who have changed the world for better")</f>
        <v>People who have changed the world for better</v>
      </c>
      <c r="F54" s="1" t="str">
        <f ca="1">IFERROR(__xludf.DUMMYFUNCTION("""COMPUTED_VALUE"""),"Yes, I will earn and do that")</f>
        <v>Yes, I will earn and do that</v>
      </c>
      <c r="G54" s="1" t="str">
        <f ca="1">IFERROR(__xludf.DUMMYFUNCTION("""COMPUTED_VALUE"""),"This will be hard to do, but if it is the right company I would try")</f>
        <v>This will be hard to do, but if it is the right company I would try</v>
      </c>
      <c r="H54" s="1" t="str">
        <f ca="1">IFERROR(__xludf.DUMMYFUNCTION("""COMPUTED_VALUE"""),"Yes")</f>
        <v>Yes</v>
      </c>
      <c r="I54" s="1" t="str">
        <f ca="1">IFERROR(__xludf.DUMMYFUNCTION("""COMPUTED_VALUE"""),"Will work for them")</f>
        <v>Will work for them</v>
      </c>
      <c r="J54" s="1">
        <f ca="1">IFERROR(__xludf.DUMMYFUNCTION("""COMPUTED_VALUE"""),7)</f>
        <v>7</v>
      </c>
      <c r="K54" s="1" t="str">
        <f ca="1">IFERROR(__xludf.DUMMYFUNCTION("""COMPUTED_VALUE"""),"Hybrid Working Environment with less than 10 days a month at office")</f>
        <v>Hybrid Working Environment with less than 10 days a month at office</v>
      </c>
      <c r="L54" s="1" t="str">
        <f ca="1">IFERROR(__xludf.DUMMYFUNCTION("""COMPUTED_VALUE"""),"Employer who rewards learning and enables that environment")</f>
        <v>Employer who rewards learning and enables that environment</v>
      </c>
      <c r="M54" s="1" t="str">
        <f ca="1">IFERROR(__xludf.DUMMYFUNCTION("""COMPUTED_VALUE"""),"Self Paced Learning Portals, Instructor or Expert Learning Programs")</f>
        <v>Self Paced Learning Portals, Instructor or Expert Learning Programs</v>
      </c>
      <c r="N54" s="1" t="str">
        <f ca="1">IFERROR(__xludf.DUMMYFUNCTION("""COMPUTED_VALUE"""),"Design and Develop amazing software, Look deeply into Data and generate insights, Work as a freelancer and do my thing my way")</f>
        <v>Design and Develop amazing software, Look deeply into Data and generate insights, Work as a freelancer and do my thing my way</v>
      </c>
      <c r="O54" s="1" t="str">
        <f ca="1">IFERROR(__xludf.DUMMYFUNCTION("""COMPUTED_VALUE"""),"Manager who sets goal and helps me achieve it")</f>
        <v>Manager who sets goal and helps me achieve it</v>
      </c>
      <c r="P54" s="1" t="str">
        <f ca="1">IFERROR(__xludf.DUMMYFUNCTION("""COMPUTED_VALUE"""),"Work alone, Work with 2 to 3 people in my team")</f>
        <v>Work alone, Work with 2 to 3 people in my team</v>
      </c>
      <c r="Q54" s="1"/>
      <c r="R54" s="1"/>
      <c r="S54" s="1"/>
    </row>
    <row r="55" spans="1:19" ht="12.5" x14ac:dyDescent="0.25">
      <c r="A55" s="2">
        <f ca="1">IFERROR(__xludf.DUMMYFUNCTION("""COMPUTED_VALUE"""),44911.6666351736)</f>
        <v>44911.666635173598</v>
      </c>
      <c r="B55" s="1" t="str">
        <f ca="1">IFERROR(__xludf.DUMMYFUNCTION("""COMPUTED_VALUE"""),"India")</f>
        <v>India</v>
      </c>
      <c r="C55" s="1">
        <f ca="1">IFERROR(__xludf.DUMMYFUNCTION("""COMPUTED_VALUE"""),629004)</f>
        <v>629004</v>
      </c>
      <c r="D55" s="1" t="str">
        <f ca="1">IFERROR(__xludf.DUMMYFUNCTION("""COMPUTED_VALUE"""),"Male")</f>
        <v>Male</v>
      </c>
      <c r="E55" s="1" t="str">
        <f ca="1">IFERROR(__xludf.DUMMYFUNCTION("""COMPUTED_VALUE"""),"People who have changed the world for better")</f>
        <v>People who have changed the world for better</v>
      </c>
      <c r="F55" s="1" t="str">
        <f ca="1">IFERROR(__xludf.DUMMYFUNCTION("""COMPUTED_VALUE"""),"No, But if someone could bare the cost I will")</f>
        <v>No, But if someone could bare the cost I will</v>
      </c>
      <c r="G55" s="1" t="str">
        <f ca="1">IFERROR(__xludf.DUMMYFUNCTION("""COMPUTED_VALUE"""),"Will work for 3 years or more")</f>
        <v>Will work for 3 years or more</v>
      </c>
      <c r="H55" s="1" t="str">
        <f ca="1">IFERROR(__xludf.DUMMYFUNCTION("""COMPUTED_VALUE"""),"Yes")</f>
        <v>Yes</v>
      </c>
      <c r="I55" s="1" t="str">
        <f ca="1">IFERROR(__xludf.DUMMYFUNCTION("""COMPUTED_VALUE"""),"Will NOT work for them")</f>
        <v>Will NOT work for them</v>
      </c>
      <c r="J55" s="1">
        <f ca="1">IFERROR(__xludf.DUMMYFUNCTION("""COMPUTED_VALUE"""),10)</f>
        <v>10</v>
      </c>
      <c r="K55" s="1" t="str">
        <f ca="1">IFERROR(__xludf.DUMMYFUNCTION("""COMPUTED_VALUE"""),"Fully Remote with Options to travel as and when needed")</f>
        <v>Fully Remote with Options to travel as and when needed</v>
      </c>
      <c r="L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5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55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55" s="1" t="str">
        <f ca="1">IFERROR(__xludf.DUMMYFUNCTION("""COMPUTED_VALUE"""),"Manager who explains what is expected, sets a goal and helps achieve it")</f>
        <v>Manager who explains what is expected, sets a goal and helps achieve it</v>
      </c>
      <c r="P55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55" s="1"/>
      <c r="R55" s="1"/>
      <c r="S55" s="1"/>
    </row>
    <row r="56" spans="1:19" ht="12.5" x14ac:dyDescent="0.25">
      <c r="A56" s="2">
        <f ca="1">IFERROR(__xludf.DUMMYFUNCTION("""COMPUTED_VALUE"""),44911.6707843634)</f>
        <v>44911.670784363399</v>
      </c>
      <c r="B56" s="1" t="str">
        <f ca="1">IFERROR(__xludf.DUMMYFUNCTION("""COMPUTED_VALUE"""),"India")</f>
        <v>India</v>
      </c>
      <c r="C56" s="1">
        <f ca="1">IFERROR(__xludf.DUMMYFUNCTION("""COMPUTED_VALUE"""),600089)</f>
        <v>600089</v>
      </c>
      <c r="D56" s="1" t="str">
        <f ca="1">IFERROR(__xludf.DUMMYFUNCTION("""COMPUTED_VALUE"""),"Male")</f>
        <v>Male</v>
      </c>
      <c r="E56" s="1" t="str">
        <f ca="1">IFERROR(__xludf.DUMMYFUNCTION("""COMPUTED_VALUE"""),"My Parents")</f>
        <v>My Parents</v>
      </c>
      <c r="F56" s="1" t="str">
        <f ca="1">IFERROR(__xludf.DUMMYFUNCTION("""COMPUTED_VALUE"""),"Yes, I will earn and do that")</f>
        <v>Yes, I will earn and do that</v>
      </c>
      <c r="G56" s="1" t="str">
        <f ca="1">IFERROR(__xludf.DUMMYFUNCTION("""COMPUTED_VALUE"""),"Will work for 3 years or more")</f>
        <v>Will work for 3 years or more</v>
      </c>
      <c r="H56" s="1" t="str">
        <f ca="1">IFERROR(__xludf.DUMMYFUNCTION("""COMPUTED_VALUE"""),"No")</f>
        <v>No</v>
      </c>
      <c r="I56" s="1" t="str">
        <f ca="1">IFERROR(__xludf.DUMMYFUNCTION("""COMPUTED_VALUE"""),"Will NOT work for them")</f>
        <v>Will NOT work for them</v>
      </c>
      <c r="J56" s="1">
        <f ca="1">IFERROR(__xludf.DUMMYFUNCTION("""COMPUTED_VALUE"""),4)</f>
        <v>4</v>
      </c>
      <c r="K56" s="1" t="str">
        <f ca="1">IFERROR(__xludf.DUMMYFUNCTION("""COMPUTED_VALUE"""),"Every Day Office Environment")</f>
        <v>Every Day Office Environment</v>
      </c>
      <c r="L56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56" s="1" t="str">
        <f ca="1">IFERROR(__xludf.DUMMYFUNCTION("""COMPUTED_VALUE"""),"Instructor or Expert Learning Programs, Learning by observing others")</f>
        <v>Instructor or Expert Learning Programs, Learning by observing others</v>
      </c>
      <c r="N56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56" s="1" t="str">
        <f ca="1">IFERROR(__xludf.DUMMYFUNCTION("""COMPUTED_VALUE"""),"Manager who explains what is expected, sets a goal and helps achieve it")</f>
        <v>Manager who explains what is expected, sets a goal and helps achieve it</v>
      </c>
      <c r="P56" s="1" t="str">
        <f ca="1">IFERROR(__xludf.DUMMYFUNCTION("""COMPUTED_VALUE"""),"Work with 7 to 10 or more people in my team")</f>
        <v>Work with 7 to 10 or more people in my team</v>
      </c>
      <c r="Q56" s="1"/>
      <c r="R56" s="1"/>
      <c r="S56" s="1"/>
    </row>
    <row r="57" spans="1:19" ht="12.5" x14ac:dyDescent="0.25">
      <c r="A57" s="2">
        <f ca="1">IFERROR(__xludf.DUMMYFUNCTION("""COMPUTED_VALUE"""),44911.672133831)</f>
        <v>44911.672133831002</v>
      </c>
      <c r="B57" s="1" t="str">
        <f ca="1">IFERROR(__xludf.DUMMYFUNCTION("""COMPUTED_VALUE"""),"India")</f>
        <v>India</v>
      </c>
      <c r="C57" s="1">
        <f ca="1">IFERROR(__xludf.DUMMYFUNCTION("""COMPUTED_VALUE"""),500005)</f>
        <v>500005</v>
      </c>
      <c r="D57" s="1" t="str">
        <f ca="1">IFERROR(__xludf.DUMMYFUNCTION("""COMPUTED_VALUE"""),"Male")</f>
        <v>Male</v>
      </c>
      <c r="E57" s="1" t="str">
        <f ca="1">IFERROR(__xludf.DUMMYFUNCTION("""COMPUTED_VALUE"""),"People who have changed the world for better")</f>
        <v>People who have changed the world for better</v>
      </c>
      <c r="F57" s="1" t="str">
        <f ca="1">IFERROR(__xludf.DUMMYFUNCTION("""COMPUTED_VALUE"""),"No, But if someone could bare the cost I will")</f>
        <v>No, But if someone could bare the cost I will</v>
      </c>
      <c r="G57" s="1" t="str">
        <f ca="1">IFERROR(__xludf.DUMMYFUNCTION("""COMPUTED_VALUE"""),"This will be hard to do, but if it is the right company I would try")</f>
        <v>This will be hard to do, but if it is the right company I would try</v>
      </c>
      <c r="H57" s="1" t="str">
        <f ca="1">IFERROR(__xludf.DUMMYFUNCTION("""COMPUTED_VALUE"""),"Yes")</f>
        <v>Yes</v>
      </c>
      <c r="I57" s="1" t="str">
        <f ca="1">IFERROR(__xludf.DUMMYFUNCTION("""COMPUTED_VALUE"""),"Will NOT work for them")</f>
        <v>Will NOT work for them</v>
      </c>
      <c r="J57" s="1">
        <f ca="1">IFERROR(__xludf.DUMMYFUNCTION("""COMPUTED_VALUE"""),5)</f>
        <v>5</v>
      </c>
      <c r="K57" s="1" t="str">
        <f ca="1">IFERROR(__xludf.DUMMYFUNCTION("""COMPUTED_VALUE"""),"Fully Remote with Options to travel as and when needed")</f>
        <v>Fully Remote with Options to travel as and when needed</v>
      </c>
      <c r="L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57" s="1" t="str">
        <f ca="1">IFERROR(__xludf.DUMMYFUNCTION("""COMPUTED_VALUE"""),"Design and Develop amazing software, Look deeply into Data and generate insights, Work as a freelancer and do my thing my way")</f>
        <v>Design and Develop amazing software, Look deeply into Data and generate insights, Work as a freelancer and do my thing my way</v>
      </c>
      <c r="O57" s="1" t="str">
        <f ca="1">IFERROR(__xludf.DUMMYFUNCTION("""COMPUTED_VALUE"""),"Manager who explains what is expected, sets a goal and helps achieve it")</f>
        <v>Manager who explains what is expected, sets a goal and helps achieve it</v>
      </c>
      <c r="P57" s="1" t="str">
        <f ca="1">IFERROR(__xludf.DUMMYFUNCTION("""COMPUTED_VALUE"""),"Work alone, Work with 2 to 3 people in my team")</f>
        <v>Work alone, Work with 2 to 3 people in my team</v>
      </c>
      <c r="Q57" s="1"/>
      <c r="R57" s="1"/>
      <c r="S57" s="1"/>
    </row>
    <row r="58" spans="1:19" ht="12.5" x14ac:dyDescent="0.25">
      <c r="A58" s="2">
        <f ca="1">IFERROR(__xludf.DUMMYFUNCTION("""COMPUTED_VALUE"""),44911.6725040393)</f>
        <v>44911.672504039299</v>
      </c>
      <c r="B58" s="1" t="str">
        <f ca="1">IFERROR(__xludf.DUMMYFUNCTION("""COMPUTED_VALUE"""),"India")</f>
        <v>India</v>
      </c>
      <c r="C58" s="1">
        <f ca="1">IFERROR(__xludf.DUMMYFUNCTION("""COMPUTED_VALUE"""),452007)</f>
        <v>452007</v>
      </c>
      <c r="D58" s="1" t="str">
        <f ca="1">IFERROR(__xludf.DUMMYFUNCTION("""COMPUTED_VALUE"""),"Male")</f>
        <v>Male</v>
      </c>
      <c r="E58" s="1" t="str">
        <f ca="1">IFERROR(__xludf.DUMMYFUNCTION("""COMPUTED_VALUE"""),"My Parents")</f>
        <v>My Parents</v>
      </c>
      <c r="F58" s="1" t="str">
        <f ca="1">IFERROR(__xludf.DUMMYFUNCTION("""COMPUTED_VALUE"""),"No, But if someone could bare the cost I will")</f>
        <v>No, But if someone could bare the cost I will</v>
      </c>
      <c r="G58" s="1" t="str">
        <f ca="1">IFERROR(__xludf.DUMMYFUNCTION("""COMPUTED_VALUE"""),"This will be hard to do, but if it is the right company I would try")</f>
        <v>This will be hard to do, but if it is the right company I would try</v>
      </c>
      <c r="H58" s="1" t="str">
        <f ca="1">IFERROR(__xludf.DUMMYFUNCTION("""COMPUTED_VALUE"""),"No")</f>
        <v>No</v>
      </c>
      <c r="I58" s="1" t="str">
        <f ca="1">IFERROR(__xludf.DUMMYFUNCTION("""COMPUTED_VALUE"""),"Will NOT work for them")</f>
        <v>Will NOT work for them</v>
      </c>
      <c r="J58" s="1">
        <f ca="1">IFERROR(__xludf.DUMMYFUNCTION("""COMPUTED_VALUE"""),4)</f>
        <v>4</v>
      </c>
      <c r="K58" s="1" t="str">
        <f ca="1">IFERROR(__xludf.DUMMYFUNCTION("""COMPUTED_VALUE"""),"Fully Remote with Options to travel as and when needed")</f>
        <v>Fully Remote with Options to travel as and when needed</v>
      </c>
      <c r="L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8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58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58" s="1" t="str">
        <f ca="1">IFERROR(__xludf.DUMMYFUNCTION("""COMPUTED_VALUE"""),"Manager who clearly describes what she/he needs")</f>
        <v>Manager who clearly describes what she/he needs</v>
      </c>
      <c r="P58" s="1" t="str">
        <f ca="1">IFERROR(__xludf.DUMMYFUNCTION("""COMPUTED_VALUE"""),"Work with 5 to 6 people in my team")</f>
        <v>Work with 5 to 6 people in my team</v>
      </c>
      <c r="Q58" s="1"/>
      <c r="R58" s="1"/>
      <c r="S58" s="1"/>
    </row>
    <row r="59" spans="1:19" ht="12.5" x14ac:dyDescent="0.25">
      <c r="A59" s="2">
        <f ca="1">IFERROR(__xludf.DUMMYFUNCTION("""COMPUTED_VALUE"""),44911.6803639004)</f>
        <v>44911.680363900399</v>
      </c>
      <c r="B59" s="1" t="str">
        <f ca="1">IFERROR(__xludf.DUMMYFUNCTION("""COMPUTED_VALUE"""),"India")</f>
        <v>India</v>
      </c>
      <c r="C59" s="1">
        <f ca="1">IFERROR(__xludf.DUMMYFUNCTION("""COMPUTED_VALUE"""),782001)</f>
        <v>782001</v>
      </c>
      <c r="D59" s="1" t="str">
        <f ca="1">IFERROR(__xludf.DUMMYFUNCTION("""COMPUTED_VALUE"""),"Male")</f>
        <v>Male</v>
      </c>
      <c r="E59" s="1" t="str">
        <f ca="1">IFERROR(__xludf.DUMMYFUNCTION("""COMPUTED_VALUE"""),"People who have changed the world for better")</f>
        <v>People who have changed the world for better</v>
      </c>
      <c r="F59" s="1" t="str">
        <f ca="1">IFERROR(__xludf.DUMMYFUNCTION("""COMPUTED_VALUE"""),"No I would not be pursuing Higher Education outside of India")</f>
        <v>No I would not be pursuing Higher Education outside of India</v>
      </c>
      <c r="G59" s="1" t="str">
        <f ca="1">IFERROR(__xludf.DUMMYFUNCTION("""COMPUTED_VALUE"""),"This will be hard to do, but if it is the right company I would try")</f>
        <v>This will be hard to do, but if it is the right company I would try</v>
      </c>
      <c r="H59" s="1" t="str">
        <f ca="1">IFERROR(__xludf.DUMMYFUNCTION("""COMPUTED_VALUE"""),"Yes")</f>
        <v>Yes</v>
      </c>
      <c r="I59" s="1" t="str">
        <f ca="1">IFERROR(__xludf.DUMMYFUNCTION("""COMPUTED_VALUE"""),"Will work for them")</f>
        <v>Will work for them</v>
      </c>
      <c r="J59" s="1">
        <f ca="1">IFERROR(__xludf.DUMMYFUNCTION("""COMPUTED_VALUE"""),6)</f>
        <v>6</v>
      </c>
      <c r="K59" s="1" t="str">
        <f ca="1">IFERROR(__xludf.DUMMYFUNCTION("""COMPUTED_VALUE"""),"Fully Remote with No option to visit offices")</f>
        <v>Fully Remote with No option to visit offices</v>
      </c>
      <c r="L59" s="1" t="str">
        <f ca="1">IFERROR(__xludf.DUMMYFUNCTION("""COMPUTED_VALUE"""),"Employer who appreciates learning and enables that environment")</f>
        <v>Employer who appreciates learning and enables that environment</v>
      </c>
      <c r="M59" s="1" t="str">
        <f ca="1">IFERROR(__xludf.DUMMYFUNCTION("""COMPUTED_VALUE"""),"Self Paced Learning Portals, Instructor or Expert Learning Programs")</f>
        <v>Self Paced Learning Portals, Instructor or Expert Learning Programs</v>
      </c>
      <c r="N59" s="1" t="str">
        <f ca="1">IFERROR(__xludf.DUMMYFUNCTION("""COMPUTED_VALUE"""),"Design and Creative strategy in any company, Design and Develop amazing software, Become a content Creator in some platform")</f>
        <v>Design and Creative strategy in any company, Design and Develop amazing software, Become a content Creator in some platform</v>
      </c>
      <c r="O59" s="1" t="str">
        <f ca="1">IFERROR(__xludf.DUMMYFUNCTION("""COMPUTED_VALUE"""),"Manager who clearly describes what she/he needs")</f>
        <v>Manager who clearly describes what she/he needs</v>
      </c>
      <c r="P59" s="1" t="str">
        <f ca="1">IFERROR(__xludf.DUMMYFUNCTION("""COMPUTED_VALUE"""),"Work alone")</f>
        <v>Work alone</v>
      </c>
      <c r="Q59" s="1"/>
      <c r="R59" s="1"/>
      <c r="S59" s="1"/>
    </row>
    <row r="60" spans="1:19" ht="12.5" x14ac:dyDescent="0.25">
      <c r="A60" s="2">
        <f ca="1">IFERROR(__xludf.DUMMYFUNCTION("""COMPUTED_VALUE"""),44911.6818627893)</f>
        <v>44911.681862789301</v>
      </c>
      <c r="B60" s="1" t="str">
        <f ca="1">IFERROR(__xludf.DUMMYFUNCTION("""COMPUTED_VALUE"""),"India")</f>
        <v>India</v>
      </c>
      <c r="C60" s="1">
        <f ca="1">IFERROR(__xludf.DUMMYFUNCTION("""COMPUTED_VALUE"""),248001)</f>
        <v>248001</v>
      </c>
      <c r="D60" s="1" t="str">
        <f ca="1">IFERROR(__xludf.DUMMYFUNCTION("""COMPUTED_VALUE"""),"Female")</f>
        <v>Female</v>
      </c>
      <c r="E60" s="1" t="str">
        <f ca="1">IFERROR(__xludf.DUMMYFUNCTION("""COMPUTED_VALUE"""),"People who have changed the world for better")</f>
        <v>People who have changed the world for better</v>
      </c>
      <c r="F60" s="1" t="str">
        <f ca="1">IFERROR(__xludf.DUMMYFUNCTION("""COMPUTED_VALUE"""),"No, But if someone could bare the cost I will")</f>
        <v>No, But if someone could bare the cost I will</v>
      </c>
      <c r="G60" s="1" t="str">
        <f ca="1">IFERROR(__xludf.DUMMYFUNCTION("""COMPUTED_VALUE"""),"This will be hard to do, but if it is the right company I would try")</f>
        <v>This will be hard to do, but if it is the right company I would try</v>
      </c>
      <c r="H60" s="1" t="str">
        <f ca="1">IFERROR(__xludf.DUMMYFUNCTION("""COMPUTED_VALUE"""),"No")</f>
        <v>No</v>
      </c>
      <c r="I60" s="1" t="str">
        <f ca="1">IFERROR(__xludf.DUMMYFUNCTION("""COMPUTED_VALUE"""),"Will NOT work for them")</f>
        <v>Will NOT work for them</v>
      </c>
      <c r="J60" s="1">
        <f ca="1">IFERROR(__xludf.DUMMYFUNCTION("""COMPUTED_VALUE"""),6)</f>
        <v>6</v>
      </c>
      <c r="K60" s="1" t="str">
        <f ca="1">IFERROR(__xludf.DUMMYFUNCTION("""COMPUTED_VALUE"""),"Hybrid Working Environment with less than 10 days a month at office")</f>
        <v>Hybrid Working Environment with less than 10 days a month at office</v>
      </c>
      <c r="L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0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60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60" s="1" t="str">
        <f ca="1">IFERROR(__xludf.DUMMYFUNCTION("""COMPUTED_VALUE"""),"Manager who explains what is expected, sets a goal and helps achieve it")</f>
        <v>Manager who explains what is expected, sets a goal and helps achieve it</v>
      </c>
      <c r="P60" s="1" t="str">
        <f ca="1">IFERROR(__xludf.DUMMYFUNCTION("""COMPUTED_VALUE"""),"Work with 2 to 3 people in my team")</f>
        <v>Work with 2 to 3 people in my team</v>
      </c>
      <c r="Q60" s="1"/>
      <c r="R60" s="1"/>
      <c r="S60" s="1"/>
    </row>
    <row r="61" spans="1:19" ht="12.5" x14ac:dyDescent="0.25">
      <c r="A61" s="2">
        <f ca="1">IFERROR(__xludf.DUMMYFUNCTION("""COMPUTED_VALUE"""),44911.695590243)</f>
        <v>44911.695590242998</v>
      </c>
      <c r="B61" s="1" t="str">
        <f ca="1">IFERROR(__xludf.DUMMYFUNCTION("""COMPUTED_VALUE"""),"India")</f>
        <v>India</v>
      </c>
      <c r="C61" s="1">
        <f ca="1">IFERROR(__xludf.DUMMYFUNCTION("""COMPUTED_VALUE"""),785001)</f>
        <v>785001</v>
      </c>
      <c r="D61" s="1" t="str">
        <f ca="1">IFERROR(__xludf.DUMMYFUNCTION("""COMPUTED_VALUE"""),"Male")</f>
        <v>Male</v>
      </c>
      <c r="E61" s="1" t="str">
        <f ca="1">IFERROR(__xludf.DUMMYFUNCTION("""COMPUTED_VALUE"""),"My Parents")</f>
        <v>My Parents</v>
      </c>
      <c r="F61" s="1" t="str">
        <f ca="1">IFERROR(__xludf.DUMMYFUNCTION("""COMPUTED_VALUE"""),"Yes, I will earn and do that")</f>
        <v>Yes, I will earn and do that</v>
      </c>
      <c r="G61" s="1" t="str">
        <f ca="1">IFERROR(__xludf.DUMMYFUNCTION("""COMPUTED_VALUE"""),"Will work for 3 years or more")</f>
        <v>Will work for 3 years or more</v>
      </c>
      <c r="H61" s="1" t="str">
        <f ca="1">IFERROR(__xludf.DUMMYFUNCTION("""COMPUTED_VALUE"""),"No")</f>
        <v>No</v>
      </c>
      <c r="I61" s="1" t="str">
        <f ca="1">IFERROR(__xludf.DUMMYFUNCTION("""COMPUTED_VALUE"""),"Will NOT work for them")</f>
        <v>Will NOT work for them</v>
      </c>
      <c r="J61" s="1">
        <f ca="1">IFERROR(__xludf.DUMMYFUNCTION("""COMPUTED_VALUE"""),8)</f>
        <v>8</v>
      </c>
      <c r="K61" s="1" t="str">
        <f ca="1">IFERROR(__xludf.DUMMYFUNCTION("""COMPUTED_VALUE"""),"Every Day Office Environment")</f>
        <v>Every Day Office Environment</v>
      </c>
      <c r="L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1" s="1" t="str">
        <f ca="1">IFERROR(__xludf.DUMMYFUNCTION("""COMPUTED_VALUE"""),"Self Paced Learning Portals, Instructor or Expert Learning Programs")</f>
        <v>Self Paced Learning Portals, Instructor or Expert Learning Programs</v>
      </c>
      <c r="N61" s="1" t="str">
        <f ca="1">IFERROR(__xludf.DUMMYFUNCTION("""COMPUTED_VALUE"""),"Business Operations in any organization, Build and develop a Team, Become a content Creator in some platform")</f>
        <v>Business Operations in any organization, Build and develop a Team, Become a content Creator in some platform</v>
      </c>
      <c r="O61" s="1" t="str">
        <f ca="1">IFERROR(__xludf.DUMMYFUNCTION("""COMPUTED_VALUE"""),"Manager who explains what is expected, sets a goal and helps achieve it")</f>
        <v>Manager who explains what is expected, sets a goal and helps achieve it</v>
      </c>
      <c r="P61" s="1" t="str">
        <f ca="1">IFERROR(__xludf.DUMMYFUNCTION("""COMPUTED_VALUE"""),"Work with 2 to 3 people in my team")</f>
        <v>Work with 2 to 3 people in my team</v>
      </c>
      <c r="Q61" s="1"/>
      <c r="R61" s="1"/>
      <c r="S61" s="1"/>
    </row>
    <row r="62" spans="1:19" ht="12.5" x14ac:dyDescent="0.25">
      <c r="A62" s="2">
        <f ca="1">IFERROR(__xludf.DUMMYFUNCTION("""COMPUTED_VALUE"""),44911.6962909143)</f>
        <v>44911.696290914297</v>
      </c>
      <c r="B62" s="1" t="str">
        <f ca="1">IFERROR(__xludf.DUMMYFUNCTION("""COMPUTED_VALUE"""),"India")</f>
        <v>India</v>
      </c>
      <c r="C62" s="1">
        <f ca="1">IFERROR(__xludf.DUMMYFUNCTION("""COMPUTED_VALUE"""),852218)</f>
        <v>852218</v>
      </c>
      <c r="D62" s="1" t="str">
        <f ca="1">IFERROR(__xludf.DUMMYFUNCTION("""COMPUTED_VALUE"""),"Male")</f>
        <v>Male</v>
      </c>
      <c r="E62" s="1" t="str">
        <f ca="1">IFERROR(__xludf.DUMMYFUNCTION("""COMPUTED_VALUE"""),"My Parents")</f>
        <v>My Parents</v>
      </c>
      <c r="F62" s="1" t="str">
        <f ca="1">IFERROR(__xludf.DUMMYFUNCTION("""COMPUTED_VALUE"""),"No I would not be pursuing Higher Education outside of India")</f>
        <v>No I would not be pursuing Higher Education outside of India</v>
      </c>
      <c r="G62" s="1" t="str">
        <f ca="1">IFERROR(__xludf.DUMMYFUNCTION("""COMPUTED_VALUE"""),"This will be hard to do, but if it is the right company I would try")</f>
        <v>This will be hard to do, but if it is the right company I would try</v>
      </c>
      <c r="H62" s="1" t="str">
        <f ca="1">IFERROR(__xludf.DUMMYFUNCTION("""COMPUTED_VALUE"""),"No")</f>
        <v>No</v>
      </c>
      <c r="I62" s="1" t="str">
        <f ca="1">IFERROR(__xludf.DUMMYFUNCTION("""COMPUTED_VALUE"""),"Will NOT work for them")</f>
        <v>Will NOT work for them</v>
      </c>
      <c r="J62" s="1">
        <f ca="1">IFERROR(__xludf.DUMMYFUNCTION("""COMPUTED_VALUE"""),5)</f>
        <v>5</v>
      </c>
      <c r="K62" s="1" t="str">
        <f ca="1">IFERROR(__xludf.DUMMYFUNCTION("""COMPUTED_VALUE"""),"Fully Remote with Options to travel as and when needed")</f>
        <v>Fully Remote with Options to travel as and when needed</v>
      </c>
      <c r="L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62" s="1" t="str">
        <f ca="1">IFERROR(__xludf.DUMMYFUNCTION("""COMPUTED_VALUE"""),"Build and develop a Team, Design and Develop amazing software, Look deeply into Data and generate insights")</f>
        <v>Build and develop a Team, Design and Develop amazing software, Look deeply into Data and generate insights</v>
      </c>
      <c r="O62" s="1" t="str">
        <f ca="1">IFERROR(__xludf.DUMMYFUNCTION("""COMPUTED_VALUE"""),"Manager who sets goal and helps me achieve it")</f>
        <v>Manager who sets goal and helps me achieve it</v>
      </c>
      <c r="P62" s="1" t="str">
        <f ca="1">IFERROR(__xludf.DUMMYFUNCTION("""COMPUTED_VALUE"""),"Work with 5 to 6 people in my team")</f>
        <v>Work with 5 to 6 people in my team</v>
      </c>
      <c r="Q62" s="1"/>
      <c r="R62" s="1"/>
      <c r="S62" s="1"/>
    </row>
    <row r="63" spans="1:19" ht="12.5" x14ac:dyDescent="0.25">
      <c r="A63" s="2">
        <f ca="1">IFERROR(__xludf.DUMMYFUNCTION("""COMPUTED_VALUE"""),44911.6987544444)</f>
        <v>44911.698754444398</v>
      </c>
      <c r="B63" s="1" t="str">
        <f ca="1">IFERROR(__xludf.DUMMYFUNCTION("""COMPUTED_VALUE"""),"India")</f>
        <v>India</v>
      </c>
      <c r="C63" s="1">
        <f ca="1">IFERROR(__xludf.DUMMYFUNCTION("""COMPUTED_VALUE"""),411038)</f>
        <v>411038</v>
      </c>
      <c r="D63" s="1" t="str">
        <f ca="1">IFERROR(__xludf.DUMMYFUNCTION("""COMPUTED_VALUE"""),"Male")</f>
        <v>Male</v>
      </c>
      <c r="E63" s="1" t="str">
        <f ca="1">IFERROR(__xludf.DUMMYFUNCTION("""COMPUTED_VALUE"""),"People who have changed the world for better")</f>
        <v>People who have changed the world for better</v>
      </c>
      <c r="F63" s="1" t="str">
        <f ca="1">IFERROR(__xludf.DUMMYFUNCTION("""COMPUTED_VALUE"""),"Yes, I will earn and do that")</f>
        <v>Yes, I will earn and do that</v>
      </c>
      <c r="G63" s="1" t="str">
        <f ca="1">IFERROR(__xludf.DUMMYFUNCTION("""COMPUTED_VALUE"""),"This will be hard to do, but if it is the right company I would try")</f>
        <v>This will be hard to do, but if it is the right company I would try</v>
      </c>
      <c r="H63" s="1" t="str">
        <f ca="1">IFERROR(__xludf.DUMMYFUNCTION("""COMPUTED_VALUE"""),"No")</f>
        <v>No</v>
      </c>
      <c r="I63" s="1" t="str">
        <f ca="1">IFERROR(__xludf.DUMMYFUNCTION("""COMPUTED_VALUE"""),"Will NOT work for them")</f>
        <v>Will NOT work for them</v>
      </c>
      <c r="J63" s="1">
        <f ca="1">IFERROR(__xludf.DUMMYFUNCTION("""COMPUTED_VALUE"""),8)</f>
        <v>8</v>
      </c>
      <c r="K63" s="1" t="str">
        <f ca="1">IFERROR(__xludf.DUMMYFUNCTION("""COMPUTED_VALUE"""),"Hybrid Working Environment with less than 3 days a month at office")</f>
        <v>Hybrid Working Environment with less than 3 days a month at office</v>
      </c>
      <c r="L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3" s="1" t="str">
        <f ca="1">IFERROR(__xludf.DUMMYFUNCTION("""COMPUTED_VALUE"""),"Self Paced Learning Portals, Learning by observing others")</f>
        <v>Self Paced Learning Portals, Learning by observing others</v>
      </c>
      <c r="N63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63" s="1" t="str">
        <f ca="1">IFERROR(__xludf.DUMMYFUNCTION("""COMPUTED_VALUE"""),"Manager who explains what is expected, sets a goal and helps achieve it")</f>
        <v>Manager who explains what is expected, sets a goal and helps achieve it</v>
      </c>
      <c r="P63" s="1" t="str">
        <f ca="1">IFERROR(__xludf.DUMMYFUNCTION("""COMPUTED_VALUE"""),"Work alone, Work with 2 to 3 people in my team")</f>
        <v>Work alone, Work with 2 to 3 people in my team</v>
      </c>
      <c r="Q63" s="1"/>
      <c r="R63" s="1"/>
      <c r="S63" s="1"/>
    </row>
    <row r="64" spans="1:19" ht="12.5" x14ac:dyDescent="0.25">
      <c r="A64" s="2">
        <f ca="1">IFERROR(__xludf.DUMMYFUNCTION("""COMPUTED_VALUE"""),44911.7000213541)</f>
        <v>44911.700021354103</v>
      </c>
      <c r="B64" s="1" t="str">
        <f ca="1">IFERROR(__xludf.DUMMYFUNCTION("""COMPUTED_VALUE"""),"India")</f>
        <v>India</v>
      </c>
      <c r="C64" s="1">
        <f ca="1">IFERROR(__xludf.DUMMYFUNCTION("""COMPUTED_VALUE"""),282007)</f>
        <v>282007</v>
      </c>
      <c r="D64" s="1" t="str">
        <f ca="1">IFERROR(__xludf.DUMMYFUNCTION("""COMPUTED_VALUE"""),"Female")</f>
        <v>Female</v>
      </c>
      <c r="E64" s="1" t="str">
        <f ca="1">IFERROR(__xludf.DUMMYFUNCTION("""COMPUTED_VALUE"""),"Influencers who had successful careers")</f>
        <v>Influencers who had successful careers</v>
      </c>
      <c r="F64" s="1" t="str">
        <f ca="1">IFERROR(__xludf.DUMMYFUNCTION("""COMPUTED_VALUE"""),"No I would not be pursuing Higher Education outside of India")</f>
        <v>No I would not be pursuing Higher Education outside of India</v>
      </c>
      <c r="G64" s="1" t="str">
        <f ca="1">IFERROR(__xludf.DUMMYFUNCTION("""COMPUTED_VALUE"""),"This will be hard to do, but if it is the right company I would try")</f>
        <v>This will be hard to do, but if it is the right company I would try</v>
      </c>
      <c r="H64" s="1" t="str">
        <f ca="1">IFERROR(__xludf.DUMMYFUNCTION("""COMPUTED_VALUE"""),"No")</f>
        <v>No</v>
      </c>
      <c r="I64" s="1" t="str">
        <f ca="1">IFERROR(__xludf.DUMMYFUNCTION("""COMPUTED_VALUE"""),"Will NOT work for them")</f>
        <v>Will NOT work for them</v>
      </c>
      <c r="J64" s="1">
        <f ca="1">IFERROR(__xludf.DUMMYFUNCTION("""COMPUTED_VALUE"""),7)</f>
        <v>7</v>
      </c>
      <c r="K64" s="1" t="str">
        <f ca="1">IFERROR(__xludf.DUMMYFUNCTION("""COMPUTED_VALUE"""),"Hybrid Working Environment with less than 15 days a month at office")</f>
        <v>Hybrid Working Environment with less than 15 days a month at office</v>
      </c>
      <c r="L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4" s="1" t="str">
        <f ca="1">IFERROR(__xludf.DUMMYFUNCTION("""COMPUTED_VALUE"""),"Instructor or Expert Learning Programs, Learning by observing others")</f>
        <v>Instructor or Expert Learning Programs, Learning by observing others</v>
      </c>
      <c r="N64" s="1" t="str">
        <f ca="1">IFERROR(__xludf.DUMMYFUNCTION("""COMPUTED_VALUE"""),"Design and Creative strategy in any company, Teaching in any of the institutes/online or Offline, Manage and drive End-to-End Projects or Products")</f>
        <v>Design and Creative strategy in any company, Teaching in any of the institutes/online or Offline, Manage and drive End-to-End Projects or Products</v>
      </c>
      <c r="O64" s="1" t="str">
        <f ca="1">IFERROR(__xludf.DUMMYFUNCTION("""COMPUTED_VALUE"""),"Manager who explains what is expected, sets a goal and helps achieve it")</f>
        <v>Manager who explains what is expected, sets a goal and helps achieve it</v>
      </c>
      <c r="P64" s="1" t="str">
        <f ca="1">IFERROR(__xludf.DUMMYFUNCTION("""COMPUTED_VALUE"""),"Work with more than 10 people in my team")</f>
        <v>Work with more than 10 people in my team</v>
      </c>
      <c r="Q64" s="1"/>
      <c r="R64" s="1"/>
      <c r="S64" s="1"/>
    </row>
    <row r="65" spans="1:19" ht="12.5" x14ac:dyDescent="0.25">
      <c r="A65" s="2">
        <f ca="1">IFERROR(__xludf.DUMMYFUNCTION("""COMPUTED_VALUE"""),44911.7057608912)</f>
        <v>44911.7057608912</v>
      </c>
      <c r="B65" s="1" t="str">
        <f ca="1">IFERROR(__xludf.DUMMYFUNCTION("""COMPUTED_VALUE"""),"India")</f>
        <v>India</v>
      </c>
      <c r="C65" s="1">
        <f ca="1">IFERROR(__xludf.DUMMYFUNCTION("""COMPUTED_VALUE"""),207001)</f>
        <v>207001</v>
      </c>
      <c r="D65" s="1" t="str">
        <f ca="1">IFERROR(__xludf.DUMMYFUNCTION("""COMPUTED_VALUE"""),"Male")</f>
        <v>Male</v>
      </c>
      <c r="E65" s="1" t="str">
        <f ca="1">IFERROR(__xludf.DUMMYFUNCTION("""COMPUTED_VALUE"""),"People from my circle, but not family members")</f>
        <v>People from my circle, but not family members</v>
      </c>
      <c r="F65" s="1" t="str">
        <f ca="1">IFERROR(__xludf.DUMMYFUNCTION("""COMPUTED_VALUE"""),"No, But if someone could bare the cost I will")</f>
        <v>No, But if someone could bare the cost I will</v>
      </c>
      <c r="G65" s="1" t="str">
        <f ca="1">IFERROR(__xludf.DUMMYFUNCTION("""COMPUTED_VALUE"""),"This will be hard to do, but if it is the right company I would try")</f>
        <v>This will be hard to do, but if it is the right company I would try</v>
      </c>
      <c r="H65" s="1" t="str">
        <f ca="1">IFERROR(__xludf.DUMMYFUNCTION("""COMPUTED_VALUE"""),"No")</f>
        <v>No</v>
      </c>
      <c r="I65" s="1" t="str">
        <f ca="1">IFERROR(__xludf.DUMMYFUNCTION("""COMPUTED_VALUE"""),"Will NOT work for them")</f>
        <v>Will NOT work for them</v>
      </c>
      <c r="J65" s="1">
        <f ca="1">IFERROR(__xludf.DUMMYFUNCTION("""COMPUTED_VALUE"""),5)</f>
        <v>5</v>
      </c>
      <c r="K65" s="1" t="str">
        <f ca="1">IFERROR(__xludf.DUMMYFUNCTION("""COMPUTED_VALUE"""),"Fully Remote with Options to travel as and when needed")</f>
        <v>Fully Remote with Options to travel as and when needed</v>
      </c>
      <c r="L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5" s="1" t="str">
        <f ca="1">IFERROR(__xludf.DUMMYFUNCTION("""COMPUTED_VALUE"""),"Self Paced Learning Portals, Instructor or Expert Learning Programs")</f>
        <v>Self Paced Learning Portals, Instructor or Expert Learning Programs</v>
      </c>
      <c r="N65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65" s="1" t="str">
        <f ca="1">IFERROR(__xludf.DUMMYFUNCTION("""COMPUTED_VALUE"""),"Manager who explains what is expected, sets a goal and helps achieve it")</f>
        <v>Manager who explains what is expected, sets a goal and helps achieve it</v>
      </c>
      <c r="P65" s="1" t="str">
        <f ca="1">IFERROR(__xludf.DUMMYFUNCTION("""COMPUTED_VALUE"""),"Work with more than 10 people in my team")</f>
        <v>Work with more than 10 people in my team</v>
      </c>
      <c r="Q65" s="1"/>
      <c r="R65" s="1"/>
      <c r="S65" s="1"/>
    </row>
    <row r="66" spans="1:19" ht="12.5" x14ac:dyDescent="0.25">
      <c r="A66" s="2">
        <f ca="1">IFERROR(__xludf.DUMMYFUNCTION("""COMPUTED_VALUE"""),44911.7076760069)</f>
        <v>44911.707676006903</v>
      </c>
      <c r="B66" s="1" t="str">
        <f ca="1">IFERROR(__xludf.DUMMYFUNCTION("""COMPUTED_VALUE"""),"India")</f>
        <v>India</v>
      </c>
      <c r="C66" s="1">
        <f ca="1">IFERROR(__xludf.DUMMYFUNCTION("""COMPUTED_VALUE"""),425301)</f>
        <v>425301</v>
      </c>
      <c r="D66" s="1" t="str">
        <f ca="1">IFERROR(__xludf.DUMMYFUNCTION("""COMPUTED_VALUE"""),"Female")</f>
        <v>Female</v>
      </c>
      <c r="E66" s="1" t="str">
        <f ca="1">IFERROR(__xludf.DUMMYFUNCTION("""COMPUTED_VALUE"""),"People who have changed the world for better")</f>
        <v>People who have changed the world for better</v>
      </c>
      <c r="F66" s="1" t="str">
        <f ca="1">IFERROR(__xludf.DUMMYFUNCTION("""COMPUTED_VALUE"""),"No I would not be pursuing Higher Education outside of India")</f>
        <v>No I would not be pursuing Higher Education outside of India</v>
      </c>
      <c r="G66" s="1" t="str">
        <f ca="1">IFERROR(__xludf.DUMMYFUNCTION("""COMPUTED_VALUE"""),"This will be hard to do, but if it is the right company I would try")</f>
        <v>This will be hard to do, but if it is the right company I would try</v>
      </c>
      <c r="H66" s="1" t="str">
        <f ca="1">IFERROR(__xludf.DUMMYFUNCTION("""COMPUTED_VALUE"""),"No")</f>
        <v>No</v>
      </c>
      <c r="I66" s="1" t="str">
        <f ca="1">IFERROR(__xludf.DUMMYFUNCTION("""COMPUTED_VALUE"""),"Will NOT work for them")</f>
        <v>Will NOT work for them</v>
      </c>
      <c r="J66" s="1">
        <f ca="1">IFERROR(__xludf.DUMMYFUNCTION("""COMPUTED_VALUE"""),6)</f>
        <v>6</v>
      </c>
      <c r="K66" s="1" t="str">
        <f ca="1">IFERROR(__xludf.DUMMYFUNCTION("""COMPUTED_VALUE"""),"Hybrid Working Environment with less than 10 days a month at office")</f>
        <v>Hybrid Working Environment with less than 10 days a month at office</v>
      </c>
      <c r="L66" s="1" t="str">
        <f ca="1">IFERROR(__xludf.DUMMYFUNCTION("""COMPUTED_VALUE"""),"Employer who rewards learning and enables that environment")</f>
        <v>Employer who rewards learning and enables that environment</v>
      </c>
      <c r="M66" s="1" t="str">
        <f ca="1">IFERROR(__xludf.DUMMYFUNCTION("""COMPUTED_VALUE"""),"Self Paced Learning Portals, Instructor or Expert Learning Programs")</f>
        <v>Self Paced Learning Portals, Instructor or Expert Learning Programs</v>
      </c>
      <c r="N66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66" s="1" t="str">
        <f ca="1">IFERROR(__xludf.DUMMYFUNCTION("""COMPUTED_VALUE"""),"Manager who explains what is expected, sets a goal and helps achieve it")</f>
        <v>Manager who explains what is expected, sets a goal and helps achieve it</v>
      </c>
      <c r="P66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66" s="1"/>
      <c r="R66" s="1"/>
      <c r="S66" s="1"/>
    </row>
    <row r="67" spans="1:19" ht="12.5" x14ac:dyDescent="0.25">
      <c r="A67" s="2">
        <f ca="1">IFERROR(__xludf.DUMMYFUNCTION("""COMPUTED_VALUE"""),44911.7107908796)</f>
        <v>44911.710790879602</v>
      </c>
      <c r="B67" s="1" t="str">
        <f ca="1">IFERROR(__xludf.DUMMYFUNCTION("""COMPUTED_VALUE"""),"India")</f>
        <v>India</v>
      </c>
      <c r="C67" s="1">
        <f ca="1">IFERROR(__xludf.DUMMYFUNCTION("""COMPUTED_VALUE"""),828122)</f>
        <v>828122</v>
      </c>
      <c r="D67" s="1" t="str">
        <f ca="1">IFERROR(__xludf.DUMMYFUNCTION("""COMPUTED_VALUE"""),"Male")</f>
        <v>Male</v>
      </c>
      <c r="E67" s="1" t="str">
        <f ca="1">IFERROR(__xludf.DUMMYFUNCTION("""COMPUTED_VALUE"""),"People who have changed the world for better")</f>
        <v>People who have changed the world for better</v>
      </c>
      <c r="F67" s="1" t="str">
        <f ca="1">IFERROR(__xludf.DUMMYFUNCTION("""COMPUTED_VALUE"""),"No, But if someone could bare the cost I will")</f>
        <v>No, But if someone could bare the cost I will</v>
      </c>
      <c r="G67" s="1" t="str">
        <f ca="1">IFERROR(__xludf.DUMMYFUNCTION("""COMPUTED_VALUE"""),"This will be hard to do, but if it is the right company I would try")</f>
        <v>This will be hard to do, but if it is the right company I would try</v>
      </c>
      <c r="H67" s="1" t="str">
        <f ca="1">IFERROR(__xludf.DUMMYFUNCTION("""COMPUTED_VALUE"""),"No")</f>
        <v>No</v>
      </c>
      <c r="I67" s="1" t="str">
        <f ca="1">IFERROR(__xludf.DUMMYFUNCTION("""COMPUTED_VALUE"""),"Will work for them")</f>
        <v>Will work for them</v>
      </c>
      <c r="J67" s="1">
        <f ca="1">IFERROR(__xludf.DUMMYFUNCTION("""COMPUTED_VALUE"""),8)</f>
        <v>8</v>
      </c>
      <c r="K67" s="1" t="str">
        <f ca="1">IFERROR(__xludf.DUMMYFUNCTION("""COMPUTED_VALUE"""),"Hybrid Working Environment with less than 10 days a month at office")</f>
        <v>Hybrid Working Environment with less than 10 days a month at office</v>
      </c>
      <c r="L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7" s="1" t="str">
        <f ca="1">IFERROR(__xludf.DUMMYFUNCTION("""COMPUTED_VALUE"""),"Instructor or Expert Learning Programs, Learning by observing others")</f>
        <v>Instructor or Expert Learning Programs, Learning by observing others</v>
      </c>
      <c r="N67" s="1" t="str">
        <f ca="1">IFERROR(__xludf.DUMMYFUNCTION("""COMPUTED_VALUE"""),"Design and Creative strategy in any company, Build and develop a Team, Design and Develop amazing software")</f>
        <v>Design and Creative strategy in any company, Build and develop a Team, Design and Develop amazing software</v>
      </c>
      <c r="O67" s="1" t="str">
        <f ca="1">IFERROR(__xludf.DUMMYFUNCTION("""COMPUTED_VALUE"""),"Manager who explains what is expected, sets a goal and helps achieve it")</f>
        <v>Manager who explains what is expected, sets a goal and helps achieve it</v>
      </c>
      <c r="P67" s="1" t="str">
        <f ca="1">IFERROR(__xludf.DUMMYFUNCTION("""COMPUTED_VALUE"""),"Work with 5 to 6 people in my team")</f>
        <v>Work with 5 to 6 people in my team</v>
      </c>
      <c r="Q67" s="1"/>
      <c r="R67" s="1"/>
      <c r="S67" s="1"/>
    </row>
    <row r="68" spans="1:19" ht="12.5" x14ac:dyDescent="0.25">
      <c r="A68" s="2">
        <f ca="1">IFERROR(__xludf.DUMMYFUNCTION("""COMPUTED_VALUE"""),44911.7196049652)</f>
        <v>44911.719604965198</v>
      </c>
      <c r="B68" s="1" t="str">
        <f ca="1">IFERROR(__xludf.DUMMYFUNCTION("""COMPUTED_VALUE"""),"India")</f>
        <v>India</v>
      </c>
      <c r="C68" s="1">
        <f ca="1">IFERROR(__xludf.DUMMYFUNCTION("""COMPUTED_VALUE"""),244901)</f>
        <v>244901</v>
      </c>
      <c r="D68" s="1" t="str">
        <f ca="1">IFERROR(__xludf.DUMMYFUNCTION("""COMPUTED_VALUE"""),"Male")</f>
        <v>Male</v>
      </c>
      <c r="E68" s="1" t="str">
        <f ca="1">IFERROR(__xludf.DUMMYFUNCTION("""COMPUTED_VALUE"""),"People who have changed the world for better")</f>
        <v>People who have changed the world for better</v>
      </c>
      <c r="F68" s="1" t="str">
        <f ca="1">IFERROR(__xludf.DUMMYFUNCTION("""COMPUTED_VALUE"""),"Yes, I will earn and do that")</f>
        <v>Yes, I will earn and do that</v>
      </c>
      <c r="G68" s="1" t="str">
        <f ca="1">IFERROR(__xludf.DUMMYFUNCTION("""COMPUTED_VALUE"""),"Will work for 3 years or more")</f>
        <v>Will work for 3 years or more</v>
      </c>
      <c r="H68" s="1" t="str">
        <f ca="1">IFERROR(__xludf.DUMMYFUNCTION("""COMPUTED_VALUE"""),"No")</f>
        <v>No</v>
      </c>
      <c r="I68" s="1" t="str">
        <f ca="1">IFERROR(__xludf.DUMMYFUNCTION("""COMPUTED_VALUE"""),"Will NOT work for them")</f>
        <v>Will NOT work for them</v>
      </c>
      <c r="J68" s="1">
        <f ca="1">IFERROR(__xludf.DUMMYFUNCTION("""COMPUTED_VALUE"""),5)</f>
        <v>5</v>
      </c>
      <c r="K68" s="1" t="str">
        <f ca="1">IFERROR(__xludf.DUMMYFUNCTION("""COMPUTED_VALUE"""),"Fully Remote with Options to travel as and when needed")</f>
        <v>Fully Remote with Options to travel as and when needed</v>
      </c>
      <c r="L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8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68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68" s="1" t="str">
        <f ca="1">IFERROR(__xludf.DUMMYFUNCTION("""COMPUTED_VALUE"""),"Manager who explains what is expected, sets a goal and helps achieve it")</f>
        <v>Manager who explains what is expected, sets a goal and helps achieve it</v>
      </c>
      <c r="P68" s="1" t="str">
        <f ca="1">IFERROR(__xludf.DUMMYFUNCTION("""COMPUTED_VALUE"""),"Work alone, Work with 5 to 6 people in my team")</f>
        <v>Work alone, Work with 5 to 6 people in my team</v>
      </c>
      <c r="Q68" s="1"/>
      <c r="R68" s="1"/>
      <c r="S68" s="1"/>
    </row>
    <row r="69" spans="1:19" ht="12.5" x14ac:dyDescent="0.25">
      <c r="A69" s="2">
        <f ca="1">IFERROR(__xludf.DUMMYFUNCTION("""COMPUTED_VALUE"""),44911.7341539004)</f>
        <v>44911.734153900397</v>
      </c>
      <c r="B69" s="1" t="str">
        <f ca="1">IFERROR(__xludf.DUMMYFUNCTION("""COMPUTED_VALUE"""),"India")</f>
        <v>India</v>
      </c>
      <c r="C69" s="1">
        <f ca="1">IFERROR(__xludf.DUMMYFUNCTION("""COMPUTED_VALUE"""),641021)</f>
        <v>641021</v>
      </c>
      <c r="D69" s="1" t="str">
        <f ca="1">IFERROR(__xludf.DUMMYFUNCTION("""COMPUTED_VALUE"""),"Female")</f>
        <v>Female</v>
      </c>
      <c r="E69" s="1" t="str">
        <f ca="1">IFERROR(__xludf.DUMMYFUNCTION("""COMPUTED_VALUE"""),"People who have changed the world for better")</f>
        <v>People who have changed the world for better</v>
      </c>
      <c r="F69" s="1" t="str">
        <f ca="1">IFERROR(__xludf.DUMMYFUNCTION("""COMPUTED_VALUE"""),"No, But if someone could bare the cost I will")</f>
        <v>No, But if someone could bare the cost I will</v>
      </c>
      <c r="G69" s="1" t="str">
        <f ca="1">IFERROR(__xludf.DUMMYFUNCTION("""COMPUTED_VALUE"""),"This will be hard to do, but if it is the right company I would try")</f>
        <v>This will be hard to do, but if it is the right company I would try</v>
      </c>
      <c r="H69" s="1" t="str">
        <f ca="1">IFERROR(__xludf.DUMMYFUNCTION("""COMPUTED_VALUE"""),"No")</f>
        <v>No</v>
      </c>
      <c r="I69" s="1" t="str">
        <f ca="1">IFERROR(__xludf.DUMMYFUNCTION("""COMPUTED_VALUE"""),"Will NOT work for them")</f>
        <v>Will NOT work for them</v>
      </c>
      <c r="J69" s="1">
        <f ca="1">IFERROR(__xludf.DUMMYFUNCTION("""COMPUTED_VALUE"""),7)</f>
        <v>7</v>
      </c>
      <c r="K69" s="1" t="str">
        <f ca="1">IFERROR(__xludf.DUMMYFUNCTION("""COMPUTED_VALUE"""),"Fully Remote with Options to travel as and when needed")</f>
        <v>Fully Remote with Options to travel as and when needed</v>
      </c>
      <c r="L69" s="1" t="str">
        <f ca="1">IFERROR(__xludf.DUMMYFUNCTION("""COMPUTED_VALUE"""),"Employer who rewards learning and enables that environment")</f>
        <v>Employer who rewards learning and enables that environment</v>
      </c>
      <c r="M69" s="1" t="str">
        <f ca="1">IFERROR(__xludf.DUMMYFUNCTION("""COMPUTED_VALUE"""),"Self Paced Learning Portals, Instructor or Expert Learning Programs")</f>
        <v>Self Paced Learning Portals, Instructor or Expert Learning Programs</v>
      </c>
      <c r="N69" s="1" t="str">
        <f ca="1">IFERROR(__xludf.DUMMYFUNCTION("""COMPUTED_VALUE"""),"Design and Creative strategy in any company, Teaching in any of the institutes/online or Offline, Become a content Creator in some platform")</f>
        <v>Design and Creative strategy in any company, Teaching in any of the institutes/online or Offline, Become a content Creator in some platform</v>
      </c>
      <c r="O69" s="1" t="str">
        <f ca="1">IFERROR(__xludf.DUMMYFUNCTION("""COMPUTED_VALUE"""),"Manager who explains what is expected, sets a goal and helps achieve it")</f>
        <v>Manager who explains what is expected, sets a goal and helps achieve it</v>
      </c>
      <c r="P69" s="1" t="str">
        <f ca="1">IFERROR(__xludf.DUMMYFUNCTION("""COMPUTED_VALUE"""),"Work with more than 10 people in my team")</f>
        <v>Work with more than 10 people in my team</v>
      </c>
      <c r="Q69" s="1"/>
      <c r="R69" s="1"/>
      <c r="S69" s="1"/>
    </row>
    <row r="70" spans="1:19" ht="12.5" x14ac:dyDescent="0.25">
      <c r="A70" s="2">
        <f ca="1">IFERROR(__xludf.DUMMYFUNCTION("""COMPUTED_VALUE"""),44911.74608625)</f>
        <v>44911.746086250001</v>
      </c>
      <c r="B70" s="1" t="str">
        <f ca="1">IFERROR(__xludf.DUMMYFUNCTION("""COMPUTED_VALUE"""),"India")</f>
        <v>India</v>
      </c>
      <c r="C70" s="1">
        <f ca="1">IFERROR(__xludf.DUMMYFUNCTION("""COMPUTED_VALUE"""),560060)</f>
        <v>560060</v>
      </c>
      <c r="D70" s="1" t="str">
        <f ca="1">IFERROR(__xludf.DUMMYFUNCTION("""COMPUTED_VALUE"""),"Female")</f>
        <v>Female</v>
      </c>
      <c r="E70" s="1" t="str">
        <f ca="1">IFERROR(__xludf.DUMMYFUNCTION("""COMPUTED_VALUE"""),"My Parents")</f>
        <v>My Parents</v>
      </c>
      <c r="F70" s="1" t="str">
        <f ca="1">IFERROR(__xludf.DUMMYFUNCTION("""COMPUTED_VALUE"""),"No I would not be pursuing Higher Education outside of India")</f>
        <v>No I would not be pursuing Higher Education outside of India</v>
      </c>
      <c r="G70" s="1" t="str">
        <f ca="1">IFERROR(__xludf.DUMMYFUNCTION("""COMPUTED_VALUE"""),"Will work for 3 years or more")</f>
        <v>Will work for 3 years or more</v>
      </c>
      <c r="H70" s="1" t="str">
        <f ca="1">IFERROR(__xludf.DUMMYFUNCTION("""COMPUTED_VALUE"""),"Yes")</f>
        <v>Yes</v>
      </c>
      <c r="I70" s="1" t="str">
        <f ca="1">IFERROR(__xludf.DUMMYFUNCTION("""COMPUTED_VALUE"""),"Will work for them")</f>
        <v>Will work for them</v>
      </c>
      <c r="J70" s="1">
        <f ca="1">IFERROR(__xludf.DUMMYFUNCTION("""COMPUTED_VALUE"""),5)</f>
        <v>5</v>
      </c>
      <c r="K70" s="1" t="str">
        <f ca="1">IFERROR(__xludf.DUMMYFUNCTION("""COMPUTED_VALUE"""),"Hybrid Working Environment with less than 15 days a month at office")</f>
        <v>Hybrid Working Environment with less than 15 days a month at office</v>
      </c>
      <c r="L70" s="1" t="str">
        <f ca="1">IFERROR(__xludf.DUMMYFUNCTION("""COMPUTED_VALUE"""),"Employer who appreciates learning and enables that environment")</f>
        <v>Employer who appreciates learning and enables that environment</v>
      </c>
      <c r="M70" s="1" t="str">
        <f ca="1">IFERROR(__xludf.DUMMYFUNCTION("""COMPUTED_VALUE"""),"Self Paced Learning Portals, Instructor or Expert Learning Programs")</f>
        <v>Self Paced Learning Portals, Instructor or Expert Learning Programs</v>
      </c>
      <c r="N70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70" s="1" t="str">
        <f ca="1">IFERROR(__xludf.DUMMYFUNCTION("""COMPUTED_VALUE"""),"Manager who clearly describes what she/he needs")</f>
        <v>Manager who clearly describes what she/he needs</v>
      </c>
      <c r="P70" s="1" t="str">
        <f ca="1">IFERROR(__xludf.DUMMYFUNCTION("""COMPUTED_VALUE"""),"Work alone")</f>
        <v>Work alone</v>
      </c>
      <c r="Q70" s="1"/>
      <c r="R70" s="1"/>
      <c r="S70" s="1"/>
    </row>
    <row r="71" spans="1:19" ht="12.5" x14ac:dyDescent="0.25">
      <c r="A71" s="2">
        <f ca="1">IFERROR(__xludf.DUMMYFUNCTION("""COMPUTED_VALUE"""),44911.7466268634)</f>
        <v>44911.746626863402</v>
      </c>
      <c r="B71" s="1" t="str">
        <f ca="1">IFERROR(__xludf.DUMMYFUNCTION("""COMPUTED_VALUE"""),"India")</f>
        <v>India</v>
      </c>
      <c r="C71" s="1">
        <f ca="1">IFERROR(__xludf.DUMMYFUNCTION("""COMPUTED_VALUE"""),560098)</f>
        <v>560098</v>
      </c>
      <c r="D71" s="1" t="str">
        <f ca="1">IFERROR(__xludf.DUMMYFUNCTION("""COMPUTED_VALUE"""),"Female")</f>
        <v>Female</v>
      </c>
      <c r="E71" s="1" t="str">
        <f ca="1">IFERROR(__xludf.DUMMYFUNCTION("""COMPUTED_VALUE"""),"Influencers who had successful careers")</f>
        <v>Influencers who had successful careers</v>
      </c>
      <c r="F71" s="1" t="str">
        <f ca="1">IFERROR(__xludf.DUMMYFUNCTION("""COMPUTED_VALUE"""),"Yes, I will earn and do that")</f>
        <v>Yes, I will earn and do that</v>
      </c>
      <c r="G71" s="1" t="str">
        <f ca="1">IFERROR(__xludf.DUMMYFUNCTION("""COMPUTED_VALUE"""),"This will be hard to do, but if it is the right company I would try")</f>
        <v>This will be hard to do, but if it is the right company I would try</v>
      </c>
      <c r="H71" s="1" t="str">
        <f ca="1">IFERROR(__xludf.DUMMYFUNCTION("""COMPUTED_VALUE"""),"No")</f>
        <v>No</v>
      </c>
      <c r="I71" s="1" t="str">
        <f ca="1">IFERROR(__xludf.DUMMYFUNCTION("""COMPUTED_VALUE"""),"Will NOT work for them")</f>
        <v>Will NOT work for them</v>
      </c>
      <c r="J71" s="1">
        <f ca="1">IFERROR(__xludf.DUMMYFUNCTION("""COMPUTED_VALUE"""),2)</f>
        <v>2</v>
      </c>
      <c r="K71" s="1" t="str">
        <f ca="1">IFERROR(__xludf.DUMMYFUNCTION("""COMPUTED_VALUE"""),"Hybrid Working Environment with less than 3 days a month at office")</f>
        <v>Hybrid Working Environment with less than 3 days a month at office</v>
      </c>
      <c r="L71" s="1" t="str">
        <f ca="1">IFERROR(__xludf.DUMMYFUNCTION("""COMPUTED_VALUE"""),"Employer who rewards learning and enables that environment")</f>
        <v>Employer who rewards learning and enables that environment</v>
      </c>
      <c r="M71" s="1" t="str">
        <f ca="1">IFERROR(__xludf.DUMMYFUNCTION("""COMPUTED_VALUE"""),"Instructor or Expert Learning Programs, Learning by observing others")</f>
        <v>Instructor or Expert Learning Programs, Learning by observing others</v>
      </c>
      <c r="N71" s="1" t="str">
        <f ca="1">IFERROR(__xludf.DUMMYFUNCTION("""COMPUTED_VALUE"""),"Design and Creative strategy in any company, Teaching in any of the institutes/online or Offline, Design and Develop amazing software")</f>
        <v>Design and Creative strategy in any company, Teaching in any of the institutes/online or Offline, Design and Develop amazing software</v>
      </c>
      <c r="O71" s="1" t="str">
        <f ca="1">IFERROR(__xludf.DUMMYFUNCTION("""COMPUTED_VALUE"""),"Manager who explains what is expected, sets a goal and helps achieve it")</f>
        <v>Manager who explains what is expected, sets a goal and helps achieve it</v>
      </c>
      <c r="P71" s="1" t="str">
        <f ca="1">IFERROR(__xludf.DUMMYFUNCTION("""COMPUTED_VALUE"""),"Work with 7 to 10 or more people in my team")</f>
        <v>Work with 7 to 10 or more people in my team</v>
      </c>
      <c r="Q71" s="1"/>
      <c r="R71" s="1"/>
      <c r="S71" s="1"/>
    </row>
    <row r="72" spans="1:19" ht="12.5" x14ac:dyDescent="0.25">
      <c r="A72" s="2">
        <f ca="1">IFERROR(__xludf.DUMMYFUNCTION("""COMPUTED_VALUE"""),44911.7622293865)</f>
        <v>44911.762229386499</v>
      </c>
      <c r="B72" s="1" t="str">
        <f ca="1">IFERROR(__xludf.DUMMYFUNCTION("""COMPUTED_VALUE"""),"India")</f>
        <v>India</v>
      </c>
      <c r="C72" s="1">
        <f ca="1">IFERROR(__xludf.DUMMYFUNCTION("""COMPUTED_VALUE"""),457001)</f>
        <v>457001</v>
      </c>
      <c r="D72" s="1" t="str">
        <f ca="1">IFERROR(__xludf.DUMMYFUNCTION("""COMPUTED_VALUE"""),"Female")</f>
        <v>Female</v>
      </c>
      <c r="E72" s="1" t="str">
        <f ca="1">IFERROR(__xludf.DUMMYFUNCTION("""COMPUTED_VALUE"""),"Influencers who had successful careers")</f>
        <v>Influencers who had successful careers</v>
      </c>
      <c r="F72" s="1" t="str">
        <f ca="1">IFERROR(__xludf.DUMMYFUNCTION("""COMPUTED_VALUE"""),"Yes, I will earn and do that")</f>
        <v>Yes, I will earn and do that</v>
      </c>
      <c r="G72" s="1" t="str">
        <f ca="1">IFERROR(__xludf.DUMMYFUNCTION("""COMPUTED_VALUE"""),"Will work for 3 years or more")</f>
        <v>Will work for 3 years or more</v>
      </c>
      <c r="H72" s="1" t="str">
        <f ca="1">IFERROR(__xludf.DUMMYFUNCTION("""COMPUTED_VALUE"""),"No")</f>
        <v>No</v>
      </c>
      <c r="I72" s="1" t="str">
        <f ca="1">IFERROR(__xludf.DUMMYFUNCTION("""COMPUTED_VALUE"""),"Will NOT work for them")</f>
        <v>Will NOT work for them</v>
      </c>
      <c r="J72" s="1">
        <f ca="1">IFERROR(__xludf.DUMMYFUNCTION("""COMPUTED_VALUE"""),1)</f>
        <v>1</v>
      </c>
      <c r="K72" s="1" t="str">
        <f ca="1">IFERROR(__xludf.DUMMYFUNCTION("""COMPUTED_VALUE"""),"Hybrid Working Environment with less than 10 days a month at office")</f>
        <v>Hybrid Working Environment with less than 10 days a month at office</v>
      </c>
      <c r="L72" s="1" t="str">
        <f ca="1">IFERROR(__xludf.DUMMYFUNCTION("""COMPUTED_VALUE"""),"Employer who appreciates learning and enables that environment")</f>
        <v>Employer who appreciates learning and enables that environment</v>
      </c>
      <c r="M72" s="1" t="str">
        <f ca="1">IFERROR(__xludf.DUMMYFUNCTION("""COMPUTED_VALUE"""),"Instructor or Expert Learning Programs, Learning by observing others")</f>
        <v>Instructor or Expert Learning Programs, Learning by observing others</v>
      </c>
      <c r="N72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72" s="1" t="str">
        <f ca="1">IFERROR(__xludf.DUMMYFUNCTION("""COMPUTED_VALUE"""),"Manager who clearly describes what she/he needs")</f>
        <v>Manager who clearly describes what she/he needs</v>
      </c>
      <c r="P72" s="1" t="str">
        <f ca="1">IFERROR(__xludf.DUMMYFUNCTION("""COMPUTED_VALUE"""),"Work with 2 to 3 people in my team")</f>
        <v>Work with 2 to 3 people in my team</v>
      </c>
      <c r="Q72" s="1"/>
      <c r="R72" s="1"/>
      <c r="S72" s="1"/>
    </row>
    <row r="73" spans="1:19" ht="12.5" x14ac:dyDescent="0.25">
      <c r="A73" s="2">
        <f ca="1">IFERROR(__xludf.DUMMYFUNCTION("""COMPUTED_VALUE"""),44911.7695800694)</f>
        <v>44911.769580069398</v>
      </c>
      <c r="B73" s="1" t="str">
        <f ca="1">IFERROR(__xludf.DUMMYFUNCTION("""COMPUTED_VALUE"""),"India")</f>
        <v>India</v>
      </c>
      <c r="C73" s="1">
        <f ca="1">IFERROR(__xludf.DUMMYFUNCTION("""COMPUTED_VALUE"""),524412)</f>
        <v>524412</v>
      </c>
      <c r="D73" s="1" t="str">
        <f ca="1">IFERROR(__xludf.DUMMYFUNCTION("""COMPUTED_VALUE"""),"Male")</f>
        <v>Male</v>
      </c>
      <c r="E73" s="1" t="str">
        <f ca="1">IFERROR(__xludf.DUMMYFUNCTION("""COMPUTED_VALUE"""),"People who have changed the world for better")</f>
        <v>People who have changed the world for better</v>
      </c>
      <c r="F73" s="1" t="str">
        <f ca="1">IFERROR(__xludf.DUMMYFUNCTION("""COMPUTED_VALUE"""),"No I would not be pursuing Higher Education outside of India")</f>
        <v>No I would not be pursuing Higher Education outside of India</v>
      </c>
      <c r="G73" s="1" t="str">
        <f ca="1">IFERROR(__xludf.DUMMYFUNCTION("""COMPUTED_VALUE"""),"Will work for 3 years or more")</f>
        <v>Will work for 3 years or more</v>
      </c>
      <c r="H73" s="1" t="str">
        <f ca="1">IFERROR(__xludf.DUMMYFUNCTION("""COMPUTED_VALUE"""),"No")</f>
        <v>No</v>
      </c>
      <c r="I73" s="1" t="str">
        <f ca="1">IFERROR(__xludf.DUMMYFUNCTION("""COMPUTED_VALUE"""),"Will NOT work for them")</f>
        <v>Will NOT work for them</v>
      </c>
      <c r="J73" s="1">
        <f ca="1">IFERROR(__xludf.DUMMYFUNCTION("""COMPUTED_VALUE"""),1)</f>
        <v>1</v>
      </c>
      <c r="K73" s="1" t="str">
        <f ca="1">IFERROR(__xludf.DUMMYFUNCTION("""COMPUTED_VALUE"""),"Fully Remote with Options to travel as and when needed")</f>
        <v>Fully Remote with Options to travel as and when needed</v>
      </c>
      <c r="L73" s="1" t="str">
        <f ca="1">IFERROR(__xludf.DUMMYFUNCTION("""COMPUTED_VALUE"""),"Employer who appreciates learning and enables that environment")</f>
        <v>Employer who appreciates learning and enables that environment</v>
      </c>
      <c r="M7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73" s="1" t="str">
        <f ca="1">IFERROR(__xludf.DUMMYFUNCTION("""COMPUTED_VALUE"""),"Teaching in any of the institutes/online or Offline, Build and develop a Team, Work as a freelancer and do my thing my way")</f>
        <v>Teaching in any of the institutes/online or Offline, Build and develop a Team, Work as a freelancer and do my thing my way</v>
      </c>
      <c r="O73" s="1" t="str">
        <f ca="1">IFERROR(__xludf.DUMMYFUNCTION("""COMPUTED_VALUE"""),"Manager who explains what is expected, sets a goal and helps achieve it")</f>
        <v>Manager who explains what is expected, sets a goal and helps achieve it</v>
      </c>
      <c r="P73" s="1" t="str">
        <f ca="1">IFERROR(__xludf.DUMMYFUNCTION("""COMPUTED_VALUE"""),"Work with more than 10 people in my team")</f>
        <v>Work with more than 10 people in my team</v>
      </c>
      <c r="Q73" s="1"/>
      <c r="R73" s="1"/>
      <c r="S73" s="1"/>
    </row>
    <row r="74" spans="1:19" ht="12.5" x14ac:dyDescent="0.25">
      <c r="A74" s="2">
        <f ca="1">IFERROR(__xludf.DUMMYFUNCTION("""COMPUTED_VALUE"""),44911.786991493)</f>
        <v>44911.786991492998</v>
      </c>
      <c r="B74" s="1" t="str">
        <f ca="1">IFERROR(__xludf.DUMMYFUNCTION("""COMPUTED_VALUE"""),"India")</f>
        <v>India</v>
      </c>
      <c r="C74" s="1">
        <f ca="1">IFERROR(__xludf.DUMMYFUNCTION("""COMPUTED_VALUE"""),110059)</f>
        <v>110059</v>
      </c>
      <c r="D74" s="1" t="str">
        <f ca="1">IFERROR(__xludf.DUMMYFUNCTION("""COMPUTED_VALUE"""),"Female")</f>
        <v>Female</v>
      </c>
      <c r="E74" s="1" t="str">
        <f ca="1">IFERROR(__xludf.DUMMYFUNCTION("""COMPUTED_VALUE"""),"My Parents")</f>
        <v>My Parents</v>
      </c>
      <c r="F74" s="1" t="str">
        <f ca="1">IFERROR(__xludf.DUMMYFUNCTION("""COMPUTED_VALUE"""),"No I would not be pursuing Higher Education outside of India")</f>
        <v>No I would not be pursuing Higher Education outside of India</v>
      </c>
      <c r="G74" s="1" t="str">
        <f ca="1">IFERROR(__xludf.DUMMYFUNCTION("""COMPUTED_VALUE"""),"This will be hard to do, but if it is the right company I would try")</f>
        <v>This will be hard to do, but if it is the right company I would try</v>
      </c>
      <c r="H74" s="1" t="str">
        <f ca="1">IFERROR(__xludf.DUMMYFUNCTION("""COMPUTED_VALUE"""),"No")</f>
        <v>No</v>
      </c>
      <c r="I74" s="1" t="str">
        <f ca="1">IFERROR(__xludf.DUMMYFUNCTION("""COMPUTED_VALUE"""),"Will work for them")</f>
        <v>Will work for them</v>
      </c>
      <c r="J74" s="1">
        <f ca="1">IFERROR(__xludf.DUMMYFUNCTION("""COMPUTED_VALUE"""),1)</f>
        <v>1</v>
      </c>
      <c r="K74" s="1" t="str">
        <f ca="1">IFERROR(__xludf.DUMMYFUNCTION("""COMPUTED_VALUE"""),"Every Day Office Environment")</f>
        <v>Every Day Office Environment</v>
      </c>
      <c r="L74" s="1" t="str">
        <f ca="1">IFERROR(__xludf.DUMMYFUNCTION("""COMPUTED_VALUE"""),"Employer who appreciates learning and enables that environment")</f>
        <v>Employer who appreciates learning and enables that environment</v>
      </c>
      <c r="M74" s="1" t="str">
        <f ca="1">IFERROR(__xludf.DUMMYFUNCTION("""COMPUTED_VALUE"""),"Self Paced Learning Portals, Instructor or Expert Learning Programs")</f>
        <v>Self Paced Learning Portals, Instructor or Expert Learning Programs</v>
      </c>
      <c r="N74" s="1" t="str">
        <f ca="1">IFERROR(__xludf.DUMMYFUNCTION("""COMPUTED_VALUE"""),"Design and Creative strategy in any company, Design and Develop amazing software, Look deeply into Data and generate insights")</f>
        <v>Design and Creative strategy in any company, Design and Develop amazing software, Look deeply into Data and generate insights</v>
      </c>
      <c r="O74" s="1" t="str">
        <f ca="1">IFERROR(__xludf.DUMMYFUNCTION("""COMPUTED_VALUE"""),"Manager who sets goal and helps me achieve it")</f>
        <v>Manager who sets goal and helps me achieve it</v>
      </c>
      <c r="P74" s="1" t="str">
        <f ca="1">IFERROR(__xludf.DUMMYFUNCTION("""COMPUTED_VALUE"""),"Work with 2 to 3 people in my team")</f>
        <v>Work with 2 to 3 people in my team</v>
      </c>
      <c r="Q74" s="1"/>
      <c r="R74" s="1"/>
      <c r="S74" s="1"/>
    </row>
    <row r="75" spans="1:19" ht="12.5" x14ac:dyDescent="0.25">
      <c r="A75" s="2">
        <f ca="1">IFERROR(__xludf.DUMMYFUNCTION("""COMPUTED_VALUE"""),44911.8049120717)</f>
        <v>44911.804912071697</v>
      </c>
      <c r="B75" s="1" t="str">
        <f ca="1">IFERROR(__xludf.DUMMYFUNCTION("""COMPUTED_VALUE"""),"India")</f>
        <v>India</v>
      </c>
      <c r="C75" s="1">
        <f ca="1">IFERROR(__xludf.DUMMYFUNCTION("""COMPUTED_VALUE"""),425001)</f>
        <v>425001</v>
      </c>
      <c r="D75" s="1" t="str">
        <f ca="1">IFERROR(__xludf.DUMMYFUNCTION("""COMPUTED_VALUE"""),"Male")</f>
        <v>Male</v>
      </c>
      <c r="E75" s="1" t="str">
        <f ca="1">IFERROR(__xludf.DUMMYFUNCTION("""COMPUTED_VALUE"""),"My Parents")</f>
        <v>My Parents</v>
      </c>
      <c r="F75" s="1" t="str">
        <f ca="1">IFERROR(__xludf.DUMMYFUNCTION("""COMPUTED_VALUE"""),"No I would not be pursuing Higher Education outside of India")</f>
        <v>No I would not be pursuing Higher Education outside of India</v>
      </c>
      <c r="G75" s="1" t="str">
        <f ca="1">IFERROR(__xludf.DUMMYFUNCTION("""COMPUTED_VALUE"""),"This will be hard to do, but if it is the right company I would try")</f>
        <v>This will be hard to do, but if it is the right company I would try</v>
      </c>
      <c r="H75" s="1" t="str">
        <f ca="1">IFERROR(__xludf.DUMMYFUNCTION("""COMPUTED_VALUE"""),"Yes")</f>
        <v>Yes</v>
      </c>
      <c r="I75" s="1" t="str">
        <f ca="1">IFERROR(__xludf.DUMMYFUNCTION("""COMPUTED_VALUE"""),"Will work for them")</f>
        <v>Will work for them</v>
      </c>
      <c r="J75" s="1">
        <f ca="1">IFERROR(__xludf.DUMMYFUNCTION("""COMPUTED_VALUE"""),7)</f>
        <v>7</v>
      </c>
      <c r="K75" s="1" t="str">
        <f ca="1">IFERROR(__xludf.DUMMYFUNCTION("""COMPUTED_VALUE"""),"Fully Remote with No option to visit offices")</f>
        <v>Fully Remote with No option to visit offices</v>
      </c>
      <c r="L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5" s="1" t="str">
        <f ca="1">IFERROR(__xludf.DUMMYFUNCTION("""COMPUTED_VALUE"""),"Instructor or Expert Learning Programs, Learning by observing others")</f>
        <v>Instructor or Expert Learning Programs, Learning by observing others</v>
      </c>
      <c r="N75" s="1" t="str">
        <f ca="1">IFERROR(__xludf.DUMMYFUNCTION("""COMPUTED_VALUE"""),"Look deeply into Data and generate insights, Work as a freelancer and do my thing my way, Become a content Creator in some platform")</f>
        <v>Look deeply into Data and generate insights, Work as a freelancer and do my thing my way, Become a content Creator in some platform</v>
      </c>
      <c r="O75" s="1" t="str">
        <f ca="1">IFERROR(__xludf.DUMMYFUNCTION("""COMPUTED_VALUE"""),"Manager who clearly describes what she/he needs")</f>
        <v>Manager who clearly describes what she/he needs</v>
      </c>
      <c r="P75" s="1" t="str">
        <f ca="1">IFERROR(__xludf.DUMMYFUNCTION("""COMPUTED_VALUE"""),"Work with 5 to 6 people in my team")</f>
        <v>Work with 5 to 6 people in my team</v>
      </c>
      <c r="Q75" s="1"/>
      <c r="R75" s="1"/>
      <c r="S75" s="1"/>
    </row>
    <row r="76" spans="1:19" ht="12.5" x14ac:dyDescent="0.25">
      <c r="A76" s="2">
        <f ca="1">IFERROR(__xludf.DUMMYFUNCTION("""COMPUTED_VALUE"""),44911.8078224074)</f>
        <v>44911.807822407398</v>
      </c>
      <c r="B76" s="1" t="str">
        <f ca="1">IFERROR(__xludf.DUMMYFUNCTION("""COMPUTED_VALUE"""),"India")</f>
        <v>India</v>
      </c>
      <c r="C76" s="1">
        <f ca="1">IFERROR(__xludf.DUMMYFUNCTION("""COMPUTED_VALUE"""),425001)</f>
        <v>425001</v>
      </c>
      <c r="D76" s="1" t="str">
        <f ca="1">IFERROR(__xludf.DUMMYFUNCTION("""COMPUTED_VALUE"""),"Female")</f>
        <v>Female</v>
      </c>
      <c r="E76" s="1" t="str">
        <f ca="1">IFERROR(__xludf.DUMMYFUNCTION("""COMPUTED_VALUE"""),"My Parents")</f>
        <v>My Parents</v>
      </c>
      <c r="F76" s="1" t="str">
        <f ca="1">IFERROR(__xludf.DUMMYFUNCTION("""COMPUTED_VALUE"""),"Yes, I will earn and do that")</f>
        <v>Yes, I will earn and do that</v>
      </c>
      <c r="G76" s="1" t="str">
        <f ca="1">IFERROR(__xludf.DUMMYFUNCTION("""COMPUTED_VALUE"""),"No way, 3 years with one employer is crazy")</f>
        <v>No way, 3 years with one employer is crazy</v>
      </c>
      <c r="H76" s="1" t="str">
        <f ca="1">IFERROR(__xludf.DUMMYFUNCTION("""COMPUTED_VALUE"""),"Yes")</f>
        <v>Yes</v>
      </c>
      <c r="I76" s="1" t="str">
        <f ca="1">IFERROR(__xludf.DUMMYFUNCTION("""COMPUTED_VALUE"""),"Will work for them")</f>
        <v>Will work for them</v>
      </c>
      <c r="J76" s="1">
        <f ca="1">IFERROR(__xludf.DUMMYFUNCTION("""COMPUTED_VALUE"""),1)</f>
        <v>1</v>
      </c>
      <c r="K76" s="1" t="str">
        <f ca="1">IFERROR(__xludf.DUMMYFUNCTION("""COMPUTED_VALUE"""),"Fully Remote with No option to visit offices")</f>
        <v>Fully Remote with No option to visit offices</v>
      </c>
      <c r="L76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76" s="1" t="str">
        <f ca="1">IFERROR(__xludf.DUMMYFUNCTION("""COMPUTED_VALUE"""),"Self Paced Learning Portals, Instructor or Expert Learning Programs")</f>
        <v>Self Paced Learning Portals, Instructor or Expert Learning Programs</v>
      </c>
      <c r="N76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76" s="1" t="str">
        <f ca="1">IFERROR(__xludf.DUMMYFUNCTION("""COMPUTED_VALUE"""),"Manager who clearly describes what she/he needs")</f>
        <v>Manager who clearly describes what she/he needs</v>
      </c>
      <c r="P76" s="1" t="str">
        <f ca="1">IFERROR(__xludf.DUMMYFUNCTION("""COMPUTED_VALUE"""),"Work alone")</f>
        <v>Work alone</v>
      </c>
      <c r="Q76" s="1"/>
      <c r="R76" s="1"/>
      <c r="S76" s="1"/>
    </row>
    <row r="77" spans="1:19" ht="12.5" x14ac:dyDescent="0.25">
      <c r="A77" s="2">
        <f ca="1">IFERROR(__xludf.DUMMYFUNCTION("""COMPUTED_VALUE"""),44911.8084942939)</f>
        <v>44911.808494293902</v>
      </c>
      <c r="B77" s="1" t="str">
        <f ca="1">IFERROR(__xludf.DUMMYFUNCTION("""COMPUTED_VALUE"""),"India")</f>
        <v>India</v>
      </c>
      <c r="C77" s="1">
        <f ca="1">IFERROR(__xludf.DUMMYFUNCTION("""COMPUTED_VALUE"""),851101)</f>
        <v>851101</v>
      </c>
      <c r="D77" s="1" t="str">
        <f ca="1">IFERROR(__xludf.DUMMYFUNCTION("""COMPUTED_VALUE"""),"Male")</f>
        <v>Male</v>
      </c>
      <c r="E77" s="1" t="str">
        <f ca="1">IFERROR(__xludf.DUMMYFUNCTION("""COMPUTED_VALUE"""),"People who have changed the world for better")</f>
        <v>People who have changed the world for better</v>
      </c>
      <c r="F77" s="1" t="str">
        <f ca="1">IFERROR(__xludf.DUMMYFUNCTION("""COMPUTED_VALUE"""),"No I would not be pursuing Higher Education outside of India")</f>
        <v>No I would not be pursuing Higher Education outside of India</v>
      </c>
      <c r="G77" s="1" t="str">
        <f ca="1">IFERROR(__xludf.DUMMYFUNCTION("""COMPUTED_VALUE"""),"This will be hard to do, but if it is the right company I would try")</f>
        <v>This will be hard to do, but if it is the right company I would try</v>
      </c>
      <c r="H77" s="1" t="str">
        <f ca="1">IFERROR(__xludf.DUMMYFUNCTION("""COMPUTED_VALUE"""),"No")</f>
        <v>No</v>
      </c>
      <c r="I77" s="1" t="str">
        <f ca="1">IFERROR(__xludf.DUMMYFUNCTION("""COMPUTED_VALUE"""),"Will NOT work for them")</f>
        <v>Will NOT work for them</v>
      </c>
      <c r="J77" s="1">
        <f ca="1">IFERROR(__xludf.DUMMYFUNCTION("""COMPUTED_VALUE"""),3)</f>
        <v>3</v>
      </c>
      <c r="K77" s="1" t="str">
        <f ca="1">IFERROR(__xludf.DUMMYFUNCTION("""COMPUTED_VALUE"""),"Fully Remote with Options to travel as and when needed")</f>
        <v>Fully Remote with Options to travel as and when needed</v>
      </c>
      <c r="L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7" s="1" t="str">
        <f ca="1">IFERROR(__xludf.DUMMYFUNCTION("""COMPUTED_VALUE"""),"Self Paced Learning Portals, Instructor or Expert Learning Programs")</f>
        <v>Self Paced Learning Portals, Instructor or Expert Learning Programs</v>
      </c>
      <c r="N77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77" s="1" t="str">
        <f ca="1">IFERROR(__xludf.DUMMYFUNCTION("""COMPUTED_VALUE"""),"Manager who explains what is expected, sets a goal and helps achieve it")</f>
        <v>Manager who explains what is expected, sets a goal and helps achieve it</v>
      </c>
      <c r="P77" s="1" t="str">
        <f ca="1">IFERROR(__xludf.DUMMYFUNCTION("""COMPUTED_VALUE"""),"Work with 5 to 6 people in my team")</f>
        <v>Work with 5 to 6 people in my team</v>
      </c>
      <c r="Q77" s="1"/>
      <c r="R77" s="1"/>
      <c r="S77" s="1"/>
    </row>
    <row r="78" spans="1:19" ht="12.5" x14ac:dyDescent="0.25">
      <c r="A78" s="2">
        <f ca="1">IFERROR(__xludf.DUMMYFUNCTION("""COMPUTED_VALUE"""),44911.8144342591)</f>
        <v>44911.814434259199</v>
      </c>
      <c r="B78" s="1" t="str">
        <f ca="1">IFERROR(__xludf.DUMMYFUNCTION("""COMPUTED_VALUE"""),"India")</f>
        <v>India</v>
      </c>
      <c r="C78" s="1">
        <f ca="1">IFERROR(__xludf.DUMMYFUNCTION("""COMPUTED_VALUE"""),431009)</f>
        <v>431009</v>
      </c>
      <c r="D78" s="1" t="str">
        <f ca="1">IFERROR(__xludf.DUMMYFUNCTION("""COMPUTED_VALUE"""),"Female")</f>
        <v>Female</v>
      </c>
      <c r="E78" s="1" t="str">
        <f ca="1">IFERROR(__xludf.DUMMYFUNCTION("""COMPUTED_VALUE"""),"Social Media like LinkedIn")</f>
        <v>Social Media like LinkedIn</v>
      </c>
      <c r="F78" s="1" t="str">
        <f ca="1">IFERROR(__xludf.DUMMYFUNCTION("""COMPUTED_VALUE"""),"No I would not be pursuing Higher Education outside of India")</f>
        <v>No I would not be pursuing Higher Education outside of India</v>
      </c>
      <c r="G78" s="1" t="str">
        <f ca="1">IFERROR(__xludf.DUMMYFUNCTION("""COMPUTED_VALUE"""),"Will work for 3 years or more")</f>
        <v>Will work for 3 years or more</v>
      </c>
      <c r="H78" s="1" t="str">
        <f ca="1">IFERROR(__xludf.DUMMYFUNCTION("""COMPUTED_VALUE"""),"No")</f>
        <v>No</v>
      </c>
      <c r="I78" s="1" t="str">
        <f ca="1">IFERROR(__xludf.DUMMYFUNCTION("""COMPUTED_VALUE"""),"Will NOT work for them")</f>
        <v>Will NOT work for them</v>
      </c>
      <c r="J78" s="1">
        <f ca="1">IFERROR(__xludf.DUMMYFUNCTION("""COMPUTED_VALUE"""),6)</f>
        <v>6</v>
      </c>
      <c r="K78" s="1" t="str">
        <f ca="1">IFERROR(__xludf.DUMMYFUNCTION("""COMPUTED_VALUE"""),"Hybrid Working Environment with less than 3 days a month at office")</f>
        <v>Hybrid Working Environment with less than 3 days a month at office</v>
      </c>
      <c r="L78" s="1" t="str">
        <f ca="1">IFERROR(__xludf.DUMMYFUNCTION("""COMPUTED_VALUE"""),"Employer who appreciates learning and enables that environment")</f>
        <v>Employer who appreciates learning and enables that environment</v>
      </c>
      <c r="M78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78" s="1" t="str">
        <f ca="1">IFERROR(__xludf.DUMMYFUNCTION("""COMPUTED_VALUE"""),"Manage and drive End-to-End Projects or Products, Build and develop a Team, Look deeply into Data and generate insights")</f>
        <v>Manage and drive End-to-End Projects or Products, Build and develop a Team, Look deeply into Data and generate insights</v>
      </c>
      <c r="O78" s="1" t="str">
        <f ca="1">IFERROR(__xludf.DUMMYFUNCTION("""COMPUTED_VALUE"""),"Manager who explains what is expected, sets a goal and helps achieve it")</f>
        <v>Manager who explains what is expected, sets a goal and helps achieve it</v>
      </c>
      <c r="P78" s="1" t="str">
        <f ca="1">IFERROR(__xludf.DUMMYFUNCTION("""COMPUTED_VALUE"""),"Work with 2 to 3 people in my team")</f>
        <v>Work with 2 to 3 people in my team</v>
      </c>
      <c r="Q78" s="1"/>
      <c r="R78" s="1"/>
      <c r="S78" s="1"/>
    </row>
    <row r="79" spans="1:19" ht="12.5" x14ac:dyDescent="0.25">
      <c r="A79" s="2">
        <f ca="1">IFERROR(__xludf.DUMMYFUNCTION("""COMPUTED_VALUE"""),44911.8151597569)</f>
        <v>44911.815159756901</v>
      </c>
      <c r="B79" s="1" t="str">
        <f ca="1">IFERROR(__xludf.DUMMYFUNCTION("""COMPUTED_VALUE"""),"India")</f>
        <v>India</v>
      </c>
      <c r="C79" s="1">
        <f ca="1">IFERROR(__xludf.DUMMYFUNCTION("""COMPUTED_VALUE"""),400022)</f>
        <v>400022</v>
      </c>
      <c r="D79" s="1" t="str">
        <f ca="1">IFERROR(__xludf.DUMMYFUNCTION("""COMPUTED_VALUE"""),"Female")</f>
        <v>Female</v>
      </c>
      <c r="E79" s="1" t="str">
        <f ca="1">IFERROR(__xludf.DUMMYFUNCTION("""COMPUTED_VALUE"""),"People from my circle, but not family members")</f>
        <v>People from my circle, but not family members</v>
      </c>
      <c r="F79" s="1" t="str">
        <f ca="1">IFERROR(__xludf.DUMMYFUNCTION("""COMPUTED_VALUE"""),"Yes, I will earn and do that")</f>
        <v>Yes, I will earn and do that</v>
      </c>
      <c r="G79" s="1" t="str">
        <f ca="1">IFERROR(__xludf.DUMMYFUNCTION("""COMPUTED_VALUE"""),"This will be hard to do, but if it is the right company I would try")</f>
        <v>This will be hard to do, but if it is the right company I would try</v>
      </c>
      <c r="H79" s="1" t="str">
        <f ca="1">IFERROR(__xludf.DUMMYFUNCTION("""COMPUTED_VALUE"""),"No")</f>
        <v>No</v>
      </c>
      <c r="I79" s="1" t="str">
        <f ca="1">IFERROR(__xludf.DUMMYFUNCTION("""COMPUTED_VALUE"""),"Will NOT work for them")</f>
        <v>Will NOT work for them</v>
      </c>
      <c r="J79" s="1">
        <f ca="1">IFERROR(__xludf.DUMMYFUNCTION("""COMPUTED_VALUE"""),7)</f>
        <v>7</v>
      </c>
      <c r="K79" s="1" t="str">
        <f ca="1">IFERROR(__xludf.DUMMYFUNCTION("""COMPUTED_VALUE"""),"Hybrid Working Environment with less than 15 days a month at office")</f>
        <v>Hybrid Working Environment with less than 15 days a month at office</v>
      </c>
      <c r="L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79" s="1" t="str">
        <f ca="1">IFERROR(__xludf.DUMMYFUNCTION("""COMPUTED_VALUE"""),"Design and Creative strategy in any company, Teaching in any of the institutes/online or Offline, Look deeply into Data and generate insights")</f>
        <v>Design and Creative strategy in any company, Teaching in any of the institutes/online or Offline, Look deeply into Data and generate insights</v>
      </c>
      <c r="O79" s="1" t="str">
        <f ca="1">IFERROR(__xludf.DUMMYFUNCTION("""COMPUTED_VALUE"""),"Manager who explains what is expected, sets a goal and helps achieve it")</f>
        <v>Manager who explains what is expected, sets a goal and helps achieve it</v>
      </c>
      <c r="P79" s="1" t="str">
        <f ca="1">IFERROR(__xludf.DUMMYFUNCTION("""COMPUTED_VALUE"""),"Work with 5 to 6 people in my team")</f>
        <v>Work with 5 to 6 people in my team</v>
      </c>
      <c r="Q79" s="1"/>
      <c r="R79" s="1"/>
      <c r="S79" s="1"/>
    </row>
    <row r="80" spans="1:19" ht="12.5" x14ac:dyDescent="0.25">
      <c r="A80" s="2">
        <f ca="1">IFERROR(__xludf.DUMMYFUNCTION("""COMPUTED_VALUE"""),44911.815883206)</f>
        <v>44911.815883206</v>
      </c>
      <c r="B80" s="1" t="str">
        <f ca="1">IFERROR(__xludf.DUMMYFUNCTION("""COMPUTED_VALUE"""),"India")</f>
        <v>India</v>
      </c>
      <c r="C80" s="1">
        <f ca="1">IFERROR(__xludf.DUMMYFUNCTION("""COMPUTED_VALUE"""),828109)</f>
        <v>828109</v>
      </c>
      <c r="D80" s="1" t="str">
        <f ca="1">IFERROR(__xludf.DUMMYFUNCTION("""COMPUTED_VALUE"""),"Male")</f>
        <v>Male</v>
      </c>
      <c r="E80" s="1" t="str">
        <f ca="1">IFERROR(__xludf.DUMMYFUNCTION("""COMPUTED_VALUE"""),"My Parents")</f>
        <v>My Parents</v>
      </c>
      <c r="F80" s="1" t="str">
        <f ca="1">IFERROR(__xludf.DUMMYFUNCTION("""COMPUTED_VALUE"""),"Yes, I will earn and do that")</f>
        <v>Yes, I will earn and do that</v>
      </c>
      <c r="G80" s="1" t="str">
        <f ca="1">IFERROR(__xludf.DUMMYFUNCTION("""COMPUTED_VALUE"""),"Will work for 3 years or more")</f>
        <v>Will work for 3 years or more</v>
      </c>
      <c r="H80" s="1" t="str">
        <f ca="1">IFERROR(__xludf.DUMMYFUNCTION("""COMPUTED_VALUE"""),"Yes")</f>
        <v>Yes</v>
      </c>
      <c r="I80" s="1" t="str">
        <f ca="1">IFERROR(__xludf.DUMMYFUNCTION("""COMPUTED_VALUE"""),"Will work for them")</f>
        <v>Will work for them</v>
      </c>
      <c r="J80" s="1">
        <f ca="1">IFERROR(__xludf.DUMMYFUNCTION("""COMPUTED_VALUE"""),2)</f>
        <v>2</v>
      </c>
      <c r="K80" s="1" t="str">
        <f ca="1">IFERROR(__xludf.DUMMYFUNCTION("""COMPUTED_VALUE"""),"Every Day Office Environment")</f>
        <v>Every Day Office Environment</v>
      </c>
      <c r="L80" s="1" t="str">
        <f ca="1">IFERROR(__xludf.DUMMYFUNCTION("""COMPUTED_VALUE"""),"Employer who appreciates learning and enables that environment")</f>
        <v>Employer who appreciates learning and enables that environment</v>
      </c>
      <c r="M80" s="1" t="str">
        <f ca="1">IFERROR(__xludf.DUMMYFUNCTION("""COMPUTED_VALUE"""),"Instructor or Expert Learning Programs, Learning by observing others")</f>
        <v>Instructor or Expert Learning Programs, Learning by observing others</v>
      </c>
      <c r="N80" s="1" t="str">
        <f ca="1">IFERROR(__xludf.DUMMYFUNCTION("""COMPUTED_VALUE"""),"Design and Creative strategy in any company, Look deeply into Data and generate insights, Become a content Creator in some platform")</f>
        <v>Design and Creative strategy in any company, Look deeply into Data and generate insights, Become a content Creator in some platform</v>
      </c>
      <c r="O80" s="1" t="str">
        <f ca="1">IFERROR(__xludf.DUMMYFUNCTION("""COMPUTED_VALUE"""),"Manager who sets targets and expects me to achieve it")</f>
        <v>Manager who sets targets and expects me to achieve it</v>
      </c>
      <c r="P80" s="1" t="str">
        <f ca="1">IFERROR(__xludf.DUMMYFUNCTION("""COMPUTED_VALUE"""),"Work with 7 to 10 or more people in my team")</f>
        <v>Work with 7 to 10 or more people in my team</v>
      </c>
      <c r="Q80" s="1"/>
      <c r="R80" s="1"/>
      <c r="S80" s="1"/>
    </row>
    <row r="81" spans="1:19" ht="12.5" x14ac:dyDescent="0.25">
      <c r="A81" s="2">
        <f ca="1">IFERROR(__xludf.DUMMYFUNCTION("""COMPUTED_VALUE"""),44911.8193083564)</f>
        <v>44911.819308356397</v>
      </c>
      <c r="B81" s="1" t="str">
        <f ca="1">IFERROR(__xludf.DUMMYFUNCTION("""COMPUTED_VALUE"""),"India")</f>
        <v>India</v>
      </c>
      <c r="C81" s="1">
        <f ca="1">IFERROR(__xludf.DUMMYFUNCTION("""COMPUTED_VALUE"""),425001)</f>
        <v>425001</v>
      </c>
      <c r="D81" s="1" t="str">
        <f ca="1">IFERROR(__xludf.DUMMYFUNCTION("""COMPUTED_VALUE"""),"Male")</f>
        <v>Male</v>
      </c>
      <c r="E81" s="1" t="str">
        <f ca="1">IFERROR(__xludf.DUMMYFUNCTION("""COMPUTED_VALUE"""),"People from my circle, but not family members")</f>
        <v>People from my circle, but not family members</v>
      </c>
      <c r="F81" s="1" t="str">
        <f ca="1">IFERROR(__xludf.DUMMYFUNCTION("""COMPUTED_VALUE"""),"Yes, I will earn and do that")</f>
        <v>Yes, I will earn and do that</v>
      </c>
      <c r="G81" s="1" t="str">
        <f ca="1">IFERROR(__xludf.DUMMYFUNCTION("""COMPUTED_VALUE"""),"Will work for 3 years or more")</f>
        <v>Will work for 3 years or more</v>
      </c>
      <c r="H81" s="1" t="str">
        <f ca="1">IFERROR(__xludf.DUMMYFUNCTION("""COMPUTED_VALUE"""),"No")</f>
        <v>No</v>
      </c>
      <c r="I81" s="1" t="str">
        <f ca="1">IFERROR(__xludf.DUMMYFUNCTION("""COMPUTED_VALUE"""),"Will work for them")</f>
        <v>Will work for them</v>
      </c>
      <c r="J81" s="1">
        <f ca="1">IFERROR(__xludf.DUMMYFUNCTION("""COMPUTED_VALUE"""),8)</f>
        <v>8</v>
      </c>
      <c r="K81" s="1" t="str">
        <f ca="1">IFERROR(__xludf.DUMMYFUNCTION("""COMPUTED_VALUE"""),"Hybrid Working Environment with less than 10 days a month at office")</f>
        <v>Hybrid Working Environment with less than 10 days a month at office</v>
      </c>
      <c r="L81" s="1" t="str">
        <f ca="1">IFERROR(__xludf.DUMMYFUNCTION("""COMPUTED_VALUE"""),"Employer who appreciates learning and enables that environment")</f>
        <v>Employer who appreciates learning and enables that environment</v>
      </c>
      <c r="M81" s="1" t="str">
        <f ca="1">IFERROR(__xludf.DUMMYFUNCTION("""COMPUTED_VALUE"""),"Self Paced Learning Portals, Instructor or Expert Learning Programs")</f>
        <v>Self Paced Learning Portals, Instructor or Expert Learning Programs</v>
      </c>
      <c r="N81" s="1" t="str">
        <f ca="1">IFERROR(__xludf.DUMMYFUNCTION("""COMPUTED_VALUE"""),"Design and Creative strategy in any company, Manage and drive End-to-End Projects or Products, Become a content Creator in some platform")</f>
        <v>Design and Creative strategy in any company, Manage and drive End-to-End Projects or Products, Become a content Creator in some platform</v>
      </c>
      <c r="O81" s="1" t="str">
        <f ca="1">IFERROR(__xludf.DUMMYFUNCTION("""COMPUTED_VALUE"""),"Manager who sets goal and helps me achieve it")</f>
        <v>Manager who sets goal and helps me achieve it</v>
      </c>
      <c r="P81" s="1" t="str">
        <f ca="1">IFERROR(__xludf.DUMMYFUNCTION("""COMPUTED_VALUE"""),"Work with 5 to 6 people in my team")</f>
        <v>Work with 5 to 6 people in my team</v>
      </c>
      <c r="Q81" s="1"/>
      <c r="R81" s="1"/>
      <c r="S81" s="1"/>
    </row>
    <row r="82" spans="1:19" ht="12.5" x14ac:dyDescent="0.25">
      <c r="A82" s="2">
        <f ca="1">IFERROR(__xludf.DUMMYFUNCTION("""COMPUTED_VALUE"""),44911.8198259721)</f>
        <v>44911.819825972198</v>
      </c>
      <c r="B82" s="1" t="str">
        <f ca="1">IFERROR(__xludf.DUMMYFUNCTION("""COMPUTED_VALUE"""),"India")</f>
        <v>India</v>
      </c>
      <c r="C82" s="1">
        <f ca="1">IFERROR(__xludf.DUMMYFUNCTION("""COMPUTED_VALUE"""),224001)</f>
        <v>224001</v>
      </c>
      <c r="D82" s="1" t="str">
        <f ca="1">IFERROR(__xludf.DUMMYFUNCTION("""COMPUTED_VALUE"""),"Male")</f>
        <v>Male</v>
      </c>
      <c r="E82" s="1" t="str">
        <f ca="1">IFERROR(__xludf.DUMMYFUNCTION("""COMPUTED_VALUE"""),"My Parents")</f>
        <v>My Parents</v>
      </c>
      <c r="F82" s="1" t="str">
        <f ca="1">IFERROR(__xludf.DUMMYFUNCTION("""COMPUTED_VALUE"""),"No, But if someone could bare the cost I will")</f>
        <v>No, But if someone could bare the cost I will</v>
      </c>
      <c r="G82" s="1" t="str">
        <f ca="1">IFERROR(__xludf.DUMMYFUNCTION("""COMPUTED_VALUE"""),"This will be hard to do, but if it is the right company I would try")</f>
        <v>This will be hard to do, but if it is the right company I would try</v>
      </c>
      <c r="H82" s="1" t="str">
        <f ca="1">IFERROR(__xludf.DUMMYFUNCTION("""COMPUTED_VALUE"""),"Yes")</f>
        <v>Yes</v>
      </c>
      <c r="I82" s="1" t="str">
        <f ca="1">IFERROR(__xludf.DUMMYFUNCTION("""COMPUTED_VALUE"""),"Will work for them")</f>
        <v>Will work for them</v>
      </c>
      <c r="J82" s="1">
        <f ca="1">IFERROR(__xludf.DUMMYFUNCTION("""COMPUTED_VALUE"""),5)</f>
        <v>5</v>
      </c>
      <c r="K82" s="1" t="str">
        <f ca="1">IFERROR(__xludf.DUMMYFUNCTION("""COMPUTED_VALUE"""),"Fully Remote with No option to visit offices")</f>
        <v>Fully Remote with No option to visit offices</v>
      </c>
      <c r="L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82" s="1" t="str">
        <f ca="1">IFERROR(__xludf.DUMMYFUNCTION("""COMPUTED_VALUE"""),"Design and Develop amazing software, Work as a freelancer and do my thing my way, Become a content Creator in some platform")</f>
        <v>Design and Develop amazing software, Work as a freelancer and do my thing my way, Become a content Creator in some platform</v>
      </c>
      <c r="O82" s="1" t="str">
        <f ca="1">IFERROR(__xludf.DUMMYFUNCTION("""COMPUTED_VALUE"""),"Manager who explains what is expected, sets a goal and helps achieve it")</f>
        <v>Manager who explains what is expected, sets a goal and helps achieve it</v>
      </c>
      <c r="P82" s="1" t="str">
        <f ca="1">IFERROR(__xludf.DUMMYFUNCTION("""COMPUTED_VALUE"""),"Work with 2 to 3 people in my team, Work with 5 to 6 people in my team")</f>
        <v>Work with 2 to 3 people in my team, Work with 5 to 6 people in my team</v>
      </c>
      <c r="Q82" s="1"/>
      <c r="R82" s="1"/>
      <c r="S82" s="1"/>
    </row>
    <row r="83" spans="1:19" ht="12.5" x14ac:dyDescent="0.25">
      <c r="A83" s="2">
        <f ca="1">IFERROR(__xludf.DUMMYFUNCTION("""COMPUTED_VALUE"""),44911.8199102893)</f>
        <v>44911.819910289298</v>
      </c>
      <c r="B83" s="1" t="str">
        <f ca="1">IFERROR(__xludf.DUMMYFUNCTION("""COMPUTED_VALUE"""),"India")</f>
        <v>India</v>
      </c>
      <c r="C83" s="1">
        <f ca="1">IFERROR(__xludf.DUMMYFUNCTION("""COMPUTED_VALUE"""),110092)</f>
        <v>110092</v>
      </c>
      <c r="D83" s="1" t="str">
        <f ca="1">IFERROR(__xludf.DUMMYFUNCTION("""COMPUTED_VALUE"""),"Female")</f>
        <v>Female</v>
      </c>
      <c r="E83" s="1" t="str">
        <f ca="1">IFERROR(__xludf.DUMMYFUNCTION("""COMPUTED_VALUE"""),"Influencers who had successful careers")</f>
        <v>Influencers who had successful careers</v>
      </c>
      <c r="F83" s="1" t="str">
        <f ca="1">IFERROR(__xludf.DUMMYFUNCTION("""COMPUTED_VALUE"""),"Yes, I will earn and do that")</f>
        <v>Yes, I will earn and do that</v>
      </c>
      <c r="G83" s="1" t="str">
        <f ca="1">IFERROR(__xludf.DUMMYFUNCTION("""COMPUTED_VALUE"""),"This will be hard to do, but if it is the right company I would try")</f>
        <v>This will be hard to do, but if it is the right company I would try</v>
      </c>
      <c r="H83" s="1" t="str">
        <f ca="1">IFERROR(__xludf.DUMMYFUNCTION("""COMPUTED_VALUE"""),"No")</f>
        <v>No</v>
      </c>
      <c r="I83" s="1" t="str">
        <f ca="1">IFERROR(__xludf.DUMMYFUNCTION("""COMPUTED_VALUE"""),"Will NOT work for them")</f>
        <v>Will NOT work for them</v>
      </c>
      <c r="J83" s="1">
        <f ca="1">IFERROR(__xludf.DUMMYFUNCTION("""COMPUTED_VALUE"""),6)</f>
        <v>6</v>
      </c>
      <c r="K83" s="1" t="str">
        <f ca="1">IFERROR(__xludf.DUMMYFUNCTION("""COMPUTED_VALUE"""),"Fully Remote with Options to travel as and when needed")</f>
        <v>Fully Remote with Options to travel as and when needed</v>
      </c>
      <c r="L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3" s="1" t="str">
        <f ca="1">IFERROR(__xludf.DUMMYFUNCTION("""COMPUTED_VALUE"""),"Self Paced Learning Portals, Learning by observing others")</f>
        <v>Self Paced Learning Portals, Learning by observing others</v>
      </c>
      <c r="N83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83" s="1" t="str">
        <f ca="1">IFERROR(__xludf.DUMMYFUNCTION("""COMPUTED_VALUE"""),"Manager who explains what is expected, sets a goal and helps achieve it")</f>
        <v>Manager who explains what is expected, sets a goal and helps achieve it</v>
      </c>
      <c r="P83" s="1" t="str">
        <f ca="1">IFERROR(__xludf.DUMMYFUNCTION("""COMPUTED_VALUE"""),"Work with 2 to 3 people in my team")</f>
        <v>Work with 2 to 3 people in my team</v>
      </c>
      <c r="Q83" s="1"/>
      <c r="R83" s="1"/>
      <c r="S83" s="1"/>
    </row>
    <row r="84" spans="1:19" ht="12.5" x14ac:dyDescent="0.25">
      <c r="A84" s="2">
        <f ca="1">IFERROR(__xludf.DUMMYFUNCTION("""COMPUTED_VALUE"""),44911.820092824)</f>
        <v>44911.820092823997</v>
      </c>
      <c r="B84" s="1" t="str">
        <f ca="1">IFERROR(__xludf.DUMMYFUNCTION("""COMPUTED_VALUE"""),"India")</f>
        <v>India</v>
      </c>
      <c r="C84" s="1">
        <f ca="1">IFERROR(__xludf.DUMMYFUNCTION("""COMPUTED_VALUE"""),500018)</f>
        <v>500018</v>
      </c>
      <c r="D84" s="1" t="str">
        <f ca="1">IFERROR(__xludf.DUMMYFUNCTION("""COMPUTED_VALUE"""),"Male")</f>
        <v>Male</v>
      </c>
      <c r="E84" s="1" t="str">
        <f ca="1">IFERROR(__xludf.DUMMYFUNCTION("""COMPUTED_VALUE"""),"My Parents")</f>
        <v>My Parents</v>
      </c>
      <c r="F84" s="1" t="str">
        <f ca="1">IFERROR(__xludf.DUMMYFUNCTION("""COMPUTED_VALUE"""),"Yes, I will earn and do that")</f>
        <v>Yes, I will earn and do that</v>
      </c>
      <c r="G84" s="1" t="str">
        <f ca="1">IFERROR(__xludf.DUMMYFUNCTION("""COMPUTED_VALUE"""),"Will work for 3 years or more")</f>
        <v>Will work for 3 years or more</v>
      </c>
      <c r="H84" s="1" t="str">
        <f ca="1">IFERROR(__xludf.DUMMYFUNCTION("""COMPUTED_VALUE"""),"No")</f>
        <v>No</v>
      </c>
      <c r="I84" s="1" t="str">
        <f ca="1">IFERROR(__xludf.DUMMYFUNCTION("""COMPUTED_VALUE"""),"Will NOT work for them")</f>
        <v>Will NOT work for them</v>
      </c>
      <c r="J84" s="1">
        <f ca="1">IFERROR(__xludf.DUMMYFUNCTION("""COMPUTED_VALUE"""),8)</f>
        <v>8</v>
      </c>
      <c r="K84" s="1" t="str">
        <f ca="1">IFERROR(__xludf.DUMMYFUNCTION("""COMPUTED_VALUE"""),"Hybrid Working Environment with less than 3 days a month at office")</f>
        <v>Hybrid Working Environment with less than 3 days a month at office</v>
      </c>
      <c r="L84" s="1" t="str">
        <f ca="1">IFERROR(__xludf.DUMMYFUNCTION("""COMPUTED_VALUE"""),"Employer who rewards learning and enables that environment")</f>
        <v>Employer who rewards learning and enables that environment</v>
      </c>
      <c r="M84" s="1" t="str">
        <f ca="1">IFERROR(__xludf.DUMMYFUNCTION("""COMPUTED_VALUE"""),"Self Paced Learning Portals, Instructor or Expert Learning Programs")</f>
        <v>Self Paced Learning Portals, Instructor or Expert Learning Programs</v>
      </c>
      <c r="N84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84" s="1" t="str">
        <f ca="1">IFERROR(__xludf.DUMMYFUNCTION("""COMPUTED_VALUE"""),"Manager who sets targets and expects me to achieve it")</f>
        <v>Manager who sets targets and expects me to achieve it</v>
      </c>
      <c r="P84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84" s="1"/>
      <c r="R84" s="1"/>
      <c r="S84" s="1"/>
    </row>
    <row r="85" spans="1:19" ht="12.5" x14ac:dyDescent="0.25">
      <c r="A85" s="2">
        <f ca="1">IFERROR(__xludf.DUMMYFUNCTION("""COMPUTED_VALUE"""),44911.8250180439)</f>
        <v>44911.825018043899</v>
      </c>
      <c r="B85" s="1" t="str">
        <f ca="1">IFERROR(__xludf.DUMMYFUNCTION("""COMPUTED_VALUE"""),"India")</f>
        <v>India</v>
      </c>
      <c r="C85" s="1">
        <f ca="1">IFERROR(__xludf.DUMMYFUNCTION("""COMPUTED_VALUE"""),533342)</f>
        <v>533342</v>
      </c>
      <c r="D85" s="1" t="str">
        <f ca="1">IFERROR(__xludf.DUMMYFUNCTION("""COMPUTED_VALUE"""),"Male")</f>
        <v>Male</v>
      </c>
      <c r="E85" s="1" t="str">
        <f ca="1">IFERROR(__xludf.DUMMYFUNCTION("""COMPUTED_VALUE"""),"Influencers who had successful careers")</f>
        <v>Influencers who had successful careers</v>
      </c>
      <c r="F85" s="1" t="str">
        <f ca="1">IFERROR(__xludf.DUMMYFUNCTION("""COMPUTED_VALUE"""),"No I would not be pursuing Higher Education outside of India")</f>
        <v>No I would not be pursuing Higher Education outside of India</v>
      </c>
      <c r="G85" s="1" t="str">
        <f ca="1">IFERROR(__xludf.DUMMYFUNCTION("""COMPUTED_VALUE"""),"Will work for 3 years or more")</f>
        <v>Will work for 3 years or more</v>
      </c>
      <c r="H85" s="1" t="str">
        <f ca="1">IFERROR(__xludf.DUMMYFUNCTION("""COMPUTED_VALUE"""),"No")</f>
        <v>No</v>
      </c>
      <c r="I85" s="1" t="str">
        <f ca="1">IFERROR(__xludf.DUMMYFUNCTION("""COMPUTED_VALUE"""),"Will NOT work for them")</f>
        <v>Will NOT work for them</v>
      </c>
      <c r="J85" s="1">
        <f ca="1">IFERROR(__xludf.DUMMYFUNCTION("""COMPUTED_VALUE"""),9)</f>
        <v>9</v>
      </c>
      <c r="K85" s="1" t="str">
        <f ca="1">IFERROR(__xludf.DUMMYFUNCTION("""COMPUTED_VALUE"""),"Every Day Office Environment")</f>
        <v>Every Day Office Environment</v>
      </c>
      <c r="L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5" s="1" t="str">
        <f ca="1">IFERROR(__xludf.DUMMYFUNCTION("""COMPUTED_VALUE"""),"Self Paced Learning Portals, Learning by observing others")</f>
        <v>Self Paced Learning Portals, Learning by observing others</v>
      </c>
      <c r="N85" s="1" t="str">
        <f ca="1">IFERROR(__xludf.DUMMYFUNCTION("""COMPUTED_VALUE"""),"Manage and drive End-to-End Projects or Products, Build and develop a Team, Look deeply into Data and generate insights")</f>
        <v>Manage and drive End-to-End Projects or Products, Build and develop a Team, Look deeply into Data and generate insights</v>
      </c>
      <c r="O85" s="1" t="str">
        <f ca="1">IFERROR(__xludf.DUMMYFUNCTION("""COMPUTED_VALUE"""),"Manager who clearly describes what she/he needs")</f>
        <v>Manager who clearly describes what she/he needs</v>
      </c>
      <c r="P85" s="1" t="str">
        <f ca="1">IFERROR(__xludf.DUMMYFUNCTION("""COMPUTED_VALUE"""),"Work with 2 to 3 people in my team")</f>
        <v>Work with 2 to 3 people in my team</v>
      </c>
      <c r="Q85" s="1"/>
      <c r="R85" s="1"/>
      <c r="S85" s="1"/>
    </row>
    <row r="86" spans="1:19" ht="12.5" x14ac:dyDescent="0.25">
      <c r="A86" s="2">
        <f ca="1">IFERROR(__xludf.DUMMYFUNCTION("""COMPUTED_VALUE"""),44911.8252508564)</f>
        <v>44911.825250856396</v>
      </c>
      <c r="B86" s="1" t="str">
        <f ca="1">IFERROR(__xludf.DUMMYFUNCTION("""COMPUTED_VALUE"""),"India")</f>
        <v>India</v>
      </c>
      <c r="C86" s="1">
        <f ca="1">IFERROR(__xludf.DUMMYFUNCTION("""COMPUTED_VALUE"""),600053)</f>
        <v>600053</v>
      </c>
      <c r="D86" s="1" t="str">
        <f ca="1">IFERROR(__xludf.DUMMYFUNCTION("""COMPUTED_VALUE"""),"Female")</f>
        <v>Female</v>
      </c>
      <c r="E86" s="1" t="str">
        <f ca="1">IFERROR(__xludf.DUMMYFUNCTION("""COMPUTED_VALUE"""),"Social Media like LinkedIn")</f>
        <v>Social Media like LinkedIn</v>
      </c>
      <c r="F86" s="1" t="str">
        <f ca="1">IFERROR(__xludf.DUMMYFUNCTION("""COMPUTED_VALUE"""),"Yes, I will earn and do that")</f>
        <v>Yes, I will earn and do that</v>
      </c>
      <c r="G86" s="1" t="str">
        <f ca="1">IFERROR(__xludf.DUMMYFUNCTION("""COMPUTED_VALUE"""),"Will work for 3 years or more")</f>
        <v>Will work for 3 years or more</v>
      </c>
      <c r="H86" s="1" t="str">
        <f ca="1">IFERROR(__xludf.DUMMYFUNCTION("""COMPUTED_VALUE"""),"No")</f>
        <v>No</v>
      </c>
      <c r="I86" s="1" t="str">
        <f ca="1">IFERROR(__xludf.DUMMYFUNCTION("""COMPUTED_VALUE"""),"Will NOT work for them")</f>
        <v>Will NOT work for them</v>
      </c>
      <c r="J86" s="1">
        <f ca="1">IFERROR(__xludf.DUMMYFUNCTION("""COMPUTED_VALUE"""),4)</f>
        <v>4</v>
      </c>
      <c r="K86" s="1" t="str">
        <f ca="1">IFERROR(__xludf.DUMMYFUNCTION("""COMPUTED_VALUE"""),"Hybrid Working Environment with less than 10 days a month at office")</f>
        <v>Hybrid Working Environment with less than 10 days a month at office</v>
      </c>
      <c r="L86" s="1" t="str">
        <f ca="1">IFERROR(__xludf.DUMMYFUNCTION("""COMPUTED_VALUE"""),"Employer who appreciates learning and enables that environment")</f>
        <v>Employer who appreciates learning and enables that environment</v>
      </c>
      <c r="M86" s="1" t="str">
        <f ca="1">IFERROR(__xludf.DUMMYFUNCTION("""COMPUTED_VALUE"""),"Self Paced Learning Portals, Learning by observing others")</f>
        <v>Self Paced Learning Portals, Learning by observing others</v>
      </c>
      <c r="N86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86" s="1" t="str">
        <f ca="1">IFERROR(__xludf.DUMMYFUNCTION("""COMPUTED_VALUE"""),"Manager who explains what is expected, sets a goal and helps achieve it")</f>
        <v>Manager who explains what is expected, sets a goal and helps achieve it</v>
      </c>
      <c r="P86" s="1" t="str">
        <f ca="1">IFERROR(__xludf.DUMMYFUNCTION("""COMPUTED_VALUE"""),"Work with 7 to 10 or more people in my team")</f>
        <v>Work with 7 to 10 or more people in my team</v>
      </c>
      <c r="Q86" s="1"/>
      <c r="R86" s="1"/>
      <c r="S86" s="1"/>
    </row>
    <row r="87" spans="1:19" ht="12.5" x14ac:dyDescent="0.25">
      <c r="A87" s="2">
        <f ca="1">IFERROR(__xludf.DUMMYFUNCTION("""COMPUTED_VALUE"""),44911.8294038888)</f>
        <v>44911.829403888798</v>
      </c>
      <c r="B87" s="1" t="str">
        <f ca="1">IFERROR(__xludf.DUMMYFUNCTION("""COMPUTED_VALUE"""),"India")</f>
        <v>India</v>
      </c>
      <c r="C87" s="1">
        <f ca="1">IFERROR(__xludf.DUMMYFUNCTION("""COMPUTED_VALUE"""),425001)</f>
        <v>425001</v>
      </c>
      <c r="D87" s="1" t="str">
        <f ca="1">IFERROR(__xludf.DUMMYFUNCTION("""COMPUTED_VALUE"""),"Female")</f>
        <v>Female</v>
      </c>
      <c r="E87" s="1" t="str">
        <f ca="1">IFERROR(__xludf.DUMMYFUNCTION("""COMPUTED_VALUE"""),"Influencers who had successful careers")</f>
        <v>Influencers who had successful careers</v>
      </c>
      <c r="F87" s="1" t="str">
        <f ca="1">IFERROR(__xludf.DUMMYFUNCTION("""COMPUTED_VALUE"""),"No I would not be pursuing Higher Education outside of India")</f>
        <v>No I would not be pursuing Higher Education outside of India</v>
      </c>
      <c r="G87" s="1" t="str">
        <f ca="1">IFERROR(__xludf.DUMMYFUNCTION("""COMPUTED_VALUE"""),"This will be hard to do, but if it is the right company I would try")</f>
        <v>This will be hard to do, but if it is the right company I would try</v>
      </c>
      <c r="H87" s="1" t="str">
        <f ca="1">IFERROR(__xludf.DUMMYFUNCTION("""COMPUTED_VALUE"""),"No")</f>
        <v>No</v>
      </c>
      <c r="I87" s="1" t="str">
        <f ca="1">IFERROR(__xludf.DUMMYFUNCTION("""COMPUTED_VALUE"""),"Will NOT work for them")</f>
        <v>Will NOT work for them</v>
      </c>
      <c r="J87" s="1">
        <f ca="1">IFERROR(__xludf.DUMMYFUNCTION("""COMPUTED_VALUE"""),5)</f>
        <v>5</v>
      </c>
      <c r="K87" s="1" t="str">
        <f ca="1">IFERROR(__xludf.DUMMYFUNCTION("""COMPUTED_VALUE"""),"Every Day Office Environment")</f>
        <v>Every Day Office Environment</v>
      </c>
      <c r="L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7" s="1" t="str">
        <f ca="1">IFERROR(__xludf.DUMMYFUNCTION("""COMPUTED_VALUE"""),"Instructor or Expert Learning Programs, Learning by observing others")</f>
        <v>Instructor or Expert Learning Programs, Learning by observing others</v>
      </c>
      <c r="N87" s="1" t="str">
        <f ca="1">IFERROR(__xludf.DUMMYFUNCTION("""COMPUTED_VALUE"""),"Teaching in any of the institutes/online or Offline, Build and develop a Team, Work as a freelancer and do my thing my way")</f>
        <v>Teaching in any of the institutes/online or Offline, Build and develop a Team, Work as a freelancer and do my thing my way</v>
      </c>
      <c r="O87" s="1" t="str">
        <f ca="1">IFERROR(__xludf.DUMMYFUNCTION("""COMPUTED_VALUE"""),"Manager who explains what is expected, sets a goal and helps achieve it")</f>
        <v>Manager who explains what is expected, sets a goal and helps achieve it</v>
      </c>
      <c r="P87" s="1" t="str">
        <f ca="1">IFERROR(__xludf.DUMMYFUNCTION("""COMPUTED_VALUE"""),"Work with more than 10 people in my team")</f>
        <v>Work with more than 10 people in my team</v>
      </c>
      <c r="Q87" s="1"/>
      <c r="R87" s="1"/>
      <c r="S87" s="1"/>
    </row>
    <row r="88" spans="1:19" ht="12.5" x14ac:dyDescent="0.25">
      <c r="A88" s="2">
        <f ca="1">IFERROR(__xludf.DUMMYFUNCTION("""COMPUTED_VALUE"""),44911.836129537)</f>
        <v>44911.836129536998</v>
      </c>
      <c r="B88" s="1" t="str">
        <f ca="1">IFERROR(__xludf.DUMMYFUNCTION("""COMPUTED_VALUE"""),"India")</f>
        <v>India</v>
      </c>
      <c r="C88" s="1">
        <f ca="1">IFERROR(__xludf.DUMMYFUNCTION("""COMPUTED_VALUE"""),370110)</f>
        <v>370110</v>
      </c>
      <c r="D88" s="1" t="str">
        <f ca="1">IFERROR(__xludf.DUMMYFUNCTION("""COMPUTED_VALUE"""),"Male")</f>
        <v>Male</v>
      </c>
      <c r="E88" s="1" t="str">
        <f ca="1">IFERROR(__xludf.DUMMYFUNCTION("""COMPUTED_VALUE"""),"Social Media like LinkedIn")</f>
        <v>Social Media like LinkedIn</v>
      </c>
      <c r="F88" s="1" t="str">
        <f ca="1">IFERROR(__xludf.DUMMYFUNCTION("""COMPUTED_VALUE"""),"No I would not be pursuing Higher Education outside of India")</f>
        <v>No I would not be pursuing Higher Education outside of India</v>
      </c>
      <c r="G88" s="1" t="str">
        <f ca="1">IFERROR(__xludf.DUMMYFUNCTION("""COMPUTED_VALUE"""),"This will be hard to do, but if it is the right company I would try")</f>
        <v>This will be hard to do, but if it is the right company I would try</v>
      </c>
      <c r="H88" s="1" t="str">
        <f ca="1">IFERROR(__xludf.DUMMYFUNCTION("""COMPUTED_VALUE"""),"Yes")</f>
        <v>Yes</v>
      </c>
      <c r="I88" s="1" t="str">
        <f ca="1">IFERROR(__xludf.DUMMYFUNCTION("""COMPUTED_VALUE"""),"Will NOT work for them")</f>
        <v>Will NOT work for them</v>
      </c>
      <c r="J88" s="1">
        <f ca="1">IFERROR(__xludf.DUMMYFUNCTION("""COMPUTED_VALUE"""),5)</f>
        <v>5</v>
      </c>
      <c r="K88" s="1" t="str">
        <f ca="1">IFERROR(__xludf.DUMMYFUNCTION("""COMPUTED_VALUE"""),"Hybrid Working Environment with less than 15 days a month at office")</f>
        <v>Hybrid Working Environment with less than 15 days a month at office</v>
      </c>
      <c r="L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8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88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88" s="1" t="str">
        <f ca="1">IFERROR(__xludf.DUMMYFUNCTION("""COMPUTED_VALUE"""),"Manager who sets goal and helps me achieve it")</f>
        <v>Manager who sets goal and helps me achieve it</v>
      </c>
      <c r="P8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88" s="1"/>
      <c r="R88" s="1"/>
      <c r="S88" s="1"/>
    </row>
    <row r="89" spans="1:19" ht="12.5" x14ac:dyDescent="0.25">
      <c r="A89" s="2">
        <f ca="1">IFERROR(__xludf.DUMMYFUNCTION("""COMPUTED_VALUE"""),44911.8440283449)</f>
        <v>44911.844028344902</v>
      </c>
      <c r="B89" s="1" t="str">
        <f ca="1">IFERROR(__xludf.DUMMYFUNCTION("""COMPUTED_VALUE"""),"India")</f>
        <v>India</v>
      </c>
      <c r="C89" s="1">
        <f ca="1">IFERROR(__xludf.DUMMYFUNCTION("""COMPUTED_VALUE"""),110017)</f>
        <v>110017</v>
      </c>
      <c r="D89" s="1" t="str">
        <f ca="1">IFERROR(__xludf.DUMMYFUNCTION("""COMPUTED_VALUE"""),"Female")</f>
        <v>Female</v>
      </c>
      <c r="E89" s="1" t="str">
        <f ca="1">IFERROR(__xludf.DUMMYFUNCTION("""COMPUTED_VALUE"""),"People from my circle, but not family members")</f>
        <v>People from my circle, but not family members</v>
      </c>
      <c r="F89" s="1" t="str">
        <f ca="1">IFERROR(__xludf.DUMMYFUNCTION("""COMPUTED_VALUE"""),"Yes, I will earn and do that")</f>
        <v>Yes, I will earn and do that</v>
      </c>
      <c r="G89" s="1" t="str">
        <f ca="1">IFERROR(__xludf.DUMMYFUNCTION("""COMPUTED_VALUE"""),"This will be hard to do, but if it is the right company I would try")</f>
        <v>This will be hard to do, but if it is the right company I would try</v>
      </c>
      <c r="H89" s="1" t="str">
        <f ca="1">IFERROR(__xludf.DUMMYFUNCTION("""COMPUTED_VALUE"""),"No")</f>
        <v>No</v>
      </c>
      <c r="I89" s="1" t="str">
        <f ca="1">IFERROR(__xludf.DUMMYFUNCTION("""COMPUTED_VALUE"""),"Will NOT work for them")</f>
        <v>Will NOT work for them</v>
      </c>
      <c r="J89" s="1">
        <f ca="1">IFERROR(__xludf.DUMMYFUNCTION("""COMPUTED_VALUE"""),1)</f>
        <v>1</v>
      </c>
      <c r="K89" s="1" t="str">
        <f ca="1">IFERROR(__xludf.DUMMYFUNCTION("""COMPUTED_VALUE"""),"Every Day Office Environment")</f>
        <v>Every Day Office Environment</v>
      </c>
      <c r="L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9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89" s="1" t="str">
        <f ca="1">IFERROR(__xludf.DUMMYFUNCTION("""COMPUTED_VALUE"""),"Design and Creative strategy in any company, Look deeply into Data and generate insights, Become a content Creator in some platform")</f>
        <v>Design and Creative strategy in any company, Look deeply into Data and generate insights, Become a content Creator in some platform</v>
      </c>
      <c r="O89" s="1" t="str">
        <f ca="1">IFERROR(__xludf.DUMMYFUNCTION("""COMPUTED_VALUE"""),"Manager who explains what is expected, sets a goal and helps achieve it")</f>
        <v>Manager who explains what is expected, sets a goal and helps achieve it</v>
      </c>
      <c r="P89" s="1" t="str">
        <f ca="1">IFERROR(__xludf.DUMMYFUNCTION("""COMPUTED_VALUE"""),"Work alone, Work with 2 to 3 people in my team")</f>
        <v>Work alone, Work with 2 to 3 people in my team</v>
      </c>
      <c r="Q89" s="1"/>
      <c r="R89" s="1"/>
      <c r="S89" s="1"/>
    </row>
    <row r="90" spans="1:19" ht="12.5" x14ac:dyDescent="0.25">
      <c r="A90" s="2">
        <f ca="1">IFERROR(__xludf.DUMMYFUNCTION("""COMPUTED_VALUE"""),44911.8446268171)</f>
        <v>44911.844626817103</v>
      </c>
      <c r="B90" s="1" t="str">
        <f ca="1">IFERROR(__xludf.DUMMYFUNCTION("""COMPUTED_VALUE"""),"India")</f>
        <v>India</v>
      </c>
      <c r="C90" s="1">
        <f ca="1">IFERROR(__xludf.DUMMYFUNCTION("""COMPUTED_VALUE"""),574111)</f>
        <v>574111</v>
      </c>
      <c r="D90" s="1" t="str">
        <f ca="1">IFERROR(__xludf.DUMMYFUNCTION("""COMPUTED_VALUE"""),"Female")</f>
        <v>Female</v>
      </c>
      <c r="E90" s="1" t="str">
        <f ca="1">IFERROR(__xludf.DUMMYFUNCTION("""COMPUTED_VALUE"""),"People from my circle, but not family members")</f>
        <v>People from my circle, but not family members</v>
      </c>
      <c r="F90" s="1" t="str">
        <f ca="1">IFERROR(__xludf.DUMMYFUNCTION("""COMPUTED_VALUE"""),"No, But if someone could bare the cost I will")</f>
        <v>No, But if someone could bare the cost I will</v>
      </c>
      <c r="G90" s="1" t="str">
        <f ca="1">IFERROR(__xludf.DUMMYFUNCTION("""COMPUTED_VALUE"""),"Will work for 3 years or more")</f>
        <v>Will work for 3 years or more</v>
      </c>
      <c r="H90" s="1" t="str">
        <f ca="1">IFERROR(__xludf.DUMMYFUNCTION("""COMPUTED_VALUE"""),"No")</f>
        <v>No</v>
      </c>
      <c r="I90" s="1" t="str">
        <f ca="1">IFERROR(__xludf.DUMMYFUNCTION("""COMPUTED_VALUE"""),"Will NOT work for them")</f>
        <v>Will NOT work for them</v>
      </c>
      <c r="J90" s="1">
        <f ca="1">IFERROR(__xludf.DUMMYFUNCTION("""COMPUTED_VALUE"""),5)</f>
        <v>5</v>
      </c>
      <c r="K90" s="1" t="str">
        <f ca="1">IFERROR(__xludf.DUMMYFUNCTION("""COMPUTED_VALUE"""),"Hybrid Working Environment with less than 15 days a month at office")</f>
        <v>Hybrid Working Environment with less than 15 days a month at office</v>
      </c>
      <c r="L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0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90" s="1" t="str">
        <f ca="1">IFERROR(__xludf.DUMMYFUNCTION("""COMPUTED_VALUE"""),"Design and Creative strategy in any company, Design and Develop amazing software, Work in a BPO setup for some well known client")</f>
        <v>Design and Creative strategy in any company, Design and Develop amazing software, Work in a BPO setup for some well known client</v>
      </c>
      <c r="O90" s="1" t="str">
        <f ca="1">IFERROR(__xludf.DUMMYFUNCTION("""COMPUTED_VALUE"""),"Manager who explains what is expected, sets a goal and helps achieve it")</f>
        <v>Manager who explains what is expected, sets a goal and helps achieve it</v>
      </c>
      <c r="P90" s="1" t="str">
        <f ca="1">IFERROR(__xludf.DUMMYFUNCTION("""COMPUTED_VALUE"""),"Work alone, Work with 2 to 3 people in my team")</f>
        <v>Work alone, Work with 2 to 3 people in my team</v>
      </c>
      <c r="Q90" s="1"/>
      <c r="R90" s="1"/>
      <c r="S90" s="1"/>
    </row>
    <row r="91" spans="1:19" ht="12.5" x14ac:dyDescent="0.25">
      <c r="A91" s="2">
        <f ca="1">IFERROR(__xludf.DUMMYFUNCTION("""COMPUTED_VALUE"""),44911.851828993)</f>
        <v>44911.851828993</v>
      </c>
      <c r="B91" s="1" t="str">
        <f ca="1">IFERROR(__xludf.DUMMYFUNCTION("""COMPUTED_VALUE"""),"India")</f>
        <v>India</v>
      </c>
      <c r="C91" s="1">
        <f ca="1">IFERROR(__xludf.DUMMYFUNCTION("""COMPUTED_VALUE"""),576104)</f>
        <v>576104</v>
      </c>
      <c r="D91" s="1" t="str">
        <f ca="1">IFERROR(__xludf.DUMMYFUNCTION("""COMPUTED_VALUE"""),"Female")</f>
        <v>Female</v>
      </c>
      <c r="E91" s="1" t="str">
        <f ca="1">IFERROR(__xludf.DUMMYFUNCTION("""COMPUTED_VALUE"""),"People from my circle, but not family members")</f>
        <v>People from my circle, but not family members</v>
      </c>
      <c r="F91" s="1" t="str">
        <f ca="1">IFERROR(__xludf.DUMMYFUNCTION("""COMPUTED_VALUE"""),"No, But if someone could bare the cost I will")</f>
        <v>No, But if someone could bare the cost I will</v>
      </c>
      <c r="G91" s="1" t="str">
        <f ca="1">IFERROR(__xludf.DUMMYFUNCTION("""COMPUTED_VALUE"""),"This will be hard to do, but if it is the right company I would try")</f>
        <v>This will be hard to do, but if it is the right company I would try</v>
      </c>
      <c r="H91" s="1" t="str">
        <f ca="1">IFERROR(__xludf.DUMMYFUNCTION("""COMPUTED_VALUE"""),"No")</f>
        <v>No</v>
      </c>
      <c r="I91" s="1" t="str">
        <f ca="1">IFERROR(__xludf.DUMMYFUNCTION("""COMPUTED_VALUE"""),"Will NOT work for them")</f>
        <v>Will NOT work for them</v>
      </c>
      <c r="J91" s="1">
        <f ca="1">IFERROR(__xludf.DUMMYFUNCTION("""COMPUTED_VALUE"""),5)</f>
        <v>5</v>
      </c>
      <c r="K91" s="1" t="str">
        <f ca="1">IFERROR(__xludf.DUMMYFUNCTION("""COMPUTED_VALUE"""),"Fully Remote with Options to travel as and when needed")</f>
        <v>Fully Remote with Options to travel as and when needed</v>
      </c>
      <c r="L91" s="1" t="str">
        <f ca="1">IFERROR(__xludf.DUMMYFUNCTION("""COMPUTED_VALUE"""),"Employer who appreciates learning and enables that environment")</f>
        <v>Employer who appreciates learning and enables that environment</v>
      </c>
      <c r="M91" s="1" t="str">
        <f ca="1">IFERROR(__xludf.DUMMYFUNCTION("""COMPUTED_VALUE"""),"Self Paced Learning Portals, Instructor or Expert Learning Programs")</f>
        <v>Self Paced Learning Portals, Instructor or Expert Learning Programs</v>
      </c>
      <c r="N91" s="1" t="str">
        <f ca="1">IFERROR(__xludf.DUMMYFUNCTION("""COMPUTED_VALUE"""),"Look deeply into Data and generate insights, Work in a BPO setup for some well known client, Work as a freelancer and do my thing my way")</f>
        <v>Look deeply into Data and generate insights, Work in a BPO setup for some well known client, Work as a freelancer and do my thing my way</v>
      </c>
      <c r="O91" s="1" t="str">
        <f ca="1">IFERROR(__xludf.DUMMYFUNCTION("""COMPUTED_VALUE"""),"Manager who explains what is expected, sets a goal and helps achieve it")</f>
        <v>Manager who explains what is expected, sets a goal and helps achieve it</v>
      </c>
      <c r="P91" s="1" t="str">
        <f ca="1">IFERROR(__xludf.DUMMYFUNCTION("""COMPUTED_VALUE"""),"Work with 5 to 6 people in my team")</f>
        <v>Work with 5 to 6 people in my team</v>
      </c>
      <c r="Q91" s="1"/>
      <c r="R91" s="1"/>
      <c r="S91" s="1"/>
    </row>
    <row r="92" spans="1:19" ht="12.5" x14ac:dyDescent="0.25">
      <c r="A92" s="2">
        <f ca="1">IFERROR(__xludf.DUMMYFUNCTION("""COMPUTED_VALUE"""),44911.8568034143)</f>
        <v>44911.856803414303</v>
      </c>
      <c r="B92" s="1" t="str">
        <f ca="1">IFERROR(__xludf.DUMMYFUNCTION("""COMPUTED_VALUE"""),"India")</f>
        <v>India</v>
      </c>
      <c r="C92" s="1">
        <f ca="1">IFERROR(__xludf.DUMMYFUNCTION("""COMPUTED_VALUE"""),246701)</f>
        <v>246701</v>
      </c>
      <c r="D92" s="1" t="str">
        <f ca="1">IFERROR(__xludf.DUMMYFUNCTION("""COMPUTED_VALUE"""),"Female")</f>
        <v>Female</v>
      </c>
      <c r="E92" s="1" t="str">
        <f ca="1">IFERROR(__xludf.DUMMYFUNCTION("""COMPUTED_VALUE"""),"Social Media like LinkedIn")</f>
        <v>Social Media like LinkedIn</v>
      </c>
      <c r="F92" s="1" t="str">
        <f ca="1">IFERROR(__xludf.DUMMYFUNCTION("""COMPUTED_VALUE"""),"Yes, I will earn and do that")</f>
        <v>Yes, I will earn and do that</v>
      </c>
      <c r="G92" s="1" t="str">
        <f ca="1">IFERROR(__xludf.DUMMYFUNCTION("""COMPUTED_VALUE"""),"This will be hard to do, but if it is the right company I would try")</f>
        <v>This will be hard to do, but if it is the right company I would try</v>
      </c>
      <c r="H92" s="1" t="str">
        <f ca="1">IFERROR(__xludf.DUMMYFUNCTION("""COMPUTED_VALUE"""),"No")</f>
        <v>No</v>
      </c>
      <c r="I92" s="1" t="str">
        <f ca="1">IFERROR(__xludf.DUMMYFUNCTION("""COMPUTED_VALUE"""),"Will NOT work for them")</f>
        <v>Will NOT work for them</v>
      </c>
      <c r="J92" s="1">
        <f ca="1">IFERROR(__xludf.DUMMYFUNCTION("""COMPUTED_VALUE"""),1)</f>
        <v>1</v>
      </c>
      <c r="K92" s="1" t="str">
        <f ca="1">IFERROR(__xludf.DUMMYFUNCTION("""COMPUTED_VALUE"""),"Hybrid Working Environment with less than 10 days a month at office")</f>
        <v>Hybrid Working Environment with less than 10 days a month at office</v>
      </c>
      <c r="L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" s="1" t="str">
        <f ca="1">IFERROR(__xludf.DUMMYFUNCTION("""COMPUTED_VALUE"""),"Self Paced Learning Portals, Instructor or Expert Learning Programs")</f>
        <v>Self Paced Learning Portals, Instructor or Expert Learning Programs</v>
      </c>
      <c r="N92" s="1" t="str">
        <f ca="1">IFERROR(__xludf.DUMMYFUNCTION("""COMPUTED_VALUE"""),"Manage and drive End-to-End Projects or Products, Work as a freelancer and do my thing my way, Become a content Creator in some platform")</f>
        <v>Manage and drive End-to-End Projects or Products, Work as a freelancer and do my thing my way, Become a content Creator in some platform</v>
      </c>
      <c r="O92" s="1" t="str">
        <f ca="1">IFERROR(__xludf.DUMMYFUNCTION("""COMPUTED_VALUE"""),"Manager who explains what is expected, sets a goal and helps achieve it")</f>
        <v>Manager who explains what is expected, sets a goal and helps achieve it</v>
      </c>
      <c r="P92" s="1" t="str">
        <f ca="1">IFERROR(__xludf.DUMMYFUNCTION("""COMPUTED_VALUE"""),"Work with 7 to 10 or more people in my team")</f>
        <v>Work with 7 to 10 or more people in my team</v>
      </c>
      <c r="Q92" s="1"/>
      <c r="R92" s="1"/>
      <c r="S92" s="1"/>
    </row>
    <row r="93" spans="1:19" ht="12.5" x14ac:dyDescent="0.25">
      <c r="A93" s="2">
        <f ca="1">IFERROR(__xludf.DUMMYFUNCTION("""COMPUTED_VALUE"""),44911.8738833101)</f>
        <v>44911.873883310102</v>
      </c>
      <c r="B93" s="1" t="str">
        <f ca="1">IFERROR(__xludf.DUMMYFUNCTION("""COMPUTED_VALUE"""),"India")</f>
        <v>India</v>
      </c>
      <c r="C93" s="1">
        <f ca="1">IFERROR(__xludf.DUMMYFUNCTION("""COMPUTED_VALUE"""),560060)</f>
        <v>560060</v>
      </c>
      <c r="D93" s="1" t="str">
        <f ca="1">IFERROR(__xludf.DUMMYFUNCTION("""COMPUTED_VALUE"""),"Male")</f>
        <v>Male</v>
      </c>
      <c r="E93" s="1" t="str">
        <f ca="1">IFERROR(__xludf.DUMMYFUNCTION("""COMPUTED_VALUE"""),"My Parents")</f>
        <v>My Parents</v>
      </c>
      <c r="F93" s="1" t="str">
        <f ca="1">IFERROR(__xludf.DUMMYFUNCTION("""COMPUTED_VALUE"""),"Yes, I will earn and do that")</f>
        <v>Yes, I will earn and do that</v>
      </c>
      <c r="G93" s="1" t="str">
        <f ca="1">IFERROR(__xludf.DUMMYFUNCTION("""COMPUTED_VALUE"""),"Will work for 3 years or more")</f>
        <v>Will work for 3 years or more</v>
      </c>
      <c r="H93" s="1" t="str">
        <f ca="1">IFERROR(__xludf.DUMMYFUNCTION("""COMPUTED_VALUE"""),"Yes")</f>
        <v>Yes</v>
      </c>
      <c r="I93" s="1" t="str">
        <f ca="1">IFERROR(__xludf.DUMMYFUNCTION("""COMPUTED_VALUE"""),"Will work for them")</f>
        <v>Will work for them</v>
      </c>
      <c r="J93" s="1">
        <f ca="1">IFERROR(__xludf.DUMMYFUNCTION("""COMPUTED_VALUE"""),8)</f>
        <v>8</v>
      </c>
      <c r="K93" s="1" t="str">
        <f ca="1">IFERROR(__xludf.DUMMYFUNCTION("""COMPUTED_VALUE"""),"Every Day Office Environment")</f>
        <v>Every Day Office Environment</v>
      </c>
      <c r="L93" s="1" t="str">
        <f ca="1">IFERROR(__xludf.DUMMYFUNCTION("""COMPUTED_VALUE"""),"Employer who appreciates learning and enables that environment")</f>
        <v>Employer who appreciates learning and enables that environment</v>
      </c>
      <c r="M93" s="1" t="str">
        <f ca="1">IFERROR(__xludf.DUMMYFUNCTION("""COMPUTED_VALUE"""),"Self Paced Learning Portals, Learning by observing others")</f>
        <v>Self Paced Learning Portals, Learning by observing others</v>
      </c>
      <c r="N93" s="1" t="str">
        <f ca="1">IFERROR(__xludf.DUMMYFUNCTION("""COMPUTED_VALUE"""),"Business Operations in any organization, Manage and drive End-to-End Projects or Products, Design and Develop amazing software")</f>
        <v>Business Operations in any organization, Manage and drive End-to-End Projects or Products, Design and Develop amazing software</v>
      </c>
      <c r="O93" s="1" t="str">
        <f ca="1">IFERROR(__xludf.DUMMYFUNCTION("""COMPUTED_VALUE"""),"Manager who sets goal and helps me achieve it")</f>
        <v>Manager who sets goal and helps me achieve it</v>
      </c>
      <c r="P93" s="1" t="str">
        <f ca="1">IFERROR(__xludf.DUMMYFUNCTION("""COMPUTED_VALUE"""),"Work with 2 to 3 people in my team")</f>
        <v>Work with 2 to 3 people in my team</v>
      </c>
      <c r="Q93" s="1"/>
      <c r="R93" s="1"/>
      <c r="S93" s="1"/>
    </row>
    <row r="94" spans="1:19" ht="12.5" x14ac:dyDescent="0.25">
      <c r="A94" s="2">
        <f ca="1">IFERROR(__xludf.DUMMYFUNCTION("""COMPUTED_VALUE"""),44911.8750993402)</f>
        <v>44911.875099340199</v>
      </c>
      <c r="B94" s="1" t="str">
        <f ca="1">IFERROR(__xludf.DUMMYFUNCTION("""COMPUTED_VALUE"""),"India")</f>
        <v>India</v>
      </c>
      <c r="C94" s="1">
        <f ca="1">IFERROR(__xludf.DUMMYFUNCTION("""COMPUTED_VALUE"""),520007)</f>
        <v>520007</v>
      </c>
      <c r="D94" s="1" t="str">
        <f ca="1">IFERROR(__xludf.DUMMYFUNCTION("""COMPUTED_VALUE"""),"Male")</f>
        <v>Male</v>
      </c>
      <c r="E94" s="1" t="str">
        <f ca="1">IFERROR(__xludf.DUMMYFUNCTION("""COMPUTED_VALUE"""),"People who have changed the world for better")</f>
        <v>People who have changed the world for better</v>
      </c>
      <c r="F94" s="1" t="str">
        <f ca="1">IFERROR(__xludf.DUMMYFUNCTION("""COMPUTED_VALUE"""),"No I would not be pursuing Higher Education outside of India")</f>
        <v>No I would not be pursuing Higher Education outside of India</v>
      </c>
      <c r="G94" s="1" t="str">
        <f ca="1">IFERROR(__xludf.DUMMYFUNCTION("""COMPUTED_VALUE"""),"Will work for 3 years or more")</f>
        <v>Will work for 3 years or more</v>
      </c>
      <c r="H94" s="1" t="str">
        <f ca="1">IFERROR(__xludf.DUMMYFUNCTION("""COMPUTED_VALUE"""),"No")</f>
        <v>No</v>
      </c>
      <c r="I94" s="1" t="str">
        <f ca="1">IFERROR(__xludf.DUMMYFUNCTION("""COMPUTED_VALUE"""),"Will work for them")</f>
        <v>Will work for them</v>
      </c>
      <c r="J94" s="1">
        <f ca="1">IFERROR(__xludf.DUMMYFUNCTION("""COMPUTED_VALUE"""),6)</f>
        <v>6</v>
      </c>
      <c r="K94" s="1" t="str">
        <f ca="1">IFERROR(__xludf.DUMMYFUNCTION("""COMPUTED_VALUE"""),"Hybrid Working Environment with less than 3 days a month at office")</f>
        <v>Hybrid Working Environment with less than 3 days a month at office</v>
      </c>
      <c r="L94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94" s="1" t="str">
        <f ca="1">IFERROR(__xludf.DUMMYFUNCTION("""COMPUTED_VALUE"""),"Self Paced Learning Portals, Learning by observing others")</f>
        <v>Self Paced Learning Portals, Learning by observing others</v>
      </c>
      <c r="N94" s="1" t="str">
        <f ca="1">IFERROR(__xludf.DUMMYFUNCTION("""COMPUTED_VALUE"""),"Build and develop a Team, Design and Develop amazing software, Look deeply into Data and generate insights")</f>
        <v>Build and develop a Team, Design and Develop amazing software, Look deeply into Data and generate insights</v>
      </c>
      <c r="O94" s="1" t="str">
        <f ca="1">IFERROR(__xludf.DUMMYFUNCTION("""COMPUTED_VALUE"""),"Manager who explains what is expected, sets a goal and helps achieve it")</f>
        <v>Manager who explains what is expected, sets a goal and helps achieve it</v>
      </c>
      <c r="P94" s="1" t="str">
        <f ca="1">IFERROR(__xludf.DUMMYFUNCTION("""COMPUTED_VALUE"""),"Work with 2 to 3 people in my team, Work with 5 to 6 people in my team")</f>
        <v>Work with 2 to 3 people in my team, Work with 5 to 6 people in my team</v>
      </c>
      <c r="Q94" s="1"/>
      <c r="R94" s="1"/>
      <c r="S94" s="1"/>
    </row>
    <row r="95" spans="1:19" ht="12.5" x14ac:dyDescent="0.25">
      <c r="A95" s="2">
        <f ca="1">IFERROR(__xludf.DUMMYFUNCTION("""COMPUTED_VALUE"""),44911.887063368)</f>
        <v>44911.887063367998</v>
      </c>
      <c r="B95" s="1" t="str">
        <f ca="1">IFERROR(__xludf.DUMMYFUNCTION("""COMPUTED_VALUE"""),"India")</f>
        <v>India</v>
      </c>
      <c r="C95" s="1">
        <f ca="1">IFERROR(__xludf.DUMMYFUNCTION("""COMPUTED_VALUE"""),641663)</f>
        <v>641663</v>
      </c>
      <c r="D95" s="1" t="str">
        <f ca="1">IFERROR(__xludf.DUMMYFUNCTION("""COMPUTED_VALUE"""),"Male")</f>
        <v>Male</v>
      </c>
      <c r="E95" s="1" t="str">
        <f ca="1">IFERROR(__xludf.DUMMYFUNCTION("""COMPUTED_VALUE"""),"My Parents")</f>
        <v>My Parents</v>
      </c>
      <c r="F95" s="1" t="str">
        <f ca="1">IFERROR(__xludf.DUMMYFUNCTION("""COMPUTED_VALUE"""),"Yes, I will earn and do that")</f>
        <v>Yes, I will earn and do that</v>
      </c>
      <c r="G95" s="1" t="str">
        <f ca="1">IFERROR(__xludf.DUMMYFUNCTION("""COMPUTED_VALUE"""),"Will work for 3 years or more")</f>
        <v>Will work for 3 years or more</v>
      </c>
      <c r="H95" s="1" t="str">
        <f ca="1">IFERROR(__xludf.DUMMYFUNCTION("""COMPUTED_VALUE"""),"Yes")</f>
        <v>Yes</v>
      </c>
      <c r="I95" s="1" t="str">
        <f ca="1">IFERROR(__xludf.DUMMYFUNCTION("""COMPUTED_VALUE"""),"Will work for them")</f>
        <v>Will work for them</v>
      </c>
      <c r="J95" s="1">
        <f ca="1">IFERROR(__xludf.DUMMYFUNCTION("""COMPUTED_VALUE"""),9)</f>
        <v>9</v>
      </c>
      <c r="K95" s="1" t="str">
        <f ca="1">IFERROR(__xludf.DUMMYFUNCTION("""COMPUTED_VALUE"""),"Every Day Office Environment")</f>
        <v>Every Day Office Environment</v>
      </c>
      <c r="L95" s="1" t="str">
        <f ca="1">IFERROR(__xludf.DUMMYFUNCTION("""COMPUTED_VALUE"""),"Employer who appreciates learning and enables that environment")</f>
        <v>Employer who appreciates learning and enables that environment</v>
      </c>
      <c r="M95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95" s="1" t="str">
        <f ca="1">IFERROR(__xludf.DUMMYFUNCTION("""COMPUTED_VALUE"""),"Design and Creative strategy in any company, Build and develop a Team, Work as a freelancer and do my thing my way")</f>
        <v>Design and Creative strategy in any company, Build and develop a Team, Work as a freelancer and do my thing my way</v>
      </c>
      <c r="O95" s="1" t="str">
        <f ca="1">IFERROR(__xludf.DUMMYFUNCTION("""COMPUTED_VALUE"""),"Manager who clearly describes what she/he needs")</f>
        <v>Manager who clearly describes what she/he needs</v>
      </c>
      <c r="P95" s="1" t="str">
        <f ca="1">IFERROR(__xludf.DUMMYFUNCTION("""COMPUTED_VALUE"""),"Work with more than 10 people in my team")</f>
        <v>Work with more than 10 people in my team</v>
      </c>
      <c r="Q95" s="1"/>
      <c r="R95" s="1"/>
      <c r="S95" s="1"/>
    </row>
    <row r="96" spans="1:19" ht="12.5" x14ac:dyDescent="0.25">
      <c r="A96" s="2">
        <f ca="1">IFERROR(__xludf.DUMMYFUNCTION("""COMPUTED_VALUE"""),44911.8935515625)</f>
        <v>44911.893551562498</v>
      </c>
      <c r="B96" s="1" t="str">
        <f ca="1">IFERROR(__xludf.DUMMYFUNCTION("""COMPUTED_VALUE"""),"United States of America")</f>
        <v>United States of America</v>
      </c>
      <c r="C96" s="1">
        <f ca="1">IFERROR(__xludf.DUMMYFUNCTION("""COMPUTED_VALUE"""),84321)</f>
        <v>84321</v>
      </c>
      <c r="D96" s="1" t="str">
        <f ca="1">IFERROR(__xludf.DUMMYFUNCTION("""COMPUTED_VALUE"""),"Male")</f>
        <v>Male</v>
      </c>
      <c r="E96" s="1" t="str">
        <f ca="1">IFERROR(__xludf.DUMMYFUNCTION("""COMPUTED_VALUE"""),"People from my circle, but not family members")</f>
        <v>People from my circle, but not family members</v>
      </c>
      <c r="F96" s="1" t="str">
        <f ca="1">IFERROR(__xludf.DUMMYFUNCTION("""COMPUTED_VALUE"""),"Yes, I will earn and do that")</f>
        <v>Yes, I will earn and do that</v>
      </c>
      <c r="G96" s="1" t="str">
        <f ca="1">IFERROR(__xludf.DUMMYFUNCTION("""COMPUTED_VALUE"""),"This will be hard to do, but if it is the right company I would try")</f>
        <v>This will be hard to do, but if it is the right company I would try</v>
      </c>
      <c r="H96" s="1" t="str">
        <f ca="1">IFERROR(__xludf.DUMMYFUNCTION("""COMPUTED_VALUE"""),"No")</f>
        <v>No</v>
      </c>
      <c r="I96" s="1" t="str">
        <f ca="1">IFERROR(__xludf.DUMMYFUNCTION("""COMPUTED_VALUE"""),"Will NOT work for them")</f>
        <v>Will NOT work for them</v>
      </c>
      <c r="J96" s="1">
        <f ca="1">IFERROR(__xludf.DUMMYFUNCTION("""COMPUTED_VALUE"""),5)</f>
        <v>5</v>
      </c>
      <c r="K96" s="1" t="str">
        <f ca="1">IFERROR(__xludf.DUMMYFUNCTION("""COMPUTED_VALUE"""),"Hybrid Working Environment with less than 15 days a month at office")</f>
        <v>Hybrid Working Environment with less than 15 days a month at office</v>
      </c>
      <c r="L96" s="1" t="str">
        <f ca="1">IFERROR(__xludf.DUMMYFUNCTION("""COMPUTED_VALUE"""),"Employer who appreciates learning and enables that environment")</f>
        <v>Employer who appreciates learning and enables that environment</v>
      </c>
      <c r="M96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96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96" s="1" t="str">
        <f ca="1">IFERROR(__xludf.DUMMYFUNCTION("""COMPUTED_VALUE"""),"Manager who explains what is expected, sets a goal and helps achieve it")</f>
        <v>Manager who explains what is expected, sets a goal and helps achieve it</v>
      </c>
      <c r="P96" s="1" t="str">
        <f ca="1">IFERROR(__xludf.DUMMYFUNCTION("""COMPUTED_VALUE"""),"Work alone, Work with 2 to 3 people in my team")</f>
        <v>Work alone, Work with 2 to 3 people in my team</v>
      </c>
      <c r="Q96" s="1"/>
      <c r="R96" s="1"/>
      <c r="S96" s="1"/>
    </row>
    <row r="97" spans="1:19" ht="12.5" x14ac:dyDescent="0.25">
      <c r="A97" s="2">
        <f ca="1">IFERROR(__xludf.DUMMYFUNCTION("""COMPUTED_VALUE"""),44911.9137505902)</f>
        <v>44911.913750590204</v>
      </c>
      <c r="B97" s="1" t="str">
        <f ca="1">IFERROR(__xludf.DUMMYFUNCTION("""COMPUTED_VALUE"""),"India")</f>
        <v>India</v>
      </c>
      <c r="C97" s="1">
        <f ca="1">IFERROR(__xludf.DUMMYFUNCTION("""COMPUTED_VALUE"""),607104)</f>
        <v>607104</v>
      </c>
      <c r="D97" s="1" t="str">
        <f ca="1">IFERROR(__xludf.DUMMYFUNCTION("""COMPUTED_VALUE"""),"Male")</f>
        <v>Male</v>
      </c>
      <c r="E97" s="1" t="str">
        <f ca="1">IFERROR(__xludf.DUMMYFUNCTION("""COMPUTED_VALUE"""),"People from my circle, but not family members")</f>
        <v>People from my circle, but not family members</v>
      </c>
      <c r="F97" s="1" t="str">
        <f ca="1">IFERROR(__xludf.DUMMYFUNCTION("""COMPUTED_VALUE"""),"No I would not be pursuing Higher Education outside of India")</f>
        <v>No I would not be pursuing Higher Education outside of India</v>
      </c>
      <c r="G97" s="1" t="str">
        <f ca="1">IFERROR(__xludf.DUMMYFUNCTION("""COMPUTED_VALUE"""),"This will be hard to do, but if it is the right company I would try")</f>
        <v>This will be hard to do, but if it is the right company I would try</v>
      </c>
      <c r="H97" s="1" t="str">
        <f ca="1">IFERROR(__xludf.DUMMYFUNCTION("""COMPUTED_VALUE"""),"No")</f>
        <v>No</v>
      </c>
      <c r="I97" s="1" t="str">
        <f ca="1">IFERROR(__xludf.DUMMYFUNCTION("""COMPUTED_VALUE"""),"Will work for them")</f>
        <v>Will work for them</v>
      </c>
      <c r="J97" s="1">
        <f ca="1">IFERROR(__xludf.DUMMYFUNCTION("""COMPUTED_VALUE"""),8)</f>
        <v>8</v>
      </c>
      <c r="K97" s="1" t="str">
        <f ca="1">IFERROR(__xludf.DUMMYFUNCTION("""COMPUTED_VALUE"""),"Hybrid Working Environment with less than 15 days a month at office")</f>
        <v>Hybrid Working Environment with less than 15 days a month at office</v>
      </c>
      <c r="L97" s="1" t="str">
        <f ca="1">IFERROR(__xludf.DUMMYFUNCTION("""COMPUTED_VALUE"""),"Employer who rewards learning and enables that environment")</f>
        <v>Employer who rewards learning and enables that environment</v>
      </c>
      <c r="M97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97" s="1" t="str">
        <f ca="1">IFERROR(__xludf.DUMMYFUNCTION("""COMPUTED_VALUE"""),"Teaching in any of the institutes/online or Offline, Business Operations in any organization, Look deeply into Data and generate insights")</f>
        <v>Teaching in any of the institutes/online or Offline, Business Operations in any organization, Look deeply into Data and generate insights</v>
      </c>
      <c r="O97" s="1" t="str">
        <f ca="1">IFERROR(__xludf.DUMMYFUNCTION("""COMPUTED_VALUE"""),"Manager who explains what is expected, sets a goal and helps achieve it")</f>
        <v>Manager who explains what is expected, sets a goal and helps achieve it</v>
      </c>
      <c r="P97" s="1" t="str">
        <f ca="1">IFERROR(__xludf.DUMMYFUNCTION("""COMPUTED_VALUE"""),"Work with more than 10 people in my team")</f>
        <v>Work with more than 10 people in my team</v>
      </c>
      <c r="Q97" s="1"/>
      <c r="R97" s="1"/>
      <c r="S97" s="1"/>
    </row>
    <row r="98" spans="1:19" ht="12.5" x14ac:dyDescent="0.25">
      <c r="A98" s="2">
        <f ca="1">IFERROR(__xludf.DUMMYFUNCTION("""COMPUTED_VALUE"""),44911.9163591666)</f>
        <v>44911.9163591666</v>
      </c>
      <c r="B98" s="1" t="str">
        <f ca="1">IFERROR(__xludf.DUMMYFUNCTION("""COMPUTED_VALUE"""),"India")</f>
        <v>India</v>
      </c>
      <c r="C98" s="1">
        <f ca="1">IFERROR(__xludf.DUMMYFUNCTION("""COMPUTED_VALUE"""),609305)</f>
        <v>609305</v>
      </c>
      <c r="D98" s="1" t="str">
        <f ca="1">IFERROR(__xludf.DUMMYFUNCTION("""COMPUTED_VALUE"""),"Male")</f>
        <v>Male</v>
      </c>
      <c r="E98" s="1" t="str">
        <f ca="1">IFERROR(__xludf.DUMMYFUNCTION("""COMPUTED_VALUE"""),"People who have changed the world for better")</f>
        <v>People who have changed the world for better</v>
      </c>
      <c r="F98" s="1" t="str">
        <f ca="1">IFERROR(__xludf.DUMMYFUNCTION("""COMPUTED_VALUE"""),"No I would not be pursuing Higher Education outside of India")</f>
        <v>No I would not be pursuing Higher Education outside of India</v>
      </c>
      <c r="G98" s="1" t="str">
        <f ca="1">IFERROR(__xludf.DUMMYFUNCTION("""COMPUTED_VALUE"""),"No way, 3 years with one employer is crazy")</f>
        <v>No way, 3 years with one employer is crazy</v>
      </c>
      <c r="H98" s="1" t="str">
        <f ca="1">IFERROR(__xludf.DUMMYFUNCTION("""COMPUTED_VALUE"""),"No")</f>
        <v>No</v>
      </c>
      <c r="I98" s="1" t="str">
        <f ca="1">IFERROR(__xludf.DUMMYFUNCTION("""COMPUTED_VALUE"""),"Will NOT work for them")</f>
        <v>Will NOT work for them</v>
      </c>
      <c r="J98" s="1">
        <f ca="1">IFERROR(__xludf.DUMMYFUNCTION("""COMPUTED_VALUE"""),1)</f>
        <v>1</v>
      </c>
      <c r="K98" s="1" t="str">
        <f ca="1">IFERROR(__xludf.DUMMYFUNCTION("""COMPUTED_VALUE"""),"Every Day Office Environment")</f>
        <v>Every Day Office Environment</v>
      </c>
      <c r="L98" s="1" t="str">
        <f ca="1">IFERROR(__xludf.DUMMYFUNCTION("""COMPUTED_VALUE"""),"Employer who appreciates learning and enables that environment")</f>
        <v>Employer who appreciates learning and enables that environment</v>
      </c>
      <c r="M98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98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98" s="1" t="str">
        <f ca="1">IFERROR(__xludf.DUMMYFUNCTION("""COMPUTED_VALUE"""),"Manager who clearly describes what she/he needs")</f>
        <v>Manager who clearly describes what she/he needs</v>
      </c>
      <c r="P98" s="1" t="str">
        <f ca="1">IFERROR(__xludf.DUMMYFUNCTION("""COMPUTED_VALUE"""),"Work with 2 to 3 people in my team")</f>
        <v>Work with 2 to 3 people in my team</v>
      </c>
      <c r="Q98" s="1"/>
      <c r="R98" s="1"/>
      <c r="S98" s="1"/>
    </row>
    <row r="99" spans="1:19" ht="12.5" x14ac:dyDescent="0.25">
      <c r="A99" s="2">
        <f ca="1">IFERROR(__xludf.DUMMYFUNCTION("""COMPUTED_VALUE"""),44911.9184114236)</f>
        <v>44911.918411423598</v>
      </c>
      <c r="B99" s="1" t="str">
        <f ca="1">IFERROR(__xludf.DUMMYFUNCTION("""COMPUTED_VALUE"""),"India")</f>
        <v>India</v>
      </c>
      <c r="C99" s="1">
        <f ca="1">IFERROR(__xludf.DUMMYFUNCTION("""COMPUTED_VALUE"""),607104)</f>
        <v>607104</v>
      </c>
      <c r="D99" s="1" t="str">
        <f ca="1">IFERROR(__xludf.DUMMYFUNCTION("""COMPUTED_VALUE"""),"Male")</f>
        <v>Male</v>
      </c>
      <c r="E99" s="1" t="str">
        <f ca="1">IFERROR(__xludf.DUMMYFUNCTION("""COMPUTED_VALUE"""),"People who have changed the world for better")</f>
        <v>People who have changed the world for better</v>
      </c>
      <c r="F99" s="1" t="str">
        <f ca="1">IFERROR(__xludf.DUMMYFUNCTION("""COMPUTED_VALUE"""),"No I would not be pursuing Higher Education outside of India")</f>
        <v>No I would not be pursuing Higher Education outside of India</v>
      </c>
      <c r="G99" s="1" t="str">
        <f ca="1">IFERROR(__xludf.DUMMYFUNCTION("""COMPUTED_VALUE"""),"No way, 3 years with one employer is crazy")</f>
        <v>No way, 3 years with one employer is crazy</v>
      </c>
      <c r="H99" s="1" t="str">
        <f ca="1">IFERROR(__xludf.DUMMYFUNCTION("""COMPUTED_VALUE"""),"No")</f>
        <v>No</v>
      </c>
      <c r="I99" s="1" t="str">
        <f ca="1">IFERROR(__xludf.DUMMYFUNCTION("""COMPUTED_VALUE"""),"Will work for them")</f>
        <v>Will work for them</v>
      </c>
      <c r="J99" s="1">
        <f ca="1">IFERROR(__xludf.DUMMYFUNCTION("""COMPUTED_VALUE"""),3)</f>
        <v>3</v>
      </c>
      <c r="K99" s="1" t="str">
        <f ca="1">IFERROR(__xludf.DUMMYFUNCTION("""COMPUTED_VALUE"""),"Every Day Office Environment")</f>
        <v>Every Day Office Environment</v>
      </c>
      <c r="L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9" s="1" t="str">
        <f ca="1">IFERROR(__xludf.DUMMYFUNCTION("""COMPUTED_VALUE"""),"Self Paced Learning Portals, Learning by observing others")</f>
        <v>Self Paced Learning Portals, Learning by observing others</v>
      </c>
      <c r="N99" s="1" t="str">
        <f ca="1">IFERROR(__xludf.DUMMYFUNCTION("""COMPUTED_VALUE"""),"Look deeply into Data and generate insights, Work in a BPO setup for some well known client, Become a content Creator in some platform")</f>
        <v>Look deeply into Data and generate insights, Work in a BPO setup for some well known client, Become a content Creator in some platform</v>
      </c>
      <c r="O99" s="1" t="str">
        <f ca="1">IFERROR(__xludf.DUMMYFUNCTION("""COMPUTED_VALUE"""),"Manager who sets unrealistic targets")</f>
        <v>Manager who sets unrealistic targets</v>
      </c>
      <c r="P99" s="1" t="str">
        <f ca="1">IFERROR(__xludf.DUMMYFUNCTION("""COMPUTED_VALUE"""),"Work with 5 to 6 people in my team")</f>
        <v>Work with 5 to 6 people in my team</v>
      </c>
      <c r="Q99" s="1"/>
      <c r="R99" s="1"/>
      <c r="S99" s="1"/>
    </row>
    <row r="100" spans="1:19" ht="12.5" x14ac:dyDescent="0.25">
      <c r="A100" s="2">
        <f ca="1">IFERROR(__xludf.DUMMYFUNCTION("""COMPUTED_VALUE"""),44911.922811493)</f>
        <v>44911.922811493001</v>
      </c>
      <c r="B100" s="1" t="str">
        <f ca="1">IFERROR(__xludf.DUMMYFUNCTION("""COMPUTED_VALUE"""),"India")</f>
        <v>India</v>
      </c>
      <c r="C100" s="1">
        <f ca="1">IFERROR(__xludf.DUMMYFUNCTION("""COMPUTED_VALUE"""),425001)</f>
        <v>425001</v>
      </c>
      <c r="D100" s="1" t="str">
        <f ca="1">IFERROR(__xludf.DUMMYFUNCTION("""COMPUTED_VALUE"""),"Male")</f>
        <v>Male</v>
      </c>
      <c r="E100" s="1" t="str">
        <f ca="1">IFERROR(__xludf.DUMMYFUNCTION("""COMPUTED_VALUE"""),"Influencers who had successful careers")</f>
        <v>Influencers who had successful careers</v>
      </c>
      <c r="F100" s="1" t="str">
        <f ca="1">IFERROR(__xludf.DUMMYFUNCTION("""COMPUTED_VALUE"""),"Yes, I will earn and do that")</f>
        <v>Yes, I will earn and do that</v>
      </c>
      <c r="G100" s="1" t="str">
        <f ca="1">IFERROR(__xludf.DUMMYFUNCTION("""COMPUTED_VALUE"""),"This will be hard to do, but if it is the right company I would try")</f>
        <v>This will be hard to do, but if it is the right company I would try</v>
      </c>
      <c r="H100" s="1" t="str">
        <f ca="1">IFERROR(__xludf.DUMMYFUNCTION("""COMPUTED_VALUE"""),"No")</f>
        <v>No</v>
      </c>
      <c r="I100" s="1" t="str">
        <f ca="1">IFERROR(__xludf.DUMMYFUNCTION("""COMPUTED_VALUE"""),"Will work for them")</f>
        <v>Will work for them</v>
      </c>
      <c r="J100" s="1">
        <f ca="1">IFERROR(__xludf.DUMMYFUNCTION("""COMPUTED_VALUE"""),2)</f>
        <v>2</v>
      </c>
      <c r="K100" s="1" t="str">
        <f ca="1">IFERROR(__xludf.DUMMYFUNCTION("""COMPUTED_VALUE"""),"Every Day Office Environment")</f>
        <v>Every Day Office Environment</v>
      </c>
      <c r="L1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" s="1" t="str">
        <f ca="1">IFERROR(__xludf.DUMMYFUNCTION("""COMPUTED_VALUE"""),"Self Paced Learning Portals, Instructor or Expert Learning Programs")</f>
        <v>Self Paced Learning Portals, Instructor or Expert Learning Programs</v>
      </c>
      <c r="N100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100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" s="1" t="str">
        <f ca="1">IFERROR(__xludf.DUMMYFUNCTION("""COMPUTED_VALUE"""),"Work with 2 to 3 people in my team")</f>
        <v>Work with 2 to 3 people in my team</v>
      </c>
      <c r="Q100" s="1"/>
      <c r="R100" s="1"/>
      <c r="S100" s="1"/>
    </row>
    <row r="101" spans="1:19" ht="12.5" x14ac:dyDescent="0.25">
      <c r="A101" s="2">
        <f ca="1">IFERROR(__xludf.DUMMYFUNCTION("""COMPUTED_VALUE"""),44911.9230981597)</f>
        <v>44911.923098159699</v>
      </c>
      <c r="B101" s="1" t="str">
        <f ca="1">IFERROR(__xludf.DUMMYFUNCTION("""COMPUTED_VALUE"""),"India")</f>
        <v>India</v>
      </c>
      <c r="C101" s="1">
        <f ca="1">IFERROR(__xludf.DUMMYFUNCTION("""COMPUTED_VALUE"""),560029)</f>
        <v>560029</v>
      </c>
      <c r="D101" s="1" t="str">
        <f ca="1">IFERROR(__xludf.DUMMYFUNCTION("""COMPUTED_VALUE"""),"Female")</f>
        <v>Female</v>
      </c>
      <c r="E101" s="1" t="str">
        <f ca="1">IFERROR(__xludf.DUMMYFUNCTION("""COMPUTED_VALUE"""),"My Parents")</f>
        <v>My Parents</v>
      </c>
      <c r="F101" s="1" t="str">
        <f ca="1">IFERROR(__xludf.DUMMYFUNCTION("""COMPUTED_VALUE"""),"Yes, I will earn and do that")</f>
        <v>Yes, I will earn and do that</v>
      </c>
      <c r="G101" s="1" t="str">
        <f ca="1">IFERROR(__xludf.DUMMYFUNCTION("""COMPUTED_VALUE"""),"Will work for 3 years or more")</f>
        <v>Will work for 3 years or more</v>
      </c>
      <c r="H101" s="1" t="str">
        <f ca="1">IFERROR(__xludf.DUMMYFUNCTION("""COMPUTED_VALUE"""),"No")</f>
        <v>No</v>
      </c>
      <c r="I101" s="1" t="str">
        <f ca="1">IFERROR(__xludf.DUMMYFUNCTION("""COMPUTED_VALUE"""),"Will NOT work for them")</f>
        <v>Will NOT work for them</v>
      </c>
      <c r="J101" s="1">
        <f ca="1">IFERROR(__xludf.DUMMYFUNCTION("""COMPUTED_VALUE"""),2)</f>
        <v>2</v>
      </c>
      <c r="K101" s="1" t="str">
        <f ca="1">IFERROR(__xludf.DUMMYFUNCTION("""COMPUTED_VALUE"""),"Fully Remote with Options to travel as and when needed")</f>
        <v>Fully Remote with Options to travel as and when needed</v>
      </c>
      <c r="L1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1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01" s="1" t="str">
        <f ca="1">IFERROR(__xludf.DUMMYFUNCTION("""COMPUTED_VALUE"""),"Business Operations in any organization, Manage and drive End-to-End Projects or Products, Become a content Creator in some platform")</f>
        <v>Business Operations in any organization, Manage and drive End-to-End Projects or Products, Become a content Creator in some platform</v>
      </c>
      <c r="O10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" s="1" t="str">
        <f ca="1">IFERROR(__xludf.DUMMYFUNCTION("""COMPUTED_VALUE"""),"Work with 5 to 6 people in my team")</f>
        <v>Work with 5 to 6 people in my team</v>
      </c>
      <c r="Q101" s="1"/>
      <c r="R101" s="1"/>
      <c r="S101" s="1"/>
    </row>
    <row r="102" spans="1:19" ht="12.5" x14ac:dyDescent="0.25">
      <c r="A102" s="2">
        <f ca="1">IFERROR(__xludf.DUMMYFUNCTION("""COMPUTED_VALUE"""),44912.0025686342)</f>
        <v>44912.002568634198</v>
      </c>
      <c r="B102" s="1" t="str">
        <f ca="1">IFERROR(__xludf.DUMMYFUNCTION("""COMPUTED_VALUE"""),"India")</f>
        <v>India</v>
      </c>
      <c r="C102" s="1">
        <f ca="1">IFERROR(__xludf.DUMMYFUNCTION("""COMPUTED_VALUE"""),400013)</f>
        <v>400013</v>
      </c>
      <c r="D102" s="1" t="str">
        <f ca="1">IFERROR(__xludf.DUMMYFUNCTION("""COMPUTED_VALUE"""),"Male")</f>
        <v>Male</v>
      </c>
      <c r="E102" s="1" t="str">
        <f ca="1">IFERROR(__xludf.DUMMYFUNCTION("""COMPUTED_VALUE"""),"My Parents")</f>
        <v>My Parents</v>
      </c>
      <c r="F102" s="1" t="str">
        <f ca="1">IFERROR(__xludf.DUMMYFUNCTION("""COMPUTED_VALUE"""),"No, But if someone could bare the cost I will")</f>
        <v>No, But if someone could bare the cost I will</v>
      </c>
      <c r="G102" s="1" t="str">
        <f ca="1">IFERROR(__xludf.DUMMYFUNCTION("""COMPUTED_VALUE"""),"This will be hard to do, but if it is the right company I would try")</f>
        <v>This will be hard to do, but if it is the right company I would try</v>
      </c>
      <c r="H102" s="1" t="str">
        <f ca="1">IFERROR(__xludf.DUMMYFUNCTION("""COMPUTED_VALUE"""),"No")</f>
        <v>No</v>
      </c>
      <c r="I102" s="1" t="str">
        <f ca="1">IFERROR(__xludf.DUMMYFUNCTION("""COMPUTED_VALUE"""),"Will NOT work for them")</f>
        <v>Will NOT work for them</v>
      </c>
      <c r="J102" s="1">
        <f ca="1">IFERROR(__xludf.DUMMYFUNCTION("""COMPUTED_VALUE"""),7)</f>
        <v>7</v>
      </c>
      <c r="K102" s="1" t="str">
        <f ca="1">IFERROR(__xludf.DUMMYFUNCTION("""COMPUTED_VALUE"""),"Hybrid Working Environment with less than 10 days a month at office")</f>
        <v>Hybrid Working Environment with less than 10 days a month at office</v>
      </c>
      <c r="L1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02" s="1" t="str">
        <f ca="1">IFERROR(__xludf.DUMMYFUNCTION("""COMPUTED_VALUE"""),"Design and Creative strategy in any company, Build and develop a Team, Look deeply into Data and generate insights")</f>
        <v>Design and Creative strategy in any company, Build and develop a Team, Look deeply into Data and generate insights</v>
      </c>
      <c r="O1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02" s="1" t="str">
        <f ca="1">IFERROR(__xludf.DUMMYFUNCTION("""COMPUTED_VALUE"""),"Work alone, Work with 5 to 6 people in my team")</f>
        <v>Work alone, Work with 5 to 6 people in my team</v>
      </c>
      <c r="Q102" s="1"/>
      <c r="R102" s="1"/>
      <c r="S102" s="1"/>
    </row>
    <row r="103" spans="1:19" ht="12.5" x14ac:dyDescent="0.25">
      <c r="A103" s="2">
        <f ca="1">IFERROR(__xludf.DUMMYFUNCTION("""COMPUTED_VALUE"""),44912.0078218287)</f>
        <v>44912.007821828702</v>
      </c>
      <c r="B103" s="1" t="str">
        <f ca="1">IFERROR(__xludf.DUMMYFUNCTION("""COMPUTED_VALUE"""),"India")</f>
        <v>India</v>
      </c>
      <c r="C103" s="1">
        <f ca="1">IFERROR(__xludf.DUMMYFUNCTION("""COMPUTED_VALUE"""),431109)</f>
        <v>431109</v>
      </c>
      <c r="D103" s="1" t="str">
        <f ca="1">IFERROR(__xludf.DUMMYFUNCTION("""COMPUTED_VALUE"""),"Male")</f>
        <v>Male</v>
      </c>
      <c r="E103" s="1" t="str">
        <f ca="1">IFERROR(__xludf.DUMMYFUNCTION("""COMPUTED_VALUE"""),"Influencers who had successful careers")</f>
        <v>Influencers who had successful careers</v>
      </c>
      <c r="F103" s="1" t="str">
        <f ca="1">IFERROR(__xludf.DUMMYFUNCTION("""COMPUTED_VALUE"""),"Yes, I will earn and do that")</f>
        <v>Yes, I will earn and do that</v>
      </c>
      <c r="G103" s="1" t="str">
        <f ca="1">IFERROR(__xludf.DUMMYFUNCTION("""COMPUTED_VALUE"""),"This will be hard to do, but if it is the right company I would try")</f>
        <v>This will be hard to do, but if it is the right company I would try</v>
      </c>
      <c r="H103" s="1" t="str">
        <f ca="1">IFERROR(__xludf.DUMMYFUNCTION("""COMPUTED_VALUE"""),"No")</f>
        <v>No</v>
      </c>
      <c r="I103" s="1" t="str">
        <f ca="1">IFERROR(__xludf.DUMMYFUNCTION("""COMPUTED_VALUE"""),"Will NOT work for them")</f>
        <v>Will NOT work for them</v>
      </c>
      <c r="J103" s="1">
        <f ca="1">IFERROR(__xludf.DUMMYFUNCTION("""COMPUTED_VALUE"""),5)</f>
        <v>5</v>
      </c>
      <c r="K103" s="1" t="str">
        <f ca="1">IFERROR(__xludf.DUMMYFUNCTION("""COMPUTED_VALUE"""),"Hybrid Working Environment with less than 15 days a month at office")</f>
        <v>Hybrid Working Environment with less than 15 days a month at office</v>
      </c>
      <c r="L1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03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103" s="1" t="str">
        <f ca="1">IFERROR(__xludf.DUMMYFUNCTION("""COMPUTED_VALUE"""),"Manager who explains what is expected, sets a goal and helps achieve it")</f>
        <v>Manager who explains what is expected, sets a goal and helps achieve it</v>
      </c>
      <c r="P103" s="1" t="str">
        <f ca="1">IFERROR(__xludf.DUMMYFUNCTION("""COMPUTED_VALUE"""),"Work with 2 to 3 people in my team")</f>
        <v>Work with 2 to 3 people in my team</v>
      </c>
      <c r="Q103" s="1"/>
      <c r="R103" s="1"/>
      <c r="S103" s="1"/>
    </row>
    <row r="104" spans="1:19" ht="12.5" x14ac:dyDescent="0.25">
      <c r="A104" s="2">
        <f ca="1">IFERROR(__xludf.DUMMYFUNCTION("""COMPUTED_VALUE"""),44912.0479831365)</f>
        <v>44912.047983136501</v>
      </c>
      <c r="B104" s="1" t="str">
        <f ca="1">IFERROR(__xludf.DUMMYFUNCTION("""COMPUTED_VALUE"""),"India")</f>
        <v>India</v>
      </c>
      <c r="C104" s="1">
        <f ca="1">IFERROR(__xludf.DUMMYFUNCTION("""COMPUTED_VALUE"""),133001)</f>
        <v>133001</v>
      </c>
      <c r="D104" s="1" t="str">
        <f ca="1">IFERROR(__xludf.DUMMYFUNCTION("""COMPUTED_VALUE"""),"Male")</f>
        <v>Male</v>
      </c>
      <c r="E104" s="1" t="str">
        <f ca="1">IFERROR(__xludf.DUMMYFUNCTION("""COMPUTED_VALUE"""),"People from my circle, but not family members")</f>
        <v>People from my circle, but not family members</v>
      </c>
      <c r="F104" s="1" t="str">
        <f ca="1">IFERROR(__xludf.DUMMYFUNCTION("""COMPUTED_VALUE"""),"No I would not be pursuing Higher Education outside of India")</f>
        <v>No I would not be pursuing Higher Education outside of India</v>
      </c>
      <c r="G104" s="1" t="str">
        <f ca="1">IFERROR(__xludf.DUMMYFUNCTION("""COMPUTED_VALUE"""),"This will be hard to do, but if it is the right company I would try")</f>
        <v>This will be hard to do, but if it is the right company I would try</v>
      </c>
      <c r="H104" s="1" t="str">
        <f ca="1">IFERROR(__xludf.DUMMYFUNCTION("""COMPUTED_VALUE"""),"No")</f>
        <v>No</v>
      </c>
      <c r="I104" s="1" t="str">
        <f ca="1">IFERROR(__xludf.DUMMYFUNCTION("""COMPUTED_VALUE"""),"Will NOT work for them")</f>
        <v>Will NOT work for them</v>
      </c>
      <c r="J104" s="1">
        <f ca="1">IFERROR(__xludf.DUMMYFUNCTION("""COMPUTED_VALUE"""),8)</f>
        <v>8</v>
      </c>
      <c r="K104" s="1" t="str">
        <f ca="1">IFERROR(__xludf.DUMMYFUNCTION("""COMPUTED_VALUE"""),"Hybrid Working Environment with less than 10 days a month at office")</f>
        <v>Hybrid Working Environment with less than 10 days a month at office</v>
      </c>
      <c r="L1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4" s="1" t="str">
        <f ca="1">IFERROR(__xludf.DUMMYFUNCTION("""COMPUTED_VALUE"""),"Instructor or Expert Learning Programs, Learning by observing others")</f>
        <v>Instructor or Expert Learning Programs, Learning by observing others</v>
      </c>
      <c r="N104" s="1" t="str">
        <f ca="1">IFERROR(__xludf.DUMMYFUNCTION("""COMPUTED_VALUE"""),"Business Operations in any organization, Manage and drive End-to-End Projects or Products, Work as a freelancer and do my thing my way")</f>
        <v>Business Operations in any organization, Manage and drive End-to-End Projects or Products, Work as a freelancer and do my thing my way</v>
      </c>
      <c r="O104" s="1" t="str">
        <f ca="1">IFERROR(__xludf.DUMMYFUNCTION("""COMPUTED_VALUE"""),"Manager who explains what is expected, sets a goal and helps achieve it")</f>
        <v>Manager who explains what is expected, sets a goal and helps achieve it</v>
      </c>
      <c r="P104" s="1" t="str">
        <f ca="1">IFERROR(__xludf.DUMMYFUNCTION("""COMPUTED_VALUE"""),"Work with 2 to 3 people in my team")</f>
        <v>Work with 2 to 3 people in my team</v>
      </c>
      <c r="Q104" s="1"/>
      <c r="R104" s="1"/>
      <c r="S104" s="1"/>
    </row>
    <row r="105" spans="1:19" ht="12.5" x14ac:dyDescent="0.25">
      <c r="A105" s="2">
        <f ca="1">IFERROR(__xludf.DUMMYFUNCTION("""COMPUTED_VALUE"""),44912.0572920833)</f>
        <v>44912.0572920833</v>
      </c>
      <c r="B105" s="1" t="str">
        <f ca="1">IFERROR(__xludf.DUMMYFUNCTION("""COMPUTED_VALUE"""),"India")</f>
        <v>India</v>
      </c>
      <c r="C105" s="1">
        <f ca="1">IFERROR(__xludf.DUMMYFUNCTION("""COMPUTED_VALUE"""),785001)</f>
        <v>785001</v>
      </c>
      <c r="D105" s="1" t="str">
        <f ca="1">IFERROR(__xludf.DUMMYFUNCTION("""COMPUTED_VALUE"""),"Male")</f>
        <v>Male</v>
      </c>
      <c r="E105" s="1" t="str">
        <f ca="1">IFERROR(__xludf.DUMMYFUNCTION("""COMPUTED_VALUE"""),"People from my circle, but not family members")</f>
        <v>People from my circle, but not family members</v>
      </c>
      <c r="F105" s="1" t="str">
        <f ca="1">IFERROR(__xludf.DUMMYFUNCTION("""COMPUTED_VALUE"""),"No I would not be pursuing Higher Education outside of India")</f>
        <v>No I would not be pursuing Higher Education outside of India</v>
      </c>
      <c r="G105" s="1" t="str">
        <f ca="1">IFERROR(__xludf.DUMMYFUNCTION("""COMPUTED_VALUE"""),"This will be hard to do, but if it is the right company I would try")</f>
        <v>This will be hard to do, but if it is the right company I would try</v>
      </c>
      <c r="H105" s="1" t="str">
        <f ca="1">IFERROR(__xludf.DUMMYFUNCTION("""COMPUTED_VALUE"""),"Yes")</f>
        <v>Yes</v>
      </c>
      <c r="I105" s="1" t="str">
        <f ca="1">IFERROR(__xludf.DUMMYFUNCTION("""COMPUTED_VALUE"""),"Will NOT work for them")</f>
        <v>Will NOT work for them</v>
      </c>
      <c r="J105" s="1">
        <f ca="1">IFERROR(__xludf.DUMMYFUNCTION("""COMPUTED_VALUE"""),5)</f>
        <v>5</v>
      </c>
      <c r="K105" s="1" t="str">
        <f ca="1">IFERROR(__xludf.DUMMYFUNCTION("""COMPUTED_VALUE"""),"Hybrid Working Environment with less than 3 days a month at office")</f>
        <v>Hybrid Working Environment with less than 3 days a month at office</v>
      </c>
      <c r="L105" s="1" t="str">
        <f ca="1">IFERROR(__xludf.DUMMYFUNCTION("""COMPUTED_VALUE"""),"Employer who appreciates learning and enables that environment")</f>
        <v>Employer who appreciates learning and enables that environment</v>
      </c>
      <c r="M105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05" s="1" t="str">
        <f ca="1">IFERROR(__xludf.DUMMYFUNCTION("""COMPUTED_VALUE"""),"Design and Develop amazing software, Look deeply into Data and generate insights, Work as a freelancer and do my thing my way")</f>
        <v>Design and Develop amazing software, Look deeply into Data and generate insights, Work as a freelancer and do my thing my way</v>
      </c>
      <c r="O105" s="1" t="str">
        <f ca="1">IFERROR(__xludf.DUMMYFUNCTION("""COMPUTED_VALUE"""),"Manager who explains what is expected, sets a goal and helps achieve it")</f>
        <v>Manager who explains what is expected, sets a goal and helps achieve it</v>
      </c>
      <c r="P105" s="1" t="str">
        <f ca="1">IFERROR(__xludf.DUMMYFUNCTION("""COMPUTED_VALUE"""),"Work with 2 to 3 people in my team")</f>
        <v>Work with 2 to 3 people in my team</v>
      </c>
      <c r="Q105" s="1"/>
      <c r="R105" s="1"/>
      <c r="S105" s="1"/>
    </row>
    <row r="106" spans="1:19" ht="12.5" x14ac:dyDescent="0.25">
      <c r="A106" s="2">
        <f ca="1">IFERROR(__xludf.DUMMYFUNCTION("""COMPUTED_VALUE"""),44912.277851956)</f>
        <v>44912.277851956002</v>
      </c>
      <c r="B106" s="1" t="str">
        <f ca="1">IFERROR(__xludf.DUMMYFUNCTION("""COMPUTED_VALUE"""),"India")</f>
        <v>India</v>
      </c>
      <c r="C106" s="1">
        <f ca="1">IFERROR(__xludf.DUMMYFUNCTION("""COMPUTED_VALUE"""),561203)</f>
        <v>561203</v>
      </c>
      <c r="D106" s="1" t="str">
        <f ca="1">IFERROR(__xludf.DUMMYFUNCTION("""COMPUTED_VALUE"""),"Male")</f>
        <v>Male</v>
      </c>
      <c r="E106" s="1" t="str">
        <f ca="1">IFERROR(__xludf.DUMMYFUNCTION("""COMPUTED_VALUE"""),"Influencers who had successful careers")</f>
        <v>Influencers who had successful careers</v>
      </c>
      <c r="F106" s="1" t="str">
        <f ca="1">IFERROR(__xludf.DUMMYFUNCTION("""COMPUTED_VALUE"""),"Yes, I will earn and do that")</f>
        <v>Yes, I will earn and do that</v>
      </c>
      <c r="G106" s="1" t="str">
        <f ca="1">IFERROR(__xludf.DUMMYFUNCTION("""COMPUTED_VALUE"""),"This will be hard to do, but if it is the right company I would try")</f>
        <v>This will be hard to do, but if it is the right company I would try</v>
      </c>
      <c r="H106" s="1" t="str">
        <f ca="1">IFERROR(__xludf.DUMMYFUNCTION("""COMPUTED_VALUE"""),"Yes")</f>
        <v>Yes</v>
      </c>
      <c r="I106" s="1" t="str">
        <f ca="1">IFERROR(__xludf.DUMMYFUNCTION("""COMPUTED_VALUE"""),"Will work for them")</f>
        <v>Will work for them</v>
      </c>
      <c r="J106" s="1">
        <f ca="1">IFERROR(__xludf.DUMMYFUNCTION("""COMPUTED_VALUE"""),5)</f>
        <v>5</v>
      </c>
      <c r="K106" s="1" t="str">
        <f ca="1">IFERROR(__xludf.DUMMYFUNCTION("""COMPUTED_VALUE"""),"Hybrid Working Environment with less than 10 days a month at office")</f>
        <v>Hybrid Working Environment with less than 10 days a month at office</v>
      </c>
      <c r="L106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06" s="1" t="str">
        <f ca="1">IFERROR(__xludf.DUMMYFUNCTION("""COMPUTED_VALUE"""),"Self Paced Learning Portals, Instructor or Expert Learning Programs")</f>
        <v>Self Paced Learning Portals, Instructor or Expert Learning Programs</v>
      </c>
      <c r="N106" s="1" t="str">
        <f ca="1">IFERROR(__xludf.DUMMYFUNCTION("""COMPUTED_VALUE"""),"Design and Creative strategy in any company, Teaching in any of the institutes/online or Offline, Build and develop a Team")</f>
        <v>Design and Creative strategy in any company, Teaching in any of the institutes/online or Offline, Build and develop a Team</v>
      </c>
      <c r="O106" s="1" t="str">
        <f ca="1">IFERROR(__xludf.DUMMYFUNCTION("""COMPUTED_VALUE"""),"Manager who sets goal and helps me achieve it")</f>
        <v>Manager who sets goal and helps me achieve it</v>
      </c>
      <c r="P106" s="1" t="str">
        <f ca="1">IFERROR(__xludf.DUMMYFUNCTION("""COMPUTED_VALUE"""),"Work with 5 to 6 people in my team")</f>
        <v>Work with 5 to 6 people in my team</v>
      </c>
      <c r="Q106" s="1"/>
      <c r="R106" s="1"/>
      <c r="S106" s="1"/>
    </row>
    <row r="107" spans="1:19" ht="12.5" x14ac:dyDescent="0.25">
      <c r="A107" s="2">
        <f ca="1">IFERROR(__xludf.DUMMYFUNCTION("""COMPUTED_VALUE"""),44912.3732990277)</f>
        <v>44912.373299027699</v>
      </c>
      <c r="B107" s="1" t="str">
        <f ca="1">IFERROR(__xludf.DUMMYFUNCTION("""COMPUTED_VALUE"""),"India")</f>
        <v>India</v>
      </c>
      <c r="C107" s="1">
        <f ca="1">IFERROR(__xludf.DUMMYFUNCTION("""COMPUTED_VALUE"""),852131)</f>
        <v>852131</v>
      </c>
      <c r="D107" s="1" t="str">
        <f ca="1">IFERROR(__xludf.DUMMYFUNCTION("""COMPUTED_VALUE"""),"Male")</f>
        <v>Male</v>
      </c>
      <c r="E107" s="1" t="str">
        <f ca="1">IFERROR(__xludf.DUMMYFUNCTION("""COMPUTED_VALUE"""),"My Parents")</f>
        <v>My Parents</v>
      </c>
      <c r="F107" s="1" t="str">
        <f ca="1">IFERROR(__xludf.DUMMYFUNCTION("""COMPUTED_VALUE"""),"No, But if someone could bare the cost I will")</f>
        <v>No, But if someone could bare the cost I will</v>
      </c>
      <c r="G107" s="1" t="str">
        <f ca="1">IFERROR(__xludf.DUMMYFUNCTION("""COMPUTED_VALUE"""),"This will be hard to do, but if it is the right company I would try")</f>
        <v>This will be hard to do, but if it is the right company I would try</v>
      </c>
      <c r="H107" s="1" t="str">
        <f ca="1">IFERROR(__xludf.DUMMYFUNCTION("""COMPUTED_VALUE"""),"Yes")</f>
        <v>Yes</v>
      </c>
      <c r="I107" s="1" t="str">
        <f ca="1">IFERROR(__xludf.DUMMYFUNCTION("""COMPUTED_VALUE"""),"Will NOT work for them")</f>
        <v>Will NOT work for them</v>
      </c>
      <c r="J107" s="1">
        <f ca="1">IFERROR(__xludf.DUMMYFUNCTION("""COMPUTED_VALUE"""),4)</f>
        <v>4</v>
      </c>
      <c r="K107" s="1" t="str">
        <f ca="1">IFERROR(__xludf.DUMMYFUNCTION("""COMPUTED_VALUE"""),"Hybrid Working Environment with less than 15 days a month at office")</f>
        <v>Hybrid Working Environment with less than 15 days a month at office</v>
      </c>
      <c r="L1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7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07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107" s="1" t="str">
        <f ca="1">IFERROR(__xludf.DUMMYFUNCTION("""COMPUTED_VALUE"""),"Manager who sets goal and helps me achieve it")</f>
        <v>Manager who sets goal and helps me achieve it</v>
      </c>
      <c r="P107" s="1" t="str">
        <f ca="1">IFERROR(__xludf.DUMMYFUNCTION("""COMPUTED_VALUE"""),"Work with 2 to 3 people in my team")</f>
        <v>Work with 2 to 3 people in my team</v>
      </c>
      <c r="Q107" s="1"/>
      <c r="R107" s="1"/>
      <c r="S107" s="1"/>
    </row>
    <row r="108" spans="1:19" ht="12.5" x14ac:dyDescent="0.25">
      <c r="A108" s="2">
        <f ca="1">IFERROR(__xludf.DUMMYFUNCTION("""COMPUTED_VALUE"""),44912.3887232291)</f>
        <v>44912.388723229102</v>
      </c>
      <c r="B108" s="1" t="str">
        <f ca="1">IFERROR(__xludf.DUMMYFUNCTION("""COMPUTED_VALUE"""),"India")</f>
        <v>India</v>
      </c>
      <c r="C108" s="1">
        <f ca="1">IFERROR(__xludf.DUMMYFUNCTION("""COMPUTED_VALUE"""),560072)</f>
        <v>560072</v>
      </c>
      <c r="D108" s="1" t="str">
        <f ca="1">IFERROR(__xludf.DUMMYFUNCTION("""COMPUTED_VALUE"""),"Male")</f>
        <v>Male</v>
      </c>
      <c r="E108" s="1" t="str">
        <f ca="1">IFERROR(__xludf.DUMMYFUNCTION("""COMPUTED_VALUE"""),"Social Media like LinkedIn")</f>
        <v>Social Media like LinkedIn</v>
      </c>
      <c r="F108" s="1" t="str">
        <f ca="1">IFERROR(__xludf.DUMMYFUNCTION("""COMPUTED_VALUE"""),"No I would not be pursuing Higher Education outside of India")</f>
        <v>No I would not be pursuing Higher Education outside of India</v>
      </c>
      <c r="G108" s="1" t="str">
        <f ca="1">IFERROR(__xludf.DUMMYFUNCTION("""COMPUTED_VALUE"""),"This will be hard to do, but if it is the right company I would try")</f>
        <v>This will be hard to do, but if it is the right company I would try</v>
      </c>
      <c r="H108" s="1" t="str">
        <f ca="1">IFERROR(__xludf.DUMMYFUNCTION("""COMPUTED_VALUE"""),"No")</f>
        <v>No</v>
      </c>
      <c r="I108" s="1" t="str">
        <f ca="1">IFERROR(__xludf.DUMMYFUNCTION("""COMPUTED_VALUE"""),"Will work for them")</f>
        <v>Will work for them</v>
      </c>
      <c r="J108" s="1">
        <f ca="1">IFERROR(__xludf.DUMMYFUNCTION("""COMPUTED_VALUE"""),8)</f>
        <v>8</v>
      </c>
      <c r="K108" s="1" t="str">
        <f ca="1">IFERROR(__xludf.DUMMYFUNCTION("""COMPUTED_VALUE"""),"Fully Remote with Options to travel as and when needed")</f>
        <v>Fully Remote with Options to travel as and when needed</v>
      </c>
      <c r="L1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8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08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108" s="1" t="str">
        <f ca="1">IFERROR(__xludf.DUMMYFUNCTION("""COMPUTED_VALUE"""),"Manager who explains what is expected, sets a goal and helps achieve it")</f>
        <v>Manager who explains what is expected, sets a goal and helps achieve it</v>
      </c>
      <c r="P108" s="1" t="str">
        <f ca="1">IFERROR(__xludf.DUMMYFUNCTION("""COMPUTED_VALUE"""),"Work with more than 10 people in my team")</f>
        <v>Work with more than 10 people in my team</v>
      </c>
      <c r="Q108" s="1"/>
      <c r="R108" s="1"/>
      <c r="S108" s="1"/>
    </row>
    <row r="109" spans="1:19" ht="12.5" x14ac:dyDescent="0.25">
      <c r="A109" s="2">
        <f ca="1">IFERROR(__xludf.DUMMYFUNCTION("""COMPUTED_VALUE"""),44912.4495357986)</f>
        <v>44912.449535798602</v>
      </c>
      <c r="B109" s="1" t="str">
        <f ca="1">IFERROR(__xludf.DUMMYFUNCTION("""COMPUTED_VALUE"""),"India")</f>
        <v>India</v>
      </c>
      <c r="C109" s="1">
        <f ca="1">IFERROR(__xludf.DUMMYFUNCTION("""COMPUTED_VALUE"""),410206)</f>
        <v>410206</v>
      </c>
      <c r="D109" s="1" t="str">
        <f ca="1">IFERROR(__xludf.DUMMYFUNCTION("""COMPUTED_VALUE"""),"Male")</f>
        <v>Male</v>
      </c>
      <c r="E109" s="1" t="str">
        <f ca="1">IFERROR(__xludf.DUMMYFUNCTION("""COMPUTED_VALUE"""),"People from my circle, but not family members")</f>
        <v>People from my circle, but not family members</v>
      </c>
      <c r="F109" s="1" t="str">
        <f ca="1">IFERROR(__xludf.DUMMYFUNCTION("""COMPUTED_VALUE"""),"No I would not be pursuing Higher Education outside of India")</f>
        <v>No I would not be pursuing Higher Education outside of India</v>
      </c>
      <c r="G109" s="1" t="str">
        <f ca="1">IFERROR(__xludf.DUMMYFUNCTION("""COMPUTED_VALUE"""),"This will be hard to do, but if it is the right company I would try")</f>
        <v>This will be hard to do, but if it is the right company I would try</v>
      </c>
      <c r="H109" s="1" t="str">
        <f ca="1">IFERROR(__xludf.DUMMYFUNCTION("""COMPUTED_VALUE"""),"No")</f>
        <v>No</v>
      </c>
      <c r="I109" s="1" t="str">
        <f ca="1">IFERROR(__xludf.DUMMYFUNCTION("""COMPUTED_VALUE"""),"Will NOT work for them")</f>
        <v>Will NOT work for them</v>
      </c>
      <c r="J109" s="1">
        <f ca="1">IFERROR(__xludf.DUMMYFUNCTION("""COMPUTED_VALUE"""),3)</f>
        <v>3</v>
      </c>
      <c r="K109" s="1" t="str">
        <f ca="1">IFERROR(__xludf.DUMMYFUNCTION("""COMPUTED_VALUE"""),"Hybrid Working Environment with less than 10 days a month at office")</f>
        <v>Hybrid Working Environment with less than 10 days a month at office</v>
      </c>
      <c r="L1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9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09" s="1" t="str">
        <f ca="1">IFERROR(__xludf.DUMMYFUNCTION("""COMPUTED_VALUE"""),"Manage and drive End-to-End Projects or Products, Build and develop a Team, Design and Develop amazing software")</f>
        <v>Manage and drive End-to-End Projects or Products, Build and develop a Team, Design and Develop amazing software</v>
      </c>
      <c r="O10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9" s="1" t="str">
        <f ca="1">IFERROR(__xludf.DUMMYFUNCTION("""COMPUTED_VALUE"""),"Work with 2 to 3 people in my team")</f>
        <v>Work with 2 to 3 people in my team</v>
      </c>
      <c r="Q109" s="1"/>
      <c r="R109" s="1"/>
      <c r="S109" s="1"/>
    </row>
    <row r="110" spans="1:19" ht="12.5" x14ac:dyDescent="0.25">
      <c r="A110" s="2">
        <f ca="1">IFERROR(__xludf.DUMMYFUNCTION("""COMPUTED_VALUE"""),44912.4839661805)</f>
        <v>44912.483966180502</v>
      </c>
      <c r="B110" s="1" t="str">
        <f ca="1">IFERROR(__xludf.DUMMYFUNCTION("""COMPUTED_VALUE"""),"Germany")</f>
        <v>Germany</v>
      </c>
      <c r="C110" s="1">
        <f ca="1">IFERROR(__xludf.DUMMYFUNCTION("""COMPUTED_VALUE"""),83024)</f>
        <v>83024</v>
      </c>
      <c r="D110" s="1" t="str">
        <f ca="1">IFERROR(__xludf.DUMMYFUNCTION("""COMPUTED_VALUE"""),"Male")</f>
        <v>Male</v>
      </c>
      <c r="E110" s="1" t="str">
        <f ca="1">IFERROR(__xludf.DUMMYFUNCTION("""COMPUTED_VALUE"""),"Social Media like LinkedIn")</f>
        <v>Social Media like LinkedIn</v>
      </c>
      <c r="F110" s="1" t="str">
        <f ca="1">IFERROR(__xludf.DUMMYFUNCTION("""COMPUTED_VALUE"""),"Yes, I will earn and do that")</f>
        <v>Yes, I will earn and do that</v>
      </c>
      <c r="G110" s="1" t="str">
        <f ca="1">IFERROR(__xludf.DUMMYFUNCTION("""COMPUTED_VALUE"""),"Will work for 3 years or more")</f>
        <v>Will work for 3 years or more</v>
      </c>
      <c r="H110" s="1" t="str">
        <f ca="1">IFERROR(__xludf.DUMMYFUNCTION("""COMPUTED_VALUE"""),"No")</f>
        <v>No</v>
      </c>
      <c r="I110" s="1" t="str">
        <f ca="1">IFERROR(__xludf.DUMMYFUNCTION("""COMPUTED_VALUE"""),"Will NOT work for them")</f>
        <v>Will NOT work for them</v>
      </c>
      <c r="J110" s="1">
        <f ca="1">IFERROR(__xludf.DUMMYFUNCTION("""COMPUTED_VALUE"""),6)</f>
        <v>6</v>
      </c>
      <c r="K110" s="1" t="str">
        <f ca="1">IFERROR(__xludf.DUMMYFUNCTION("""COMPUTED_VALUE"""),"Hybrid Working Environment with less than 15 days a month at office")</f>
        <v>Hybrid Working Environment with less than 15 days a month at office</v>
      </c>
      <c r="L1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0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10" s="1" t="str">
        <f ca="1">IFERROR(__xludf.DUMMYFUNCTION("""COMPUTED_VALUE"""),"Design and Creative strategy in any company, Manage and drive End-to-End Projects or Products, Design and Develop amazing software")</f>
        <v>Design and Creative strategy in any company, Manage and drive End-to-End Projects or Products, Design and Develop amazing software</v>
      </c>
      <c r="O110" s="1" t="str">
        <f ca="1">IFERROR(__xludf.DUMMYFUNCTION("""COMPUTED_VALUE"""),"Manager who clearly describes what she/he needs")</f>
        <v>Manager who clearly describes what she/he needs</v>
      </c>
      <c r="P110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10" s="1"/>
      <c r="R110" s="1"/>
      <c r="S110" s="1"/>
    </row>
    <row r="111" spans="1:19" ht="12.5" x14ac:dyDescent="0.25">
      <c r="A111" s="2">
        <f ca="1">IFERROR(__xludf.DUMMYFUNCTION("""COMPUTED_VALUE"""),44912.5313577777)</f>
        <v>44912.531357777698</v>
      </c>
      <c r="B111" s="1" t="str">
        <f ca="1">IFERROR(__xludf.DUMMYFUNCTION("""COMPUTED_VALUE"""),"India")</f>
        <v>India</v>
      </c>
      <c r="C111" s="1">
        <f ca="1">IFERROR(__xludf.DUMMYFUNCTION("""COMPUTED_VALUE"""),474009)</f>
        <v>474009</v>
      </c>
      <c r="D111" s="1" t="str">
        <f ca="1">IFERROR(__xludf.DUMMYFUNCTION("""COMPUTED_VALUE"""),"Male")</f>
        <v>Male</v>
      </c>
      <c r="E111" s="1" t="str">
        <f ca="1">IFERROR(__xludf.DUMMYFUNCTION("""COMPUTED_VALUE"""),"People who have changed the world for better")</f>
        <v>People who have changed the world for better</v>
      </c>
      <c r="F111" s="1" t="str">
        <f ca="1">IFERROR(__xludf.DUMMYFUNCTION("""COMPUTED_VALUE"""),"No, But if someone could bare the cost I will")</f>
        <v>No, But if someone could bare the cost I will</v>
      </c>
      <c r="G111" s="1" t="str">
        <f ca="1">IFERROR(__xludf.DUMMYFUNCTION("""COMPUTED_VALUE"""),"This will be hard to do, but if it is the right company I would try")</f>
        <v>This will be hard to do, but if it is the right company I would try</v>
      </c>
      <c r="H111" s="1" t="str">
        <f ca="1">IFERROR(__xludf.DUMMYFUNCTION("""COMPUTED_VALUE"""),"No")</f>
        <v>No</v>
      </c>
      <c r="I111" s="1" t="str">
        <f ca="1">IFERROR(__xludf.DUMMYFUNCTION("""COMPUTED_VALUE"""),"Will NOT work for them")</f>
        <v>Will NOT work for them</v>
      </c>
      <c r="J111" s="1">
        <f ca="1">IFERROR(__xludf.DUMMYFUNCTION("""COMPUTED_VALUE"""),7)</f>
        <v>7</v>
      </c>
      <c r="K111" s="1" t="str">
        <f ca="1">IFERROR(__xludf.DUMMYFUNCTION("""COMPUTED_VALUE"""),"Hybrid Working Environment with less than 15 days a month at office")</f>
        <v>Hybrid Working Environment with less than 15 days a month at office</v>
      </c>
      <c r="L1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1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11" s="1" t="str">
        <f ca="1">IFERROR(__xludf.DUMMYFUNCTION("""COMPUTED_VALUE"""),"Build and develop a Team, Design and Develop amazing software, Look deeply into Data and generate insights")</f>
        <v>Build and develop a Team, Design and Develop amazing software, Look deeply into Data and generate insights</v>
      </c>
      <c r="O111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" s="1" t="str">
        <f ca="1">IFERROR(__xludf.DUMMYFUNCTION("""COMPUTED_VALUE"""),"Work with 5 to 6 people in my team")</f>
        <v>Work with 5 to 6 people in my team</v>
      </c>
      <c r="Q111" s="1"/>
      <c r="R111" s="1"/>
      <c r="S111" s="1"/>
    </row>
    <row r="112" spans="1:19" ht="12.5" x14ac:dyDescent="0.25">
      <c r="A112" s="2">
        <f ca="1">IFERROR(__xludf.DUMMYFUNCTION("""COMPUTED_VALUE"""),44912.5355464004)</f>
        <v>44912.535546400402</v>
      </c>
      <c r="B112" s="1" t="str">
        <f ca="1">IFERROR(__xludf.DUMMYFUNCTION("""COMPUTED_VALUE"""),"India")</f>
        <v>India</v>
      </c>
      <c r="C112" s="1">
        <f ca="1">IFERROR(__xludf.DUMMYFUNCTION("""COMPUTED_VALUE"""),400101)</f>
        <v>400101</v>
      </c>
      <c r="D112" s="1" t="str">
        <f ca="1">IFERROR(__xludf.DUMMYFUNCTION("""COMPUTED_VALUE"""),"Female")</f>
        <v>Female</v>
      </c>
      <c r="E112" s="1" t="str">
        <f ca="1">IFERROR(__xludf.DUMMYFUNCTION("""COMPUTED_VALUE"""),"My Parents")</f>
        <v>My Parents</v>
      </c>
      <c r="F112" s="1" t="str">
        <f ca="1">IFERROR(__xludf.DUMMYFUNCTION("""COMPUTED_VALUE"""),"No, But if someone could bare the cost I will")</f>
        <v>No, But if someone could bare the cost I will</v>
      </c>
      <c r="G112" s="1" t="str">
        <f ca="1">IFERROR(__xludf.DUMMYFUNCTION("""COMPUTED_VALUE"""),"Will work for 3 years or more")</f>
        <v>Will work for 3 years or more</v>
      </c>
      <c r="H112" s="1" t="str">
        <f ca="1">IFERROR(__xludf.DUMMYFUNCTION("""COMPUTED_VALUE"""),"No")</f>
        <v>No</v>
      </c>
      <c r="I112" s="1" t="str">
        <f ca="1">IFERROR(__xludf.DUMMYFUNCTION("""COMPUTED_VALUE"""),"Will NOT work for them")</f>
        <v>Will NOT work for them</v>
      </c>
      <c r="J112" s="1">
        <f ca="1">IFERROR(__xludf.DUMMYFUNCTION("""COMPUTED_VALUE"""),5)</f>
        <v>5</v>
      </c>
      <c r="K112" s="1" t="str">
        <f ca="1">IFERROR(__xludf.DUMMYFUNCTION("""COMPUTED_VALUE"""),"Hybrid Working Environment with less than 10 days a month at office")</f>
        <v>Hybrid Working Environment with less than 10 days a month at office</v>
      </c>
      <c r="L112" s="1" t="str">
        <f ca="1">IFERROR(__xludf.DUMMYFUNCTION("""COMPUTED_VALUE"""),"Employer who appreciates learning and enables that environment")</f>
        <v>Employer who appreciates learning and enables that environment</v>
      </c>
      <c r="M112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12" s="1" t="str">
        <f ca="1">IFERROR(__xludf.DUMMYFUNCTION("""COMPUTED_VALUE"""),"Manage and drive End-to-End Projects or Products, Design and Develop amazing software, Look deeply into Data and generate insights")</f>
        <v>Manage and drive End-to-End Projects or Products, Design and Develop amazing software, Look deeply into Data and generate insights</v>
      </c>
      <c r="O112" s="1" t="str">
        <f ca="1">IFERROR(__xludf.DUMMYFUNCTION("""COMPUTED_VALUE"""),"Manager who sets targets and expects me to achieve it")</f>
        <v>Manager who sets targets and expects me to achieve it</v>
      </c>
      <c r="P112" s="1" t="str">
        <f ca="1">IFERROR(__xludf.DUMMYFUNCTION("""COMPUTED_VALUE"""),"Work alone, Work with 2 to 3 people in my team")</f>
        <v>Work alone, Work with 2 to 3 people in my team</v>
      </c>
      <c r="Q112" s="1"/>
      <c r="R112" s="1"/>
      <c r="S112" s="1"/>
    </row>
    <row r="113" spans="1:19" ht="12.5" x14ac:dyDescent="0.25">
      <c r="A113" s="2">
        <f ca="1">IFERROR(__xludf.DUMMYFUNCTION("""COMPUTED_VALUE"""),44912.5369905902)</f>
        <v>44912.536990590197</v>
      </c>
      <c r="B113" s="1" t="str">
        <f ca="1">IFERROR(__xludf.DUMMYFUNCTION("""COMPUTED_VALUE"""),"India")</f>
        <v>India</v>
      </c>
      <c r="C113" s="1">
        <f ca="1">IFERROR(__xludf.DUMMYFUNCTION("""COMPUTED_VALUE"""),560090)</f>
        <v>560090</v>
      </c>
      <c r="D113" s="1" t="str">
        <f ca="1">IFERROR(__xludf.DUMMYFUNCTION("""COMPUTED_VALUE"""),"Female")</f>
        <v>Female</v>
      </c>
      <c r="E113" s="1" t="str">
        <f ca="1">IFERROR(__xludf.DUMMYFUNCTION("""COMPUTED_VALUE"""),"My Parents")</f>
        <v>My Parents</v>
      </c>
      <c r="F113" s="1" t="str">
        <f ca="1">IFERROR(__xludf.DUMMYFUNCTION("""COMPUTED_VALUE"""),"Yes, I will earn and do that")</f>
        <v>Yes, I will earn and do that</v>
      </c>
      <c r="G113" s="1" t="str">
        <f ca="1">IFERROR(__xludf.DUMMYFUNCTION("""COMPUTED_VALUE"""),"Will work for 3 years or more")</f>
        <v>Will work for 3 years or more</v>
      </c>
      <c r="H113" s="1" t="str">
        <f ca="1">IFERROR(__xludf.DUMMYFUNCTION("""COMPUTED_VALUE"""),"No")</f>
        <v>No</v>
      </c>
      <c r="I113" s="1" t="str">
        <f ca="1">IFERROR(__xludf.DUMMYFUNCTION("""COMPUTED_VALUE"""),"Will NOT work for them")</f>
        <v>Will NOT work for them</v>
      </c>
      <c r="J113" s="1">
        <f ca="1">IFERROR(__xludf.DUMMYFUNCTION("""COMPUTED_VALUE"""),4)</f>
        <v>4</v>
      </c>
      <c r="K113" s="1" t="str">
        <f ca="1">IFERROR(__xludf.DUMMYFUNCTION("""COMPUTED_VALUE"""),"Hybrid Working Environment with less than 15 days a month at office")</f>
        <v>Hybrid Working Environment with less than 15 days a month at office</v>
      </c>
      <c r="L113" s="1" t="str">
        <f ca="1">IFERROR(__xludf.DUMMYFUNCTION("""COMPUTED_VALUE"""),"Employer who rewards learning and enables that environment")</f>
        <v>Employer who rewards learning and enables that environment</v>
      </c>
      <c r="M11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13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113" s="1" t="str">
        <f ca="1">IFERROR(__xludf.DUMMYFUNCTION("""COMPUTED_VALUE"""),"Manager who clearly describes what she/he needs")</f>
        <v>Manager who clearly describes what she/he needs</v>
      </c>
      <c r="P113" s="1" t="str">
        <f ca="1">IFERROR(__xludf.DUMMYFUNCTION("""COMPUTED_VALUE"""),"Work with 5 to 6 people in my team")</f>
        <v>Work with 5 to 6 people in my team</v>
      </c>
      <c r="Q113" s="1"/>
      <c r="R113" s="1"/>
      <c r="S113" s="1"/>
    </row>
    <row r="114" spans="1:19" ht="12.5" x14ac:dyDescent="0.25">
      <c r="A114" s="2">
        <f ca="1">IFERROR(__xludf.DUMMYFUNCTION("""COMPUTED_VALUE"""),44912.5650412615)</f>
        <v>44912.5650412615</v>
      </c>
      <c r="B114" s="1" t="str">
        <f ca="1">IFERROR(__xludf.DUMMYFUNCTION("""COMPUTED_VALUE"""),"India")</f>
        <v>India</v>
      </c>
      <c r="C114" s="1">
        <f ca="1">IFERROR(__xludf.DUMMYFUNCTION("""COMPUTED_VALUE"""),380015)</f>
        <v>380015</v>
      </c>
      <c r="D114" s="1" t="str">
        <f ca="1">IFERROR(__xludf.DUMMYFUNCTION("""COMPUTED_VALUE"""),"Male")</f>
        <v>Male</v>
      </c>
      <c r="E114" s="1" t="str">
        <f ca="1">IFERROR(__xludf.DUMMYFUNCTION("""COMPUTED_VALUE"""),"Influencers who had successful careers")</f>
        <v>Influencers who had successful careers</v>
      </c>
      <c r="F114" s="1" t="str">
        <f ca="1">IFERROR(__xludf.DUMMYFUNCTION("""COMPUTED_VALUE"""),"No I would not be pursuing Higher Education outside of India")</f>
        <v>No I would not be pursuing Higher Education outside of India</v>
      </c>
      <c r="G114" s="1" t="str">
        <f ca="1">IFERROR(__xludf.DUMMYFUNCTION("""COMPUTED_VALUE"""),"Will work for 3 years or more")</f>
        <v>Will work for 3 years or more</v>
      </c>
      <c r="H114" s="1" t="str">
        <f ca="1">IFERROR(__xludf.DUMMYFUNCTION("""COMPUTED_VALUE"""),"Yes")</f>
        <v>Yes</v>
      </c>
      <c r="I114" s="1" t="str">
        <f ca="1">IFERROR(__xludf.DUMMYFUNCTION("""COMPUTED_VALUE"""),"Will work for them")</f>
        <v>Will work for them</v>
      </c>
      <c r="J114" s="1">
        <f ca="1">IFERROR(__xludf.DUMMYFUNCTION("""COMPUTED_VALUE"""),6)</f>
        <v>6</v>
      </c>
      <c r="K114" s="1" t="str">
        <f ca="1">IFERROR(__xludf.DUMMYFUNCTION("""COMPUTED_VALUE"""),"Hybrid Working Environment with less than 10 days a month at office")</f>
        <v>Hybrid Working Environment with less than 10 days a month at office</v>
      </c>
      <c r="L1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14" s="1" t="str">
        <f ca="1">IFERROR(__xludf.DUMMYFUNCTION("""COMPUTED_VALUE"""),"Design and Develop amazing software, Work as a freelancer and do my thing my way, Become a content Creator in some platform")</f>
        <v>Design and Develop amazing software, Work as a freelancer and do my thing my way, Become a content Creator in some platform</v>
      </c>
      <c r="O114" s="1" t="str">
        <f ca="1">IFERROR(__xludf.DUMMYFUNCTION("""COMPUTED_VALUE"""),"Manager who explains what is expected, sets a goal and helps achieve it")</f>
        <v>Manager who explains what is expected, sets a goal and helps achieve it</v>
      </c>
      <c r="P114" s="1" t="str">
        <f ca="1">IFERROR(__xludf.DUMMYFUNCTION("""COMPUTED_VALUE"""),"Work with 2 to 3 people in my team")</f>
        <v>Work with 2 to 3 people in my team</v>
      </c>
      <c r="Q114" s="1"/>
      <c r="R114" s="1"/>
      <c r="S114" s="1"/>
    </row>
    <row r="115" spans="1:19" ht="12.5" x14ac:dyDescent="0.25">
      <c r="A115" s="2">
        <f ca="1">IFERROR(__xludf.DUMMYFUNCTION("""COMPUTED_VALUE"""),44912.578345949)</f>
        <v>44912.578345948998</v>
      </c>
      <c r="B115" s="1" t="str">
        <f ca="1">IFERROR(__xludf.DUMMYFUNCTION("""COMPUTED_VALUE"""),"India")</f>
        <v>India</v>
      </c>
      <c r="C115" s="1">
        <f ca="1">IFERROR(__xludf.DUMMYFUNCTION("""COMPUTED_VALUE"""),700111)</f>
        <v>700111</v>
      </c>
      <c r="D115" s="1" t="str">
        <f ca="1">IFERROR(__xludf.DUMMYFUNCTION("""COMPUTED_VALUE"""),"Male")</f>
        <v>Male</v>
      </c>
      <c r="E115" s="1" t="str">
        <f ca="1">IFERROR(__xludf.DUMMYFUNCTION("""COMPUTED_VALUE"""),"My Parents")</f>
        <v>My Parents</v>
      </c>
      <c r="F115" s="1" t="str">
        <f ca="1">IFERROR(__xludf.DUMMYFUNCTION("""COMPUTED_VALUE"""),"No, But if someone could bare the cost I will")</f>
        <v>No, But if someone could bare the cost I will</v>
      </c>
      <c r="G115" s="1" t="str">
        <f ca="1">IFERROR(__xludf.DUMMYFUNCTION("""COMPUTED_VALUE"""),"This will be hard to do, but if it is the right company I would try")</f>
        <v>This will be hard to do, but if it is the right company I would try</v>
      </c>
      <c r="H115" s="1" t="str">
        <f ca="1">IFERROR(__xludf.DUMMYFUNCTION("""COMPUTED_VALUE"""),"No")</f>
        <v>No</v>
      </c>
      <c r="I115" s="1" t="str">
        <f ca="1">IFERROR(__xludf.DUMMYFUNCTION("""COMPUTED_VALUE"""),"Will NOT work for them")</f>
        <v>Will NOT work for them</v>
      </c>
      <c r="J115" s="1">
        <f ca="1">IFERROR(__xludf.DUMMYFUNCTION("""COMPUTED_VALUE"""),5)</f>
        <v>5</v>
      </c>
      <c r="K115" s="1" t="str">
        <f ca="1">IFERROR(__xludf.DUMMYFUNCTION("""COMPUTED_VALUE"""),"Hybrid Working Environment with less than 15 days a month at office")</f>
        <v>Hybrid Working Environment with less than 15 days a month at office</v>
      </c>
      <c r="L1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5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15" s="1" t="str">
        <f ca="1">IFERROR(__xludf.DUMMYFUNCTION("""COMPUTED_VALUE"""),"Teaching in any of the institutes/online or Offline, Manage and drive End-to-End Projects or Products, Build and develop a Team")</f>
        <v>Teaching in any of the institutes/online or Offline, Manage and drive End-to-End Projects or Products, Build and develop a Team</v>
      </c>
      <c r="O115" s="1" t="str">
        <f ca="1">IFERROR(__xludf.DUMMYFUNCTION("""COMPUTED_VALUE"""),"Manager who explains what is expected, sets a goal and helps achieve it")</f>
        <v>Manager who explains what is expected, sets a goal and helps achieve it</v>
      </c>
      <c r="P115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15" s="1"/>
      <c r="R115" s="1"/>
      <c r="S115" s="1"/>
    </row>
    <row r="116" spans="1:19" ht="12.5" x14ac:dyDescent="0.25">
      <c r="A116" s="2">
        <f ca="1">IFERROR(__xludf.DUMMYFUNCTION("""COMPUTED_VALUE"""),44912.578838854)</f>
        <v>44912.578838854097</v>
      </c>
      <c r="B116" s="1" t="str">
        <f ca="1">IFERROR(__xludf.DUMMYFUNCTION("""COMPUTED_VALUE"""),"India")</f>
        <v>India</v>
      </c>
      <c r="C116" s="1">
        <f ca="1">IFERROR(__xludf.DUMMYFUNCTION("""COMPUTED_VALUE"""),281001)</f>
        <v>281001</v>
      </c>
      <c r="D116" s="1" t="str">
        <f ca="1">IFERROR(__xludf.DUMMYFUNCTION("""COMPUTED_VALUE"""),"Female")</f>
        <v>Female</v>
      </c>
      <c r="E116" s="1" t="str">
        <f ca="1">IFERROR(__xludf.DUMMYFUNCTION("""COMPUTED_VALUE"""),"People who have changed the world for better")</f>
        <v>People who have changed the world for better</v>
      </c>
      <c r="F116" s="1" t="str">
        <f ca="1">IFERROR(__xludf.DUMMYFUNCTION("""COMPUTED_VALUE"""),"Yes, I will earn and do that")</f>
        <v>Yes, I will earn and do that</v>
      </c>
      <c r="G116" s="1" t="str">
        <f ca="1">IFERROR(__xludf.DUMMYFUNCTION("""COMPUTED_VALUE"""),"Will work for 3 years or more")</f>
        <v>Will work for 3 years or more</v>
      </c>
      <c r="H116" s="1" t="str">
        <f ca="1">IFERROR(__xludf.DUMMYFUNCTION("""COMPUTED_VALUE"""),"No")</f>
        <v>No</v>
      </c>
      <c r="I116" s="1" t="str">
        <f ca="1">IFERROR(__xludf.DUMMYFUNCTION("""COMPUTED_VALUE"""),"Will NOT work for them")</f>
        <v>Will NOT work for them</v>
      </c>
      <c r="J116" s="1">
        <f ca="1">IFERROR(__xludf.DUMMYFUNCTION("""COMPUTED_VALUE"""),8)</f>
        <v>8</v>
      </c>
      <c r="K116" s="1" t="str">
        <f ca="1">IFERROR(__xludf.DUMMYFUNCTION("""COMPUTED_VALUE"""),"Fully Remote with Options to travel as and when needed")</f>
        <v>Fully Remote with Options to travel as and when needed</v>
      </c>
      <c r="L1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6" s="1" t="str">
        <f ca="1">IFERROR(__xludf.DUMMYFUNCTION("""COMPUTED_VALUE"""),"Instructor or Expert Learning Programs, Learning by observing others")</f>
        <v>Instructor or Expert Learning Programs, Learning by observing others</v>
      </c>
      <c r="N116" s="1" t="str">
        <f ca="1">IFERROR(__xludf.DUMMYFUNCTION("""COMPUTED_VALUE"""),"Design and Creative strategy in any company, Look deeply into Data and generate insights, Work as a freelancer and do my thing my way")</f>
        <v>Design and Creative strategy in any company, Look deeply into Data and generate insights, Work as a freelancer and do my thing my way</v>
      </c>
      <c r="O1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6" s="1" t="str">
        <f ca="1">IFERROR(__xludf.DUMMYFUNCTION("""COMPUTED_VALUE"""),"Work with 5 to 6 people in my team")</f>
        <v>Work with 5 to 6 people in my team</v>
      </c>
      <c r="Q116" s="1"/>
      <c r="R116" s="1"/>
      <c r="S116" s="1"/>
    </row>
    <row r="117" spans="1:19" ht="12.5" x14ac:dyDescent="0.25">
      <c r="A117" s="2">
        <f ca="1">IFERROR(__xludf.DUMMYFUNCTION("""COMPUTED_VALUE"""),44912.5865962152)</f>
        <v>44912.586596215202</v>
      </c>
      <c r="B117" s="1" t="str">
        <f ca="1">IFERROR(__xludf.DUMMYFUNCTION("""COMPUTED_VALUE"""),"India")</f>
        <v>India</v>
      </c>
      <c r="C117" s="1">
        <f ca="1">IFERROR(__xludf.DUMMYFUNCTION("""COMPUTED_VALUE"""),517112)</f>
        <v>517112</v>
      </c>
      <c r="D117" s="1" t="str">
        <f ca="1">IFERROR(__xludf.DUMMYFUNCTION("""COMPUTED_VALUE"""),"Male")</f>
        <v>Male</v>
      </c>
      <c r="E117" s="1" t="str">
        <f ca="1">IFERROR(__xludf.DUMMYFUNCTION("""COMPUTED_VALUE"""),"My Parents")</f>
        <v>My Parents</v>
      </c>
      <c r="F117" s="1" t="str">
        <f ca="1">IFERROR(__xludf.DUMMYFUNCTION("""COMPUTED_VALUE"""),"No, But if someone could bare the cost I will")</f>
        <v>No, But if someone could bare the cost I will</v>
      </c>
      <c r="G117" s="1" t="str">
        <f ca="1">IFERROR(__xludf.DUMMYFUNCTION("""COMPUTED_VALUE"""),"This will be hard to do, but if it is the right company I would try")</f>
        <v>This will be hard to do, but if it is the right company I would try</v>
      </c>
      <c r="H117" s="1" t="str">
        <f ca="1">IFERROR(__xludf.DUMMYFUNCTION("""COMPUTED_VALUE"""),"No")</f>
        <v>No</v>
      </c>
      <c r="I117" s="1" t="str">
        <f ca="1">IFERROR(__xludf.DUMMYFUNCTION("""COMPUTED_VALUE"""),"Will NOT work for them")</f>
        <v>Will NOT work for them</v>
      </c>
      <c r="J117" s="1">
        <f ca="1">IFERROR(__xludf.DUMMYFUNCTION("""COMPUTED_VALUE"""),5)</f>
        <v>5</v>
      </c>
      <c r="K117" s="1" t="str">
        <f ca="1">IFERROR(__xludf.DUMMYFUNCTION("""COMPUTED_VALUE"""),"Hybrid Working Environment with less than 15 days a month at office")</f>
        <v>Hybrid Working Environment with less than 15 days a month at office</v>
      </c>
      <c r="L1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7" s="1" t="str">
        <f ca="1">IFERROR(__xludf.DUMMYFUNCTION("""COMPUTED_VALUE"""),"Instructor or Expert Learning Programs, Learning by observing others")</f>
        <v>Instructor or Expert Learning Programs, Learning by observing others</v>
      </c>
      <c r="N117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117" s="1" t="str">
        <f ca="1">IFERROR(__xludf.DUMMYFUNCTION("""COMPUTED_VALUE"""),"Manager who clearly describes what she/he needs")</f>
        <v>Manager who clearly describes what she/he needs</v>
      </c>
      <c r="P117" s="1" t="str">
        <f ca="1">IFERROR(__xludf.DUMMYFUNCTION("""COMPUTED_VALUE"""),"Work with 2 to 3 people in my team")</f>
        <v>Work with 2 to 3 people in my team</v>
      </c>
      <c r="Q117" s="1"/>
      <c r="R117" s="1"/>
      <c r="S117" s="1"/>
    </row>
    <row r="118" spans="1:19" ht="12.5" x14ac:dyDescent="0.25">
      <c r="A118" s="2">
        <f ca="1">IFERROR(__xludf.DUMMYFUNCTION("""COMPUTED_VALUE"""),44912.5963452546)</f>
        <v>44912.596345254598</v>
      </c>
      <c r="B118" s="1" t="str">
        <f ca="1">IFERROR(__xludf.DUMMYFUNCTION("""COMPUTED_VALUE"""),"India")</f>
        <v>India</v>
      </c>
      <c r="C118" s="1">
        <f ca="1">IFERROR(__xludf.DUMMYFUNCTION("""COMPUTED_VALUE"""),711315)</f>
        <v>711315</v>
      </c>
      <c r="D118" s="1" t="str">
        <f ca="1">IFERROR(__xludf.DUMMYFUNCTION("""COMPUTED_VALUE"""),"Male")</f>
        <v>Male</v>
      </c>
      <c r="E118" s="1" t="str">
        <f ca="1">IFERROR(__xludf.DUMMYFUNCTION("""COMPUTED_VALUE"""),"My Parents")</f>
        <v>My Parents</v>
      </c>
      <c r="F118" s="1" t="str">
        <f ca="1">IFERROR(__xludf.DUMMYFUNCTION("""COMPUTED_VALUE"""),"No, But if someone could bare the cost I will")</f>
        <v>No, But if someone could bare the cost I will</v>
      </c>
      <c r="G118" s="1" t="str">
        <f ca="1">IFERROR(__xludf.DUMMYFUNCTION("""COMPUTED_VALUE"""),"This will be hard to do, but if it is the right company I would try")</f>
        <v>This will be hard to do, but if it is the right company I would try</v>
      </c>
      <c r="H118" s="1" t="str">
        <f ca="1">IFERROR(__xludf.DUMMYFUNCTION("""COMPUTED_VALUE"""),"Yes")</f>
        <v>Yes</v>
      </c>
      <c r="I118" s="1" t="str">
        <f ca="1">IFERROR(__xludf.DUMMYFUNCTION("""COMPUTED_VALUE"""),"Will work for them")</f>
        <v>Will work for them</v>
      </c>
      <c r="J118" s="1">
        <f ca="1">IFERROR(__xludf.DUMMYFUNCTION("""COMPUTED_VALUE"""),8)</f>
        <v>8</v>
      </c>
      <c r="K118" s="1" t="str">
        <f ca="1">IFERROR(__xludf.DUMMYFUNCTION("""COMPUTED_VALUE"""),"Fully Remote with Options to travel as and when needed")</f>
        <v>Fully Remote with Options to travel as and when needed</v>
      </c>
      <c r="L1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8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18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1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18" s="1" t="str">
        <f ca="1">IFERROR(__xludf.DUMMYFUNCTION("""COMPUTED_VALUE"""),"Work with 5 to 6 people in my team")</f>
        <v>Work with 5 to 6 people in my team</v>
      </c>
      <c r="Q118" s="1"/>
      <c r="R118" s="1"/>
      <c r="S118" s="1"/>
    </row>
    <row r="119" spans="1:19" ht="12.5" x14ac:dyDescent="0.25">
      <c r="A119" s="2">
        <f ca="1">IFERROR(__xludf.DUMMYFUNCTION("""COMPUTED_VALUE"""),44912.5989569791)</f>
        <v>44912.598956979098</v>
      </c>
      <c r="B119" s="1" t="str">
        <f ca="1">IFERROR(__xludf.DUMMYFUNCTION("""COMPUTED_VALUE"""),"India")</f>
        <v>India</v>
      </c>
      <c r="C119" s="1">
        <f ca="1">IFERROR(__xludf.DUMMYFUNCTION("""COMPUTED_VALUE"""),400012)</f>
        <v>400012</v>
      </c>
      <c r="D119" s="1" t="str">
        <f ca="1">IFERROR(__xludf.DUMMYFUNCTION("""COMPUTED_VALUE"""),"Male")</f>
        <v>Male</v>
      </c>
      <c r="E119" s="1" t="str">
        <f ca="1">IFERROR(__xludf.DUMMYFUNCTION("""COMPUTED_VALUE"""),"My Parents")</f>
        <v>My Parents</v>
      </c>
      <c r="F119" s="1" t="str">
        <f ca="1">IFERROR(__xludf.DUMMYFUNCTION("""COMPUTED_VALUE"""),"No I would not be pursuing Higher Education outside of India")</f>
        <v>No I would not be pursuing Higher Education outside of India</v>
      </c>
      <c r="G119" s="1" t="str">
        <f ca="1">IFERROR(__xludf.DUMMYFUNCTION("""COMPUTED_VALUE"""),"Will work for 3 years or more")</f>
        <v>Will work for 3 years or more</v>
      </c>
      <c r="H119" s="1" t="str">
        <f ca="1">IFERROR(__xludf.DUMMYFUNCTION("""COMPUTED_VALUE"""),"No")</f>
        <v>No</v>
      </c>
      <c r="I119" s="1" t="str">
        <f ca="1">IFERROR(__xludf.DUMMYFUNCTION("""COMPUTED_VALUE"""),"Will NOT work for them")</f>
        <v>Will NOT work for them</v>
      </c>
      <c r="J119" s="1">
        <f ca="1">IFERROR(__xludf.DUMMYFUNCTION("""COMPUTED_VALUE"""),8)</f>
        <v>8</v>
      </c>
      <c r="K119" s="1" t="str">
        <f ca="1">IFERROR(__xludf.DUMMYFUNCTION("""COMPUTED_VALUE"""),"Hybrid Working Environment with less than 15 days a month at office")</f>
        <v>Hybrid Working Environment with less than 15 days a month at office</v>
      </c>
      <c r="L119" s="1" t="str">
        <f ca="1">IFERROR(__xludf.DUMMYFUNCTION("""COMPUTED_VALUE"""),"Employer who appreciates learning and enables that environment")</f>
        <v>Employer who appreciates learning and enables that environment</v>
      </c>
      <c r="M119" s="1" t="str">
        <f ca="1">IFERROR(__xludf.DUMMYFUNCTION("""COMPUTED_VALUE"""),"Instructor or Expert Learning Programs, Learning by observing others")</f>
        <v>Instructor or Expert Learning Programs, Learning by observing others</v>
      </c>
      <c r="N119" s="1" t="str">
        <f ca="1">IFERROR(__xludf.DUMMYFUNCTION("""COMPUTED_VALUE"""),"Manage and drive End-to-End Projects or Products, Build and develop a Team, Design and Develop amazing software")</f>
        <v>Manage and drive End-to-End Projects or Products, Build and develop a Team, Design and Develop amazing software</v>
      </c>
      <c r="O119" s="1" t="str">
        <f ca="1">IFERROR(__xludf.DUMMYFUNCTION("""COMPUTED_VALUE"""),"Manager who clearly describes what she/he needs")</f>
        <v>Manager who clearly describes what she/he needs</v>
      </c>
      <c r="P119" s="1" t="str">
        <f ca="1">IFERROR(__xludf.DUMMYFUNCTION("""COMPUTED_VALUE"""),"Work with 5 to 6 people in my team")</f>
        <v>Work with 5 to 6 people in my team</v>
      </c>
      <c r="Q119" s="1"/>
      <c r="R119" s="1"/>
      <c r="S119" s="1"/>
    </row>
    <row r="120" spans="1:19" ht="12.5" x14ac:dyDescent="0.25">
      <c r="A120" s="2">
        <f ca="1">IFERROR(__xludf.DUMMYFUNCTION("""COMPUTED_VALUE"""),44912.610390324)</f>
        <v>44912.610390324</v>
      </c>
      <c r="B120" s="1" t="str">
        <f ca="1">IFERROR(__xludf.DUMMYFUNCTION("""COMPUTED_VALUE"""),"India")</f>
        <v>India</v>
      </c>
      <c r="C120" s="1">
        <f ca="1">IFERROR(__xludf.DUMMYFUNCTION("""COMPUTED_VALUE"""),500072)</f>
        <v>500072</v>
      </c>
      <c r="D120" s="1" t="str">
        <f ca="1">IFERROR(__xludf.DUMMYFUNCTION("""COMPUTED_VALUE"""),"Male")</f>
        <v>Male</v>
      </c>
      <c r="E120" s="1" t="str">
        <f ca="1">IFERROR(__xludf.DUMMYFUNCTION("""COMPUTED_VALUE"""),"People from my circle, but not family members")</f>
        <v>People from my circle, but not family members</v>
      </c>
      <c r="F120" s="1" t="str">
        <f ca="1">IFERROR(__xludf.DUMMYFUNCTION("""COMPUTED_VALUE"""),"No, But if someone could bare the cost I will")</f>
        <v>No, But if someone could bare the cost I will</v>
      </c>
      <c r="G120" s="1" t="str">
        <f ca="1">IFERROR(__xludf.DUMMYFUNCTION("""COMPUTED_VALUE"""),"This will be hard to do, but if it is the right company I would try")</f>
        <v>This will be hard to do, but if it is the right company I would try</v>
      </c>
      <c r="H120" s="1" t="str">
        <f ca="1">IFERROR(__xludf.DUMMYFUNCTION("""COMPUTED_VALUE"""),"No")</f>
        <v>No</v>
      </c>
      <c r="I120" s="1" t="str">
        <f ca="1">IFERROR(__xludf.DUMMYFUNCTION("""COMPUTED_VALUE"""),"Will NOT work for them")</f>
        <v>Will NOT work for them</v>
      </c>
      <c r="J120" s="1">
        <f ca="1">IFERROR(__xludf.DUMMYFUNCTION("""COMPUTED_VALUE"""),6)</f>
        <v>6</v>
      </c>
      <c r="K120" s="1" t="str">
        <f ca="1">IFERROR(__xludf.DUMMYFUNCTION("""COMPUTED_VALUE"""),"Fully Remote with Options to travel as and when needed")</f>
        <v>Fully Remote with Options to travel as and when needed</v>
      </c>
      <c r="L1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0" s="1" t="str">
        <f ca="1">IFERROR(__xludf.DUMMYFUNCTION("""COMPUTED_VALUE"""),"Self Paced Learning Portals, Learning by observing others")</f>
        <v>Self Paced Learning Portals, Learning by observing others</v>
      </c>
      <c r="N120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120" s="1" t="str">
        <f ca="1">IFERROR(__xludf.DUMMYFUNCTION("""COMPUTED_VALUE"""),"Manager who explains what is expected, sets a goal and helps achieve it")</f>
        <v>Manager who explains what is expected, sets a goal and helps achieve it</v>
      </c>
      <c r="P120" s="1" t="str">
        <f ca="1">IFERROR(__xludf.DUMMYFUNCTION("""COMPUTED_VALUE"""),"Work alone")</f>
        <v>Work alone</v>
      </c>
      <c r="Q120" s="1"/>
      <c r="R120" s="1"/>
      <c r="S120" s="1"/>
    </row>
    <row r="121" spans="1:19" ht="12.5" x14ac:dyDescent="0.25">
      <c r="A121" s="2">
        <f ca="1">IFERROR(__xludf.DUMMYFUNCTION("""COMPUTED_VALUE"""),44912.622110081)</f>
        <v>44912.622110081</v>
      </c>
      <c r="B121" s="1" t="str">
        <f ca="1">IFERROR(__xludf.DUMMYFUNCTION("""COMPUTED_VALUE"""),"India")</f>
        <v>India</v>
      </c>
      <c r="C121" s="1">
        <f ca="1">IFERROR(__xludf.DUMMYFUNCTION("""COMPUTED_VALUE"""),380015)</f>
        <v>380015</v>
      </c>
      <c r="D121" s="1" t="str">
        <f ca="1">IFERROR(__xludf.DUMMYFUNCTION("""COMPUTED_VALUE"""),"Female")</f>
        <v>Female</v>
      </c>
      <c r="E121" s="1" t="str">
        <f ca="1">IFERROR(__xludf.DUMMYFUNCTION("""COMPUTED_VALUE"""),"My Parents")</f>
        <v>My Parents</v>
      </c>
      <c r="F121" s="1" t="str">
        <f ca="1">IFERROR(__xludf.DUMMYFUNCTION("""COMPUTED_VALUE"""),"Yes, I will earn and do that")</f>
        <v>Yes, I will earn and do that</v>
      </c>
      <c r="G121" s="1" t="str">
        <f ca="1">IFERROR(__xludf.DUMMYFUNCTION("""COMPUTED_VALUE"""),"This will be hard to do, but if it is the right company I would try")</f>
        <v>This will be hard to do, but if it is the right company I would try</v>
      </c>
      <c r="H121" s="1" t="str">
        <f ca="1">IFERROR(__xludf.DUMMYFUNCTION("""COMPUTED_VALUE"""),"Yes")</f>
        <v>Yes</v>
      </c>
      <c r="I121" s="1" t="str">
        <f ca="1">IFERROR(__xludf.DUMMYFUNCTION("""COMPUTED_VALUE"""),"Will work for them")</f>
        <v>Will work for them</v>
      </c>
      <c r="J121" s="1">
        <f ca="1">IFERROR(__xludf.DUMMYFUNCTION("""COMPUTED_VALUE"""),8)</f>
        <v>8</v>
      </c>
      <c r="K121" s="1" t="str">
        <f ca="1">IFERROR(__xludf.DUMMYFUNCTION("""COMPUTED_VALUE"""),"Hybrid Working Environment with less than 3 days a month at office")</f>
        <v>Hybrid Working Environment with less than 3 days a month at office</v>
      </c>
      <c r="L121" s="1" t="str">
        <f ca="1">IFERROR(__xludf.DUMMYFUNCTION("""COMPUTED_VALUE"""),"Employer who rewards learning and enables that environment")</f>
        <v>Employer who rewards learning and enables that environment</v>
      </c>
      <c r="M121" s="1" t="str">
        <f ca="1">IFERROR(__xludf.DUMMYFUNCTION("""COMPUTED_VALUE"""),"Self Paced Learning Portals, Instructor or Expert Learning Programs")</f>
        <v>Self Paced Learning Portals, Instructor or Expert Learning Programs</v>
      </c>
      <c r="N121" s="1" t="str">
        <f ca="1">IFERROR(__xludf.DUMMYFUNCTION("""COMPUTED_VALUE"""),"Design and Creative strategy in any company, Look deeply into Data and generate insights, Work as a freelancer and do my thing my way")</f>
        <v>Design and Creative strategy in any company, Look deeply into Data and generate insights, Work as a freelancer and do my thing my way</v>
      </c>
      <c r="O121" s="1" t="str">
        <f ca="1">IFERROR(__xludf.DUMMYFUNCTION("""COMPUTED_VALUE"""),"Manager who sets goal and helps me achieve it")</f>
        <v>Manager who sets goal and helps me achieve it</v>
      </c>
      <c r="P121" s="1" t="str">
        <f ca="1">IFERROR(__xludf.DUMMYFUNCTION("""COMPUTED_VALUE"""),"Work with more than 10 people in my team")</f>
        <v>Work with more than 10 people in my team</v>
      </c>
      <c r="Q121" s="1"/>
      <c r="R121" s="1"/>
      <c r="S121" s="1"/>
    </row>
    <row r="122" spans="1:19" ht="12.5" x14ac:dyDescent="0.25">
      <c r="A122" s="2">
        <f ca="1">IFERROR(__xludf.DUMMYFUNCTION("""COMPUTED_VALUE"""),44912.6329566203)</f>
        <v>44912.632956620299</v>
      </c>
      <c r="B122" s="1" t="str">
        <f ca="1">IFERROR(__xludf.DUMMYFUNCTION("""COMPUTED_VALUE"""),"India")</f>
        <v>India</v>
      </c>
      <c r="C122" s="1">
        <f ca="1">IFERROR(__xludf.DUMMYFUNCTION("""COMPUTED_VALUE"""),751010)</f>
        <v>751010</v>
      </c>
      <c r="D122" s="1" t="str">
        <f ca="1">IFERROR(__xludf.DUMMYFUNCTION("""COMPUTED_VALUE"""),"Female")</f>
        <v>Female</v>
      </c>
      <c r="E122" s="1" t="str">
        <f ca="1">IFERROR(__xludf.DUMMYFUNCTION("""COMPUTED_VALUE"""),"People from my circle, but not family members")</f>
        <v>People from my circle, but not family members</v>
      </c>
      <c r="F122" s="1" t="str">
        <f ca="1">IFERROR(__xludf.DUMMYFUNCTION("""COMPUTED_VALUE"""),"Yes, I will earn and do that")</f>
        <v>Yes, I will earn and do that</v>
      </c>
      <c r="G122" s="1" t="str">
        <f ca="1">IFERROR(__xludf.DUMMYFUNCTION("""COMPUTED_VALUE"""),"This will be hard to do, but if it is the right company I would try")</f>
        <v>This will be hard to do, but if it is the right company I would try</v>
      </c>
      <c r="H122" s="1" t="str">
        <f ca="1">IFERROR(__xludf.DUMMYFUNCTION("""COMPUTED_VALUE"""),"No")</f>
        <v>No</v>
      </c>
      <c r="I122" s="1" t="str">
        <f ca="1">IFERROR(__xludf.DUMMYFUNCTION("""COMPUTED_VALUE"""),"Will NOT work for them")</f>
        <v>Will NOT work for them</v>
      </c>
      <c r="J122" s="1">
        <f ca="1">IFERROR(__xludf.DUMMYFUNCTION("""COMPUTED_VALUE"""),8)</f>
        <v>8</v>
      </c>
      <c r="K122" s="1" t="str">
        <f ca="1">IFERROR(__xludf.DUMMYFUNCTION("""COMPUTED_VALUE"""),"Hybrid Working Environment with less than 10 days a month at office")</f>
        <v>Hybrid Working Environment with less than 10 days a month at office</v>
      </c>
      <c r="L1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2" s="1" t="str">
        <f ca="1">IFERROR(__xludf.DUMMYFUNCTION("""COMPUTED_VALUE"""),"Instructor or Expert Learning Programs, Learning by observing others")</f>
        <v>Instructor or Expert Learning Programs, Learning by observing others</v>
      </c>
      <c r="N122" s="1" t="str">
        <f ca="1">IFERROR(__xludf.DUMMYFUNCTION("""COMPUTED_VALUE"""),"Manage and drive End-to-End Projects or Products, Build and develop a Team, Look deeply into Data and generate insights")</f>
        <v>Manage and drive End-to-End Projects or Products, Build and develop a Team, Look deeply into Data and generate insights</v>
      </c>
      <c r="O122" s="1" t="str">
        <f ca="1">IFERROR(__xludf.DUMMYFUNCTION("""COMPUTED_VALUE"""),"Manager who explains what is expected, sets a goal and helps achieve it")</f>
        <v>Manager who explains what is expected, sets a goal and helps achieve it</v>
      </c>
      <c r="P122" s="1" t="str">
        <f ca="1">IFERROR(__xludf.DUMMYFUNCTION("""COMPUTED_VALUE"""),"Work with 2 to 3 people in my team, Work with 5 to 6 people in my team")</f>
        <v>Work with 2 to 3 people in my team, Work with 5 to 6 people in my team</v>
      </c>
      <c r="Q122" s="1"/>
      <c r="R122" s="1"/>
      <c r="S122" s="1"/>
    </row>
    <row r="123" spans="1:19" ht="12.5" x14ac:dyDescent="0.25">
      <c r="A123" s="2">
        <f ca="1">IFERROR(__xludf.DUMMYFUNCTION("""COMPUTED_VALUE"""),44912.7057586574)</f>
        <v>44912.705758657401</v>
      </c>
      <c r="B123" s="1" t="str">
        <f ca="1">IFERROR(__xludf.DUMMYFUNCTION("""COMPUTED_VALUE"""),"India")</f>
        <v>India</v>
      </c>
      <c r="C123" s="1">
        <f ca="1">IFERROR(__xludf.DUMMYFUNCTION("""COMPUTED_VALUE"""),425401)</f>
        <v>425401</v>
      </c>
      <c r="D123" s="1" t="str">
        <f ca="1">IFERROR(__xludf.DUMMYFUNCTION("""COMPUTED_VALUE"""),"Male")</f>
        <v>Male</v>
      </c>
      <c r="E123" s="1" t="str">
        <f ca="1">IFERROR(__xludf.DUMMYFUNCTION("""COMPUTED_VALUE"""),"Influencers who had successful careers")</f>
        <v>Influencers who had successful careers</v>
      </c>
      <c r="F123" s="1" t="str">
        <f ca="1">IFERROR(__xludf.DUMMYFUNCTION("""COMPUTED_VALUE"""),"Yes, I will earn and do that")</f>
        <v>Yes, I will earn and do that</v>
      </c>
      <c r="G123" s="1" t="str">
        <f ca="1">IFERROR(__xludf.DUMMYFUNCTION("""COMPUTED_VALUE"""),"Will work for 3 years or more")</f>
        <v>Will work for 3 years or more</v>
      </c>
      <c r="H123" s="1" t="str">
        <f ca="1">IFERROR(__xludf.DUMMYFUNCTION("""COMPUTED_VALUE"""),"No")</f>
        <v>No</v>
      </c>
      <c r="I123" s="1" t="str">
        <f ca="1">IFERROR(__xludf.DUMMYFUNCTION("""COMPUTED_VALUE"""),"Will NOT work for them")</f>
        <v>Will NOT work for them</v>
      </c>
      <c r="J123" s="1">
        <f ca="1">IFERROR(__xludf.DUMMYFUNCTION("""COMPUTED_VALUE"""),6)</f>
        <v>6</v>
      </c>
      <c r="K123" s="1" t="str">
        <f ca="1">IFERROR(__xludf.DUMMYFUNCTION("""COMPUTED_VALUE"""),"Every Day Office Environment")</f>
        <v>Every Day Office Environment</v>
      </c>
      <c r="L123" s="1" t="str">
        <f ca="1">IFERROR(__xludf.DUMMYFUNCTION("""COMPUTED_VALUE"""),"Employer who appreciates learning and enables that environment")</f>
        <v>Employer who appreciates learning and enables that environment</v>
      </c>
      <c r="M123" s="1" t="str">
        <f ca="1">IFERROR(__xludf.DUMMYFUNCTION("""COMPUTED_VALUE"""),"Instructor or Expert Learning Programs, Learning by observing others")</f>
        <v>Instructor or Expert Learning Programs, Learning by observing others</v>
      </c>
      <c r="N123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123" s="1" t="str">
        <f ca="1">IFERROR(__xludf.DUMMYFUNCTION("""COMPUTED_VALUE"""),"Manager who clearly describes what she/he needs")</f>
        <v>Manager who clearly describes what she/he needs</v>
      </c>
      <c r="P123" s="1" t="str">
        <f ca="1">IFERROR(__xludf.DUMMYFUNCTION("""COMPUTED_VALUE"""),"Work with more than 10 people in my team")</f>
        <v>Work with more than 10 people in my team</v>
      </c>
      <c r="Q123" s="1"/>
      <c r="R123" s="1"/>
      <c r="S123" s="1"/>
    </row>
    <row r="124" spans="1:19" ht="12.5" x14ac:dyDescent="0.25">
      <c r="A124" s="2">
        <f ca="1">IFERROR(__xludf.DUMMYFUNCTION("""COMPUTED_VALUE"""),44912.7106504861)</f>
        <v>44912.7106504861</v>
      </c>
      <c r="B124" s="1" t="str">
        <f ca="1">IFERROR(__xludf.DUMMYFUNCTION("""COMPUTED_VALUE"""),"India")</f>
        <v>India</v>
      </c>
      <c r="C124" s="1">
        <f ca="1">IFERROR(__xludf.DUMMYFUNCTION("""COMPUTED_VALUE"""),425002)</f>
        <v>425002</v>
      </c>
      <c r="D124" s="1" t="str">
        <f ca="1">IFERROR(__xludf.DUMMYFUNCTION("""COMPUTED_VALUE"""),"Female")</f>
        <v>Female</v>
      </c>
      <c r="E124" s="1" t="str">
        <f ca="1">IFERROR(__xludf.DUMMYFUNCTION("""COMPUTED_VALUE"""),"My Parents")</f>
        <v>My Parents</v>
      </c>
      <c r="F124" s="1" t="str">
        <f ca="1">IFERROR(__xludf.DUMMYFUNCTION("""COMPUTED_VALUE"""),"No I would not be pursuing Higher Education outside of India")</f>
        <v>No I would not be pursuing Higher Education outside of India</v>
      </c>
      <c r="G124" s="1" t="str">
        <f ca="1">IFERROR(__xludf.DUMMYFUNCTION("""COMPUTED_VALUE"""),"Will work for 3 years or more")</f>
        <v>Will work for 3 years or more</v>
      </c>
      <c r="H124" s="1" t="str">
        <f ca="1">IFERROR(__xludf.DUMMYFUNCTION("""COMPUTED_VALUE"""),"No")</f>
        <v>No</v>
      </c>
      <c r="I124" s="1" t="str">
        <f ca="1">IFERROR(__xludf.DUMMYFUNCTION("""COMPUTED_VALUE"""),"Will NOT work for them")</f>
        <v>Will NOT work for them</v>
      </c>
      <c r="J124" s="1">
        <f ca="1">IFERROR(__xludf.DUMMYFUNCTION("""COMPUTED_VALUE"""),2)</f>
        <v>2</v>
      </c>
      <c r="K124" s="1" t="str">
        <f ca="1">IFERROR(__xludf.DUMMYFUNCTION("""COMPUTED_VALUE"""),"Fully Remote with No option to visit offices")</f>
        <v>Fully Remote with No option to visit offices</v>
      </c>
      <c r="L124" s="1" t="str">
        <f ca="1">IFERROR(__xludf.DUMMYFUNCTION("""COMPUTED_VALUE"""),"Employer who appreciates learning and enables that environment")</f>
        <v>Employer who appreciates learning and enables that environment</v>
      </c>
      <c r="M124" s="1" t="str">
        <f ca="1">IFERROR(__xludf.DUMMYFUNCTION("""COMPUTED_VALUE"""),"Self Paced Learning Portals, Instructor or Expert Learning Programs")</f>
        <v>Self Paced Learning Portals, Instructor or Expert Learning Programs</v>
      </c>
      <c r="N124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124" s="1" t="str">
        <f ca="1">IFERROR(__xludf.DUMMYFUNCTION("""COMPUTED_VALUE"""),"Manager who sets goal and helps me achieve it")</f>
        <v>Manager who sets goal and helps me achieve it</v>
      </c>
      <c r="P124" s="1" t="str">
        <f ca="1">IFERROR(__xludf.DUMMYFUNCTION("""COMPUTED_VALUE"""),"Work with 2 to 3 people in my team")</f>
        <v>Work with 2 to 3 people in my team</v>
      </c>
      <c r="Q124" s="1"/>
      <c r="R124" s="1"/>
      <c r="S124" s="1"/>
    </row>
    <row r="125" spans="1:19" ht="12.5" x14ac:dyDescent="0.25">
      <c r="A125" s="2">
        <f ca="1">IFERROR(__xludf.DUMMYFUNCTION("""COMPUTED_VALUE"""),44912.7714979629)</f>
        <v>44912.771497962902</v>
      </c>
      <c r="B125" s="1" t="str">
        <f ca="1">IFERROR(__xludf.DUMMYFUNCTION("""COMPUTED_VALUE"""),"India")</f>
        <v>India</v>
      </c>
      <c r="C125" s="1">
        <f ca="1">IFERROR(__xludf.DUMMYFUNCTION("""COMPUTED_VALUE"""),760001)</f>
        <v>760001</v>
      </c>
      <c r="D125" s="1" t="str">
        <f ca="1">IFERROR(__xludf.DUMMYFUNCTION("""COMPUTED_VALUE"""),"Female")</f>
        <v>Female</v>
      </c>
      <c r="E125" s="1" t="str">
        <f ca="1">IFERROR(__xludf.DUMMYFUNCTION("""COMPUTED_VALUE"""),"People from my circle, but not family members")</f>
        <v>People from my circle, but not family members</v>
      </c>
      <c r="F125" s="1" t="str">
        <f ca="1">IFERROR(__xludf.DUMMYFUNCTION("""COMPUTED_VALUE"""),"No I would not be pursuing Higher Education outside of India")</f>
        <v>No I would not be pursuing Higher Education outside of India</v>
      </c>
      <c r="G125" s="1" t="str">
        <f ca="1">IFERROR(__xludf.DUMMYFUNCTION("""COMPUTED_VALUE"""),"Will work for 3 years or more")</f>
        <v>Will work for 3 years or more</v>
      </c>
      <c r="H125" s="1" t="str">
        <f ca="1">IFERROR(__xludf.DUMMYFUNCTION("""COMPUTED_VALUE"""),"No")</f>
        <v>No</v>
      </c>
      <c r="I125" s="1" t="str">
        <f ca="1">IFERROR(__xludf.DUMMYFUNCTION("""COMPUTED_VALUE"""),"Will NOT work for them")</f>
        <v>Will NOT work for them</v>
      </c>
      <c r="J125" s="1">
        <f ca="1">IFERROR(__xludf.DUMMYFUNCTION("""COMPUTED_VALUE"""),10)</f>
        <v>10</v>
      </c>
      <c r="K125" s="1" t="str">
        <f ca="1">IFERROR(__xludf.DUMMYFUNCTION("""COMPUTED_VALUE"""),"Fully Remote with Options to travel as and when needed")</f>
        <v>Fully Remote with Options to travel as and when needed</v>
      </c>
      <c r="L125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25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25" s="1" t="str">
        <f ca="1">IFERROR(__xludf.DUMMYFUNCTION("""COMPUTED_VALUE"""),"Design and Creative strategy in any company, Business Operations in any organization, Work in a BPO setup for some well known client")</f>
        <v>Design and Creative strategy in any company, Business Operations in any organization, Work in a BPO setup for some well known client</v>
      </c>
      <c r="O125" s="1" t="str">
        <f ca="1">IFERROR(__xludf.DUMMYFUNCTION("""COMPUTED_VALUE"""),"Manager who explains what is expected, sets a goal and helps achieve it")</f>
        <v>Manager who explains what is expected, sets a goal and helps achieve it</v>
      </c>
      <c r="P125" s="1" t="str">
        <f ca="1">IFERROR(__xludf.DUMMYFUNCTION("""COMPUTED_VALUE"""),"Work with 2 to 3 people in my team")</f>
        <v>Work with 2 to 3 people in my team</v>
      </c>
      <c r="Q125" s="1"/>
      <c r="R125" s="1"/>
      <c r="S125" s="1"/>
    </row>
    <row r="126" spans="1:19" ht="12.5" x14ac:dyDescent="0.25">
      <c r="A126" s="2">
        <f ca="1">IFERROR(__xludf.DUMMYFUNCTION("""COMPUTED_VALUE"""),44912.7996630092)</f>
        <v>44912.799663009202</v>
      </c>
      <c r="B126" s="1" t="str">
        <f ca="1">IFERROR(__xludf.DUMMYFUNCTION("""COMPUTED_VALUE"""),"India")</f>
        <v>India</v>
      </c>
      <c r="C126" s="1">
        <f ca="1">IFERROR(__xludf.DUMMYFUNCTION("""COMPUTED_VALUE"""),226023)</f>
        <v>226023</v>
      </c>
      <c r="D126" s="1" t="str">
        <f ca="1">IFERROR(__xludf.DUMMYFUNCTION("""COMPUTED_VALUE"""),"Male")</f>
        <v>Male</v>
      </c>
      <c r="E126" s="1" t="str">
        <f ca="1">IFERROR(__xludf.DUMMYFUNCTION("""COMPUTED_VALUE"""),"Influencers who had successful careers")</f>
        <v>Influencers who had successful careers</v>
      </c>
      <c r="F126" s="1" t="str">
        <f ca="1">IFERROR(__xludf.DUMMYFUNCTION("""COMPUTED_VALUE"""),"No I would not be pursuing Higher Education outside of India")</f>
        <v>No I would not be pursuing Higher Education outside of India</v>
      </c>
      <c r="G126" s="1" t="str">
        <f ca="1">IFERROR(__xludf.DUMMYFUNCTION("""COMPUTED_VALUE"""),"This will be hard to do, but if it is the right company I would try")</f>
        <v>This will be hard to do, but if it is the right company I would try</v>
      </c>
      <c r="H126" s="1" t="str">
        <f ca="1">IFERROR(__xludf.DUMMYFUNCTION("""COMPUTED_VALUE"""),"Yes")</f>
        <v>Yes</v>
      </c>
      <c r="I126" s="1" t="str">
        <f ca="1">IFERROR(__xludf.DUMMYFUNCTION("""COMPUTED_VALUE"""),"Will NOT work for them")</f>
        <v>Will NOT work for them</v>
      </c>
      <c r="J126" s="1">
        <f ca="1">IFERROR(__xludf.DUMMYFUNCTION("""COMPUTED_VALUE"""),5)</f>
        <v>5</v>
      </c>
      <c r="K126" s="1" t="str">
        <f ca="1">IFERROR(__xludf.DUMMYFUNCTION("""COMPUTED_VALUE"""),"Hybrid Working Environment with less than 10 days a month at office")</f>
        <v>Hybrid Working Environment with less than 10 days a month at office</v>
      </c>
      <c r="L126" s="1" t="str">
        <f ca="1">IFERROR(__xludf.DUMMYFUNCTION("""COMPUTED_VALUE"""),"Employer who appreciates learning and enables that environment")</f>
        <v>Employer who appreciates learning and enables that environment</v>
      </c>
      <c r="M126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26" s="1" t="str">
        <f ca="1">IFERROR(__xludf.DUMMYFUNCTION("""COMPUTED_VALUE"""),"Manage and drive End-to-End Projects or Products, Look deeply into Data and generate insights, Become a content Creator in some platform")</f>
        <v>Manage and drive End-to-End Projects or Products, Look deeply into Data and generate insights, Become a content Creator in some platform</v>
      </c>
      <c r="O1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26" s="1" t="str">
        <f ca="1">IFERROR(__xludf.DUMMYFUNCTION("""COMPUTED_VALUE"""),"Work with 5 to 6 people in my team")</f>
        <v>Work with 5 to 6 people in my team</v>
      </c>
      <c r="Q126" s="1"/>
      <c r="R126" s="1"/>
      <c r="S126" s="1"/>
    </row>
    <row r="127" spans="1:19" ht="12.5" x14ac:dyDescent="0.25">
      <c r="A127" s="2">
        <f ca="1">IFERROR(__xludf.DUMMYFUNCTION("""COMPUTED_VALUE"""),44912.8112630787)</f>
        <v>44912.8112630787</v>
      </c>
      <c r="B127" s="1" t="str">
        <f ca="1">IFERROR(__xludf.DUMMYFUNCTION("""COMPUTED_VALUE"""),"India")</f>
        <v>India</v>
      </c>
      <c r="C127" s="1">
        <f ca="1">IFERROR(__xludf.DUMMYFUNCTION("""COMPUTED_VALUE"""),560077)</f>
        <v>560077</v>
      </c>
      <c r="D127" s="1" t="str">
        <f ca="1">IFERROR(__xludf.DUMMYFUNCTION("""COMPUTED_VALUE"""),"Male")</f>
        <v>Male</v>
      </c>
      <c r="E127" s="1" t="str">
        <f ca="1">IFERROR(__xludf.DUMMYFUNCTION("""COMPUTED_VALUE"""),"People who have changed the world for better")</f>
        <v>People who have changed the world for better</v>
      </c>
      <c r="F127" s="1" t="str">
        <f ca="1">IFERROR(__xludf.DUMMYFUNCTION("""COMPUTED_VALUE"""),"No I would not be pursuing Higher Education outside of India")</f>
        <v>No I would not be pursuing Higher Education outside of India</v>
      </c>
      <c r="G127" s="1" t="str">
        <f ca="1">IFERROR(__xludf.DUMMYFUNCTION("""COMPUTED_VALUE"""),"Will work for 3 years or more")</f>
        <v>Will work for 3 years or more</v>
      </c>
      <c r="H127" s="1" t="str">
        <f ca="1">IFERROR(__xludf.DUMMYFUNCTION("""COMPUTED_VALUE"""),"No")</f>
        <v>No</v>
      </c>
      <c r="I127" s="1" t="str">
        <f ca="1">IFERROR(__xludf.DUMMYFUNCTION("""COMPUTED_VALUE"""),"Will NOT work for them")</f>
        <v>Will NOT work for them</v>
      </c>
      <c r="J127" s="1">
        <f ca="1">IFERROR(__xludf.DUMMYFUNCTION("""COMPUTED_VALUE"""),2)</f>
        <v>2</v>
      </c>
      <c r="K127" s="1" t="str">
        <f ca="1">IFERROR(__xludf.DUMMYFUNCTION("""COMPUTED_VALUE"""),"Fully Remote with Options to travel as and when needed")</f>
        <v>Fully Remote with Options to travel as and when needed</v>
      </c>
      <c r="L1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7" s="1" t="str">
        <f ca="1">IFERROR(__xludf.DUMMYFUNCTION("""COMPUTED_VALUE"""),"Self Paced Learning Portals, Learning by observing others")</f>
        <v>Self Paced Learning Portals, Learning by observing others</v>
      </c>
      <c r="N127" s="1" t="str">
        <f ca="1">IFERROR(__xludf.DUMMYFUNCTION("""COMPUTED_VALUE"""),"Teaching in any of the institutes/online or Offline, Design and Develop amazing software, Look deeply into Data and generate insights")</f>
        <v>Teaching in any of the institutes/online or Offline, Design and Develop amazing software, Look deeply into Data and generate insights</v>
      </c>
      <c r="O127" s="1" t="str">
        <f ca="1">IFERROR(__xludf.DUMMYFUNCTION("""COMPUTED_VALUE"""),"Manager who explains what is expected, sets a goal and helps achieve it")</f>
        <v>Manager who explains what is expected, sets a goal and helps achieve it</v>
      </c>
      <c r="P127" s="1" t="str">
        <f ca="1">IFERROR(__xludf.DUMMYFUNCTION("""COMPUTED_VALUE"""),"Work with 5 to 6 people in my team")</f>
        <v>Work with 5 to 6 people in my team</v>
      </c>
      <c r="Q127" s="1"/>
      <c r="R127" s="1"/>
      <c r="S127" s="1"/>
    </row>
    <row r="128" spans="1:19" ht="12.5" x14ac:dyDescent="0.25">
      <c r="A128" s="2">
        <f ca="1">IFERROR(__xludf.DUMMYFUNCTION("""COMPUTED_VALUE"""),44912.843230185)</f>
        <v>44912.843230185099</v>
      </c>
      <c r="B128" s="1" t="str">
        <f ca="1">IFERROR(__xludf.DUMMYFUNCTION("""COMPUTED_VALUE"""),"India")</f>
        <v>India</v>
      </c>
      <c r="C128" s="1">
        <f ca="1">IFERROR(__xludf.DUMMYFUNCTION("""COMPUTED_VALUE"""),302039)</f>
        <v>302039</v>
      </c>
      <c r="D128" s="1" t="str">
        <f ca="1">IFERROR(__xludf.DUMMYFUNCTION("""COMPUTED_VALUE"""),"Male")</f>
        <v>Male</v>
      </c>
      <c r="E128" s="1" t="str">
        <f ca="1">IFERROR(__xludf.DUMMYFUNCTION("""COMPUTED_VALUE"""),"My Parents")</f>
        <v>My Parents</v>
      </c>
      <c r="F128" s="1" t="str">
        <f ca="1">IFERROR(__xludf.DUMMYFUNCTION("""COMPUTED_VALUE"""),"No I would not be pursuing Higher Education outside of India")</f>
        <v>No I would not be pursuing Higher Education outside of India</v>
      </c>
      <c r="G128" s="1" t="str">
        <f ca="1">IFERROR(__xludf.DUMMYFUNCTION("""COMPUTED_VALUE"""),"Will work for 3 years or more")</f>
        <v>Will work for 3 years or more</v>
      </c>
      <c r="H128" s="1" t="str">
        <f ca="1">IFERROR(__xludf.DUMMYFUNCTION("""COMPUTED_VALUE"""),"Yes")</f>
        <v>Yes</v>
      </c>
      <c r="I128" s="1" t="str">
        <f ca="1">IFERROR(__xludf.DUMMYFUNCTION("""COMPUTED_VALUE"""),"Will work for them")</f>
        <v>Will work for them</v>
      </c>
      <c r="J128" s="1">
        <f ca="1">IFERROR(__xludf.DUMMYFUNCTION("""COMPUTED_VALUE"""),9)</f>
        <v>9</v>
      </c>
      <c r="K128" s="1" t="str">
        <f ca="1">IFERROR(__xludf.DUMMYFUNCTION("""COMPUTED_VALUE"""),"Fully Remote with No option to visit offices")</f>
        <v>Fully Remote with No option to visit offices</v>
      </c>
      <c r="L128" s="1" t="str">
        <f ca="1">IFERROR(__xludf.DUMMYFUNCTION("""COMPUTED_VALUE"""),"Employer who appreciates learning and enables that environment")</f>
        <v>Employer who appreciates learning and enables that environment</v>
      </c>
      <c r="M128" s="1" t="str">
        <f ca="1">IFERROR(__xludf.DUMMYFUNCTION("""COMPUTED_VALUE"""),"Instructor or Expert Learning Programs, Learning by observing others")</f>
        <v>Instructor or Expert Learning Programs, Learning by observing others</v>
      </c>
      <c r="N128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128" s="1" t="str">
        <f ca="1">IFERROR(__xludf.DUMMYFUNCTION("""COMPUTED_VALUE"""),"Manager who clearly describes what she/he needs")</f>
        <v>Manager who clearly describes what she/he needs</v>
      </c>
      <c r="P128" s="1" t="str">
        <f ca="1">IFERROR(__xludf.DUMMYFUNCTION("""COMPUTED_VALUE"""),"Work with 5 to 6 people in my team")</f>
        <v>Work with 5 to 6 people in my team</v>
      </c>
      <c r="Q128" s="1"/>
      <c r="R128" s="1"/>
      <c r="S128" s="1"/>
    </row>
    <row r="129" spans="1:19" ht="12.5" x14ac:dyDescent="0.25">
      <c r="A129" s="2">
        <f ca="1">IFERROR(__xludf.DUMMYFUNCTION("""COMPUTED_VALUE"""),44912.8588709953)</f>
        <v>44912.858870995296</v>
      </c>
      <c r="B129" s="1" t="str">
        <f ca="1">IFERROR(__xludf.DUMMYFUNCTION("""COMPUTED_VALUE"""),"India")</f>
        <v>India</v>
      </c>
      <c r="C129" s="1">
        <f ca="1">IFERROR(__xludf.DUMMYFUNCTION("""COMPUTED_VALUE"""),751010)</f>
        <v>751010</v>
      </c>
      <c r="D129" s="1" t="str">
        <f ca="1">IFERROR(__xludf.DUMMYFUNCTION("""COMPUTED_VALUE"""),"Male")</f>
        <v>Male</v>
      </c>
      <c r="E129" s="1" t="str">
        <f ca="1">IFERROR(__xludf.DUMMYFUNCTION("""COMPUTED_VALUE"""),"Influencers who had successful careers")</f>
        <v>Influencers who had successful careers</v>
      </c>
      <c r="F129" s="1" t="str">
        <f ca="1">IFERROR(__xludf.DUMMYFUNCTION("""COMPUTED_VALUE"""),"Yes, I will earn and do that")</f>
        <v>Yes, I will earn and do that</v>
      </c>
      <c r="G129" s="1" t="str">
        <f ca="1">IFERROR(__xludf.DUMMYFUNCTION("""COMPUTED_VALUE"""),"This will be hard to do, but if it is the right company I would try")</f>
        <v>This will be hard to do, but if it is the right company I would try</v>
      </c>
      <c r="H129" s="1" t="str">
        <f ca="1">IFERROR(__xludf.DUMMYFUNCTION("""COMPUTED_VALUE"""),"No")</f>
        <v>No</v>
      </c>
      <c r="I129" s="1" t="str">
        <f ca="1">IFERROR(__xludf.DUMMYFUNCTION("""COMPUTED_VALUE"""),"Will work for them")</f>
        <v>Will work for them</v>
      </c>
      <c r="J129" s="1">
        <f ca="1">IFERROR(__xludf.DUMMYFUNCTION("""COMPUTED_VALUE"""),3)</f>
        <v>3</v>
      </c>
      <c r="K129" s="1" t="str">
        <f ca="1">IFERROR(__xludf.DUMMYFUNCTION("""COMPUTED_VALUE"""),"Hybrid Working Environment with less than 15 days a month at office")</f>
        <v>Hybrid Working Environment with less than 15 days a month at office</v>
      </c>
      <c r="L1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29" s="1" t="str">
        <f ca="1">IFERROR(__xludf.DUMMYFUNCTION("""COMPUTED_VALUE"""),"Manage and drive End-to-End Projects or Products, Build and develop a Team, Work in a BPO setup for some well known client")</f>
        <v>Manage and drive End-to-End Projects or Products, Build and develop a Team, Work in a BPO setup for some well known client</v>
      </c>
      <c r="O129" s="1" t="str">
        <f ca="1">IFERROR(__xludf.DUMMYFUNCTION("""COMPUTED_VALUE"""),"Manager who explains what is expected, sets a goal and helps achieve it")</f>
        <v>Manager who explains what is expected, sets a goal and helps achieve it</v>
      </c>
      <c r="P129" s="1" t="str">
        <f ca="1">IFERROR(__xludf.DUMMYFUNCTION("""COMPUTED_VALUE"""),"Work with 7 to 10 or more people in my team")</f>
        <v>Work with 7 to 10 or more people in my team</v>
      </c>
      <c r="Q129" s="1"/>
      <c r="R129" s="1"/>
      <c r="S129" s="1"/>
    </row>
    <row r="130" spans="1:19" ht="12.5" x14ac:dyDescent="0.25">
      <c r="A130" s="2">
        <f ca="1">IFERROR(__xludf.DUMMYFUNCTION("""COMPUTED_VALUE"""),44912.8644211805)</f>
        <v>44912.8644211805</v>
      </c>
      <c r="B130" s="1" t="str">
        <f ca="1">IFERROR(__xludf.DUMMYFUNCTION("""COMPUTED_VALUE"""),"Germany")</f>
        <v>Germany</v>
      </c>
      <c r="C130" s="1">
        <f ca="1">IFERROR(__xludf.DUMMYFUNCTION("""COMPUTED_VALUE"""),81827)</f>
        <v>81827</v>
      </c>
      <c r="D130" s="1" t="str">
        <f ca="1">IFERROR(__xludf.DUMMYFUNCTION("""COMPUTED_VALUE"""),"Male")</f>
        <v>Male</v>
      </c>
      <c r="E130" s="1" t="str">
        <f ca="1">IFERROR(__xludf.DUMMYFUNCTION("""COMPUTED_VALUE"""),"People who have changed the world for better")</f>
        <v>People who have changed the world for better</v>
      </c>
      <c r="F130" s="1" t="str">
        <f ca="1">IFERROR(__xludf.DUMMYFUNCTION("""COMPUTED_VALUE"""),"Yes, I will earn and do that")</f>
        <v>Yes, I will earn and do that</v>
      </c>
      <c r="G130" s="1" t="str">
        <f ca="1">IFERROR(__xludf.DUMMYFUNCTION("""COMPUTED_VALUE"""),"Will work for 3 years or more")</f>
        <v>Will work for 3 years or more</v>
      </c>
      <c r="H130" s="1" t="str">
        <f ca="1">IFERROR(__xludf.DUMMYFUNCTION("""COMPUTED_VALUE"""),"Yes")</f>
        <v>Yes</v>
      </c>
      <c r="I130" s="1" t="str">
        <f ca="1">IFERROR(__xludf.DUMMYFUNCTION("""COMPUTED_VALUE"""),"Will work for them")</f>
        <v>Will work for them</v>
      </c>
      <c r="J130" s="1">
        <f ca="1">IFERROR(__xludf.DUMMYFUNCTION("""COMPUTED_VALUE"""),5)</f>
        <v>5</v>
      </c>
      <c r="K130" s="1" t="str">
        <f ca="1">IFERROR(__xludf.DUMMYFUNCTION("""COMPUTED_VALUE"""),"Fully Remote with Options to travel as and when needed")</f>
        <v>Fully Remote with Options to travel as and when needed</v>
      </c>
      <c r="L1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0" s="1" t="str">
        <f ca="1">IFERROR(__xludf.DUMMYFUNCTION("""COMPUTED_VALUE"""),"Self Paced Learning Portals, Instructor or Expert Learning Programs")</f>
        <v>Self Paced Learning Portals, Instructor or Expert Learning Programs</v>
      </c>
      <c r="N130" s="1" t="str">
        <f ca="1">IFERROR(__xludf.DUMMYFUNCTION("""COMPUTED_VALUE"""),"Look deeply into Data and generate insights, Work as a freelancer and do my thing my way, Become a content Creator in some platform")</f>
        <v>Look deeply into Data and generate insights, Work as a freelancer and do my thing my way, Become a content Creator in some platform</v>
      </c>
      <c r="O130" s="1" t="str">
        <f ca="1">IFERROR(__xludf.DUMMYFUNCTION("""COMPUTED_VALUE"""),"Manager who clearly describes what she/he needs")</f>
        <v>Manager who clearly describes what she/he needs</v>
      </c>
      <c r="P130" s="1" t="str">
        <f ca="1">IFERROR(__xludf.DUMMYFUNCTION("""COMPUTED_VALUE"""),"Work alone, Work with 2 to 3 people in my team")</f>
        <v>Work alone, Work with 2 to 3 people in my team</v>
      </c>
      <c r="Q130" s="1"/>
      <c r="R130" s="1"/>
      <c r="S130" s="1"/>
    </row>
    <row r="131" spans="1:19" ht="12.5" x14ac:dyDescent="0.25">
      <c r="A131" s="2">
        <f ca="1">IFERROR(__xludf.DUMMYFUNCTION("""COMPUTED_VALUE"""),44912.8955257638)</f>
        <v>44912.895525763801</v>
      </c>
      <c r="B131" s="1" t="str">
        <f ca="1">IFERROR(__xludf.DUMMYFUNCTION("""COMPUTED_VALUE"""),"India")</f>
        <v>India</v>
      </c>
      <c r="C131" s="1">
        <f ca="1">IFERROR(__xludf.DUMMYFUNCTION("""COMPUTED_VALUE"""),121003)</f>
        <v>121003</v>
      </c>
      <c r="D131" s="1" t="str">
        <f ca="1">IFERROR(__xludf.DUMMYFUNCTION("""COMPUTED_VALUE"""),"Male")</f>
        <v>Male</v>
      </c>
      <c r="E131" s="1" t="str">
        <f ca="1">IFERROR(__xludf.DUMMYFUNCTION("""COMPUTED_VALUE"""),"People from my circle, but not family members")</f>
        <v>People from my circle, but not family members</v>
      </c>
      <c r="F131" s="1" t="str">
        <f ca="1">IFERROR(__xludf.DUMMYFUNCTION("""COMPUTED_VALUE"""),"No, But if someone could bare the cost I will")</f>
        <v>No, But if someone could bare the cost I will</v>
      </c>
      <c r="G131" s="1" t="str">
        <f ca="1">IFERROR(__xludf.DUMMYFUNCTION("""COMPUTED_VALUE"""),"This will be hard to do, but if it is the right company I would try")</f>
        <v>This will be hard to do, but if it is the right company I would try</v>
      </c>
      <c r="H131" s="1" t="str">
        <f ca="1">IFERROR(__xludf.DUMMYFUNCTION("""COMPUTED_VALUE"""),"No")</f>
        <v>No</v>
      </c>
      <c r="I131" s="1" t="str">
        <f ca="1">IFERROR(__xludf.DUMMYFUNCTION("""COMPUTED_VALUE"""),"Will NOT work for them")</f>
        <v>Will NOT work for them</v>
      </c>
      <c r="J131" s="1">
        <f ca="1">IFERROR(__xludf.DUMMYFUNCTION("""COMPUTED_VALUE"""),5)</f>
        <v>5</v>
      </c>
      <c r="K131" s="1" t="str">
        <f ca="1">IFERROR(__xludf.DUMMYFUNCTION("""COMPUTED_VALUE"""),"Hybrid Working Environment with less than 15 days a month at office")</f>
        <v>Hybrid Working Environment with less than 15 days a month at office</v>
      </c>
      <c r="L1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1" s="1" t="str">
        <f ca="1">IFERROR(__xludf.DUMMYFUNCTION("""COMPUTED_VALUE"""),"Self Paced Learning Portals, Learning by observing others")</f>
        <v>Self Paced Learning Portals, Learning by observing others</v>
      </c>
      <c r="N131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131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" s="1" t="str">
        <f ca="1">IFERROR(__xludf.DUMMYFUNCTION("""COMPUTED_VALUE"""),"Work with 2 to 3 people in my team")</f>
        <v>Work with 2 to 3 people in my team</v>
      </c>
      <c r="Q131" s="1"/>
      <c r="R131" s="1"/>
      <c r="S131" s="1"/>
    </row>
    <row r="132" spans="1:19" ht="12.5" x14ac:dyDescent="0.25">
      <c r="A132" s="2">
        <f ca="1">IFERROR(__xludf.DUMMYFUNCTION("""COMPUTED_VALUE"""),44912.9253219907)</f>
        <v>44912.925321990697</v>
      </c>
      <c r="B132" s="1" t="str">
        <f ca="1">IFERROR(__xludf.DUMMYFUNCTION("""COMPUTED_VALUE"""),"India")</f>
        <v>India</v>
      </c>
      <c r="C132" s="1">
        <f ca="1">IFERROR(__xludf.DUMMYFUNCTION("""COMPUTED_VALUE"""),101201)</f>
        <v>101201</v>
      </c>
      <c r="D132" s="1" t="str">
        <f ca="1">IFERROR(__xludf.DUMMYFUNCTION("""COMPUTED_VALUE"""),"Male")</f>
        <v>Male</v>
      </c>
      <c r="E132" s="1" t="str">
        <f ca="1">IFERROR(__xludf.DUMMYFUNCTION("""COMPUTED_VALUE"""),"My Parents")</f>
        <v>My Parents</v>
      </c>
      <c r="F132" s="1" t="str">
        <f ca="1">IFERROR(__xludf.DUMMYFUNCTION("""COMPUTED_VALUE"""),"No I would not be pursuing Higher Education outside of India")</f>
        <v>No I would not be pursuing Higher Education outside of India</v>
      </c>
      <c r="G132" s="1" t="str">
        <f ca="1">IFERROR(__xludf.DUMMYFUNCTION("""COMPUTED_VALUE"""),"This will be hard to do, but if it is the right company I would try")</f>
        <v>This will be hard to do, but if it is the right company I would try</v>
      </c>
      <c r="H132" s="1" t="str">
        <f ca="1">IFERROR(__xludf.DUMMYFUNCTION("""COMPUTED_VALUE"""),"No")</f>
        <v>No</v>
      </c>
      <c r="I132" s="1" t="str">
        <f ca="1">IFERROR(__xludf.DUMMYFUNCTION("""COMPUTED_VALUE"""),"Will NOT work for them")</f>
        <v>Will NOT work for them</v>
      </c>
      <c r="J132" s="1">
        <f ca="1">IFERROR(__xludf.DUMMYFUNCTION("""COMPUTED_VALUE"""),2)</f>
        <v>2</v>
      </c>
      <c r="K132" s="1" t="str">
        <f ca="1">IFERROR(__xludf.DUMMYFUNCTION("""COMPUTED_VALUE"""),"Hybrid Working Environment with less than 3 days a month at office")</f>
        <v>Hybrid Working Environment with less than 3 days a month at office</v>
      </c>
      <c r="L1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2" s="1" t="str">
        <f ca="1">IFERROR(__xludf.DUMMYFUNCTION("""COMPUTED_VALUE"""),"Instructor or Expert Learning Programs, Learning by observing others")</f>
        <v>Instructor or Expert Learning Programs, Learning by observing others</v>
      </c>
      <c r="N132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132" s="1" t="str">
        <f ca="1">IFERROR(__xludf.DUMMYFUNCTION("""COMPUTED_VALUE"""),"Manager who sets goal and helps me achieve it")</f>
        <v>Manager who sets goal and helps me achieve it</v>
      </c>
      <c r="P132" s="1" t="str">
        <f ca="1">IFERROR(__xludf.DUMMYFUNCTION("""COMPUTED_VALUE"""),"Work with 2 to 3 people in my team")</f>
        <v>Work with 2 to 3 people in my team</v>
      </c>
      <c r="Q132" s="1"/>
      <c r="R132" s="1"/>
      <c r="S132" s="1"/>
    </row>
    <row r="133" spans="1:19" ht="12.5" x14ac:dyDescent="0.25">
      <c r="A133" s="2">
        <f ca="1">IFERROR(__xludf.DUMMYFUNCTION("""COMPUTED_VALUE"""),44912.9299202662)</f>
        <v>44912.9299202662</v>
      </c>
      <c r="B133" s="1" t="str">
        <f ca="1">IFERROR(__xludf.DUMMYFUNCTION("""COMPUTED_VALUE"""),"India")</f>
        <v>India</v>
      </c>
      <c r="C133" s="1">
        <f ca="1">IFERROR(__xludf.DUMMYFUNCTION("""COMPUTED_VALUE"""),605401)</f>
        <v>605401</v>
      </c>
      <c r="D133" s="1" t="str">
        <f ca="1">IFERROR(__xludf.DUMMYFUNCTION("""COMPUTED_VALUE"""),"Male")</f>
        <v>Male</v>
      </c>
      <c r="E133" s="1" t="str">
        <f ca="1">IFERROR(__xludf.DUMMYFUNCTION("""COMPUTED_VALUE"""),"My Parents")</f>
        <v>My Parents</v>
      </c>
      <c r="F133" s="1" t="str">
        <f ca="1">IFERROR(__xludf.DUMMYFUNCTION("""COMPUTED_VALUE"""),"Yes, I will earn and do that")</f>
        <v>Yes, I will earn and do that</v>
      </c>
      <c r="G133" s="1" t="str">
        <f ca="1">IFERROR(__xludf.DUMMYFUNCTION("""COMPUTED_VALUE"""),"Will work for 3 years or more")</f>
        <v>Will work for 3 years or more</v>
      </c>
      <c r="H133" s="1" t="str">
        <f ca="1">IFERROR(__xludf.DUMMYFUNCTION("""COMPUTED_VALUE"""),"Yes")</f>
        <v>Yes</v>
      </c>
      <c r="I133" s="1" t="str">
        <f ca="1">IFERROR(__xludf.DUMMYFUNCTION("""COMPUTED_VALUE"""),"Will NOT work for them")</f>
        <v>Will NOT work for them</v>
      </c>
      <c r="J133" s="1">
        <f ca="1">IFERROR(__xludf.DUMMYFUNCTION("""COMPUTED_VALUE"""),7)</f>
        <v>7</v>
      </c>
      <c r="K133" s="1" t="str">
        <f ca="1">IFERROR(__xludf.DUMMYFUNCTION("""COMPUTED_VALUE"""),"Hybrid Working Environment with less than 10 days a month at office")</f>
        <v>Hybrid Working Environment with less than 10 days a month at office</v>
      </c>
      <c r="L133" s="1" t="str">
        <f ca="1">IFERROR(__xludf.DUMMYFUNCTION("""COMPUTED_VALUE"""),"Employer who appreciates learning and enables that environment")</f>
        <v>Employer who appreciates learning and enables that environment</v>
      </c>
      <c r="M13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33" s="1" t="str">
        <f ca="1">IFERROR(__xludf.DUMMYFUNCTION("""COMPUTED_VALUE"""),"Design and Creative strategy in any company, Build and develop a Team, Look deeply into Data and generate insights")</f>
        <v>Design and Creative strategy in any company, Build and develop a Team, Look deeply into Data and generate insights</v>
      </c>
      <c r="O133" s="1" t="str">
        <f ca="1">IFERROR(__xludf.DUMMYFUNCTION("""COMPUTED_VALUE"""),"Manager who sets goal and helps me achieve it")</f>
        <v>Manager who sets goal and helps me achieve it</v>
      </c>
      <c r="P133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33" s="1"/>
      <c r="R133" s="1"/>
      <c r="S133" s="1"/>
    </row>
    <row r="134" spans="1:19" ht="12.5" x14ac:dyDescent="0.25">
      <c r="A134" s="2">
        <f ca="1">IFERROR(__xludf.DUMMYFUNCTION("""COMPUTED_VALUE"""),44913.4007854976)</f>
        <v>44913.400785497601</v>
      </c>
      <c r="B134" s="1" t="str">
        <f ca="1">IFERROR(__xludf.DUMMYFUNCTION("""COMPUTED_VALUE"""),"India")</f>
        <v>India</v>
      </c>
      <c r="C134" s="1">
        <f ca="1">IFERROR(__xludf.DUMMYFUNCTION("""COMPUTED_VALUE"""),753003)</f>
        <v>753003</v>
      </c>
      <c r="D134" s="1" t="str">
        <f ca="1">IFERROR(__xludf.DUMMYFUNCTION("""COMPUTED_VALUE"""),"Male")</f>
        <v>Male</v>
      </c>
      <c r="E134" s="1" t="str">
        <f ca="1">IFERROR(__xludf.DUMMYFUNCTION("""COMPUTED_VALUE"""),"Influencers who had successful careers")</f>
        <v>Influencers who had successful careers</v>
      </c>
      <c r="F134" s="1" t="str">
        <f ca="1">IFERROR(__xludf.DUMMYFUNCTION("""COMPUTED_VALUE"""),"Yes, I will earn and do that")</f>
        <v>Yes, I will earn and do that</v>
      </c>
      <c r="G134" s="1" t="str">
        <f ca="1">IFERROR(__xludf.DUMMYFUNCTION("""COMPUTED_VALUE"""),"This will be hard to do, but if it is the right company I would try")</f>
        <v>This will be hard to do, but if it is the right company I would try</v>
      </c>
      <c r="H134" s="1" t="str">
        <f ca="1">IFERROR(__xludf.DUMMYFUNCTION("""COMPUTED_VALUE"""),"Yes")</f>
        <v>Yes</v>
      </c>
      <c r="I134" s="1" t="str">
        <f ca="1">IFERROR(__xludf.DUMMYFUNCTION("""COMPUTED_VALUE"""),"Will work for them")</f>
        <v>Will work for them</v>
      </c>
      <c r="J134" s="1">
        <f ca="1">IFERROR(__xludf.DUMMYFUNCTION("""COMPUTED_VALUE"""),7)</f>
        <v>7</v>
      </c>
      <c r="K134" s="1" t="str">
        <f ca="1">IFERROR(__xludf.DUMMYFUNCTION("""COMPUTED_VALUE"""),"Hybrid Working Environment with less than 15 days a month at office")</f>
        <v>Hybrid Working Environment with less than 15 days a month at office</v>
      </c>
      <c r="L134" s="1" t="str">
        <f ca="1">IFERROR(__xludf.DUMMYFUNCTION("""COMPUTED_VALUE"""),"Employer who appreciates learning and enables that environment")</f>
        <v>Employer who appreciates learning and enables that environment</v>
      </c>
      <c r="M134" s="1" t="str">
        <f ca="1">IFERROR(__xludf.DUMMYFUNCTION("""COMPUTED_VALUE"""),"Self Paced Learning Portals, Instructor or Expert Learning Programs")</f>
        <v>Self Paced Learning Portals, Instructor or Expert Learning Programs</v>
      </c>
      <c r="N134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134" s="1" t="str">
        <f ca="1">IFERROR(__xludf.DUMMYFUNCTION("""COMPUTED_VALUE"""),"Manager who clearly describes what she/he needs")</f>
        <v>Manager who clearly describes what she/he needs</v>
      </c>
      <c r="P134" s="1" t="str">
        <f ca="1">IFERROR(__xludf.DUMMYFUNCTION("""COMPUTED_VALUE"""),"Work with 2 to 3 people in my team")</f>
        <v>Work with 2 to 3 people in my team</v>
      </c>
      <c r="Q134" s="1"/>
      <c r="R134" s="1"/>
      <c r="S134" s="1"/>
    </row>
    <row r="135" spans="1:19" ht="12.5" x14ac:dyDescent="0.25">
      <c r="A135" s="2">
        <f ca="1">IFERROR(__xludf.DUMMYFUNCTION("""COMPUTED_VALUE"""),44913.4711179861)</f>
        <v>44913.471117986097</v>
      </c>
      <c r="B135" s="1" t="str">
        <f ca="1">IFERROR(__xludf.DUMMYFUNCTION("""COMPUTED_VALUE"""),"India")</f>
        <v>India</v>
      </c>
      <c r="C135" s="1">
        <f ca="1">IFERROR(__xludf.DUMMYFUNCTION("""COMPUTED_VALUE"""),416509)</f>
        <v>416509</v>
      </c>
      <c r="D135" s="1" t="str">
        <f ca="1">IFERROR(__xludf.DUMMYFUNCTION("""COMPUTED_VALUE"""),"Male")</f>
        <v>Male</v>
      </c>
      <c r="E135" s="1" t="str">
        <f ca="1">IFERROR(__xludf.DUMMYFUNCTION("""COMPUTED_VALUE"""),"Social Media like LinkedIn")</f>
        <v>Social Media like LinkedIn</v>
      </c>
      <c r="F135" s="1" t="str">
        <f ca="1">IFERROR(__xludf.DUMMYFUNCTION("""COMPUTED_VALUE"""),"Yes, I will earn and do that")</f>
        <v>Yes, I will earn and do that</v>
      </c>
      <c r="G135" s="1" t="str">
        <f ca="1">IFERROR(__xludf.DUMMYFUNCTION("""COMPUTED_VALUE"""),"This will be hard to do, but if it is the right company I would try")</f>
        <v>This will be hard to do, but if it is the right company I would try</v>
      </c>
      <c r="H135" s="1" t="str">
        <f ca="1">IFERROR(__xludf.DUMMYFUNCTION("""COMPUTED_VALUE"""),"No")</f>
        <v>No</v>
      </c>
      <c r="I135" s="1" t="str">
        <f ca="1">IFERROR(__xludf.DUMMYFUNCTION("""COMPUTED_VALUE"""),"Will NOT work for them")</f>
        <v>Will NOT work for them</v>
      </c>
      <c r="J135" s="1">
        <f ca="1">IFERROR(__xludf.DUMMYFUNCTION("""COMPUTED_VALUE"""),7)</f>
        <v>7</v>
      </c>
      <c r="K135" s="1" t="str">
        <f ca="1">IFERROR(__xludf.DUMMYFUNCTION("""COMPUTED_VALUE"""),"Hybrid Working Environment with less than 15 days a month at office")</f>
        <v>Hybrid Working Environment with less than 15 days a month at office</v>
      </c>
      <c r="L135" s="1" t="str">
        <f ca="1">IFERROR(__xludf.DUMMYFUNCTION("""COMPUTED_VALUE"""),"Employer who appreciates learning and enables that environment")</f>
        <v>Employer who appreciates learning and enables that environment</v>
      </c>
      <c r="M135" s="1" t="str">
        <f ca="1">IFERROR(__xludf.DUMMYFUNCTION("""COMPUTED_VALUE"""),"Self Paced Learning Portals, Instructor or Expert Learning Programs")</f>
        <v>Self Paced Learning Portals, Instructor or Expert Learning Programs</v>
      </c>
      <c r="N135" s="1" t="str">
        <f ca="1">IFERROR(__xludf.DUMMYFUNCTION("""COMPUTED_VALUE"""),"Teaching in any of the institutes/online or Offline, Build and develop a Team, Work as a freelancer and do my thing my way")</f>
        <v>Teaching in any of the institutes/online or Offline, Build and develop a Team, Work as a freelancer and do my thing my way</v>
      </c>
      <c r="O135" s="1" t="str">
        <f ca="1">IFERROR(__xludf.DUMMYFUNCTION("""COMPUTED_VALUE"""),"Manager who sets goal and helps me achieve it")</f>
        <v>Manager who sets goal and helps me achieve it</v>
      </c>
      <c r="P135" s="1" t="str">
        <f ca="1">IFERROR(__xludf.DUMMYFUNCTION("""COMPUTED_VALUE"""),"Work with 5 to 6 people in my team")</f>
        <v>Work with 5 to 6 people in my team</v>
      </c>
      <c r="Q135" s="1"/>
      <c r="R135" s="1"/>
      <c r="S135" s="1"/>
    </row>
    <row r="136" spans="1:19" ht="12.5" x14ac:dyDescent="0.25">
      <c r="A136" s="2">
        <f ca="1">IFERROR(__xludf.DUMMYFUNCTION("""COMPUTED_VALUE"""),44913.4988530324)</f>
        <v>44913.498853032397</v>
      </c>
      <c r="B136" s="1" t="str">
        <f ca="1">IFERROR(__xludf.DUMMYFUNCTION("""COMPUTED_VALUE"""),"India")</f>
        <v>India</v>
      </c>
      <c r="C136" s="1">
        <f ca="1">IFERROR(__xludf.DUMMYFUNCTION("""COMPUTED_VALUE"""),400099)</f>
        <v>400099</v>
      </c>
      <c r="D136" s="1" t="str">
        <f ca="1">IFERROR(__xludf.DUMMYFUNCTION("""COMPUTED_VALUE"""),"Male")</f>
        <v>Male</v>
      </c>
      <c r="E136" s="1" t="str">
        <f ca="1">IFERROR(__xludf.DUMMYFUNCTION("""COMPUTED_VALUE"""),"People who have changed the world for better")</f>
        <v>People who have changed the world for better</v>
      </c>
      <c r="F136" s="1" t="str">
        <f ca="1">IFERROR(__xludf.DUMMYFUNCTION("""COMPUTED_VALUE"""),"No, But if someone could bare the cost I will")</f>
        <v>No, But if someone could bare the cost I will</v>
      </c>
      <c r="G136" s="1" t="str">
        <f ca="1">IFERROR(__xludf.DUMMYFUNCTION("""COMPUTED_VALUE"""),"This will be hard to do, but if it is the right company I would try")</f>
        <v>This will be hard to do, but if it is the right company I would try</v>
      </c>
      <c r="H136" s="1" t="str">
        <f ca="1">IFERROR(__xludf.DUMMYFUNCTION("""COMPUTED_VALUE"""),"No")</f>
        <v>No</v>
      </c>
      <c r="I136" s="1" t="str">
        <f ca="1">IFERROR(__xludf.DUMMYFUNCTION("""COMPUTED_VALUE"""),"Will NOT work for them")</f>
        <v>Will NOT work for them</v>
      </c>
      <c r="J136" s="1">
        <f ca="1">IFERROR(__xludf.DUMMYFUNCTION("""COMPUTED_VALUE"""),6)</f>
        <v>6</v>
      </c>
      <c r="K136" s="1" t="str">
        <f ca="1">IFERROR(__xludf.DUMMYFUNCTION("""COMPUTED_VALUE"""),"Hybrid Working Environment with less than 3 days a month at office")</f>
        <v>Hybrid Working Environment with less than 3 days a month at office</v>
      </c>
      <c r="L136" s="1" t="str">
        <f ca="1">IFERROR(__xludf.DUMMYFUNCTION("""COMPUTED_VALUE"""),"Employer who rewards learning and enables that environment")</f>
        <v>Employer who rewards learning and enables that environment</v>
      </c>
      <c r="M136" s="1" t="str">
        <f ca="1">IFERROR(__xludf.DUMMYFUNCTION("""COMPUTED_VALUE"""),"Self Paced Learning Portals, Learning by observing others")</f>
        <v>Self Paced Learning Portals, Learning by observing others</v>
      </c>
      <c r="N136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136" s="1" t="str">
        <f ca="1">IFERROR(__xludf.DUMMYFUNCTION("""COMPUTED_VALUE"""),"Manager who clearly describes what she/he needs")</f>
        <v>Manager who clearly describes what she/he needs</v>
      </c>
      <c r="P136" s="1" t="str">
        <f ca="1">IFERROR(__xludf.DUMMYFUNCTION("""COMPUTED_VALUE"""),"Work with 2 to 3 people in my team")</f>
        <v>Work with 2 to 3 people in my team</v>
      </c>
      <c r="Q136" s="1"/>
      <c r="R136" s="1"/>
      <c r="S136" s="1"/>
    </row>
    <row r="137" spans="1:19" ht="12.5" x14ac:dyDescent="0.25">
      <c r="A137" s="2">
        <f ca="1">IFERROR(__xludf.DUMMYFUNCTION("""COMPUTED_VALUE"""),44913.5584111226)</f>
        <v>44913.558411122598</v>
      </c>
      <c r="B137" s="1" t="str">
        <f ca="1">IFERROR(__xludf.DUMMYFUNCTION("""COMPUTED_VALUE"""),"India")</f>
        <v>India</v>
      </c>
      <c r="C137" s="1">
        <f ca="1">IFERROR(__xludf.DUMMYFUNCTION("""COMPUTED_VALUE"""),301001)</f>
        <v>301001</v>
      </c>
      <c r="D137" s="1" t="str">
        <f ca="1">IFERROR(__xludf.DUMMYFUNCTION("""COMPUTED_VALUE"""),"Male")</f>
        <v>Male</v>
      </c>
      <c r="E137" s="1" t="str">
        <f ca="1">IFERROR(__xludf.DUMMYFUNCTION("""COMPUTED_VALUE"""),"People who have changed the world for better")</f>
        <v>People who have changed the world for better</v>
      </c>
      <c r="F137" s="1" t="str">
        <f ca="1">IFERROR(__xludf.DUMMYFUNCTION("""COMPUTED_VALUE"""),"Yes, I will earn and do that")</f>
        <v>Yes, I will earn and do that</v>
      </c>
      <c r="G137" s="1" t="str">
        <f ca="1">IFERROR(__xludf.DUMMYFUNCTION("""COMPUTED_VALUE"""),"This will be hard to do, but if it is the right company I would try")</f>
        <v>This will be hard to do, but if it is the right company I would try</v>
      </c>
      <c r="H137" s="1" t="str">
        <f ca="1">IFERROR(__xludf.DUMMYFUNCTION("""COMPUTED_VALUE"""),"No")</f>
        <v>No</v>
      </c>
      <c r="I137" s="1" t="str">
        <f ca="1">IFERROR(__xludf.DUMMYFUNCTION("""COMPUTED_VALUE"""),"Will NOT work for them")</f>
        <v>Will NOT work for them</v>
      </c>
      <c r="J137" s="1">
        <f ca="1">IFERROR(__xludf.DUMMYFUNCTION("""COMPUTED_VALUE"""),4)</f>
        <v>4</v>
      </c>
      <c r="K137" s="1" t="str">
        <f ca="1">IFERROR(__xludf.DUMMYFUNCTION("""COMPUTED_VALUE"""),"Every Day Office Environment")</f>
        <v>Every Day Office Environment</v>
      </c>
      <c r="L137" s="1" t="str">
        <f ca="1">IFERROR(__xludf.DUMMYFUNCTION("""COMPUTED_VALUE"""),"Employer who appreciates learning and enables that environment")</f>
        <v>Employer who appreciates learning and enables that environment</v>
      </c>
      <c r="M13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37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137" s="1" t="str">
        <f ca="1">IFERROR(__xludf.DUMMYFUNCTION("""COMPUTED_VALUE"""),"Manager who explains what is expected, sets a goal and helps achieve it")</f>
        <v>Manager who explains what is expected, sets a goal and helps achieve it</v>
      </c>
      <c r="P137" s="1" t="str">
        <f ca="1">IFERROR(__xludf.DUMMYFUNCTION("""COMPUTED_VALUE"""),"Work with 5 to 6 people in my team")</f>
        <v>Work with 5 to 6 people in my team</v>
      </c>
      <c r="Q137" s="1"/>
      <c r="R137" s="1"/>
      <c r="S137" s="1"/>
    </row>
    <row r="138" spans="1:19" ht="12.5" x14ac:dyDescent="0.25">
      <c r="A138" s="2">
        <f ca="1">IFERROR(__xludf.DUMMYFUNCTION("""COMPUTED_VALUE"""),44913.6298225694)</f>
        <v>44913.629822569397</v>
      </c>
      <c r="B138" s="1" t="str">
        <f ca="1">IFERROR(__xludf.DUMMYFUNCTION("""COMPUTED_VALUE"""),"India")</f>
        <v>India</v>
      </c>
      <c r="C138" s="1">
        <f ca="1">IFERROR(__xludf.DUMMYFUNCTION("""COMPUTED_VALUE"""),302017)</f>
        <v>302017</v>
      </c>
      <c r="D138" s="1" t="str">
        <f ca="1">IFERROR(__xludf.DUMMYFUNCTION("""COMPUTED_VALUE"""),"Male")</f>
        <v>Male</v>
      </c>
      <c r="E138" s="1" t="str">
        <f ca="1">IFERROR(__xludf.DUMMYFUNCTION("""COMPUTED_VALUE"""),"My Parents")</f>
        <v>My Parents</v>
      </c>
      <c r="F138" s="1" t="str">
        <f ca="1">IFERROR(__xludf.DUMMYFUNCTION("""COMPUTED_VALUE"""),"No I would not be pursuing Higher Education outside of India")</f>
        <v>No I would not be pursuing Higher Education outside of India</v>
      </c>
      <c r="G138" s="1" t="str">
        <f ca="1">IFERROR(__xludf.DUMMYFUNCTION("""COMPUTED_VALUE"""),"Will work for 3 years or more")</f>
        <v>Will work for 3 years or more</v>
      </c>
      <c r="H138" s="1" t="str">
        <f ca="1">IFERROR(__xludf.DUMMYFUNCTION("""COMPUTED_VALUE"""),"Yes")</f>
        <v>Yes</v>
      </c>
      <c r="I138" s="1" t="str">
        <f ca="1">IFERROR(__xludf.DUMMYFUNCTION("""COMPUTED_VALUE"""),"Will NOT work for them")</f>
        <v>Will NOT work for them</v>
      </c>
      <c r="J138" s="1">
        <f ca="1">IFERROR(__xludf.DUMMYFUNCTION("""COMPUTED_VALUE"""),5)</f>
        <v>5</v>
      </c>
      <c r="K138" s="1" t="str">
        <f ca="1">IFERROR(__xludf.DUMMYFUNCTION("""COMPUTED_VALUE"""),"Hybrid Working Environment with less than 15 days a month at office")</f>
        <v>Hybrid Working Environment with less than 15 days a month at office</v>
      </c>
      <c r="L1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8" s="1" t="str">
        <f ca="1">IFERROR(__xludf.DUMMYFUNCTION("""COMPUTED_VALUE"""),"Instructor or Expert Learning Programs, Learning by observing others")</f>
        <v>Instructor or Expert Learning Programs, Learning by observing others</v>
      </c>
      <c r="N138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138" s="1" t="str">
        <f ca="1">IFERROR(__xludf.DUMMYFUNCTION("""COMPUTED_VALUE"""),"Manager who explains what is expected, sets a goal and helps achieve it")</f>
        <v>Manager who explains what is expected, sets a goal and helps achieve it</v>
      </c>
      <c r="P138" s="1" t="str">
        <f ca="1">IFERROR(__xludf.DUMMYFUNCTION("""COMPUTED_VALUE"""),"Work with 5 to 6 people in my team")</f>
        <v>Work with 5 to 6 people in my team</v>
      </c>
      <c r="Q138" s="1"/>
      <c r="R138" s="1"/>
      <c r="S138" s="1"/>
    </row>
    <row r="139" spans="1:19" ht="12.5" x14ac:dyDescent="0.25">
      <c r="A139" s="2">
        <f ca="1">IFERROR(__xludf.DUMMYFUNCTION("""COMPUTED_VALUE"""),44913.6537770138)</f>
        <v>44913.653777013802</v>
      </c>
      <c r="B139" s="1" t="str">
        <f ca="1">IFERROR(__xludf.DUMMYFUNCTION("""COMPUTED_VALUE"""),"India")</f>
        <v>India</v>
      </c>
      <c r="C139" s="1">
        <f ca="1">IFERROR(__xludf.DUMMYFUNCTION("""COMPUTED_VALUE"""),560096)</f>
        <v>560096</v>
      </c>
      <c r="D139" s="1" t="str">
        <f ca="1">IFERROR(__xludf.DUMMYFUNCTION("""COMPUTED_VALUE"""),"Female")</f>
        <v>Female</v>
      </c>
      <c r="E139" s="1" t="str">
        <f ca="1">IFERROR(__xludf.DUMMYFUNCTION("""COMPUTED_VALUE"""),"My Parents")</f>
        <v>My Parents</v>
      </c>
      <c r="F139" s="1" t="str">
        <f ca="1">IFERROR(__xludf.DUMMYFUNCTION("""COMPUTED_VALUE"""),"Yes, I will earn and do that")</f>
        <v>Yes, I will earn and do that</v>
      </c>
      <c r="G139" s="1" t="str">
        <f ca="1">IFERROR(__xludf.DUMMYFUNCTION("""COMPUTED_VALUE"""),"This will be hard to do, but if it is the right company I would try")</f>
        <v>This will be hard to do, but if it is the right company I would try</v>
      </c>
      <c r="H139" s="1" t="str">
        <f ca="1">IFERROR(__xludf.DUMMYFUNCTION("""COMPUTED_VALUE"""),"No")</f>
        <v>No</v>
      </c>
      <c r="I139" s="1" t="str">
        <f ca="1">IFERROR(__xludf.DUMMYFUNCTION("""COMPUTED_VALUE"""),"Will NOT work for them")</f>
        <v>Will NOT work for them</v>
      </c>
      <c r="J139" s="1">
        <f ca="1">IFERROR(__xludf.DUMMYFUNCTION("""COMPUTED_VALUE"""),2)</f>
        <v>2</v>
      </c>
      <c r="K139" s="1" t="str">
        <f ca="1">IFERROR(__xludf.DUMMYFUNCTION("""COMPUTED_VALUE"""),"Hybrid Working Environment with less than 10 days a month at office")</f>
        <v>Hybrid Working Environment with less than 10 days a month at office</v>
      </c>
      <c r="L1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39" s="1" t="str">
        <f ca="1">IFERROR(__xludf.DUMMYFUNCTION("""COMPUTED_VALUE"""),"Design and Creative strategy in any company, Teaching in any of the institutes/online or Offline, Work as a freelancer and do my thing my way")</f>
        <v>Design and Creative strategy in any company, Teaching in any of the institutes/online or Offline, Work as a freelancer and do my thing my way</v>
      </c>
      <c r="O139" s="1" t="str">
        <f ca="1">IFERROR(__xludf.DUMMYFUNCTION("""COMPUTED_VALUE"""),"Manager who clearly describes what she/he needs")</f>
        <v>Manager who clearly describes what she/he needs</v>
      </c>
      <c r="P139" s="1" t="str">
        <f ca="1">IFERROR(__xludf.DUMMYFUNCTION("""COMPUTED_VALUE"""),"Work with 5 to 6 people in my team")</f>
        <v>Work with 5 to 6 people in my team</v>
      </c>
      <c r="Q139" s="1"/>
      <c r="R139" s="1"/>
      <c r="S139" s="1"/>
    </row>
    <row r="140" spans="1:19" ht="12.5" x14ac:dyDescent="0.25">
      <c r="A140" s="2">
        <f ca="1">IFERROR(__xludf.DUMMYFUNCTION("""COMPUTED_VALUE"""),44913.7305701504)</f>
        <v>44913.730570150401</v>
      </c>
      <c r="B140" s="1" t="str">
        <f ca="1">IFERROR(__xludf.DUMMYFUNCTION("""COMPUTED_VALUE"""),"India")</f>
        <v>India</v>
      </c>
      <c r="C140" s="1">
        <f ca="1">IFERROR(__xludf.DUMMYFUNCTION("""COMPUTED_VALUE"""),431005)</f>
        <v>431005</v>
      </c>
      <c r="D140" s="1" t="str">
        <f ca="1">IFERROR(__xludf.DUMMYFUNCTION("""COMPUTED_VALUE"""),"Male")</f>
        <v>Male</v>
      </c>
      <c r="E140" s="1" t="str">
        <f ca="1">IFERROR(__xludf.DUMMYFUNCTION("""COMPUTED_VALUE"""),"My Parents")</f>
        <v>My Parents</v>
      </c>
      <c r="F140" s="1" t="str">
        <f ca="1">IFERROR(__xludf.DUMMYFUNCTION("""COMPUTED_VALUE"""),"Yes, I will earn and do that")</f>
        <v>Yes, I will earn and do that</v>
      </c>
      <c r="G140" s="1" t="str">
        <f ca="1">IFERROR(__xludf.DUMMYFUNCTION("""COMPUTED_VALUE"""),"Will work for 3 years or more")</f>
        <v>Will work for 3 years or more</v>
      </c>
      <c r="H140" s="1" t="str">
        <f ca="1">IFERROR(__xludf.DUMMYFUNCTION("""COMPUTED_VALUE"""),"No")</f>
        <v>No</v>
      </c>
      <c r="I140" s="1" t="str">
        <f ca="1">IFERROR(__xludf.DUMMYFUNCTION("""COMPUTED_VALUE"""),"Will work for them")</f>
        <v>Will work for them</v>
      </c>
      <c r="J140" s="1">
        <f ca="1">IFERROR(__xludf.DUMMYFUNCTION("""COMPUTED_VALUE"""),1)</f>
        <v>1</v>
      </c>
      <c r="K140" s="1" t="str">
        <f ca="1">IFERROR(__xludf.DUMMYFUNCTION("""COMPUTED_VALUE"""),"Fully Remote with Options to travel as and when needed")</f>
        <v>Fully Remote with Options to travel as and when needed</v>
      </c>
      <c r="L1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" s="1" t="str">
        <f ca="1">IFERROR(__xludf.DUMMYFUNCTION("""COMPUTED_VALUE"""),"Self Paced Learning Portals, Instructor or Expert Learning Programs")</f>
        <v>Self Paced Learning Portals, Instructor or Expert Learning Programs</v>
      </c>
      <c r="N140" s="1" t="str">
        <f ca="1">IFERROR(__xludf.DUMMYFUNCTION("""COMPUTED_VALUE"""),"Teaching in any of the institutes/online or Offline, Build and develop a Team, Become a content Creator in some platform")</f>
        <v>Teaching in any of the institutes/online or Offline, Build and develop a Team, Become a content Creator in some platform</v>
      </c>
      <c r="O140" s="1" t="str">
        <f ca="1">IFERROR(__xludf.DUMMYFUNCTION("""COMPUTED_VALUE"""),"Manager who sets goal and helps me achieve it")</f>
        <v>Manager who sets goal and helps me achieve it</v>
      </c>
      <c r="P140" s="1" t="str">
        <f ca="1">IFERROR(__xludf.DUMMYFUNCTION("""COMPUTED_VALUE"""),"Work with 2 to 3 people in my team")</f>
        <v>Work with 2 to 3 people in my team</v>
      </c>
      <c r="Q140" s="1"/>
      <c r="R140" s="1"/>
      <c r="S140" s="1"/>
    </row>
    <row r="141" spans="1:19" ht="12.5" x14ac:dyDescent="0.25">
      <c r="A141" s="2">
        <f ca="1">IFERROR(__xludf.DUMMYFUNCTION("""COMPUTED_VALUE"""),44913.7358500231)</f>
        <v>44913.735850023098</v>
      </c>
      <c r="B141" s="1" t="str">
        <f ca="1">IFERROR(__xludf.DUMMYFUNCTION("""COMPUTED_VALUE"""),"India")</f>
        <v>India</v>
      </c>
      <c r="C141" s="1">
        <f ca="1">IFERROR(__xludf.DUMMYFUNCTION("""COMPUTED_VALUE"""),620005)</f>
        <v>620005</v>
      </c>
      <c r="D141" s="1" t="str">
        <f ca="1">IFERROR(__xludf.DUMMYFUNCTION("""COMPUTED_VALUE"""),"Male")</f>
        <v>Male</v>
      </c>
      <c r="E141" s="1" t="str">
        <f ca="1">IFERROR(__xludf.DUMMYFUNCTION("""COMPUTED_VALUE"""),"People from my circle, but not family members")</f>
        <v>People from my circle, but not family members</v>
      </c>
      <c r="F141" s="1" t="str">
        <f ca="1">IFERROR(__xludf.DUMMYFUNCTION("""COMPUTED_VALUE"""),"No I would not be pursuing Higher Education outside of India")</f>
        <v>No I would not be pursuing Higher Education outside of India</v>
      </c>
      <c r="G141" s="1" t="str">
        <f ca="1">IFERROR(__xludf.DUMMYFUNCTION("""COMPUTED_VALUE"""),"This will be hard to do, but if it is the right company I would try")</f>
        <v>This will be hard to do, but if it is the right company I would try</v>
      </c>
      <c r="H141" s="1" t="str">
        <f ca="1">IFERROR(__xludf.DUMMYFUNCTION("""COMPUTED_VALUE"""),"Yes")</f>
        <v>Yes</v>
      </c>
      <c r="I141" s="1" t="str">
        <f ca="1">IFERROR(__xludf.DUMMYFUNCTION("""COMPUTED_VALUE"""),"Will NOT work for them")</f>
        <v>Will NOT work for them</v>
      </c>
      <c r="J141" s="1">
        <f ca="1">IFERROR(__xludf.DUMMYFUNCTION("""COMPUTED_VALUE"""),3)</f>
        <v>3</v>
      </c>
      <c r="K141" s="1" t="str">
        <f ca="1">IFERROR(__xludf.DUMMYFUNCTION("""COMPUTED_VALUE"""),"Hybrid Working Environment with less than 15 days a month at office")</f>
        <v>Hybrid Working Environment with less than 15 days a month at office</v>
      </c>
      <c r="L1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1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41" s="1" t="str">
        <f ca="1">IFERROR(__xludf.DUMMYFUNCTION("""COMPUTED_VALUE"""),"Design and Creative strategy in any company, Look deeply into Data and generate insights, Work as a freelancer and do my thing my way")</f>
        <v>Design and Creative strategy in any company, Look deeply into Data and generate insights, Work as a freelancer and do my thing my way</v>
      </c>
      <c r="O141" s="1" t="str">
        <f ca="1">IFERROR(__xludf.DUMMYFUNCTION("""COMPUTED_VALUE"""),"Manager who explains what is expected, sets a goal and helps achieve it")</f>
        <v>Manager who explains what is expected, sets a goal and helps achieve it</v>
      </c>
      <c r="P141" s="1" t="str">
        <f ca="1">IFERROR(__xludf.DUMMYFUNCTION("""COMPUTED_VALUE"""),"Work with 5 to 6 people in my team")</f>
        <v>Work with 5 to 6 people in my team</v>
      </c>
      <c r="Q141" s="1"/>
      <c r="R141" s="1"/>
      <c r="S141" s="1"/>
    </row>
    <row r="142" spans="1:19" ht="12.5" x14ac:dyDescent="0.25">
      <c r="A142" s="2">
        <f ca="1">IFERROR(__xludf.DUMMYFUNCTION("""COMPUTED_VALUE"""),44913.7521120833)</f>
        <v>44913.752112083297</v>
      </c>
      <c r="B142" s="1" t="str">
        <f ca="1">IFERROR(__xludf.DUMMYFUNCTION("""COMPUTED_VALUE"""),"India")</f>
        <v>India</v>
      </c>
      <c r="C142" s="1">
        <f ca="1">IFERROR(__xludf.DUMMYFUNCTION("""COMPUTED_VALUE"""),786001)</f>
        <v>786001</v>
      </c>
      <c r="D142" s="1" t="str">
        <f ca="1">IFERROR(__xludf.DUMMYFUNCTION("""COMPUTED_VALUE"""),"Male")</f>
        <v>Male</v>
      </c>
      <c r="E142" s="1" t="str">
        <f ca="1">IFERROR(__xludf.DUMMYFUNCTION("""COMPUTED_VALUE"""),"My Parents")</f>
        <v>My Parents</v>
      </c>
      <c r="F142" s="1" t="str">
        <f ca="1">IFERROR(__xludf.DUMMYFUNCTION("""COMPUTED_VALUE"""),"Yes, I will earn and do that")</f>
        <v>Yes, I will earn and do that</v>
      </c>
      <c r="G142" s="1" t="str">
        <f ca="1">IFERROR(__xludf.DUMMYFUNCTION("""COMPUTED_VALUE"""),"This will be hard to do, but if it is the right company I would try")</f>
        <v>This will be hard to do, but if it is the right company I would try</v>
      </c>
      <c r="H142" s="1" t="str">
        <f ca="1">IFERROR(__xludf.DUMMYFUNCTION("""COMPUTED_VALUE"""),"No")</f>
        <v>No</v>
      </c>
      <c r="I142" s="1" t="str">
        <f ca="1">IFERROR(__xludf.DUMMYFUNCTION("""COMPUTED_VALUE"""),"Will NOT work for them")</f>
        <v>Will NOT work for them</v>
      </c>
      <c r="J142" s="1">
        <f ca="1">IFERROR(__xludf.DUMMYFUNCTION("""COMPUTED_VALUE"""),4)</f>
        <v>4</v>
      </c>
      <c r="K142" s="1" t="str">
        <f ca="1">IFERROR(__xludf.DUMMYFUNCTION("""COMPUTED_VALUE"""),"Every Day Office Environment")</f>
        <v>Every Day Office Environment</v>
      </c>
      <c r="L142" s="1" t="str">
        <f ca="1">IFERROR(__xludf.DUMMYFUNCTION("""COMPUTED_VALUE"""),"Employer who appreciates learning and enables that environment")</f>
        <v>Employer who appreciates learning and enables that environment</v>
      </c>
      <c r="M142" s="1" t="str">
        <f ca="1">IFERROR(__xludf.DUMMYFUNCTION("""COMPUTED_VALUE"""),"Instructor or Expert Learning Programs, Learning by observing others")</f>
        <v>Instructor or Expert Learning Programs, Learning by observing others</v>
      </c>
      <c r="N142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142" s="1" t="str">
        <f ca="1">IFERROR(__xludf.DUMMYFUNCTION("""COMPUTED_VALUE"""),"Manager who clearly describes what she/he needs")</f>
        <v>Manager who clearly describes what she/he needs</v>
      </c>
      <c r="P142" s="1" t="str">
        <f ca="1">IFERROR(__xludf.DUMMYFUNCTION("""COMPUTED_VALUE"""),"Work with 5 to 6 people in my team")</f>
        <v>Work with 5 to 6 people in my team</v>
      </c>
      <c r="Q142" s="1"/>
      <c r="R142" s="1"/>
      <c r="S142" s="1"/>
    </row>
    <row r="143" spans="1:19" ht="12.5" x14ac:dyDescent="0.25">
      <c r="A143" s="2">
        <f ca="1">IFERROR(__xludf.DUMMYFUNCTION("""COMPUTED_VALUE"""),44913.7640911342)</f>
        <v>44913.764091134202</v>
      </c>
      <c r="B143" s="1" t="str">
        <f ca="1">IFERROR(__xludf.DUMMYFUNCTION("""COMPUTED_VALUE"""),"India")</f>
        <v>India</v>
      </c>
      <c r="C143" s="1">
        <f ca="1">IFERROR(__xludf.DUMMYFUNCTION("""COMPUTED_VALUE"""),422010)</f>
        <v>422010</v>
      </c>
      <c r="D143" s="1" t="str">
        <f ca="1">IFERROR(__xludf.DUMMYFUNCTION("""COMPUTED_VALUE"""),"Female")</f>
        <v>Female</v>
      </c>
      <c r="E143" s="1" t="str">
        <f ca="1">IFERROR(__xludf.DUMMYFUNCTION("""COMPUTED_VALUE"""),"People who have changed the world for better")</f>
        <v>People who have changed the world for better</v>
      </c>
      <c r="F143" s="1" t="str">
        <f ca="1">IFERROR(__xludf.DUMMYFUNCTION("""COMPUTED_VALUE"""),"No I would not be pursuing Higher Education outside of India")</f>
        <v>No I would not be pursuing Higher Education outside of India</v>
      </c>
      <c r="G143" s="1" t="str">
        <f ca="1">IFERROR(__xludf.DUMMYFUNCTION("""COMPUTED_VALUE"""),"Will work for 3 years or more")</f>
        <v>Will work for 3 years or more</v>
      </c>
      <c r="H143" s="1" t="str">
        <f ca="1">IFERROR(__xludf.DUMMYFUNCTION("""COMPUTED_VALUE"""),"No")</f>
        <v>No</v>
      </c>
      <c r="I143" s="1" t="str">
        <f ca="1">IFERROR(__xludf.DUMMYFUNCTION("""COMPUTED_VALUE"""),"Will NOT work for them")</f>
        <v>Will NOT work for them</v>
      </c>
      <c r="J143" s="1">
        <f ca="1">IFERROR(__xludf.DUMMYFUNCTION("""COMPUTED_VALUE"""),2)</f>
        <v>2</v>
      </c>
      <c r="K143" s="1" t="str">
        <f ca="1">IFERROR(__xludf.DUMMYFUNCTION("""COMPUTED_VALUE"""),"Fully Remote with Options to travel as and when needed")</f>
        <v>Fully Remote with Options to travel as and when needed</v>
      </c>
      <c r="L143" s="1" t="str">
        <f ca="1">IFERROR(__xludf.DUMMYFUNCTION("""COMPUTED_VALUE"""),"Employer who rewards learning and enables that environment")</f>
        <v>Employer who rewards learning and enables that environment</v>
      </c>
      <c r="M143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43" s="1" t="str">
        <f ca="1">IFERROR(__xludf.DUMMYFUNCTION("""COMPUTED_VALUE"""),"Teaching in any of the institutes/online or Offline, Look deeply into Data and generate insights, Work as a freelancer and do my thing my way")</f>
        <v>Teaching in any of the institutes/online or Offline, Look deeply into Data and generate insights, Work as a freelancer and do my thing my way</v>
      </c>
      <c r="O143" s="1" t="str">
        <f ca="1">IFERROR(__xludf.DUMMYFUNCTION("""COMPUTED_VALUE"""),"Manager who explains what is expected, sets a goal and helps achieve it")</f>
        <v>Manager who explains what is expected, sets a goal and helps achieve it</v>
      </c>
      <c r="P143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43" s="1"/>
      <c r="R143" s="1"/>
      <c r="S143" s="1"/>
    </row>
    <row r="144" spans="1:19" ht="12.5" x14ac:dyDescent="0.25">
      <c r="A144" s="2">
        <f ca="1">IFERROR(__xludf.DUMMYFUNCTION("""COMPUTED_VALUE"""),44913.8593947685)</f>
        <v>44913.8593947685</v>
      </c>
      <c r="B144" s="1" t="str">
        <f ca="1">IFERROR(__xludf.DUMMYFUNCTION("""COMPUTED_VALUE"""),"India")</f>
        <v>India</v>
      </c>
      <c r="C144" s="1">
        <f ca="1">IFERROR(__xludf.DUMMYFUNCTION("""COMPUTED_VALUE"""),110044)</f>
        <v>110044</v>
      </c>
      <c r="D144" s="1" t="str">
        <f ca="1">IFERROR(__xludf.DUMMYFUNCTION("""COMPUTED_VALUE"""),"Male")</f>
        <v>Male</v>
      </c>
      <c r="E144" s="1" t="str">
        <f ca="1">IFERROR(__xludf.DUMMYFUNCTION("""COMPUTED_VALUE"""),"Influencers who had successful careers")</f>
        <v>Influencers who had successful careers</v>
      </c>
      <c r="F144" s="1" t="str">
        <f ca="1">IFERROR(__xludf.DUMMYFUNCTION("""COMPUTED_VALUE"""),"No, But if someone could bare the cost I will")</f>
        <v>No, But if someone could bare the cost I will</v>
      </c>
      <c r="G144" s="1" t="str">
        <f ca="1">IFERROR(__xludf.DUMMYFUNCTION("""COMPUTED_VALUE"""),"This will be hard to do, but if it is the right company I would try")</f>
        <v>This will be hard to do, but if it is the right company I would try</v>
      </c>
      <c r="H144" s="1" t="str">
        <f ca="1">IFERROR(__xludf.DUMMYFUNCTION("""COMPUTED_VALUE"""),"Yes")</f>
        <v>Yes</v>
      </c>
      <c r="I144" s="1" t="str">
        <f ca="1">IFERROR(__xludf.DUMMYFUNCTION("""COMPUTED_VALUE"""),"Will work for them")</f>
        <v>Will work for them</v>
      </c>
      <c r="J144" s="1">
        <f ca="1">IFERROR(__xludf.DUMMYFUNCTION("""COMPUTED_VALUE"""),7)</f>
        <v>7</v>
      </c>
      <c r="K144" s="1" t="str">
        <f ca="1">IFERROR(__xludf.DUMMYFUNCTION("""COMPUTED_VALUE"""),"Fully Remote with Options to travel as and when needed")</f>
        <v>Fully Remote with Options to travel as and when needed</v>
      </c>
      <c r="L144" s="1" t="str">
        <f ca="1">IFERROR(__xludf.DUMMYFUNCTION("""COMPUTED_VALUE"""),"Employer who rewards learning and enables that environment")</f>
        <v>Employer who rewards learning and enables that environment</v>
      </c>
      <c r="M144" s="1" t="str">
        <f ca="1">IFERROR(__xludf.DUMMYFUNCTION("""COMPUTED_VALUE"""),"Self Paced Learning Portals, Instructor or Expert Learning Programs")</f>
        <v>Self Paced Learning Portals, Instructor or Expert Learning Programs</v>
      </c>
      <c r="N144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14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44" s="1"/>
      <c r="R144" s="1"/>
      <c r="S144" s="1"/>
    </row>
    <row r="145" spans="1:19" ht="12.5" x14ac:dyDescent="0.25">
      <c r="A145" s="2">
        <f ca="1">IFERROR(__xludf.DUMMYFUNCTION("""COMPUTED_VALUE"""),44913.8735975462)</f>
        <v>44913.873597546197</v>
      </c>
      <c r="B145" s="1" t="str">
        <f ca="1">IFERROR(__xludf.DUMMYFUNCTION("""COMPUTED_VALUE"""),"India")</f>
        <v>India</v>
      </c>
      <c r="C145" s="1">
        <f ca="1">IFERROR(__xludf.DUMMYFUNCTION("""COMPUTED_VALUE"""),700156)</f>
        <v>700156</v>
      </c>
      <c r="D145" s="1" t="str">
        <f ca="1">IFERROR(__xludf.DUMMYFUNCTION("""COMPUTED_VALUE"""),"Male")</f>
        <v>Male</v>
      </c>
      <c r="E145" s="1" t="str">
        <f ca="1">IFERROR(__xludf.DUMMYFUNCTION("""COMPUTED_VALUE"""),"People from my circle, but not family members")</f>
        <v>People from my circle, but not family members</v>
      </c>
      <c r="F145" s="1" t="str">
        <f ca="1">IFERROR(__xludf.DUMMYFUNCTION("""COMPUTED_VALUE"""),"No I would not be pursuing Higher Education outside of India")</f>
        <v>No I would not be pursuing Higher Education outside of India</v>
      </c>
      <c r="G145" s="1" t="str">
        <f ca="1">IFERROR(__xludf.DUMMYFUNCTION("""COMPUTED_VALUE"""),"Will work for 3 years or more")</f>
        <v>Will work for 3 years or more</v>
      </c>
      <c r="H145" s="1" t="str">
        <f ca="1">IFERROR(__xludf.DUMMYFUNCTION("""COMPUTED_VALUE"""),"No")</f>
        <v>No</v>
      </c>
      <c r="I145" s="1" t="str">
        <f ca="1">IFERROR(__xludf.DUMMYFUNCTION("""COMPUTED_VALUE"""),"Will NOT work for them")</f>
        <v>Will NOT work for them</v>
      </c>
      <c r="J145" s="1">
        <f ca="1">IFERROR(__xludf.DUMMYFUNCTION("""COMPUTED_VALUE"""),7)</f>
        <v>7</v>
      </c>
      <c r="K145" s="1" t="str">
        <f ca="1">IFERROR(__xludf.DUMMYFUNCTION("""COMPUTED_VALUE"""),"Hybrid Working Environment with less than 3 days a month at office")</f>
        <v>Hybrid Working Environment with less than 3 days a month at office</v>
      </c>
      <c r="L1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5" s="1" t="str">
        <f ca="1">IFERROR(__xludf.DUMMYFUNCTION("""COMPUTED_VALUE"""),"Instructor or Expert Learning Programs, Learning by observing others")</f>
        <v>Instructor or Expert Learning Programs, Learning by observing others</v>
      </c>
      <c r="N145" s="1" t="str">
        <f ca="1">IFERROR(__xludf.DUMMYFUNCTION("""COMPUTED_VALUE"""),"Business Operations in any organization, Look deeply into Data and generate insights, Work in a BPO setup for some well known client")</f>
        <v>Business Operations in any organization, Look deeply into Data and generate insights, Work in a BPO setup for some well known client</v>
      </c>
      <c r="O14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5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45" s="1"/>
      <c r="R145" s="1"/>
      <c r="S145" s="1"/>
    </row>
    <row r="146" spans="1:19" ht="12.5" x14ac:dyDescent="0.25">
      <c r="A146" s="2">
        <f ca="1">IFERROR(__xludf.DUMMYFUNCTION("""COMPUTED_VALUE"""),44913.9041031713)</f>
        <v>44913.904103171299</v>
      </c>
      <c r="B146" s="1" t="str">
        <f ca="1">IFERROR(__xludf.DUMMYFUNCTION("""COMPUTED_VALUE"""),"India")</f>
        <v>India</v>
      </c>
      <c r="C146" s="1">
        <f ca="1">IFERROR(__xludf.DUMMYFUNCTION("""COMPUTED_VALUE"""),824003)</f>
        <v>824003</v>
      </c>
      <c r="D146" s="1" t="str">
        <f ca="1">IFERROR(__xludf.DUMMYFUNCTION("""COMPUTED_VALUE"""),"Male")</f>
        <v>Male</v>
      </c>
      <c r="E146" s="1" t="str">
        <f ca="1">IFERROR(__xludf.DUMMYFUNCTION("""COMPUTED_VALUE"""),"People from my circle, but not family members")</f>
        <v>People from my circle, but not family members</v>
      </c>
      <c r="F146" s="1" t="str">
        <f ca="1">IFERROR(__xludf.DUMMYFUNCTION("""COMPUTED_VALUE"""),"Yes, I will earn and do that")</f>
        <v>Yes, I will earn and do that</v>
      </c>
      <c r="G146" s="1" t="str">
        <f ca="1">IFERROR(__xludf.DUMMYFUNCTION("""COMPUTED_VALUE"""),"This will be hard to do, but if it is the right company I would try")</f>
        <v>This will be hard to do, but if it is the right company I would try</v>
      </c>
      <c r="H146" s="1" t="str">
        <f ca="1">IFERROR(__xludf.DUMMYFUNCTION("""COMPUTED_VALUE"""),"No")</f>
        <v>No</v>
      </c>
      <c r="I146" s="1" t="str">
        <f ca="1">IFERROR(__xludf.DUMMYFUNCTION("""COMPUTED_VALUE"""),"Will NOT work for them")</f>
        <v>Will NOT work for them</v>
      </c>
      <c r="J146" s="1">
        <f ca="1">IFERROR(__xludf.DUMMYFUNCTION("""COMPUTED_VALUE"""),9)</f>
        <v>9</v>
      </c>
      <c r="K146" s="1" t="str">
        <f ca="1">IFERROR(__xludf.DUMMYFUNCTION("""COMPUTED_VALUE"""),"Hybrid Working Environment with less than 3 days a month at office")</f>
        <v>Hybrid Working Environment with less than 3 days a month at office</v>
      </c>
      <c r="L146" s="1" t="str">
        <f ca="1">IFERROR(__xludf.DUMMYFUNCTION("""COMPUTED_VALUE"""),"Employer who appreciates learning and enables that environment")</f>
        <v>Employer who appreciates learning and enables that environment</v>
      </c>
      <c r="M146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46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146" s="1" t="str">
        <f ca="1">IFERROR(__xludf.DUMMYFUNCTION("""COMPUTED_VALUE"""),"Manager who sets goal and helps me achieve it")</f>
        <v>Manager who sets goal and helps me achieve it</v>
      </c>
      <c r="P146" s="1" t="str">
        <f ca="1">IFERROR(__xludf.DUMMYFUNCTION("""COMPUTED_VALUE"""),"Work with 2 to 3 people in my team")</f>
        <v>Work with 2 to 3 people in my team</v>
      </c>
      <c r="Q146" s="1"/>
      <c r="R146" s="1"/>
      <c r="S146" s="1"/>
    </row>
    <row r="147" spans="1:19" ht="12.5" x14ac:dyDescent="0.25">
      <c r="A147" s="2">
        <f ca="1">IFERROR(__xludf.DUMMYFUNCTION("""COMPUTED_VALUE"""),44914.0026249537)</f>
        <v>44914.002624953697</v>
      </c>
      <c r="B147" s="1" t="str">
        <f ca="1">IFERROR(__xludf.DUMMYFUNCTION("""COMPUTED_VALUE"""),"India")</f>
        <v>India</v>
      </c>
      <c r="C147" s="1">
        <f ca="1">IFERROR(__xludf.DUMMYFUNCTION("""COMPUTED_VALUE"""),410505)</f>
        <v>410505</v>
      </c>
      <c r="D147" s="1" t="str">
        <f ca="1">IFERROR(__xludf.DUMMYFUNCTION("""COMPUTED_VALUE"""),"Male")</f>
        <v>Male</v>
      </c>
      <c r="E147" s="1" t="str">
        <f ca="1">IFERROR(__xludf.DUMMYFUNCTION("""COMPUTED_VALUE"""),"Social Media like LinkedIn")</f>
        <v>Social Media like LinkedIn</v>
      </c>
      <c r="F147" s="1" t="str">
        <f ca="1">IFERROR(__xludf.DUMMYFUNCTION("""COMPUTED_VALUE"""),"Yes, I will earn and do that")</f>
        <v>Yes, I will earn and do that</v>
      </c>
      <c r="G147" s="1" t="str">
        <f ca="1">IFERROR(__xludf.DUMMYFUNCTION("""COMPUTED_VALUE"""),"Will work for 3 years or more")</f>
        <v>Will work for 3 years or more</v>
      </c>
      <c r="H147" s="1" t="str">
        <f ca="1">IFERROR(__xludf.DUMMYFUNCTION("""COMPUTED_VALUE"""),"Yes")</f>
        <v>Yes</v>
      </c>
      <c r="I147" s="1" t="str">
        <f ca="1">IFERROR(__xludf.DUMMYFUNCTION("""COMPUTED_VALUE"""),"Will work for them")</f>
        <v>Will work for them</v>
      </c>
      <c r="J147" s="1">
        <f ca="1">IFERROR(__xludf.DUMMYFUNCTION("""COMPUTED_VALUE"""),3)</f>
        <v>3</v>
      </c>
      <c r="K147" s="1" t="str">
        <f ca="1">IFERROR(__xludf.DUMMYFUNCTION("""COMPUTED_VALUE"""),"Hybrid Working Environment with less than 3 days a month at office")</f>
        <v>Hybrid Working Environment with less than 3 days a month at office</v>
      </c>
      <c r="L147" s="1" t="str">
        <f ca="1">IFERROR(__xludf.DUMMYFUNCTION("""COMPUTED_VALUE"""),"Employer who appreciates learning and enables that environment")</f>
        <v>Employer who appreciates learning and enables that environment</v>
      </c>
      <c r="M147" s="1" t="str">
        <f ca="1">IFERROR(__xludf.DUMMYFUNCTION("""COMPUTED_VALUE"""),"Self Paced Learning Portals, Learning by observing others")</f>
        <v>Self Paced Learning Portals, Learning by observing others</v>
      </c>
      <c r="N147" s="1" t="str">
        <f ca="1">IFERROR(__xludf.DUMMYFUNCTION("""COMPUTED_VALUE"""),"Design and Creative strategy in any company, Teaching in any of the institutes/online or Offline, Design and Develop amazing software")</f>
        <v>Design and Creative strategy in any company, Teaching in any of the institutes/online or Offline, Design and Develop amazing software</v>
      </c>
      <c r="O147" s="1" t="str">
        <f ca="1">IFERROR(__xludf.DUMMYFUNCTION("""COMPUTED_VALUE"""),"Manager who clearly describes what she/he needs")</f>
        <v>Manager who clearly describes what she/he needs</v>
      </c>
      <c r="P147" s="1" t="str">
        <f ca="1">IFERROR(__xludf.DUMMYFUNCTION("""COMPUTED_VALUE"""),"Work alone")</f>
        <v>Work alone</v>
      </c>
      <c r="Q147" s="1"/>
      <c r="R147" s="1"/>
      <c r="S147" s="1"/>
    </row>
    <row r="148" spans="1:19" ht="12.5" x14ac:dyDescent="0.25">
      <c r="A148" s="2">
        <f ca="1">IFERROR(__xludf.DUMMYFUNCTION("""COMPUTED_VALUE"""),44914.0155626851)</f>
        <v>44914.015562685097</v>
      </c>
      <c r="B148" s="1" t="str">
        <f ca="1">IFERROR(__xludf.DUMMYFUNCTION("""COMPUTED_VALUE"""),"India")</f>
        <v>India</v>
      </c>
      <c r="C148" s="1">
        <f ca="1">IFERROR(__xludf.DUMMYFUNCTION("""COMPUTED_VALUE"""),151110)</f>
        <v>151110</v>
      </c>
      <c r="D148" s="1" t="str">
        <f ca="1">IFERROR(__xludf.DUMMYFUNCTION("""COMPUTED_VALUE"""),"Female")</f>
        <v>Female</v>
      </c>
      <c r="E148" s="1" t="str">
        <f ca="1">IFERROR(__xludf.DUMMYFUNCTION("""COMPUTED_VALUE"""),"People who have changed the world for better")</f>
        <v>People who have changed the world for better</v>
      </c>
      <c r="F148" s="1" t="str">
        <f ca="1">IFERROR(__xludf.DUMMYFUNCTION("""COMPUTED_VALUE"""),"No I would not be pursuing Higher Education outside of India")</f>
        <v>No I would not be pursuing Higher Education outside of India</v>
      </c>
      <c r="G148" s="1" t="str">
        <f ca="1">IFERROR(__xludf.DUMMYFUNCTION("""COMPUTED_VALUE"""),"This will be hard to do, but if it is the right company I would try")</f>
        <v>This will be hard to do, but if it is the right company I would try</v>
      </c>
      <c r="H148" s="1" t="str">
        <f ca="1">IFERROR(__xludf.DUMMYFUNCTION("""COMPUTED_VALUE"""),"Yes")</f>
        <v>Yes</v>
      </c>
      <c r="I148" s="1" t="str">
        <f ca="1">IFERROR(__xludf.DUMMYFUNCTION("""COMPUTED_VALUE"""),"Will work for them")</f>
        <v>Will work for them</v>
      </c>
      <c r="J148" s="1">
        <f ca="1">IFERROR(__xludf.DUMMYFUNCTION("""COMPUTED_VALUE"""),10)</f>
        <v>10</v>
      </c>
      <c r="K148" s="1" t="str">
        <f ca="1">IFERROR(__xludf.DUMMYFUNCTION("""COMPUTED_VALUE"""),"Fully Remote with Options to travel as and when needed")</f>
        <v>Fully Remote with Options to travel as and when needed</v>
      </c>
      <c r="L1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8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48" s="1" t="str">
        <f ca="1">IFERROR(__xludf.DUMMYFUNCTION("""COMPUTED_VALUE"""),"Design and Creative strategy in any company, Manage and drive End-to-End Projects or Products, Work as a freelancer and do my thing my way")</f>
        <v>Design and Creative strategy in any company, Manage and drive End-to-End Projects or Products, Work as a freelancer and do my thing my way</v>
      </c>
      <c r="O14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" s="1" t="str">
        <f ca="1">IFERROR(__xludf.DUMMYFUNCTION("""COMPUTED_VALUE"""),"Work with 2 to 3 people in my team, Work with 5 to 6 people in my team")</f>
        <v>Work with 2 to 3 people in my team, Work with 5 to 6 people in my team</v>
      </c>
      <c r="Q148" s="1"/>
      <c r="R148" s="1"/>
      <c r="S148" s="1"/>
    </row>
    <row r="149" spans="1:19" ht="12.5" x14ac:dyDescent="0.25">
      <c r="A149" s="2">
        <f ca="1">IFERROR(__xludf.DUMMYFUNCTION("""COMPUTED_VALUE"""),44914.0158162615)</f>
        <v>44914.015816261497</v>
      </c>
      <c r="B149" s="1" t="str">
        <f ca="1">IFERROR(__xludf.DUMMYFUNCTION("""COMPUTED_VALUE"""),"India")</f>
        <v>India</v>
      </c>
      <c r="C149" s="1">
        <f ca="1">IFERROR(__xludf.DUMMYFUNCTION("""COMPUTED_VALUE"""),410206)</f>
        <v>410206</v>
      </c>
      <c r="D149" s="1" t="str">
        <f ca="1">IFERROR(__xludf.DUMMYFUNCTION("""COMPUTED_VALUE"""),"Male")</f>
        <v>Male</v>
      </c>
      <c r="E149" s="1" t="str">
        <f ca="1">IFERROR(__xludf.DUMMYFUNCTION("""COMPUTED_VALUE"""),"People from my circle, but not family members")</f>
        <v>People from my circle, but not family members</v>
      </c>
      <c r="F149" s="1" t="str">
        <f ca="1">IFERROR(__xludf.DUMMYFUNCTION("""COMPUTED_VALUE"""),"No, But if someone could bare the cost I will")</f>
        <v>No, But if someone could bare the cost I will</v>
      </c>
      <c r="G149" s="1" t="str">
        <f ca="1">IFERROR(__xludf.DUMMYFUNCTION("""COMPUTED_VALUE"""),"This will be hard to do, but if it is the right company I would try")</f>
        <v>This will be hard to do, but if it is the right company I would try</v>
      </c>
      <c r="H149" s="1" t="str">
        <f ca="1">IFERROR(__xludf.DUMMYFUNCTION("""COMPUTED_VALUE"""),"No")</f>
        <v>No</v>
      </c>
      <c r="I149" s="1" t="str">
        <f ca="1">IFERROR(__xludf.DUMMYFUNCTION("""COMPUTED_VALUE"""),"Will NOT work for them")</f>
        <v>Will NOT work for them</v>
      </c>
      <c r="J149" s="1">
        <f ca="1">IFERROR(__xludf.DUMMYFUNCTION("""COMPUTED_VALUE"""),7)</f>
        <v>7</v>
      </c>
      <c r="K149" s="1" t="str">
        <f ca="1">IFERROR(__xludf.DUMMYFUNCTION("""COMPUTED_VALUE"""),"Hybrid Working Environment with less than 15 days a month at office")</f>
        <v>Hybrid Working Environment with less than 15 days a month at office</v>
      </c>
      <c r="L1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49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149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" s="1" t="str">
        <f ca="1">IFERROR(__xludf.DUMMYFUNCTION("""COMPUTED_VALUE"""),"Work with 2 to 3 people in my team")</f>
        <v>Work with 2 to 3 people in my team</v>
      </c>
      <c r="Q149" s="1"/>
      <c r="R149" s="1"/>
      <c r="S149" s="1"/>
    </row>
    <row r="150" spans="1:19" ht="12.5" x14ac:dyDescent="0.25">
      <c r="A150" s="2">
        <f ca="1">IFERROR(__xludf.DUMMYFUNCTION("""COMPUTED_VALUE"""),44914.0296985185)</f>
        <v>44914.029698518498</v>
      </c>
      <c r="B150" s="1" t="str">
        <f ca="1">IFERROR(__xludf.DUMMYFUNCTION("""COMPUTED_VALUE"""),"India")</f>
        <v>India</v>
      </c>
      <c r="C150" s="1">
        <f ca="1">IFERROR(__xludf.DUMMYFUNCTION("""COMPUTED_VALUE"""),721445)</f>
        <v>721445</v>
      </c>
      <c r="D150" s="1" t="str">
        <f ca="1">IFERROR(__xludf.DUMMYFUNCTION("""COMPUTED_VALUE"""),"Male")</f>
        <v>Male</v>
      </c>
      <c r="E150" s="1" t="str">
        <f ca="1">IFERROR(__xludf.DUMMYFUNCTION("""COMPUTED_VALUE"""),"Influencers who had successful careers")</f>
        <v>Influencers who had successful careers</v>
      </c>
      <c r="F150" s="1" t="str">
        <f ca="1">IFERROR(__xludf.DUMMYFUNCTION("""COMPUTED_VALUE"""),"No, But if someone could bare the cost I will")</f>
        <v>No, But if someone could bare the cost I will</v>
      </c>
      <c r="G150" s="1" t="str">
        <f ca="1">IFERROR(__xludf.DUMMYFUNCTION("""COMPUTED_VALUE"""),"Will work for 3 years or more")</f>
        <v>Will work for 3 years or more</v>
      </c>
      <c r="H150" s="1" t="str">
        <f ca="1">IFERROR(__xludf.DUMMYFUNCTION("""COMPUTED_VALUE"""),"No")</f>
        <v>No</v>
      </c>
      <c r="I150" s="1" t="str">
        <f ca="1">IFERROR(__xludf.DUMMYFUNCTION("""COMPUTED_VALUE"""),"Will work for them")</f>
        <v>Will work for them</v>
      </c>
      <c r="J150" s="1">
        <f ca="1">IFERROR(__xludf.DUMMYFUNCTION("""COMPUTED_VALUE"""),7)</f>
        <v>7</v>
      </c>
      <c r="K150" s="1" t="str">
        <f ca="1">IFERROR(__xludf.DUMMYFUNCTION("""COMPUTED_VALUE"""),"Every Day Office Environment")</f>
        <v>Every Day Office Environment</v>
      </c>
      <c r="L150" s="1" t="str">
        <f ca="1">IFERROR(__xludf.DUMMYFUNCTION("""COMPUTED_VALUE"""),"Employer who appreciates learning and enables that environment")</f>
        <v>Employer who appreciates learning and enables that environment</v>
      </c>
      <c r="M150" s="1" t="str">
        <f ca="1">IFERROR(__xludf.DUMMYFUNCTION("""COMPUTED_VALUE"""),"Self Paced Learning Portals, Instructor or Expert Learning Programs")</f>
        <v>Self Paced Learning Portals, Instructor or Expert Learning Programs</v>
      </c>
      <c r="N150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150" s="1" t="str">
        <f ca="1">IFERROR(__xludf.DUMMYFUNCTION("""COMPUTED_VALUE"""),"Manager who clearly describes what she/he needs")</f>
        <v>Manager who clearly describes what she/he needs</v>
      </c>
      <c r="P150" s="1" t="str">
        <f ca="1">IFERROR(__xludf.DUMMYFUNCTION("""COMPUTED_VALUE"""),"Work with 2 to 3 people in my team")</f>
        <v>Work with 2 to 3 people in my team</v>
      </c>
      <c r="Q150" s="1"/>
      <c r="R150" s="1"/>
      <c r="S150" s="1"/>
    </row>
    <row r="151" spans="1:19" ht="12.5" x14ac:dyDescent="0.25">
      <c r="A151" s="2">
        <f ca="1">IFERROR(__xludf.DUMMYFUNCTION("""COMPUTED_VALUE"""),44914.3522707638)</f>
        <v>44914.352270763797</v>
      </c>
      <c r="B151" s="1" t="str">
        <f ca="1">IFERROR(__xludf.DUMMYFUNCTION("""COMPUTED_VALUE"""),"India")</f>
        <v>India</v>
      </c>
      <c r="C151" s="1">
        <f ca="1">IFERROR(__xludf.DUMMYFUNCTION("""COMPUTED_VALUE"""),251309)</f>
        <v>251309</v>
      </c>
      <c r="D151" s="1" t="str">
        <f ca="1">IFERROR(__xludf.DUMMYFUNCTION("""COMPUTED_VALUE"""),"Female")</f>
        <v>Female</v>
      </c>
      <c r="E151" s="1" t="str">
        <f ca="1">IFERROR(__xludf.DUMMYFUNCTION("""COMPUTED_VALUE"""),"Social Media like LinkedIn")</f>
        <v>Social Media like LinkedIn</v>
      </c>
      <c r="F151" s="1" t="str">
        <f ca="1">IFERROR(__xludf.DUMMYFUNCTION("""COMPUTED_VALUE"""),"Yes, I will earn and do that")</f>
        <v>Yes, I will earn and do that</v>
      </c>
      <c r="G151" s="1" t="str">
        <f ca="1">IFERROR(__xludf.DUMMYFUNCTION("""COMPUTED_VALUE"""),"This will be hard to do, but if it is the right company I would try")</f>
        <v>This will be hard to do, but if it is the right company I would try</v>
      </c>
      <c r="H151" s="1" t="str">
        <f ca="1">IFERROR(__xludf.DUMMYFUNCTION("""COMPUTED_VALUE"""),"No")</f>
        <v>No</v>
      </c>
      <c r="I151" s="1" t="str">
        <f ca="1">IFERROR(__xludf.DUMMYFUNCTION("""COMPUTED_VALUE"""),"Will NOT work for them")</f>
        <v>Will NOT work for them</v>
      </c>
      <c r="J151" s="1">
        <f ca="1">IFERROR(__xludf.DUMMYFUNCTION("""COMPUTED_VALUE"""),5)</f>
        <v>5</v>
      </c>
      <c r="K151" s="1" t="str">
        <f ca="1">IFERROR(__xludf.DUMMYFUNCTION("""COMPUTED_VALUE"""),"Fully Remote with Options to travel as and when needed")</f>
        <v>Fully Remote with Options to travel as and when needed</v>
      </c>
      <c r="L151" s="1" t="str">
        <f ca="1">IFERROR(__xludf.DUMMYFUNCTION("""COMPUTED_VALUE"""),"Employer who appreciates learning and enables that environment")</f>
        <v>Employer who appreciates learning and enables that environment</v>
      </c>
      <c r="M15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51" s="1" t="str">
        <f ca="1">IFERROR(__xludf.DUMMYFUNCTION("""COMPUTED_VALUE"""),"Teaching in any of the institutes/online or Offline, Build and develop a Team, Look deeply into Data and generate insights")</f>
        <v>Teaching in any of the institutes/online or Offline, Build and develop a Team, Look deeply into Data and generate insights</v>
      </c>
      <c r="O15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" s="1" t="str">
        <f ca="1">IFERROR(__xludf.DUMMYFUNCTION("""COMPUTED_VALUE"""),"Work with 2 to 3 people in my team, Work with 5 to 6 people in my team")</f>
        <v>Work with 2 to 3 people in my team, Work with 5 to 6 people in my team</v>
      </c>
      <c r="Q151" s="1"/>
      <c r="R151" s="1"/>
      <c r="S151" s="1"/>
    </row>
    <row r="152" spans="1:19" ht="12.5" x14ac:dyDescent="0.25">
      <c r="A152" s="2">
        <f ca="1">IFERROR(__xludf.DUMMYFUNCTION("""COMPUTED_VALUE"""),44914.4065719444)</f>
        <v>44914.406571944397</v>
      </c>
      <c r="B152" s="1" t="str">
        <f ca="1">IFERROR(__xludf.DUMMYFUNCTION("""COMPUTED_VALUE"""),"India")</f>
        <v>India</v>
      </c>
      <c r="C152" s="1">
        <f ca="1">IFERROR(__xludf.DUMMYFUNCTION("""COMPUTED_VALUE"""),713216)</f>
        <v>713216</v>
      </c>
      <c r="D152" s="1" t="str">
        <f ca="1">IFERROR(__xludf.DUMMYFUNCTION("""COMPUTED_VALUE"""),"Female")</f>
        <v>Female</v>
      </c>
      <c r="E152" s="1" t="str">
        <f ca="1">IFERROR(__xludf.DUMMYFUNCTION("""COMPUTED_VALUE"""),"My Parents")</f>
        <v>My Parents</v>
      </c>
      <c r="F152" s="1" t="str">
        <f ca="1">IFERROR(__xludf.DUMMYFUNCTION("""COMPUTED_VALUE"""),"No I would not be pursuing Higher Education outside of India")</f>
        <v>No I would not be pursuing Higher Education outside of India</v>
      </c>
      <c r="G152" s="1" t="str">
        <f ca="1">IFERROR(__xludf.DUMMYFUNCTION("""COMPUTED_VALUE"""),"Will work for 3 years or more")</f>
        <v>Will work for 3 years or more</v>
      </c>
      <c r="H152" s="1" t="str">
        <f ca="1">IFERROR(__xludf.DUMMYFUNCTION("""COMPUTED_VALUE"""),"No")</f>
        <v>No</v>
      </c>
      <c r="I152" s="1" t="str">
        <f ca="1">IFERROR(__xludf.DUMMYFUNCTION("""COMPUTED_VALUE"""),"Will NOT work for them")</f>
        <v>Will NOT work for them</v>
      </c>
      <c r="J152" s="1">
        <f ca="1">IFERROR(__xludf.DUMMYFUNCTION("""COMPUTED_VALUE"""),6)</f>
        <v>6</v>
      </c>
      <c r="K152" s="1" t="str">
        <f ca="1">IFERROR(__xludf.DUMMYFUNCTION("""COMPUTED_VALUE"""),"Fully Remote with Options to travel as and when needed")</f>
        <v>Fully Remote with Options to travel as and when needed</v>
      </c>
      <c r="L1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2" s="1" t="str">
        <f ca="1">IFERROR(__xludf.DUMMYFUNCTION("""COMPUTED_VALUE"""),"Self Paced Learning Portals, Instructor or Expert Learning Programs")</f>
        <v>Self Paced Learning Portals, Instructor or Expert Learning Programs</v>
      </c>
      <c r="N152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152" s="1" t="str">
        <f ca="1">IFERROR(__xludf.DUMMYFUNCTION("""COMPUTED_VALUE"""),"Manager who explains what is expected, sets a goal and helps achieve it")</f>
        <v>Manager who explains what is expected, sets a goal and helps achieve it</v>
      </c>
      <c r="P152" s="1" t="str">
        <f ca="1">IFERROR(__xludf.DUMMYFUNCTION("""COMPUTED_VALUE"""),"Work with 5 to 6 people in my team")</f>
        <v>Work with 5 to 6 people in my team</v>
      </c>
      <c r="Q152" s="1"/>
      <c r="R152" s="1"/>
      <c r="S152" s="1"/>
    </row>
    <row r="153" spans="1:19" ht="12.5" x14ac:dyDescent="0.25">
      <c r="A153" s="2">
        <f ca="1">IFERROR(__xludf.DUMMYFUNCTION("""COMPUTED_VALUE"""),44914.4230697106)</f>
        <v>44914.423069710603</v>
      </c>
      <c r="B153" s="1" t="str">
        <f ca="1">IFERROR(__xludf.DUMMYFUNCTION("""COMPUTED_VALUE"""),"India")</f>
        <v>India</v>
      </c>
      <c r="C153" s="1">
        <f ca="1">IFERROR(__xludf.DUMMYFUNCTION("""COMPUTED_VALUE"""),670102)</f>
        <v>670102</v>
      </c>
      <c r="D153" s="1" t="str">
        <f ca="1">IFERROR(__xludf.DUMMYFUNCTION("""COMPUTED_VALUE"""),"Male")</f>
        <v>Male</v>
      </c>
      <c r="E153" s="1" t="str">
        <f ca="1">IFERROR(__xludf.DUMMYFUNCTION("""COMPUTED_VALUE"""),"My Parents")</f>
        <v>My Parents</v>
      </c>
      <c r="F153" s="1" t="str">
        <f ca="1">IFERROR(__xludf.DUMMYFUNCTION("""COMPUTED_VALUE"""),"No I would not be pursuing Higher Education outside of India")</f>
        <v>No I would not be pursuing Higher Education outside of India</v>
      </c>
      <c r="G153" s="1" t="str">
        <f ca="1">IFERROR(__xludf.DUMMYFUNCTION("""COMPUTED_VALUE"""),"This will be hard to do, but if it is the right company I would try")</f>
        <v>This will be hard to do, but if it is the right company I would try</v>
      </c>
      <c r="H153" s="1" t="str">
        <f ca="1">IFERROR(__xludf.DUMMYFUNCTION("""COMPUTED_VALUE"""),"Yes")</f>
        <v>Yes</v>
      </c>
      <c r="I153" s="1" t="str">
        <f ca="1">IFERROR(__xludf.DUMMYFUNCTION("""COMPUTED_VALUE"""),"Will work for them")</f>
        <v>Will work for them</v>
      </c>
      <c r="J153" s="1">
        <f ca="1">IFERROR(__xludf.DUMMYFUNCTION("""COMPUTED_VALUE"""),2)</f>
        <v>2</v>
      </c>
      <c r="K153" s="1" t="str">
        <f ca="1">IFERROR(__xludf.DUMMYFUNCTION("""COMPUTED_VALUE"""),"Hybrid Working Environment with less than 15 days a month at office")</f>
        <v>Hybrid Working Environment with less than 15 days a month at office</v>
      </c>
      <c r="L1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" s="1" t="str">
        <f ca="1">IFERROR(__xludf.DUMMYFUNCTION("""COMPUTED_VALUE"""),"Instructor or Expert Learning Programs, Learning by observing others")</f>
        <v>Instructor or Expert Learning Programs, Learning by observing others</v>
      </c>
      <c r="N153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15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3" s="1" t="str">
        <f ca="1">IFERROR(__xludf.DUMMYFUNCTION("""COMPUTED_VALUE"""),"Work with 2 to 3 people in my team")</f>
        <v>Work with 2 to 3 people in my team</v>
      </c>
      <c r="Q153" s="1"/>
      <c r="R153" s="1"/>
      <c r="S153" s="1"/>
    </row>
    <row r="154" spans="1:19" ht="12.5" x14ac:dyDescent="0.25">
      <c r="A154" s="2">
        <f ca="1">IFERROR(__xludf.DUMMYFUNCTION("""COMPUTED_VALUE"""),44914.4232865277)</f>
        <v>44914.423286527701</v>
      </c>
      <c r="B154" s="1" t="str">
        <f ca="1">IFERROR(__xludf.DUMMYFUNCTION("""COMPUTED_VALUE"""),"India")</f>
        <v>India</v>
      </c>
      <c r="C154" s="1">
        <f ca="1">IFERROR(__xludf.DUMMYFUNCTION("""COMPUTED_VALUE"""),251309)</f>
        <v>251309</v>
      </c>
      <c r="D154" s="1" t="str">
        <f ca="1">IFERROR(__xludf.DUMMYFUNCTION("""COMPUTED_VALUE"""),"Female")</f>
        <v>Female</v>
      </c>
      <c r="E154" s="1" t="str">
        <f ca="1">IFERROR(__xludf.DUMMYFUNCTION("""COMPUTED_VALUE"""),"Social Media like LinkedIn")</f>
        <v>Social Media like LinkedIn</v>
      </c>
      <c r="F154" s="1" t="str">
        <f ca="1">IFERROR(__xludf.DUMMYFUNCTION("""COMPUTED_VALUE"""),"Yes, I will earn and do that")</f>
        <v>Yes, I will earn and do that</v>
      </c>
      <c r="G154" s="1" t="str">
        <f ca="1">IFERROR(__xludf.DUMMYFUNCTION("""COMPUTED_VALUE"""),"This will be hard to do, but if it is the right company I would try")</f>
        <v>This will be hard to do, but if it is the right company I would try</v>
      </c>
      <c r="H154" s="1" t="str">
        <f ca="1">IFERROR(__xludf.DUMMYFUNCTION("""COMPUTED_VALUE"""),"No")</f>
        <v>No</v>
      </c>
      <c r="I154" s="1" t="str">
        <f ca="1">IFERROR(__xludf.DUMMYFUNCTION("""COMPUTED_VALUE"""),"Will NOT work for them")</f>
        <v>Will NOT work for them</v>
      </c>
      <c r="J154" s="1">
        <f ca="1">IFERROR(__xludf.DUMMYFUNCTION("""COMPUTED_VALUE"""),5)</f>
        <v>5</v>
      </c>
      <c r="K154" s="1" t="str">
        <f ca="1">IFERROR(__xludf.DUMMYFUNCTION("""COMPUTED_VALUE"""),"Hybrid Working Environment with less than 3 days a month at office")</f>
        <v>Hybrid Working Environment with less than 3 days a month at office</v>
      </c>
      <c r="L154" s="1" t="str">
        <f ca="1">IFERROR(__xludf.DUMMYFUNCTION("""COMPUTED_VALUE"""),"Employer who appreciates learning and enables that environment")</f>
        <v>Employer who appreciates learning and enables that environment</v>
      </c>
      <c r="M154" s="1" t="str">
        <f ca="1">IFERROR(__xludf.DUMMYFUNCTION("""COMPUTED_VALUE"""),"Instructor or Expert Learning Programs, Learning by observing others")</f>
        <v>Instructor or Expert Learning Programs, Learning by observing others</v>
      </c>
      <c r="N154" s="1" t="str">
        <f ca="1">IFERROR(__xludf.DUMMYFUNCTION("""COMPUTED_VALUE"""),"Teaching in any of the institutes/online or Offline, Manage and drive End-to-End Projects or Products, Look deeply into Data and generate insights")</f>
        <v>Teaching in any of the institutes/online or Offline, Manage and drive End-to-End Projects or Products, Look deeply into Data and generate insights</v>
      </c>
      <c r="O154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154" s="1"/>
      <c r="R154" s="1"/>
      <c r="S154" s="1"/>
    </row>
    <row r="155" spans="1:19" ht="12.5" x14ac:dyDescent="0.25">
      <c r="A155" s="2">
        <f ca="1">IFERROR(__xludf.DUMMYFUNCTION("""COMPUTED_VALUE"""),44914.4602142245)</f>
        <v>44914.460214224498</v>
      </c>
      <c r="B155" s="1" t="str">
        <f ca="1">IFERROR(__xludf.DUMMYFUNCTION("""COMPUTED_VALUE"""),"India")</f>
        <v>India</v>
      </c>
      <c r="C155" s="1">
        <f ca="1">IFERROR(__xludf.DUMMYFUNCTION("""COMPUTED_VALUE"""),721302)</f>
        <v>721302</v>
      </c>
      <c r="D155" s="1" t="str">
        <f ca="1">IFERROR(__xludf.DUMMYFUNCTION("""COMPUTED_VALUE"""),"Male")</f>
        <v>Male</v>
      </c>
      <c r="E155" s="1" t="str">
        <f ca="1">IFERROR(__xludf.DUMMYFUNCTION("""COMPUTED_VALUE"""),"My Parents")</f>
        <v>My Parents</v>
      </c>
      <c r="F155" s="1" t="str">
        <f ca="1">IFERROR(__xludf.DUMMYFUNCTION("""COMPUTED_VALUE"""),"No, But if someone could bare the cost I will")</f>
        <v>No, But if someone could bare the cost I will</v>
      </c>
      <c r="G155" s="1" t="str">
        <f ca="1">IFERROR(__xludf.DUMMYFUNCTION("""COMPUTED_VALUE"""),"This will be hard to do, but if it is the right company I would try")</f>
        <v>This will be hard to do, but if it is the right company I would try</v>
      </c>
      <c r="H155" s="1" t="str">
        <f ca="1">IFERROR(__xludf.DUMMYFUNCTION("""COMPUTED_VALUE"""),"Yes")</f>
        <v>Yes</v>
      </c>
      <c r="I155" s="1" t="str">
        <f ca="1">IFERROR(__xludf.DUMMYFUNCTION("""COMPUTED_VALUE"""),"Will NOT work for them")</f>
        <v>Will NOT work for them</v>
      </c>
      <c r="J155" s="1">
        <f ca="1">IFERROR(__xludf.DUMMYFUNCTION("""COMPUTED_VALUE"""),3)</f>
        <v>3</v>
      </c>
      <c r="K155" s="1" t="str">
        <f ca="1">IFERROR(__xludf.DUMMYFUNCTION("""COMPUTED_VALUE"""),"Hybrid Working Environment with less than 10 days a month at office")</f>
        <v>Hybrid Working Environment with less than 10 days a month at office</v>
      </c>
      <c r="L1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5" s="1" t="str">
        <f ca="1">IFERROR(__xludf.DUMMYFUNCTION("""COMPUTED_VALUE"""),"Self Paced Learning Portals, Instructor or Expert Learning Programs")</f>
        <v>Self Paced Learning Portals, Instructor or Expert Learning Programs</v>
      </c>
      <c r="N155" s="1" t="str">
        <f ca="1">IFERROR(__xludf.DUMMYFUNCTION("""COMPUTED_VALUE"""),"Design and Creative strategy in any company, Teaching in any of the institutes/online or Offline, Look deeply into Data and generate insights")</f>
        <v>Design and Creative strategy in any company, Teaching in any of the institutes/online or Offline, Look deeply into Data and generate insights</v>
      </c>
      <c r="O155" s="1" t="str">
        <f ca="1">IFERROR(__xludf.DUMMYFUNCTION("""COMPUTED_VALUE"""),"Manager who explains what is expected, sets a goal and helps achieve it")</f>
        <v>Manager who explains what is expected, sets a goal and helps achieve it</v>
      </c>
      <c r="P155" s="1" t="str">
        <f ca="1">IFERROR(__xludf.DUMMYFUNCTION("""COMPUTED_VALUE"""),"Work with 2 to 3 people in my team")</f>
        <v>Work with 2 to 3 people in my team</v>
      </c>
      <c r="Q155" s="1"/>
      <c r="R155" s="1"/>
      <c r="S155" s="1"/>
    </row>
    <row r="156" spans="1:19" ht="12.5" x14ac:dyDescent="0.25">
      <c r="A156" s="2">
        <f ca="1">IFERROR(__xludf.DUMMYFUNCTION("""COMPUTED_VALUE"""),44914.510397037)</f>
        <v>44914.510397036996</v>
      </c>
      <c r="B156" s="1" t="str">
        <f ca="1">IFERROR(__xludf.DUMMYFUNCTION("""COMPUTED_VALUE"""),"India")</f>
        <v>India</v>
      </c>
      <c r="C156" s="1">
        <f ca="1">IFERROR(__xludf.DUMMYFUNCTION("""COMPUTED_VALUE"""),382421)</f>
        <v>382421</v>
      </c>
      <c r="D156" s="1" t="str">
        <f ca="1">IFERROR(__xludf.DUMMYFUNCTION("""COMPUTED_VALUE"""),"Female")</f>
        <v>Female</v>
      </c>
      <c r="E156" s="1" t="str">
        <f ca="1">IFERROR(__xludf.DUMMYFUNCTION("""COMPUTED_VALUE"""),"People who have changed the world for better")</f>
        <v>People who have changed the world for better</v>
      </c>
      <c r="F156" s="1" t="str">
        <f ca="1">IFERROR(__xludf.DUMMYFUNCTION("""COMPUTED_VALUE"""),"No I would not be pursuing Higher Education outside of India")</f>
        <v>No I would not be pursuing Higher Education outside of India</v>
      </c>
      <c r="G156" s="1" t="str">
        <f ca="1">IFERROR(__xludf.DUMMYFUNCTION("""COMPUTED_VALUE"""),"Will work for 3 years or more")</f>
        <v>Will work for 3 years or more</v>
      </c>
      <c r="H156" s="1" t="str">
        <f ca="1">IFERROR(__xludf.DUMMYFUNCTION("""COMPUTED_VALUE"""),"No")</f>
        <v>No</v>
      </c>
      <c r="I156" s="1" t="str">
        <f ca="1">IFERROR(__xludf.DUMMYFUNCTION("""COMPUTED_VALUE"""),"Will NOT work for them")</f>
        <v>Will NOT work for them</v>
      </c>
      <c r="J156" s="1">
        <f ca="1">IFERROR(__xludf.DUMMYFUNCTION("""COMPUTED_VALUE"""),1)</f>
        <v>1</v>
      </c>
      <c r="K156" s="1" t="str">
        <f ca="1">IFERROR(__xludf.DUMMYFUNCTION("""COMPUTED_VALUE"""),"Fully Remote with Options to travel as and when needed")</f>
        <v>Fully Remote with Options to travel as and when needed</v>
      </c>
      <c r="L1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6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56" s="1" t="str">
        <f ca="1">IFERROR(__xludf.DUMMYFUNCTION("""COMPUTED_VALUE"""),"Design and Creative strategy in any company, Teaching in any of the institutes/online or Offline, Become a content Creator in some platform")</f>
        <v>Design and Creative strategy in any company, Teaching in any of the institutes/online or Offline, Become a content Creator in some platform</v>
      </c>
      <c r="O156" s="1" t="str">
        <f ca="1">IFERROR(__xludf.DUMMYFUNCTION("""COMPUTED_VALUE"""),"Manager who clearly describes what she/he needs")</f>
        <v>Manager who clearly describes what she/he needs</v>
      </c>
      <c r="P156" s="1" t="str">
        <f ca="1">IFERROR(__xludf.DUMMYFUNCTION("""COMPUTED_VALUE"""),"Work alone, Work with more than 10 people in my team")</f>
        <v>Work alone, Work with more than 10 people in my team</v>
      </c>
      <c r="Q156" s="1"/>
      <c r="R156" s="1"/>
      <c r="S156" s="1"/>
    </row>
    <row r="157" spans="1:19" ht="12.5" x14ac:dyDescent="0.25">
      <c r="A157" s="2">
        <f ca="1">IFERROR(__xludf.DUMMYFUNCTION("""COMPUTED_VALUE"""),44914.5436196412)</f>
        <v>44914.543619641197</v>
      </c>
      <c r="B157" s="1" t="str">
        <f ca="1">IFERROR(__xludf.DUMMYFUNCTION("""COMPUTED_VALUE"""),"India")</f>
        <v>India</v>
      </c>
      <c r="C157" s="1">
        <f ca="1">IFERROR(__xludf.DUMMYFUNCTION("""COMPUTED_VALUE"""),600016)</f>
        <v>600016</v>
      </c>
      <c r="D157" s="1" t="str">
        <f ca="1">IFERROR(__xludf.DUMMYFUNCTION("""COMPUTED_VALUE"""),"Male")</f>
        <v>Male</v>
      </c>
      <c r="E157" s="1" t="str">
        <f ca="1">IFERROR(__xludf.DUMMYFUNCTION("""COMPUTED_VALUE"""),"Influencers who had successful careers")</f>
        <v>Influencers who had successful careers</v>
      </c>
      <c r="F157" s="1" t="str">
        <f ca="1">IFERROR(__xludf.DUMMYFUNCTION("""COMPUTED_VALUE"""),"No I would not be pursuing Higher Education outside of India")</f>
        <v>No I would not be pursuing Higher Education outside of India</v>
      </c>
      <c r="G157" s="1" t="str">
        <f ca="1">IFERROR(__xludf.DUMMYFUNCTION("""COMPUTED_VALUE"""),"Will work for 3 years or more")</f>
        <v>Will work for 3 years or more</v>
      </c>
      <c r="H157" s="1" t="str">
        <f ca="1">IFERROR(__xludf.DUMMYFUNCTION("""COMPUTED_VALUE"""),"Yes")</f>
        <v>Yes</v>
      </c>
      <c r="I157" s="1" t="str">
        <f ca="1">IFERROR(__xludf.DUMMYFUNCTION("""COMPUTED_VALUE"""),"Will work for them")</f>
        <v>Will work for them</v>
      </c>
      <c r="J157" s="1">
        <f ca="1">IFERROR(__xludf.DUMMYFUNCTION("""COMPUTED_VALUE"""),3)</f>
        <v>3</v>
      </c>
      <c r="K157" s="1" t="str">
        <f ca="1">IFERROR(__xludf.DUMMYFUNCTION("""COMPUTED_VALUE"""),"Hybrid Working Environment with less than 10 days a month at office")</f>
        <v>Hybrid Working Environment with less than 10 days a month at office</v>
      </c>
      <c r="L1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7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57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157" s="1" t="str">
        <f ca="1">IFERROR(__xludf.DUMMYFUNCTION("""COMPUTED_VALUE"""),"Manager who sets targets and expects me to achieve it")</f>
        <v>Manager who sets targets and expects me to achieve it</v>
      </c>
      <c r="P157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157" s="1"/>
      <c r="R157" s="1"/>
      <c r="S157" s="1"/>
    </row>
    <row r="158" spans="1:19" ht="12.5" x14ac:dyDescent="0.25">
      <c r="A158" s="2">
        <f ca="1">IFERROR(__xludf.DUMMYFUNCTION("""COMPUTED_VALUE"""),44914.559505081)</f>
        <v>44914.559505081001</v>
      </c>
      <c r="B158" s="1" t="str">
        <f ca="1">IFERROR(__xludf.DUMMYFUNCTION("""COMPUTED_VALUE"""),"India")</f>
        <v>India</v>
      </c>
      <c r="C158" s="1">
        <f ca="1">IFERROR(__xludf.DUMMYFUNCTION("""COMPUTED_VALUE"""),560037)</f>
        <v>560037</v>
      </c>
      <c r="D158" s="1" t="str">
        <f ca="1">IFERROR(__xludf.DUMMYFUNCTION("""COMPUTED_VALUE"""),"Male")</f>
        <v>Male</v>
      </c>
      <c r="E158" s="1" t="str">
        <f ca="1">IFERROR(__xludf.DUMMYFUNCTION("""COMPUTED_VALUE"""),"Influencers who had successful careers")</f>
        <v>Influencers who had successful careers</v>
      </c>
      <c r="F158" s="1" t="str">
        <f ca="1">IFERROR(__xludf.DUMMYFUNCTION("""COMPUTED_VALUE"""),"No, But if someone could bare the cost I will")</f>
        <v>No, But if someone could bare the cost I will</v>
      </c>
      <c r="G158" s="1" t="str">
        <f ca="1">IFERROR(__xludf.DUMMYFUNCTION("""COMPUTED_VALUE"""),"This will be hard to do, but if it is the right company I would try")</f>
        <v>This will be hard to do, but if it is the right company I would try</v>
      </c>
      <c r="H158" s="1" t="str">
        <f ca="1">IFERROR(__xludf.DUMMYFUNCTION("""COMPUTED_VALUE"""),"No")</f>
        <v>No</v>
      </c>
      <c r="I158" s="1" t="str">
        <f ca="1">IFERROR(__xludf.DUMMYFUNCTION("""COMPUTED_VALUE"""),"Will NOT work for them")</f>
        <v>Will NOT work for them</v>
      </c>
      <c r="J158" s="1">
        <f ca="1">IFERROR(__xludf.DUMMYFUNCTION("""COMPUTED_VALUE"""),5)</f>
        <v>5</v>
      </c>
      <c r="K158" s="1" t="str">
        <f ca="1">IFERROR(__xludf.DUMMYFUNCTION("""COMPUTED_VALUE"""),"Fully Remote with Options to travel as and when needed")</f>
        <v>Fully Remote with Options to travel as and when needed</v>
      </c>
      <c r="L1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8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58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158" s="1" t="str">
        <f ca="1">IFERROR(__xludf.DUMMYFUNCTION("""COMPUTED_VALUE"""),"Manager who explains what is expected, sets a goal and helps achieve it")</f>
        <v>Manager who explains what is expected, sets a goal and helps achieve it</v>
      </c>
      <c r="P158" s="1" t="str">
        <f ca="1">IFERROR(__xludf.DUMMYFUNCTION("""COMPUTED_VALUE"""),"Work with 2 to 3 people in my team")</f>
        <v>Work with 2 to 3 people in my team</v>
      </c>
      <c r="Q158" s="1"/>
      <c r="R158" s="1"/>
      <c r="S158" s="1"/>
    </row>
    <row r="159" spans="1:19" ht="12.5" x14ac:dyDescent="0.25">
      <c r="A159" s="2">
        <f ca="1">IFERROR(__xludf.DUMMYFUNCTION("""COMPUTED_VALUE"""),44914.6061718634)</f>
        <v>44914.606171863401</v>
      </c>
      <c r="B159" s="1" t="str">
        <f ca="1">IFERROR(__xludf.DUMMYFUNCTION("""COMPUTED_VALUE"""),"India")</f>
        <v>India</v>
      </c>
      <c r="C159" s="1">
        <f ca="1">IFERROR(__xludf.DUMMYFUNCTION("""COMPUTED_VALUE"""),122011)</f>
        <v>122011</v>
      </c>
      <c r="D159" s="1" t="str">
        <f ca="1">IFERROR(__xludf.DUMMYFUNCTION("""COMPUTED_VALUE"""),"Male")</f>
        <v>Male</v>
      </c>
      <c r="E159" s="1" t="str">
        <f ca="1">IFERROR(__xludf.DUMMYFUNCTION("""COMPUTED_VALUE"""),"Social Media like LinkedIn")</f>
        <v>Social Media like LinkedIn</v>
      </c>
      <c r="F159" s="1" t="str">
        <f ca="1">IFERROR(__xludf.DUMMYFUNCTION("""COMPUTED_VALUE"""),"No, But if someone could bare the cost I will")</f>
        <v>No, But if someone could bare the cost I will</v>
      </c>
      <c r="G159" s="1" t="str">
        <f ca="1">IFERROR(__xludf.DUMMYFUNCTION("""COMPUTED_VALUE"""),"This will be hard to do, but if it is the right company I would try")</f>
        <v>This will be hard to do, but if it is the right company I would try</v>
      </c>
      <c r="H159" s="1" t="str">
        <f ca="1">IFERROR(__xludf.DUMMYFUNCTION("""COMPUTED_VALUE"""),"No")</f>
        <v>No</v>
      </c>
      <c r="I159" s="1" t="str">
        <f ca="1">IFERROR(__xludf.DUMMYFUNCTION("""COMPUTED_VALUE"""),"Will NOT work for them")</f>
        <v>Will NOT work for them</v>
      </c>
      <c r="J159" s="1">
        <f ca="1">IFERROR(__xludf.DUMMYFUNCTION("""COMPUTED_VALUE"""),8)</f>
        <v>8</v>
      </c>
      <c r="K159" s="1" t="str">
        <f ca="1">IFERROR(__xludf.DUMMYFUNCTION("""COMPUTED_VALUE"""),"Every Day Office Environment")</f>
        <v>Every Day Office Environment</v>
      </c>
      <c r="L1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9" s="1" t="str">
        <f ca="1">IFERROR(__xludf.DUMMYFUNCTION("""COMPUTED_VALUE"""),"Instructor or Expert Learning Programs, Learning by observing others")</f>
        <v>Instructor or Expert Learning Programs, Learning by observing others</v>
      </c>
      <c r="N159" s="1" t="str">
        <f ca="1">IFERROR(__xludf.DUMMYFUNCTION("""COMPUTED_VALUE"""),"Design and Creative strategy in any company, Build and develop a Team, Look deeply into Data and generate insights")</f>
        <v>Design and Creative strategy in any company, Build and develop a Team, Look deeply into Data and generate insights</v>
      </c>
      <c r="O15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9" s="1" t="str">
        <f ca="1">IFERROR(__xludf.DUMMYFUNCTION("""COMPUTED_VALUE"""),"Work with 5 to 6 people in my team")</f>
        <v>Work with 5 to 6 people in my team</v>
      </c>
      <c r="Q159" s="1"/>
      <c r="R159" s="1"/>
      <c r="S159" s="1"/>
    </row>
    <row r="160" spans="1:19" ht="12.5" x14ac:dyDescent="0.25">
      <c r="A160" s="2">
        <f ca="1">IFERROR(__xludf.DUMMYFUNCTION("""COMPUTED_VALUE"""),44914.6994043287)</f>
        <v>44914.699404328698</v>
      </c>
      <c r="B160" s="1" t="str">
        <f ca="1">IFERROR(__xludf.DUMMYFUNCTION("""COMPUTED_VALUE"""),"India")</f>
        <v>India</v>
      </c>
      <c r="C160" s="1">
        <f ca="1">IFERROR(__xludf.DUMMYFUNCTION("""COMPUTED_VALUE"""),123106)</f>
        <v>123106</v>
      </c>
      <c r="D160" s="1" t="str">
        <f ca="1">IFERROR(__xludf.DUMMYFUNCTION("""COMPUTED_VALUE"""),"Female")</f>
        <v>Female</v>
      </c>
      <c r="E160" s="1" t="str">
        <f ca="1">IFERROR(__xludf.DUMMYFUNCTION("""COMPUTED_VALUE"""),"Influencers who had successful careers")</f>
        <v>Influencers who had successful careers</v>
      </c>
      <c r="F160" s="1" t="str">
        <f ca="1">IFERROR(__xludf.DUMMYFUNCTION("""COMPUTED_VALUE"""),"Yes, I will earn and do that")</f>
        <v>Yes, I will earn and do that</v>
      </c>
      <c r="G160" s="1" t="str">
        <f ca="1">IFERROR(__xludf.DUMMYFUNCTION("""COMPUTED_VALUE"""),"This will be hard to do, but if it is the right company I would try")</f>
        <v>This will be hard to do, but if it is the right company I would try</v>
      </c>
      <c r="H160" s="1" t="str">
        <f ca="1">IFERROR(__xludf.DUMMYFUNCTION("""COMPUTED_VALUE"""),"No")</f>
        <v>No</v>
      </c>
      <c r="I160" s="1" t="str">
        <f ca="1">IFERROR(__xludf.DUMMYFUNCTION("""COMPUTED_VALUE"""),"Will NOT work for them")</f>
        <v>Will NOT work for them</v>
      </c>
      <c r="J160" s="1">
        <f ca="1">IFERROR(__xludf.DUMMYFUNCTION("""COMPUTED_VALUE"""),7)</f>
        <v>7</v>
      </c>
      <c r="K160" s="1" t="str">
        <f ca="1">IFERROR(__xludf.DUMMYFUNCTION("""COMPUTED_VALUE"""),"Fully Remote with Options to travel as and when needed")</f>
        <v>Fully Remote with Options to travel as and when needed</v>
      </c>
      <c r="L160" s="1" t="str">
        <f ca="1">IFERROR(__xludf.DUMMYFUNCTION("""COMPUTED_VALUE"""),"Employer who appreciates learning and enables that environment")</f>
        <v>Employer who appreciates learning and enables that environment</v>
      </c>
      <c r="M160" s="1" t="str">
        <f ca="1">IFERROR(__xludf.DUMMYFUNCTION("""COMPUTED_VALUE"""),"Self Paced Learning Portals, Instructor or Expert Learning Programs")</f>
        <v>Self Paced Learning Portals, Instructor or Expert Learning Programs</v>
      </c>
      <c r="N160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160" s="1" t="str">
        <f ca="1">IFERROR(__xludf.DUMMYFUNCTION("""COMPUTED_VALUE"""),"Manager who explains what is expected, sets a goal and helps achieve it")</f>
        <v>Manager who explains what is expected, sets a goal and helps achieve it</v>
      </c>
      <c r="P160" s="1" t="str">
        <f ca="1">IFERROR(__xludf.DUMMYFUNCTION("""COMPUTED_VALUE"""),"Work with 5 to 6 people in my team")</f>
        <v>Work with 5 to 6 people in my team</v>
      </c>
      <c r="Q160" s="1"/>
      <c r="R160" s="1"/>
      <c r="S160" s="1"/>
    </row>
    <row r="161" spans="1:19" ht="12.5" x14ac:dyDescent="0.25">
      <c r="A161" s="2">
        <f ca="1">IFERROR(__xludf.DUMMYFUNCTION("""COMPUTED_VALUE"""),44914.7154116319)</f>
        <v>44914.7154116319</v>
      </c>
      <c r="B161" s="1" t="str">
        <f ca="1">IFERROR(__xludf.DUMMYFUNCTION("""COMPUTED_VALUE"""),"India")</f>
        <v>India</v>
      </c>
      <c r="C161" s="1">
        <f ca="1">IFERROR(__xludf.DUMMYFUNCTION("""COMPUTED_VALUE"""),121001)</f>
        <v>121001</v>
      </c>
      <c r="D161" s="1" t="str">
        <f ca="1">IFERROR(__xludf.DUMMYFUNCTION("""COMPUTED_VALUE"""),"Female")</f>
        <v>Female</v>
      </c>
      <c r="E161" s="1" t="str">
        <f ca="1">IFERROR(__xludf.DUMMYFUNCTION("""COMPUTED_VALUE"""),"My Parents")</f>
        <v>My Parents</v>
      </c>
      <c r="F161" s="1" t="str">
        <f ca="1">IFERROR(__xludf.DUMMYFUNCTION("""COMPUTED_VALUE"""),"Yes, I will earn and do that")</f>
        <v>Yes, I will earn and do that</v>
      </c>
      <c r="G161" s="1" t="str">
        <f ca="1">IFERROR(__xludf.DUMMYFUNCTION("""COMPUTED_VALUE"""),"Will work for 3 years or more")</f>
        <v>Will work for 3 years or more</v>
      </c>
      <c r="H161" s="1" t="str">
        <f ca="1">IFERROR(__xludf.DUMMYFUNCTION("""COMPUTED_VALUE"""),"No")</f>
        <v>No</v>
      </c>
      <c r="I161" s="1" t="str">
        <f ca="1">IFERROR(__xludf.DUMMYFUNCTION("""COMPUTED_VALUE"""),"Will NOT work for them")</f>
        <v>Will NOT work for them</v>
      </c>
      <c r="J161" s="1">
        <f ca="1">IFERROR(__xludf.DUMMYFUNCTION("""COMPUTED_VALUE"""),5)</f>
        <v>5</v>
      </c>
      <c r="K161" s="1" t="str">
        <f ca="1">IFERROR(__xludf.DUMMYFUNCTION("""COMPUTED_VALUE"""),"Hybrid Working Environment with less than 3 days a month at office")</f>
        <v>Hybrid Working Environment with less than 3 days a month at office</v>
      </c>
      <c r="L161" s="1" t="str">
        <f ca="1">IFERROR(__xludf.DUMMYFUNCTION("""COMPUTED_VALUE"""),"Employer who appreciates learning and enables that environment")</f>
        <v>Employer who appreciates learning and enables that environment</v>
      </c>
      <c r="M16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61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161" s="1" t="str">
        <f ca="1">IFERROR(__xludf.DUMMYFUNCTION("""COMPUTED_VALUE"""),"Manager who explains what is expected, sets a goal and helps achieve it")</f>
        <v>Manager who explains what is expected, sets a goal and helps achieve it</v>
      </c>
      <c r="P161" s="1" t="str">
        <f ca="1">IFERROR(__xludf.DUMMYFUNCTION("""COMPUTED_VALUE"""),"Work with 7 to 10 or more people in my team")</f>
        <v>Work with 7 to 10 or more people in my team</v>
      </c>
      <c r="Q161" s="1"/>
      <c r="R161" s="1"/>
      <c r="S161" s="1"/>
    </row>
    <row r="162" spans="1:19" ht="12.5" x14ac:dyDescent="0.25">
      <c r="A162" s="2">
        <f ca="1">IFERROR(__xludf.DUMMYFUNCTION("""COMPUTED_VALUE"""),44914.7398211805)</f>
        <v>44914.739821180498</v>
      </c>
      <c r="B162" s="1" t="str">
        <f ca="1">IFERROR(__xludf.DUMMYFUNCTION("""COMPUTED_VALUE"""),"India")</f>
        <v>India</v>
      </c>
      <c r="C162" s="1">
        <f ca="1">IFERROR(__xludf.DUMMYFUNCTION("""COMPUTED_VALUE"""),363310)</f>
        <v>363310</v>
      </c>
      <c r="D162" s="1" t="str">
        <f ca="1">IFERROR(__xludf.DUMMYFUNCTION("""COMPUTED_VALUE"""),"Male")</f>
        <v>Male</v>
      </c>
      <c r="E162" s="1" t="str">
        <f ca="1">IFERROR(__xludf.DUMMYFUNCTION("""COMPUTED_VALUE"""),"People who have changed the world for better")</f>
        <v>People who have changed the world for better</v>
      </c>
      <c r="F162" s="1" t="str">
        <f ca="1">IFERROR(__xludf.DUMMYFUNCTION("""COMPUTED_VALUE"""),"No I would not be pursuing Higher Education outside of India")</f>
        <v>No I would not be pursuing Higher Education outside of India</v>
      </c>
      <c r="G162" s="1" t="str">
        <f ca="1">IFERROR(__xludf.DUMMYFUNCTION("""COMPUTED_VALUE"""),"This will be hard to do, but if it is the right company I would try")</f>
        <v>This will be hard to do, but if it is the right company I would try</v>
      </c>
      <c r="H162" s="1" t="str">
        <f ca="1">IFERROR(__xludf.DUMMYFUNCTION("""COMPUTED_VALUE"""),"No")</f>
        <v>No</v>
      </c>
      <c r="I162" s="1" t="str">
        <f ca="1">IFERROR(__xludf.DUMMYFUNCTION("""COMPUTED_VALUE"""),"Will NOT work for them")</f>
        <v>Will NOT work for them</v>
      </c>
      <c r="J162" s="1">
        <f ca="1">IFERROR(__xludf.DUMMYFUNCTION("""COMPUTED_VALUE"""),9)</f>
        <v>9</v>
      </c>
      <c r="K162" s="1" t="str">
        <f ca="1">IFERROR(__xludf.DUMMYFUNCTION("""COMPUTED_VALUE"""),"Hybrid Working Environment with less than 15 days a month at office")</f>
        <v>Hybrid Working Environment with less than 15 days a month at office</v>
      </c>
      <c r="L162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62" s="1" t="str">
        <f ca="1">IFERROR(__xludf.DUMMYFUNCTION("""COMPUTED_VALUE"""),"Self Paced Learning Portals, Learning by observing others")</f>
        <v>Self Paced Learning Portals, Learning by observing others</v>
      </c>
      <c r="N162" s="1" t="str">
        <f ca="1">IFERROR(__xludf.DUMMYFUNCTION("""COMPUTED_VALUE"""),"Design and Creative strategy in any company, Teaching in any of the institutes/online or Offline, Build and develop a Team")</f>
        <v>Design and Creative strategy in any company, Teaching in any of the institutes/online or Offline, Build and develop a Team</v>
      </c>
      <c r="O162" s="1" t="str">
        <f ca="1">IFERROR(__xludf.DUMMYFUNCTION("""COMPUTED_VALUE"""),"Manager who explains what is expected, sets a goal and helps achieve it")</f>
        <v>Manager who explains what is expected, sets a goal and helps achieve it</v>
      </c>
      <c r="P162" s="1" t="str">
        <f ca="1">IFERROR(__xludf.DUMMYFUNCTION("""COMPUTED_VALUE"""),"Work with 5 to 6 people in my team")</f>
        <v>Work with 5 to 6 people in my team</v>
      </c>
      <c r="Q162" s="1"/>
      <c r="R162" s="1"/>
      <c r="S162" s="1"/>
    </row>
    <row r="163" spans="1:19" ht="12.5" x14ac:dyDescent="0.25">
      <c r="A163" s="2">
        <f ca="1">IFERROR(__xludf.DUMMYFUNCTION("""COMPUTED_VALUE"""),44914.8156590856)</f>
        <v>44914.815659085602</v>
      </c>
      <c r="B163" s="1" t="str">
        <f ca="1">IFERROR(__xludf.DUMMYFUNCTION("""COMPUTED_VALUE"""),"India")</f>
        <v>India</v>
      </c>
      <c r="C163" s="1">
        <f ca="1">IFERROR(__xludf.DUMMYFUNCTION("""COMPUTED_VALUE"""),382010)</f>
        <v>382010</v>
      </c>
      <c r="D163" s="1" t="str">
        <f ca="1">IFERROR(__xludf.DUMMYFUNCTION("""COMPUTED_VALUE"""),"Female")</f>
        <v>Female</v>
      </c>
      <c r="E163" s="1" t="str">
        <f ca="1">IFERROR(__xludf.DUMMYFUNCTION("""COMPUTED_VALUE"""),"People who have changed the world for better")</f>
        <v>People who have changed the world for better</v>
      </c>
      <c r="F163" s="1" t="str">
        <f ca="1">IFERROR(__xludf.DUMMYFUNCTION("""COMPUTED_VALUE"""),"Yes, I will earn and do that")</f>
        <v>Yes, I will earn and do that</v>
      </c>
      <c r="G163" s="1" t="str">
        <f ca="1">IFERROR(__xludf.DUMMYFUNCTION("""COMPUTED_VALUE"""),"This will be hard to do, but if it is the right company I would try")</f>
        <v>This will be hard to do, but if it is the right company I would try</v>
      </c>
      <c r="H163" s="1" t="str">
        <f ca="1">IFERROR(__xludf.DUMMYFUNCTION("""COMPUTED_VALUE"""),"No")</f>
        <v>No</v>
      </c>
      <c r="I163" s="1" t="str">
        <f ca="1">IFERROR(__xludf.DUMMYFUNCTION("""COMPUTED_VALUE"""),"Will NOT work for them")</f>
        <v>Will NOT work for them</v>
      </c>
      <c r="J163" s="1">
        <f ca="1">IFERROR(__xludf.DUMMYFUNCTION("""COMPUTED_VALUE"""),8)</f>
        <v>8</v>
      </c>
      <c r="K163" s="1" t="str">
        <f ca="1">IFERROR(__xludf.DUMMYFUNCTION("""COMPUTED_VALUE"""),"Fully Remote with Options to travel as and when needed")</f>
        <v>Fully Remote with Options to travel as and when needed</v>
      </c>
      <c r="L163" s="1" t="str">
        <f ca="1">IFERROR(__xludf.DUMMYFUNCTION("""COMPUTED_VALUE"""),"Employer who rewards learning and enables that environment")</f>
        <v>Employer who rewards learning and enables that environment</v>
      </c>
      <c r="M163" s="1" t="str">
        <f ca="1">IFERROR(__xludf.DUMMYFUNCTION("""COMPUTED_VALUE"""),"Self Paced Learning Portals, Instructor or Expert Learning Programs")</f>
        <v>Self Paced Learning Portals, Instructor or Expert Learning Programs</v>
      </c>
      <c r="N163" s="1" t="str">
        <f ca="1">IFERROR(__xludf.DUMMYFUNCTION("""COMPUTED_VALUE"""),"Teaching in any of the institutes/online or Offline, Build and develop a Team, Become a content Creator in some platform")</f>
        <v>Teaching in any of the institutes/online or Offline, Build and develop a Team, Become a content Creator in some platform</v>
      </c>
      <c r="O163" s="1" t="str">
        <f ca="1">IFERROR(__xludf.DUMMYFUNCTION("""COMPUTED_VALUE"""),"Manager who sets targets and expects me to achieve it")</f>
        <v>Manager who sets targets and expects me to achieve it</v>
      </c>
      <c r="P163" s="1" t="str">
        <f ca="1">IFERROR(__xludf.DUMMYFUNCTION("""COMPUTED_VALUE"""),"Work with 2 to 3 people in my team")</f>
        <v>Work with 2 to 3 people in my team</v>
      </c>
      <c r="Q163" s="1"/>
      <c r="R163" s="1"/>
      <c r="S163" s="1"/>
    </row>
    <row r="164" spans="1:19" ht="12.5" x14ac:dyDescent="0.25">
      <c r="A164" s="2">
        <f ca="1">IFERROR(__xludf.DUMMYFUNCTION("""COMPUTED_VALUE"""),44914.8177716319)</f>
        <v>44914.817771631897</v>
      </c>
      <c r="B164" s="1" t="str">
        <f ca="1">IFERROR(__xludf.DUMMYFUNCTION("""COMPUTED_VALUE"""),"India")</f>
        <v>India</v>
      </c>
      <c r="C164" s="1">
        <f ca="1">IFERROR(__xludf.DUMMYFUNCTION("""COMPUTED_VALUE"""),394210)</f>
        <v>394210</v>
      </c>
      <c r="D164" s="1" t="str">
        <f ca="1">IFERROR(__xludf.DUMMYFUNCTION("""COMPUTED_VALUE"""),"Male")</f>
        <v>Male</v>
      </c>
      <c r="E164" s="1" t="str">
        <f ca="1">IFERROR(__xludf.DUMMYFUNCTION("""COMPUTED_VALUE"""),"My Parents")</f>
        <v>My Parents</v>
      </c>
      <c r="F164" s="1" t="str">
        <f ca="1">IFERROR(__xludf.DUMMYFUNCTION("""COMPUTED_VALUE"""),"No I would not be pursuing Higher Education outside of India")</f>
        <v>No I would not be pursuing Higher Education outside of India</v>
      </c>
      <c r="G164" s="1" t="str">
        <f ca="1">IFERROR(__xludf.DUMMYFUNCTION("""COMPUTED_VALUE"""),"No way, 3 years with one employer is crazy")</f>
        <v>No way, 3 years with one employer is crazy</v>
      </c>
      <c r="H164" s="1" t="str">
        <f ca="1">IFERROR(__xludf.DUMMYFUNCTION("""COMPUTED_VALUE"""),"No")</f>
        <v>No</v>
      </c>
      <c r="I164" s="1" t="str">
        <f ca="1">IFERROR(__xludf.DUMMYFUNCTION("""COMPUTED_VALUE"""),"Will NOT work for them")</f>
        <v>Will NOT work for them</v>
      </c>
      <c r="J164" s="1">
        <f ca="1">IFERROR(__xludf.DUMMYFUNCTION("""COMPUTED_VALUE"""),6)</f>
        <v>6</v>
      </c>
      <c r="K164" s="1" t="str">
        <f ca="1">IFERROR(__xludf.DUMMYFUNCTION("""COMPUTED_VALUE"""),"Hybrid Working Environment with less than 3 days a month at office")</f>
        <v>Hybrid Working Environment with less than 3 days a month at office</v>
      </c>
      <c r="L1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4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64" s="1" t="str">
        <f ca="1">IFERROR(__xludf.DUMMYFUNCTION("""COMPUTED_VALUE"""),"Look deeply into Data and generate insights, Work as a freelancer and do my thing my way, Become a content Creator in some platform")</f>
        <v>Look deeply into Data and generate insights, Work as a freelancer and do my thing my way, Become a content Creator in some platform</v>
      </c>
      <c r="O164" s="1" t="str">
        <f ca="1">IFERROR(__xludf.DUMMYFUNCTION("""COMPUTED_VALUE"""),"Manager who sets goal and helps me achieve it")</f>
        <v>Manager who sets goal and helps me achieve it</v>
      </c>
      <c r="P164" s="1" t="str">
        <f ca="1">IFERROR(__xludf.DUMMYFUNCTION("""COMPUTED_VALUE"""),"Work with 2 to 3 people in my team")</f>
        <v>Work with 2 to 3 people in my team</v>
      </c>
      <c r="Q164" s="1"/>
      <c r="R164" s="1"/>
      <c r="S164" s="1"/>
    </row>
    <row r="165" spans="1:19" ht="12.5" x14ac:dyDescent="0.25">
      <c r="A165" s="2">
        <f ca="1">IFERROR(__xludf.DUMMYFUNCTION("""COMPUTED_VALUE"""),44914.8510455787)</f>
        <v>44914.851045578704</v>
      </c>
      <c r="B165" s="1" t="str">
        <f ca="1">IFERROR(__xludf.DUMMYFUNCTION("""COMPUTED_VALUE"""),"India")</f>
        <v>India</v>
      </c>
      <c r="C165" s="1">
        <f ca="1">IFERROR(__xludf.DUMMYFUNCTION("""COMPUTED_VALUE"""),382024)</f>
        <v>382024</v>
      </c>
      <c r="D165" s="1" t="str">
        <f ca="1">IFERROR(__xludf.DUMMYFUNCTION("""COMPUTED_VALUE"""),"Male")</f>
        <v>Male</v>
      </c>
      <c r="E165" s="1" t="str">
        <f ca="1">IFERROR(__xludf.DUMMYFUNCTION("""COMPUTED_VALUE"""),"My Parents")</f>
        <v>My Parents</v>
      </c>
      <c r="F165" s="1" t="str">
        <f ca="1">IFERROR(__xludf.DUMMYFUNCTION("""COMPUTED_VALUE"""),"Yes, I will earn and do that")</f>
        <v>Yes, I will earn and do that</v>
      </c>
      <c r="G165" s="1" t="str">
        <f ca="1">IFERROR(__xludf.DUMMYFUNCTION("""COMPUTED_VALUE"""),"This will be hard to do, but if it is the right company I would try")</f>
        <v>This will be hard to do, but if it is the right company I would try</v>
      </c>
      <c r="H165" s="1" t="str">
        <f ca="1">IFERROR(__xludf.DUMMYFUNCTION("""COMPUTED_VALUE"""),"No")</f>
        <v>No</v>
      </c>
      <c r="I165" s="1" t="str">
        <f ca="1">IFERROR(__xludf.DUMMYFUNCTION("""COMPUTED_VALUE"""),"Will work for them")</f>
        <v>Will work for them</v>
      </c>
      <c r="J165" s="1">
        <f ca="1">IFERROR(__xludf.DUMMYFUNCTION("""COMPUTED_VALUE"""),4)</f>
        <v>4</v>
      </c>
      <c r="K165" s="1" t="str">
        <f ca="1">IFERROR(__xludf.DUMMYFUNCTION("""COMPUTED_VALUE"""),"Every Day Office Environment")</f>
        <v>Every Day Office Environment</v>
      </c>
      <c r="L165" s="1" t="str">
        <f ca="1">IFERROR(__xludf.DUMMYFUNCTION("""COMPUTED_VALUE"""),"Employer who appreciates learning and enables that environment")</f>
        <v>Employer who appreciates learning and enables that environment</v>
      </c>
      <c r="M165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65" s="1" t="str">
        <f ca="1">IFERROR(__xludf.DUMMYFUNCTION("""COMPUTED_VALUE"""),"Teaching in any of the institutes/online or Offline, Build and develop a Team, Design and Develop amazing software")</f>
        <v>Teaching in any of the institutes/online or Offline, Build and develop a Team, Design and Develop amazing software</v>
      </c>
      <c r="O165" s="1" t="str">
        <f ca="1">IFERROR(__xludf.DUMMYFUNCTION("""COMPUTED_VALUE"""),"Manager who clearly describes what she/he needs")</f>
        <v>Manager who clearly describes what she/he needs</v>
      </c>
      <c r="P165" s="1" t="str">
        <f ca="1">IFERROR(__xludf.DUMMYFUNCTION("""COMPUTED_VALUE"""),"Work with 5 to 6 people in my team")</f>
        <v>Work with 5 to 6 people in my team</v>
      </c>
      <c r="Q165" s="1"/>
      <c r="R165" s="1"/>
      <c r="S165" s="1"/>
    </row>
    <row r="166" spans="1:19" ht="12.5" x14ac:dyDescent="0.25">
      <c r="A166" s="2">
        <f ca="1">IFERROR(__xludf.DUMMYFUNCTION("""COMPUTED_VALUE"""),44914.8974539467)</f>
        <v>44914.897453946702</v>
      </c>
      <c r="B166" s="1" t="str">
        <f ca="1">IFERROR(__xludf.DUMMYFUNCTION("""COMPUTED_VALUE"""),"India")</f>
        <v>India</v>
      </c>
      <c r="C166" s="1">
        <f ca="1">IFERROR(__xludf.DUMMYFUNCTION("""COMPUTED_VALUE"""),721101)</f>
        <v>721101</v>
      </c>
      <c r="D166" s="1" t="str">
        <f ca="1">IFERROR(__xludf.DUMMYFUNCTION("""COMPUTED_VALUE"""),"Male")</f>
        <v>Male</v>
      </c>
      <c r="E166" s="1" t="str">
        <f ca="1">IFERROR(__xludf.DUMMYFUNCTION("""COMPUTED_VALUE"""),"People from my circle, but not family members")</f>
        <v>People from my circle, but not family members</v>
      </c>
      <c r="F166" s="1" t="str">
        <f ca="1">IFERROR(__xludf.DUMMYFUNCTION("""COMPUTED_VALUE"""),"No, But if someone could bare the cost I will")</f>
        <v>No, But if someone could bare the cost I will</v>
      </c>
      <c r="G166" s="1" t="str">
        <f ca="1">IFERROR(__xludf.DUMMYFUNCTION("""COMPUTED_VALUE"""),"No way, 3 years with one employer is crazy")</f>
        <v>No way, 3 years with one employer is crazy</v>
      </c>
      <c r="H166" s="1" t="str">
        <f ca="1">IFERROR(__xludf.DUMMYFUNCTION("""COMPUTED_VALUE"""),"No")</f>
        <v>No</v>
      </c>
      <c r="I166" s="1" t="str">
        <f ca="1">IFERROR(__xludf.DUMMYFUNCTION("""COMPUTED_VALUE"""),"Will NOT work for them")</f>
        <v>Will NOT work for them</v>
      </c>
      <c r="J166" s="1">
        <f ca="1">IFERROR(__xludf.DUMMYFUNCTION("""COMPUTED_VALUE"""),9)</f>
        <v>9</v>
      </c>
      <c r="K166" s="1" t="str">
        <f ca="1">IFERROR(__xludf.DUMMYFUNCTION("""COMPUTED_VALUE"""),"Hybrid Working Environment with less than 15 days a month at office")</f>
        <v>Hybrid Working Environment with less than 15 days a month at office</v>
      </c>
      <c r="L166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66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66" s="1" t="str">
        <f ca="1">IFERROR(__xludf.DUMMYFUNCTION("""COMPUTED_VALUE"""),"Design and Develop amazing software, Look deeply into Data and generate insights, Become a content Creator in some platform")</f>
        <v>Design and Develop amazing software, Look deeply into Data and generate insights, Become a content Creator in some platform</v>
      </c>
      <c r="O166" s="1" t="str">
        <f ca="1">IFERROR(__xludf.DUMMYFUNCTION("""COMPUTED_VALUE"""),"Manager who clearly describes what she/he needs")</f>
        <v>Manager who clearly describes what she/he needs</v>
      </c>
      <c r="P166" s="1" t="str">
        <f ca="1">IFERROR(__xludf.DUMMYFUNCTION("""COMPUTED_VALUE"""),"Work with more than 10 people in my team")</f>
        <v>Work with more than 10 people in my team</v>
      </c>
      <c r="Q166" s="1"/>
      <c r="R166" s="1"/>
      <c r="S166" s="1"/>
    </row>
    <row r="167" spans="1:19" ht="12.5" x14ac:dyDescent="0.25">
      <c r="A167" s="2">
        <f ca="1">IFERROR(__xludf.DUMMYFUNCTION("""COMPUTED_VALUE"""),44914.925777037)</f>
        <v>44914.925777037002</v>
      </c>
      <c r="B167" s="1" t="str">
        <f ca="1">IFERROR(__xludf.DUMMYFUNCTION("""COMPUTED_VALUE"""),"India")</f>
        <v>India</v>
      </c>
      <c r="C167" s="1">
        <f ca="1">IFERROR(__xludf.DUMMYFUNCTION("""COMPUTED_VALUE"""),503175)</f>
        <v>503175</v>
      </c>
      <c r="D167" s="1" t="str">
        <f ca="1">IFERROR(__xludf.DUMMYFUNCTION("""COMPUTED_VALUE"""),"Male")</f>
        <v>Male</v>
      </c>
      <c r="E167" s="1" t="str">
        <f ca="1">IFERROR(__xludf.DUMMYFUNCTION("""COMPUTED_VALUE"""),"My Parents")</f>
        <v>My Parents</v>
      </c>
      <c r="F167" s="1" t="str">
        <f ca="1">IFERROR(__xludf.DUMMYFUNCTION("""COMPUTED_VALUE"""),"Yes, I will earn and do that")</f>
        <v>Yes, I will earn and do that</v>
      </c>
      <c r="G167" s="1" t="str">
        <f ca="1">IFERROR(__xludf.DUMMYFUNCTION("""COMPUTED_VALUE"""),"Will work for 3 years or more")</f>
        <v>Will work for 3 years or more</v>
      </c>
      <c r="H167" s="1" t="str">
        <f ca="1">IFERROR(__xludf.DUMMYFUNCTION("""COMPUTED_VALUE"""),"No")</f>
        <v>No</v>
      </c>
      <c r="I167" s="1" t="str">
        <f ca="1">IFERROR(__xludf.DUMMYFUNCTION("""COMPUTED_VALUE"""),"Will NOT work for them")</f>
        <v>Will NOT work for them</v>
      </c>
      <c r="J167" s="1">
        <f ca="1">IFERROR(__xludf.DUMMYFUNCTION("""COMPUTED_VALUE"""),5)</f>
        <v>5</v>
      </c>
      <c r="K167" s="1" t="str">
        <f ca="1">IFERROR(__xludf.DUMMYFUNCTION("""COMPUTED_VALUE"""),"Fully Remote with No option to visit offices")</f>
        <v>Fully Remote with No option to visit offices</v>
      </c>
      <c r="L167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67" s="1" t="str">
        <f ca="1">IFERROR(__xludf.DUMMYFUNCTION("""COMPUTED_VALUE"""),"Self Paced Learning Portals, Learning by observing others")</f>
        <v>Self Paced Learning Portals, Learning by observing others</v>
      </c>
      <c r="N167" s="1" t="str">
        <f ca="1">IFERROR(__xludf.DUMMYFUNCTION("""COMPUTED_VALUE"""),"Design and Creative strategy in any company, Teaching in any of the institutes/online or Offline, Work as a freelancer and do my thing my way")</f>
        <v>Design and Creative strategy in any company, Teaching in any of the institutes/online or Offline, Work as a freelancer and do my thing my way</v>
      </c>
      <c r="O167" s="1" t="str">
        <f ca="1">IFERROR(__xludf.DUMMYFUNCTION("""COMPUTED_VALUE"""),"Manager who sets targets and expects me to achieve it")</f>
        <v>Manager who sets targets and expects me to achieve it</v>
      </c>
      <c r="P167" s="1" t="str">
        <f ca="1">IFERROR(__xludf.DUMMYFUNCTION("""COMPUTED_VALUE"""),"Work alone")</f>
        <v>Work alone</v>
      </c>
      <c r="Q167" s="1"/>
      <c r="R167" s="1"/>
      <c r="S167" s="1"/>
    </row>
    <row r="168" spans="1:19" ht="12.5" x14ac:dyDescent="0.25">
      <c r="A168" s="2">
        <f ca="1">IFERROR(__xludf.DUMMYFUNCTION("""COMPUTED_VALUE"""),44914.9315464814)</f>
        <v>44914.931546481399</v>
      </c>
      <c r="B168" s="1" t="str">
        <f ca="1">IFERROR(__xludf.DUMMYFUNCTION("""COMPUTED_VALUE"""),"India")</f>
        <v>India</v>
      </c>
      <c r="C168" s="1">
        <f ca="1">IFERROR(__xludf.DUMMYFUNCTION("""COMPUTED_VALUE"""),533103)</f>
        <v>533103</v>
      </c>
      <c r="D168" s="1" t="str">
        <f ca="1">IFERROR(__xludf.DUMMYFUNCTION("""COMPUTED_VALUE"""),"Male")</f>
        <v>Male</v>
      </c>
      <c r="E168" s="1" t="str">
        <f ca="1">IFERROR(__xludf.DUMMYFUNCTION("""COMPUTED_VALUE"""),"My Parents")</f>
        <v>My Parents</v>
      </c>
      <c r="F168" s="1" t="str">
        <f ca="1">IFERROR(__xludf.DUMMYFUNCTION("""COMPUTED_VALUE"""),"Yes, I will earn and do that")</f>
        <v>Yes, I will earn and do that</v>
      </c>
      <c r="G168" s="1" t="str">
        <f ca="1">IFERROR(__xludf.DUMMYFUNCTION("""COMPUTED_VALUE"""),"This will be hard to do, but if it is the right company I would try")</f>
        <v>This will be hard to do, but if it is the right company I would try</v>
      </c>
      <c r="H168" s="1" t="str">
        <f ca="1">IFERROR(__xludf.DUMMYFUNCTION("""COMPUTED_VALUE"""),"Yes")</f>
        <v>Yes</v>
      </c>
      <c r="I168" s="1" t="str">
        <f ca="1">IFERROR(__xludf.DUMMYFUNCTION("""COMPUTED_VALUE"""),"Will work for them")</f>
        <v>Will work for them</v>
      </c>
      <c r="J168" s="1">
        <f ca="1">IFERROR(__xludf.DUMMYFUNCTION("""COMPUTED_VALUE"""),8)</f>
        <v>8</v>
      </c>
      <c r="K168" s="1" t="str">
        <f ca="1">IFERROR(__xludf.DUMMYFUNCTION("""COMPUTED_VALUE"""),"Hybrid Working Environment with less than 3 days a month at office")</f>
        <v>Hybrid Working Environment with less than 3 days a month at office</v>
      </c>
      <c r="L1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8" s="1" t="str">
        <f ca="1">IFERROR(__xludf.DUMMYFUNCTION("""COMPUTED_VALUE"""),"Self Paced Learning Portals, Instructor or Expert Learning Programs")</f>
        <v>Self Paced Learning Portals, Instructor or Expert Learning Programs</v>
      </c>
      <c r="N168" s="1" t="str">
        <f ca="1">IFERROR(__xludf.DUMMYFUNCTION("""COMPUTED_VALUE"""),"Design and Develop amazing software, Work as a freelancer and do my thing my way, Become a content Creator in some platform")</f>
        <v>Design and Develop amazing software, Work as a freelancer and do my thing my way, Become a content Creator in some platform</v>
      </c>
      <c r="O168" s="1" t="str">
        <f ca="1">IFERROR(__xludf.DUMMYFUNCTION("""COMPUTED_VALUE"""),"Manager who explains what is expected, sets a goal and helps achieve it")</f>
        <v>Manager who explains what is expected, sets a goal and helps achieve it</v>
      </c>
      <c r="P16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68" s="1"/>
      <c r="R168" s="1"/>
      <c r="S168" s="1"/>
    </row>
    <row r="169" spans="1:19" ht="12.5" x14ac:dyDescent="0.25">
      <c r="A169" s="2">
        <f ca="1">IFERROR(__xludf.DUMMYFUNCTION("""COMPUTED_VALUE"""),44915.4097427777)</f>
        <v>44915.409742777701</v>
      </c>
      <c r="B169" s="1" t="str">
        <f ca="1">IFERROR(__xludf.DUMMYFUNCTION("""COMPUTED_VALUE"""),"India")</f>
        <v>India</v>
      </c>
      <c r="C169" s="1">
        <f ca="1">IFERROR(__xludf.DUMMYFUNCTION("""COMPUTED_VALUE"""),382042)</f>
        <v>382042</v>
      </c>
      <c r="D169" s="1" t="str">
        <f ca="1">IFERROR(__xludf.DUMMYFUNCTION("""COMPUTED_VALUE"""),"Female")</f>
        <v>Female</v>
      </c>
      <c r="E169" s="1" t="str">
        <f ca="1">IFERROR(__xludf.DUMMYFUNCTION("""COMPUTED_VALUE"""),"People from my circle, but not family members")</f>
        <v>People from my circle, but not family members</v>
      </c>
      <c r="F169" s="1" t="str">
        <f ca="1">IFERROR(__xludf.DUMMYFUNCTION("""COMPUTED_VALUE"""),"No, But if someone could bare the cost I will")</f>
        <v>No, But if someone could bare the cost I will</v>
      </c>
      <c r="G169" s="1" t="str">
        <f ca="1">IFERROR(__xludf.DUMMYFUNCTION("""COMPUTED_VALUE"""),"Will work for 3 years or more")</f>
        <v>Will work for 3 years or more</v>
      </c>
      <c r="H169" s="1" t="str">
        <f ca="1">IFERROR(__xludf.DUMMYFUNCTION("""COMPUTED_VALUE"""),"No")</f>
        <v>No</v>
      </c>
      <c r="I169" s="1" t="str">
        <f ca="1">IFERROR(__xludf.DUMMYFUNCTION("""COMPUTED_VALUE"""),"Will NOT work for them")</f>
        <v>Will NOT work for them</v>
      </c>
      <c r="J169" s="1">
        <f ca="1">IFERROR(__xludf.DUMMYFUNCTION("""COMPUTED_VALUE"""),1)</f>
        <v>1</v>
      </c>
      <c r="K169" s="1" t="str">
        <f ca="1">IFERROR(__xludf.DUMMYFUNCTION("""COMPUTED_VALUE"""),"Every Day Office Environment")</f>
        <v>Every Day Office Environment</v>
      </c>
      <c r="L169" s="1" t="str">
        <f ca="1">IFERROR(__xludf.DUMMYFUNCTION("""COMPUTED_VALUE"""),"Employer who appreciates learning and enables that environment")</f>
        <v>Employer who appreciates learning and enables that environment</v>
      </c>
      <c r="M169" s="1" t="str">
        <f ca="1">IFERROR(__xludf.DUMMYFUNCTION("""COMPUTED_VALUE"""),"Self Paced Learning Portals, Instructor or Expert Learning Programs")</f>
        <v>Self Paced Learning Portals, Instructor or Expert Learning Programs</v>
      </c>
      <c r="N169" s="1" t="str">
        <f ca="1">IFERROR(__xludf.DUMMYFUNCTION("""COMPUTED_VALUE"""),"Design and Creative strategy in any company, Build and develop a Team, Become a content Creator in some platform")</f>
        <v>Design and Creative strategy in any company, Build and develop a Team, Become a content Creator in some platform</v>
      </c>
      <c r="O169" s="1" t="str">
        <f ca="1">IFERROR(__xludf.DUMMYFUNCTION("""COMPUTED_VALUE"""),"Manager who clearly describes what she/he needs")</f>
        <v>Manager who clearly describes what she/he needs</v>
      </c>
      <c r="P169" s="1" t="str">
        <f ca="1">IFERROR(__xludf.DUMMYFUNCTION("""COMPUTED_VALUE"""),"Work with 2 to 3 people in my team")</f>
        <v>Work with 2 to 3 people in my team</v>
      </c>
      <c r="Q169" s="1"/>
      <c r="R169" s="1"/>
      <c r="S169" s="1"/>
    </row>
    <row r="170" spans="1:19" ht="12.5" x14ac:dyDescent="0.25">
      <c r="A170" s="2">
        <f ca="1">IFERROR(__xludf.DUMMYFUNCTION("""COMPUTED_VALUE"""),44915.5154813657)</f>
        <v>44915.515481365699</v>
      </c>
      <c r="B170" s="1" t="str">
        <f ca="1">IFERROR(__xludf.DUMMYFUNCTION("""COMPUTED_VALUE"""),"India")</f>
        <v>India</v>
      </c>
      <c r="C170" s="1">
        <f ca="1">IFERROR(__xludf.DUMMYFUNCTION("""COMPUTED_VALUE"""),600036)</f>
        <v>600036</v>
      </c>
      <c r="D170" s="1" t="str">
        <f ca="1">IFERROR(__xludf.DUMMYFUNCTION("""COMPUTED_VALUE"""),"Female")</f>
        <v>Female</v>
      </c>
      <c r="E170" s="1" t="str">
        <f ca="1">IFERROR(__xludf.DUMMYFUNCTION("""COMPUTED_VALUE"""),"Influencers who had successful careers")</f>
        <v>Influencers who had successful careers</v>
      </c>
      <c r="F170" s="1" t="str">
        <f ca="1">IFERROR(__xludf.DUMMYFUNCTION("""COMPUTED_VALUE"""),"No I would not be pursuing Higher Education outside of India")</f>
        <v>No I would not be pursuing Higher Education outside of India</v>
      </c>
      <c r="G170" s="1" t="str">
        <f ca="1">IFERROR(__xludf.DUMMYFUNCTION("""COMPUTED_VALUE"""),"This will be hard to do, but if it is the right company I would try")</f>
        <v>This will be hard to do, but if it is the right company I would try</v>
      </c>
      <c r="H170" s="1" t="str">
        <f ca="1">IFERROR(__xludf.DUMMYFUNCTION("""COMPUTED_VALUE"""),"No")</f>
        <v>No</v>
      </c>
      <c r="I170" s="1" t="str">
        <f ca="1">IFERROR(__xludf.DUMMYFUNCTION("""COMPUTED_VALUE"""),"Will NOT work for them")</f>
        <v>Will NOT work for them</v>
      </c>
      <c r="J170" s="1">
        <f ca="1">IFERROR(__xludf.DUMMYFUNCTION("""COMPUTED_VALUE"""),2)</f>
        <v>2</v>
      </c>
      <c r="K170" s="1" t="str">
        <f ca="1">IFERROR(__xludf.DUMMYFUNCTION("""COMPUTED_VALUE"""),"Hybrid Working Environment with less than 3 days a month at office")</f>
        <v>Hybrid Working Environment with less than 3 days a month at office</v>
      </c>
      <c r="L170" s="1" t="str">
        <f ca="1">IFERROR(__xludf.DUMMYFUNCTION("""COMPUTED_VALUE"""),"Employer who appreciates learning and enables that environment")</f>
        <v>Employer who appreciates learning and enables that environment</v>
      </c>
      <c r="M170" s="1" t="str">
        <f ca="1">IFERROR(__xludf.DUMMYFUNCTION("""COMPUTED_VALUE"""),"Self Paced Learning Portals, Learning by observing others")</f>
        <v>Self Paced Learning Portals, Learning by observing others</v>
      </c>
      <c r="N170" s="1" t="str">
        <f ca="1">IFERROR(__xludf.DUMMYFUNCTION("""COMPUTED_VALUE"""),"Design and Creative strategy in any company, Build and develop a Team, Look deeply into Data and generate insights")</f>
        <v>Design and Creative strategy in any company, Build and develop a Team, Look deeply into Data and generate insights</v>
      </c>
      <c r="O170" s="1" t="str">
        <f ca="1">IFERROR(__xludf.DUMMYFUNCTION("""COMPUTED_VALUE"""),"Manager who explains what is expected, sets a goal and helps achieve it")</f>
        <v>Manager who explains what is expected, sets a goal and helps achieve it</v>
      </c>
      <c r="P170" s="1" t="str">
        <f ca="1">IFERROR(__xludf.DUMMYFUNCTION("""COMPUTED_VALUE"""),"Work with 2 to 3 people in my team")</f>
        <v>Work with 2 to 3 people in my team</v>
      </c>
      <c r="Q170" s="1"/>
      <c r="R170" s="1"/>
      <c r="S170" s="1"/>
    </row>
    <row r="171" spans="1:19" ht="12.5" x14ac:dyDescent="0.25">
      <c r="A171" s="2">
        <f ca="1">IFERROR(__xludf.DUMMYFUNCTION("""COMPUTED_VALUE"""),44915.6647387037)</f>
        <v>44915.664738703701</v>
      </c>
      <c r="B171" s="1" t="str">
        <f ca="1">IFERROR(__xludf.DUMMYFUNCTION("""COMPUTED_VALUE"""),"India")</f>
        <v>India</v>
      </c>
      <c r="C171" s="1">
        <f ca="1">IFERROR(__xludf.DUMMYFUNCTION("""COMPUTED_VALUE"""),605110)</f>
        <v>605110</v>
      </c>
      <c r="D171" s="1" t="str">
        <f ca="1">IFERROR(__xludf.DUMMYFUNCTION("""COMPUTED_VALUE"""),"Male")</f>
        <v>Male</v>
      </c>
      <c r="E171" s="1" t="str">
        <f ca="1">IFERROR(__xludf.DUMMYFUNCTION("""COMPUTED_VALUE"""),"Influencers who had successful careers")</f>
        <v>Influencers who had successful careers</v>
      </c>
      <c r="F171" s="1" t="str">
        <f ca="1">IFERROR(__xludf.DUMMYFUNCTION("""COMPUTED_VALUE"""),"No, But if someone could bare the cost I will")</f>
        <v>No, But if someone could bare the cost I will</v>
      </c>
      <c r="G171" s="1" t="str">
        <f ca="1">IFERROR(__xludf.DUMMYFUNCTION("""COMPUTED_VALUE"""),"Will work for 3 years or more")</f>
        <v>Will work for 3 years or more</v>
      </c>
      <c r="H171" s="1" t="str">
        <f ca="1">IFERROR(__xludf.DUMMYFUNCTION("""COMPUTED_VALUE"""),"No")</f>
        <v>No</v>
      </c>
      <c r="I171" s="1" t="str">
        <f ca="1">IFERROR(__xludf.DUMMYFUNCTION("""COMPUTED_VALUE"""),"Will NOT work for them")</f>
        <v>Will NOT work for them</v>
      </c>
      <c r="J171" s="1">
        <f ca="1">IFERROR(__xludf.DUMMYFUNCTION("""COMPUTED_VALUE"""),6)</f>
        <v>6</v>
      </c>
      <c r="K171" s="1" t="str">
        <f ca="1">IFERROR(__xludf.DUMMYFUNCTION("""COMPUTED_VALUE"""),"Fully Remote with Options to travel as and when needed")</f>
        <v>Fully Remote with Options to travel as and when needed</v>
      </c>
      <c r="L1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1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71" s="1" t="str">
        <f ca="1">IFERROR(__xludf.DUMMYFUNCTION("""COMPUTED_VALUE"""),"Design and Creative strategy in any company, Teaching in any of the institutes/online or Offline, Become a content Creator in some platform")</f>
        <v>Design and Creative strategy in any company, Teaching in any of the institutes/online or Offline, Become a content Creator in some platform</v>
      </c>
      <c r="O171" s="1" t="str">
        <f ca="1">IFERROR(__xludf.DUMMYFUNCTION("""COMPUTED_VALUE"""),"Manager who explains what is expected, sets a goal and helps achieve it")</f>
        <v>Manager who explains what is expected, sets a goal and helps achieve it</v>
      </c>
      <c r="P171" s="1" t="str">
        <f ca="1">IFERROR(__xludf.DUMMYFUNCTION("""COMPUTED_VALUE"""),"Work alone, Work with 2 to 3 people in my team")</f>
        <v>Work alone, Work with 2 to 3 people in my team</v>
      </c>
      <c r="Q171" s="1"/>
      <c r="R171" s="1"/>
      <c r="S171" s="1"/>
    </row>
    <row r="172" spans="1:19" ht="12.5" x14ac:dyDescent="0.25">
      <c r="A172" s="2">
        <f ca="1">IFERROR(__xludf.DUMMYFUNCTION("""COMPUTED_VALUE"""),44915.6680855208)</f>
        <v>44915.668085520803</v>
      </c>
      <c r="B172" s="1" t="str">
        <f ca="1">IFERROR(__xludf.DUMMYFUNCTION("""COMPUTED_VALUE"""),"India")</f>
        <v>India</v>
      </c>
      <c r="C172" s="1">
        <f ca="1">IFERROR(__xludf.DUMMYFUNCTION("""COMPUTED_VALUE"""),800009)</f>
        <v>800009</v>
      </c>
      <c r="D172" s="1" t="str">
        <f ca="1">IFERROR(__xludf.DUMMYFUNCTION("""COMPUTED_VALUE"""),"Female")</f>
        <v>Female</v>
      </c>
      <c r="E172" s="1" t="str">
        <f ca="1">IFERROR(__xludf.DUMMYFUNCTION("""COMPUTED_VALUE"""),"People who have changed the world for better")</f>
        <v>People who have changed the world for better</v>
      </c>
      <c r="F172" s="1" t="str">
        <f ca="1">IFERROR(__xludf.DUMMYFUNCTION("""COMPUTED_VALUE"""),"No I would not be pursuing Higher Education outside of India")</f>
        <v>No I would not be pursuing Higher Education outside of India</v>
      </c>
      <c r="G172" s="1" t="str">
        <f ca="1">IFERROR(__xludf.DUMMYFUNCTION("""COMPUTED_VALUE"""),"This will be hard to do, but if it is the right company I would try")</f>
        <v>This will be hard to do, but if it is the right company I would try</v>
      </c>
      <c r="H172" s="1" t="str">
        <f ca="1">IFERROR(__xludf.DUMMYFUNCTION("""COMPUTED_VALUE"""),"Yes")</f>
        <v>Yes</v>
      </c>
      <c r="I172" s="1" t="str">
        <f ca="1">IFERROR(__xludf.DUMMYFUNCTION("""COMPUTED_VALUE"""),"Will work for them")</f>
        <v>Will work for them</v>
      </c>
      <c r="J172" s="1">
        <f ca="1">IFERROR(__xludf.DUMMYFUNCTION("""COMPUTED_VALUE"""),7)</f>
        <v>7</v>
      </c>
      <c r="K172" s="1" t="str">
        <f ca="1">IFERROR(__xludf.DUMMYFUNCTION("""COMPUTED_VALUE"""),"Hybrid Working Environment with less than 15 days a month at office")</f>
        <v>Hybrid Working Environment with less than 15 days a month at office</v>
      </c>
      <c r="L1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72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172" s="1" t="str">
        <f ca="1">IFERROR(__xludf.DUMMYFUNCTION("""COMPUTED_VALUE"""),"Manager who explains what is expected, sets a goal and helps achieve it")</f>
        <v>Manager who explains what is expected, sets a goal and helps achieve it</v>
      </c>
      <c r="P172" s="1" t="str">
        <f ca="1">IFERROR(__xludf.DUMMYFUNCTION("""COMPUTED_VALUE"""),"Work with 5 to 6 people in my team")</f>
        <v>Work with 5 to 6 people in my team</v>
      </c>
      <c r="Q172" s="1"/>
      <c r="R172" s="1"/>
      <c r="S172" s="1"/>
    </row>
    <row r="173" spans="1:19" ht="12.5" x14ac:dyDescent="0.25">
      <c r="A173" s="2">
        <f ca="1">IFERROR(__xludf.DUMMYFUNCTION("""COMPUTED_VALUE"""),44915.6751296064)</f>
        <v>44915.675129606403</v>
      </c>
      <c r="B173" s="1" t="str">
        <f ca="1">IFERROR(__xludf.DUMMYFUNCTION("""COMPUTED_VALUE"""),"India")</f>
        <v>India</v>
      </c>
      <c r="C173" s="1">
        <f ca="1">IFERROR(__xludf.DUMMYFUNCTION("""COMPUTED_VALUE"""),248002)</f>
        <v>248002</v>
      </c>
      <c r="D173" s="1" t="str">
        <f ca="1">IFERROR(__xludf.DUMMYFUNCTION("""COMPUTED_VALUE"""),"Female")</f>
        <v>Female</v>
      </c>
      <c r="E173" s="1" t="str">
        <f ca="1">IFERROR(__xludf.DUMMYFUNCTION("""COMPUTED_VALUE"""),"People who have changed the world for better")</f>
        <v>People who have changed the world for better</v>
      </c>
      <c r="F173" s="1" t="str">
        <f ca="1">IFERROR(__xludf.DUMMYFUNCTION("""COMPUTED_VALUE"""),"No, But if someone could bare the cost I will")</f>
        <v>No, But if someone could bare the cost I will</v>
      </c>
      <c r="G173" s="1" t="str">
        <f ca="1">IFERROR(__xludf.DUMMYFUNCTION("""COMPUTED_VALUE"""),"No way, 3 years with one employer is crazy")</f>
        <v>No way, 3 years with one employer is crazy</v>
      </c>
      <c r="H173" s="1" t="str">
        <f ca="1">IFERROR(__xludf.DUMMYFUNCTION("""COMPUTED_VALUE"""),"No")</f>
        <v>No</v>
      </c>
      <c r="I173" s="1" t="str">
        <f ca="1">IFERROR(__xludf.DUMMYFUNCTION("""COMPUTED_VALUE"""),"Will work for them")</f>
        <v>Will work for them</v>
      </c>
      <c r="J173" s="1">
        <f ca="1">IFERROR(__xludf.DUMMYFUNCTION("""COMPUTED_VALUE"""),4)</f>
        <v>4</v>
      </c>
      <c r="K173" s="1" t="str">
        <f ca="1">IFERROR(__xludf.DUMMYFUNCTION("""COMPUTED_VALUE"""),"Hybrid Working Environment with less than 3 days a month at office")</f>
        <v>Hybrid Working Environment with less than 3 days a month at office</v>
      </c>
      <c r="L173" s="1" t="str">
        <f ca="1">IFERROR(__xludf.DUMMYFUNCTION("""COMPUTED_VALUE"""),"Employer who rewards learning and enables that environment")</f>
        <v>Employer who rewards learning and enables that environment</v>
      </c>
      <c r="M173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73" s="1" t="str">
        <f ca="1">IFERROR(__xludf.DUMMYFUNCTION("""COMPUTED_VALUE"""),"Teaching in any of the institutes/online or Offline, Business Operations in any organization, Build and develop a Team")</f>
        <v>Teaching in any of the institutes/online or Offline, Business Operations in any organization, Build and develop a Team</v>
      </c>
      <c r="O173" s="1" t="str">
        <f ca="1">IFERROR(__xludf.DUMMYFUNCTION("""COMPUTED_VALUE"""),"Manager who sets goal and helps me achieve it")</f>
        <v>Manager who sets goal and helps me achieve it</v>
      </c>
      <c r="P173" s="1" t="str">
        <f ca="1">IFERROR(__xludf.DUMMYFUNCTION("""COMPUTED_VALUE"""),"Work with 2 to 3 people in my team, Work with 7 to 10 or more people in my team, Work with more than 10 people in my team")</f>
        <v>Work with 2 to 3 people in my team, Work with 7 to 10 or more people in my team, Work with more than 10 people in my team</v>
      </c>
      <c r="Q173" s="1"/>
      <c r="R173" s="1"/>
      <c r="S173" s="1"/>
    </row>
    <row r="174" spans="1:19" ht="12.5" x14ac:dyDescent="0.25">
      <c r="A174" s="2">
        <f ca="1">IFERROR(__xludf.DUMMYFUNCTION("""COMPUTED_VALUE"""),44915.6854918518)</f>
        <v>44915.6854918518</v>
      </c>
      <c r="B174" s="1" t="str">
        <f ca="1">IFERROR(__xludf.DUMMYFUNCTION("""COMPUTED_VALUE"""),"India")</f>
        <v>India</v>
      </c>
      <c r="C174" s="1">
        <f ca="1">IFERROR(__xludf.DUMMYFUNCTION("""COMPUTED_VALUE"""),845438)</f>
        <v>845438</v>
      </c>
      <c r="D174" s="1" t="str">
        <f ca="1">IFERROR(__xludf.DUMMYFUNCTION("""COMPUTED_VALUE"""),"Female")</f>
        <v>Female</v>
      </c>
      <c r="E174" s="1" t="str">
        <f ca="1">IFERROR(__xludf.DUMMYFUNCTION("""COMPUTED_VALUE"""),"Influencers who had successful careers")</f>
        <v>Influencers who had successful careers</v>
      </c>
      <c r="F174" s="1" t="str">
        <f ca="1">IFERROR(__xludf.DUMMYFUNCTION("""COMPUTED_VALUE"""),"Yes, I will earn and do that")</f>
        <v>Yes, I will earn and do that</v>
      </c>
      <c r="G174" s="1" t="str">
        <f ca="1">IFERROR(__xludf.DUMMYFUNCTION("""COMPUTED_VALUE"""),"This will be hard to do, but if it is the right company I would try")</f>
        <v>This will be hard to do, but if it is the right company I would try</v>
      </c>
      <c r="H174" s="1" t="str">
        <f ca="1">IFERROR(__xludf.DUMMYFUNCTION("""COMPUTED_VALUE"""),"No")</f>
        <v>No</v>
      </c>
      <c r="I174" s="1" t="str">
        <f ca="1">IFERROR(__xludf.DUMMYFUNCTION("""COMPUTED_VALUE"""),"Will NOT work for them")</f>
        <v>Will NOT work for them</v>
      </c>
      <c r="J174" s="1">
        <f ca="1">IFERROR(__xludf.DUMMYFUNCTION("""COMPUTED_VALUE"""),5)</f>
        <v>5</v>
      </c>
      <c r="K174" s="1" t="str">
        <f ca="1">IFERROR(__xludf.DUMMYFUNCTION("""COMPUTED_VALUE"""),"Every Day Office Environment")</f>
        <v>Every Day Office Environment</v>
      </c>
      <c r="L174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74" s="1" t="str">
        <f ca="1">IFERROR(__xludf.DUMMYFUNCTION("""COMPUTED_VALUE"""),"Self Paced Learning Portals, Instructor or Expert Learning Programs")</f>
        <v>Self Paced Learning Portals, Instructor or Expert Learning Programs</v>
      </c>
      <c r="N174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174" s="1" t="str">
        <f ca="1">IFERROR(__xludf.DUMMYFUNCTION("""COMPUTED_VALUE"""),"Manager who sets goal and helps me achieve it")</f>
        <v>Manager who sets goal and helps me achieve it</v>
      </c>
      <c r="P174" s="1" t="str">
        <f ca="1">IFERROR(__xludf.DUMMYFUNCTION("""COMPUTED_VALUE"""),"Work with 5 to 6 people in my team")</f>
        <v>Work with 5 to 6 people in my team</v>
      </c>
      <c r="Q174" s="1"/>
      <c r="R174" s="1"/>
      <c r="S174" s="1"/>
    </row>
    <row r="175" spans="1:19" ht="12.5" x14ac:dyDescent="0.25">
      <c r="A175" s="2">
        <f ca="1">IFERROR(__xludf.DUMMYFUNCTION("""COMPUTED_VALUE"""),44915.6934281018)</f>
        <v>44915.693428101797</v>
      </c>
      <c r="B175" s="1" t="str">
        <f ca="1">IFERROR(__xludf.DUMMYFUNCTION("""COMPUTED_VALUE"""),"India")</f>
        <v>India</v>
      </c>
      <c r="C175" s="1">
        <f ca="1">IFERROR(__xludf.DUMMYFUNCTION("""COMPUTED_VALUE"""),800006)</f>
        <v>800006</v>
      </c>
      <c r="D175" s="1" t="str">
        <f ca="1">IFERROR(__xludf.DUMMYFUNCTION("""COMPUTED_VALUE"""),"Male")</f>
        <v>Male</v>
      </c>
      <c r="E175" s="1" t="str">
        <f ca="1">IFERROR(__xludf.DUMMYFUNCTION("""COMPUTED_VALUE"""),"My Parents")</f>
        <v>My Parents</v>
      </c>
      <c r="F175" s="1" t="str">
        <f ca="1">IFERROR(__xludf.DUMMYFUNCTION("""COMPUTED_VALUE"""),"No I would not be pursuing Higher Education outside of India")</f>
        <v>No I would not be pursuing Higher Education outside of India</v>
      </c>
      <c r="G175" s="1" t="str">
        <f ca="1">IFERROR(__xludf.DUMMYFUNCTION("""COMPUTED_VALUE"""),"This will be hard to do, but if it is the right company I would try")</f>
        <v>This will be hard to do, but if it is the right company I would try</v>
      </c>
      <c r="H175" s="1" t="str">
        <f ca="1">IFERROR(__xludf.DUMMYFUNCTION("""COMPUTED_VALUE"""),"Yes")</f>
        <v>Yes</v>
      </c>
      <c r="I175" s="1" t="str">
        <f ca="1">IFERROR(__xludf.DUMMYFUNCTION("""COMPUTED_VALUE"""),"Will work for them")</f>
        <v>Will work for them</v>
      </c>
      <c r="J175" s="1">
        <f ca="1">IFERROR(__xludf.DUMMYFUNCTION("""COMPUTED_VALUE"""),6)</f>
        <v>6</v>
      </c>
      <c r="K175" s="1" t="str">
        <f ca="1">IFERROR(__xludf.DUMMYFUNCTION("""COMPUTED_VALUE"""),"Every Day Office Environment")</f>
        <v>Every Day Office Environment</v>
      </c>
      <c r="L1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5" s="1" t="str">
        <f ca="1">IFERROR(__xludf.DUMMYFUNCTION("""COMPUTED_VALUE"""),"Self Paced Learning Portals, Instructor or Expert Learning Programs")</f>
        <v>Self Paced Learning Portals, Instructor or Expert Learning Programs</v>
      </c>
      <c r="N175" s="1" t="str">
        <f ca="1">IFERROR(__xludf.DUMMYFUNCTION("""COMPUTED_VALUE"""),"Teaching in any of the institutes/online or Offline, Build and develop a Team, Work as a freelancer and do my thing my way")</f>
        <v>Teaching in any of the institutes/online or Offline, Build and develop a Team, Work as a freelancer and do my thing my way</v>
      </c>
      <c r="O175" s="1" t="str">
        <f ca="1">IFERROR(__xludf.DUMMYFUNCTION("""COMPUTED_VALUE"""),"Manager who explains what is expected, sets a goal and helps achieve it")</f>
        <v>Manager who explains what is expected, sets a goal and helps achieve it</v>
      </c>
      <c r="P175" s="1" t="str">
        <f ca="1">IFERROR(__xludf.DUMMYFUNCTION("""COMPUTED_VALUE"""),"Work with 2 to 3 people in my team")</f>
        <v>Work with 2 to 3 people in my team</v>
      </c>
      <c r="Q175" s="1"/>
      <c r="R175" s="1"/>
      <c r="S175" s="1"/>
    </row>
    <row r="176" spans="1:19" ht="12.5" x14ac:dyDescent="0.25">
      <c r="A176" s="2">
        <f ca="1">IFERROR(__xludf.DUMMYFUNCTION("""COMPUTED_VALUE"""),44915.6987148263)</f>
        <v>44915.6987148263</v>
      </c>
      <c r="B176" s="1" t="str">
        <f ca="1">IFERROR(__xludf.DUMMYFUNCTION("""COMPUTED_VALUE"""),"India")</f>
        <v>India</v>
      </c>
      <c r="C176" s="1">
        <f ca="1">IFERROR(__xludf.DUMMYFUNCTION("""COMPUTED_VALUE"""),800024)</f>
        <v>800024</v>
      </c>
      <c r="D176" s="1" t="str">
        <f ca="1">IFERROR(__xludf.DUMMYFUNCTION("""COMPUTED_VALUE"""),"Male")</f>
        <v>Male</v>
      </c>
      <c r="E176" s="1" t="str">
        <f ca="1">IFERROR(__xludf.DUMMYFUNCTION("""COMPUTED_VALUE"""),"My Parents")</f>
        <v>My Parents</v>
      </c>
      <c r="F176" s="1" t="str">
        <f ca="1">IFERROR(__xludf.DUMMYFUNCTION("""COMPUTED_VALUE"""),"No, But if someone could bare the cost I will")</f>
        <v>No, But if someone could bare the cost I will</v>
      </c>
      <c r="G176" s="1" t="str">
        <f ca="1">IFERROR(__xludf.DUMMYFUNCTION("""COMPUTED_VALUE"""),"This will be hard to do, but if it is the right company I would try")</f>
        <v>This will be hard to do, but if it is the right company I would try</v>
      </c>
      <c r="H176" s="1" t="str">
        <f ca="1">IFERROR(__xludf.DUMMYFUNCTION("""COMPUTED_VALUE"""),"No")</f>
        <v>No</v>
      </c>
      <c r="I176" s="1" t="str">
        <f ca="1">IFERROR(__xludf.DUMMYFUNCTION("""COMPUTED_VALUE"""),"Will NOT work for them")</f>
        <v>Will NOT work for them</v>
      </c>
      <c r="J176" s="1">
        <f ca="1">IFERROR(__xludf.DUMMYFUNCTION("""COMPUTED_VALUE"""),4)</f>
        <v>4</v>
      </c>
      <c r="K176" s="1" t="str">
        <f ca="1">IFERROR(__xludf.DUMMYFUNCTION("""COMPUTED_VALUE"""),"Hybrid Working Environment with less than 15 days a month at office")</f>
        <v>Hybrid Working Environment with less than 15 days a month at office</v>
      </c>
      <c r="L1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6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76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176" s="1" t="str">
        <f ca="1">IFERROR(__xludf.DUMMYFUNCTION("""COMPUTED_VALUE"""),"Manager who explains what is expected, sets a goal and helps achieve it")</f>
        <v>Manager who explains what is expected, sets a goal and helps achieve it</v>
      </c>
      <c r="P176" s="1" t="str">
        <f ca="1">IFERROR(__xludf.DUMMYFUNCTION("""COMPUTED_VALUE"""),"Work with 5 to 6 people in my team")</f>
        <v>Work with 5 to 6 people in my team</v>
      </c>
      <c r="Q176" s="1"/>
      <c r="R176" s="1"/>
      <c r="S176" s="1"/>
    </row>
    <row r="177" spans="1:19" ht="12.5" x14ac:dyDescent="0.25">
      <c r="A177" s="2">
        <f ca="1">IFERROR(__xludf.DUMMYFUNCTION("""COMPUTED_VALUE"""),44915.6991829398)</f>
        <v>44915.699182939803</v>
      </c>
      <c r="B177" s="1" t="str">
        <f ca="1">IFERROR(__xludf.DUMMYFUNCTION("""COMPUTED_VALUE"""),"India")</f>
        <v>India</v>
      </c>
      <c r="C177" s="1">
        <f ca="1">IFERROR(__xludf.DUMMYFUNCTION("""COMPUTED_VALUE"""),248002)</f>
        <v>248002</v>
      </c>
      <c r="D177" s="1" t="str">
        <f ca="1">IFERROR(__xludf.DUMMYFUNCTION("""COMPUTED_VALUE"""),"Female")</f>
        <v>Female</v>
      </c>
      <c r="E177" s="1" t="str">
        <f ca="1">IFERROR(__xludf.DUMMYFUNCTION("""COMPUTED_VALUE"""),"My Parents")</f>
        <v>My Parents</v>
      </c>
      <c r="F177" s="1" t="str">
        <f ca="1">IFERROR(__xludf.DUMMYFUNCTION("""COMPUTED_VALUE"""),"Yes, I will earn and do that")</f>
        <v>Yes, I will earn and do that</v>
      </c>
      <c r="G177" s="1" t="str">
        <f ca="1">IFERROR(__xludf.DUMMYFUNCTION("""COMPUTED_VALUE"""),"Will work for 3 years or more")</f>
        <v>Will work for 3 years or more</v>
      </c>
      <c r="H177" s="1" t="str">
        <f ca="1">IFERROR(__xludf.DUMMYFUNCTION("""COMPUTED_VALUE"""),"No")</f>
        <v>No</v>
      </c>
      <c r="I177" s="1" t="str">
        <f ca="1">IFERROR(__xludf.DUMMYFUNCTION("""COMPUTED_VALUE"""),"Will NOT work for them")</f>
        <v>Will NOT work for them</v>
      </c>
      <c r="J177" s="1">
        <f ca="1">IFERROR(__xludf.DUMMYFUNCTION("""COMPUTED_VALUE"""),7)</f>
        <v>7</v>
      </c>
      <c r="K177" s="1" t="str">
        <f ca="1">IFERROR(__xludf.DUMMYFUNCTION("""COMPUTED_VALUE"""),"Every Day Office Environment")</f>
        <v>Every Day Office Environment</v>
      </c>
      <c r="L1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7" s="1" t="str">
        <f ca="1">IFERROR(__xludf.DUMMYFUNCTION("""COMPUTED_VALUE"""),"Instructor or Expert Learning Programs, Learning by observing others")</f>
        <v>Instructor or Expert Learning Programs, Learning by observing others</v>
      </c>
      <c r="N177" s="1" t="str">
        <f ca="1">IFERROR(__xludf.DUMMYFUNCTION("""COMPUTED_VALUE"""),"Business Operations in any organization, Manage and drive End-to-End Projects or Products, Work in a BPO setup for some well known client")</f>
        <v>Business Operations in any organization, Manage and drive End-to-End Projects or Products, Work in a BPO setup for some well known client</v>
      </c>
      <c r="O177" s="1" t="str">
        <f ca="1">IFERROR(__xludf.DUMMYFUNCTION("""COMPUTED_VALUE"""),"Manager who explains what is expected, sets a goal and helps achieve it")</f>
        <v>Manager who explains what is expected, sets a goal and helps achieve it</v>
      </c>
      <c r="P177" s="1" t="str">
        <f ca="1">IFERROR(__xludf.DUMMYFUNCTION("""COMPUTED_VALUE"""),"Work with 5 to 6 people in my team")</f>
        <v>Work with 5 to 6 people in my team</v>
      </c>
      <c r="Q177" s="1"/>
      <c r="R177" s="1"/>
      <c r="S177" s="1"/>
    </row>
    <row r="178" spans="1:19" ht="12.5" x14ac:dyDescent="0.25">
      <c r="A178" s="2">
        <f ca="1">IFERROR(__xludf.DUMMYFUNCTION("""COMPUTED_VALUE"""),44915.7121176735)</f>
        <v>44915.712117673596</v>
      </c>
      <c r="B178" s="1" t="str">
        <f ca="1">IFERROR(__xludf.DUMMYFUNCTION("""COMPUTED_VALUE"""),"India")</f>
        <v>India</v>
      </c>
      <c r="C178" s="1">
        <f ca="1">IFERROR(__xludf.DUMMYFUNCTION("""COMPUTED_VALUE"""),502285)</f>
        <v>502285</v>
      </c>
      <c r="D178" s="1" t="str">
        <f ca="1">IFERROR(__xludf.DUMMYFUNCTION("""COMPUTED_VALUE"""),"Male")</f>
        <v>Male</v>
      </c>
      <c r="E178" s="1" t="str">
        <f ca="1">IFERROR(__xludf.DUMMYFUNCTION("""COMPUTED_VALUE"""),"My Parents")</f>
        <v>My Parents</v>
      </c>
      <c r="F178" s="1" t="str">
        <f ca="1">IFERROR(__xludf.DUMMYFUNCTION("""COMPUTED_VALUE"""),"No I would not be pursuing Higher Education outside of India")</f>
        <v>No I would not be pursuing Higher Education outside of India</v>
      </c>
      <c r="G178" s="1" t="str">
        <f ca="1">IFERROR(__xludf.DUMMYFUNCTION("""COMPUTED_VALUE"""),"This will be hard to do, but if it is the right company I would try")</f>
        <v>This will be hard to do, but if it is the right company I would try</v>
      </c>
      <c r="H178" s="1" t="str">
        <f ca="1">IFERROR(__xludf.DUMMYFUNCTION("""COMPUTED_VALUE"""),"Yes")</f>
        <v>Yes</v>
      </c>
      <c r="I178" s="1" t="str">
        <f ca="1">IFERROR(__xludf.DUMMYFUNCTION("""COMPUTED_VALUE"""),"Will work for them")</f>
        <v>Will work for them</v>
      </c>
      <c r="J178" s="1">
        <f ca="1">IFERROR(__xludf.DUMMYFUNCTION("""COMPUTED_VALUE"""),8)</f>
        <v>8</v>
      </c>
      <c r="K178" s="1" t="str">
        <f ca="1">IFERROR(__xludf.DUMMYFUNCTION("""COMPUTED_VALUE"""),"Every Day Office Environment")</f>
        <v>Every Day Office Environment</v>
      </c>
      <c r="L178" s="1" t="str">
        <f ca="1">IFERROR(__xludf.DUMMYFUNCTION("""COMPUTED_VALUE"""),"Employer who rewards learning and enables that environment")</f>
        <v>Employer who rewards learning and enables that environment</v>
      </c>
      <c r="M178" s="1" t="str">
        <f ca="1">IFERROR(__xludf.DUMMYFUNCTION("""COMPUTED_VALUE"""),"Self Paced Learning Portals, Instructor or Expert Learning Programs")</f>
        <v>Self Paced Learning Portals, Instructor or Expert Learning Programs</v>
      </c>
      <c r="N178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178" s="1" t="str">
        <f ca="1">IFERROR(__xludf.DUMMYFUNCTION("""COMPUTED_VALUE"""),"Manager who sets goal and helps me achieve it")</f>
        <v>Manager who sets goal and helps me achieve it</v>
      </c>
      <c r="P178" s="1" t="str">
        <f ca="1">IFERROR(__xludf.DUMMYFUNCTION("""COMPUTED_VALUE"""),"Work with 5 to 6 people in my team")</f>
        <v>Work with 5 to 6 people in my team</v>
      </c>
      <c r="Q178" s="1"/>
      <c r="R178" s="1"/>
      <c r="S178" s="1"/>
    </row>
    <row r="179" spans="1:19" ht="12.5" x14ac:dyDescent="0.25">
      <c r="A179" s="2">
        <f ca="1">IFERROR(__xludf.DUMMYFUNCTION("""COMPUTED_VALUE"""),44915.7211283101)</f>
        <v>44915.721128310099</v>
      </c>
      <c r="B179" s="1" t="str">
        <f ca="1">IFERROR(__xludf.DUMMYFUNCTION("""COMPUTED_VALUE"""),"India")</f>
        <v>India</v>
      </c>
      <c r="C179" s="1">
        <f ca="1">IFERROR(__xludf.DUMMYFUNCTION("""COMPUTED_VALUE"""),123106)</f>
        <v>123106</v>
      </c>
      <c r="D179" s="1" t="str">
        <f ca="1">IFERROR(__xludf.DUMMYFUNCTION("""COMPUTED_VALUE"""),"Male")</f>
        <v>Male</v>
      </c>
      <c r="E179" s="1" t="str">
        <f ca="1">IFERROR(__xludf.DUMMYFUNCTION("""COMPUTED_VALUE"""),"Influencers who had successful careers")</f>
        <v>Influencers who had successful careers</v>
      </c>
      <c r="F179" s="1" t="str">
        <f ca="1">IFERROR(__xludf.DUMMYFUNCTION("""COMPUTED_VALUE"""),"No, But if someone could bare the cost I will")</f>
        <v>No, But if someone could bare the cost I will</v>
      </c>
      <c r="G179" s="1" t="str">
        <f ca="1">IFERROR(__xludf.DUMMYFUNCTION("""COMPUTED_VALUE"""),"Will work for 3 years or more")</f>
        <v>Will work for 3 years or more</v>
      </c>
      <c r="H179" s="1" t="str">
        <f ca="1">IFERROR(__xludf.DUMMYFUNCTION("""COMPUTED_VALUE"""),"No")</f>
        <v>No</v>
      </c>
      <c r="I179" s="1" t="str">
        <f ca="1">IFERROR(__xludf.DUMMYFUNCTION("""COMPUTED_VALUE"""),"Will NOT work for them")</f>
        <v>Will NOT work for them</v>
      </c>
      <c r="J179" s="1">
        <f ca="1">IFERROR(__xludf.DUMMYFUNCTION("""COMPUTED_VALUE"""),3)</f>
        <v>3</v>
      </c>
      <c r="K179" s="1" t="str">
        <f ca="1">IFERROR(__xludf.DUMMYFUNCTION("""COMPUTED_VALUE"""),"Hybrid Working Environment with less than 15 days a month at office")</f>
        <v>Hybrid Working Environment with less than 15 days a month at office</v>
      </c>
      <c r="L1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9" s="1" t="str">
        <f ca="1">IFERROR(__xludf.DUMMYFUNCTION("""COMPUTED_VALUE"""),"Self Paced Learning Portals, Learning by observing others")</f>
        <v>Self Paced Learning Portals, Learning by observing others</v>
      </c>
      <c r="N179" s="1" t="str">
        <f ca="1">IFERROR(__xludf.DUMMYFUNCTION("""COMPUTED_VALUE"""),"Design and Creative strategy in any company, Business Operations in any organization, Work as a freelancer and do my thing my way")</f>
        <v>Design and Creative strategy in any company, Business Operations in any organization, Work as a freelancer and do my thing my way</v>
      </c>
      <c r="O179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" s="1" t="str">
        <f ca="1">IFERROR(__xludf.DUMMYFUNCTION("""COMPUTED_VALUE"""),"Work with 5 to 6 people in my team")</f>
        <v>Work with 5 to 6 people in my team</v>
      </c>
      <c r="Q179" s="1"/>
      <c r="R179" s="1"/>
      <c r="S179" s="1"/>
    </row>
    <row r="180" spans="1:19" ht="12.5" x14ac:dyDescent="0.25">
      <c r="A180" s="2">
        <f ca="1">IFERROR(__xludf.DUMMYFUNCTION("""COMPUTED_VALUE"""),44915.7309124074)</f>
        <v>44915.730912407402</v>
      </c>
      <c r="B180" s="1" t="str">
        <f ca="1">IFERROR(__xludf.DUMMYFUNCTION("""COMPUTED_VALUE"""),"India")</f>
        <v>India</v>
      </c>
      <c r="C180" s="1">
        <f ca="1">IFERROR(__xludf.DUMMYFUNCTION("""COMPUTED_VALUE"""),365541)</f>
        <v>365541</v>
      </c>
      <c r="D180" s="1" t="str">
        <f ca="1">IFERROR(__xludf.DUMMYFUNCTION("""COMPUTED_VALUE"""),"Female")</f>
        <v>Female</v>
      </c>
      <c r="E180" s="1" t="str">
        <f ca="1">IFERROR(__xludf.DUMMYFUNCTION("""COMPUTED_VALUE"""),"Social Media like LinkedIn")</f>
        <v>Social Media like LinkedIn</v>
      </c>
      <c r="F180" s="1" t="str">
        <f ca="1">IFERROR(__xludf.DUMMYFUNCTION("""COMPUTED_VALUE"""),"Yes, I will earn and do that")</f>
        <v>Yes, I will earn and do that</v>
      </c>
      <c r="G180" s="1" t="str">
        <f ca="1">IFERROR(__xludf.DUMMYFUNCTION("""COMPUTED_VALUE"""),"Will work for 3 years or more")</f>
        <v>Will work for 3 years or more</v>
      </c>
      <c r="H180" s="1" t="str">
        <f ca="1">IFERROR(__xludf.DUMMYFUNCTION("""COMPUTED_VALUE"""),"No")</f>
        <v>No</v>
      </c>
      <c r="I180" s="1" t="str">
        <f ca="1">IFERROR(__xludf.DUMMYFUNCTION("""COMPUTED_VALUE"""),"Will NOT work for them")</f>
        <v>Will NOT work for them</v>
      </c>
      <c r="J180" s="1">
        <f ca="1">IFERROR(__xludf.DUMMYFUNCTION("""COMPUTED_VALUE"""),5)</f>
        <v>5</v>
      </c>
      <c r="K180" s="1" t="str">
        <f ca="1">IFERROR(__xludf.DUMMYFUNCTION("""COMPUTED_VALUE"""),"Fully Remote with Options to travel as and when needed")</f>
        <v>Fully Remote with Options to travel as and when needed</v>
      </c>
      <c r="L180" s="1" t="str">
        <f ca="1">IFERROR(__xludf.DUMMYFUNCTION("""COMPUTED_VALUE"""),"Employer who appreciates learning and enables that environment")</f>
        <v>Employer who appreciates learning and enables that environment</v>
      </c>
      <c r="M180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80" s="1" t="str">
        <f ca="1">IFERROR(__xludf.DUMMYFUNCTION("""COMPUTED_VALUE"""),"Design and Creative strategy in any company, Teaching in any of the institutes/online or Offline, Become a content Creator in some platform")</f>
        <v>Design and Creative strategy in any company, Teaching in any of the institutes/online or Offline, Become a content Creator in some platform</v>
      </c>
      <c r="O180" s="1" t="str">
        <f ca="1">IFERROR(__xludf.DUMMYFUNCTION("""COMPUTED_VALUE"""),"Manager who clearly describes what she/he needs")</f>
        <v>Manager who clearly describes what she/he needs</v>
      </c>
      <c r="P180" s="1" t="str">
        <f ca="1">IFERROR(__xludf.DUMMYFUNCTION("""COMPUTED_VALUE"""),"Work alone")</f>
        <v>Work alone</v>
      </c>
      <c r="Q180" s="1"/>
      <c r="R180" s="1"/>
      <c r="S180" s="1"/>
    </row>
    <row r="181" spans="1:19" ht="12.5" x14ac:dyDescent="0.25">
      <c r="A181" s="2">
        <f ca="1">IFERROR(__xludf.DUMMYFUNCTION("""COMPUTED_VALUE"""),44915.7437567361)</f>
        <v>44915.743756736098</v>
      </c>
      <c r="B181" s="1" t="str">
        <f ca="1">IFERROR(__xludf.DUMMYFUNCTION("""COMPUTED_VALUE"""),"India")</f>
        <v>India</v>
      </c>
      <c r="C181" s="1">
        <f ca="1">IFERROR(__xludf.DUMMYFUNCTION("""COMPUTED_VALUE"""),425001)</f>
        <v>425001</v>
      </c>
      <c r="D181" s="1" t="str">
        <f ca="1">IFERROR(__xludf.DUMMYFUNCTION("""COMPUTED_VALUE"""),"Male")</f>
        <v>Male</v>
      </c>
      <c r="E181" s="1" t="str">
        <f ca="1">IFERROR(__xludf.DUMMYFUNCTION("""COMPUTED_VALUE"""),"People who have changed the world for better")</f>
        <v>People who have changed the world for better</v>
      </c>
      <c r="F181" s="1" t="str">
        <f ca="1">IFERROR(__xludf.DUMMYFUNCTION("""COMPUTED_VALUE"""),"Yes, I will earn and do that")</f>
        <v>Yes, I will earn and do that</v>
      </c>
      <c r="G181" s="1" t="str">
        <f ca="1">IFERROR(__xludf.DUMMYFUNCTION("""COMPUTED_VALUE"""),"This will be hard to do, but if it is the right company I would try")</f>
        <v>This will be hard to do, but if it is the right company I would try</v>
      </c>
      <c r="H181" s="1" t="str">
        <f ca="1">IFERROR(__xludf.DUMMYFUNCTION("""COMPUTED_VALUE"""),"No")</f>
        <v>No</v>
      </c>
      <c r="I181" s="1" t="str">
        <f ca="1">IFERROR(__xludf.DUMMYFUNCTION("""COMPUTED_VALUE"""),"Will NOT work for them")</f>
        <v>Will NOT work for them</v>
      </c>
      <c r="J181" s="1">
        <f ca="1">IFERROR(__xludf.DUMMYFUNCTION("""COMPUTED_VALUE"""),4)</f>
        <v>4</v>
      </c>
      <c r="K181" s="1" t="str">
        <f ca="1">IFERROR(__xludf.DUMMYFUNCTION("""COMPUTED_VALUE"""),"Hybrid Working Environment with less than 15 days a month at office")</f>
        <v>Hybrid Working Environment with less than 15 days a month at office</v>
      </c>
      <c r="L181" s="1" t="str">
        <f ca="1">IFERROR(__xludf.DUMMYFUNCTION("""COMPUTED_VALUE"""),"Employer who rewards learning and enables that environment")</f>
        <v>Employer who rewards learning and enables that environment</v>
      </c>
      <c r="M181" s="1" t="str">
        <f ca="1">IFERROR(__xludf.DUMMYFUNCTION("""COMPUTED_VALUE"""),"Instructor or Expert Learning Programs, Learning by observing others")</f>
        <v>Instructor or Expert Learning Programs, Learning by observing others</v>
      </c>
      <c r="N181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181" s="1" t="str">
        <f ca="1">IFERROR(__xludf.DUMMYFUNCTION("""COMPUTED_VALUE"""),"Manager who sets targets and expects me to achieve it")</f>
        <v>Manager who sets targets and expects me to achieve it</v>
      </c>
      <c r="P181" s="1" t="str">
        <f ca="1">IFERROR(__xludf.DUMMYFUNCTION("""COMPUTED_VALUE"""),"Work with 7 to 10 or more people in my team")</f>
        <v>Work with 7 to 10 or more people in my team</v>
      </c>
      <c r="Q181" s="1"/>
      <c r="R181" s="1"/>
      <c r="S181" s="1"/>
    </row>
    <row r="182" spans="1:19" ht="12.5" x14ac:dyDescent="0.25">
      <c r="A182" s="2">
        <f ca="1">IFERROR(__xludf.DUMMYFUNCTION("""COMPUTED_VALUE"""),44915.7467836111)</f>
        <v>44915.746783611103</v>
      </c>
      <c r="B182" s="1" t="str">
        <f ca="1">IFERROR(__xludf.DUMMYFUNCTION("""COMPUTED_VALUE"""),"India")</f>
        <v>India</v>
      </c>
      <c r="C182" s="1">
        <f ca="1">IFERROR(__xludf.DUMMYFUNCTION("""COMPUTED_VALUE"""),425001)</f>
        <v>425001</v>
      </c>
      <c r="D182" s="1" t="str">
        <f ca="1">IFERROR(__xludf.DUMMYFUNCTION("""COMPUTED_VALUE"""),"Male")</f>
        <v>Male</v>
      </c>
      <c r="E182" s="1" t="str">
        <f ca="1">IFERROR(__xludf.DUMMYFUNCTION("""COMPUTED_VALUE"""),"My Parents")</f>
        <v>My Parents</v>
      </c>
      <c r="F182" s="1" t="str">
        <f ca="1">IFERROR(__xludf.DUMMYFUNCTION("""COMPUTED_VALUE"""),"Yes, I will earn and do that")</f>
        <v>Yes, I will earn and do that</v>
      </c>
      <c r="G182" s="1" t="str">
        <f ca="1">IFERROR(__xludf.DUMMYFUNCTION("""COMPUTED_VALUE"""),"This will be hard to do, but if it is the right company I would try")</f>
        <v>This will be hard to do, but if it is the right company I would try</v>
      </c>
      <c r="H182" s="1" t="str">
        <f ca="1">IFERROR(__xludf.DUMMYFUNCTION("""COMPUTED_VALUE"""),"No")</f>
        <v>No</v>
      </c>
      <c r="I182" s="1" t="str">
        <f ca="1">IFERROR(__xludf.DUMMYFUNCTION("""COMPUTED_VALUE"""),"Will NOT work for them")</f>
        <v>Will NOT work for them</v>
      </c>
      <c r="J182" s="1">
        <f ca="1">IFERROR(__xludf.DUMMYFUNCTION("""COMPUTED_VALUE"""),3)</f>
        <v>3</v>
      </c>
      <c r="K182" s="1" t="str">
        <f ca="1">IFERROR(__xludf.DUMMYFUNCTION("""COMPUTED_VALUE"""),"Fully Remote with Options to travel as and when needed")</f>
        <v>Fully Remote with Options to travel as and when needed</v>
      </c>
      <c r="L182" s="1" t="str">
        <f ca="1">IFERROR(__xludf.DUMMYFUNCTION("""COMPUTED_VALUE"""),"Employer who appreciates learning and enables that environment")</f>
        <v>Employer who appreciates learning and enables that environment</v>
      </c>
      <c r="M182" s="1" t="str">
        <f ca="1">IFERROR(__xludf.DUMMYFUNCTION("""COMPUTED_VALUE"""),"Self Paced Learning Portals, Learning by observing others")</f>
        <v>Self Paced Learning Portals, Learning by observing others</v>
      </c>
      <c r="N182" s="1" t="str">
        <f ca="1">IFERROR(__xludf.DUMMYFUNCTION("""COMPUTED_VALUE"""),"Business Operations in any organization, Work as a freelancer and do my thing my way, Become a content Creator in some platform")</f>
        <v>Business Operations in any organization, Work as a freelancer and do my thing my way, Become a content Creator in some platform</v>
      </c>
      <c r="O182" s="1" t="str">
        <f ca="1">IFERROR(__xludf.DUMMYFUNCTION("""COMPUTED_VALUE"""),"Manager who sets goal and helps me achieve it")</f>
        <v>Manager who sets goal and helps me achieve it</v>
      </c>
      <c r="P182" s="1" t="str">
        <f ca="1">IFERROR(__xludf.DUMMYFUNCTION("""COMPUTED_VALUE"""),"Work alone")</f>
        <v>Work alone</v>
      </c>
      <c r="Q182" s="1"/>
      <c r="R182" s="1"/>
      <c r="S182" s="1"/>
    </row>
    <row r="183" spans="1:19" ht="12.5" x14ac:dyDescent="0.25">
      <c r="A183" s="2">
        <f ca="1">IFERROR(__xludf.DUMMYFUNCTION("""COMPUTED_VALUE"""),44915.7472612268)</f>
        <v>44915.747261226803</v>
      </c>
      <c r="B183" s="1" t="str">
        <f ca="1">IFERROR(__xludf.DUMMYFUNCTION("""COMPUTED_VALUE"""),"India")</f>
        <v>India</v>
      </c>
      <c r="C183" s="1">
        <f ca="1">IFERROR(__xludf.DUMMYFUNCTION("""COMPUTED_VALUE"""),424206)</f>
        <v>424206</v>
      </c>
      <c r="D183" s="1" t="str">
        <f ca="1">IFERROR(__xludf.DUMMYFUNCTION("""COMPUTED_VALUE"""),"Male")</f>
        <v>Male</v>
      </c>
      <c r="E183" s="1" t="str">
        <f ca="1">IFERROR(__xludf.DUMMYFUNCTION("""COMPUTED_VALUE"""),"My Parents")</f>
        <v>My Parents</v>
      </c>
      <c r="F183" s="1" t="str">
        <f ca="1">IFERROR(__xludf.DUMMYFUNCTION("""COMPUTED_VALUE"""),"No I would not be pursuing Higher Education outside of India")</f>
        <v>No I would not be pursuing Higher Education outside of India</v>
      </c>
      <c r="G183" s="1" t="str">
        <f ca="1">IFERROR(__xludf.DUMMYFUNCTION("""COMPUTED_VALUE"""),"Will work for 3 years or more")</f>
        <v>Will work for 3 years or more</v>
      </c>
      <c r="H183" s="1" t="str">
        <f ca="1">IFERROR(__xludf.DUMMYFUNCTION("""COMPUTED_VALUE"""),"No")</f>
        <v>No</v>
      </c>
      <c r="I183" s="1" t="str">
        <f ca="1">IFERROR(__xludf.DUMMYFUNCTION("""COMPUTED_VALUE"""),"Will NOT work for them")</f>
        <v>Will NOT work for them</v>
      </c>
      <c r="J183" s="1">
        <f ca="1">IFERROR(__xludf.DUMMYFUNCTION("""COMPUTED_VALUE"""),7)</f>
        <v>7</v>
      </c>
      <c r="K183" s="1" t="str">
        <f ca="1">IFERROR(__xludf.DUMMYFUNCTION("""COMPUTED_VALUE"""),"Fully Remote with Options to travel as and when needed")</f>
        <v>Fully Remote with Options to travel as and when needed</v>
      </c>
      <c r="L1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3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183" s="1" t="str">
        <f ca="1">IFERROR(__xludf.DUMMYFUNCTION("""COMPUTED_VALUE"""),"Manage and drive End-to-End Projects or Products, Build and develop a Team, Design and Develop amazing software")</f>
        <v>Manage and drive End-to-End Projects or Products, Build and develop a Team, Design and Develop amazing software</v>
      </c>
      <c r="O1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83" s="1" t="str">
        <f ca="1">IFERROR(__xludf.DUMMYFUNCTION("""COMPUTED_VALUE"""),"Work with more than 10 people in my team")</f>
        <v>Work with more than 10 people in my team</v>
      </c>
      <c r="Q183" s="1"/>
      <c r="R183" s="1"/>
      <c r="S183" s="1"/>
    </row>
    <row r="184" spans="1:19" ht="12.5" x14ac:dyDescent="0.25">
      <c r="A184" s="2">
        <f ca="1">IFERROR(__xludf.DUMMYFUNCTION("""COMPUTED_VALUE"""),44915.7488130324)</f>
        <v>44915.748813032398</v>
      </c>
      <c r="B184" s="1" t="str">
        <f ca="1">IFERROR(__xludf.DUMMYFUNCTION("""COMPUTED_VALUE"""),"India")</f>
        <v>India</v>
      </c>
      <c r="C184" s="1">
        <f ca="1">IFERROR(__xludf.DUMMYFUNCTION("""COMPUTED_VALUE"""),122004)</f>
        <v>122004</v>
      </c>
      <c r="D184" s="1" t="str">
        <f ca="1">IFERROR(__xludf.DUMMYFUNCTION("""COMPUTED_VALUE"""),"Male")</f>
        <v>Male</v>
      </c>
      <c r="E184" s="1" t="str">
        <f ca="1">IFERROR(__xludf.DUMMYFUNCTION("""COMPUTED_VALUE"""),"Social Media like LinkedIn")</f>
        <v>Social Media like LinkedIn</v>
      </c>
      <c r="F184" s="1" t="str">
        <f ca="1">IFERROR(__xludf.DUMMYFUNCTION("""COMPUTED_VALUE"""),"No, But if someone could bare the cost I will")</f>
        <v>No, But if someone could bare the cost I will</v>
      </c>
      <c r="G184" s="1" t="str">
        <f ca="1">IFERROR(__xludf.DUMMYFUNCTION("""COMPUTED_VALUE"""),"This will be hard to do, but if it is the right company I would try")</f>
        <v>This will be hard to do, but if it is the right company I would try</v>
      </c>
      <c r="H184" s="1" t="str">
        <f ca="1">IFERROR(__xludf.DUMMYFUNCTION("""COMPUTED_VALUE"""),"Yes")</f>
        <v>Yes</v>
      </c>
      <c r="I184" s="1" t="str">
        <f ca="1">IFERROR(__xludf.DUMMYFUNCTION("""COMPUTED_VALUE"""),"Will NOT work for them")</f>
        <v>Will NOT work for them</v>
      </c>
      <c r="J184" s="1">
        <f ca="1">IFERROR(__xludf.DUMMYFUNCTION("""COMPUTED_VALUE"""),3)</f>
        <v>3</v>
      </c>
      <c r="K184" s="1" t="str">
        <f ca="1">IFERROR(__xludf.DUMMYFUNCTION("""COMPUTED_VALUE"""),"Hybrid Working Environment with less than 15 days a month at office")</f>
        <v>Hybrid Working Environment with less than 15 days a month at office</v>
      </c>
      <c r="L1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84" s="1" t="str">
        <f ca="1">IFERROR(__xludf.DUMMYFUNCTION("""COMPUTED_VALUE"""),"Teaching in any of the institutes/online or Offline, Manage and drive End-to-End Projects or Products, Become a content Creator in some platform")</f>
        <v>Teaching in any of the institutes/online or Offline, Manage and drive End-to-End Projects or Products, Become a content Creator in some platform</v>
      </c>
      <c r="O184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84" s="1"/>
      <c r="R184" s="1"/>
      <c r="S184" s="1"/>
    </row>
    <row r="185" spans="1:19" ht="12.5" x14ac:dyDescent="0.25">
      <c r="A185" s="2">
        <f ca="1">IFERROR(__xludf.DUMMYFUNCTION("""COMPUTED_VALUE"""),44915.7590478935)</f>
        <v>44915.759047893502</v>
      </c>
      <c r="B185" s="1" t="str">
        <f ca="1">IFERROR(__xludf.DUMMYFUNCTION("""COMPUTED_VALUE"""),"India")</f>
        <v>India</v>
      </c>
      <c r="C185" s="1">
        <f ca="1">IFERROR(__xludf.DUMMYFUNCTION("""COMPUTED_VALUE"""),246701)</f>
        <v>246701</v>
      </c>
      <c r="D185" s="1" t="str">
        <f ca="1">IFERROR(__xludf.DUMMYFUNCTION("""COMPUTED_VALUE"""),"Female")</f>
        <v>Female</v>
      </c>
      <c r="E185" s="1" t="str">
        <f ca="1">IFERROR(__xludf.DUMMYFUNCTION("""COMPUTED_VALUE"""),"My Parents")</f>
        <v>My Parents</v>
      </c>
      <c r="F185" s="1" t="str">
        <f ca="1">IFERROR(__xludf.DUMMYFUNCTION("""COMPUTED_VALUE"""),"Yes, I will earn and do that")</f>
        <v>Yes, I will earn and do that</v>
      </c>
      <c r="G185" s="1" t="str">
        <f ca="1">IFERROR(__xludf.DUMMYFUNCTION("""COMPUTED_VALUE"""),"This will be hard to do, but if it is the right company I would try")</f>
        <v>This will be hard to do, but if it is the right company I would try</v>
      </c>
      <c r="H185" s="1" t="str">
        <f ca="1">IFERROR(__xludf.DUMMYFUNCTION("""COMPUTED_VALUE"""),"No")</f>
        <v>No</v>
      </c>
      <c r="I185" s="1" t="str">
        <f ca="1">IFERROR(__xludf.DUMMYFUNCTION("""COMPUTED_VALUE"""),"Will NOT work for them")</f>
        <v>Will NOT work for them</v>
      </c>
      <c r="J185" s="1">
        <f ca="1">IFERROR(__xludf.DUMMYFUNCTION("""COMPUTED_VALUE"""),5)</f>
        <v>5</v>
      </c>
      <c r="K185" s="1" t="str">
        <f ca="1">IFERROR(__xludf.DUMMYFUNCTION("""COMPUTED_VALUE"""),"Hybrid Working Environment with less than 15 days a month at office")</f>
        <v>Hybrid Working Environment with less than 15 days a month at office</v>
      </c>
      <c r="L1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5" s="1" t="str">
        <f ca="1">IFERROR(__xludf.DUMMYFUNCTION("""COMPUTED_VALUE"""),"Self Paced Learning Portals, Instructor or Expert Learning Programs")</f>
        <v>Self Paced Learning Portals, Instructor or Expert Learning Programs</v>
      </c>
      <c r="N185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185" s="1" t="str">
        <f ca="1">IFERROR(__xludf.DUMMYFUNCTION("""COMPUTED_VALUE"""),"Manager who explains what is expected, sets a goal and helps achieve it")</f>
        <v>Manager who explains what is expected, sets a goal and helps achieve it</v>
      </c>
      <c r="P185" s="1" t="str">
        <f ca="1">IFERROR(__xludf.DUMMYFUNCTION("""COMPUTED_VALUE"""),"Work with 2 to 3 people in my team")</f>
        <v>Work with 2 to 3 people in my team</v>
      </c>
      <c r="Q185" s="1"/>
      <c r="R185" s="1"/>
      <c r="S185" s="1"/>
    </row>
    <row r="186" spans="1:19" ht="12.5" x14ac:dyDescent="0.25">
      <c r="A186" s="2">
        <f ca="1">IFERROR(__xludf.DUMMYFUNCTION("""COMPUTED_VALUE"""),44915.77179603)</f>
        <v>44915.77179603</v>
      </c>
      <c r="B186" s="1" t="str">
        <f ca="1">IFERROR(__xludf.DUMMYFUNCTION("""COMPUTED_VALUE"""),"India")</f>
        <v>India</v>
      </c>
      <c r="C186" s="1">
        <f ca="1">IFERROR(__xludf.DUMMYFUNCTION("""COMPUTED_VALUE"""),412308)</f>
        <v>412308</v>
      </c>
      <c r="D186" s="1" t="str">
        <f ca="1">IFERROR(__xludf.DUMMYFUNCTION("""COMPUTED_VALUE"""),"Male")</f>
        <v>Male</v>
      </c>
      <c r="E186" s="1" t="str">
        <f ca="1">IFERROR(__xludf.DUMMYFUNCTION("""COMPUTED_VALUE"""),"People who have changed the world for better")</f>
        <v>People who have changed the world for better</v>
      </c>
      <c r="F186" s="1" t="str">
        <f ca="1">IFERROR(__xludf.DUMMYFUNCTION("""COMPUTED_VALUE"""),"No I would not be pursuing Higher Education outside of India")</f>
        <v>No I would not be pursuing Higher Education outside of India</v>
      </c>
      <c r="G186" s="1" t="str">
        <f ca="1">IFERROR(__xludf.DUMMYFUNCTION("""COMPUTED_VALUE"""),"Will work for 3 years or more")</f>
        <v>Will work for 3 years or more</v>
      </c>
      <c r="H186" s="1" t="str">
        <f ca="1">IFERROR(__xludf.DUMMYFUNCTION("""COMPUTED_VALUE"""),"No")</f>
        <v>No</v>
      </c>
      <c r="I186" s="1" t="str">
        <f ca="1">IFERROR(__xludf.DUMMYFUNCTION("""COMPUTED_VALUE"""),"Will NOT work for them")</f>
        <v>Will NOT work for them</v>
      </c>
      <c r="J186" s="1">
        <f ca="1">IFERROR(__xludf.DUMMYFUNCTION("""COMPUTED_VALUE"""),1)</f>
        <v>1</v>
      </c>
      <c r="K186" s="1" t="str">
        <f ca="1">IFERROR(__xludf.DUMMYFUNCTION("""COMPUTED_VALUE"""),"Every Day Office Environment")</f>
        <v>Every Day Office Environment</v>
      </c>
      <c r="L1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6" s="1" t="str">
        <f ca="1">IFERROR(__xludf.DUMMYFUNCTION("""COMPUTED_VALUE"""),"Self Paced Learning Portals, Instructor or Expert Learning Programs")</f>
        <v>Self Paced Learning Portals, Instructor or Expert Learning Programs</v>
      </c>
      <c r="N186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186" s="1" t="str">
        <f ca="1">IFERROR(__xludf.DUMMYFUNCTION("""COMPUTED_VALUE"""),"Manager who sets goal and helps me achieve it")</f>
        <v>Manager who sets goal and helps me achieve it</v>
      </c>
      <c r="P186" s="1" t="str">
        <f ca="1">IFERROR(__xludf.DUMMYFUNCTION("""COMPUTED_VALUE"""),"Work with more than 10 people in my team")</f>
        <v>Work with more than 10 people in my team</v>
      </c>
      <c r="Q186" s="1"/>
      <c r="R186" s="1"/>
      <c r="S186" s="1"/>
    </row>
    <row r="187" spans="1:19" ht="12.5" x14ac:dyDescent="0.25">
      <c r="A187" s="2">
        <f ca="1">IFERROR(__xludf.DUMMYFUNCTION("""COMPUTED_VALUE"""),44915.7724526736)</f>
        <v>44915.772452673598</v>
      </c>
      <c r="B187" s="1" t="str">
        <f ca="1">IFERROR(__xludf.DUMMYFUNCTION("""COMPUTED_VALUE"""),"India")</f>
        <v>India</v>
      </c>
      <c r="C187" s="1">
        <f ca="1">IFERROR(__xludf.DUMMYFUNCTION("""COMPUTED_VALUE"""),248001)</f>
        <v>248001</v>
      </c>
      <c r="D187" s="1" t="str">
        <f ca="1">IFERROR(__xludf.DUMMYFUNCTION("""COMPUTED_VALUE"""),"Female")</f>
        <v>Female</v>
      </c>
      <c r="E187" s="1" t="str">
        <f ca="1">IFERROR(__xludf.DUMMYFUNCTION("""COMPUTED_VALUE"""),"Social Media like LinkedIn")</f>
        <v>Social Media like LinkedIn</v>
      </c>
      <c r="F187" s="1" t="str">
        <f ca="1">IFERROR(__xludf.DUMMYFUNCTION("""COMPUTED_VALUE"""),"No, But if someone could bare the cost I will")</f>
        <v>No, But if someone could bare the cost I will</v>
      </c>
      <c r="G187" s="1" t="str">
        <f ca="1">IFERROR(__xludf.DUMMYFUNCTION("""COMPUTED_VALUE"""),"Will work for 3 years or more")</f>
        <v>Will work for 3 years or more</v>
      </c>
      <c r="H187" s="1" t="str">
        <f ca="1">IFERROR(__xludf.DUMMYFUNCTION("""COMPUTED_VALUE"""),"No")</f>
        <v>No</v>
      </c>
      <c r="I187" s="1" t="str">
        <f ca="1">IFERROR(__xludf.DUMMYFUNCTION("""COMPUTED_VALUE"""),"Will work for them")</f>
        <v>Will work for them</v>
      </c>
      <c r="J187" s="1">
        <f ca="1">IFERROR(__xludf.DUMMYFUNCTION("""COMPUTED_VALUE"""),5)</f>
        <v>5</v>
      </c>
      <c r="K187" s="1" t="str">
        <f ca="1">IFERROR(__xludf.DUMMYFUNCTION("""COMPUTED_VALUE"""),"Hybrid Working Environment with less than 10 days a month at office")</f>
        <v>Hybrid Working Environment with less than 10 days a month at office</v>
      </c>
      <c r="L187" s="1" t="str">
        <f ca="1">IFERROR(__xludf.DUMMYFUNCTION("""COMPUTED_VALUE"""),"Employer who appreciates learning and enables that environment")</f>
        <v>Employer who appreciates learning and enables that environment</v>
      </c>
      <c r="M187" s="1" t="str">
        <f ca="1">IFERROR(__xludf.DUMMYFUNCTION("""COMPUTED_VALUE"""),"Instructor or Expert Learning Programs, Learning by observing others")</f>
        <v>Instructor or Expert Learning Programs, Learning by observing others</v>
      </c>
      <c r="N187" s="1" t="str">
        <f ca="1">IFERROR(__xludf.DUMMYFUNCTION("""COMPUTED_VALUE"""),"Design and Develop amazing software, Look deeply into Data and generate insights, Work as a freelancer and do my thing my way")</f>
        <v>Design and Develop amazing software, Look deeply into Data and generate insights, Work as a freelancer and do my thing my way</v>
      </c>
      <c r="O187" s="1" t="str">
        <f ca="1">IFERROR(__xludf.DUMMYFUNCTION("""COMPUTED_VALUE"""),"Manager who clearly describes what she/he needs")</f>
        <v>Manager who clearly describes what she/he needs</v>
      </c>
      <c r="P187" s="1" t="str">
        <f ca="1">IFERROR(__xludf.DUMMYFUNCTION("""COMPUTED_VALUE"""),"Work with 5 to 6 people in my team")</f>
        <v>Work with 5 to 6 people in my team</v>
      </c>
      <c r="Q187" s="1"/>
      <c r="R187" s="1"/>
      <c r="S187" s="1"/>
    </row>
    <row r="188" spans="1:19" ht="12.5" x14ac:dyDescent="0.25">
      <c r="A188" s="2">
        <f ca="1">IFERROR(__xludf.DUMMYFUNCTION("""COMPUTED_VALUE"""),44915.8173163194)</f>
        <v>44915.817316319401</v>
      </c>
      <c r="B188" s="1" t="str">
        <f ca="1">IFERROR(__xludf.DUMMYFUNCTION("""COMPUTED_VALUE"""),"India")</f>
        <v>India</v>
      </c>
      <c r="C188" s="1">
        <f ca="1">IFERROR(__xludf.DUMMYFUNCTION("""COMPUTED_VALUE"""),500001)</f>
        <v>500001</v>
      </c>
      <c r="D188" s="1" t="str">
        <f ca="1">IFERROR(__xludf.DUMMYFUNCTION("""COMPUTED_VALUE"""),"Female")</f>
        <v>Female</v>
      </c>
      <c r="E188" s="1" t="str">
        <f ca="1">IFERROR(__xludf.DUMMYFUNCTION("""COMPUTED_VALUE"""),"People who have changed the world for better")</f>
        <v>People who have changed the world for better</v>
      </c>
      <c r="F188" s="1" t="str">
        <f ca="1">IFERROR(__xludf.DUMMYFUNCTION("""COMPUTED_VALUE"""),"No, But if someone could bare the cost I will")</f>
        <v>No, But if someone could bare the cost I will</v>
      </c>
      <c r="G188" s="1" t="str">
        <f ca="1">IFERROR(__xludf.DUMMYFUNCTION("""COMPUTED_VALUE"""),"This will be hard to do, but if it is the right company I would try")</f>
        <v>This will be hard to do, but if it is the right company I would try</v>
      </c>
      <c r="H188" s="1" t="str">
        <f ca="1">IFERROR(__xludf.DUMMYFUNCTION("""COMPUTED_VALUE"""),"No")</f>
        <v>No</v>
      </c>
      <c r="I188" s="1" t="str">
        <f ca="1">IFERROR(__xludf.DUMMYFUNCTION("""COMPUTED_VALUE"""),"Will NOT work for them")</f>
        <v>Will NOT work for them</v>
      </c>
      <c r="J188" s="1">
        <f ca="1">IFERROR(__xludf.DUMMYFUNCTION("""COMPUTED_VALUE"""),3)</f>
        <v>3</v>
      </c>
      <c r="K188" s="1" t="str">
        <f ca="1">IFERROR(__xludf.DUMMYFUNCTION("""COMPUTED_VALUE"""),"Fully Remote with Options to travel as and when needed")</f>
        <v>Fully Remote with Options to travel as and when needed</v>
      </c>
      <c r="L188" s="1" t="str">
        <f ca="1">IFERROR(__xludf.DUMMYFUNCTION("""COMPUTED_VALUE"""),"Employer who rewards learning and enables that environment")</f>
        <v>Employer who rewards learning and enables that environment</v>
      </c>
      <c r="M188" s="1" t="str">
        <f ca="1">IFERROR(__xludf.DUMMYFUNCTION("""COMPUTED_VALUE"""),"Self Paced Learning Portals, Learning by observing others")</f>
        <v>Self Paced Learning Portals, Learning by observing others</v>
      </c>
      <c r="N188" s="1" t="str">
        <f ca="1">IFERROR(__xludf.DUMMYFUNCTION("""COMPUTED_VALUE"""),"Design and Creative strategy in any company, Teaching in any of the institutes/online or Offline, Work as a freelancer and do my thing my way")</f>
        <v>Design and Creative strategy in any company, Teaching in any of the institutes/online or Offline, Work as a freelancer and do my thing my way</v>
      </c>
      <c r="O188" s="1" t="str">
        <f ca="1">IFERROR(__xludf.DUMMYFUNCTION("""COMPUTED_VALUE"""),"Manager who clearly describes what she/he needs")</f>
        <v>Manager who clearly describes what she/he needs</v>
      </c>
      <c r="P188" s="1" t="str">
        <f ca="1">IFERROR(__xludf.DUMMYFUNCTION("""COMPUTED_VALUE"""),"Work with 2 to 3 people in my team")</f>
        <v>Work with 2 to 3 people in my team</v>
      </c>
      <c r="Q188" s="1"/>
      <c r="R188" s="1"/>
      <c r="S188" s="1"/>
    </row>
    <row r="189" spans="1:19" ht="12.5" x14ac:dyDescent="0.25">
      <c r="A189" s="2">
        <f ca="1">IFERROR(__xludf.DUMMYFUNCTION("""COMPUTED_VALUE"""),44915.8195280439)</f>
        <v>44915.819528043903</v>
      </c>
      <c r="B189" s="1" t="str">
        <f ca="1">IFERROR(__xludf.DUMMYFUNCTION("""COMPUTED_VALUE"""),"India")</f>
        <v>India</v>
      </c>
      <c r="C189" s="1">
        <f ca="1">IFERROR(__xludf.DUMMYFUNCTION("""COMPUTED_VALUE"""),670504)</f>
        <v>670504</v>
      </c>
      <c r="D189" s="1" t="str">
        <f ca="1">IFERROR(__xludf.DUMMYFUNCTION("""COMPUTED_VALUE"""),"Female")</f>
        <v>Female</v>
      </c>
      <c r="E189" s="1" t="str">
        <f ca="1">IFERROR(__xludf.DUMMYFUNCTION("""COMPUTED_VALUE"""),"People from my circle, but not family members")</f>
        <v>People from my circle, but not family members</v>
      </c>
      <c r="F189" s="1" t="str">
        <f ca="1">IFERROR(__xludf.DUMMYFUNCTION("""COMPUTED_VALUE"""),"Yes, I will earn and do that")</f>
        <v>Yes, I will earn and do that</v>
      </c>
      <c r="G189" s="1" t="str">
        <f ca="1">IFERROR(__xludf.DUMMYFUNCTION("""COMPUTED_VALUE"""),"Will work for 3 years or more")</f>
        <v>Will work for 3 years or more</v>
      </c>
      <c r="H189" s="1" t="str">
        <f ca="1">IFERROR(__xludf.DUMMYFUNCTION("""COMPUTED_VALUE"""),"No")</f>
        <v>No</v>
      </c>
      <c r="I189" s="1" t="str">
        <f ca="1">IFERROR(__xludf.DUMMYFUNCTION("""COMPUTED_VALUE"""),"Will NOT work for them")</f>
        <v>Will NOT work for them</v>
      </c>
      <c r="J189" s="1">
        <f ca="1">IFERROR(__xludf.DUMMYFUNCTION("""COMPUTED_VALUE"""),1)</f>
        <v>1</v>
      </c>
      <c r="K189" s="1" t="str">
        <f ca="1">IFERROR(__xludf.DUMMYFUNCTION("""COMPUTED_VALUE"""),"Hybrid Working Environment with less than 15 days a month at office")</f>
        <v>Hybrid Working Environment with less than 15 days a month at office</v>
      </c>
      <c r="L189" s="1" t="str">
        <f ca="1">IFERROR(__xludf.DUMMYFUNCTION("""COMPUTED_VALUE"""),"Employer who rewards learning and enables that environment")</f>
        <v>Employer who rewards learning and enables that environment</v>
      </c>
      <c r="M18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89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189" s="1" t="str">
        <f ca="1">IFERROR(__xludf.DUMMYFUNCTION("""COMPUTED_VALUE"""),"Manager who clearly describes what she/he needs")</f>
        <v>Manager who clearly describes what she/he needs</v>
      </c>
      <c r="P189" s="1" t="str">
        <f ca="1">IFERROR(__xludf.DUMMYFUNCTION("""COMPUTED_VALUE"""),"Work with 2 to 3 people in my team")</f>
        <v>Work with 2 to 3 people in my team</v>
      </c>
      <c r="Q189" s="1"/>
      <c r="R189" s="1"/>
      <c r="S189" s="1"/>
    </row>
    <row r="190" spans="1:19" ht="12.5" x14ac:dyDescent="0.25">
      <c r="A190" s="2">
        <f ca="1">IFERROR(__xludf.DUMMYFUNCTION("""COMPUTED_VALUE"""),44915.8261888425)</f>
        <v>44915.826188842497</v>
      </c>
      <c r="B190" s="1" t="str">
        <f ca="1">IFERROR(__xludf.DUMMYFUNCTION("""COMPUTED_VALUE"""),"India")</f>
        <v>India</v>
      </c>
      <c r="C190" s="1">
        <f ca="1">IFERROR(__xludf.DUMMYFUNCTION("""COMPUTED_VALUE"""),301018)</f>
        <v>301018</v>
      </c>
      <c r="D190" s="1" t="str">
        <f ca="1">IFERROR(__xludf.DUMMYFUNCTION("""COMPUTED_VALUE"""),"Female")</f>
        <v>Female</v>
      </c>
      <c r="E190" s="1" t="str">
        <f ca="1">IFERROR(__xludf.DUMMYFUNCTION("""COMPUTED_VALUE"""),"My Parents")</f>
        <v>My Parents</v>
      </c>
      <c r="F190" s="1" t="str">
        <f ca="1">IFERROR(__xludf.DUMMYFUNCTION("""COMPUTED_VALUE"""),"No, But if someone could bare the cost I will")</f>
        <v>No, But if someone could bare the cost I will</v>
      </c>
      <c r="G190" s="1" t="str">
        <f ca="1">IFERROR(__xludf.DUMMYFUNCTION("""COMPUTED_VALUE"""),"This will be hard to do, but if it is the right company I would try")</f>
        <v>This will be hard to do, but if it is the right company I would try</v>
      </c>
      <c r="H190" s="1" t="str">
        <f ca="1">IFERROR(__xludf.DUMMYFUNCTION("""COMPUTED_VALUE"""),"Yes")</f>
        <v>Yes</v>
      </c>
      <c r="I190" s="1" t="str">
        <f ca="1">IFERROR(__xludf.DUMMYFUNCTION("""COMPUTED_VALUE"""),"Will NOT work for them")</f>
        <v>Will NOT work for them</v>
      </c>
      <c r="J190" s="1">
        <f ca="1">IFERROR(__xludf.DUMMYFUNCTION("""COMPUTED_VALUE"""),8)</f>
        <v>8</v>
      </c>
      <c r="K190" s="1" t="str">
        <f ca="1">IFERROR(__xludf.DUMMYFUNCTION("""COMPUTED_VALUE"""),"Fully Remote with Options to travel as and when needed")</f>
        <v>Fully Remote with Options to travel as and when needed</v>
      </c>
      <c r="L1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0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90" s="1" t="str">
        <f ca="1">IFERROR(__xludf.DUMMYFUNCTION("""COMPUTED_VALUE"""),"Manage and drive End-to-End Projects or Products, Work as a freelancer and do my thing my way, Become a content Creator in some platform")</f>
        <v>Manage and drive End-to-End Projects or Products, Work as a freelancer and do my thing my way, Become a content Creator in some platform</v>
      </c>
      <c r="O190" s="1" t="str">
        <f ca="1">IFERROR(__xludf.DUMMYFUNCTION("""COMPUTED_VALUE"""),"Manager who clearly describes what she/he needs")</f>
        <v>Manager who clearly describes what she/he needs</v>
      </c>
      <c r="P190" s="1" t="str">
        <f ca="1">IFERROR(__xludf.DUMMYFUNCTION("""COMPUTED_VALUE"""),"Work with 5 to 6 people in my team")</f>
        <v>Work with 5 to 6 people in my team</v>
      </c>
      <c r="Q190" s="1"/>
      <c r="R190" s="1"/>
      <c r="S190" s="1"/>
    </row>
    <row r="191" spans="1:19" ht="12.5" x14ac:dyDescent="0.25">
      <c r="A191" s="2">
        <f ca="1">IFERROR(__xludf.DUMMYFUNCTION("""COMPUTED_VALUE"""),44915.8706067013)</f>
        <v>44915.870606701297</v>
      </c>
      <c r="B191" s="1" t="str">
        <f ca="1">IFERROR(__xludf.DUMMYFUNCTION("""COMPUTED_VALUE"""),"India")</f>
        <v>India</v>
      </c>
      <c r="C191" s="1">
        <f ca="1">IFERROR(__xludf.DUMMYFUNCTION("""COMPUTED_VALUE"""),680307)</f>
        <v>680307</v>
      </c>
      <c r="D191" s="1" t="str">
        <f ca="1">IFERROR(__xludf.DUMMYFUNCTION("""COMPUTED_VALUE"""),"Female")</f>
        <v>Female</v>
      </c>
      <c r="E191" s="1" t="str">
        <f ca="1">IFERROR(__xludf.DUMMYFUNCTION("""COMPUTED_VALUE"""),"People who have changed the world for better")</f>
        <v>People who have changed the world for better</v>
      </c>
      <c r="F191" s="1" t="str">
        <f ca="1">IFERROR(__xludf.DUMMYFUNCTION("""COMPUTED_VALUE"""),"Yes, I will earn and do that")</f>
        <v>Yes, I will earn and do that</v>
      </c>
      <c r="G191" s="1" t="str">
        <f ca="1">IFERROR(__xludf.DUMMYFUNCTION("""COMPUTED_VALUE"""),"Will work for 3 years or more")</f>
        <v>Will work for 3 years or more</v>
      </c>
      <c r="H191" s="1" t="str">
        <f ca="1">IFERROR(__xludf.DUMMYFUNCTION("""COMPUTED_VALUE"""),"No")</f>
        <v>No</v>
      </c>
      <c r="I191" s="1" t="str">
        <f ca="1">IFERROR(__xludf.DUMMYFUNCTION("""COMPUTED_VALUE"""),"Will NOT work for them")</f>
        <v>Will NOT work for them</v>
      </c>
      <c r="J191" s="1">
        <f ca="1">IFERROR(__xludf.DUMMYFUNCTION("""COMPUTED_VALUE"""),1)</f>
        <v>1</v>
      </c>
      <c r="K191" s="1" t="str">
        <f ca="1">IFERROR(__xludf.DUMMYFUNCTION("""COMPUTED_VALUE"""),"Fully Remote with Options to travel as and when needed")</f>
        <v>Fully Remote with Options to travel as and when needed</v>
      </c>
      <c r="L1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1" s="1" t="str">
        <f ca="1">IFERROR(__xludf.DUMMYFUNCTION("""COMPUTED_VALUE"""),"Instructor or Expert Learning Programs, Learning by observing others")</f>
        <v>Instructor or Expert Learning Programs, Learning by observing others</v>
      </c>
      <c r="N191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191" s="1" t="str">
        <f ca="1">IFERROR(__xludf.DUMMYFUNCTION("""COMPUTED_VALUE"""),"Manager who clearly describes what she/he needs")</f>
        <v>Manager who clearly describes what she/he needs</v>
      </c>
      <c r="P191" s="1" t="str">
        <f ca="1">IFERROR(__xludf.DUMMYFUNCTION("""COMPUTED_VALUE"""),"Work with 2 to 3 people in my team")</f>
        <v>Work with 2 to 3 people in my team</v>
      </c>
      <c r="Q191" s="1"/>
      <c r="R191" s="1"/>
      <c r="S191" s="1"/>
    </row>
    <row r="192" spans="1:19" ht="12.5" x14ac:dyDescent="0.25">
      <c r="A192" s="2">
        <f ca="1">IFERROR(__xludf.DUMMYFUNCTION("""COMPUTED_VALUE"""),44915.8856304629)</f>
        <v>44915.885630462901</v>
      </c>
      <c r="B192" s="1" t="str">
        <f ca="1">IFERROR(__xludf.DUMMYFUNCTION("""COMPUTED_VALUE"""),"India")</f>
        <v>India</v>
      </c>
      <c r="C192" s="1">
        <f ca="1">IFERROR(__xludf.DUMMYFUNCTION("""COMPUTED_VALUE"""),607102)</f>
        <v>607102</v>
      </c>
      <c r="D192" s="1" t="str">
        <f ca="1">IFERROR(__xludf.DUMMYFUNCTION("""COMPUTED_VALUE"""),"Male")</f>
        <v>Male</v>
      </c>
      <c r="E192" s="1" t="str">
        <f ca="1">IFERROR(__xludf.DUMMYFUNCTION("""COMPUTED_VALUE"""),"My Parents")</f>
        <v>My Parents</v>
      </c>
      <c r="F192" s="1" t="str">
        <f ca="1">IFERROR(__xludf.DUMMYFUNCTION("""COMPUTED_VALUE"""),"Yes, I will earn and do that")</f>
        <v>Yes, I will earn and do that</v>
      </c>
      <c r="G192" s="1" t="str">
        <f ca="1">IFERROR(__xludf.DUMMYFUNCTION("""COMPUTED_VALUE"""),"Will work for 3 years or more")</f>
        <v>Will work for 3 years or more</v>
      </c>
      <c r="H192" s="1" t="str">
        <f ca="1">IFERROR(__xludf.DUMMYFUNCTION("""COMPUTED_VALUE"""),"Yes")</f>
        <v>Yes</v>
      </c>
      <c r="I192" s="1" t="str">
        <f ca="1">IFERROR(__xludf.DUMMYFUNCTION("""COMPUTED_VALUE"""),"Will work for them")</f>
        <v>Will work for them</v>
      </c>
      <c r="J192" s="1">
        <f ca="1">IFERROR(__xludf.DUMMYFUNCTION("""COMPUTED_VALUE"""),6)</f>
        <v>6</v>
      </c>
      <c r="K192" s="1" t="str">
        <f ca="1">IFERROR(__xludf.DUMMYFUNCTION("""COMPUTED_VALUE"""),"Every Day Office Environment")</f>
        <v>Every Day Office Environment</v>
      </c>
      <c r="L192" s="1" t="str">
        <f ca="1">IFERROR(__xludf.DUMMYFUNCTION("""COMPUTED_VALUE"""),"Employer who appreciates learning and enables that environment")</f>
        <v>Employer who appreciates learning and enables that environment</v>
      </c>
      <c r="M192" s="1" t="str">
        <f ca="1">IFERROR(__xludf.DUMMYFUNCTION("""COMPUTED_VALUE"""),"Self Paced Learning Portals, Learning by observing others")</f>
        <v>Self Paced Learning Portals, Learning by observing others</v>
      </c>
      <c r="N192" s="1" t="str">
        <f ca="1">IFERROR(__xludf.DUMMYFUNCTION("""COMPUTED_VALUE"""),"Design and Creative strategy in any company, Build and develop a Team, Look deeply into Data and generate insights")</f>
        <v>Design and Creative strategy in any company, Build and develop a Team, Look deeply into Data and generate insights</v>
      </c>
      <c r="O192" s="1" t="str">
        <f ca="1">IFERROR(__xludf.DUMMYFUNCTION("""COMPUTED_VALUE"""),"Manager who sets unrealistic targets")</f>
        <v>Manager who sets unrealistic targets</v>
      </c>
      <c r="P192" s="1" t="str">
        <f ca="1">IFERROR(__xludf.DUMMYFUNCTION("""COMPUTED_VALUE"""),"Work with 5 to 6 people in my team")</f>
        <v>Work with 5 to 6 people in my team</v>
      </c>
      <c r="Q192" s="1"/>
      <c r="R192" s="1"/>
      <c r="S192" s="1"/>
    </row>
    <row r="193" spans="1:19" ht="12.5" x14ac:dyDescent="0.25">
      <c r="A193" s="2">
        <f ca="1">IFERROR(__xludf.DUMMYFUNCTION("""COMPUTED_VALUE"""),44915.8905890046)</f>
        <v>44915.890589004601</v>
      </c>
      <c r="B193" s="1" t="str">
        <f ca="1">IFERROR(__xludf.DUMMYFUNCTION("""COMPUTED_VALUE"""),"India")</f>
        <v>India</v>
      </c>
      <c r="C193" s="1">
        <f ca="1">IFERROR(__xludf.DUMMYFUNCTION("""COMPUTED_VALUE"""),605110)</f>
        <v>605110</v>
      </c>
      <c r="D193" s="1" t="str">
        <f ca="1">IFERROR(__xludf.DUMMYFUNCTION("""COMPUTED_VALUE"""),"Male")</f>
        <v>Male</v>
      </c>
      <c r="E193" s="1" t="str">
        <f ca="1">IFERROR(__xludf.DUMMYFUNCTION("""COMPUTED_VALUE"""),"Social Media like LinkedIn")</f>
        <v>Social Media like LinkedIn</v>
      </c>
      <c r="F193" s="1" t="str">
        <f ca="1">IFERROR(__xludf.DUMMYFUNCTION("""COMPUTED_VALUE"""),"Yes, I will earn and do that")</f>
        <v>Yes, I will earn and do that</v>
      </c>
      <c r="G193" s="1" t="str">
        <f ca="1">IFERROR(__xludf.DUMMYFUNCTION("""COMPUTED_VALUE"""),"No way, 3 years with one employer is crazy")</f>
        <v>No way, 3 years with one employer is crazy</v>
      </c>
      <c r="H193" s="1" t="str">
        <f ca="1">IFERROR(__xludf.DUMMYFUNCTION("""COMPUTED_VALUE"""),"Yes")</f>
        <v>Yes</v>
      </c>
      <c r="I193" s="1" t="str">
        <f ca="1">IFERROR(__xludf.DUMMYFUNCTION("""COMPUTED_VALUE"""),"Will work for them")</f>
        <v>Will work for them</v>
      </c>
      <c r="J193" s="1">
        <f ca="1">IFERROR(__xludf.DUMMYFUNCTION("""COMPUTED_VALUE"""),5)</f>
        <v>5</v>
      </c>
      <c r="K193" s="1" t="str">
        <f ca="1">IFERROR(__xludf.DUMMYFUNCTION("""COMPUTED_VALUE"""),"Hybrid Working Environment with less than 3 days a month at office")</f>
        <v>Hybrid Working Environment with less than 3 days a month at office</v>
      </c>
      <c r="L1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3" s="1" t="str">
        <f ca="1">IFERROR(__xludf.DUMMYFUNCTION("""COMPUTED_VALUE"""),"Instructor or Expert Learning Programs, Learning by observing others")</f>
        <v>Instructor or Expert Learning Programs, Learning by observing others</v>
      </c>
      <c r="N193" s="1" t="str">
        <f ca="1">IFERROR(__xludf.DUMMYFUNCTION("""COMPUTED_VALUE"""),"Business Operations in any organization, Work as a freelancer and do my thing my way, Become a content Creator in some platform")</f>
        <v>Business Operations in any organization, Work as a freelancer and do my thing my way, Become a content Creator in some platform</v>
      </c>
      <c r="O193" s="1" t="str">
        <f ca="1">IFERROR(__xludf.DUMMYFUNCTION("""COMPUTED_VALUE"""),"Manager who explains what is expected, sets a goal and helps achieve it")</f>
        <v>Manager who explains what is expected, sets a goal and helps achieve it</v>
      </c>
      <c r="P193" s="1" t="str">
        <f ca="1">IFERROR(__xludf.DUMMYFUNCTION("""COMPUTED_VALUE"""),"Work alone")</f>
        <v>Work alone</v>
      </c>
      <c r="Q193" s="1"/>
      <c r="R193" s="1"/>
      <c r="S193" s="1"/>
    </row>
    <row r="194" spans="1:19" ht="12.5" x14ac:dyDescent="0.25">
      <c r="A194" s="2">
        <f ca="1">IFERROR(__xludf.DUMMYFUNCTION("""COMPUTED_VALUE"""),44915.8972149305)</f>
        <v>44915.897214930497</v>
      </c>
      <c r="B194" s="1" t="str">
        <f ca="1">IFERROR(__xludf.DUMMYFUNCTION("""COMPUTED_VALUE"""),"India")</f>
        <v>India</v>
      </c>
      <c r="C194" s="1">
        <f ca="1">IFERROR(__xludf.DUMMYFUNCTION("""COMPUTED_VALUE"""),680586)</f>
        <v>680586</v>
      </c>
      <c r="D194" s="1" t="str">
        <f ca="1">IFERROR(__xludf.DUMMYFUNCTION("""COMPUTED_VALUE"""),"Female")</f>
        <v>Female</v>
      </c>
      <c r="E194" s="1" t="str">
        <f ca="1">IFERROR(__xludf.DUMMYFUNCTION("""COMPUTED_VALUE"""),"Influencers who had successful careers")</f>
        <v>Influencers who had successful careers</v>
      </c>
      <c r="F194" s="1" t="str">
        <f ca="1">IFERROR(__xludf.DUMMYFUNCTION("""COMPUTED_VALUE"""),"Yes, I will earn and do that")</f>
        <v>Yes, I will earn and do that</v>
      </c>
      <c r="G194" s="1" t="str">
        <f ca="1">IFERROR(__xludf.DUMMYFUNCTION("""COMPUTED_VALUE"""),"Will work for 3 years or more")</f>
        <v>Will work for 3 years or more</v>
      </c>
      <c r="H194" s="1" t="str">
        <f ca="1">IFERROR(__xludf.DUMMYFUNCTION("""COMPUTED_VALUE"""),"No")</f>
        <v>No</v>
      </c>
      <c r="I194" s="1" t="str">
        <f ca="1">IFERROR(__xludf.DUMMYFUNCTION("""COMPUTED_VALUE"""),"Will NOT work for them")</f>
        <v>Will NOT work for them</v>
      </c>
      <c r="J194" s="1">
        <f ca="1">IFERROR(__xludf.DUMMYFUNCTION("""COMPUTED_VALUE"""),5)</f>
        <v>5</v>
      </c>
      <c r="K194" s="1" t="str">
        <f ca="1">IFERROR(__xludf.DUMMYFUNCTION("""COMPUTED_VALUE"""),"Fully Remote with Options to travel as and when needed")</f>
        <v>Fully Remote with Options to travel as and when needed</v>
      </c>
      <c r="L1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194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194" s="1" t="str">
        <f ca="1">IFERROR(__xludf.DUMMYFUNCTION("""COMPUTED_VALUE"""),"Manager who explains what is expected, sets a goal and helps achieve it")</f>
        <v>Manager who explains what is expected, sets a goal and helps achieve it</v>
      </c>
      <c r="P194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194" s="1"/>
      <c r="R194" s="1"/>
      <c r="S194" s="1"/>
    </row>
    <row r="195" spans="1:19" ht="12.5" x14ac:dyDescent="0.25">
      <c r="A195" s="2">
        <f ca="1">IFERROR(__xludf.DUMMYFUNCTION("""COMPUTED_VALUE"""),44915.9096861689)</f>
        <v>44915.909686168903</v>
      </c>
      <c r="B195" s="1" t="str">
        <f ca="1">IFERROR(__xludf.DUMMYFUNCTION("""COMPUTED_VALUE"""),"India")</f>
        <v>India</v>
      </c>
      <c r="C195" s="1">
        <f ca="1">IFERROR(__xludf.DUMMYFUNCTION("""COMPUTED_VALUE"""),431001)</f>
        <v>431001</v>
      </c>
      <c r="D195" s="1" t="str">
        <f ca="1">IFERROR(__xludf.DUMMYFUNCTION("""COMPUTED_VALUE"""),"Male")</f>
        <v>Male</v>
      </c>
      <c r="E195" s="1" t="str">
        <f ca="1">IFERROR(__xludf.DUMMYFUNCTION("""COMPUTED_VALUE"""),"Influencers who had successful careers")</f>
        <v>Influencers who had successful careers</v>
      </c>
      <c r="F195" s="1" t="str">
        <f ca="1">IFERROR(__xludf.DUMMYFUNCTION("""COMPUTED_VALUE"""),"Yes, I will earn and do that")</f>
        <v>Yes, I will earn and do that</v>
      </c>
      <c r="G195" s="1" t="str">
        <f ca="1">IFERROR(__xludf.DUMMYFUNCTION("""COMPUTED_VALUE"""),"This will be hard to do, but if it is the right company I would try")</f>
        <v>This will be hard to do, but if it is the right company I would try</v>
      </c>
      <c r="H195" s="1" t="str">
        <f ca="1">IFERROR(__xludf.DUMMYFUNCTION("""COMPUTED_VALUE"""),"No")</f>
        <v>No</v>
      </c>
      <c r="I195" s="1" t="str">
        <f ca="1">IFERROR(__xludf.DUMMYFUNCTION("""COMPUTED_VALUE"""),"Will NOT work for them")</f>
        <v>Will NOT work for them</v>
      </c>
      <c r="J195" s="1">
        <f ca="1">IFERROR(__xludf.DUMMYFUNCTION("""COMPUTED_VALUE"""),5)</f>
        <v>5</v>
      </c>
      <c r="K195" s="1" t="str">
        <f ca="1">IFERROR(__xludf.DUMMYFUNCTION("""COMPUTED_VALUE"""),"Hybrid Working Environment with less than 3 days a month at office")</f>
        <v>Hybrid Working Environment with less than 3 days a month at office</v>
      </c>
      <c r="L1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5" s="1" t="str">
        <f ca="1">IFERROR(__xludf.DUMMYFUNCTION("""COMPUTED_VALUE"""),"Self Paced Learning Portals, Instructor or Expert Learning Programs")</f>
        <v>Self Paced Learning Portals, Instructor or Expert Learning Programs</v>
      </c>
      <c r="N195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195" s="1" t="str">
        <f ca="1">IFERROR(__xludf.DUMMYFUNCTION("""COMPUTED_VALUE"""),"Manager who clearly describes what she/he needs")</f>
        <v>Manager who clearly describes what she/he needs</v>
      </c>
      <c r="P195" s="1" t="str">
        <f ca="1">IFERROR(__xludf.DUMMYFUNCTION("""COMPUTED_VALUE"""),"Work alone, Work with 2 to 3 people in my team")</f>
        <v>Work alone, Work with 2 to 3 people in my team</v>
      </c>
      <c r="Q195" s="1"/>
      <c r="R195" s="1"/>
      <c r="S195" s="1"/>
    </row>
    <row r="196" spans="1:19" ht="12.5" x14ac:dyDescent="0.25">
      <c r="A196" s="2">
        <f ca="1">IFERROR(__xludf.DUMMYFUNCTION("""COMPUTED_VALUE"""),44915.9221636574)</f>
        <v>44915.9221636574</v>
      </c>
      <c r="B196" s="1" t="str">
        <f ca="1">IFERROR(__xludf.DUMMYFUNCTION("""COMPUTED_VALUE"""),"India")</f>
        <v>India</v>
      </c>
      <c r="C196" s="1">
        <f ca="1">IFERROR(__xludf.DUMMYFUNCTION("""COMPUTED_VALUE"""),411046)</f>
        <v>411046</v>
      </c>
      <c r="D196" s="1" t="str">
        <f ca="1">IFERROR(__xludf.DUMMYFUNCTION("""COMPUTED_VALUE"""),"Male")</f>
        <v>Male</v>
      </c>
      <c r="E196" s="1" t="str">
        <f ca="1">IFERROR(__xludf.DUMMYFUNCTION("""COMPUTED_VALUE"""),"People who have changed the world for better")</f>
        <v>People who have changed the world for better</v>
      </c>
      <c r="F196" s="1" t="str">
        <f ca="1">IFERROR(__xludf.DUMMYFUNCTION("""COMPUTED_VALUE"""),"Yes, I will earn and do that")</f>
        <v>Yes, I will earn and do that</v>
      </c>
      <c r="G196" s="1" t="str">
        <f ca="1">IFERROR(__xludf.DUMMYFUNCTION("""COMPUTED_VALUE"""),"This will be hard to do, but if it is the right company I would try")</f>
        <v>This will be hard to do, but if it is the right company I would try</v>
      </c>
      <c r="H196" s="1" t="str">
        <f ca="1">IFERROR(__xludf.DUMMYFUNCTION("""COMPUTED_VALUE"""),"No")</f>
        <v>No</v>
      </c>
      <c r="I196" s="1" t="str">
        <f ca="1">IFERROR(__xludf.DUMMYFUNCTION("""COMPUTED_VALUE"""),"Will NOT work for them")</f>
        <v>Will NOT work for them</v>
      </c>
      <c r="J196" s="1">
        <f ca="1">IFERROR(__xludf.DUMMYFUNCTION("""COMPUTED_VALUE"""),1)</f>
        <v>1</v>
      </c>
      <c r="K196" s="1" t="str">
        <f ca="1">IFERROR(__xludf.DUMMYFUNCTION("""COMPUTED_VALUE"""),"Hybrid Working Environment with less than 15 days a month at office")</f>
        <v>Hybrid Working Environment with less than 15 days a month at office</v>
      </c>
      <c r="L1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6" s="1" t="str">
        <f ca="1">IFERROR(__xludf.DUMMYFUNCTION("""COMPUTED_VALUE"""),"Self Paced Learning Portals, Learning by observing others")</f>
        <v>Self Paced Learning Portals, Learning by observing others</v>
      </c>
      <c r="N196" s="1" t="str">
        <f ca="1">IFERROR(__xludf.DUMMYFUNCTION("""COMPUTED_VALUE"""),"Teaching in any of the institutes/online or Offline, Design and Develop amazing software, Work in a BPO setup for some well known client")</f>
        <v>Teaching in any of the institutes/online or Offline, Design and Develop amazing software, Work in a BPO setup for some well known client</v>
      </c>
      <c r="O196" s="1" t="str">
        <f ca="1">IFERROR(__xludf.DUMMYFUNCTION("""COMPUTED_VALUE"""),"Manager who sets targets and expects me to achieve it")</f>
        <v>Manager who sets targets and expects me to achieve it</v>
      </c>
      <c r="P19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96" s="1"/>
      <c r="R196" s="1"/>
      <c r="S196" s="1"/>
    </row>
    <row r="197" spans="1:19" ht="12.5" x14ac:dyDescent="0.25">
      <c r="A197" s="2">
        <f ca="1">IFERROR(__xludf.DUMMYFUNCTION("""COMPUTED_VALUE"""),44915.9319016435)</f>
        <v>44915.931901643497</v>
      </c>
      <c r="B197" s="1" t="str">
        <f ca="1">IFERROR(__xludf.DUMMYFUNCTION("""COMPUTED_VALUE"""),"India")</f>
        <v>India</v>
      </c>
      <c r="C197" s="1">
        <f ca="1">IFERROR(__xludf.DUMMYFUNCTION("""COMPUTED_VALUE"""),431105)</f>
        <v>431105</v>
      </c>
      <c r="D197" s="1" t="str">
        <f ca="1">IFERROR(__xludf.DUMMYFUNCTION("""COMPUTED_VALUE"""),"Male")</f>
        <v>Male</v>
      </c>
      <c r="E197" s="1" t="str">
        <f ca="1">IFERROR(__xludf.DUMMYFUNCTION("""COMPUTED_VALUE"""),"Influencers who had successful careers")</f>
        <v>Influencers who had successful careers</v>
      </c>
      <c r="F197" s="1" t="str">
        <f ca="1">IFERROR(__xludf.DUMMYFUNCTION("""COMPUTED_VALUE"""),"Yes, I will earn and do that")</f>
        <v>Yes, I will earn and do that</v>
      </c>
      <c r="G197" s="1" t="str">
        <f ca="1">IFERROR(__xludf.DUMMYFUNCTION("""COMPUTED_VALUE"""),"This will be hard to do, but if it is the right company I would try")</f>
        <v>This will be hard to do, but if it is the right company I would try</v>
      </c>
      <c r="H197" s="1" t="str">
        <f ca="1">IFERROR(__xludf.DUMMYFUNCTION("""COMPUTED_VALUE"""),"No")</f>
        <v>No</v>
      </c>
      <c r="I197" s="1" t="str">
        <f ca="1">IFERROR(__xludf.DUMMYFUNCTION("""COMPUTED_VALUE"""),"Will NOT work for them")</f>
        <v>Will NOT work for them</v>
      </c>
      <c r="J197" s="1">
        <f ca="1">IFERROR(__xludf.DUMMYFUNCTION("""COMPUTED_VALUE"""),7)</f>
        <v>7</v>
      </c>
      <c r="K197" s="1" t="str">
        <f ca="1">IFERROR(__xludf.DUMMYFUNCTION("""COMPUTED_VALUE"""),"Every Day Office Environment")</f>
        <v>Every Day Office Environment</v>
      </c>
      <c r="L1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7" s="1" t="str">
        <f ca="1">IFERROR(__xludf.DUMMYFUNCTION("""COMPUTED_VALUE"""),"Self Paced Learning Portals, Instructor or Expert Learning Programs")</f>
        <v>Self Paced Learning Portals, Instructor or Expert Learning Programs</v>
      </c>
      <c r="N197" s="1" t="str">
        <f ca="1">IFERROR(__xludf.DUMMYFUNCTION("""COMPUTED_VALUE"""),"Design and Creative strategy in any company, Teaching in any of the institutes/online or Offline, Manage and drive End-to-End Projects or Products")</f>
        <v>Design and Creative strategy in any company, Teaching in any of the institutes/online or Offline, Manage and drive End-to-End Projects or Products</v>
      </c>
      <c r="O197" s="1" t="str">
        <f ca="1">IFERROR(__xludf.DUMMYFUNCTION("""COMPUTED_VALUE"""),"Manager who explains what is expected, sets a goal and helps achieve it")</f>
        <v>Manager who explains what is expected, sets a goal and helps achieve it</v>
      </c>
      <c r="P197" s="1" t="str">
        <f ca="1">IFERROR(__xludf.DUMMYFUNCTION("""COMPUTED_VALUE"""),"Work with 5 to 6 people in my team")</f>
        <v>Work with 5 to 6 people in my team</v>
      </c>
      <c r="Q197" s="1"/>
      <c r="R197" s="1"/>
      <c r="S197" s="1"/>
    </row>
    <row r="198" spans="1:19" ht="12.5" x14ac:dyDescent="0.25">
      <c r="A198" s="2">
        <f ca="1">IFERROR(__xludf.DUMMYFUNCTION("""COMPUTED_VALUE"""),44915.9438703935)</f>
        <v>44915.943870393501</v>
      </c>
      <c r="B198" s="1" t="str">
        <f ca="1">IFERROR(__xludf.DUMMYFUNCTION("""COMPUTED_VALUE"""),"India")</f>
        <v>India</v>
      </c>
      <c r="C198" s="1">
        <f ca="1">IFERROR(__xludf.DUMMYFUNCTION("""COMPUTED_VALUE"""),110024)</f>
        <v>110024</v>
      </c>
      <c r="D198" s="1" t="str">
        <f ca="1">IFERROR(__xludf.DUMMYFUNCTION("""COMPUTED_VALUE"""),"Female")</f>
        <v>Female</v>
      </c>
      <c r="E198" s="1" t="str">
        <f ca="1">IFERROR(__xludf.DUMMYFUNCTION("""COMPUTED_VALUE"""),"People who have changed the world for better")</f>
        <v>People who have changed the world for better</v>
      </c>
      <c r="F198" s="1" t="str">
        <f ca="1">IFERROR(__xludf.DUMMYFUNCTION("""COMPUTED_VALUE"""),"Yes, I will earn and do that")</f>
        <v>Yes, I will earn and do that</v>
      </c>
      <c r="G198" s="1" t="str">
        <f ca="1">IFERROR(__xludf.DUMMYFUNCTION("""COMPUTED_VALUE"""),"This will be hard to do, but if it is the right company I would try")</f>
        <v>This will be hard to do, but if it is the right company I would try</v>
      </c>
      <c r="H198" s="1" t="str">
        <f ca="1">IFERROR(__xludf.DUMMYFUNCTION("""COMPUTED_VALUE"""),"No")</f>
        <v>No</v>
      </c>
      <c r="I198" s="1" t="str">
        <f ca="1">IFERROR(__xludf.DUMMYFUNCTION("""COMPUTED_VALUE"""),"Will NOT work for them")</f>
        <v>Will NOT work for them</v>
      </c>
      <c r="J198" s="1">
        <f ca="1">IFERROR(__xludf.DUMMYFUNCTION("""COMPUTED_VALUE"""),8)</f>
        <v>8</v>
      </c>
      <c r="K198" s="1" t="str">
        <f ca="1">IFERROR(__xludf.DUMMYFUNCTION("""COMPUTED_VALUE"""),"Hybrid Working Environment with less than 15 days a month at office")</f>
        <v>Hybrid Working Environment with less than 15 days a month at office</v>
      </c>
      <c r="L1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8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198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1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9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98" s="1"/>
      <c r="R198" s="1"/>
      <c r="S198" s="1"/>
    </row>
    <row r="199" spans="1:19" ht="12.5" x14ac:dyDescent="0.25">
      <c r="A199" s="2">
        <f ca="1">IFERROR(__xludf.DUMMYFUNCTION("""COMPUTED_VALUE"""),44915.9517313657)</f>
        <v>44915.951731365698</v>
      </c>
      <c r="B199" s="1" t="str">
        <f ca="1">IFERROR(__xludf.DUMMYFUNCTION("""COMPUTED_VALUE"""),"India")</f>
        <v>India</v>
      </c>
      <c r="C199" s="1">
        <f ca="1">IFERROR(__xludf.DUMMYFUNCTION("""COMPUTED_VALUE"""),431001)</f>
        <v>431001</v>
      </c>
      <c r="D199" s="1" t="str">
        <f ca="1">IFERROR(__xludf.DUMMYFUNCTION("""COMPUTED_VALUE"""),"Female")</f>
        <v>Female</v>
      </c>
      <c r="E199" s="1" t="str">
        <f ca="1">IFERROR(__xludf.DUMMYFUNCTION("""COMPUTED_VALUE"""),"Influencers who had successful careers")</f>
        <v>Influencers who had successful careers</v>
      </c>
      <c r="F199" s="1" t="str">
        <f ca="1">IFERROR(__xludf.DUMMYFUNCTION("""COMPUTED_VALUE"""),"No, But if someone could bare the cost I will")</f>
        <v>No, But if someone could bare the cost I will</v>
      </c>
      <c r="G199" s="1" t="str">
        <f ca="1">IFERROR(__xludf.DUMMYFUNCTION("""COMPUTED_VALUE"""),"Will work for 3 years or more")</f>
        <v>Will work for 3 years or more</v>
      </c>
      <c r="H199" s="1" t="str">
        <f ca="1">IFERROR(__xludf.DUMMYFUNCTION("""COMPUTED_VALUE"""),"Yes")</f>
        <v>Yes</v>
      </c>
      <c r="I199" s="1" t="str">
        <f ca="1">IFERROR(__xludf.DUMMYFUNCTION("""COMPUTED_VALUE"""),"Will work for them")</f>
        <v>Will work for them</v>
      </c>
      <c r="J199" s="1">
        <f ca="1">IFERROR(__xludf.DUMMYFUNCTION("""COMPUTED_VALUE"""),6)</f>
        <v>6</v>
      </c>
      <c r="K199" s="1" t="str">
        <f ca="1">IFERROR(__xludf.DUMMYFUNCTION("""COMPUTED_VALUE"""),"Hybrid Working Environment with less than 3 days a month at office")</f>
        <v>Hybrid Working Environment with less than 3 days a month at office</v>
      </c>
      <c r="L199" s="1" t="str">
        <f ca="1">IFERROR(__xludf.DUMMYFUNCTION("""COMPUTED_VALUE"""),"Employer who rewards learning and enables that environment")</f>
        <v>Employer who rewards learning and enables that environment</v>
      </c>
      <c r="M199" s="1" t="str">
        <f ca="1">IFERROR(__xludf.DUMMYFUNCTION("""COMPUTED_VALUE"""),"Self Paced Learning Portals, Learning by observing others")</f>
        <v>Self Paced Learning Portals, Learning by observing others</v>
      </c>
      <c r="N199" s="1" t="str">
        <f ca="1">IFERROR(__xludf.DUMMYFUNCTION("""COMPUTED_VALUE"""),"Manage and drive End-to-End Projects or Products, Look deeply into Data and generate insights, Work in a BPO setup for some well known client")</f>
        <v>Manage and drive End-to-End Projects or Products, Look deeply into Data and generate insights, Work in a BPO setup for some well known client</v>
      </c>
      <c r="O199" s="1" t="str">
        <f ca="1">IFERROR(__xludf.DUMMYFUNCTION("""COMPUTED_VALUE"""),"Manager who explains what is expected, sets a goal and helps achieve it")</f>
        <v>Manager who explains what is expected, sets a goal and helps achieve it</v>
      </c>
      <c r="P199" s="1" t="str">
        <f ca="1">IFERROR(__xludf.DUMMYFUNCTION("""COMPUTED_VALUE"""),"Work with 5 to 6 people in my team")</f>
        <v>Work with 5 to 6 people in my team</v>
      </c>
      <c r="Q199" s="1"/>
      <c r="R199" s="1"/>
      <c r="S199" s="1"/>
    </row>
    <row r="200" spans="1:19" ht="12.5" x14ac:dyDescent="0.25">
      <c r="A200" s="2">
        <f ca="1">IFERROR(__xludf.DUMMYFUNCTION("""COMPUTED_VALUE"""),44915.981112824)</f>
        <v>44915.981112824004</v>
      </c>
      <c r="B200" s="1" t="str">
        <f ca="1">IFERROR(__xludf.DUMMYFUNCTION("""COMPUTED_VALUE"""),"India")</f>
        <v>India</v>
      </c>
      <c r="C200" s="1">
        <f ca="1">IFERROR(__xludf.DUMMYFUNCTION("""COMPUTED_VALUE"""),425001)</f>
        <v>425001</v>
      </c>
      <c r="D200" s="1" t="str">
        <f ca="1">IFERROR(__xludf.DUMMYFUNCTION("""COMPUTED_VALUE"""),"Male")</f>
        <v>Male</v>
      </c>
      <c r="E200" s="1" t="str">
        <f ca="1">IFERROR(__xludf.DUMMYFUNCTION("""COMPUTED_VALUE"""),"Influencers who had successful careers")</f>
        <v>Influencers who had successful careers</v>
      </c>
      <c r="F200" s="1" t="str">
        <f ca="1">IFERROR(__xludf.DUMMYFUNCTION("""COMPUTED_VALUE"""),"Yes, I will earn and do that")</f>
        <v>Yes, I will earn and do that</v>
      </c>
      <c r="G200" s="1" t="str">
        <f ca="1">IFERROR(__xludf.DUMMYFUNCTION("""COMPUTED_VALUE"""),"This will be hard to do, but if it is the right company I would try")</f>
        <v>This will be hard to do, but if it is the right company I would try</v>
      </c>
      <c r="H200" s="1" t="str">
        <f ca="1">IFERROR(__xludf.DUMMYFUNCTION("""COMPUTED_VALUE"""),"Yes")</f>
        <v>Yes</v>
      </c>
      <c r="I200" s="1" t="str">
        <f ca="1">IFERROR(__xludf.DUMMYFUNCTION("""COMPUTED_VALUE"""),"Will NOT work for them")</f>
        <v>Will NOT work for them</v>
      </c>
      <c r="J200" s="1">
        <f ca="1">IFERROR(__xludf.DUMMYFUNCTION("""COMPUTED_VALUE"""),9)</f>
        <v>9</v>
      </c>
      <c r="K200" s="1" t="str">
        <f ca="1">IFERROR(__xludf.DUMMYFUNCTION("""COMPUTED_VALUE"""),"Hybrid Working Environment with less than 10 days a month at office")</f>
        <v>Hybrid Working Environment with less than 10 days a month at office</v>
      </c>
      <c r="L2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0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00" s="1" t="str">
        <f ca="1">IFERROR(__xludf.DUMMYFUNCTION("""COMPUTED_VALUE"""),"Manage and drive End-to-End Projects or Products, Build and develop a Team, Design and Develop amazing software")</f>
        <v>Manage and drive End-to-End Projects or Products, Build and develop a Team, Design and Develop amazing software</v>
      </c>
      <c r="O200" s="1" t="str">
        <f ca="1">IFERROR(__xludf.DUMMYFUNCTION("""COMPUTED_VALUE"""),"Manager who explains what is expected, sets a goal and helps achieve it")</f>
        <v>Manager who explains what is expected, sets a goal and helps achieve it</v>
      </c>
      <c r="P200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200" s="1"/>
      <c r="R200" s="1"/>
      <c r="S200" s="1"/>
    </row>
    <row r="201" spans="1:19" ht="12.5" x14ac:dyDescent="0.25">
      <c r="A201" s="2">
        <f ca="1">IFERROR(__xludf.DUMMYFUNCTION("""COMPUTED_VALUE"""),44916.2726616666)</f>
        <v>44916.272661666597</v>
      </c>
      <c r="B201" s="1" t="str">
        <f ca="1">IFERROR(__xludf.DUMMYFUNCTION("""COMPUTED_VALUE"""),"India")</f>
        <v>India</v>
      </c>
      <c r="C201" s="1">
        <f ca="1">IFERROR(__xludf.DUMMYFUNCTION("""COMPUTED_VALUE"""),500028)</f>
        <v>500028</v>
      </c>
      <c r="D201" s="1" t="str">
        <f ca="1">IFERROR(__xludf.DUMMYFUNCTION("""COMPUTED_VALUE"""),"Male")</f>
        <v>Male</v>
      </c>
      <c r="E201" s="1" t="str">
        <f ca="1">IFERROR(__xludf.DUMMYFUNCTION("""COMPUTED_VALUE"""),"People from my circle, but not family members")</f>
        <v>People from my circle, but not family members</v>
      </c>
      <c r="F201" s="1" t="str">
        <f ca="1">IFERROR(__xludf.DUMMYFUNCTION("""COMPUTED_VALUE"""),"Yes, I will earn and do that")</f>
        <v>Yes, I will earn and do that</v>
      </c>
      <c r="G201" s="1" t="str">
        <f ca="1">IFERROR(__xludf.DUMMYFUNCTION("""COMPUTED_VALUE"""),"No way, 3 years with one employer is crazy")</f>
        <v>No way, 3 years with one employer is crazy</v>
      </c>
      <c r="H201" s="1" t="str">
        <f ca="1">IFERROR(__xludf.DUMMYFUNCTION("""COMPUTED_VALUE"""),"Yes")</f>
        <v>Yes</v>
      </c>
      <c r="I201" s="1" t="str">
        <f ca="1">IFERROR(__xludf.DUMMYFUNCTION("""COMPUTED_VALUE"""),"Will work for them")</f>
        <v>Will work for them</v>
      </c>
      <c r="J201" s="1">
        <f ca="1">IFERROR(__xludf.DUMMYFUNCTION("""COMPUTED_VALUE"""),8)</f>
        <v>8</v>
      </c>
      <c r="K201" s="1" t="str">
        <f ca="1">IFERROR(__xludf.DUMMYFUNCTION("""COMPUTED_VALUE"""),"Fully Remote with Options to travel as and when needed")</f>
        <v>Fully Remote with Options to travel as and when needed</v>
      </c>
      <c r="L201" s="1" t="str">
        <f ca="1">IFERROR(__xludf.DUMMYFUNCTION("""COMPUTED_VALUE"""),"Employer who rewards learning and enables that environment")</f>
        <v>Employer who rewards learning and enables that environment</v>
      </c>
      <c r="M20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01" s="1" t="str">
        <f ca="1">IFERROR(__xludf.DUMMYFUNCTION("""COMPUTED_VALUE"""),"Design and Creative strategy in any company, Teaching in any of the institutes/online or Offline, Look deeply into Data and generate insights")</f>
        <v>Design and Creative strategy in any company, Teaching in any of the institutes/online or Offline, Look deeply into Data and generate insights</v>
      </c>
      <c r="O201" s="1" t="str">
        <f ca="1">IFERROR(__xludf.DUMMYFUNCTION("""COMPUTED_VALUE"""),"Manager who sets targets and expects me to achieve it")</f>
        <v>Manager who sets targets and expects me to achieve it</v>
      </c>
      <c r="P201" s="1" t="str">
        <f ca="1">IFERROR(__xludf.DUMMYFUNCTION("""COMPUTED_VALUE"""),"Work with 2 to 3 people in my team")</f>
        <v>Work with 2 to 3 people in my team</v>
      </c>
      <c r="Q201" s="1"/>
      <c r="R201" s="1"/>
      <c r="S201" s="1"/>
    </row>
    <row r="202" spans="1:19" ht="12.5" x14ac:dyDescent="0.25">
      <c r="A202" s="2">
        <f ca="1">IFERROR(__xludf.DUMMYFUNCTION("""COMPUTED_VALUE"""),44916.3063703935)</f>
        <v>44916.306370393497</v>
      </c>
      <c r="B202" s="1" t="str">
        <f ca="1">IFERROR(__xludf.DUMMYFUNCTION("""COMPUTED_VALUE"""),"India")</f>
        <v>India</v>
      </c>
      <c r="C202" s="1">
        <f ca="1">IFERROR(__xludf.DUMMYFUNCTION("""COMPUTED_VALUE"""),413525)</f>
        <v>413525</v>
      </c>
      <c r="D202" s="1" t="str">
        <f ca="1">IFERROR(__xludf.DUMMYFUNCTION("""COMPUTED_VALUE"""),"Male")</f>
        <v>Male</v>
      </c>
      <c r="E202" s="1" t="str">
        <f ca="1">IFERROR(__xludf.DUMMYFUNCTION("""COMPUTED_VALUE"""),"My Parents")</f>
        <v>My Parents</v>
      </c>
      <c r="F202" s="1" t="str">
        <f ca="1">IFERROR(__xludf.DUMMYFUNCTION("""COMPUTED_VALUE"""),"Yes, I will earn and do that")</f>
        <v>Yes, I will earn and do that</v>
      </c>
      <c r="G202" s="1" t="str">
        <f ca="1">IFERROR(__xludf.DUMMYFUNCTION("""COMPUTED_VALUE"""),"Will work for 3 years or more")</f>
        <v>Will work for 3 years or more</v>
      </c>
      <c r="H202" s="1" t="str">
        <f ca="1">IFERROR(__xludf.DUMMYFUNCTION("""COMPUTED_VALUE"""),"Yes")</f>
        <v>Yes</v>
      </c>
      <c r="I202" s="1" t="str">
        <f ca="1">IFERROR(__xludf.DUMMYFUNCTION("""COMPUTED_VALUE"""),"Will work for them")</f>
        <v>Will work for them</v>
      </c>
      <c r="J202" s="1">
        <f ca="1">IFERROR(__xludf.DUMMYFUNCTION("""COMPUTED_VALUE"""),7)</f>
        <v>7</v>
      </c>
      <c r="K202" s="1" t="str">
        <f ca="1">IFERROR(__xludf.DUMMYFUNCTION("""COMPUTED_VALUE"""),"Hybrid Working Environment with less than 3 days a month at office")</f>
        <v>Hybrid Working Environment with less than 3 days a month at office</v>
      </c>
      <c r="L202" s="1" t="str">
        <f ca="1">IFERROR(__xludf.DUMMYFUNCTION("""COMPUTED_VALUE"""),"Employer who appreciates learning and enables that environment")</f>
        <v>Employer who appreciates learning and enables that environment</v>
      </c>
      <c r="M202" s="1" t="str">
        <f ca="1">IFERROR(__xludf.DUMMYFUNCTION("""COMPUTED_VALUE"""),"Self Paced Learning Portals, Learning by observing others")</f>
        <v>Self Paced Learning Portals, Learning by observing others</v>
      </c>
      <c r="N202" s="1" t="str">
        <f ca="1">IFERROR(__xludf.DUMMYFUNCTION("""COMPUTED_VALUE"""),"Business Operations in any organization, Build and develop a Team, Become a content Creator in some platform")</f>
        <v>Business Operations in any organization, Build and develop a Team, Become a content Creator in some platform</v>
      </c>
      <c r="O202" s="1" t="str">
        <f ca="1">IFERROR(__xludf.DUMMYFUNCTION("""COMPUTED_VALUE"""),"Manager who sets targets and expects me to achieve it")</f>
        <v>Manager who sets targets and expects me to achieve it</v>
      </c>
      <c r="P202" s="1" t="str">
        <f ca="1">IFERROR(__xludf.DUMMYFUNCTION("""COMPUTED_VALUE"""),"Work alone")</f>
        <v>Work alone</v>
      </c>
      <c r="Q202" s="1"/>
      <c r="R202" s="1"/>
      <c r="S202" s="1"/>
    </row>
    <row r="203" spans="1:19" ht="12.5" x14ac:dyDescent="0.25">
      <c r="A203" s="2">
        <f ca="1">IFERROR(__xludf.DUMMYFUNCTION("""COMPUTED_VALUE"""),44916.4995969675)</f>
        <v>44916.4995969675</v>
      </c>
      <c r="B203" s="1" t="str">
        <f ca="1">IFERROR(__xludf.DUMMYFUNCTION("""COMPUTED_VALUE"""),"India")</f>
        <v>India</v>
      </c>
      <c r="C203" s="1">
        <f ca="1">IFERROR(__xludf.DUMMYFUNCTION("""COMPUTED_VALUE"""),691505)</f>
        <v>691505</v>
      </c>
      <c r="D203" s="1" t="str">
        <f ca="1">IFERROR(__xludf.DUMMYFUNCTION("""COMPUTED_VALUE"""),"Male")</f>
        <v>Male</v>
      </c>
      <c r="E203" s="1" t="str">
        <f ca="1">IFERROR(__xludf.DUMMYFUNCTION("""COMPUTED_VALUE"""),"People from my circle, but not family members")</f>
        <v>People from my circle, but not family members</v>
      </c>
      <c r="F203" s="1" t="str">
        <f ca="1">IFERROR(__xludf.DUMMYFUNCTION("""COMPUTED_VALUE"""),"No, But if someone could bare the cost I will")</f>
        <v>No, But if someone could bare the cost I will</v>
      </c>
      <c r="G203" s="1" t="str">
        <f ca="1">IFERROR(__xludf.DUMMYFUNCTION("""COMPUTED_VALUE"""),"This will be hard to do, but if it is the right company I would try")</f>
        <v>This will be hard to do, but if it is the right company I would try</v>
      </c>
      <c r="H203" s="1" t="str">
        <f ca="1">IFERROR(__xludf.DUMMYFUNCTION("""COMPUTED_VALUE"""),"Yes")</f>
        <v>Yes</v>
      </c>
      <c r="I203" s="1" t="str">
        <f ca="1">IFERROR(__xludf.DUMMYFUNCTION("""COMPUTED_VALUE"""),"Will work for them")</f>
        <v>Will work for them</v>
      </c>
      <c r="J203" s="1">
        <f ca="1">IFERROR(__xludf.DUMMYFUNCTION("""COMPUTED_VALUE"""),8)</f>
        <v>8</v>
      </c>
      <c r="K203" s="1" t="str">
        <f ca="1">IFERROR(__xludf.DUMMYFUNCTION("""COMPUTED_VALUE"""),"Hybrid Working Environment with less than 15 days a month at office")</f>
        <v>Hybrid Working Environment with less than 15 days a month at office</v>
      </c>
      <c r="L203" s="1" t="str">
        <f ca="1">IFERROR(__xludf.DUMMYFUNCTION("""COMPUTED_VALUE"""),"Employer who rewards learning and enables that environment")</f>
        <v>Employer who rewards learning and enables that environment</v>
      </c>
      <c r="M203" s="1" t="str">
        <f ca="1">IFERROR(__xludf.DUMMYFUNCTION("""COMPUTED_VALUE"""),"Self Paced Learning Portals, Instructor or Expert Learning Programs")</f>
        <v>Self Paced Learning Portals, Instructor or Expert Learning Programs</v>
      </c>
      <c r="N203" s="1" t="str">
        <f ca="1">IFERROR(__xludf.DUMMYFUNCTION("""COMPUTED_VALUE"""),"Teaching in any of the institutes/online or Offline, Work in a BPO setup for some well known client, Work as a freelancer and do my thing my way")</f>
        <v>Teaching in any of the institutes/online or Offline, Work in a BPO setup for some well known client, Work as a freelancer and do my thing my way</v>
      </c>
      <c r="O203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" s="1" t="str">
        <f ca="1">IFERROR(__xludf.DUMMYFUNCTION("""COMPUTED_VALUE"""),"Work with 5 to 6 people in my team")</f>
        <v>Work with 5 to 6 people in my team</v>
      </c>
      <c r="Q203" s="1"/>
      <c r="R203" s="1"/>
      <c r="S203" s="1"/>
    </row>
    <row r="204" spans="1:19" ht="12.5" x14ac:dyDescent="0.25">
      <c r="A204" s="2">
        <f ca="1">IFERROR(__xludf.DUMMYFUNCTION("""COMPUTED_VALUE"""),44916.5014487615)</f>
        <v>44916.501448761497</v>
      </c>
      <c r="B204" s="1" t="str">
        <f ca="1">IFERROR(__xludf.DUMMYFUNCTION("""COMPUTED_VALUE"""),"India")</f>
        <v>India</v>
      </c>
      <c r="C204" s="1">
        <f ca="1">IFERROR(__xludf.DUMMYFUNCTION("""COMPUTED_VALUE"""),605110)</f>
        <v>605110</v>
      </c>
      <c r="D204" s="1" t="str">
        <f ca="1">IFERROR(__xludf.DUMMYFUNCTION("""COMPUTED_VALUE"""),"Male")</f>
        <v>Male</v>
      </c>
      <c r="E204" s="1" t="str">
        <f ca="1">IFERROR(__xludf.DUMMYFUNCTION("""COMPUTED_VALUE"""),"My Parents")</f>
        <v>My Parents</v>
      </c>
      <c r="F204" s="1" t="str">
        <f ca="1">IFERROR(__xludf.DUMMYFUNCTION("""COMPUTED_VALUE"""),"No I would not be pursuing Higher Education outside of India")</f>
        <v>No I would not be pursuing Higher Education outside of India</v>
      </c>
      <c r="G204" s="1" t="str">
        <f ca="1">IFERROR(__xludf.DUMMYFUNCTION("""COMPUTED_VALUE"""),"This will be hard to do, but if it is the right company I would try")</f>
        <v>This will be hard to do, but if it is the right company I would try</v>
      </c>
      <c r="H204" s="1" t="str">
        <f ca="1">IFERROR(__xludf.DUMMYFUNCTION("""COMPUTED_VALUE"""),"No")</f>
        <v>No</v>
      </c>
      <c r="I204" s="1" t="str">
        <f ca="1">IFERROR(__xludf.DUMMYFUNCTION("""COMPUTED_VALUE"""),"Will NOT work for them")</f>
        <v>Will NOT work for them</v>
      </c>
      <c r="J204" s="1">
        <f ca="1">IFERROR(__xludf.DUMMYFUNCTION("""COMPUTED_VALUE"""),5)</f>
        <v>5</v>
      </c>
      <c r="K204" s="1" t="str">
        <f ca="1">IFERROR(__xludf.DUMMYFUNCTION("""COMPUTED_VALUE"""),"Hybrid Working Environment with less than 15 days a month at office")</f>
        <v>Hybrid Working Environment with less than 15 days a month at office</v>
      </c>
      <c r="L204" s="1" t="str">
        <f ca="1">IFERROR(__xludf.DUMMYFUNCTION("""COMPUTED_VALUE"""),"Employer who appreciates learning and enables that environment")</f>
        <v>Employer who appreciates learning and enables that environment</v>
      </c>
      <c r="M204" s="1" t="str">
        <f ca="1">IFERROR(__xludf.DUMMYFUNCTION("""COMPUTED_VALUE"""),"Self Paced Learning Portals, Instructor or Expert Learning Programs")</f>
        <v>Self Paced Learning Portals, Instructor or Expert Learning Programs</v>
      </c>
      <c r="N204" s="1" t="str">
        <f ca="1">IFERROR(__xludf.DUMMYFUNCTION("""COMPUTED_VALUE"""),"Business Operations in any organization, Build and develop a Team, Work as a freelancer and do my thing my way")</f>
        <v>Business Operations in any organization, Build and develop a Team, Work as a freelancer and do my thing my way</v>
      </c>
      <c r="O204" s="1" t="str">
        <f ca="1">IFERROR(__xludf.DUMMYFUNCTION("""COMPUTED_VALUE"""),"Manager who sets goal and helps me achieve it")</f>
        <v>Manager who sets goal and helps me achieve it</v>
      </c>
      <c r="P204" s="1" t="str">
        <f ca="1">IFERROR(__xludf.DUMMYFUNCTION("""COMPUTED_VALUE"""),"Work with 5 to 6 people in my team")</f>
        <v>Work with 5 to 6 people in my team</v>
      </c>
      <c r="Q204" s="1"/>
      <c r="R204" s="1"/>
      <c r="S204" s="1"/>
    </row>
    <row r="205" spans="1:19" ht="12.5" x14ac:dyDescent="0.25">
      <c r="A205" s="2">
        <f ca="1">IFERROR(__xludf.DUMMYFUNCTION("""COMPUTED_VALUE"""),44916.5382517129)</f>
        <v>44916.538251712896</v>
      </c>
      <c r="B205" s="1" t="str">
        <f ca="1">IFERROR(__xludf.DUMMYFUNCTION("""COMPUTED_VALUE"""),"India")</f>
        <v>India</v>
      </c>
      <c r="C205" s="1">
        <f ca="1">IFERROR(__xludf.DUMMYFUNCTION("""COMPUTED_VALUE"""),673507)</f>
        <v>673507</v>
      </c>
      <c r="D205" s="1" t="str">
        <f ca="1">IFERROR(__xludf.DUMMYFUNCTION("""COMPUTED_VALUE"""),"Female")</f>
        <v>Female</v>
      </c>
      <c r="E205" s="1" t="str">
        <f ca="1">IFERROR(__xludf.DUMMYFUNCTION("""COMPUTED_VALUE"""),"People from my circle, but not family members")</f>
        <v>People from my circle, but not family members</v>
      </c>
      <c r="F205" s="1" t="str">
        <f ca="1">IFERROR(__xludf.DUMMYFUNCTION("""COMPUTED_VALUE"""),"No I would not be pursuing Higher Education outside of India")</f>
        <v>No I would not be pursuing Higher Education outside of India</v>
      </c>
      <c r="G205" s="1" t="str">
        <f ca="1">IFERROR(__xludf.DUMMYFUNCTION("""COMPUTED_VALUE"""),"No way, 3 years with one employer is crazy")</f>
        <v>No way, 3 years with one employer is crazy</v>
      </c>
      <c r="H205" s="1" t="str">
        <f ca="1">IFERROR(__xludf.DUMMYFUNCTION("""COMPUTED_VALUE"""),"No")</f>
        <v>No</v>
      </c>
      <c r="I205" s="1" t="str">
        <f ca="1">IFERROR(__xludf.DUMMYFUNCTION("""COMPUTED_VALUE"""),"Will NOT work for them")</f>
        <v>Will NOT work for them</v>
      </c>
      <c r="J205" s="1">
        <f ca="1">IFERROR(__xludf.DUMMYFUNCTION("""COMPUTED_VALUE"""),1)</f>
        <v>1</v>
      </c>
      <c r="K205" s="1" t="str">
        <f ca="1">IFERROR(__xludf.DUMMYFUNCTION("""COMPUTED_VALUE"""),"Hybrid Working Environment with less than 10 days a month at office")</f>
        <v>Hybrid Working Environment with less than 10 days a month at office</v>
      </c>
      <c r="L205" s="1" t="str">
        <f ca="1">IFERROR(__xludf.DUMMYFUNCTION("""COMPUTED_VALUE"""),"Employer who rewards learning and enables that environment")</f>
        <v>Employer who rewards learning and enables that environment</v>
      </c>
      <c r="M205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05" s="1" t="str">
        <f ca="1">IFERROR(__xludf.DUMMYFUNCTION("""COMPUTED_VALUE"""),"Design and Develop amazing software, Look deeply into Data and generate insights, Work as a freelancer and do my thing my way")</f>
        <v>Design and Develop amazing software, Look deeply into Data and generate insights, Work as a freelancer and do my thing my way</v>
      </c>
      <c r="O205" s="1" t="str">
        <f ca="1">IFERROR(__xludf.DUMMYFUNCTION("""COMPUTED_VALUE"""),"Manager who clearly describes what she/he needs")</f>
        <v>Manager who clearly describes what she/he needs</v>
      </c>
      <c r="P205" s="1" t="str">
        <f ca="1">IFERROR(__xludf.DUMMYFUNCTION("""COMPUTED_VALUE"""),"Work with 7 to 10 or more people in my team")</f>
        <v>Work with 7 to 10 or more people in my team</v>
      </c>
      <c r="Q205" s="1"/>
      <c r="R205" s="1"/>
      <c r="S205" s="1"/>
    </row>
    <row r="206" spans="1:19" ht="12.5" x14ac:dyDescent="0.25">
      <c r="A206" s="2">
        <f ca="1">IFERROR(__xludf.DUMMYFUNCTION("""COMPUTED_VALUE"""),44916.5708442361)</f>
        <v>44916.570844236099</v>
      </c>
      <c r="B206" s="1" t="str">
        <f ca="1">IFERROR(__xludf.DUMMYFUNCTION("""COMPUTED_VALUE"""),"India")</f>
        <v>India</v>
      </c>
      <c r="C206" s="1">
        <f ca="1">IFERROR(__xludf.DUMMYFUNCTION("""COMPUTED_VALUE"""),796701)</f>
        <v>796701</v>
      </c>
      <c r="D206" s="1" t="str">
        <f ca="1">IFERROR(__xludf.DUMMYFUNCTION("""COMPUTED_VALUE"""),"Female")</f>
        <v>Female</v>
      </c>
      <c r="E206" s="1" t="str">
        <f ca="1">IFERROR(__xludf.DUMMYFUNCTION("""COMPUTED_VALUE"""),"People who have changed the world for better")</f>
        <v>People who have changed the world for better</v>
      </c>
      <c r="F206" s="1" t="str">
        <f ca="1">IFERROR(__xludf.DUMMYFUNCTION("""COMPUTED_VALUE"""),"No, But if someone could bare the cost I will")</f>
        <v>No, But if someone could bare the cost I will</v>
      </c>
      <c r="G206" s="1" t="str">
        <f ca="1">IFERROR(__xludf.DUMMYFUNCTION("""COMPUTED_VALUE"""),"This will be hard to do, but if it is the right company I would try")</f>
        <v>This will be hard to do, but if it is the right company I would try</v>
      </c>
      <c r="H206" s="1" t="str">
        <f ca="1">IFERROR(__xludf.DUMMYFUNCTION("""COMPUTED_VALUE"""),"No")</f>
        <v>No</v>
      </c>
      <c r="I206" s="1" t="str">
        <f ca="1">IFERROR(__xludf.DUMMYFUNCTION("""COMPUTED_VALUE"""),"Will NOT work for them")</f>
        <v>Will NOT work for them</v>
      </c>
      <c r="J206" s="1">
        <f ca="1">IFERROR(__xludf.DUMMYFUNCTION("""COMPUTED_VALUE"""),3)</f>
        <v>3</v>
      </c>
      <c r="K206" s="1" t="str">
        <f ca="1">IFERROR(__xludf.DUMMYFUNCTION("""COMPUTED_VALUE"""),"Hybrid Working Environment with less than 15 days a month at office")</f>
        <v>Hybrid Working Environment with less than 15 days a month at office</v>
      </c>
      <c r="L206" s="1" t="str">
        <f ca="1">IFERROR(__xludf.DUMMYFUNCTION("""COMPUTED_VALUE"""),"Employer who rewards learning and enables that environment")</f>
        <v>Employer who rewards learning and enables that environment</v>
      </c>
      <c r="M206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06" s="1" t="str">
        <f ca="1">IFERROR(__xludf.DUMMYFUNCTION("""COMPUTED_VALUE"""),"Teaching in any of the institutes/online or Offline, Look deeply into Data and generate insights, Work as a freelancer and do my thing my way")</f>
        <v>Teaching in any of the institutes/online or Offline, Look deeply into Data and generate insights, Work as a freelancer and do my thing my way</v>
      </c>
      <c r="O206" s="1" t="str">
        <f ca="1">IFERROR(__xludf.DUMMYFUNCTION("""COMPUTED_VALUE"""),"Manager who explains what is expected, sets a goal and helps achieve it")</f>
        <v>Manager who explains what is expected, sets a goal and helps achieve it</v>
      </c>
      <c r="P206" s="1" t="str">
        <f ca="1">IFERROR(__xludf.DUMMYFUNCTION("""COMPUTED_VALUE"""),"Work with 5 to 6 people in my team")</f>
        <v>Work with 5 to 6 people in my team</v>
      </c>
      <c r="Q206" s="1"/>
      <c r="R206" s="1"/>
      <c r="S206" s="1"/>
    </row>
    <row r="207" spans="1:19" ht="12.5" x14ac:dyDescent="0.25">
      <c r="A207" s="2">
        <f ca="1">IFERROR(__xludf.DUMMYFUNCTION("""COMPUTED_VALUE"""),44916.6018646412)</f>
        <v>44916.601864641198</v>
      </c>
      <c r="B207" s="1" t="str">
        <f ca="1">IFERROR(__xludf.DUMMYFUNCTION("""COMPUTED_VALUE"""),"India")</f>
        <v>India</v>
      </c>
      <c r="C207" s="1">
        <f ca="1">IFERROR(__xludf.DUMMYFUNCTION("""COMPUTED_VALUE"""),1234)</f>
        <v>1234</v>
      </c>
      <c r="D207" s="1" t="str">
        <f ca="1">IFERROR(__xludf.DUMMYFUNCTION("""COMPUTED_VALUE"""),"Male")</f>
        <v>Male</v>
      </c>
      <c r="E207" s="1" t="str">
        <f ca="1">IFERROR(__xludf.DUMMYFUNCTION("""COMPUTED_VALUE"""),"My Parents")</f>
        <v>My Parents</v>
      </c>
      <c r="F207" s="1" t="str">
        <f ca="1">IFERROR(__xludf.DUMMYFUNCTION("""COMPUTED_VALUE"""),"Yes, I will earn and do that")</f>
        <v>Yes, I will earn and do that</v>
      </c>
      <c r="G207" s="1" t="str">
        <f ca="1">IFERROR(__xludf.DUMMYFUNCTION("""COMPUTED_VALUE"""),"Will work for 3 years or more")</f>
        <v>Will work for 3 years or more</v>
      </c>
      <c r="H207" s="1" t="str">
        <f ca="1">IFERROR(__xludf.DUMMYFUNCTION("""COMPUTED_VALUE"""),"Yes")</f>
        <v>Yes</v>
      </c>
      <c r="I207" s="1" t="str">
        <f ca="1">IFERROR(__xludf.DUMMYFUNCTION("""COMPUTED_VALUE"""),"Will work for them")</f>
        <v>Will work for them</v>
      </c>
      <c r="J207" s="1">
        <f ca="1">IFERROR(__xludf.DUMMYFUNCTION("""COMPUTED_VALUE"""),1)</f>
        <v>1</v>
      </c>
      <c r="K207" s="1" t="str">
        <f ca="1">IFERROR(__xludf.DUMMYFUNCTION("""COMPUTED_VALUE"""),"Every Day Office Environment")</f>
        <v>Every Day Office Environment</v>
      </c>
      <c r="L207" s="1" t="str">
        <f ca="1">IFERROR(__xludf.DUMMYFUNCTION("""COMPUTED_VALUE"""),"Employer who appreciates learning and enables that environment")</f>
        <v>Employer who appreciates learning and enables that environment</v>
      </c>
      <c r="M207" s="1" t="str">
        <f ca="1">IFERROR(__xludf.DUMMYFUNCTION("""COMPUTED_VALUE"""),"Self Paced Learning Portals, Learning by observing others")</f>
        <v>Self Paced Learning Portals, Learning by observing others</v>
      </c>
      <c r="N207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207" s="1" t="str">
        <f ca="1">IFERROR(__xludf.DUMMYFUNCTION("""COMPUTED_VALUE"""),"Manager who clearly describes what she/he needs")</f>
        <v>Manager who clearly describes what she/he needs</v>
      </c>
      <c r="P207" s="1" t="str">
        <f ca="1">IFERROR(__xludf.DUMMYFUNCTION("""COMPUTED_VALUE"""),"Work with 2 to 3 people in my team")</f>
        <v>Work with 2 to 3 people in my team</v>
      </c>
      <c r="Q207" s="1"/>
      <c r="R207" s="1"/>
      <c r="S207" s="1"/>
    </row>
    <row r="208" spans="1:19" ht="12.5" x14ac:dyDescent="0.25">
      <c r="A208" s="2">
        <f ca="1">IFERROR(__xludf.DUMMYFUNCTION("""COMPUTED_VALUE"""),44916.6042445949)</f>
        <v>44916.604244594899</v>
      </c>
      <c r="B208" s="1" t="str">
        <f ca="1">IFERROR(__xludf.DUMMYFUNCTION("""COMPUTED_VALUE"""),"India")</f>
        <v>India</v>
      </c>
      <c r="C208" s="1">
        <f ca="1">IFERROR(__xludf.DUMMYFUNCTION("""COMPUTED_VALUE"""),605110)</f>
        <v>605110</v>
      </c>
      <c r="D208" s="1" t="str">
        <f ca="1">IFERROR(__xludf.DUMMYFUNCTION("""COMPUTED_VALUE"""),"Male")</f>
        <v>Male</v>
      </c>
      <c r="E208" s="1" t="str">
        <f ca="1">IFERROR(__xludf.DUMMYFUNCTION("""COMPUTED_VALUE"""),"People who have changed the world for better")</f>
        <v>People who have changed the world for better</v>
      </c>
      <c r="F208" s="1" t="str">
        <f ca="1">IFERROR(__xludf.DUMMYFUNCTION("""COMPUTED_VALUE"""),"Yes, I will earn and do that")</f>
        <v>Yes, I will earn and do that</v>
      </c>
      <c r="G208" s="1" t="str">
        <f ca="1">IFERROR(__xludf.DUMMYFUNCTION("""COMPUTED_VALUE"""),"This will be hard to do, but if it is the right company I would try")</f>
        <v>This will be hard to do, but if it is the right company I would try</v>
      </c>
      <c r="H208" s="1" t="str">
        <f ca="1">IFERROR(__xludf.DUMMYFUNCTION("""COMPUTED_VALUE"""),"Yes")</f>
        <v>Yes</v>
      </c>
      <c r="I208" s="1" t="str">
        <f ca="1">IFERROR(__xludf.DUMMYFUNCTION("""COMPUTED_VALUE"""),"Will NOT work for them")</f>
        <v>Will NOT work for them</v>
      </c>
      <c r="J208" s="1">
        <f ca="1">IFERROR(__xludf.DUMMYFUNCTION("""COMPUTED_VALUE"""),3)</f>
        <v>3</v>
      </c>
      <c r="K208" s="1" t="str">
        <f ca="1">IFERROR(__xludf.DUMMYFUNCTION("""COMPUTED_VALUE"""),"Hybrid Working Environment with less than 15 days a month at office")</f>
        <v>Hybrid Working Environment with less than 15 days a month at office</v>
      </c>
      <c r="L208" s="1" t="str">
        <f ca="1">IFERROR(__xludf.DUMMYFUNCTION("""COMPUTED_VALUE"""),"Employer who appreciates learning and enables that environment")</f>
        <v>Employer who appreciates learning and enables that environment</v>
      </c>
      <c r="M208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08" s="1" t="str">
        <f ca="1">IFERROR(__xludf.DUMMYFUNCTION("""COMPUTED_VALUE"""),"Teaching in any of the institutes/online or Offline, Business Operations in any organization, Work in a BPO setup for some well known client")</f>
        <v>Teaching in any of the institutes/online or Offline, Business Operations in any organization, Work in a BPO setup for some well known client</v>
      </c>
      <c r="O208" s="1" t="str">
        <f ca="1">IFERROR(__xludf.DUMMYFUNCTION("""COMPUTED_VALUE"""),"Manager who sets goal and helps me achieve it")</f>
        <v>Manager who sets goal and helps me achieve it</v>
      </c>
      <c r="P208" s="1" t="str">
        <f ca="1">IFERROR(__xludf.DUMMYFUNCTION("""COMPUTED_VALUE"""),"Work with more than 10 people in my team")</f>
        <v>Work with more than 10 people in my team</v>
      </c>
      <c r="Q208" s="1"/>
      <c r="R208" s="1"/>
      <c r="S208" s="1"/>
    </row>
    <row r="209" spans="1:19" ht="12.5" x14ac:dyDescent="0.25">
      <c r="A209" s="2">
        <f ca="1">IFERROR(__xludf.DUMMYFUNCTION("""COMPUTED_VALUE"""),44916.606353831)</f>
        <v>44916.606353830997</v>
      </c>
      <c r="B209" s="1" t="str">
        <f ca="1">IFERROR(__xludf.DUMMYFUNCTION("""COMPUTED_VALUE"""),"India")</f>
        <v>India</v>
      </c>
      <c r="C209" s="1">
        <f ca="1">IFERROR(__xludf.DUMMYFUNCTION("""COMPUTED_VALUE"""),605501)</f>
        <v>605501</v>
      </c>
      <c r="D209" s="1" t="str">
        <f ca="1">IFERROR(__xludf.DUMMYFUNCTION("""COMPUTED_VALUE"""),"Male")</f>
        <v>Male</v>
      </c>
      <c r="E209" s="1" t="str">
        <f ca="1">IFERROR(__xludf.DUMMYFUNCTION("""COMPUTED_VALUE"""),"Social Media like LinkedIn")</f>
        <v>Social Media like LinkedIn</v>
      </c>
      <c r="F209" s="1" t="str">
        <f ca="1">IFERROR(__xludf.DUMMYFUNCTION("""COMPUTED_VALUE"""),"No I would not be pursuing Higher Education outside of India")</f>
        <v>No I would not be pursuing Higher Education outside of India</v>
      </c>
      <c r="G209" s="1" t="str">
        <f ca="1">IFERROR(__xludf.DUMMYFUNCTION("""COMPUTED_VALUE"""),"Will work for 3 years or more")</f>
        <v>Will work for 3 years or more</v>
      </c>
      <c r="H209" s="1" t="str">
        <f ca="1">IFERROR(__xludf.DUMMYFUNCTION("""COMPUTED_VALUE"""),"Yes")</f>
        <v>Yes</v>
      </c>
      <c r="I209" s="1" t="str">
        <f ca="1">IFERROR(__xludf.DUMMYFUNCTION("""COMPUTED_VALUE"""),"Will work for them")</f>
        <v>Will work for them</v>
      </c>
      <c r="J209" s="1">
        <f ca="1">IFERROR(__xludf.DUMMYFUNCTION("""COMPUTED_VALUE"""),8)</f>
        <v>8</v>
      </c>
      <c r="K209" s="1" t="str">
        <f ca="1">IFERROR(__xludf.DUMMYFUNCTION("""COMPUTED_VALUE"""),"Every Day Office Environment")</f>
        <v>Every Day Office Environment</v>
      </c>
      <c r="L209" s="1" t="str">
        <f ca="1">IFERROR(__xludf.DUMMYFUNCTION("""COMPUTED_VALUE"""),"Employer who appreciates learning and enables that environment")</f>
        <v>Employer who appreciates learning and enables that environment</v>
      </c>
      <c r="M209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09" s="1" t="str">
        <f ca="1">IFERROR(__xludf.DUMMYFUNCTION("""COMPUTED_VALUE"""),"Teaching in any of the institutes/online or Offline, Business Operations in any organization, Manage and drive End-to-End Projects or Products")</f>
        <v>Teaching in any of the institutes/online or Offline, Business Operations in any organization, Manage and drive End-to-End Projects or Products</v>
      </c>
      <c r="O209" s="1" t="str">
        <f ca="1">IFERROR(__xludf.DUMMYFUNCTION("""COMPUTED_VALUE"""),"Manager who sets targets and expects me to achieve it")</f>
        <v>Manager who sets targets and expects me to achieve it</v>
      </c>
      <c r="P209" s="1" t="str">
        <f ca="1">IFERROR(__xludf.DUMMYFUNCTION("""COMPUTED_VALUE"""),"Work with more than 10 people in my team")</f>
        <v>Work with more than 10 people in my team</v>
      </c>
      <c r="Q209" s="1"/>
      <c r="R209" s="1"/>
      <c r="S209" s="1"/>
    </row>
    <row r="210" spans="1:19" ht="12.5" x14ac:dyDescent="0.25">
      <c r="A210" s="2">
        <f ca="1">IFERROR(__xludf.DUMMYFUNCTION("""COMPUTED_VALUE"""),44916.6064925925)</f>
        <v>44916.606492592502</v>
      </c>
      <c r="B210" s="1" t="str">
        <f ca="1">IFERROR(__xludf.DUMMYFUNCTION("""COMPUTED_VALUE"""),"India")</f>
        <v>India</v>
      </c>
      <c r="C210" s="1">
        <f ca="1">IFERROR(__xludf.DUMMYFUNCTION("""COMPUTED_VALUE"""),604102)</f>
        <v>604102</v>
      </c>
      <c r="D210" s="1" t="str">
        <f ca="1">IFERROR(__xludf.DUMMYFUNCTION("""COMPUTED_VALUE"""),"Female")</f>
        <v>Female</v>
      </c>
      <c r="E210" s="1" t="str">
        <f ca="1">IFERROR(__xludf.DUMMYFUNCTION("""COMPUTED_VALUE"""),"Social Media like LinkedIn")</f>
        <v>Social Media like LinkedIn</v>
      </c>
      <c r="F210" s="1" t="str">
        <f ca="1">IFERROR(__xludf.DUMMYFUNCTION("""COMPUTED_VALUE"""),"No, But if someone could bare the cost I will")</f>
        <v>No, But if someone could bare the cost I will</v>
      </c>
      <c r="G210" s="1" t="str">
        <f ca="1">IFERROR(__xludf.DUMMYFUNCTION("""COMPUTED_VALUE"""),"This will be hard to do, but if it is the right company I would try")</f>
        <v>This will be hard to do, but if it is the right company I would try</v>
      </c>
      <c r="H210" s="1" t="str">
        <f ca="1">IFERROR(__xludf.DUMMYFUNCTION("""COMPUTED_VALUE"""),"No")</f>
        <v>No</v>
      </c>
      <c r="I210" s="1" t="str">
        <f ca="1">IFERROR(__xludf.DUMMYFUNCTION("""COMPUTED_VALUE"""),"Will NOT work for them")</f>
        <v>Will NOT work for them</v>
      </c>
      <c r="J210" s="1">
        <f ca="1">IFERROR(__xludf.DUMMYFUNCTION("""COMPUTED_VALUE"""),7)</f>
        <v>7</v>
      </c>
      <c r="K210" s="1" t="str">
        <f ca="1">IFERROR(__xludf.DUMMYFUNCTION("""COMPUTED_VALUE"""),"Every Day Office Environment")</f>
        <v>Every Day Office Environment</v>
      </c>
      <c r="L210" s="1" t="str">
        <f ca="1">IFERROR(__xludf.DUMMYFUNCTION("""COMPUTED_VALUE"""),"Employer who rewards learning and enables that environment")</f>
        <v>Employer who rewards learning and enables that environment</v>
      </c>
      <c r="M210" s="1" t="str">
        <f ca="1">IFERROR(__xludf.DUMMYFUNCTION("""COMPUTED_VALUE"""),"Self Paced Learning Portals, Learning by observing others")</f>
        <v>Self Paced Learning Portals, Learning by observing others</v>
      </c>
      <c r="N210" s="1" t="str">
        <f ca="1">IFERROR(__xludf.DUMMYFUNCTION("""COMPUTED_VALUE"""),"Design and Creative strategy in any company, Business Operations in any organization, Become a content Creator in some platform")</f>
        <v>Design and Creative strategy in any company, Business Operations in any organization, Become a content Creator in some platform</v>
      </c>
      <c r="O210" s="1" t="str">
        <f ca="1">IFERROR(__xludf.DUMMYFUNCTION("""COMPUTED_VALUE"""),"Manager who explains what is expected, sets a goal and helps achieve it")</f>
        <v>Manager who explains what is expected, sets a goal and helps achieve it</v>
      </c>
      <c r="P210" s="1" t="str">
        <f ca="1">IFERROR(__xludf.DUMMYFUNCTION("""COMPUTED_VALUE"""),"Work with 2 to 3 people in my team")</f>
        <v>Work with 2 to 3 people in my team</v>
      </c>
      <c r="Q210" s="1"/>
      <c r="R210" s="1"/>
      <c r="S210" s="1"/>
    </row>
    <row r="211" spans="1:19" ht="12.5" x14ac:dyDescent="0.25">
      <c r="A211" s="2">
        <f ca="1">IFERROR(__xludf.DUMMYFUNCTION("""COMPUTED_VALUE"""),44916.606977118)</f>
        <v>44916.606977117997</v>
      </c>
      <c r="B211" s="1" t="str">
        <f ca="1">IFERROR(__xludf.DUMMYFUNCTION("""COMPUTED_VALUE"""),"India")</f>
        <v>India</v>
      </c>
      <c r="C211" s="1">
        <f ca="1">IFERROR(__xludf.DUMMYFUNCTION("""COMPUTED_VALUE"""),605102)</f>
        <v>605102</v>
      </c>
      <c r="D211" s="1" t="str">
        <f ca="1">IFERROR(__xludf.DUMMYFUNCTION("""COMPUTED_VALUE"""),"Male")</f>
        <v>Male</v>
      </c>
      <c r="E211" s="1" t="str">
        <f ca="1">IFERROR(__xludf.DUMMYFUNCTION("""COMPUTED_VALUE"""),"My Parents")</f>
        <v>My Parents</v>
      </c>
      <c r="F211" s="1" t="str">
        <f ca="1">IFERROR(__xludf.DUMMYFUNCTION("""COMPUTED_VALUE"""),"Yes, I will earn and do that")</f>
        <v>Yes, I will earn and do that</v>
      </c>
      <c r="G211" s="1" t="str">
        <f ca="1">IFERROR(__xludf.DUMMYFUNCTION("""COMPUTED_VALUE"""),"This will be hard to do, but if it is the right company I would try")</f>
        <v>This will be hard to do, but if it is the right company I would try</v>
      </c>
      <c r="H211" s="1" t="str">
        <f ca="1">IFERROR(__xludf.DUMMYFUNCTION("""COMPUTED_VALUE"""),"Yes")</f>
        <v>Yes</v>
      </c>
      <c r="I211" s="1" t="str">
        <f ca="1">IFERROR(__xludf.DUMMYFUNCTION("""COMPUTED_VALUE"""),"Will NOT work for them")</f>
        <v>Will NOT work for them</v>
      </c>
      <c r="J211" s="1">
        <f ca="1">IFERROR(__xludf.DUMMYFUNCTION("""COMPUTED_VALUE"""),2)</f>
        <v>2</v>
      </c>
      <c r="K211" s="1" t="str">
        <f ca="1">IFERROR(__xludf.DUMMYFUNCTION("""COMPUTED_VALUE"""),"Every Day Office Environment")</f>
        <v>Every Day Office Environment</v>
      </c>
      <c r="L211" s="1" t="str">
        <f ca="1">IFERROR(__xludf.DUMMYFUNCTION("""COMPUTED_VALUE"""),"Employer who appreciates learning and enables that environment")</f>
        <v>Employer who appreciates learning and enables that environment</v>
      </c>
      <c r="M211" s="1" t="str">
        <f ca="1">IFERROR(__xludf.DUMMYFUNCTION("""COMPUTED_VALUE"""),"Self Paced Learning Portals, Instructor or Expert Learning Programs")</f>
        <v>Self Paced Learning Portals, Instructor or Expert Learning Programs</v>
      </c>
      <c r="N211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11" s="1" t="str">
        <f ca="1">IFERROR(__xludf.DUMMYFUNCTION("""COMPUTED_VALUE"""),"Manager who sets targets and expects me to achieve it")</f>
        <v>Manager who sets targets and expects me to achieve it</v>
      </c>
      <c r="P211" s="1" t="str">
        <f ca="1">IFERROR(__xludf.DUMMYFUNCTION("""COMPUTED_VALUE"""),"Work with 2 to 3 people in my team")</f>
        <v>Work with 2 to 3 people in my team</v>
      </c>
      <c r="Q211" s="1"/>
      <c r="R211" s="1"/>
      <c r="S211" s="1"/>
    </row>
    <row r="212" spans="1:19" ht="12.5" x14ac:dyDescent="0.25">
      <c r="A212" s="2">
        <f ca="1">IFERROR(__xludf.DUMMYFUNCTION("""COMPUTED_VALUE"""),44916.6070429282)</f>
        <v>44916.607042928197</v>
      </c>
      <c r="B212" s="1" t="str">
        <f ca="1">IFERROR(__xludf.DUMMYFUNCTION("""COMPUTED_VALUE"""),"India")</f>
        <v>India</v>
      </c>
      <c r="C212" s="1">
        <f ca="1">IFERROR(__xludf.DUMMYFUNCTION("""COMPUTED_VALUE"""),607402)</f>
        <v>607402</v>
      </c>
      <c r="D212" s="1" t="str">
        <f ca="1">IFERROR(__xludf.DUMMYFUNCTION("""COMPUTED_VALUE"""),"Male")</f>
        <v>Male</v>
      </c>
      <c r="E212" s="1" t="str">
        <f ca="1">IFERROR(__xludf.DUMMYFUNCTION("""COMPUTED_VALUE"""),"People who have changed the world for better")</f>
        <v>People who have changed the world for better</v>
      </c>
      <c r="F212" s="1" t="str">
        <f ca="1">IFERROR(__xludf.DUMMYFUNCTION("""COMPUTED_VALUE"""),"No I would not be pursuing Higher Education outside of India")</f>
        <v>No I would not be pursuing Higher Education outside of India</v>
      </c>
      <c r="G212" s="1" t="str">
        <f ca="1">IFERROR(__xludf.DUMMYFUNCTION("""COMPUTED_VALUE"""),"This will be hard to do, but if it is the right company I would try")</f>
        <v>This will be hard to do, but if it is the right company I would try</v>
      </c>
      <c r="H212" s="1" t="str">
        <f ca="1">IFERROR(__xludf.DUMMYFUNCTION("""COMPUTED_VALUE"""),"No")</f>
        <v>No</v>
      </c>
      <c r="I212" s="1" t="str">
        <f ca="1">IFERROR(__xludf.DUMMYFUNCTION("""COMPUTED_VALUE"""),"Will NOT work for them")</f>
        <v>Will NOT work for them</v>
      </c>
      <c r="J212" s="1">
        <f ca="1">IFERROR(__xludf.DUMMYFUNCTION("""COMPUTED_VALUE"""),4)</f>
        <v>4</v>
      </c>
      <c r="K212" s="1" t="str">
        <f ca="1">IFERROR(__xludf.DUMMYFUNCTION("""COMPUTED_VALUE"""),"Fully Remote with Options to travel as and when needed")</f>
        <v>Fully Remote with Options to travel as and when needed</v>
      </c>
      <c r="L212" s="1" t="str">
        <f ca="1">IFERROR(__xludf.DUMMYFUNCTION("""COMPUTED_VALUE"""),"Employer who appreciates learning and enables that environment")</f>
        <v>Employer who appreciates learning and enables that environment</v>
      </c>
      <c r="M212" s="1" t="str">
        <f ca="1">IFERROR(__xludf.DUMMYFUNCTION("""COMPUTED_VALUE"""),"Instructor or Expert Learning Programs, Learning by observing others")</f>
        <v>Instructor or Expert Learning Programs, Learning by observing others</v>
      </c>
      <c r="N212" s="1" t="str">
        <f ca="1">IFERROR(__xludf.DUMMYFUNCTION("""COMPUTED_VALUE"""),"Design and Creative strategy in any company, Manage and drive End-to-End Projects or Products, Design and Develop amazing software")</f>
        <v>Design and Creative strategy in any company, Manage and drive End-to-End Projects or Products, Design and Develop amazing software</v>
      </c>
      <c r="O212" s="1" t="str">
        <f ca="1">IFERROR(__xludf.DUMMYFUNCTION("""COMPUTED_VALUE"""),"Manager who explains what is expected, sets a goal and helps achieve it")</f>
        <v>Manager who explains what is expected, sets a goal and helps achieve it</v>
      </c>
      <c r="P212" s="1" t="str">
        <f ca="1">IFERROR(__xludf.DUMMYFUNCTION("""COMPUTED_VALUE"""),"Work with more than 10 people in my team")</f>
        <v>Work with more than 10 people in my team</v>
      </c>
      <c r="Q212" s="1"/>
      <c r="R212" s="1"/>
      <c r="S212" s="1"/>
    </row>
    <row r="213" spans="1:19" ht="12.5" x14ac:dyDescent="0.25">
      <c r="A213" s="2">
        <f ca="1">IFERROR(__xludf.DUMMYFUNCTION("""COMPUTED_VALUE"""),44916.6079326736)</f>
        <v>44916.6079326736</v>
      </c>
      <c r="B213" s="1" t="str">
        <f ca="1">IFERROR(__xludf.DUMMYFUNCTION("""COMPUTED_VALUE"""),"India")</f>
        <v>India</v>
      </c>
      <c r="C213" s="1">
        <f ca="1">IFERROR(__xludf.DUMMYFUNCTION("""COMPUTED_VALUE"""),605003)</f>
        <v>605003</v>
      </c>
      <c r="D213" s="1" t="str">
        <f ca="1">IFERROR(__xludf.DUMMYFUNCTION("""COMPUTED_VALUE"""),"Male")</f>
        <v>Male</v>
      </c>
      <c r="E213" s="1" t="str">
        <f ca="1">IFERROR(__xludf.DUMMYFUNCTION("""COMPUTED_VALUE"""),"My Parents")</f>
        <v>My Parents</v>
      </c>
      <c r="F213" s="1" t="str">
        <f ca="1">IFERROR(__xludf.DUMMYFUNCTION("""COMPUTED_VALUE"""),"Yes, I will earn and do that")</f>
        <v>Yes, I will earn and do that</v>
      </c>
      <c r="G213" s="1" t="str">
        <f ca="1">IFERROR(__xludf.DUMMYFUNCTION("""COMPUTED_VALUE"""),"No way, 3 years with one employer is crazy")</f>
        <v>No way, 3 years with one employer is crazy</v>
      </c>
      <c r="H213" s="1" t="str">
        <f ca="1">IFERROR(__xludf.DUMMYFUNCTION("""COMPUTED_VALUE"""),"Yes")</f>
        <v>Yes</v>
      </c>
      <c r="I213" s="1" t="str">
        <f ca="1">IFERROR(__xludf.DUMMYFUNCTION("""COMPUTED_VALUE"""),"Will work for them")</f>
        <v>Will work for them</v>
      </c>
      <c r="J213" s="1">
        <f ca="1">IFERROR(__xludf.DUMMYFUNCTION("""COMPUTED_VALUE"""),2)</f>
        <v>2</v>
      </c>
      <c r="K213" s="1" t="str">
        <f ca="1">IFERROR(__xludf.DUMMYFUNCTION("""COMPUTED_VALUE"""),"Every Day Office Environment")</f>
        <v>Every Day Office Environment</v>
      </c>
      <c r="L213" s="1" t="str">
        <f ca="1">IFERROR(__xludf.DUMMYFUNCTION("""COMPUTED_VALUE"""),"Employer who appreciates learning and enables that environment")</f>
        <v>Employer who appreciates learning and enables that environment</v>
      </c>
      <c r="M213" s="1" t="str">
        <f ca="1">IFERROR(__xludf.DUMMYFUNCTION("""COMPUTED_VALUE"""),"Instructor or Expert Learning Programs, Learning by observing others")</f>
        <v>Instructor or Expert Learning Programs, Learning by observing others</v>
      </c>
      <c r="N213" s="1" t="str">
        <f ca="1">IFERROR(__xludf.DUMMYFUNCTION("""COMPUTED_VALUE"""),"Design and Creative strategy in any company, Manage and drive End-to-End Projects or Products, Work in a BPO setup for some well known client")</f>
        <v>Design and Creative strategy in any company, Manage and drive End-to-End Projects or Products, Work in a BPO setup for some well known client</v>
      </c>
      <c r="O213" s="1" t="str">
        <f ca="1">IFERROR(__xludf.DUMMYFUNCTION("""COMPUTED_VALUE"""),"Manager who sets targets and expects me to achieve it")</f>
        <v>Manager who sets targets and expects me to achieve it</v>
      </c>
      <c r="P213" s="1" t="str">
        <f ca="1">IFERROR(__xludf.DUMMYFUNCTION("""COMPUTED_VALUE"""),"Work with 7 to 10 or more people in my team")</f>
        <v>Work with 7 to 10 or more people in my team</v>
      </c>
      <c r="Q213" s="1"/>
      <c r="R213" s="1"/>
      <c r="S213" s="1"/>
    </row>
    <row r="214" spans="1:19" ht="12.5" x14ac:dyDescent="0.25">
      <c r="A214" s="2">
        <f ca="1">IFERROR(__xludf.DUMMYFUNCTION("""COMPUTED_VALUE"""),44916.6081362268)</f>
        <v>44916.608136226801</v>
      </c>
      <c r="B214" s="1" t="str">
        <f ca="1">IFERROR(__xludf.DUMMYFUNCTION("""COMPUTED_VALUE"""),"India")</f>
        <v>India</v>
      </c>
      <c r="C214" s="1">
        <f ca="1">IFERROR(__xludf.DUMMYFUNCTION("""COMPUTED_VALUE"""),607003)</f>
        <v>607003</v>
      </c>
      <c r="D214" s="1" t="str">
        <f ca="1">IFERROR(__xludf.DUMMYFUNCTION("""COMPUTED_VALUE"""),"Male")</f>
        <v>Male</v>
      </c>
      <c r="E214" s="1" t="str">
        <f ca="1">IFERROR(__xludf.DUMMYFUNCTION("""COMPUTED_VALUE"""),"People who have changed the world for better")</f>
        <v>People who have changed the world for better</v>
      </c>
      <c r="F214" s="1" t="str">
        <f ca="1">IFERROR(__xludf.DUMMYFUNCTION("""COMPUTED_VALUE"""),"Yes, I will earn and do that")</f>
        <v>Yes, I will earn and do that</v>
      </c>
      <c r="G214" s="1" t="str">
        <f ca="1">IFERROR(__xludf.DUMMYFUNCTION("""COMPUTED_VALUE"""),"This will be hard to do, but if it is the right company I would try")</f>
        <v>This will be hard to do, but if it is the right company I would try</v>
      </c>
      <c r="H214" s="1" t="str">
        <f ca="1">IFERROR(__xludf.DUMMYFUNCTION("""COMPUTED_VALUE"""),"Yes")</f>
        <v>Yes</v>
      </c>
      <c r="I214" s="1" t="str">
        <f ca="1">IFERROR(__xludf.DUMMYFUNCTION("""COMPUTED_VALUE"""),"Will work for them")</f>
        <v>Will work for them</v>
      </c>
      <c r="J214" s="1">
        <f ca="1">IFERROR(__xludf.DUMMYFUNCTION("""COMPUTED_VALUE"""),5)</f>
        <v>5</v>
      </c>
      <c r="K214" s="1" t="str">
        <f ca="1">IFERROR(__xludf.DUMMYFUNCTION("""COMPUTED_VALUE"""),"Fully Remote with Options to travel as and when needed")</f>
        <v>Fully Remote with Options to travel as and when needed</v>
      </c>
      <c r="L2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4" s="1" t="str">
        <f ca="1">IFERROR(__xludf.DUMMYFUNCTION("""COMPUTED_VALUE"""),"Self Paced Learning Portals, Learning by observing others")</f>
        <v>Self Paced Learning Portals, Learning by observing others</v>
      </c>
      <c r="N214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214" s="1" t="str">
        <f ca="1">IFERROR(__xludf.DUMMYFUNCTION("""COMPUTED_VALUE"""),"Manager who explains what is expected, sets a goal and helps achieve it")</f>
        <v>Manager who explains what is expected, sets a goal and helps achieve it</v>
      </c>
      <c r="P214" s="1" t="str">
        <f ca="1">IFERROR(__xludf.DUMMYFUNCTION("""COMPUTED_VALUE"""),"Work with 5 to 6 people in my team")</f>
        <v>Work with 5 to 6 people in my team</v>
      </c>
      <c r="Q214" s="1"/>
      <c r="R214" s="1"/>
      <c r="S214" s="1"/>
    </row>
    <row r="215" spans="1:19" ht="12.5" x14ac:dyDescent="0.25">
      <c r="A215" s="2">
        <f ca="1">IFERROR(__xludf.DUMMYFUNCTION("""COMPUTED_VALUE"""),44916.6095500463)</f>
        <v>44916.609550046298</v>
      </c>
      <c r="B215" s="1" t="str">
        <f ca="1">IFERROR(__xludf.DUMMYFUNCTION("""COMPUTED_VALUE"""),"India")</f>
        <v>India</v>
      </c>
      <c r="C215" s="1">
        <f ca="1">IFERROR(__xludf.DUMMYFUNCTION("""COMPUTED_VALUE"""),605110)</f>
        <v>605110</v>
      </c>
      <c r="D215" s="1" t="str">
        <f ca="1">IFERROR(__xludf.DUMMYFUNCTION("""COMPUTED_VALUE"""),"Female")</f>
        <v>Female</v>
      </c>
      <c r="E215" s="1" t="str">
        <f ca="1">IFERROR(__xludf.DUMMYFUNCTION("""COMPUTED_VALUE"""),"My Parents")</f>
        <v>My Parents</v>
      </c>
      <c r="F215" s="1" t="str">
        <f ca="1">IFERROR(__xludf.DUMMYFUNCTION("""COMPUTED_VALUE"""),"No I would not be pursuing Higher Education outside of India")</f>
        <v>No I would not be pursuing Higher Education outside of India</v>
      </c>
      <c r="G215" s="1" t="str">
        <f ca="1">IFERROR(__xludf.DUMMYFUNCTION("""COMPUTED_VALUE"""),"Will work for 3 years or more")</f>
        <v>Will work for 3 years or more</v>
      </c>
      <c r="H215" s="1" t="str">
        <f ca="1">IFERROR(__xludf.DUMMYFUNCTION("""COMPUTED_VALUE"""),"Yes")</f>
        <v>Yes</v>
      </c>
      <c r="I215" s="1" t="str">
        <f ca="1">IFERROR(__xludf.DUMMYFUNCTION("""COMPUTED_VALUE"""),"Will work for them")</f>
        <v>Will work for them</v>
      </c>
      <c r="J215" s="1">
        <f ca="1">IFERROR(__xludf.DUMMYFUNCTION("""COMPUTED_VALUE"""),10)</f>
        <v>10</v>
      </c>
      <c r="K215" s="1" t="str">
        <f ca="1">IFERROR(__xludf.DUMMYFUNCTION("""COMPUTED_VALUE"""),"Every Day Office Environment")</f>
        <v>Every Day Office Environment</v>
      </c>
      <c r="L215" s="1" t="str">
        <f ca="1">IFERROR(__xludf.DUMMYFUNCTION("""COMPUTED_VALUE"""),"Employer who appreciates learning and enables that environment")</f>
        <v>Employer who appreciates learning and enables that environment</v>
      </c>
      <c r="M215" s="1" t="str">
        <f ca="1">IFERROR(__xludf.DUMMYFUNCTION("""COMPUTED_VALUE"""),"Instructor or Expert Learning Programs, Learning by observing others")</f>
        <v>Instructor or Expert Learning Programs, Learning by observing others</v>
      </c>
      <c r="N215" s="1" t="str">
        <f ca="1">IFERROR(__xludf.DUMMYFUNCTION("""COMPUTED_VALUE"""),"Teaching in any of the institutes/online or Offline, Business Operations in any organization, Work as a freelancer and do my thing my way")</f>
        <v>Teaching in any of the institutes/online or Offline, Business Operations in any organization, Work as a freelancer and do my thing my way</v>
      </c>
      <c r="O215" s="1" t="str">
        <f ca="1">IFERROR(__xludf.DUMMYFUNCTION("""COMPUTED_VALUE"""),"Manager who sets goal and helps me achieve it")</f>
        <v>Manager who sets goal and helps me achieve it</v>
      </c>
      <c r="P215" s="1" t="str">
        <f ca="1">IFERROR(__xludf.DUMMYFUNCTION("""COMPUTED_VALUE"""),"Work with more than 10 people in my team")</f>
        <v>Work with more than 10 people in my team</v>
      </c>
      <c r="Q215" s="1"/>
      <c r="R215" s="1"/>
      <c r="S215" s="1"/>
    </row>
    <row r="216" spans="1:19" ht="12.5" x14ac:dyDescent="0.25">
      <c r="A216" s="2">
        <f ca="1">IFERROR(__xludf.DUMMYFUNCTION("""COMPUTED_VALUE"""),44916.6109997569)</f>
        <v>44916.6109997569</v>
      </c>
      <c r="B216" s="1" t="str">
        <f ca="1">IFERROR(__xludf.DUMMYFUNCTION("""COMPUTED_VALUE"""),"India")</f>
        <v>India</v>
      </c>
      <c r="C216" s="1">
        <f ca="1">IFERROR(__xludf.DUMMYFUNCTION("""COMPUTED_VALUE"""),605008)</f>
        <v>605008</v>
      </c>
      <c r="D216" s="1" t="str">
        <f ca="1">IFERROR(__xludf.DUMMYFUNCTION("""COMPUTED_VALUE"""),"Male")</f>
        <v>Male</v>
      </c>
      <c r="E216" s="1" t="str">
        <f ca="1">IFERROR(__xludf.DUMMYFUNCTION("""COMPUTED_VALUE"""),"My Parents")</f>
        <v>My Parents</v>
      </c>
      <c r="F216" s="1" t="str">
        <f ca="1">IFERROR(__xludf.DUMMYFUNCTION("""COMPUTED_VALUE"""),"Yes, I will earn and do that")</f>
        <v>Yes, I will earn and do that</v>
      </c>
      <c r="G216" s="1" t="str">
        <f ca="1">IFERROR(__xludf.DUMMYFUNCTION("""COMPUTED_VALUE"""),"This will be hard to do, but if it is the right company I would try")</f>
        <v>This will be hard to do, but if it is the right company I would try</v>
      </c>
      <c r="H216" s="1" t="str">
        <f ca="1">IFERROR(__xludf.DUMMYFUNCTION("""COMPUTED_VALUE"""),"Yes")</f>
        <v>Yes</v>
      </c>
      <c r="I216" s="1" t="str">
        <f ca="1">IFERROR(__xludf.DUMMYFUNCTION("""COMPUTED_VALUE"""),"Will work for them")</f>
        <v>Will work for them</v>
      </c>
      <c r="J216" s="1">
        <f ca="1">IFERROR(__xludf.DUMMYFUNCTION("""COMPUTED_VALUE"""),10)</f>
        <v>10</v>
      </c>
      <c r="K216" s="1" t="str">
        <f ca="1">IFERROR(__xludf.DUMMYFUNCTION("""COMPUTED_VALUE"""),"Every Day Office Environment")</f>
        <v>Every Day Office Environment</v>
      </c>
      <c r="L216" s="1" t="str">
        <f ca="1">IFERROR(__xludf.DUMMYFUNCTION("""COMPUTED_VALUE"""),"Employer who rewards learning and enables that environment")</f>
        <v>Employer who rewards learning and enables that environment</v>
      </c>
      <c r="M216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16" s="1" t="str">
        <f ca="1">IFERROR(__xludf.DUMMYFUNCTION("""COMPUTED_VALUE"""),"Teaching in any of the institutes/online or Offline, Work as a freelancer and do my thing my way, Become a content Creator in some platform")</f>
        <v>Teaching in any of the institutes/online or Offline, Work as a freelancer and do my thing my way, Become a content Creator in some platform</v>
      </c>
      <c r="O216" s="1" t="str">
        <f ca="1">IFERROR(__xludf.DUMMYFUNCTION("""COMPUTED_VALUE"""),"Manager who clearly describes what she/he needs")</f>
        <v>Manager who clearly describes what she/he needs</v>
      </c>
      <c r="P216" s="1" t="str">
        <f ca="1">IFERROR(__xludf.DUMMYFUNCTION("""COMPUTED_VALUE"""),"Work with 7 to 10 or more people in my team")</f>
        <v>Work with 7 to 10 or more people in my team</v>
      </c>
      <c r="Q216" s="1"/>
      <c r="R216" s="1"/>
      <c r="S216" s="1"/>
    </row>
    <row r="217" spans="1:19" ht="12.5" x14ac:dyDescent="0.25">
      <c r="A217" s="2">
        <f ca="1">IFERROR(__xludf.DUMMYFUNCTION("""COMPUTED_VALUE"""),44916.6117974074)</f>
        <v>44916.6117974074</v>
      </c>
      <c r="B217" s="1" t="str">
        <f ca="1">IFERROR(__xludf.DUMMYFUNCTION("""COMPUTED_VALUE"""),"India")</f>
        <v>India</v>
      </c>
      <c r="C217" s="1">
        <f ca="1">IFERROR(__xludf.DUMMYFUNCTION("""COMPUTED_VALUE"""),605110)</f>
        <v>605110</v>
      </c>
      <c r="D217" s="1" t="str">
        <f ca="1">IFERROR(__xludf.DUMMYFUNCTION("""COMPUTED_VALUE"""),"Female")</f>
        <v>Female</v>
      </c>
      <c r="E217" s="1" t="str">
        <f ca="1">IFERROR(__xludf.DUMMYFUNCTION("""COMPUTED_VALUE"""),"My Parents")</f>
        <v>My Parents</v>
      </c>
      <c r="F217" s="1" t="str">
        <f ca="1">IFERROR(__xludf.DUMMYFUNCTION("""COMPUTED_VALUE"""),"No I would not be pursuing Higher Education outside of India")</f>
        <v>No I would not be pursuing Higher Education outside of India</v>
      </c>
      <c r="G217" s="1" t="str">
        <f ca="1">IFERROR(__xludf.DUMMYFUNCTION("""COMPUTED_VALUE"""),"This will be hard to do, but if it is the right company I would try")</f>
        <v>This will be hard to do, but if it is the right company I would try</v>
      </c>
      <c r="H217" s="1" t="str">
        <f ca="1">IFERROR(__xludf.DUMMYFUNCTION("""COMPUTED_VALUE"""),"No")</f>
        <v>No</v>
      </c>
      <c r="I217" s="1" t="str">
        <f ca="1">IFERROR(__xludf.DUMMYFUNCTION("""COMPUTED_VALUE"""),"Will work for them")</f>
        <v>Will work for them</v>
      </c>
      <c r="J217" s="1">
        <f ca="1">IFERROR(__xludf.DUMMYFUNCTION("""COMPUTED_VALUE"""),5)</f>
        <v>5</v>
      </c>
      <c r="K217" s="1" t="str">
        <f ca="1">IFERROR(__xludf.DUMMYFUNCTION("""COMPUTED_VALUE"""),"Fully Remote with Options to travel as and when needed")</f>
        <v>Fully Remote with Options to travel as and when needed</v>
      </c>
      <c r="L217" s="1" t="str">
        <f ca="1">IFERROR(__xludf.DUMMYFUNCTION("""COMPUTED_VALUE"""),"Employer who appreciates learning and enables that environment")</f>
        <v>Employer who appreciates learning and enables that environment</v>
      </c>
      <c r="M21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17" s="1" t="str">
        <f ca="1">IFERROR(__xludf.DUMMYFUNCTION("""COMPUTED_VALUE"""),"Design and Creative strategy in any company, Manage and drive End-to-End Projects or Products, Build and develop a Team")</f>
        <v>Design and Creative strategy in any company, Manage and drive End-to-End Projects or Products, Build and develop a Team</v>
      </c>
      <c r="O21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7" s="1" t="str">
        <f ca="1">IFERROR(__xludf.DUMMYFUNCTION("""COMPUTED_VALUE"""),"Work with 5 to 6 people in my team")</f>
        <v>Work with 5 to 6 people in my team</v>
      </c>
      <c r="Q217" s="1"/>
      <c r="R217" s="1"/>
      <c r="S217" s="1"/>
    </row>
    <row r="218" spans="1:19" ht="12.5" x14ac:dyDescent="0.25">
      <c r="A218" s="2">
        <f ca="1">IFERROR(__xludf.DUMMYFUNCTION("""COMPUTED_VALUE"""),44916.6152149421)</f>
        <v>44916.615214942103</v>
      </c>
      <c r="B218" s="1" t="str">
        <f ca="1">IFERROR(__xludf.DUMMYFUNCTION("""COMPUTED_VALUE"""),"India")</f>
        <v>India</v>
      </c>
      <c r="C218" s="1">
        <f ca="1">IFERROR(__xludf.DUMMYFUNCTION("""COMPUTED_VALUE"""),605110)</f>
        <v>605110</v>
      </c>
      <c r="D218" s="1" t="str">
        <f ca="1">IFERROR(__xludf.DUMMYFUNCTION("""COMPUTED_VALUE"""),"Male")</f>
        <v>Male</v>
      </c>
      <c r="E218" s="1" t="str">
        <f ca="1">IFERROR(__xludf.DUMMYFUNCTION("""COMPUTED_VALUE"""),"Influencers who had successful careers")</f>
        <v>Influencers who had successful careers</v>
      </c>
      <c r="F218" s="1" t="str">
        <f ca="1">IFERROR(__xludf.DUMMYFUNCTION("""COMPUTED_VALUE"""),"Yes, I will earn and do that")</f>
        <v>Yes, I will earn and do that</v>
      </c>
      <c r="G218" s="1" t="str">
        <f ca="1">IFERROR(__xludf.DUMMYFUNCTION("""COMPUTED_VALUE"""),"This will be hard to do, but if it is the right company I would try")</f>
        <v>This will be hard to do, but if it is the right company I would try</v>
      </c>
      <c r="H218" s="1" t="str">
        <f ca="1">IFERROR(__xludf.DUMMYFUNCTION("""COMPUTED_VALUE"""),"Yes")</f>
        <v>Yes</v>
      </c>
      <c r="I218" s="1" t="str">
        <f ca="1">IFERROR(__xludf.DUMMYFUNCTION("""COMPUTED_VALUE"""),"Will work for them")</f>
        <v>Will work for them</v>
      </c>
      <c r="J218" s="1">
        <f ca="1">IFERROR(__xludf.DUMMYFUNCTION("""COMPUTED_VALUE"""),3)</f>
        <v>3</v>
      </c>
      <c r="K218" s="1" t="str">
        <f ca="1">IFERROR(__xludf.DUMMYFUNCTION("""COMPUTED_VALUE"""),"Fully Remote with Options to travel as and when needed")</f>
        <v>Fully Remote with Options to travel as and when needed</v>
      </c>
      <c r="L218" s="1" t="str">
        <f ca="1">IFERROR(__xludf.DUMMYFUNCTION("""COMPUTED_VALUE"""),"Employer who rewards learning and enables that environment")</f>
        <v>Employer who rewards learning and enables that environment</v>
      </c>
      <c r="M218" s="1" t="str">
        <f ca="1">IFERROR(__xludf.DUMMYFUNCTION("""COMPUTED_VALUE"""),"Self Paced Learning Portals, Instructor or Expert Learning Programs")</f>
        <v>Self Paced Learning Portals, Instructor or Expert Learning Programs</v>
      </c>
      <c r="N218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218" s="1" t="str">
        <f ca="1">IFERROR(__xludf.DUMMYFUNCTION("""COMPUTED_VALUE"""),"Manager who clearly describes what she/he needs")</f>
        <v>Manager who clearly describes what she/he needs</v>
      </c>
      <c r="P218" s="1" t="str">
        <f ca="1">IFERROR(__xludf.DUMMYFUNCTION("""COMPUTED_VALUE"""),"Work with 5 to 6 people in my team")</f>
        <v>Work with 5 to 6 people in my team</v>
      </c>
      <c r="Q218" s="1"/>
      <c r="R218" s="1"/>
      <c r="S218" s="1"/>
    </row>
    <row r="219" spans="1:19" ht="12.5" x14ac:dyDescent="0.25">
      <c r="A219" s="2">
        <f ca="1">IFERROR(__xludf.DUMMYFUNCTION("""COMPUTED_VALUE"""),44916.6156052083)</f>
        <v>44916.615605208302</v>
      </c>
      <c r="B219" s="1" t="str">
        <f ca="1">IFERROR(__xludf.DUMMYFUNCTION("""COMPUTED_VALUE"""),"India")</f>
        <v>India</v>
      </c>
      <c r="C219" s="1">
        <f ca="1">IFERROR(__xludf.DUMMYFUNCTION("""COMPUTED_VALUE"""),605102)</f>
        <v>605102</v>
      </c>
      <c r="D219" s="1" t="str">
        <f ca="1">IFERROR(__xludf.DUMMYFUNCTION("""COMPUTED_VALUE"""),"Male")</f>
        <v>Male</v>
      </c>
      <c r="E219" s="1" t="str">
        <f ca="1">IFERROR(__xludf.DUMMYFUNCTION("""COMPUTED_VALUE"""),"My Parents")</f>
        <v>My Parents</v>
      </c>
      <c r="F219" s="1" t="str">
        <f ca="1">IFERROR(__xludf.DUMMYFUNCTION("""COMPUTED_VALUE"""),"Yes, I will earn and do that")</f>
        <v>Yes, I will earn and do that</v>
      </c>
      <c r="G219" s="1" t="str">
        <f ca="1">IFERROR(__xludf.DUMMYFUNCTION("""COMPUTED_VALUE"""),"Will work for 3 years or more")</f>
        <v>Will work for 3 years or more</v>
      </c>
      <c r="H219" s="1" t="str">
        <f ca="1">IFERROR(__xludf.DUMMYFUNCTION("""COMPUTED_VALUE"""),"Yes")</f>
        <v>Yes</v>
      </c>
      <c r="I219" s="1" t="str">
        <f ca="1">IFERROR(__xludf.DUMMYFUNCTION("""COMPUTED_VALUE"""),"Will work for them")</f>
        <v>Will work for them</v>
      </c>
      <c r="J219" s="1">
        <f ca="1">IFERROR(__xludf.DUMMYFUNCTION("""COMPUTED_VALUE"""),10)</f>
        <v>10</v>
      </c>
      <c r="K219" s="1" t="str">
        <f ca="1">IFERROR(__xludf.DUMMYFUNCTION("""COMPUTED_VALUE"""),"Every Day Office Environment")</f>
        <v>Every Day Office Environment</v>
      </c>
      <c r="L219" s="1" t="str">
        <f ca="1">IFERROR(__xludf.DUMMYFUNCTION("""COMPUTED_VALUE"""),"Employer who appreciates learning and enables that environment")</f>
        <v>Employer who appreciates learning and enables that environment</v>
      </c>
      <c r="M219" s="1" t="str">
        <f ca="1">IFERROR(__xludf.DUMMYFUNCTION("""COMPUTED_VALUE"""),"Self Paced Learning Portals, Learning by observing others")</f>
        <v>Self Paced Learning Portals, Learning by observing others</v>
      </c>
      <c r="N219" s="1" t="str">
        <f ca="1">IFERROR(__xludf.DUMMYFUNCTION("""COMPUTED_VALUE"""),"Build and develop a Team, Design and Develop amazing software, Become a content Creator in some platform")</f>
        <v>Build and develop a Team, Design and Develop amazing software, Become a content Creator in some platform</v>
      </c>
      <c r="O219" s="1" t="str">
        <f ca="1">IFERROR(__xludf.DUMMYFUNCTION("""COMPUTED_VALUE"""),"Manager who sets targets and expects me to achieve it")</f>
        <v>Manager who sets targets and expects me to achieve it</v>
      </c>
      <c r="P219" s="1" t="str">
        <f ca="1">IFERROR(__xludf.DUMMYFUNCTION("""COMPUTED_VALUE"""),"Work with 2 to 3 people in my team")</f>
        <v>Work with 2 to 3 people in my team</v>
      </c>
      <c r="Q219" s="1"/>
      <c r="R219" s="1"/>
      <c r="S219" s="1"/>
    </row>
    <row r="220" spans="1:19" ht="12.5" x14ac:dyDescent="0.25">
      <c r="A220" s="2">
        <f ca="1">IFERROR(__xludf.DUMMYFUNCTION("""COMPUTED_VALUE"""),44916.6160510532)</f>
        <v>44916.616051053199</v>
      </c>
      <c r="B220" s="1" t="str">
        <f ca="1">IFERROR(__xludf.DUMMYFUNCTION("""COMPUTED_VALUE"""),"India")</f>
        <v>India</v>
      </c>
      <c r="C220" s="1">
        <f ca="1">IFERROR(__xludf.DUMMYFUNCTION("""COMPUTED_VALUE"""),2004)</f>
        <v>2004</v>
      </c>
      <c r="D220" s="1" t="str">
        <f ca="1">IFERROR(__xludf.DUMMYFUNCTION("""COMPUTED_VALUE"""),"Male")</f>
        <v>Male</v>
      </c>
      <c r="E220" s="1" t="str">
        <f ca="1">IFERROR(__xludf.DUMMYFUNCTION("""COMPUTED_VALUE"""),"My Parents")</f>
        <v>My Parents</v>
      </c>
      <c r="F220" s="1" t="str">
        <f ca="1">IFERROR(__xludf.DUMMYFUNCTION("""COMPUTED_VALUE"""),"No, But if someone could bare the cost I will")</f>
        <v>No, But if someone could bare the cost I will</v>
      </c>
      <c r="G220" s="1" t="str">
        <f ca="1">IFERROR(__xludf.DUMMYFUNCTION("""COMPUTED_VALUE"""),"No way, 3 years with one employer is crazy")</f>
        <v>No way, 3 years with one employer is crazy</v>
      </c>
      <c r="H220" s="1" t="str">
        <f ca="1">IFERROR(__xludf.DUMMYFUNCTION("""COMPUTED_VALUE"""),"Yes")</f>
        <v>Yes</v>
      </c>
      <c r="I220" s="1" t="str">
        <f ca="1">IFERROR(__xludf.DUMMYFUNCTION("""COMPUTED_VALUE"""),"Will work for them")</f>
        <v>Will work for them</v>
      </c>
      <c r="J220" s="1">
        <f ca="1">IFERROR(__xludf.DUMMYFUNCTION("""COMPUTED_VALUE"""),5)</f>
        <v>5</v>
      </c>
      <c r="K220" s="1" t="str">
        <f ca="1">IFERROR(__xludf.DUMMYFUNCTION("""COMPUTED_VALUE"""),"Hybrid Working Environment with less than 15 days a month at office")</f>
        <v>Hybrid Working Environment with less than 15 days a month at office</v>
      </c>
      <c r="L22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20" s="1" t="str">
        <f ca="1">IFERROR(__xludf.DUMMYFUNCTION("""COMPUTED_VALUE"""),"Self Paced Learning Portals, Instructor or Expert Learning Programs")</f>
        <v>Self Paced Learning Portals, Instructor or Expert Learning Programs</v>
      </c>
      <c r="N220" s="1" t="str">
        <f ca="1">IFERROR(__xludf.DUMMYFUNCTION("""COMPUTED_VALUE"""),"Design and Creative strategy in any company, Teaching in any of the institutes/online or Offline, Work as a freelancer and do my thing my way")</f>
        <v>Design and Creative strategy in any company, Teaching in any of the institutes/online or Offline, Work as a freelancer and do my thing my way</v>
      </c>
      <c r="O220" s="1" t="str">
        <f ca="1">IFERROR(__xludf.DUMMYFUNCTION("""COMPUTED_VALUE"""),"Manager who sets goal and helps me achieve it")</f>
        <v>Manager who sets goal and helps me achieve it</v>
      </c>
      <c r="P220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220" s="1"/>
      <c r="R220" s="1"/>
      <c r="S220" s="1"/>
    </row>
    <row r="221" spans="1:19" ht="12.5" x14ac:dyDescent="0.25">
      <c r="A221" s="2">
        <f ca="1">IFERROR(__xludf.DUMMYFUNCTION("""COMPUTED_VALUE"""),44916.6205406481)</f>
        <v>44916.620540648102</v>
      </c>
      <c r="B221" s="1" t="str">
        <f ca="1">IFERROR(__xludf.DUMMYFUNCTION("""COMPUTED_VALUE"""),"India")</f>
        <v>India</v>
      </c>
      <c r="C221" s="1">
        <f ca="1">IFERROR(__xludf.DUMMYFUNCTION("""COMPUTED_VALUE"""),605005)</f>
        <v>605005</v>
      </c>
      <c r="D221" s="1" t="str">
        <f ca="1">IFERROR(__xludf.DUMMYFUNCTION("""COMPUTED_VALUE"""),"Female")</f>
        <v>Female</v>
      </c>
      <c r="E221" s="1" t="str">
        <f ca="1">IFERROR(__xludf.DUMMYFUNCTION("""COMPUTED_VALUE"""),"People who have changed the world for better")</f>
        <v>People who have changed the world for better</v>
      </c>
      <c r="F221" s="1" t="str">
        <f ca="1">IFERROR(__xludf.DUMMYFUNCTION("""COMPUTED_VALUE"""),"No I would not be pursuing Higher Education outside of India")</f>
        <v>No I would not be pursuing Higher Education outside of India</v>
      </c>
      <c r="G221" s="1" t="str">
        <f ca="1">IFERROR(__xludf.DUMMYFUNCTION("""COMPUTED_VALUE"""),"This will be hard to do, but if it is the right company I would try")</f>
        <v>This will be hard to do, but if it is the right company I would try</v>
      </c>
      <c r="H221" s="1" t="str">
        <f ca="1">IFERROR(__xludf.DUMMYFUNCTION("""COMPUTED_VALUE"""),"Yes")</f>
        <v>Yes</v>
      </c>
      <c r="I221" s="1" t="str">
        <f ca="1">IFERROR(__xludf.DUMMYFUNCTION("""COMPUTED_VALUE"""),"Will NOT work for them")</f>
        <v>Will NOT work for them</v>
      </c>
      <c r="J221" s="1">
        <f ca="1">IFERROR(__xludf.DUMMYFUNCTION("""COMPUTED_VALUE"""),5)</f>
        <v>5</v>
      </c>
      <c r="K221" s="1" t="str">
        <f ca="1">IFERROR(__xludf.DUMMYFUNCTION("""COMPUTED_VALUE"""),"Fully Remote with Options to travel as and when needed")</f>
        <v>Fully Remote with Options to travel as and when needed</v>
      </c>
      <c r="L221" s="1" t="str">
        <f ca="1">IFERROR(__xludf.DUMMYFUNCTION("""COMPUTED_VALUE"""),"Employer who appreciates learning and enables that environment")</f>
        <v>Employer who appreciates learning and enables that environment</v>
      </c>
      <c r="M221" s="1" t="str">
        <f ca="1">IFERROR(__xludf.DUMMYFUNCTION("""COMPUTED_VALUE"""),"Self Paced Learning Portals, Learning by observing others")</f>
        <v>Self Paced Learning Portals, Learning by observing others</v>
      </c>
      <c r="N221" s="1" t="str">
        <f ca="1">IFERROR(__xludf.DUMMYFUNCTION("""COMPUTED_VALUE"""),"Teaching in any of the institutes/online or Offline, Manage and drive End-to-End Projects or Products, Become a content Creator in some platform")</f>
        <v>Teaching in any of the institutes/online or Offline, Manage and drive End-to-End Projects or Products, Become a content Creator in some platform</v>
      </c>
      <c r="O221" s="1" t="str">
        <f ca="1">IFERROR(__xludf.DUMMYFUNCTION("""COMPUTED_VALUE"""),"Manager who explains what is expected, sets a goal and helps achieve it")</f>
        <v>Manager who explains what is expected, sets a goal and helps achieve it</v>
      </c>
      <c r="P221" s="1" t="str">
        <f ca="1">IFERROR(__xludf.DUMMYFUNCTION("""COMPUTED_VALUE"""),"Work with 5 to 6 people in my team")</f>
        <v>Work with 5 to 6 people in my team</v>
      </c>
      <c r="Q221" s="1"/>
      <c r="R221" s="1"/>
      <c r="S221" s="1"/>
    </row>
    <row r="222" spans="1:19" ht="12.5" x14ac:dyDescent="0.25">
      <c r="A222" s="2">
        <f ca="1">IFERROR(__xludf.DUMMYFUNCTION("""COMPUTED_VALUE"""),44916.621400949)</f>
        <v>44916.621400949</v>
      </c>
      <c r="B222" s="1" t="str">
        <f ca="1">IFERROR(__xludf.DUMMYFUNCTION("""COMPUTED_VALUE"""),"India")</f>
        <v>India</v>
      </c>
      <c r="C222" s="1">
        <f ca="1">IFERROR(__xludf.DUMMYFUNCTION("""COMPUTED_VALUE"""),605007)</f>
        <v>605007</v>
      </c>
      <c r="D222" s="1" t="str">
        <f ca="1">IFERROR(__xludf.DUMMYFUNCTION("""COMPUTED_VALUE"""),"Male")</f>
        <v>Male</v>
      </c>
      <c r="E222" s="1" t="str">
        <f ca="1">IFERROR(__xludf.DUMMYFUNCTION("""COMPUTED_VALUE"""),"My Parents")</f>
        <v>My Parents</v>
      </c>
      <c r="F222" s="1" t="str">
        <f ca="1">IFERROR(__xludf.DUMMYFUNCTION("""COMPUTED_VALUE"""),"Yes, I will earn and do that")</f>
        <v>Yes, I will earn and do that</v>
      </c>
      <c r="G222" s="1" t="str">
        <f ca="1">IFERROR(__xludf.DUMMYFUNCTION("""COMPUTED_VALUE"""),"No way, 3 years with one employer is crazy")</f>
        <v>No way, 3 years with one employer is crazy</v>
      </c>
      <c r="H222" s="1" t="str">
        <f ca="1">IFERROR(__xludf.DUMMYFUNCTION("""COMPUTED_VALUE"""),"Yes")</f>
        <v>Yes</v>
      </c>
      <c r="I222" s="1" t="str">
        <f ca="1">IFERROR(__xludf.DUMMYFUNCTION("""COMPUTED_VALUE"""),"Will work for them")</f>
        <v>Will work for them</v>
      </c>
      <c r="J222" s="1">
        <f ca="1">IFERROR(__xludf.DUMMYFUNCTION("""COMPUTED_VALUE"""),4)</f>
        <v>4</v>
      </c>
      <c r="K222" s="1" t="str">
        <f ca="1">IFERROR(__xludf.DUMMYFUNCTION("""COMPUTED_VALUE"""),"Every Day Office Environment")</f>
        <v>Every Day Office Environment</v>
      </c>
      <c r="L222" s="1" t="str">
        <f ca="1">IFERROR(__xludf.DUMMYFUNCTION("""COMPUTED_VALUE"""),"Employer who rewards learning and enables that environment")</f>
        <v>Employer who rewards learning and enables that environment</v>
      </c>
      <c r="M222" s="1" t="str">
        <f ca="1">IFERROR(__xludf.DUMMYFUNCTION("""COMPUTED_VALUE"""),"Instructor or Expert Learning Programs, Learning by observing others")</f>
        <v>Instructor or Expert Learning Programs, Learning by observing others</v>
      </c>
      <c r="N222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222" s="1" t="str">
        <f ca="1">IFERROR(__xludf.DUMMYFUNCTION("""COMPUTED_VALUE"""),"Manager who sets targets and expects me to achieve it")</f>
        <v>Manager who sets targets and expects me to achieve it</v>
      </c>
      <c r="P222" s="1" t="str">
        <f ca="1">IFERROR(__xludf.DUMMYFUNCTION("""COMPUTED_VALUE"""),"Work with 2 to 3 people in my team, Work with 5 to 6 people in my team")</f>
        <v>Work with 2 to 3 people in my team, Work with 5 to 6 people in my team</v>
      </c>
      <c r="Q222" s="1"/>
      <c r="R222" s="1"/>
      <c r="S222" s="1"/>
    </row>
    <row r="223" spans="1:19" ht="12.5" x14ac:dyDescent="0.25">
      <c r="A223" s="2">
        <f ca="1">IFERROR(__xludf.DUMMYFUNCTION("""COMPUTED_VALUE"""),44916.6256756828)</f>
        <v>44916.625675682801</v>
      </c>
      <c r="B223" s="1" t="str">
        <f ca="1">IFERROR(__xludf.DUMMYFUNCTION("""COMPUTED_VALUE"""),"India")</f>
        <v>India</v>
      </c>
      <c r="C223" s="1">
        <f ca="1">IFERROR(__xludf.DUMMYFUNCTION("""COMPUTED_VALUE"""),605009)</f>
        <v>605009</v>
      </c>
      <c r="D223" s="1" t="str">
        <f ca="1">IFERROR(__xludf.DUMMYFUNCTION("""COMPUTED_VALUE"""),"Female")</f>
        <v>Female</v>
      </c>
      <c r="E223" s="1" t="str">
        <f ca="1">IFERROR(__xludf.DUMMYFUNCTION("""COMPUTED_VALUE"""),"Social Media like LinkedIn")</f>
        <v>Social Media like LinkedIn</v>
      </c>
      <c r="F223" s="1" t="str">
        <f ca="1">IFERROR(__xludf.DUMMYFUNCTION("""COMPUTED_VALUE"""),"No I would not be pursuing Higher Education outside of India")</f>
        <v>No I would not be pursuing Higher Education outside of India</v>
      </c>
      <c r="G223" s="1" t="str">
        <f ca="1">IFERROR(__xludf.DUMMYFUNCTION("""COMPUTED_VALUE"""),"This will be hard to do, but if it is the right company I would try")</f>
        <v>This will be hard to do, but if it is the right company I would try</v>
      </c>
      <c r="H223" s="1" t="str">
        <f ca="1">IFERROR(__xludf.DUMMYFUNCTION("""COMPUTED_VALUE"""),"No")</f>
        <v>No</v>
      </c>
      <c r="I223" s="1" t="str">
        <f ca="1">IFERROR(__xludf.DUMMYFUNCTION("""COMPUTED_VALUE"""),"Will work for them")</f>
        <v>Will work for them</v>
      </c>
      <c r="J223" s="1">
        <f ca="1">IFERROR(__xludf.DUMMYFUNCTION("""COMPUTED_VALUE"""),10)</f>
        <v>10</v>
      </c>
      <c r="K223" s="1" t="str">
        <f ca="1">IFERROR(__xludf.DUMMYFUNCTION("""COMPUTED_VALUE"""),"Every Day Office Environment")</f>
        <v>Every Day Office Environment</v>
      </c>
      <c r="L223" s="1" t="str">
        <f ca="1">IFERROR(__xludf.DUMMYFUNCTION("""COMPUTED_VALUE"""),"Employer who appreciates learning and enables that environment")</f>
        <v>Employer who appreciates learning and enables that environment</v>
      </c>
      <c r="M223" s="1" t="str">
        <f ca="1">IFERROR(__xludf.DUMMYFUNCTION("""COMPUTED_VALUE"""),"Self Paced Learning Portals, Learning by observing others")</f>
        <v>Self Paced Learning Portals, Learning by observing others</v>
      </c>
      <c r="N223" s="1" t="str">
        <f ca="1">IFERROR(__xludf.DUMMYFUNCTION("""COMPUTED_VALUE"""),"Design and Creative strategy in any company, Build and develop a Team, Design and Develop amazing software")</f>
        <v>Design and Creative strategy in any company, Build and develop a Team, Design and Develop amazing software</v>
      </c>
      <c r="O223" s="1" t="str">
        <f ca="1">IFERROR(__xludf.DUMMYFUNCTION("""COMPUTED_VALUE"""),"Manager who clearly describes what she/he needs")</f>
        <v>Manager who clearly describes what she/he needs</v>
      </c>
      <c r="P223" s="1" t="str">
        <f ca="1">IFERROR(__xludf.DUMMYFUNCTION("""COMPUTED_VALUE"""),"Work alone")</f>
        <v>Work alone</v>
      </c>
      <c r="Q223" s="1"/>
      <c r="R223" s="1"/>
      <c r="S223" s="1"/>
    </row>
    <row r="224" spans="1:19" ht="12.5" x14ac:dyDescent="0.25">
      <c r="A224" s="2">
        <f ca="1">IFERROR(__xludf.DUMMYFUNCTION("""COMPUTED_VALUE"""),44916.6275264236)</f>
        <v>44916.627526423603</v>
      </c>
      <c r="B224" s="1" t="str">
        <f ca="1">IFERROR(__xludf.DUMMYFUNCTION("""COMPUTED_VALUE"""),"India")</f>
        <v>India</v>
      </c>
      <c r="C224" s="1">
        <f ca="1">IFERROR(__xludf.DUMMYFUNCTION("""COMPUTED_VALUE"""),605007)</f>
        <v>605007</v>
      </c>
      <c r="D224" s="1" t="str">
        <f ca="1">IFERROR(__xludf.DUMMYFUNCTION("""COMPUTED_VALUE"""),"Male")</f>
        <v>Male</v>
      </c>
      <c r="E224" s="1" t="str">
        <f ca="1">IFERROR(__xludf.DUMMYFUNCTION("""COMPUTED_VALUE"""),"People who have changed the world for better")</f>
        <v>People who have changed the world for better</v>
      </c>
      <c r="F224" s="1" t="str">
        <f ca="1">IFERROR(__xludf.DUMMYFUNCTION("""COMPUTED_VALUE"""),"No I would not be pursuing Higher Education outside of India")</f>
        <v>No I would not be pursuing Higher Education outside of India</v>
      </c>
      <c r="G224" s="1" t="str">
        <f ca="1">IFERROR(__xludf.DUMMYFUNCTION("""COMPUTED_VALUE"""),"This will be hard to do, but if it is the right company I would try")</f>
        <v>This will be hard to do, but if it is the right company I would try</v>
      </c>
      <c r="H224" s="1" t="str">
        <f ca="1">IFERROR(__xludf.DUMMYFUNCTION("""COMPUTED_VALUE"""),"No")</f>
        <v>No</v>
      </c>
      <c r="I224" s="1" t="str">
        <f ca="1">IFERROR(__xludf.DUMMYFUNCTION("""COMPUTED_VALUE"""),"Will NOT work for them")</f>
        <v>Will NOT work for them</v>
      </c>
      <c r="J224" s="1">
        <f ca="1">IFERROR(__xludf.DUMMYFUNCTION("""COMPUTED_VALUE"""),8)</f>
        <v>8</v>
      </c>
      <c r="K224" s="1" t="str">
        <f ca="1">IFERROR(__xludf.DUMMYFUNCTION("""COMPUTED_VALUE"""),"Every Day Office Environment")</f>
        <v>Every Day Office Environment</v>
      </c>
      <c r="L224" s="1" t="str">
        <f ca="1">IFERROR(__xludf.DUMMYFUNCTION("""COMPUTED_VALUE"""),"Employer who appreciates learning and enables that environment")</f>
        <v>Employer who appreciates learning and enables that environment</v>
      </c>
      <c r="M224" s="1" t="str">
        <f ca="1">IFERROR(__xludf.DUMMYFUNCTION("""COMPUTED_VALUE"""),"Self Paced Learning Portals, Learning by observing others")</f>
        <v>Self Paced Learning Portals, Learning by observing others</v>
      </c>
      <c r="N224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224" s="1" t="str">
        <f ca="1">IFERROR(__xludf.DUMMYFUNCTION("""COMPUTED_VALUE"""),"Manager who clearly describes what she/he needs")</f>
        <v>Manager who clearly describes what she/he needs</v>
      </c>
      <c r="P224" s="1" t="str">
        <f ca="1">IFERROR(__xludf.DUMMYFUNCTION("""COMPUTED_VALUE"""),"Work alone")</f>
        <v>Work alone</v>
      </c>
      <c r="Q224" s="1"/>
      <c r="R224" s="1"/>
      <c r="S224" s="1"/>
    </row>
    <row r="225" spans="1:19" ht="12.5" x14ac:dyDescent="0.25">
      <c r="A225" s="2">
        <f ca="1">IFERROR(__xludf.DUMMYFUNCTION("""COMPUTED_VALUE"""),44916.631342581)</f>
        <v>44916.631342581</v>
      </c>
      <c r="B225" s="1" t="str">
        <f ca="1">IFERROR(__xludf.DUMMYFUNCTION("""COMPUTED_VALUE"""),"India")</f>
        <v>India</v>
      </c>
      <c r="C225" s="1">
        <f ca="1">IFERROR(__xludf.DUMMYFUNCTION("""COMPUTED_VALUE"""),605014)</f>
        <v>605014</v>
      </c>
      <c r="D225" s="1" t="str">
        <f ca="1">IFERROR(__xludf.DUMMYFUNCTION("""COMPUTED_VALUE"""),"Male")</f>
        <v>Male</v>
      </c>
      <c r="E225" s="1" t="str">
        <f ca="1">IFERROR(__xludf.DUMMYFUNCTION("""COMPUTED_VALUE"""),"My Parents")</f>
        <v>My Parents</v>
      </c>
      <c r="F225" s="1" t="str">
        <f ca="1">IFERROR(__xludf.DUMMYFUNCTION("""COMPUTED_VALUE"""),"Yes, I will earn and do that")</f>
        <v>Yes, I will earn and do that</v>
      </c>
      <c r="G225" s="1" t="str">
        <f ca="1">IFERROR(__xludf.DUMMYFUNCTION("""COMPUTED_VALUE"""),"This will be hard to do, but if it is the right company I would try")</f>
        <v>This will be hard to do, but if it is the right company I would try</v>
      </c>
      <c r="H225" s="1" t="str">
        <f ca="1">IFERROR(__xludf.DUMMYFUNCTION("""COMPUTED_VALUE"""),"Yes")</f>
        <v>Yes</v>
      </c>
      <c r="I225" s="1" t="str">
        <f ca="1">IFERROR(__xludf.DUMMYFUNCTION("""COMPUTED_VALUE"""),"Will NOT work for them")</f>
        <v>Will NOT work for them</v>
      </c>
      <c r="J225" s="1">
        <f ca="1">IFERROR(__xludf.DUMMYFUNCTION("""COMPUTED_VALUE"""),8)</f>
        <v>8</v>
      </c>
      <c r="K225" s="1" t="str">
        <f ca="1">IFERROR(__xludf.DUMMYFUNCTION("""COMPUTED_VALUE"""),"Fully Remote with Options to travel as and when needed")</f>
        <v>Fully Remote with Options to travel as and when needed</v>
      </c>
      <c r="L225" s="1" t="str">
        <f ca="1">IFERROR(__xludf.DUMMYFUNCTION("""COMPUTED_VALUE"""),"Employer who appreciates learning and enables that environment")</f>
        <v>Employer who appreciates learning and enables that environment</v>
      </c>
      <c r="M225" s="1" t="str">
        <f ca="1">IFERROR(__xludf.DUMMYFUNCTION("""COMPUTED_VALUE"""),"Self Paced Learning Portals, Instructor or Expert Learning Programs")</f>
        <v>Self Paced Learning Portals, Instructor or Expert Learning Programs</v>
      </c>
      <c r="N225" s="1" t="str">
        <f ca="1">IFERROR(__xludf.DUMMYFUNCTION("""COMPUTED_VALUE"""),"Design and Creative strategy in any company, Design and Develop amazing software, Become a content Creator in some platform")</f>
        <v>Design and Creative strategy in any company, Design and Develop amazing software, Become a content Creator in some platform</v>
      </c>
      <c r="O225" s="1" t="str">
        <f ca="1">IFERROR(__xludf.DUMMYFUNCTION("""COMPUTED_VALUE"""),"Manager who sets unrealistic targets")</f>
        <v>Manager who sets unrealistic targets</v>
      </c>
      <c r="P225" s="1" t="str">
        <f ca="1">IFERROR(__xludf.DUMMYFUNCTION("""COMPUTED_VALUE"""),"Work with more than 10 people in my team")</f>
        <v>Work with more than 10 people in my team</v>
      </c>
      <c r="Q225" s="1"/>
      <c r="R225" s="1"/>
      <c r="S225" s="1"/>
    </row>
    <row r="226" spans="1:19" ht="12.5" x14ac:dyDescent="0.25">
      <c r="A226" s="2">
        <f ca="1">IFERROR(__xludf.DUMMYFUNCTION("""COMPUTED_VALUE"""),44916.6395372338)</f>
        <v>44916.639537233801</v>
      </c>
      <c r="B226" s="1" t="str">
        <f ca="1">IFERROR(__xludf.DUMMYFUNCTION("""COMPUTED_VALUE"""),"India")</f>
        <v>India</v>
      </c>
      <c r="C226" s="1">
        <f ca="1">IFERROR(__xludf.DUMMYFUNCTION("""COMPUTED_VALUE"""),605107)</f>
        <v>605107</v>
      </c>
      <c r="D226" s="1" t="str">
        <f ca="1">IFERROR(__xludf.DUMMYFUNCTION("""COMPUTED_VALUE"""),"Male")</f>
        <v>Male</v>
      </c>
      <c r="E226" s="1" t="str">
        <f ca="1">IFERROR(__xludf.DUMMYFUNCTION("""COMPUTED_VALUE"""),"People who have changed the world for better")</f>
        <v>People who have changed the world for better</v>
      </c>
      <c r="F226" s="1" t="str">
        <f ca="1">IFERROR(__xludf.DUMMYFUNCTION("""COMPUTED_VALUE"""),"No I would not be pursuing Higher Education outside of India")</f>
        <v>No I would not be pursuing Higher Education outside of India</v>
      </c>
      <c r="G226" s="1" t="str">
        <f ca="1">IFERROR(__xludf.DUMMYFUNCTION("""COMPUTED_VALUE"""),"This will be hard to do, but if it is the right company I would try")</f>
        <v>This will be hard to do, but if it is the right company I would try</v>
      </c>
      <c r="H226" s="1" t="str">
        <f ca="1">IFERROR(__xludf.DUMMYFUNCTION("""COMPUTED_VALUE"""),"No")</f>
        <v>No</v>
      </c>
      <c r="I226" s="1" t="str">
        <f ca="1">IFERROR(__xludf.DUMMYFUNCTION("""COMPUTED_VALUE"""),"Will NOT work for them")</f>
        <v>Will NOT work for them</v>
      </c>
      <c r="J226" s="1">
        <f ca="1">IFERROR(__xludf.DUMMYFUNCTION("""COMPUTED_VALUE"""),3)</f>
        <v>3</v>
      </c>
      <c r="K226" s="1" t="str">
        <f ca="1">IFERROR(__xludf.DUMMYFUNCTION("""COMPUTED_VALUE"""),"Every Day Office Environment")</f>
        <v>Every Day Office Environment</v>
      </c>
      <c r="L226" s="1" t="str">
        <f ca="1">IFERROR(__xludf.DUMMYFUNCTION("""COMPUTED_VALUE"""),"Employer who appreciates learning and enables that environment")</f>
        <v>Employer who appreciates learning and enables that environment</v>
      </c>
      <c r="M226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26" s="1" t="str">
        <f ca="1">IFERROR(__xludf.DUMMYFUNCTION("""COMPUTED_VALUE"""),"Design and Creative strategy in any company, Build and develop a Team, Become a content Creator in some platform")</f>
        <v>Design and Creative strategy in any company, Build and develop a Team, Become a content Creator in some platform</v>
      </c>
      <c r="O226" s="1" t="str">
        <f ca="1">IFERROR(__xludf.DUMMYFUNCTION("""COMPUTED_VALUE"""),"Manager who clearly describes what she/he needs")</f>
        <v>Manager who clearly describes what she/he needs</v>
      </c>
      <c r="P226" s="1" t="str">
        <f ca="1">IFERROR(__xludf.DUMMYFUNCTION("""COMPUTED_VALUE"""),"Work alone")</f>
        <v>Work alone</v>
      </c>
      <c r="Q226" s="1"/>
      <c r="R226" s="1"/>
      <c r="S226" s="1"/>
    </row>
    <row r="227" spans="1:19" ht="12.5" x14ac:dyDescent="0.25">
      <c r="A227" s="2">
        <f ca="1">IFERROR(__xludf.DUMMYFUNCTION("""COMPUTED_VALUE"""),44916.6484313541)</f>
        <v>44916.6484313541</v>
      </c>
      <c r="B227" s="1" t="str">
        <f ca="1">IFERROR(__xludf.DUMMYFUNCTION("""COMPUTED_VALUE"""),"India")</f>
        <v>India</v>
      </c>
      <c r="C227" s="1">
        <f ca="1">IFERROR(__xludf.DUMMYFUNCTION("""COMPUTED_VALUE"""),605009)</f>
        <v>605009</v>
      </c>
      <c r="D227" s="1" t="str">
        <f ca="1">IFERROR(__xludf.DUMMYFUNCTION("""COMPUTED_VALUE"""),"Female")</f>
        <v>Female</v>
      </c>
      <c r="E227" s="1" t="str">
        <f ca="1">IFERROR(__xludf.DUMMYFUNCTION("""COMPUTED_VALUE"""),"People who have changed the world for better")</f>
        <v>People who have changed the world for better</v>
      </c>
      <c r="F227" s="1" t="str">
        <f ca="1">IFERROR(__xludf.DUMMYFUNCTION("""COMPUTED_VALUE"""),"No I would not be pursuing Higher Education outside of India")</f>
        <v>No I would not be pursuing Higher Education outside of India</v>
      </c>
      <c r="G227" s="1" t="str">
        <f ca="1">IFERROR(__xludf.DUMMYFUNCTION("""COMPUTED_VALUE"""),"This will be hard to do, but if it is the right company I would try")</f>
        <v>This will be hard to do, but if it is the right company I would try</v>
      </c>
      <c r="H227" s="1" t="str">
        <f ca="1">IFERROR(__xludf.DUMMYFUNCTION("""COMPUTED_VALUE"""),"No")</f>
        <v>No</v>
      </c>
      <c r="I227" s="1" t="str">
        <f ca="1">IFERROR(__xludf.DUMMYFUNCTION("""COMPUTED_VALUE"""),"Will NOT work for them")</f>
        <v>Will NOT work for them</v>
      </c>
      <c r="J227" s="1">
        <f ca="1">IFERROR(__xludf.DUMMYFUNCTION("""COMPUTED_VALUE"""),2)</f>
        <v>2</v>
      </c>
      <c r="K227" s="1" t="str">
        <f ca="1">IFERROR(__xludf.DUMMYFUNCTION("""COMPUTED_VALUE"""),"Hybrid Working Environment with less than 10 days a month at office")</f>
        <v>Hybrid Working Environment with less than 10 days a month at office</v>
      </c>
      <c r="L227" s="1" t="str">
        <f ca="1">IFERROR(__xludf.DUMMYFUNCTION("""COMPUTED_VALUE"""),"Employer who appreciates learning and enables that environment")</f>
        <v>Employer who appreciates learning and enables that environment</v>
      </c>
      <c r="M22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27" s="1" t="str">
        <f ca="1">IFERROR(__xludf.DUMMYFUNCTION("""COMPUTED_VALUE"""),"Design and Creative strategy in any company, Teaching in any of the institutes/online or Offline, Build and develop a Team")</f>
        <v>Design and Creative strategy in any company, Teaching in any of the institutes/online or Offline, Build and develop a Team</v>
      </c>
      <c r="O227" s="1" t="str">
        <f ca="1">IFERROR(__xludf.DUMMYFUNCTION("""COMPUTED_VALUE"""),"Manager who explains what is expected, sets a goal and helps achieve it")</f>
        <v>Manager who explains what is expected, sets a goal and helps achieve it</v>
      </c>
      <c r="P227" s="1" t="str">
        <f ca="1">IFERROR(__xludf.DUMMYFUNCTION("""COMPUTED_VALUE"""),"Work with 7 to 10 or more people in my team")</f>
        <v>Work with 7 to 10 or more people in my team</v>
      </c>
      <c r="Q227" s="1"/>
      <c r="R227" s="1"/>
      <c r="S227" s="1"/>
    </row>
    <row r="228" spans="1:19" ht="12.5" x14ac:dyDescent="0.25">
      <c r="A228" s="2">
        <f ca="1">IFERROR(__xludf.DUMMYFUNCTION("""COMPUTED_VALUE"""),44916.6488255787)</f>
        <v>44916.648825578697</v>
      </c>
      <c r="B228" s="1" t="str">
        <f ca="1">IFERROR(__xludf.DUMMYFUNCTION("""COMPUTED_VALUE"""),"India")</f>
        <v>India</v>
      </c>
      <c r="C228" s="1">
        <f ca="1">IFERROR(__xludf.DUMMYFUNCTION("""COMPUTED_VALUE"""),605001)</f>
        <v>605001</v>
      </c>
      <c r="D228" s="1" t="str">
        <f ca="1">IFERROR(__xludf.DUMMYFUNCTION("""COMPUTED_VALUE"""),"Female")</f>
        <v>Female</v>
      </c>
      <c r="E228" s="1" t="str">
        <f ca="1">IFERROR(__xludf.DUMMYFUNCTION("""COMPUTED_VALUE"""),"Social Media like LinkedIn")</f>
        <v>Social Media like LinkedIn</v>
      </c>
      <c r="F228" s="1" t="str">
        <f ca="1">IFERROR(__xludf.DUMMYFUNCTION("""COMPUTED_VALUE"""),"Yes, I will earn and do that")</f>
        <v>Yes, I will earn and do that</v>
      </c>
      <c r="G228" s="1" t="str">
        <f ca="1">IFERROR(__xludf.DUMMYFUNCTION("""COMPUTED_VALUE"""),"No way, 3 years with one employer is crazy")</f>
        <v>No way, 3 years with one employer is crazy</v>
      </c>
      <c r="H228" s="1" t="str">
        <f ca="1">IFERROR(__xludf.DUMMYFUNCTION("""COMPUTED_VALUE"""),"Yes")</f>
        <v>Yes</v>
      </c>
      <c r="I228" s="1" t="str">
        <f ca="1">IFERROR(__xludf.DUMMYFUNCTION("""COMPUTED_VALUE"""),"Will work for them")</f>
        <v>Will work for them</v>
      </c>
      <c r="J228" s="1">
        <f ca="1">IFERROR(__xludf.DUMMYFUNCTION("""COMPUTED_VALUE"""),8)</f>
        <v>8</v>
      </c>
      <c r="K228" s="1" t="str">
        <f ca="1">IFERROR(__xludf.DUMMYFUNCTION("""COMPUTED_VALUE"""),"Hybrid Working Environment with less than 15 days a month at office")</f>
        <v>Hybrid Working Environment with less than 15 days a month at office</v>
      </c>
      <c r="L228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28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28" s="1" t="str">
        <f ca="1">IFERROR(__xludf.DUMMYFUNCTION("""COMPUTED_VALUE"""),"Design and Creative strategy in any company, Design and Develop amazing software, Work as a freelancer and do my thing my way")</f>
        <v>Design and Creative strategy in any company, Design and Develop amazing software, Work as a freelancer and do my thing my way</v>
      </c>
      <c r="O228" s="1" t="str">
        <f ca="1">IFERROR(__xludf.DUMMYFUNCTION("""COMPUTED_VALUE"""),"Manager who clearly describes what she/he needs")</f>
        <v>Manager who clearly describes what she/he needs</v>
      </c>
      <c r="P228" s="1" t="str">
        <f ca="1">IFERROR(__xludf.DUMMYFUNCTION("""COMPUTED_VALUE"""),"Work alone")</f>
        <v>Work alone</v>
      </c>
      <c r="Q228" s="1"/>
      <c r="R228" s="1"/>
      <c r="S228" s="1"/>
    </row>
    <row r="229" spans="1:19" ht="12.5" x14ac:dyDescent="0.25">
      <c r="A229" s="2">
        <f ca="1">IFERROR(__xludf.DUMMYFUNCTION("""COMPUTED_VALUE"""),44916.656138912)</f>
        <v>44916.656138912003</v>
      </c>
      <c r="B229" s="1" t="str">
        <f ca="1">IFERROR(__xludf.DUMMYFUNCTION("""COMPUTED_VALUE"""),"India")</f>
        <v>India</v>
      </c>
      <c r="C229" s="1">
        <f ca="1">IFERROR(__xludf.DUMMYFUNCTION("""COMPUTED_VALUE"""),605110)</f>
        <v>605110</v>
      </c>
      <c r="D229" s="1" t="str">
        <f ca="1">IFERROR(__xludf.DUMMYFUNCTION("""COMPUTED_VALUE"""),"Female")</f>
        <v>Female</v>
      </c>
      <c r="E229" s="1" t="str">
        <f ca="1">IFERROR(__xludf.DUMMYFUNCTION("""COMPUTED_VALUE"""),"My Parents")</f>
        <v>My Parents</v>
      </c>
      <c r="F229" s="1" t="str">
        <f ca="1">IFERROR(__xludf.DUMMYFUNCTION("""COMPUTED_VALUE"""),"No, But if someone could bare the cost I will")</f>
        <v>No, But if someone could bare the cost I will</v>
      </c>
      <c r="G229" s="1" t="str">
        <f ca="1">IFERROR(__xludf.DUMMYFUNCTION("""COMPUTED_VALUE"""),"This will be hard to do, but if it is the right company I would try")</f>
        <v>This will be hard to do, but if it is the right company I would try</v>
      </c>
      <c r="H229" s="1" t="str">
        <f ca="1">IFERROR(__xludf.DUMMYFUNCTION("""COMPUTED_VALUE"""),"Yes")</f>
        <v>Yes</v>
      </c>
      <c r="I229" s="1" t="str">
        <f ca="1">IFERROR(__xludf.DUMMYFUNCTION("""COMPUTED_VALUE"""),"Will work for them")</f>
        <v>Will work for them</v>
      </c>
      <c r="J229" s="1">
        <f ca="1">IFERROR(__xludf.DUMMYFUNCTION("""COMPUTED_VALUE"""),3)</f>
        <v>3</v>
      </c>
      <c r="K229" s="1" t="str">
        <f ca="1">IFERROR(__xludf.DUMMYFUNCTION("""COMPUTED_VALUE"""),"Every Day Office Environment")</f>
        <v>Every Day Office Environment</v>
      </c>
      <c r="L229" s="1" t="str">
        <f ca="1">IFERROR(__xludf.DUMMYFUNCTION("""COMPUTED_VALUE"""),"Employer who appreciates learning and enables that environment")</f>
        <v>Employer who appreciates learning and enables that environment</v>
      </c>
      <c r="M229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29" s="1" t="str">
        <f ca="1">IFERROR(__xludf.DUMMYFUNCTION("""COMPUTED_VALUE"""),"Design and Creative strategy in any company, Teaching in any of the institutes/online or Offline, Design and Develop amazing software")</f>
        <v>Design and Creative strategy in any company, Teaching in any of the institutes/online or Offline, Design and Develop amazing software</v>
      </c>
      <c r="O229" s="1" t="str">
        <f ca="1">IFERROR(__xludf.DUMMYFUNCTION("""COMPUTED_VALUE"""),"Manager who sets targets and expects me to achieve it")</f>
        <v>Manager who sets targets and expects me to achieve it</v>
      </c>
      <c r="P229" s="1" t="str">
        <f ca="1">IFERROR(__xludf.DUMMYFUNCTION("""COMPUTED_VALUE"""),"Work alone")</f>
        <v>Work alone</v>
      </c>
      <c r="Q229" s="1"/>
      <c r="R229" s="1"/>
      <c r="S229" s="1"/>
    </row>
    <row r="230" spans="1:19" ht="12.5" x14ac:dyDescent="0.25">
      <c r="A230" s="2">
        <f ca="1">IFERROR(__xludf.DUMMYFUNCTION("""COMPUTED_VALUE"""),44916.675402662)</f>
        <v>44916.675402661996</v>
      </c>
      <c r="B230" s="1" t="str">
        <f ca="1">IFERROR(__xludf.DUMMYFUNCTION("""COMPUTED_VALUE"""),"India")</f>
        <v>India</v>
      </c>
      <c r="C230" s="1">
        <f ca="1">IFERROR(__xludf.DUMMYFUNCTION("""COMPUTED_VALUE"""),442406)</f>
        <v>442406</v>
      </c>
      <c r="D230" s="1" t="str">
        <f ca="1">IFERROR(__xludf.DUMMYFUNCTION("""COMPUTED_VALUE"""),"Male")</f>
        <v>Male</v>
      </c>
      <c r="E230" s="1" t="str">
        <f ca="1">IFERROR(__xludf.DUMMYFUNCTION("""COMPUTED_VALUE"""),"My Parents")</f>
        <v>My Parents</v>
      </c>
      <c r="F230" s="1" t="str">
        <f ca="1">IFERROR(__xludf.DUMMYFUNCTION("""COMPUTED_VALUE"""),"No, But if someone could bare the cost I will")</f>
        <v>No, But if someone could bare the cost I will</v>
      </c>
      <c r="G230" s="1" t="str">
        <f ca="1">IFERROR(__xludf.DUMMYFUNCTION("""COMPUTED_VALUE"""),"This will be hard to do, but if it is the right company I would try")</f>
        <v>This will be hard to do, but if it is the right company I would try</v>
      </c>
      <c r="H230" s="1" t="str">
        <f ca="1">IFERROR(__xludf.DUMMYFUNCTION("""COMPUTED_VALUE"""),"No")</f>
        <v>No</v>
      </c>
      <c r="I230" s="1" t="str">
        <f ca="1">IFERROR(__xludf.DUMMYFUNCTION("""COMPUTED_VALUE"""),"Will NOT work for them")</f>
        <v>Will NOT work for them</v>
      </c>
      <c r="J230" s="1">
        <f ca="1">IFERROR(__xludf.DUMMYFUNCTION("""COMPUTED_VALUE"""),7)</f>
        <v>7</v>
      </c>
      <c r="K230" s="1" t="str">
        <f ca="1">IFERROR(__xludf.DUMMYFUNCTION("""COMPUTED_VALUE"""),"Fully Remote with No option to visit offices")</f>
        <v>Fully Remote with No option to visit offices</v>
      </c>
      <c r="L2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0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30" s="1" t="str">
        <f ca="1">IFERROR(__xludf.DUMMYFUNCTION("""COMPUTED_VALUE"""),"Build and develop a Team, Design and Develop amazing software, Look deeply into Data and generate insights")</f>
        <v>Build and develop a Team, Design and Develop amazing software, Look deeply into Data and generate insights</v>
      </c>
      <c r="O230" s="1" t="str">
        <f ca="1">IFERROR(__xludf.DUMMYFUNCTION("""COMPUTED_VALUE"""),"Manager who explains what is expected, sets a goal and helps achieve it")</f>
        <v>Manager who explains what is expected, sets a goal and helps achieve it</v>
      </c>
      <c r="P230" s="1" t="str">
        <f ca="1">IFERROR(__xludf.DUMMYFUNCTION("""COMPUTED_VALUE"""),"Work with 5 to 6 people in my team")</f>
        <v>Work with 5 to 6 people in my team</v>
      </c>
      <c r="Q230" s="1"/>
      <c r="R230" s="1"/>
      <c r="S230" s="1"/>
    </row>
    <row r="231" spans="1:19" ht="12.5" x14ac:dyDescent="0.25">
      <c r="A231" s="2">
        <f ca="1">IFERROR(__xludf.DUMMYFUNCTION("""COMPUTED_VALUE"""),44916.7024984606)</f>
        <v>44916.702498460603</v>
      </c>
      <c r="B231" s="1" t="str">
        <f ca="1">IFERROR(__xludf.DUMMYFUNCTION("""COMPUTED_VALUE"""),"India")</f>
        <v>India</v>
      </c>
      <c r="C231" s="1">
        <f ca="1">IFERROR(__xludf.DUMMYFUNCTION("""COMPUTED_VALUE"""),605101)</f>
        <v>605101</v>
      </c>
      <c r="D231" s="1" t="str">
        <f ca="1">IFERROR(__xludf.DUMMYFUNCTION("""COMPUTED_VALUE"""),"Male")</f>
        <v>Male</v>
      </c>
      <c r="E231" s="1" t="str">
        <f ca="1">IFERROR(__xludf.DUMMYFUNCTION("""COMPUTED_VALUE"""),"My Parents")</f>
        <v>My Parents</v>
      </c>
      <c r="F231" s="1" t="str">
        <f ca="1">IFERROR(__xludf.DUMMYFUNCTION("""COMPUTED_VALUE"""),"Yes, I will earn and do that")</f>
        <v>Yes, I will earn and do that</v>
      </c>
      <c r="G231" s="1" t="str">
        <f ca="1">IFERROR(__xludf.DUMMYFUNCTION("""COMPUTED_VALUE"""),"This will be hard to do, but if it is the right company I would try")</f>
        <v>This will be hard to do, but if it is the right company I would try</v>
      </c>
      <c r="H231" s="1" t="str">
        <f ca="1">IFERROR(__xludf.DUMMYFUNCTION("""COMPUTED_VALUE"""),"Yes")</f>
        <v>Yes</v>
      </c>
      <c r="I231" s="1" t="str">
        <f ca="1">IFERROR(__xludf.DUMMYFUNCTION("""COMPUTED_VALUE"""),"Will work for them")</f>
        <v>Will work for them</v>
      </c>
      <c r="J231" s="1">
        <f ca="1">IFERROR(__xludf.DUMMYFUNCTION("""COMPUTED_VALUE"""),10)</f>
        <v>10</v>
      </c>
      <c r="K231" s="1" t="str">
        <f ca="1">IFERROR(__xludf.DUMMYFUNCTION("""COMPUTED_VALUE"""),"Fully Remote with Options to travel as and when needed")</f>
        <v>Fully Remote with Options to travel as and when needed</v>
      </c>
      <c r="L231" s="1" t="str">
        <f ca="1">IFERROR(__xludf.DUMMYFUNCTION("""COMPUTED_VALUE"""),"Employer who appreciates learning and enables that environment")</f>
        <v>Employer who appreciates learning and enables that environment</v>
      </c>
      <c r="M231" s="1" t="str">
        <f ca="1">IFERROR(__xludf.DUMMYFUNCTION("""COMPUTED_VALUE"""),"Self Paced Learning Portals, Instructor or Expert Learning Programs")</f>
        <v>Self Paced Learning Portals, Instructor or Expert Learning Programs</v>
      </c>
      <c r="N231" s="1" t="str">
        <f ca="1">IFERROR(__xludf.DUMMYFUNCTION("""COMPUTED_VALUE"""),"Design and Creative strategy in any company, Design and Develop amazing software, Become a content Creator in some platform")</f>
        <v>Design and Creative strategy in any company, Design and Develop amazing software, Become a content Creator in some platform</v>
      </c>
      <c r="O231" s="1" t="str">
        <f ca="1">IFERROR(__xludf.DUMMYFUNCTION("""COMPUTED_VALUE"""),"Manager who sets targets and expects me to achieve it")</f>
        <v>Manager who sets targets and expects me to achieve it</v>
      </c>
      <c r="P231" s="1" t="str">
        <f ca="1">IFERROR(__xludf.DUMMYFUNCTION("""COMPUTED_VALUE"""),"Work with 5 to 6 people in my team")</f>
        <v>Work with 5 to 6 people in my team</v>
      </c>
      <c r="Q231" s="1"/>
      <c r="R231" s="1"/>
      <c r="S231" s="1"/>
    </row>
    <row r="232" spans="1:19" ht="12.5" x14ac:dyDescent="0.25">
      <c r="A232" s="2">
        <f ca="1">IFERROR(__xludf.DUMMYFUNCTION("""COMPUTED_VALUE"""),44916.7154884837)</f>
        <v>44916.7154884837</v>
      </c>
      <c r="B232" s="1" t="str">
        <f ca="1">IFERROR(__xludf.DUMMYFUNCTION("""COMPUTED_VALUE"""),"India")</f>
        <v>India</v>
      </c>
      <c r="C232" s="1">
        <f ca="1">IFERROR(__xludf.DUMMYFUNCTION("""COMPUTED_VALUE"""),605008)</f>
        <v>605008</v>
      </c>
      <c r="D232" s="1" t="str">
        <f ca="1">IFERROR(__xludf.DUMMYFUNCTION("""COMPUTED_VALUE"""),"Male")</f>
        <v>Male</v>
      </c>
      <c r="E232" s="1" t="str">
        <f ca="1">IFERROR(__xludf.DUMMYFUNCTION("""COMPUTED_VALUE"""),"People from my circle, but not family members")</f>
        <v>People from my circle, but not family members</v>
      </c>
      <c r="F232" s="1" t="str">
        <f ca="1">IFERROR(__xludf.DUMMYFUNCTION("""COMPUTED_VALUE"""),"Yes, I will earn and do that")</f>
        <v>Yes, I will earn and do that</v>
      </c>
      <c r="G232" s="1" t="str">
        <f ca="1">IFERROR(__xludf.DUMMYFUNCTION("""COMPUTED_VALUE"""),"Will work for 3 years or more")</f>
        <v>Will work for 3 years or more</v>
      </c>
      <c r="H232" s="1" t="str">
        <f ca="1">IFERROR(__xludf.DUMMYFUNCTION("""COMPUTED_VALUE"""),"No")</f>
        <v>No</v>
      </c>
      <c r="I232" s="1" t="str">
        <f ca="1">IFERROR(__xludf.DUMMYFUNCTION("""COMPUTED_VALUE"""),"Will NOT work for them")</f>
        <v>Will NOT work for them</v>
      </c>
      <c r="J232" s="1">
        <f ca="1">IFERROR(__xludf.DUMMYFUNCTION("""COMPUTED_VALUE"""),7)</f>
        <v>7</v>
      </c>
      <c r="K232" s="1" t="str">
        <f ca="1">IFERROR(__xludf.DUMMYFUNCTION("""COMPUTED_VALUE"""),"Fully Remote with Options to travel as and when needed")</f>
        <v>Fully Remote with Options to travel as and when needed</v>
      </c>
      <c r="L2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2" s="1" t="str">
        <f ca="1">IFERROR(__xludf.DUMMYFUNCTION("""COMPUTED_VALUE"""),"Self Paced Learning Portals, Learning by observing others")</f>
        <v>Self Paced Learning Portals, Learning by observing others</v>
      </c>
      <c r="N232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232" s="1" t="str">
        <f ca="1">IFERROR(__xludf.DUMMYFUNCTION("""COMPUTED_VALUE"""),"Manager who sets goal and helps me achieve it")</f>
        <v>Manager who sets goal and helps me achieve it</v>
      </c>
      <c r="P232" s="1" t="str">
        <f ca="1">IFERROR(__xludf.DUMMYFUNCTION("""COMPUTED_VALUE"""),"Work with more than 10 people in my team")</f>
        <v>Work with more than 10 people in my team</v>
      </c>
      <c r="Q232" s="1"/>
      <c r="R232" s="1"/>
      <c r="S232" s="1"/>
    </row>
    <row r="233" spans="1:19" ht="12.5" x14ac:dyDescent="0.25">
      <c r="A233" s="2">
        <f ca="1">IFERROR(__xludf.DUMMYFUNCTION("""COMPUTED_VALUE"""),44916.7264457638)</f>
        <v>44916.726445763801</v>
      </c>
      <c r="B233" s="1" t="str">
        <f ca="1">IFERROR(__xludf.DUMMYFUNCTION("""COMPUTED_VALUE"""),"India")</f>
        <v>India</v>
      </c>
      <c r="C233" s="1">
        <f ca="1">IFERROR(__xludf.DUMMYFUNCTION("""COMPUTED_VALUE"""),722207)</f>
        <v>722207</v>
      </c>
      <c r="D233" s="1" t="str">
        <f ca="1">IFERROR(__xludf.DUMMYFUNCTION("""COMPUTED_VALUE"""),"Male")</f>
        <v>Male</v>
      </c>
      <c r="E233" s="1" t="str">
        <f ca="1">IFERROR(__xludf.DUMMYFUNCTION("""COMPUTED_VALUE"""),"People from my circle, but not family members")</f>
        <v>People from my circle, but not family members</v>
      </c>
      <c r="F233" s="1" t="str">
        <f ca="1">IFERROR(__xludf.DUMMYFUNCTION("""COMPUTED_VALUE"""),"No I would not be pursuing Higher Education outside of India")</f>
        <v>No I would not be pursuing Higher Education outside of India</v>
      </c>
      <c r="G233" s="1" t="str">
        <f ca="1">IFERROR(__xludf.DUMMYFUNCTION("""COMPUTED_VALUE"""),"This will be hard to do, but if it is the right company I would try")</f>
        <v>This will be hard to do, but if it is the right company I would try</v>
      </c>
      <c r="H233" s="1" t="str">
        <f ca="1">IFERROR(__xludf.DUMMYFUNCTION("""COMPUTED_VALUE"""),"Yes")</f>
        <v>Yes</v>
      </c>
      <c r="I233" s="1" t="str">
        <f ca="1">IFERROR(__xludf.DUMMYFUNCTION("""COMPUTED_VALUE"""),"Will work for them")</f>
        <v>Will work for them</v>
      </c>
      <c r="J233" s="1">
        <f ca="1">IFERROR(__xludf.DUMMYFUNCTION("""COMPUTED_VALUE"""),5)</f>
        <v>5</v>
      </c>
      <c r="K233" s="1" t="str">
        <f ca="1">IFERROR(__xludf.DUMMYFUNCTION("""COMPUTED_VALUE"""),"Hybrid Working Environment with less than 3 days a month at office")</f>
        <v>Hybrid Working Environment with less than 3 days a month at office</v>
      </c>
      <c r="L233" s="1" t="str">
        <f ca="1">IFERROR(__xludf.DUMMYFUNCTION("""COMPUTED_VALUE"""),"Employer who rewards learning and enables that environment")</f>
        <v>Employer who rewards learning and enables that environment</v>
      </c>
      <c r="M233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33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233" s="1" t="str">
        <f ca="1">IFERROR(__xludf.DUMMYFUNCTION("""COMPUTED_VALUE"""),"Manager who explains what is expected, sets a goal and helps achieve it")</f>
        <v>Manager who explains what is expected, sets a goal and helps achieve it</v>
      </c>
      <c r="P233" s="1" t="str">
        <f ca="1">IFERROR(__xludf.DUMMYFUNCTION("""COMPUTED_VALUE"""),"Work with 2 to 3 people in my team")</f>
        <v>Work with 2 to 3 people in my team</v>
      </c>
      <c r="Q233" s="1"/>
      <c r="R233" s="1"/>
      <c r="S233" s="1"/>
    </row>
    <row r="234" spans="1:19" ht="12.5" x14ac:dyDescent="0.25">
      <c r="A234" s="2">
        <f ca="1">IFERROR(__xludf.DUMMYFUNCTION("""COMPUTED_VALUE"""),44916.7386769907)</f>
        <v>44916.738676990703</v>
      </c>
      <c r="B234" s="1" t="str">
        <f ca="1">IFERROR(__xludf.DUMMYFUNCTION("""COMPUTED_VALUE"""),"India")</f>
        <v>India</v>
      </c>
      <c r="C234" s="1">
        <f ca="1">IFERROR(__xludf.DUMMYFUNCTION("""COMPUTED_VALUE"""),604102)</f>
        <v>604102</v>
      </c>
      <c r="D234" s="1" t="str">
        <f ca="1">IFERROR(__xludf.DUMMYFUNCTION("""COMPUTED_VALUE"""),"Female")</f>
        <v>Female</v>
      </c>
      <c r="E234" s="1" t="str">
        <f ca="1">IFERROR(__xludf.DUMMYFUNCTION("""COMPUTED_VALUE"""),"People who have changed the world for better")</f>
        <v>People who have changed the world for better</v>
      </c>
      <c r="F234" s="1" t="str">
        <f ca="1">IFERROR(__xludf.DUMMYFUNCTION("""COMPUTED_VALUE"""),"Yes, I will earn and do that")</f>
        <v>Yes, I will earn and do that</v>
      </c>
      <c r="G234" s="1" t="str">
        <f ca="1">IFERROR(__xludf.DUMMYFUNCTION("""COMPUTED_VALUE"""),"Will work for 3 years or more")</f>
        <v>Will work for 3 years or more</v>
      </c>
      <c r="H234" s="1" t="str">
        <f ca="1">IFERROR(__xludf.DUMMYFUNCTION("""COMPUTED_VALUE"""),"Yes")</f>
        <v>Yes</v>
      </c>
      <c r="I234" s="1" t="str">
        <f ca="1">IFERROR(__xludf.DUMMYFUNCTION("""COMPUTED_VALUE"""),"Will work for them")</f>
        <v>Will work for them</v>
      </c>
      <c r="J234" s="1">
        <f ca="1">IFERROR(__xludf.DUMMYFUNCTION("""COMPUTED_VALUE"""),4)</f>
        <v>4</v>
      </c>
      <c r="K234" s="1" t="str">
        <f ca="1">IFERROR(__xludf.DUMMYFUNCTION("""COMPUTED_VALUE"""),"Hybrid Working Environment with less than 10 days a month at office")</f>
        <v>Hybrid Working Environment with less than 10 days a month at office</v>
      </c>
      <c r="L234" s="1" t="str">
        <f ca="1">IFERROR(__xludf.DUMMYFUNCTION("""COMPUTED_VALUE"""),"Employer who appreciates learning and enables that environment")</f>
        <v>Employer who appreciates learning and enables that environment</v>
      </c>
      <c r="M234" s="1" t="str">
        <f ca="1">IFERROR(__xludf.DUMMYFUNCTION("""COMPUTED_VALUE"""),"Self Paced Learning Portals, Learning by observing others")</f>
        <v>Self Paced Learning Portals, Learning by observing others</v>
      </c>
      <c r="N234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234" s="1" t="str">
        <f ca="1">IFERROR(__xludf.DUMMYFUNCTION("""COMPUTED_VALUE"""),"Manager who sets goal and helps me achieve it")</f>
        <v>Manager who sets goal and helps me achieve it</v>
      </c>
      <c r="P234" s="1" t="str">
        <f ca="1">IFERROR(__xludf.DUMMYFUNCTION("""COMPUTED_VALUE"""),"Work with more than 10 people in my team")</f>
        <v>Work with more than 10 people in my team</v>
      </c>
      <c r="Q234" s="1"/>
      <c r="R234" s="1"/>
      <c r="S234" s="1"/>
    </row>
    <row r="235" spans="1:19" ht="12.5" x14ac:dyDescent="0.25">
      <c r="A235" s="2">
        <f ca="1">IFERROR(__xludf.DUMMYFUNCTION("""COMPUTED_VALUE"""),44916.7554082291)</f>
        <v>44916.755408229103</v>
      </c>
      <c r="B235" s="1" t="str">
        <f ca="1">IFERROR(__xludf.DUMMYFUNCTION("""COMPUTED_VALUE"""),"India")</f>
        <v>India</v>
      </c>
      <c r="C235" s="1">
        <f ca="1">IFERROR(__xludf.DUMMYFUNCTION("""COMPUTED_VALUE"""),122002)</f>
        <v>122002</v>
      </c>
      <c r="D235" s="1" t="str">
        <f ca="1">IFERROR(__xludf.DUMMYFUNCTION("""COMPUTED_VALUE"""),"Male")</f>
        <v>Male</v>
      </c>
      <c r="E235" s="1" t="str">
        <f ca="1">IFERROR(__xludf.DUMMYFUNCTION("""COMPUTED_VALUE"""),"People who have changed the world for better")</f>
        <v>People who have changed the world for better</v>
      </c>
      <c r="F235" s="1" t="str">
        <f ca="1">IFERROR(__xludf.DUMMYFUNCTION("""COMPUTED_VALUE"""),"Yes, I will earn and do that")</f>
        <v>Yes, I will earn and do that</v>
      </c>
      <c r="G235" s="1" t="str">
        <f ca="1">IFERROR(__xludf.DUMMYFUNCTION("""COMPUTED_VALUE"""),"No way, 3 years with one employer is crazy")</f>
        <v>No way, 3 years with one employer is crazy</v>
      </c>
      <c r="H235" s="1" t="str">
        <f ca="1">IFERROR(__xludf.DUMMYFUNCTION("""COMPUTED_VALUE"""),"No")</f>
        <v>No</v>
      </c>
      <c r="I235" s="1" t="str">
        <f ca="1">IFERROR(__xludf.DUMMYFUNCTION("""COMPUTED_VALUE"""),"Will NOT work for them")</f>
        <v>Will NOT work for them</v>
      </c>
      <c r="J235" s="1">
        <f ca="1">IFERROR(__xludf.DUMMYFUNCTION("""COMPUTED_VALUE"""),7)</f>
        <v>7</v>
      </c>
      <c r="K235" s="1" t="str">
        <f ca="1">IFERROR(__xludf.DUMMYFUNCTION("""COMPUTED_VALUE"""),"Hybrid Working Environment with less than 15 days a month at office")</f>
        <v>Hybrid Working Environment with less than 15 days a month at office</v>
      </c>
      <c r="L235" s="1" t="str">
        <f ca="1">IFERROR(__xludf.DUMMYFUNCTION("""COMPUTED_VALUE"""),"Employer who rewards learning and enables that environment")</f>
        <v>Employer who rewards learning and enables that environment</v>
      </c>
      <c r="M235" s="1" t="str">
        <f ca="1">IFERROR(__xludf.DUMMYFUNCTION("""COMPUTED_VALUE"""),"Self Paced Learning Portals, Instructor or Expert Learning Programs")</f>
        <v>Self Paced Learning Portals, Instructor or Expert Learning Programs</v>
      </c>
      <c r="N235" s="1" t="str">
        <f ca="1">IFERROR(__xludf.DUMMYFUNCTION("""COMPUTED_VALUE"""),"Teaching in any of the institutes/online or Offline, Manage and drive End-to-End Projects or Products, Design and Develop amazing software")</f>
        <v>Teaching in any of the institutes/online or Offline, Manage and drive End-to-End Projects or Products, Design and Develop amazing software</v>
      </c>
      <c r="O235" s="1" t="str">
        <f ca="1">IFERROR(__xludf.DUMMYFUNCTION("""COMPUTED_VALUE"""),"Manager who explains what is expected, sets a goal and helps achieve it")</f>
        <v>Manager who explains what is expected, sets a goal and helps achieve it</v>
      </c>
      <c r="P235" s="1" t="str">
        <f ca="1">IFERROR(__xludf.DUMMYFUNCTION("""COMPUTED_VALUE"""),"Work with 5 to 6 people in my team")</f>
        <v>Work with 5 to 6 people in my team</v>
      </c>
      <c r="Q235" s="1"/>
      <c r="R235" s="1"/>
      <c r="S235" s="1"/>
    </row>
    <row r="236" spans="1:19" ht="12.5" x14ac:dyDescent="0.25">
      <c r="A236" s="2">
        <f ca="1">IFERROR(__xludf.DUMMYFUNCTION("""COMPUTED_VALUE"""),44916.758823912)</f>
        <v>44916.758823912001</v>
      </c>
      <c r="B236" s="1" t="str">
        <f ca="1">IFERROR(__xludf.DUMMYFUNCTION("""COMPUTED_VALUE"""),"India")</f>
        <v>India</v>
      </c>
      <c r="C236" s="1">
        <f ca="1">IFERROR(__xludf.DUMMYFUNCTION("""COMPUTED_VALUE"""),605102)</f>
        <v>605102</v>
      </c>
      <c r="D236" s="1" t="str">
        <f ca="1">IFERROR(__xludf.DUMMYFUNCTION("""COMPUTED_VALUE"""),"Female")</f>
        <v>Female</v>
      </c>
      <c r="E236" s="1" t="str">
        <f ca="1">IFERROR(__xludf.DUMMYFUNCTION("""COMPUTED_VALUE"""),"My Parents")</f>
        <v>My Parents</v>
      </c>
      <c r="F236" s="1" t="str">
        <f ca="1">IFERROR(__xludf.DUMMYFUNCTION("""COMPUTED_VALUE"""),"Yes, I will earn and do that")</f>
        <v>Yes, I will earn and do that</v>
      </c>
      <c r="G236" s="1" t="str">
        <f ca="1">IFERROR(__xludf.DUMMYFUNCTION("""COMPUTED_VALUE"""),"This will be hard to do, but if it is the right company I would try")</f>
        <v>This will be hard to do, but if it is the right company I would try</v>
      </c>
      <c r="H236" s="1" t="str">
        <f ca="1">IFERROR(__xludf.DUMMYFUNCTION("""COMPUTED_VALUE"""),"Yes")</f>
        <v>Yes</v>
      </c>
      <c r="I236" s="1" t="str">
        <f ca="1">IFERROR(__xludf.DUMMYFUNCTION("""COMPUTED_VALUE"""),"Will work for them")</f>
        <v>Will work for them</v>
      </c>
      <c r="J236" s="1">
        <f ca="1">IFERROR(__xludf.DUMMYFUNCTION("""COMPUTED_VALUE"""),5)</f>
        <v>5</v>
      </c>
      <c r="K236" s="1" t="str">
        <f ca="1">IFERROR(__xludf.DUMMYFUNCTION("""COMPUTED_VALUE"""),"Every Day Office Environment")</f>
        <v>Every Day Office Environment</v>
      </c>
      <c r="L236" s="1" t="str">
        <f ca="1">IFERROR(__xludf.DUMMYFUNCTION("""COMPUTED_VALUE"""),"Employer who appreciates learning and enables that environment")</f>
        <v>Employer who appreciates learning and enables that environment</v>
      </c>
      <c r="M236" s="1" t="str">
        <f ca="1">IFERROR(__xludf.DUMMYFUNCTION("""COMPUTED_VALUE"""),"Self Paced Learning Portals, Instructor or Expert Learning Programs")</f>
        <v>Self Paced Learning Portals, Instructor or Expert Learning Programs</v>
      </c>
      <c r="N236" s="1" t="str">
        <f ca="1">IFERROR(__xludf.DUMMYFUNCTION("""COMPUTED_VALUE"""),"Business Operations in any organization, Design and Develop amazing software, Become a content Creator in some platform")</f>
        <v>Business Operations in any organization, Design and Develop amazing software, Become a content Creator in some platform</v>
      </c>
      <c r="O236" s="1" t="str">
        <f ca="1">IFERROR(__xludf.DUMMYFUNCTION("""COMPUTED_VALUE"""),"Manager who sets targets and expects me to achieve it")</f>
        <v>Manager who sets targets and expects me to achieve it</v>
      </c>
      <c r="P236" s="1" t="str">
        <f ca="1">IFERROR(__xludf.DUMMYFUNCTION("""COMPUTED_VALUE"""),"Work with 7 to 10 or more people in my team")</f>
        <v>Work with 7 to 10 or more people in my team</v>
      </c>
      <c r="Q236" s="1"/>
      <c r="R236" s="1"/>
      <c r="S236" s="1"/>
    </row>
    <row r="237" spans="1:19" ht="12.5" x14ac:dyDescent="0.25">
      <c r="A237" s="2">
        <f ca="1">IFERROR(__xludf.DUMMYFUNCTION("""COMPUTED_VALUE"""),44916.8914125925)</f>
        <v>44916.8914125925</v>
      </c>
      <c r="B237" s="1" t="str">
        <f ca="1">IFERROR(__xludf.DUMMYFUNCTION("""COMPUTED_VALUE"""),"India")</f>
        <v>India</v>
      </c>
      <c r="C237" s="1">
        <f ca="1">IFERROR(__xludf.DUMMYFUNCTION("""COMPUTED_VALUE"""),607001)</f>
        <v>607001</v>
      </c>
      <c r="D237" s="1" t="str">
        <f ca="1">IFERROR(__xludf.DUMMYFUNCTION("""COMPUTED_VALUE"""),"Male")</f>
        <v>Male</v>
      </c>
      <c r="E237" s="1" t="str">
        <f ca="1">IFERROR(__xludf.DUMMYFUNCTION("""COMPUTED_VALUE"""),"Social Media like LinkedIn")</f>
        <v>Social Media like LinkedIn</v>
      </c>
      <c r="F237" s="1" t="str">
        <f ca="1">IFERROR(__xludf.DUMMYFUNCTION("""COMPUTED_VALUE"""),"No, But if someone could bare the cost I will")</f>
        <v>No, But if someone could bare the cost I will</v>
      </c>
      <c r="G237" s="1" t="str">
        <f ca="1">IFERROR(__xludf.DUMMYFUNCTION("""COMPUTED_VALUE"""),"This will be hard to do, but if it is the right company I would try")</f>
        <v>This will be hard to do, but if it is the right company I would try</v>
      </c>
      <c r="H237" s="1" t="str">
        <f ca="1">IFERROR(__xludf.DUMMYFUNCTION("""COMPUTED_VALUE"""),"Yes")</f>
        <v>Yes</v>
      </c>
      <c r="I237" s="1" t="str">
        <f ca="1">IFERROR(__xludf.DUMMYFUNCTION("""COMPUTED_VALUE"""),"Will work for them")</f>
        <v>Will work for them</v>
      </c>
      <c r="J237" s="1">
        <f ca="1">IFERROR(__xludf.DUMMYFUNCTION("""COMPUTED_VALUE"""),5)</f>
        <v>5</v>
      </c>
      <c r="K237" s="1" t="str">
        <f ca="1">IFERROR(__xludf.DUMMYFUNCTION("""COMPUTED_VALUE"""),"Hybrid Working Environment with less than 15 days a month at office")</f>
        <v>Hybrid Working Environment with less than 15 days a month at office</v>
      </c>
      <c r="L2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7" s="1" t="str">
        <f ca="1">IFERROR(__xludf.DUMMYFUNCTION("""COMPUTED_VALUE"""),"Self Paced Learning Portals, Learning by observing others")</f>
        <v>Self Paced Learning Portals, Learning by observing others</v>
      </c>
      <c r="N237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37" s="1" t="str">
        <f ca="1">IFERROR(__xludf.DUMMYFUNCTION("""COMPUTED_VALUE"""),"Manager who explains what is expected, sets a goal and helps achieve it")</f>
        <v>Manager who explains what is expected, sets a goal and helps achieve it</v>
      </c>
      <c r="P237" s="1" t="str">
        <f ca="1">IFERROR(__xludf.DUMMYFUNCTION("""COMPUTED_VALUE"""),"Work with 2 to 3 people in my team")</f>
        <v>Work with 2 to 3 people in my team</v>
      </c>
      <c r="Q237" s="1"/>
      <c r="R237" s="1"/>
      <c r="S237" s="1"/>
    </row>
    <row r="238" spans="1:19" ht="12.5" x14ac:dyDescent="0.25">
      <c r="A238" s="2">
        <f ca="1">IFERROR(__xludf.DUMMYFUNCTION("""COMPUTED_VALUE"""),44916.9028311226)</f>
        <v>44916.902831122599</v>
      </c>
      <c r="B238" s="1" t="str">
        <f ca="1">IFERROR(__xludf.DUMMYFUNCTION("""COMPUTED_VALUE"""),"India")</f>
        <v>India</v>
      </c>
      <c r="C238" s="1">
        <f ca="1">IFERROR(__xludf.DUMMYFUNCTION("""COMPUTED_VALUE"""),605102)</f>
        <v>605102</v>
      </c>
      <c r="D238" s="1" t="str">
        <f ca="1">IFERROR(__xludf.DUMMYFUNCTION("""COMPUTED_VALUE"""),"Female")</f>
        <v>Female</v>
      </c>
      <c r="E238" s="1" t="str">
        <f ca="1">IFERROR(__xludf.DUMMYFUNCTION("""COMPUTED_VALUE"""),"My Parents")</f>
        <v>My Parents</v>
      </c>
      <c r="F238" s="1" t="str">
        <f ca="1">IFERROR(__xludf.DUMMYFUNCTION("""COMPUTED_VALUE"""),"Yes, I will earn and do that")</f>
        <v>Yes, I will earn and do that</v>
      </c>
      <c r="G238" s="1" t="str">
        <f ca="1">IFERROR(__xludf.DUMMYFUNCTION("""COMPUTED_VALUE"""),"Will work for 3 years or more")</f>
        <v>Will work for 3 years or more</v>
      </c>
      <c r="H238" s="1" t="str">
        <f ca="1">IFERROR(__xludf.DUMMYFUNCTION("""COMPUTED_VALUE"""),"Yes")</f>
        <v>Yes</v>
      </c>
      <c r="I238" s="1" t="str">
        <f ca="1">IFERROR(__xludf.DUMMYFUNCTION("""COMPUTED_VALUE"""),"Will work for them")</f>
        <v>Will work for them</v>
      </c>
      <c r="J238" s="1">
        <f ca="1">IFERROR(__xludf.DUMMYFUNCTION("""COMPUTED_VALUE"""),1)</f>
        <v>1</v>
      </c>
      <c r="K238" s="1" t="str">
        <f ca="1">IFERROR(__xludf.DUMMYFUNCTION("""COMPUTED_VALUE"""),"Every Day Office Environment")</f>
        <v>Every Day Office Environment</v>
      </c>
      <c r="L238" s="1" t="str">
        <f ca="1">IFERROR(__xludf.DUMMYFUNCTION("""COMPUTED_VALUE"""),"Employer who appreciates learning and enables that environment")</f>
        <v>Employer who appreciates learning and enables that environment</v>
      </c>
      <c r="M238" s="1" t="str">
        <f ca="1">IFERROR(__xludf.DUMMYFUNCTION("""COMPUTED_VALUE"""),"Self Paced Learning Portals, Learning by observing others")</f>
        <v>Self Paced Learning Portals, Learning by observing others</v>
      </c>
      <c r="N238" s="1" t="str">
        <f ca="1">IFERROR(__xludf.DUMMYFUNCTION("""COMPUTED_VALUE"""),"Design and Creative strategy in any company, Work in a BPO setup for some well known client, Become a content Creator in some platform")</f>
        <v>Design and Creative strategy in any company, Work in a BPO setup for some well known client, Become a content Creator in some platform</v>
      </c>
      <c r="O238" s="1" t="str">
        <f ca="1">IFERROR(__xludf.DUMMYFUNCTION("""COMPUTED_VALUE"""),"Manager who sets goal and helps me achieve it")</f>
        <v>Manager who sets goal and helps me achieve it</v>
      </c>
      <c r="P238" s="1" t="str">
        <f ca="1">IFERROR(__xludf.DUMMYFUNCTION("""COMPUTED_VALUE"""),"Work with 7 to 10 or more people in my team")</f>
        <v>Work with 7 to 10 or more people in my team</v>
      </c>
      <c r="Q238" s="1"/>
      <c r="R238" s="1"/>
      <c r="S238" s="1"/>
    </row>
    <row r="239" spans="1:19" ht="12.5" x14ac:dyDescent="0.25">
      <c r="A239" s="2">
        <f ca="1">IFERROR(__xludf.DUMMYFUNCTION("""COMPUTED_VALUE"""),44917.3138558912)</f>
        <v>44917.313855891203</v>
      </c>
      <c r="B239" s="1" t="str">
        <f ca="1">IFERROR(__xludf.DUMMYFUNCTION("""COMPUTED_VALUE"""),"India")</f>
        <v>India</v>
      </c>
      <c r="C239" s="1">
        <f ca="1">IFERROR(__xludf.DUMMYFUNCTION("""COMPUTED_VALUE"""),500026)</f>
        <v>500026</v>
      </c>
      <c r="D239" s="1" t="str">
        <f ca="1">IFERROR(__xludf.DUMMYFUNCTION("""COMPUTED_VALUE"""),"Female")</f>
        <v>Female</v>
      </c>
      <c r="E239" s="1" t="str">
        <f ca="1">IFERROR(__xludf.DUMMYFUNCTION("""COMPUTED_VALUE"""),"People who have changed the world for better")</f>
        <v>People who have changed the world for better</v>
      </c>
      <c r="F239" s="1" t="str">
        <f ca="1">IFERROR(__xludf.DUMMYFUNCTION("""COMPUTED_VALUE"""),"No I would not be pursuing Higher Education outside of India")</f>
        <v>No I would not be pursuing Higher Education outside of India</v>
      </c>
      <c r="G239" s="1" t="str">
        <f ca="1">IFERROR(__xludf.DUMMYFUNCTION("""COMPUTED_VALUE"""),"This will be hard to do, but if it is the right company I would try")</f>
        <v>This will be hard to do, but if it is the right company I would try</v>
      </c>
      <c r="H239" s="1" t="str">
        <f ca="1">IFERROR(__xludf.DUMMYFUNCTION("""COMPUTED_VALUE"""),"No")</f>
        <v>No</v>
      </c>
      <c r="I239" s="1" t="str">
        <f ca="1">IFERROR(__xludf.DUMMYFUNCTION("""COMPUTED_VALUE"""),"Will NOT work for them")</f>
        <v>Will NOT work for them</v>
      </c>
      <c r="J239" s="1">
        <f ca="1">IFERROR(__xludf.DUMMYFUNCTION("""COMPUTED_VALUE"""),7)</f>
        <v>7</v>
      </c>
      <c r="K239" s="1" t="str">
        <f ca="1">IFERROR(__xludf.DUMMYFUNCTION("""COMPUTED_VALUE"""),"Hybrid Working Environment with less than 10 days a month at office")</f>
        <v>Hybrid Working Environment with less than 10 days a month at office</v>
      </c>
      <c r="L2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9" s="1" t="str">
        <f ca="1">IFERROR(__xludf.DUMMYFUNCTION("""COMPUTED_VALUE"""),"Self Paced Learning Portals, Instructor or Expert Learning Programs")</f>
        <v>Self Paced Learning Portals, Instructor or Expert Learning Programs</v>
      </c>
      <c r="N239" s="1" t="str">
        <f ca="1">IFERROR(__xludf.DUMMYFUNCTION("""COMPUTED_VALUE"""),"Teaching in any of the institutes/online or Offline, Look deeply into Data and generate insights, Work as a freelancer and do my thing my way")</f>
        <v>Teaching in any of the institutes/online or Offline, Look deeply into Data and generate insights, Work as a freelancer and do my thing my way</v>
      </c>
      <c r="O239" s="1" t="str">
        <f ca="1">IFERROR(__xludf.DUMMYFUNCTION("""COMPUTED_VALUE"""),"Manager who explains what is expected, sets a goal and helps achieve it")</f>
        <v>Manager who explains what is expected, sets a goal and helps achieve it</v>
      </c>
      <c r="P239" s="1" t="str">
        <f ca="1">IFERROR(__xludf.DUMMYFUNCTION("""COMPUTED_VALUE"""),"Work with 5 to 6 people in my team")</f>
        <v>Work with 5 to 6 people in my team</v>
      </c>
      <c r="Q239" s="1"/>
      <c r="R239" s="1"/>
      <c r="S239" s="1"/>
    </row>
    <row r="240" spans="1:19" ht="12.5" x14ac:dyDescent="0.25">
      <c r="A240" s="2">
        <f ca="1">IFERROR(__xludf.DUMMYFUNCTION("""COMPUTED_VALUE"""),44917.3672387963)</f>
        <v>44917.367238796302</v>
      </c>
      <c r="B240" s="1" t="str">
        <f ca="1">IFERROR(__xludf.DUMMYFUNCTION("""COMPUTED_VALUE"""),"India")</f>
        <v>India</v>
      </c>
      <c r="C240" s="1">
        <f ca="1">IFERROR(__xludf.DUMMYFUNCTION("""COMPUTED_VALUE"""),500030)</f>
        <v>500030</v>
      </c>
      <c r="D240" s="1" t="str">
        <f ca="1">IFERROR(__xludf.DUMMYFUNCTION("""COMPUTED_VALUE"""),"Female")</f>
        <v>Female</v>
      </c>
      <c r="E240" s="1" t="str">
        <f ca="1">IFERROR(__xludf.DUMMYFUNCTION("""COMPUTED_VALUE"""),"Social Media like LinkedIn")</f>
        <v>Social Media like LinkedIn</v>
      </c>
      <c r="F240" s="1" t="str">
        <f ca="1">IFERROR(__xludf.DUMMYFUNCTION("""COMPUTED_VALUE"""),"Yes, I will earn and do that")</f>
        <v>Yes, I will earn and do that</v>
      </c>
      <c r="G240" s="1" t="str">
        <f ca="1">IFERROR(__xludf.DUMMYFUNCTION("""COMPUTED_VALUE"""),"This will be hard to do, but if it is the right company I would try")</f>
        <v>This will be hard to do, but if it is the right company I would try</v>
      </c>
      <c r="H240" s="1" t="str">
        <f ca="1">IFERROR(__xludf.DUMMYFUNCTION("""COMPUTED_VALUE"""),"No")</f>
        <v>No</v>
      </c>
      <c r="I240" s="1" t="str">
        <f ca="1">IFERROR(__xludf.DUMMYFUNCTION("""COMPUTED_VALUE"""),"Will NOT work for them")</f>
        <v>Will NOT work for them</v>
      </c>
      <c r="J240" s="1">
        <f ca="1">IFERROR(__xludf.DUMMYFUNCTION("""COMPUTED_VALUE"""),5)</f>
        <v>5</v>
      </c>
      <c r="K240" s="1" t="str">
        <f ca="1">IFERROR(__xludf.DUMMYFUNCTION("""COMPUTED_VALUE"""),"Every Day Office Environment")</f>
        <v>Every Day Office Environment</v>
      </c>
      <c r="L240" s="1" t="str">
        <f ca="1">IFERROR(__xludf.DUMMYFUNCTION("""COMPUTED_VALUE"""),"Employer who appreciates learning and enables that environment")</f>
        <v>Employer who appreciates learning and enables that environment</v>
      </c>
      <c r="M240" s="1" t="str">
        <f ca="1">IFERROR(__xludf.DUMMYFUNCTION("""COMPUTED_VALUE"""),"Instructor or Expert Learning Programs, Learning by observing others")</f>
        <v>Instructor or Expert Learning Programs, Learning by observing others</v>
      </c>
      <c r="N240" s="1" t="str">
        <f ca="1">IFERROR(__xludf.DUMMYFUNCTION("""COMPUTED_VALUE"""),"Teaching in any of the institutes/online or Offline, Work as a freelancer and do my thing my way, Become a content Creator in some platform")</f>
        <v>Teaching in any of the institutes/online or Offline, Work as a freelancer and do my thing my way, Become a content Creator in some platform</v>
      </c>
      <c r="O240" s="1" t="str">
        <f ca="1">IFERROR(__xludf.DUMMYFUNCTION("""COMPUTED_VALUE"""),"Manager who explains what is expected, sets a goal and helps achieve it")</f>
        <v>Manager who explains what is expected, sets a goal and helps achieve it</v>
      </c>
      <c r="P240" s="1" t="str">
        <f ca="1">IFERROR(__xludf.DUMMYFUNCTION("""COMPUTED_VALUE"""),"Work with 7 to 10 or more people in my team")</f>
        <v>Work with 7 to 10 or more people in my team</v>
      </c>
      <c r="Q240" s="1"/>
      <c r="R240" s="1"/>
      <c r="S240" s="1"/>
    </row>
    <row r="241" spans="1:19" ht="12.5" x14ac:dyDescent="0.25">
      <c r="A241" s="2">
        <f ca="1">IFERROR(__xludf.DUMMYFUNCTION("""COMPUTED_VALUE"""),44917.4499190277)</f>
        <v>44917.449919027698</v>
      </c>
      <c r="B241" s="1" t="str">
        <f ca="1">IFERROR(__xludf.DUMMYFUNCTION("""COMPUTED_VALUE"""),"India")</f>
        <v>India</v>
      </c>
      <c r="C241" s="1">
        <f ca="1">IFERROR(__xludf.DUMMYFUNCTION("""COMPUTED_VALUE"""),462043)</f>
        <v>462043</v>
      </c>
      <c r="D241" s="1" t="str">
        <f ca="1">IFERROR(__xludf.DUMMYFUNCTION("""COMPUTED_VALUE"""),"Female")</f>
        <v>Female</v>
      </c>
      <c r="E241" s="1" t="str">
        <f ca="1">IFERROR(__xludf.DUMMYFUNCTION("""COMPUTED_VALUE"""),"People who have changed the world for better")</f>
        <v>People who have changed the world for better</v>
      </c>
      <c r="F241" s="1" t="str">
        <f ca="1">IFERROR(__xludf.DUMMYFUNCTION("""COMPUTED_VALUE"""),"Yes, I will earn and do that")</f>
        <v>Yes, I will earn and do that</v>
      </c>
      <c r="G241" s="1" t="str">
        <f ca="1">IFERROR(__xludf.DUMMYFUNCTION("""COMPUTED_VALUE"""),"This will be hard to do, but if it is the right company I would try")</f>
        <v>This will be hard to do, but if it is the right company I would try</v>
      </c>
      <c r="H241" s="1" t="str">
        <f ca="1">IFERROR(__xludf.DUMMYFUNCTION("""COMPUTED_VALUE"""),"No")</f>
        <v>No</v>
      </c>
      <c r="I241" s="1" t="str">
        <f ca="1">IFERROR(__xludf.DUMMYFUNCTION("""COMPUTED_VALUE"""),"Will NOT work for them")</f>
        <v>Will NOT work for them</v>
      </c>
      <c r="J241" s="1">
        <f ca="1">IFERROR(__xludf.DUMMYFUNCTION("""COMPUTED_VALUE"""),8)</f>
        <v>8</v>
      </c>
      <c r="K241" s="1" t="str">
        <f ca="1">IFERROR(__xludf.DUMMYFUNCTION("""COMPUTED_VALUE"""),"Every Day Office Environment")</f>
        <v>Every Day Office Environment</v>
      </c>
      <c r="L2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41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241" s="1" t="str">
        <f ca="1">IFERROR(__xludf.DUMMYFUNCTION("""COMPUTED_VALUE"""),"Manager who sets goal and helps me achieve it")</f>
        <v>Manager who sets goal and helps me achieve it</v>
      </c>
      <c r="P241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41" s="1"/>
      <c r="R241" s="1"/>
      <c r="S241" s="1"/>
    </row>
    <row r="242" spans="1:19" ht="12.5" x14ac:dyDescent="0.25">
      <c r="A242" s="2">
        <f ca="1">IFERROR(__xludf.DUMMYFUNCTION("""COMPUTED_VALUE"""),44917.4868687037)</f>
        <v>44917.486868703701</v>
      </c>
      <c r="B242" s="1" t="str">
        <f ca="1">IFERROR(__xludf.DUMMYFUNCTION("""COMPUTED_VALUE"""),"India")</f>
        <v>India</v>
      </c>
      <c r="C242" s="1">
        <f ca="1">IFERROR(__xludf.DUMMYFUNCTION("""COMPUTED_VALUE"""),786001)</f>
        <v>786001</v>
      </c>
      <c r="D242" s="1" t="str">
        <f ca="1">IFERROR(__xludf.DUMMYFUNCTION("""COMPUTED_VALUE"""),"Male")</f>
        <v>Male</v>
      </c>
      <c r="E242" s="1" t="str">
        <f ca="1">IFERROR(__xludf.DUMMYFUNCTION("""COMPUTED_VALUE"""),"People from my circle, but not family members")</f>
        <v>People from my circle, but not family members</v>
      </c>
      <c r="F242" s="1" t="str">
        <f ca="1">IFERROR(__xludf.DUMMYFUNCTION("""COMPUTED_VALUE"""),"No, But if someone could bare the cost I will")</f>
        <v>No, But if someone could bare the cost I will</v>
      </c>
      <c r="G242" s="1" t="str">
        <f ca="1">IFERROR(__xludf.DUMMYFUNCTION("""COMPUTED_VALUE"""),"This will be hard to do, but if it is the right company I would try")</f>
        <v>This will be hard to do, but if it is the right company I would try</v>
      </c>
      <c r="H242" s="1" t="str">
        <f ca="1">IFERROR(__xludf.DUMMYFUNCTION("""COMPUTED_VALUE"""),"No")</f>
        <v>No</v>
      </c>
      <c r="I242" s="1" t="str">
        <f ca="1">IFERROR(__xludf.DUMMYFUNCTION("""COMPUTED_VALUE"""),"Will work for them")</f>
        <v>Will work for them</v>
      </c>
      <c r="J242" s="1">
        <f ca="1">IFERROR(__xludf.DUMMYFUNCTION("""COMPUTED_VALUE"""),9)</f>
        <v>9</v>
      </c>
      <c r="K242" s="1" t="str">
        <f ca="1">IFERROR(__xludf.DUMMYFUNCTION("""COMPUTED_VALUE"""),"Hybrid Working Environment with less than 15 days a month at office")</f>
        <v>Hybrid Working Environment with less than 15 days a month at office</v>
      </c>
      <c r="L2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42" s="1" t="str">
        <f ca="1">IFERROR(__xludf.DUMMYFUNCTION("""COMPUTED_VALUE"""),"Design and Creative strategy in any company, Teaching in any of the institutes/online or Offline, Become a content Creator in some platform")</f>
        <v>Design and Creative strategy in any company, Teaching in any of the institutes/online or Offline, Become a content Creator in some platform</v>
      </c>
      <c r="O242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" s="1" t="str">
        <f ca="1">IFERROR(__xludf.DUMMYFUNCTION("""COMPUTED_VALUE"""),"Work with 7 to 10 or more people in my team")</f>
        <v>Work with 7 to 10 or more people in my team</v>
      </c>
      <c r="Q242" s="1"/>
      <c r="R242" s="1"/>
      <c r="S242" s="1"/>
    </row>
    <row r="243" spans="1:19" ht="12.5" x14ac:dyDescent="0.25">
      <c r="A243" s="2">
        <f ca="1">IFERROR(__xludf.DUMMYFUNCTION("""COMPUTED_VALUE"""),44917.5189604166)</f>
        <v>44917.518960416601</v>
      </c>
      <c r="B243" s="1" t="str">
        <f ca="1">IFERROR(__xludf.DUMMYFUNCTION("""COMPUTED_VALUE"""),"India")</f>
        <v>India</v>
      </c>
      <c r="C243" s="1">
        <f ca="1">IFERROR(__xludf.DUMMYFUNCTION("""COMPUTED_VALUE"""),605004)</f>
        <v>605004</v>
      </c>
      <c r="D243" s="1" t="str">
        <f ca="1">IFERROR(__xludf.DUMMYFUNCTION("""COMPUTED_VALUE"""),"Male")</f>
        <v>Male</v>
      </c>
      <c r="E243" s="1" t="str">
        <f ca="1">IFERROR(__xludf.DUMMYFUNCTION("""COMPUTED_VALUE"""),"Influencers who had successful careers")</f>
        <v>Influencers who had successful careers</v>
      </c>
      <c r="F243" s="1" t="str">
        <f ca="1">IFERROR(__xludf.DUMMYFUNCTION("""COMPUTED_VALUE"""),"Yes, I will earn and do that")</f>
        <v>Yes, I will earn and do that</v>
      </c>
      <c r="G243" s="1" t="str">
        <f ca="1">IFERROR(__xludf.DUMMYFUNCTION("""COMPUTED_VALUE"""),"This will be hard to do, but if it is the right company I would try")</f>
        <v>This will be hard to do, but if it is the right company I would try</v>
      </c>
      <c r="H243" s="1" t="str">
        <f ca="1">IFERROR(__xludf.DUMMYFUNCTION("""COMPUTED_VALUE"""),"No")</f>
        <v>No</v>
      </c>
      <c r="I243" s="1" t="str">
        <f ca="1">IFERROR(__xludf.DUMMYFUNCTION("""COMPUTED_VALUE"""),"Will NOT work for them")</f>
        <v>Will NOT work for them</v>
      </c>
      <c r="J243" s="1">
        <f ca="1">IFERROR(__xludf.DUMMYFUNCTION("""COMPUTED_VALUE"""),3)</f>
        <v>3</v>
      </c>
      <c r="K243" s="1" t="str">
        <f ca="1">IFERROR(__xludf.DUMMYFUNCTION("""COMPUTED_VALUE"""),"Hybrid Working Environment with less than 15 days a month at office")</f>
        <v>Hybrid Working Environment with less than 15 days a month at office</v>
      </c>
      <c r="L2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43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43" s="1" t="str">
        <f ca="1">IFERROR(__xludf.DUMMYFUNCTION("""COMPUTED_VALUE"""),"Manager who explains what is expected, sets a goal and helps achieve it")</f>
        <v>Manager who explains what is expected, sets a goal and helps achieve it</v>
      </c>
      <c r="P243" s="1" t="str">
        <f ca="1">IFERROR(__xludf.DUMMYFUNCTION("""COMPUTED_VALUE"""),"Work alone, Work with 5 to 6 people in my team")</f>
        <v>Work alone, Work with 5 to 6 people in my team</v>
      </c>
      <c r="Q243" s="1"/>
      <c r="R243" s="1"/>
      <c r="S243" s="1"/>
    </row>
    <row r="244" spans="1:19" ht="12.5" x14ac:dyDescent="0.25">
      <c r="A244" s="2">
        <f ca="1">IFERROR(__xludf.DUMMYFUNCTION("""COMPUTED_VALUE"""),44917.5281405555)</f>
        <v>44917.5281405555</v>
      </c>
      <c r="B244" s="1" t="str">
        <f ca="1">IFERROR(__xludf.DUMMYFUNCTION("""COMPUTED_VALUE"""),"India")</f>
        <v>India</v>
      </c>
      <c r="C244" s="1">
        <f ca="1">IFERROR(__xludf.DUMMYFUNCTION("""COMPUTED_VALUE"""),700041)</f>
        <v>700041</v>
      </c>
      <c r="D244" s="1" t="str">
        <f ca="1">IFERROR(__xludf.DUMMYFUNCTION("""COMPUTED_VALUE"""),"Male")</f>
        <v>Male</v>
      </c>
      <c r="E244" s="1" t="str">
        <f ca="1">IFERROR(__xludf.DUMMYFUNCTION("""COMPUTED_VALUE"""),"People who have changed the world for better")</f>
        <v>People who have changed the world for better</v>
      </c>
      <c r="F244" s="1" t="str">
        <f ca="1">IFERROR(__xludf.DUMMYFUNCTION("""COMPUTED_VALUE"""),"No I would not be pursuing Higher Education outside of India")</f>
        <v>No I would not be pursuing Higher Education outside of India</v>
      </c>
      <c r="G244" s="1" t="str">
        <f ca="1">IFERROR(__xludf.DUMMYFUNCTION("""COMPUTED_VALUE"""),"This will be hard to do, but if it is the right company I would try")</f>
        <v>This will be hard to do, but if it is the right company I would try</v>
      </c>
      <c r="H244" s="1" t="str">
        <f ca="1">IFERROR(__xludf.DUMMYFUNCTION("""COMPUTED_VALUE"""),"No")</f>
        <v>No</v>
      </c>
      <c r="I244" s="1" t="str">
        <f ca="1">IFERROR(__xludf.DUMMYFUNCTION("""COMPUTED_VALUE"""),"Will NOT work for them")</f>
        <v>Will NOT work for them</v>
      </c>
      <c r="J244" s="1">
        <f ca="1">IFERROR(__xludf.DUMMYFUNCTION("""COMPUTED_VALUE"""),3)</f>
        <v>3</v>
      </c>
      <c r="K244" s="1" t="str">
        <f ca="1">IFERROR(__xludf.DUMMYFUNCTION("""COMPUTED_VALUE"""),"Fully Remote with Options to travel as and when needed")</f>
        <v>Fully Remote with Options to travel as and when needed</v>
      </c>
      <c r="L2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44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244" s="1" t="str">
        <f ca="1">IFERROR(__xludf.DUMMYFUNCTION("""COMPUTED_VALUE"""),"Manager who explains what is expected, sets a goal and helps achieve it")</f>
        <v>Manager who explains what is expected, sets a goal and helps achieve it</v>
      </c>
      <c r="P244" s="1" t="str">
        <f ca="1">IFERROR(__xludf.DUMMYFUNCTION("""COMPUTED_VALUE"""),"Work with 2 to 3 people in my team")</f>
        <v>Work with 2 to 3 people in my team</v>
      </c>
      <c r="Q244" s="1"/>
      <c r="R244" s="1"/>
      <c r="S244" s="1"/>
    </row>
    <row r="245" spans="1:19" ht="12.5" x14ac:dyDescent="0.25">
      <c r="A245" s="2">
        <f ca="1">IFERROR(__xludf.DUMMYFUNCTION("""COMPUTED_VALUE"""),44917.5326362962)</f>
        <v>44917.532636296201</v>
      </c>
      <c r="B245" s="1" t="str">
        <f ca="1">IFERROR(__xludf.DUMMYFUNCTION("""COMPUTED_VALUE"""),"India")</f>
        <v>India</v>
      </c>
      <c r="C245" s="1">
        <f ca="1">IFERROR(__xludf.DUMMYFUNCTION("""COMPUTED_VALUE"""),700041)</f>
        <v>700041</v>
      </c>
      <c r="D245" s="1" t="str">
        <f ca="1">IFERROR(__xludf.DUMMYFUNCTION("""COMPUTED_VALUE"""),"Female")</f>
        <v>Female</v>
      </c>
      <c r="E245" s="1" t="str">
        <f ca="1">IFERROR(__xludf.DUMMYFUNCTION("""COMPUTED_VALUE"""),"My Parents")</f>
        <v>My Parents</v>
      </c>
      <c r="F245" s="1" t="str">
        <f ca="1">IFERROR(__xludf.DUMMYFUNCTION("""COMPUTED_VALUE"""),"No I would not be pursuing Higher Education outside of India")</f>
        <v>No I would not be pursuing Higher Education outside of India</v>
      </c>
      <c r="G245" s="1" t="str">
        <f ca="1">IFERROR(__xludf.DUMMYFUNCTION("""COMPUTED_VALUE"""),"This will be hard to do, but if it is the right company I would try")</f>
        <v>This will be hard to do, but if it is the right company I would try</v>
      </c>
      <c r="H245" s="1" t="str">
        <f ca="1">IFERROR(__xludf.DUMMYFUNCTION("""COMPUTED_VALUE"""),"No")</f>
        <v>No</v>
      </c>
      <c r="I245" s="1" t="str">
        <f ca="1">IFERROR(__xludf.DUMMYFUNCTION("""COMPUTED_VALUE"""),"Will NOT work for them")</f>
        <v>Will NOT work for them</v>
      </c>
      <c r="J245" s="1">
        <f ca="1">IFERROR(__xludf.DUMMYFUNCTION("""COMPUTED_VALUE"""),9)</f>
        <v>9</v>
      </c>
      <c r="K245" s="1" t="str">
        <f ca="1">IFERROR(__xludf.DUMMYFUNCTION("""COMPUTED_VALUE"""),"Fully Remote with Options to travel as and when needed")</f>
        <v>Fully Remote with Options to travel as and when needed</v>
      </c>
      <c r="L245" s="1" t="str">
        <f ca="1">IFERROR(__xludf.DUMMYFUNCTION("""COMPUTED_VALUE"""),"Employer who appreciates learning and enables that environment")</f>
        <v>Employer who appreciates learning and enables that environment</v>
      </c>
      <c r="M245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45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245" s="1" t="str">
        <f ca="1">IFERROR(__xludf.DUMMYFUNCTION("""COMPUTED_VALUE"""),"Manager who sets goal and helps me achieve it")</f>
        <v>Manager who sets goal and helps me achieve it</v>
      </c>
      <c r="P245" s="1" t="str">
        <f ca="1">IFERROR(__xludf.DUMMYFUNCTION("""COMPUTED_VALUE"""),"Work alone, Work with 2 to 3 people in my team")</f>
        <v>Work alone, Work with 2 to 3 people in my team</v>
      </c>
      <c r="Q245" s="1"/>
      <c r="R245" s="1"/>
      <c r="S245" s="1"/>
    </row>
    <row r="246" spans="1:19" ht="12.5" x14ac:dyDescent="0.25">
      <c r="A246" s="2">
        <f ca="1">IFERROR(__xludf.DUMMYFUNCTION("""COMPUTED_VALUE"""),44917.6240018749)</f>
        <v>44917.624001874901</v>
      </c>
      <c r="B246" s="1" t="str">
        <f ca="1">IFERROR(__xludf.DUMMYFUNCTION("""COMPUTED_VALUE"""),"India")</f>
        <v>India</v>
      </c>
      <c r="C246" s="1">
        <f ca="1">IFERROR(__xludf.DUMMYFUNCTION("""COMPUTED_VALUE"""),828114)</f>
        <v>828114</v>
      </c>
      <c r="D246" s="1" t="str">
        <f ca="1">IFERROR(__xludf.DUMMYFUNCTION("""COMPUTED_VALUE"""),"Male")</f>
        <v>Male</v>
      </c>
      <c r="E246" s="1" t="str">
        <f ca="1">IFERROR(__xludf.DUMMYFUNCTION("""COMPUTED_VALUE"""),"Influencers who had successful careers")</f>
        <v>Influencers who had successful careers</v>
      </c>
      <c r="F246" s="1" t="str">
        <f ca="1">IFERROR(__xludf.DUMMYFUNCTION("""COMPUTED_VALUE"""),"Yes, I will earn and do that")</f>
        <v>Yes, I will earn and do that</v>
      </c>
      <c r="G246" s="1" t="str">
        <f ca="1">IFERROR(__xludf.DUMMYFUNCTION("""COMPUTED_VALUE"""),"This will be hard to do, but if it is the right company I would try")</f>
        <v>This will be hard to do, but if it is the right company I would try</v>
      </c>
      <c r="H246" s="1" t="str">
        <f ca="1">IFERROR(__xludf.DUMMYFUNCTION("""COMPUTED_VALUE"""),"No")</f>
        <v>No</v>
      </c>
      <c r="I246" s="1" t="str">
        <f ca="1">IFERROR(__xludf.DUMMYFUNCTION("""COMPUTED_VALUE"""),"Will NOT work for them")</f>
        <v>Will NOT work for them</v>
      </c>
      <c r="J246" s="1">
        <f ca="1">IFERROR(__xludf.DUMMYFUNCTION("""COMPUTED_VALUE"""),7)</f>
        <v>7</v>
      </c>
      <c r="K246" s="1" t="str">
        <f ca="1">IFERROR(__xludf.DUMMYFUNCTION("""COMPUTED_VALUE"""),"Hybrid Working Environment with less than 15 days a month at office")</f>
        <v>Hybrid Working Environment with less than 15 days a month at office</v>
      </c>
      <c r="L2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6" s="1" t="str">
        <f ca="1">IFERROR(__xludf.DUMMYFUNCTION("""COMPUTED_VALUE"""),"Self Paced Learning Portals, Instructor or Expert Learning Programs")</f>
        <v>Self Paced Learning Portals, Instructor or Expert Learning Programs</v>
      </c>
      <c r="N246" s="1" t="str">
        <f ca="1">IFERROR(__xludf.DUMMYFUNCTION("""COMPUTED_VALUE"""),"Look deeply into Data and generate insights, Work as a freelancer and do my thing my way, Become a content Creator in some platform")</f>
        <v>Look deeply into Data and generate insights, Work as a freelancer and do my thing my way, Become a content Creator in some platform</v>
      </c>
      <c r="O246" s="1" t="str">
        <f ca="1">IFERROR(__xludf.DUMMYFUNCTION("""COMPUTED_VALUE"""),"Manager who sets goal and helps me achieve it")</f>
        <v>Manager who sets goal and helps me achieve it</v>
      </c>
      <c r="P246" s="1" t="str">
        <f ca="1">IFERROR(__xludf.DUMMYFUNCTION("""COMPUTED_VALUE"""),"Work with 5 to 6 people in my team")</f>
        <v>Work with 5 to 6 people in my team</v>
      </c>
      <c r="Q246" s="1"/>
      <c r="R246" s="1"/>
      <c r="S246" s="1"/>
    </row>
    <row r="247" spans="1:19" ht="12.5" x14ac:dyDescent="0.25">
      <c r="A247" s="2">
        <f ca="1">IFERROR(__xludf.DUMMYFUNCTION("""COMPUTED_VALUE"""),44917.6491581713)</f>
        <v>44917.649158171298</v>
      </c>
      <c r="B247" s="1" t="str">
        <f ca="1">IFERROR(__xludf.DUMMYFUNCTION("""COMPUTED_VALUE"""),"Germany")</f>
        <v>Germany</v>
      </c>
      <c r="C247" s="1">
        <f ca="1">IFERROR(__xludf.DUMMYFUNCTION("""COMPUTED_VALUE"""),85368)</f>
        <v>85368</v>
      </c>
      <c r="D247" s="1" t="str">
        <f ca="1">IFERROR(__xludf.DUMMYFUNCTION("""COMPUTED_VALUE"""),"Female")</f>
        <v>Female</v>
      </c>
      <c r="E247" s="1" t="str">
        <f ca="1">IFERROR(__xludf.DUMMYFUNCTION("""COMPUTED_VALUE"""),"People who have changed the world for better")</f>
        <v>People who have changed the world for better</v>
      </c>
      <c r="F247" s="1" t="str">
        <f ca="1">IFERROR(__xludf.DUMMYFUNCTION("""COMPUTED_VALUE"""),"Yes, I will earn and do that")</f>
        <v>Yes, I will earn and do that</v>
      </c>
      <c r="G247" s="1" t="str">
        <f ca="1">IFERROR(__xludf.DUMMYFUNCTION("""COMPUTED_VALUE"""),"This will be hard to do, but if it is the right company I would try")</f>
        <v>This will be hard to do, but if it is the right company I would try</v>
      </c>
      <c r="H247" s="1" t="str">
        <f ca="1">IFERROR(__xludf.DUMMYFUNCTION("""COMPUTED_VALUE"""),"No")</f>
        <v>No</v>
      </c>
      <c r="I247" s="1" t="str">
        <f ca="1">IFERROR(__xludf.DUMMYFUNCTION("""COMPUTED_VALUE"""),"Will NOT work for them")</f>
        <v>Will NOT work for them</v>
      </c>
      <c r="J247" s="1">
        <f ca="1">IFERROR(__xludf.DUMMYFUNCTION("""COMPUTED_VALUE"""),5)</f>
        <v>5</v>
      </c>
      <c r="K247" s="1" t="str">
        <f ca="1">IFERROR(__xludf.DUMMYFUNCTION("""COMPUTED_VALUE"""),"Fully Remote with Options to travel as and when needed")</f>
        <v>Fully Remote with Options to travel as and when needed</v>
      </c>
      <c r="L247" s="1" t="str">
        <f ca="1">IFERROR(__xludf.DUMMYFUNCTION("""COMPUTED_VALUE"""),"Employer who appreciates learning and enables that environment")</f>
        <v>Employer who appreciates learning and enables that environment</v>
      </c>
      <c r="M247" s="1" t="str">
        <f ca="1">IFERROR(__xludf.DUMMYFUNCTION("""COMPUTED_VALUE"""),"Self Paced Learning Portals, Instructor or Expert Learning Programs")</f>
        <v>Self Paced Learning Portals, Instructor or Expert Learning Programs</v>
      </c>
      <c r="N247" s="1" t="str">
        <f ca="1">IFERROR(__xludf.DUMMYFUNCTION("""COMPUTED_VALUE"""),"Teaching in any of the institutes/online or Offline, Manage and drive End-to-End Projects or Products, Build and develop a Team")</f>
        <v>Teaching in any of the institutes/online or Offline, Manage and drive End-to-End Projects or Products, Build and develop a Team</v>
      </c>
      <c r="O247" s="1" t="str">
        <f ca="1">IFERROR(__xludf.DUMMYFUNCTION("""COMPUTED_VALUE"""),"Manager who clearly describes what she/he needs")</f>
        <v>Manager who clearly describes what she/he needs</v>
      </c>
      <c r="P247" s="1" t="str">
        <f ca="1">IFERROR(__xludf.DUMMYFUNCTION("""COMPUTED_VALUE"""),"Work with 2 to 3 people in my team")</f>
        <v>Work with 2 to 3 people in my team</v>
      </c>
      <c r="Q247" s="1"/>
      <c r="R247" s="1"/>
      <c r="S247" s="1"/>
    </row>
    <row r="248" spans="1:19" ht="12.5" x14ac:dyDescent="0.25">
      <c r="A248" s="2">
        <f ca="1">IFERROR(__xludf.DUMMYFUNCTION("""COMPUTED_VALUE"""),44917.6510586111)</f>
        <v>44917.651058611104</v>
      </c>
      <c r="B248" s="1" t="str">
        <f ca="1">IFERROR(__xludf.DUMMYFUNCTION("""COMPUTED_VALUE"""),"Germany")</f>
        <v>Germany</v>
      </c>
      <c r="C248" s="1">
        <f ca="1">IFERROR(__xludf.DUMMYFUNCTION("""COMPUTED_VALUE"""),81369)</f>
        <v>81369</v>
      </c>
      <c r="D248" s="1" t="str">
        <f ca="1">IFERROR(__xludf.DUMMYFUNCTION("""COMPUTED_VALUE"""),"Female")</f>
        <v>Female</v>
      </c>
      <c r="E248" s="1" t="str">
        <f ca="1">IFERROR(__xludf.DUMMYFUNCTION("""COMPUTED_VALUE"""),"My Parents")</f>
        <v>My Parents</v>
      </c>
      <c r="F248" s="1" t="str">
        <f ca="1">IFERROR(__xludf.DUMMYFUNCTION("""COMPUTED_VALUE"""),"Yes, I will earn and do that")</f>
        <v>Yes, I will earn and do that</v>
      </c>
      <c r="G248" s="1" t="str">
        <f ca="1">IFERROR(__xludf.DUMMYFUNCTION("""COMPUTED_VALUE"""),"This will be hard to do, but if it is the right company I would try")</f>
        <v>This will be hard to do, but if it is the right company I would try</v>
      </c>
      <c r="H248" s="1" t="str">
        <f ca="1">IFERROR(__xludf.DUMMYFUNCTION("""COMPUTED_VALUE"""),"Yes")</f>
        <v>Yes</v>
      </c>
      <c r="I248" s="1" t="str">
        <f ca="1">IFERROR(__xludf.DUMMYFUNCTION("""COMPUTED_VALUE"""),"Will work for them")</f>
        <v>Will work for them</v>
      </c>
      <c r="J248" s="1">
        <f ca="1">IFERROR(__xludf.DUMMYFUNCTION("""COMPUTED_VALUE"""),10)</f>
        <v>10</v>
      </c>
      <c r="K248" s="1" t="str">
        <f ca="1">IFERROR(__xludf.DUMMYFUNCTION("""COMPUTED_VALUE"""),"Hybrid Working Environment with less than 10 days a month at office")</f>
        <v>Hybrid Working Environment with less than 10 days a month at office</v>
      </c>
      <c r="L248" s="1" t="str">
        <f ca="1">IFERROR(__xludf.DUMMYFUNCTION("""COMPUTED_VALUE"""),"Employer who rewards learning and enables that environment")</f>
        <v>Employer who rewards learning and enables that environment</v>
      </c>
      <c r="M248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48" s="1" t="str">
        <f ca="1">IFERROR(__xludf.DUMMYFUNCTION("""COMPUTED_VALUE"""),"Teaching in any of the institutes/online or Offline, Business Operations in any organization, Work as a freelancer and do my thing my way")</f>
        <v>Teaching in any of the institutes/online or Offline, Business Operations in any organization, Work as a freelancer and do my thing my way</v>
      </c>
      <c r="O248" s="1" t="str">
        <f ca="1">IFERROR(__xludf.DUMMYFUNCTION("""COMPUTED_VALUE"""),"Manager who explains what is expected, sets a goal and helps achieve it")</f>
        <v>Manager who explains what is expected, sets a goal and helps achieve it</v>
      </c>
      <c r="P248" s="1" t="str">
        <f ca="1">IFERROR(__xludf.DUMMYFUNCTION("""COMPUTED_VALUE"""),"Work with 2 to 3 people in my team")</f>
        <v>Work with 2 to 3 people in my team</v>
      </c>
      <c r="Q248" s="1"/>
      <c r="R248" s="1"/>
      <c r="S248" s="1"/>
    </row>
    <row r="249" spans="1:19" ht="12.5" x14ac:dyDescent="0.25">
      <c r="A249" s="2">
        <f ca="1">IFERROR(__xludf.DUMMYFUNCTION("""COMPUTED_VALUE"""),44917.7131009027)</f>
        <v>44917.7131009027</v>
      </c>
      <c r="B249" s="1" t="str">
        <f ca="1">IFERROR(__xludf.DUMMYFUNCTION("""COMPUTED_VALUE"""),"India")</f>
        <v>India</v>
      </c>
      <c r="C249" s="1">
        <f ca="1">IFERROR(__xludf.DUMMYFUNCTION("""COMPUTED_VALUE"""),81241)</f>
        <v>81241</v>
      </c>
      <c r="D249" s="1" t="str">
        <f ca="1">IFERROR(__xludf.DUMMYFUNCTION("""COMPUTED_VALUE"""),"Male")</f>
        <v>Male</v>
      </c>
      <c r="E249" s="1" t="str">
        <f ca="1">IFERROR(__xludf.DUMMYFUNCTION("""COMPUTED_VALUE"""),"People who have changed the world for better")</f>
        <v>People who have changed the world for better</v>
      </c>
      <c r="F249" s="1" t="str">
        <f ca="1">IFERROR(__xludf.DUMMYFUNCTION("""COMPUTED_VALUE"""),"Yes, I will earn and do that")</f>
        <v>Yes, I will earn and do that</v>
      </c>
      <c r="G249" s="1" t="str">
        <f ca="1">IFERROR(__xludf.DUMMYFUNCTION("""COMPUTED_VALUE"""),"This will be hard to do, but if it is the right company I would try")</f>
        <v>This will be hard to do, but if it is the right company I would try</v>
      </c>
      <c r="H249" s="1" t="str">
        <f ca="1">IFERROR(__xludf.DUMMYFUNCTION("""COMPUTED_VALUE"""),"No")</f>
        <v>No</v>
      </c>
      <c r="I249" s="1" t="str">
        <f ca="1">IFERROR(__xludf.DUMMYFUNCTION("""COMPUTED_VALUE"""),"Will NOT work for them")</f>
        <v>Will NOT work for them</v>
      </c>
      <c r="J249" s="1">
        <f ca="1">IFERROR(__xludf.DUMMYFUNCTION("""COMPUTED_VALUE"""),5)</f>
        <v>5</v>
      </c>
      <c r="K249" s="1" t="str">
        <f ca="1">IFERROR(__xludf.DUMMYFUNCTION("""COMPUTED_VALUE"""),"Hybrid Working Environment with less than 15 days a month at office")</f>
        <v>Hybrid Working Environment with less than 15 days a month at office</v>
      </c>
      <c r="L2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49" s="1" t="str">
        <f ca="1">IFERROR(__xludf.DUMMYFUNCTION("""COMPUTED_VALUE"""),"Design and Creative strategy in any company, Business Operations in any organization, Become a content Creator in some platform")</f>
        <v>Design and Creative strategy in any company, Business Operations in any organization, Become a content Creator in some platform</v>
      </c>
      <c r="O249" s="1" t="str">
        <f ca="1">IFERROR(__xludf.DUMMYFUNCTION("""COMPUTED_VALUE"""),"Manager who explains what is expected, sets a goal and helps achieve it")</f>
        <v>Manager who explains what is expected, sets a goal and helps achieve it</v>
      </c>
      <c r="P249" s="1" t="str">
        <f ca="1">IFERROR(__xludf.DUMMYFUNCTION("""COMPUTED_VALUE"""),"Work with 5 to 6 people in my team")</f>
        <v>Work with 5 to 6 people in my team</v>
      </c>
      <c r="Q249" s="1"/>
      <c r="R249" s="1"/>
      <c r="S249" s="1"/>
    </row>
    <row r="250" spans="1:19" ht="12.5" x14ac:dyDescent="0.25">
      <c r="A250" s="2">
        <f ca="1">IFERROR(__xludf.DUMMYFUNCTION("""COMPUTED_VALUE"""),44917.7221082523)</f>
        <v>44917.722108252303</v>
      </c>
      <c r="B250" s="1" t="str">
        <f ca="1">IFERROR(__xludf.DUMMYFUNCTION("""COMPUTED_VALUE"""),"India")</f>
        <v>India</v>
      </c>
      <c r="C250" s="1">
        <f ca="1">IFERROR(__xludf.DUMMYFUNCTION("""COMPUTED_VALUE"""),176022)</f>
        <v>176022</v>
      </c>
      <c r="D250" s="1" t="str">
        <f ca="1">IFERROR(__xludf.DUMMYFUNCTION("""COMPUTED_VALUE"""),"Male")</f>
        <v>Male</v>
      </c>
      <c r="E250" s="1" t="str">
        <f ca="1">IFERROR(__xludf.DUMMYFUNCTION("""COMPUTED_VALUE"""),"Social Media like LinkedIn")</f>
        <v>Social Media like LinkedIn</v>
      </c>
      <c r="F250" s="1" t="str">
        <f ca="1">IFERROR(__xludf.DUMMYFUNCTION("""COMPUTED_VALUE"""),"Yes, I will earn and do that")</f>
        <v>Yes, I will earn and do that</v>
      </c>
      <c r="G250" s="1" t="str">
        <f ca="1">IFERROR(__xludf.DUMMYFUNCTION("""COMPUTED_VALUE"""),"Will work for 3 years or more")</f>
        <v>Will work for 3 years or more</v>
      </c>
      <c r="H250" s="1" t="str">
        <f ca="1">IFERROR(__xludf.DUMMYFUNCTION("""COMPUTED_VALUE"""),"No")</f>
        <v>No</v>
      </c>
      <c r="I250" s="1" t="str">
        <f ca="1">IFERROR(__xludf.DUMMYFUNCTION("""COMPUTED_VALUE"""),"Will work for them")</f>
        <v>Will work for them</v>
      </c>
      <c r="J250" s="1">
        <f ca="1">IFERROR(__xludf.DUMMYFUNCTION("""COMPUTED_VALUE"""),7)</f>
        <v>7</v>
      </c>
      <c r="K250" s="1" t="str">
        <f ca="1">IFERROR(__xludf.DUMMYFUNCTION("""COMPUTED_VALUE"""),"Hybrid Working Environment with less than 10 days a month at office")</f>
        <v>Hybrid Working Environment with less than 10 days a month at office</v>
      </c>
      <c r="L250" s="1" t="str">
        <f ca="1">IFERROR(__xludf.DUMMYFUNCTION("""COMPUTED_VALUE"""),"Employer who rewards learning and enables that environment")</f>
        <v>Employer who rewards learning and enables that environment</v>
      </c>
      <c r="M250" s="1" t="str">
        <f ca="1">IFERROR(__xludf.DUMMYFUNCTION("""COMPUTED_VALUE"""),"Self Paced Learning Portals, Learning by observing others")</f>
        <v>Self Paced Learning Portals, Learning by observing others</v>
      </c>
      <c r="N250" s="1" t="str">
        <f ca="1">IFERROR(__xludf.DUMMYFUNCTION("""COMPUTED_VALUE"""),"Design and Creative strategy in any company, Design and Develop amazing software, Look deeply into Data and generate insights")</f>
        <v>Design and Creative strategy in any company, Design and Develop amazing software, Look deeply into Data and generate insights</v>
      </c>
      <c r="O250" s="1" t="str">
        <f ca="1">IFERROR(__xludf.DUMMYFUNCTION("""COMPUTED_VALUE"""),"Manager who sets targets and expects me to achieve it")</f>
        <v>Manager who sets targets and expects me to achieve it</v>
      </c>
      <c r="P250" s="1" t="str">
        <f ca="1">IFERROR(__xludf.DUMMYFUNCTION("""COMPUTED_VALUE"""),"Work with 5 to 6 people in my team")</f>
        <v>Work with 5 to 6 people in my team</v>
      </c>
      <c r="Q250" s="1"/>
      <c r="R250" s="1"/>
      <c r="S250" s="1"/>
    </row>
    <row r="251" spans="1:19" ht="12.5" x14ac:dyDescent="0.25">
      <c r="A251" s="2">
        <f ca="1">IFERROR(__xludf.DUMMYFUNCTION("""COMPUTED_VALUE"""),44917.8960301736)</f>
        <v>44917.896030173601</v>
      </c>
      <c r="B251" s="1" t="str">
        <f ca="1">IFERROR(__xludf.DUMMYFUNCTION("""COMPUTED_VALUE"""),"Canada")</f>
        <v>Canada</v>
      </c>
      <c r="C251" s="1" t="str">
        <f ca="1">IFERROR(__xludf.DUMMYFUNCTION("""COMPUTED_VALUE"""),"N2H6M6")</f>
        <v>N2H6M6</v>
      </c>
      <c r="D251" s="1" t="str">
        <f ca="1">IFERROR(__xludf.DUMMYFUNCTION("""COMPUTED_VALUE"""),"Male")</f>
        <v>Male</v>
      </c>
      <c r="E251" s="1" t="str">
        <f ca="1">IFERROR(__xludf.DUMMYFUNCTION("""COMPUTED_VALUE"""),"People who have changed the world for better")</f>
        <v>People who have changed the world for better</v>
      </c>
      <c r="F251" s="1" t="str">
        <f ca="1">IFERROR(__xludf.DUMMYFUNCTION("""COMPUTED_VALUE"""),"Yes, I will earn and do that")</f>
        <v>Yes, I will earn and do that</v>
      </c>
      <c r="G251" s="1" t="str">
        <f ca="1">IFERROR(__xludf.DUMMYFUNCTION("""COMPUTED_VALUE"""),"This will be hard to do, but if it is the right company I would try")</f>
        <v>This will be hard to do, but if it is the right company I would try</v>
      </c>
      <c r="H251" s="1" t="str">
        <f ca="1">IFERROR(__xludf.DUMMYFUNCTION("""COMPUTED_VALUE"""),"No")</f>
        <v>No</v>
      </c>
      <c r="I251" s="1" t="str">
        <f ca="1">IFERROR(__xludf.DUMMYFUNCTION("""COMPUTED_VALUE"""),"Will NOT work for them")</f>
        <v>Will NOT work for them</v>
      </c>
      <c r="J251" s="1">
        <f ca="1">IFERROR(__xludf.DUMMYFUNCTION("""COMPUTED_VALUE"""),5)</f>
        <v>5</v>
      </c>
      <c r="K251" s="1" t="str">
        <f ca="1">IFERROR(__xludf.DUMMYFUNCTION("""COMPUTED_VALUE"""),"Hybrid Working Environment with less than 15 days a month at office")</f>
        <v>Hybrid Working Environment with less than 15 days a month at office</v>
      </c>
      <c r="L2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51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51" s="1" t="str">
        <f ca="1">IFERROR(__xludf.DUMMYFUNCTION("""COMPUTED_VALUE"""),"Manager who explains what is expected, sets a goal and helps achieve it")</f>
        <v>Manager who explains what is expected, sets a goal and helps achieve it</v>
      </c>
      <c r="P251" s="1" t="str">
        <f ca="1">IFERROR(__xludf.DUMMYFUNCTION("""COMPUTED_VALUE"""),"Work with more than 10 people in my team")</f>
        <v>Work with more than 10 people in my team</v>
      </c>
      <c r="Q251" s="1"/>
      <c r="R251" s="1"/>
      <c r="S251" s="1"/>
    </row>
    <row r="252" spans="1:19" ht="12.5" x14ac:dyDescent="0.25">
      <c r="A252" s="2">
        <f ca="1">IFERROR(__xludf.DUMMYFUNCTION("""COMPUTED_VALUE"""),44917.9577746875)</f>
        <v>44917.9577746875</v>
      </c>
      <c r="B252" s="1" t="str">
        <f ca="1">IFERROR(__xludf.DUMMYFUNCTION("""COMPUTED_VALUE"""),"India")</f>
        <v>India</v>
      </c>
      <c r="C252" s="1">
        <f ca="1">IFERROR(__xludf.DUMMYFUNCTION("""COMPUTED_VALUE"""),500078)</f>
        <v>500078</v>
      </c>
      <c r="D252" s="1" t="str">
        <f ca="1">IFERROR(__xludf.DUMMYFUNCTION("""COMPUTED_VALUE"""),"Male")</f>
        <v>Male</v>
      </c>
      <c r="E252" s="1" t="str">
        <f ca="1">IFERROR(__xludf.DUMMYFUNCTION("""COMPUTED_VALUE"""),"My Parents")</f>
        <v>My Parents</v>
      </c>
      <c r="F252" s="1" t="str">
        <f ca="1">IFERROR(__xludf.DUMMYFUNCTION("""COMPUTED_VALUE"""),"No, But if someone could bare the cost I will")</f>
        <v>No, But if someone could bare the cost I will</v>
      </c>
      <c r="G252" s="1" t="str">
        <f ca="1">IFERROR(__xludf.DUMMYFUNCTION("""COMPUTED_VALUE"""),"This will be hard to do, but if it is the right company I would try")</f>
        <v>This will be hard to do, but if it is the right company I would try</v>
      </c>
      <c r="H252" s="1" t="str">
        <f ca="1">IFERROR(__xludf.DUMMYFUNCTION("""COMPUTED_VALUE"""),"Yes")</f>
        <v>Yes</v>
      </c>
      <c r="I252" s="1" t="str">
        <f ca="1">IFERROR(__xludf.DUMMYFUNCTION("""COMPUTED_VALUE"""),"Will work for them")</f>
        <v>Will work for them</v>
      </c>
      <c r="J252" s="1">
        <f ca="1">IFERROR(__xludf.DUMMYFUNCTION("""COMPUTED_VALUE"""),8)</f>
        <v>8</v>
      </c>
      <c r="K252" s="1" t="str">
        <f ca="1">IFERROR(__xludf.DUMMYFUNCTION("""COMPUTED_VALUE"""),"Hybrid Working Environment with less than 15 days a month at office")</f>
        <v>Hybrid Working Environment with less than 15 days a month at office</v>
      </c>
      <c r="L252" s="1" t="str">
        <f ca="1">IFERROR(__xludf.DUMMYFUNCTION("""COMPUTED_VALUE"""),"Employer who rewards learning and enables that environment")</f>
        <v>Employer who rewards learning and enables that environment</v>
      </c>
      <c r="M252" s="1" t="str">
        <f ca="1">IFERROR(__xludf.DUMMYFUNCTION("""COMPUTED_VALUE"""),"Self Paced Learning Portals, Learning by observing others")</f>
        <v>Self Paced Learning Portals, Learning by observing others</v>
      </c>
      <c r="N252" s="1" t="str">
        <f ca="1">IFERROR(__xludf.DUMMYFUNCTION("""COMPUTED_VALUE"""),"Manage and drive End-to-End Projects or Products, Design and Develop amazing software, Work as a freelancer and do my thing my way")</f>
        <v>Manage and drive End-to-End Projects or Products, Design and Develop amazing software, Work as a freelancer and do my thing my way</v>
      </c>
      <c r="O252" s="1" t="str">
        <f ca="1">IFERROR(__xludf.DUMMYFUNCTION("""COMPUTED_VALUE"""),"Manager who explains what is expected, sets a goal and helps achieve it")</f>
        <v>Manager who explains what is expected, sets a goal and helps achieve it</v>
      </c>
      <c r="P252" s="1" t="str">
        <f ca="1">IFERROR(__xludf.DUMMYFUNCTION("""COMPUTED_VALUE"""),"Work with 2 to 3 people in my team, Work with 5 to 6 people in my team")</f>
        <v>Work with 2 to 3 people in my team, Work with 5 to 6 people in my team</v>
      </c>
      <c r="Q252" s="1"/>
      <c r="R252" s="1"/>
      <c r="S252" s="1"/>
    </row>
    <row r="253" spans="1:19" ht="12.5" x14ac:dyDescent="0.25">
      <c r="A253" s="2">
        <f ca="1">IFERROR(__xludf.DUMMYFUNCTION("""COMPUTED_VALUE"""),44918.0644536458)</f>
        <v>44918.064453645798</v>
      </c>
      <c r="B253" s="1" t="str">
        <f ca="1">IFERROR(__xludf.DUMMYFUNCTION("""COMPUTED_VALUE"""),"Germany")</f>
        <v>Germany</v>
      </c>
      <c r="C253" s="1">
        <f ca="1">IFERROR(__xludf.DUMMYFUNCTION("""COMPUTED_VALUE"""),81241)</f>
        <v>81241</v>
      </c>
      <c r="D253" s="1" t="str">
        <f ca="1">IFERROR(__xludf.DUMMYFUNCTION("""COMPUTED_VALUE"""),"Male")</f>
        <v>Male</v>
      </c>
      <c r="E253" s="1" t="str">
        <f ca="1">IFERROR(__xludf.DUMMYFUNCTION("""COMPUTED_VALUE"""),"My Parents")</f>
        <v>My Parents</v>
      </c>
      <c r="F253" s="1" t="str">
        <f ca="1">IFERROR(__xludf.DUMMYFUNCTION("""COMPUTED_VALUE"""),"Yes, I will earn and do that")</f>
        <v>Yes, I will earn and do that</v>
      </c>
      <c r="G253" s="1" t="str">
        <f ca="1">IFERROR(__xludf.DUMMYFUNCTION("""COMPUTED_VALUE"""),"This will be hard to do, but if it is the right company I would try")</f>
        <v>This will be hard to do, but if it is the right company I would try</v>
      </c>
      <c r="H253" s="1" t="str">
        <f ca="1">IFERROR(__xludf.DUMMYFUNCTION("""COMPUTED_VALUE"""),"No")</f>
        <v>No</v>
      </c>
      <c r="I253" s="1" t="str">
        <f ca="1">IFERROR(__xludf.DUMMYFUNCTION("""COMPUTED_VALUE"""),"Will NOT work for them")</f>
        <v>Will NOT work for them</v>
      </c>
      <c r="J253" s="1">
        <f ca="1">IFERROR(__xludf.DUMMYFUNCTION("""COMPUTED_VALUE"""),3)</f>
        <v>3</v>
      </c>
      <c r="K253" s="1" t="str">
        <f ca="1">IFERROR(__xludf.DUMMYFUNCTION("""COMPUTED_VALUE"""),"Hybrid Working Environment with less than 15 days a month at office")</f>
        <v>Hybrid Working Environment with less than 15 days a month at office</v>
      </c>
      <c r="L253" s="1" t="str">
        <f ca="1">IFERROR(__xludf.DUMMYFUNCTION("""COMPUTED_VALUE"""),"Employer who rewards learning and enables that environment")</f>
        <v>Employer who rewards learning and enables that environment</v>
      </c>
      <c r="M253" s="1" t="str">
        <f ca="1">IFERROR(__xludf.DUMMYFUNCTION("""COMPUTED_VALUE"""),"Self Paced Learning Portals, Instructor or Expert Learning Programs")</f>
        <v>Self Paced Learning Portals, Instructor or Expert Learning Programs</v>
      </c>
      <c r="N253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53" s="1" t="str">
        <f ca="1">IFERROR(__xludf.DUMMYFUNCTION("""COMPUTED_VALUE"""),"Manager who sets goal and helps me achieve it")</f>
        <v>Manager who sets goal and helps me achieve it</v>
      </c>
      <c r="P253" s="1" t="str">
        <f ca="1">IFERROR(__xludf.DUMMYFUNCTION("""COMPUTED_VALUE"""),"Work with 2 to 3 people in my team")</f>
        <v>Work with 2 to 3 people in my team</v>
      </c>
      <c r="Q253" s="1"/>
      <c r="R253" s="1"/>
      <c r="S253" s="1"/>
    </row>
    <row r="254" spans="1:19" ht="12.5" x14ac:dyDescent="0.25">
      <c r="A254" s="2">
        <f ca="1">IFERROR(__xludf.DUMMYFUNCTION("""COMPUTED_VALUE"""),44918.7190850925)</f>
        <v>44918.719085092504</v>
      </c>
      <c r="B254" s="1" t="str">
        <f ca="1">IFERROR(__xludf.DUMMYFUNCTION("""COMPUTED_VALUE"""),"India")</f>
        <v>India</v>
      </c>
      <c r="C254" s="1">
        <f ca="1">IFERROR(__xludf.DUMMYFUNCTION("""COMPUTED_VALUE"""),305901)</f>
        <v>305901</v>
      </c>
      <c r="D254" s="1" t="str">
        <f ca="1">IFERROR(__xludf.DUMMYFUNCTION("""COMPUTED_VALUE"""),"Male")</f>
        <v>Male</v>
      </c>
      <c r="E254" s="1" t="str">
        <f ca="1">IFERROR(__xludf.DUMMYFUNCTION("""COMPUTED_VALUE"""),"People from my circle, but not family members")</f>
        <v>People from my circle, but not family members</v>
      </c>
      <c r="F254" s="1" t="str">
        <f ca="1">IFERROR(__xludf.DUMMYFUNCTION("""COMPUTED_VALUE"""),"Yes, I will earn and do that")</f>
        <v>Yes, I will earn and do that</v>
      </c>
      <c r="G254" s="1" t="str">
        <f ca="1">IFERROR(__xludf.DUMMYFUNCTION("""COMPUTED_VALUE"""),"This will be hard to do, but if it is the right company I would try")</f>
        <v>This will be hard to do, but if it is the right company I would try</v>
      </c>
      <c r="H254" s="1" t="str">
        <f ca="1">IFERROR(__xludf.DUMMYFUNCTION("""COMPUTED_VALUE"""),"No")</f>
        <v>No</v>
      </c>
      <c r="I254" s="1" t="str">
        <f ca="1">IFERROR(__xludf.DUMMYFUNCTION("""COMPUTED_VALUE"""),"Will NOT work for them")</f>
        <v>Will NOT work for them</v>
      </c>
      <c r="J254" s="1">
        <f ca="1">IFERROR(__xludf.DUMMYFUNCTION("""COMPUTED_VALUE"""),6)</f>
        <v>6</v>
      </c>
      <c r="K254" s="1" t="str">
        <f ca="1">IFERROR(__xludf.DUMMYFUNCTION("""COMPUTED_VALUE"""),"Hybrid Working Environment with less than 15 days a month at office")</f>
        <v>Hybrid Working Environment with less than 15 days a month at office</v>
      </c>
      <c r="L2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4" s="1" t="str">
        <f ca="1">IFERROR(__xludf.DUMMYFUNCTION("""COMPUTED_VALUE"""),"Instructor or Expert Learning Programs, Learning by observing others")</f>
        <v>Instructor or Expert Learning Programs, Learning by observing others</v>
      </c>
      <c r="N254" s="1" t="str">
        <f ca="1">IFERROR(__xludf.DUMMYFUNCTION("""COMPUTED_VALUE"""),"Teaching in any of the institutes/online or Offline, Build and develop a Team, Look deeply into Data and generate insights")</f>
        <v>Teaching in any of the institutes/online or Offline, Build and develop a Team, Look deeply into Data and generate insights</v>
      </c>
      <c r="O254" s="1" t="str">
        <f ca="1">IFERROR(__xludf.DUMMYFUNCTION("""COMPUTED_VALUE"""),"Manager who explains what is expected, sets a goal and helps achieve it")</f>
        <v>Manager who explains what is expected, sets a goal and helps achieve it</v>
      </c>
      <c r="P254" s="1" t="str">
        <f ca="1">IFERROR(__xludf.DUMMYFUNCTION("""COMPUTED_VALUE"""),"Work with 5 to 6 people in my team")</f>
        <v>Work with 5 to 6 people in my team</v>
      </c>
      <c r="Q254" s="1"/>
      <c r="R254" s="1"/>
      <c r="S254" s="1"/>
    </row>
    <row r="255" spans="1:19" ht="12.5" x14ac:dyDescent="0.25">
      <c r="A255" s="2">
        <f ca="1">IFERROR(__xludf.DUMMYFUNCTION("""COMPUTED_VALUE"""),44918.760680243)</f>
        <v>44918.760680243002</v>
      </c>
      <c r="B255" s="1" t="str">
        <f ca="1">IFERROR(__xludf.DUMMYFUNCTION("""COMPUTED_VALUE"""),"India")</f>
        <v>India</v>
      </c>
      <c r="C255" s="1">
        <f ca="1">IFERROR(__xludf.DUMMYFUNCTION("""COMPUTED_VALUE"""),385001)</f>
        <v>385001</v>
      </c>
      <c r="D255" s="1" t="str">
        <f ca="1">IFERROR(__xludf.DUMMYFUNCTION("""COMPUTED_VALUE"""),"Female")</f>
        <v>Female</v>
      </c>
      <c r="E255" s="1" t="str">
        <f ca="1">IFERROR(__xludf.DUMMYFUNCTION("""COMPUTED_VALUE"""),"My Parents")</f>
        <v>My Parents</v>
      </c>
      <c r="F255" s="1" t="str">
        <f ca="1">IFERROR(__xludf.DUMMYFUNCTION("""COMPUTED_VALUE"""),"No I would not be pursuing Higher Education outside of India")</f>
        <v>No I would not be pursuing Higher Education outside of India</v>
      </c>
      <c r="G255" s="1" t="str">
        <f ca="1">IFERROR(__xludf.DUMMYFUNCTION("""COMPUTED_VALUE"""),"This will be hard to do, but if it is the right company I would try")</f>
        <v>This will be hard to do, but if it is the right company I would try</v>
      </c>
      <c r="H255" s="1" t="str">
        <f ca="1">IFERROR(__xludf.DUMMYFUNCTION("""COMPUTED_VALUE"""),"Yes")</f>
        <v>Yes</v>
      </c>
      <c r="I255" s="1" t="str">
        <f ca="1">IFERROR(__xludf.DUMMYFUNCTION("""COMPUTED_VALUE"""),"Will work for them")</f>
        <v>Will work for them</v>
      </c>
      <c r="J255" s="1">
        <f ca="1">IFERROR(__xludf.DUMMYFUNCTION("""COMPUTED_VALUE"""),10)</f>
        <v>10</v>
      </c>
      <c r="K255" s="1" t="str">
        <f ca="1">IFERROR(__xludf.DUMMYFUNCTION("""COMPUTED_VALUE"""),"Fully Remote with Options to travel as and when needed")</f>
        <v>Fully Remote with Options to travel as and when needed</v>
      </c>
      <c r="L255" s="1" t="str">
        <f ca="1">IFERROR(__xludf.DUMMYFUNCTION("""COMPUTED_VALUE"""),"Employer who appreciates learning and enables that environment")</f>
        <v>Employer who appreciates learning and enables that environment</v>
      </c>
      <c r="M255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55" s="1" t="str">
        <f ca="1">IFERROR(__xludf.DUMMYFUNCTION("""COMPUTED_VALUE"""),"Design and Creative strategy in any company, Build and develop a Team, Work in a BPO setup for some well known client")</f>
        <v>Design and Creative strategy in any company, Build and develop a Team, Work in a BPO setup for some well known client</v>
      </c>
      <c r="O255" s="1" t="str">
        <f ca="1">IFERROR(__xludf.DUMMYFUNCTION("""COMPUTED_VALUE"""),"Manager who clearly describes what she/he needs")</f>
        <v>Manager who clearly describes what she/he needs</v>
      </c>
      <c r="P255" s="1" t="str">
        <f ca="1">IFERROR(__xludf.DUMMYFUNCTION("""COMPUTED_VALUE"""),"Work alone")</f>
        <v>Work alone</v>
      </c>
      <c r="Q255" s="1"/>
      <c r="R255" s="1"/>
      <c r="S255" s="1"/>
    </row>
    <row r="256" spans="1:19" ht="12.5" x14ac:dyDescent="0.25">
      <c r="A256" s="2">
        <f ca="1">IFERROR(__xludf.DUMMYFUNCTION("""COMPUTED_VALUE"""),44918.7615345601)</f>
        <v>44918.761534560101</v>
      </c>
      <c r="B256" s="1" t="str">
        <f ca="1">IFERROR(__xludf.DUMMYFUNCTION("""COMPUTED_VALUE"""),"India")</f>
        <v>India</v>
      </c>
      <c r="C256" s="1">
        <f ca="1">IFERROR(__xludf.DUMMYFUNCTION("""COMPUTED_VALUE"""),385001)</f>
        <v>385001</v>
      </c>
      <c r="D256" s="1" t="str">
        <f ca="1">IFERROR(__xludf.DUMMYFUNCTION("""COMPUTED_VALUE"""),"Female")</f>
        <v>Female</v>
      </c>
      <c r="E256" s="1" t="str">
        <f ca="1">IFERROR(__xludf.DUMMYFUNCTION("""COMPUTED_VALUE"""),"My Parents")</f>
        <v>My Parents</v>
      </c>
      <c r="F256" s="1" t="str">
        <f ca="1">IFERROR(__xludf.DUMMYFUNCTION("""COMPUTED_VALUE"""),"No I would not be pursuing Higher Education outside of India")</f>
        <v>No I would not be pursuing Higher Education outside of India</v>
      </c>
      <c r="G256" s="1" t="str">
        <f ca="1">IFERROR(__xludf.DUMMYFUNCTION("""COMPUTED_VALUE"""),"This will be hard to do, but if it is the right company I would try")</f>
        <v>This will be hard to do, but if it is the right company I would try</v>
      </c>
      <c r="H256" s="1" t="str">
        <f ca="1">IFERROR(__xludf.DUMMYFUNCTION("""COMPUTED_VALUE"""),"Yes")</f>
        <v>Yes</v>
      </c>
      <c r="I256" s="1" t="str">
        <f ca="1">IFERROR(__xludf.DUMMYFUNCTION("""COMPUTED_VALUE"""),"Will work for them")</f>
        <v>Will work for them</v>
      </c>
      <c r="J256" s="1">
        <f ca="1">IFERROR(__xludf.DUMMYFUNCTION("""COMPUTED_VALUE"""),4)</f>
        <v>4</v>
      </c>
      <c r="K256" s="1" t="str">
        <f ca="1">IFERROR(__xludf.DUMMYFUNCTION("""COMPUTED_VALUE"""),"Every Day Office Environment")</f>
        <v>Every Day Office Environment</v>
      </c>
      <c r="L256" s="1" t="str">
        <f ca="1">IFERROR(__xludf.DUMMYFUNCTION("""COMPUTED_VALUE"""),"Employer who appreciates learning and enables that environment")</f>
        <v>Employer who appreciates learning and enables that environment</v>
      </c>
      <c r="M256" s="1" t="str">
        <f ca="1">IFERROR(__xludf.DUMMYFUNCTION("""COMPUTED_VALUE"""),"Self Paced Learning Portals, Instructor or Expert Learning Programs")</f>
        <v>Self Paced Learning Portals, Instructor or Expert Learning Programs</v>
      </c>
      <c r="N256" s="1" t="str">
        <f ca="1">IFERROR(__xludf.DUMMYFUNCTION("""COMPUTED_VALUE"""),"Design and Creative strategy in any company, Build and develop a Team, Become a content Creator in some platform")</f>
        <v>Design and Creative strategy in any company, Build and develop a Team, Become a content Creator in some platform</v>
      </c>
      <c r="O25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6" s="1" t="str">
        <f ca="1">IFERROR(__xludf.DUMMYFUNCTION("""COMPUTED_VALUE"""),"Work with 5 to 6 people in my team")</f>
        <v>Work with 5 to 6 people in my team</v>
      </c>
      <c r="Q256" s="1"/>
      <c r="R256" s="1"/>
      <c r="S256" s="1"/>
    </row>
    <row r="257" spans="1:19" ht="12.5" x14ac:dyDescent="0.25">
      <c r="A257" s="2">
        <f ca="1">IFERROR(__xludf.DUMMYFUNCTION("""COMPUTED_VALUE"""),44918.761956574)</f>
        <v>44918.761956574002</v>
      </c>
      <c r="B257" s="1" t="str">
        <f ca="1">IFERROR(__xludf.DUMMYFUNCTION("""COMPUTED_VALUE"""),"India")</f>
        <v>India</v>
      </c>
      <c r="C257" s="1">
        <f ca="1">IFERROR(__xludf.DUMMYFUNCTION("""COMPUTED_VALUE"""),380052)</f>
        <v>380052</v>
      </c>
      <c r="D257" s="1" t="str">
        <f ca="1">IFERROR(__xludf.DUMMYFUNCTION("""COMPUTED_VALUE"""),"Female")</f>
        <v>Female</v>
      </c>
      <c r="E257" s="1" t="str">
        <f ca="1">IFERROR(__xludf.DUMMYFUNCTION("""COMPUTED_VALUE"""),"My Parents")</f>
        <v>My Parents</v>
      </c>
      <c r="F257" s="1" t="str">
        <f ca="1">IFERROR(__xludf.DUMMYFUNCTION("""COMPUTED_VALUE"""),"Yes, I will earn and do that")</f>
        <v>Yes, I will earn and do that</v>
      </c>
      <c r="G257" s="1" t="str">
        <f ca="1">IFERROR(__xludf.DUMMYFUNCTION("""COMPUTED_VALUE"""),"Will work for 3 years or more")</f>
        <v>Will work for 3 years or more</v>
      </c>
      <c r="H257" s="1" t="str">
        <f ca="1">IFERROR(__xludf.DUMMYFUNCTION("""COMPUTED_VALUE"""),"Yes")</f>
        <v>Yes</v>
      </c>
      <c r="I257" s="1" t="str">
        <f ca="1">IFERROR(__xludf.DUMMYFUNCTION("""COMPUTED_VALUE"""),"Will NOT work for them")</f>
        <v>Will NOT work for them</v>
      </c>
      <c r="J257" s="1">
        <f ca="1">IFERROR(__xludf.DUMMYFUNCTION("""COMPUTED_VALUE"""),10)</f>
        <v>10</v>
      </c>
      <c r="K257" s="1" t="str">
        <f ca="1">IFERROR(__xludf.DUMMYFUNCTION("""COMPUTED_VALUE"""),"Hybrid Working Environment with less than 3 days a month at office")</f>
        <v>Hybrid Working Environment with less than 3 days a month at office</v>
      </c>
      <c r="L2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7" s="1" t="str">
        <f ca="1">IFERROR(__xludf.DUMMYFUNCTION("""COMPUTED_VALUE"""),"Instructor or Expert Learning Programs, Learning by observing others")</f>
        <v>Instructor or Expert Learning Programs, Learning by observing others</v>
      </c>
      <c r="N257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257" s="1" t="str">
        <f ca="1">IFERROR(__xludf.DUMMYFUNCTION("""COMPUTED_VALUE"""),"Manager who explains what is expected, sets a goal and helps achieve it")</f>
        <v>Manager who explains what is expected, sets a goal and helps achieve it</v>
      </c>
      <c r="P257" s="1" t="str">
        <f ca="1">IFERROR(__xludf.DUMMYFUNCTION("""COMPUTED_VALUE"""),"Work with 2 to 3 people in my team")</f>
        <v>Work with 2 to 3 people in my team</v>
      </c>
      <c r="Q257" s="1"/>
      <c r="R257" s="1"/>
      <c r="S257" s="1"/>
    </row>
    <row r="258" spans="1:19" ht="12.5" x14ac:dyDescent="0.25">
      <c r="A258" s="2">
        <f ca="1">IFERROR(__xludf.DUMMYFUNCTION("""COMPUTED_VALUE"""),44918.7841929629)</f>
        <v>44918.784192962899</v>
      </c>
      <c r="B258" s="1" t="str">
        <f ca="1">IFERROR(__xludf.DUMMYFUNCTION("""COMPUTED_VALUE"""),"India")</f>
        <v>India</v>
      </c>
      <c r="C258" s="1">
        <f ca="1">IFERROR(__xludf.DUMMYFUNCTION("""COMPUTED_VALUE"""),576213)</f>
        <v>576213</v>
      </c>
      <c r="D258" s="1" t="str">
        <f ca="1">IFERROR(__xludf.DUMMYFUNCTION("""COMPUTED_VALUE"""),"Male")</f>
        <v>Male</v>
      </c>
      <c r="E258" s="1" t="str">
        <f ca="1">IFERROR(__xludf.DUMMYFUNCTION("""COMPUTED_VALUE"""),"People who have changed the world for better")</f>
        <v>People who have changed the world for better</v>
      </c>
      <c r="F258" s="1" t="str">
        <f ca="1">IFERROR(__xludf.DUMMYFUNCTION("""COMPUTED_VALUE"""),"No, But if someone could bare the cost I will")</f>
        <v>No, But if someone could bare the cost I will</v>
      </c>
      <c r="G258" s="1" t="str">
        <f ca="1">IFERROR(__xludf.DUMMYFUNCTION("""COMPUTED_VALUE"""),"Will work for 3 years or more")</f>
        <v>Will work for 3 years or more</v>
      </c>
      <c r="H258" s="1" t="str">
        <f ca="1">IFERROR(__xludf.DUMMYFUNCTION("""COMPUTED_VALUE"""),"No")</f>
        <v>No</v>
      </c>
      <c r="I258" s="1" t="str">
        <f ca="1">IFERROR(__xludf.DUMMYFUNCTION("""COMPUTED_VALUE"""),"Will work for them")</f>
        <v>Will work for them</v>
      </c>
      <c r="J258" s="1">
        <f ca="1">IFERROR(__xludf.DUMMYFUNCTION("""COMPUTED_VALUE"""),3)</f>
        <v>3</v>
      </c>
      <c r="K258" s="1" t="str">
        <f ca="1">IFERROR(__xludf.DUMMYFUNCTION("""COMPUTED_VALUE"""),"Hybrid Working Environment with less than 10 days a month at office")</f>
        <v>Hybrid Working Environment with less than 10 days a month at office</v>
      </c>
      <c r="L258" s="1" t="str">
        <f ca="1">IFERROR(__xludf.DUMMYFUNCTION("""COMPUTED_VALUE"""),"Employer who appreciates learning and enables that environment")</f>
        <v>Employer who appreciates learning and enables that environment</v>
      </c>
      <c r="M258" s="1" t="str">
        <f ca="1">IFERROR(__xludf.DUMMYFUNCTION("""COMPUTED_VALUE"""),"Self Paced Learning Portals, Learning by observing others")</f>
        <v>Self Paced Learning Portals, Learning by observing others</v>
      </c>
      <c r="N258" s="1" t="str">
        <f ca="1">IFERROR(__xludf.DUMMYFUNCTION("""COMPUTED_VALUE"""),"Build and develop a Team, Work as a freelancer and do my thing my way, Become a content Creator in some platform")</f>
        <v>Build and develop a Team, Work as a freelancer and do my thing my way, Become a content Creator in some platform</v>
      </c>
      <c r="O258" s="1" t="str">
        <f ca="1">IFERROR(__xludf.DUMMYFUNCTION("""COMPUTED_VALUE"""),"Manager who explains what is expected, sets a goal and helps achieve it")</f>
        <v>Manager who explains what is expected, sets a goal and helps achieve it</v>
      </c>
      <c r="P258" s="1" t="str">
        <f ca="1">IFERROR(__xludf.DUMMYFUNCTION("""COMPUTED_VALUE"""),"Work with 5 to 6 people in my team")</f>
        <v>Work with 5 to 6 people in my team</v>
      </c>
      <c r="Q258" s="1"/>
      <c r="R258" s="1"/>
      <c r="S258" s="1"/>
    </row>
    <row r="259" spans="1:19" ht="12.5" x14ac:dyDescent="0.25">
      <c r="A259" s="2">
        <f ca="1">IFERROR(__xludf.DUMMYFUNCTION("""COMPUTED_VALUE"""),44918.7863765393)</f>
        <v>44918.786376539298</v>
      </c>
      <c r="B259" s="1" t="str">
        <f ca="1">IFERROR(__xludf.DUMMYFUNCTION("""COMPUTED_VALUE"""),"India")</f>
        <v>India</v>
      </c>
      <c r="C259" s="1">
        <f ca="1">IFERROR(__xludf.DUMMYFUNCTION("""COMPUTED_VALUE"""),576213)</f>
        <v>576213</v>
      </c>
      <c r="D259" s="1" t="str">
        <f ca="1">IFERROR(__xludf.DUMMYFUNCTION("""COMPUTED_VALUE"""),"Female")</f>
        <v>Female</v>
      </c>
      <c r="E259" s="1" t="str">
        <f ca="1">IFERROR(__xludf.DUMMYFUNCTION("""COMPUTED_VALUE"""),"Influencers who had successful careers")</f>
        <v>Influencers who had successful careers</v>
      </c>
      <c r="F259" s="1" t="str">
        <f ca="1">IFERROR(__xludf.DUMMYFUNCTION("""COMPUTED_VALUE"""),"No, But if someone could bare the cost I will")</f>
        <v>No, But if someone could bare the cost I will</v>
      </c>
      <c r="G259" s="1" t="str">
        <f ca="1">IFERROR(__xludf.DUMMYFUNCTION("""COMPUTED_VALUE"""),"This will be hard to do, but if it is the right company I would try")</f>
        <v>This will be hard to do, but if it is the right company I would try</v>
      </c>
      <c r="H259" s="1" t="str">
        <f ca="1">IFERROR(__xludf.DUMMYFUNCTION("""COMPUTED_VALUE"""),"Yes")</f>
        <v>Yes</v>
      </c>
      <c r="I259" s="1" t="str">
        <f ca="1">IFERROR(__xludf.DUMMYFUNCTION("""COMPUTED_VALUE"""),"Will NOT work for them")</f>
        <v>Will NOT work for them</v>
      </c>
      <c r="J259" s="1">
        <f ca="1">IFERROR(__xludf.DUMMYFUNCTION("""COMPUTED_VALUE"""),5)</f>
        <v>5</v>
      </c>
      <c r="K259" s="1" t="str">
        <f ca="1">IFERROR(__xludf.DUMMYFUNCTION("""COMPUTED_VALUE"""),"Hybrid Working Environment with less than 15 days a month at office")</f>
        <v>Hybrid Working Environment with less than 15 days a month at office</v>
      </c>
      <c r="L2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59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259" s="1" t="str">
        <f ca="1">IFERROR(__xludf.DUMMYFUNCTION("""COMPUTED_VALUE"""),"Manager who clearly describes what she/he needs")</f>
        <v>Manager who clearly describes what she/he needs</v>
      </c>
      <c r="P259" s="1" t="str">
        <f ca="1">IFERROR(__xludf.DUMMYFUNCTION("""COMPUTED_VALUE"""),"Work with 7 to 10 or more people in my team")</f>
        <v>Work with 7 to 10 or more people in my team</v>
      </c>
      <c r="Q259" s="1"/>
      <c r="R259" s="1"/>
      <c r="S259" s="1"/>
    </row>
    <row r="260" spans="1:19" ht="12.5" x14ac:dyDescent="0.25">
      <c r="A260" s="2">
        <f ca="1">IFERROR(__xludf.DUMMYFUNCTION("""COMPUTED_VALUE"""),44918.7905257986)</f>
        <v>44918.790525798599</v>
      </c>
      <c r="B260" s="1" t="str">
        <f ca="1">IFERROR(__xludf.DUMMYFUNCTION("""COMPUTED_VALUE"""),"India")</f>
        <v>India</v>
      </c>
      <c r="C260" s="1">
        <f ca="1">IFERROR(__xludf.DUMMYFUNCTION("""COMPUTED_VALUE"""),385210)</f>
        <v>385210</v>
      </c>
      <c r="D260" s="1" t="str">
        <f ca="1">IFERROR(__xludf.DUMMYFUNCTION("""COMPUTED_VALUE"""),"Male")</f>
        <v>Male</v>
      </c>
      <c r="E260" s="1" t="str">
        <f ca="1">IFERROR(__xludf.DUMMYFUNCTION("""COMPUTED_VALUE"""),"Influencers who had successful careers")</f>
        <v>Influencers who had successful careers</v>
      </c>
      <c r="F260" s="1" t="str">
        <f ca="1">IFERROR(__xludf.DUMMYFUNCTION("""COMPUTED_VALUE"""),"No I would not be pursuing Higher Education outside of India")</f>
        <v>No I would not be pursuing Higher Education outside of India</v>
      </c>
      <c r="G260" s="1" t="str">
        <f ca="1">IFERROR(__xludf.DUMMYFUNCTION("""COMPUTED_VALUE"""),"Will work for 3 years or more")</f>
        <v>Will work for 3 years or more</v>
      </c>
      <c r="H260" s="1" t="str">
        <f ca="1">IFERROR(__xludf.DUMMYFUNCTION("""COMPUTED_VALUE"""),"Yes")</f>
        <v>Yes</v>
      </c>
      <c r="I260" s="1" t="str">
        <f ca="1">IFERROR(__xludf.DUMMYFUNCTION("""COMPUTED_VALUE"""),"Will work for them")</f>
        <v>Will work for them</v>
      </c>
      <c r="J260" s="1">
        <f ca="1">IFERROR(__xludf.DUMMYFUNCTION("""COMPUTED_VALUE"""),10)</f>
        <v>10</v>
      </c>
      <c r="K260" s="1" t="str">
        <f ca="1">IFERROR(__xludf.DUMMYFUNCTION("""COMPUTED_VALUE"""),"Fully Remote with Options to travel as and when needed")</f>
        <v>Fully Remote with Options to travel as and when needed</v>
      </c>
      <c r="L2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0" s="1" t="str">
        <f ca="1">IFERROR(__xludf.DUMMYFUNCTION("""COMPUTED_VALUE"""),"Self Paced Learning Portals, Learning by observing others")</f>
        <v>Self Paced Learning Portals, Learning by observing others</v>
      </c>
      <c r="N260" s="1" t="str">
        <f ca="1">IFERROR(__xludf.DUMMYFUNCTION("""COMPUTED_VALUE"""),"Design and Creative strategy in any company, Business Operations in any organization, Become a content Creator in some platform")</f>
        <v>Design and Creative strategy in any company, Business Operations in any organization, Become a content Creator in some platform</v>
      </c>
      <c r="O260" s="1" t="str">
        <f ca="1">IFERROR(__xludf.DUMMYFUNCTION("""COMPUTED_VALUE"""),"Manager who sets targets and expects me to achieve it")</f>
        <v>Manager who sets targets and expects me to achieve it</v>
      </c>
      <c r="P260" s="1" t="str">
        <f ca="1">IFERROR(__xludf.DUMMYFUNCTION("""COMPUTED_VALUE"""),"Work with 2 to 3 people in my team")</f>
        <v>Work with 2 to 3 people in my team</v>
      </c>
      <c r="Q260" s="1"/>
      <c r="R260" s="1"/>
      <c r="S260" s="1"/>
    </row>
    <row r="261" spans="1:19" ht="12.5" x14ac:dyDescent="0.25">
      <c r="A261" s="2">
        <f ca="1">IFERROR(__xludf.DUMMYFUNCTION("""COMPUTED_VALUE"""),44918.7920242245)</f>
        <v>44918.792024224502</v>
      </c>
      <c r="B261" s="1" t="str">
        <f ca="1">IFERROR(__xludf.DUMMYFUNCTION("""COMPUTED_VALUE"""),"India")</f>
        <v>India</v>
      </c>
      <c r="C261" s="1">
        <f ca="1">IFERROR(__xludf.DUMMYFUNCTION("""COMPUTED_VALUE"""),575007)</f>
        <v>575007</v>
      </c>
      <c r="D261" s="1" t="str">
        <f ca="1">IFERROR(__xludf.DUMMYFUNCTION("""COMPUTED_VALUE"""),"Female")</f>
        <v>Female</v>
      </c>
      <c r="E261" s="1" t="str">
        <f ca="1">IFERROR(__xludf.DUMMYFUNCTION("""COMPUTED_VALUE"""),"My Parents")</f>
        <v>My Parents</v>
      </c>
      <c r="F261" s="1" t="str">
        <f ca="1">IFERROR(__xludf.DUMMYFUNCTION("""COMPUTED_VALUE"""),"No I would not be pursuing Higher Education outside of India")</f>
        <v>No I would not be pursuing Higher Education outside of India</v>
      </c>
      <c r="G261" s="1" t="str">
        <f ca="1">IFERROR(__xludf.DUMMYFUNCTION("""COMPUTED_VALUE"""),"This will be hard to do, but if it is the right company I would try")</f>
        <v>This will be hard to do, but if it is the right company I would try</v>
      </c>
      <c r="H261" s="1" t="str">
        <f ca="1">IFERROR(__xludf.DUMMYFUNCTION("""COMPUTED_VALUE"""),"No")</f>
        <v>No</v>
      </c>
      <c r="I261" s="1" t="str">
        <f ca="1">IFERROR(__xludf.DUMMYFUNCTION("""COMPUTED_VALUE"""),"Will NOT work for them")</f>
        <v>Will NOT work for them</v>
      </c>
      <c r="J261" s="1">
        <f ca="1">IFERROR(__xludf.DUMMYFUNCTION("""COMPUTED_VALUE"""),5)</f>
        <v>5</v>
      </c>
      <c r="K261" s="1" t="str">
        <f ca="1">IFERROR(__xludf.DUMMYFUNCTION("""COMPUTED_VALUE"""),"Hybrid Working Environment with less than 15 days a month at office")</f>
        <v>Hybrid Working Environment with less than 15 days a month at office</v>
      </c>
      <c r="L2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61" s="1" t="str">
        <f ca="1">IFERROR(__xludf.DUMMYFUNCTION("""COMPUTED_VALUE"""),"Business Operations in any organization, Work in a BPO setup for some well known client, Work as a freelancer and do my thing my way")</f>
        <v>Business Operations in any organization, Work in a BPO setup for some well known client, Work as a freelancer and do my thing my way</v>
      </c>
      <c r="O261" s="1" t="str">
        <f ca="1">IFERROR(__xludf.DUMMYFUNCTION("""COMPUTED_VALUE"""),"Manager who explains what is expected, sets a goal and helps achieve it")</f>
        <v>Manager who explains what is expected, sets a goal and helps achieve it</v>
      </c>
      <c r="P261" s="1" t="str">
        <f ca="1">IFERROR(__xludf.DUMMYFUNCTION("""COMPUTED_VALUE"""),"Work with 2 to 3 people in my team")</f>
        <v>Work with 2 to 3 people in my team</v>
      </c>
      <c r="Q261" s="1"/>
      <c r="R261" s="1"/>
      <c r="S261" s="1"/>
    </row>
    <row r="262" spans="1:19" ht="12.5" x14ac:dyDescent="0.25">
      <c r="A262" s="2">
        <f ca="1">IFERROR(__xludf.DUMMYFUNCTION("""COMPUTED_VALUE"""),44918.7955985995)</f>
        <v>44918.795598599499</v>
      </c>
      <c r="B262" s="1" t="str">
        <f ca="1">IFERROR(__xludf.DUMMYFUNCTION("""COMPUTED_VALUE"""),"India")</f>
        <v>India</v>
      </c>
      <c r="C262" s="1">
        <f ca="1">IFERROR(__xludf.DUMMYFUNCTION("""COMPUTED_VALUE"""),385001)</f>
        <v>385001</v>
      </c>
      <c r="D262" s="1" t="str">
        <f ca="1">IFERROR(__xludf.DUMMYFUNCTION("""COMPUTED_VALUE"""),"Female")</f>
        <v>Female</v>
      </c>
      <c r="E262" s="1" t="str">
        <f ca="1">IFERROR(__xludf.DUMMYFUNCTION("""COMPUTED_VALUE"""),"My Parents")</f>
        <v>My Parents</v>
      </c>
      <c r="F262" s="1" t="str">
        <f ca="1">IFERROR(__xludf.DUMMYFUNCTION("""COMPUTED_VALUE"""),"Yes, I will earn and do that")</f>
        <v>Yes, I will earn and do that</v>
      </c>
      <c r="G262" s="1" t="str">
        <f ca="1">IFERROR(__xludf.DUMMYFUNCTION("""COMPUTED_VALUE"""),"Will work for 3 years or more")</f>
        <v>Will work for 3 years or more</v>
      </c>
      <c r="H262" s="1" t="str">
        <f ca="1">IFERROR(__xludf.DUMMYFUNCTION("""COMPUTED_VALUE"""),"Yes")</f>
        <v>Yes</v>
      </c>
      <c r="I262" s="1" t="str">
        <f ca="1">IFERROR(__xludf.DUMMYFUNCTION("""COMPUTED_VALUE"""),"Will work for them")</f>
        <v>Will work for them</v>
      </c>
      <c r="J262" s="1">
        <f ca="1">IFERROR(__xludf.DUMMYFUNCTION("""COMPUTED_VALUE"""),1)</f>
        <v>1</v>
      </c>
      <c r="K262" s="1" t="str">
        <f ca="1">IFERROR(__xludf.DUMMYFUNCTION("""COMPUTED_VALUE"""),"Every Day Office Environment")</f>
        <v>Every Day Office Environment</v>
      </c>
      <c r="L262" s="1" t="str">
        <f ca="1">IFERROR(__xludf.DUMMYFUNCTION("""COMPUTED_VALUE"""),"Employer who appreciates learning and enables that environment")</f>
        <v>Employer who appreciates learning and enables that environment</v>
      </c>
      <c r="M262" s="1" t="str">
        <f ca="1">IFERROR(__xludf.DUMMYFUNCTION("""COMPUTED_VALUE"""),"Self Paced Learning Portals, Instructor or Expert Learning Programs")</f>
        <v>Self Paced Learning Portals, Instructor or Expert Learning Programs</v>
      </c>
      <c r="N262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262" s="1" t="str">
        <f ca="1">IFERROR(__xludf.DUMMYFUNCTION("""COMPUTED_VALUE"""),"Manager who clearly describes what she/he needs")</f>
        <v>Manager who clearly describes what she/he needs</v>
      </c>
      <c r="P262" s="1" t="str">
        <f ca="1">IFERROR(__xludf.DUMMYFUNCTION("""COMPUTED_VALUE"""),"Work with more than 10 people in my team")</f>
        <v>Work with more than 10 people in my team</v>
      </c>
      <c r="Q262" s="1"/>
      <c r="R262" s="1"/>
      <c r="S262" s="1"/>
    </row>
    <row r="263" spans="1:19" ht="12.5" x14ac:dyDescent="0.25">
      <c r="A263" s="2">
        <f ca="1">IFERROR(__xludf.DUMMYFUNCTION("""COMPUTED_VALUE"""),44918.7956388773)</f>
        <v>44918.795638877302</v>
      </c>
      <c r="B263" s="1" t="str">
        <f ca="1">IFERROR(__xludf.DUMMYFUNCTION("""COMPUTED_VALUE"""),"India")</f>
        <v>India</v>
      </c>
      <c r="C263" s="1">
        <f ca="1">IFERROR(__xludf.DUMMYFUNCTION("""COMPUTED_VALUE"""),574141)</f>
        <v>574141</v>
      </c>
      <c r="D263" s="1" t="str">
        <f ca="1">IFERROR(__xludf.DUMMYFUNCTION("""COMPUTED_VALUE"""),"Female")</f>
        <v>Female</v>
      </c>
      <c r="E263" s="1" t="str">
        <f ca="1">IFERROR(__xludf.DUMMYFUNCTION("""COMPUTED_VALUE"""),"My Parents")</f>
        <v>My Parents</v>
      </c>
      <c r="F263" s="1" t="str">
        <f ca="1">IFERROR(__xludf.DUMMYFUNCTION("""COMPUTED_VALUE"""),"No I would not be pursuing Higher Education outside of India")</f>
        <v>No I would not be pursuing Higher Education outside of India</v>
      </c>
      <c r="G263" s="1" t="str">
        <f ca="1">IFERROR(__xludf.DUMMYFUNCTION("""COMPUTED_VALUE"""),"Will work for 3 years or more")</f>
        <v>Will work for 3 years or more</v>
      </c>
      <c r="H263" s="1" t="str">
        <f ca="1">IFERROR(__xludf.DUMMYFUNCTION("""COMPUTED_VALUE"""),"No")</f>
        <v>No</v>
      </c>
      <c r="I263" s="1" t="str">
        <f ca="1">IFERROR(__xludf.DUMMYFUNCTION("""COMPUTED_VALUE"""),"Will NOT work for them")</f>
        <v>Will NOT work for them</v>
      </c>
      <c r="J263" s="1">
        <f ca="1">IFERROR(__xludf.DUMMYFUNCTION("""COMPUTED_VALUE"""),5)</f>
        <v>5</v>
      </c>
      <c r="K263" s="1" t="str">
        <f ca="1">IFERROR(__xludf.DUMMYFUNCTION("""COMPUTED_VALUE"""),"Every Day Office Environment")</f>
        <v>Every Day Office Environment</v>
      </c>
      <c r="L2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3" s="1" t="str">
        <f ca="1">IFERROR(__xludf.DUMMYFUNCTION("""COMPUTED_VALUE"""),"Instructor or Expert Learning Programs, Learning by observing others")</f>
        <v>Instructor or Expert Learning Programs, Learning by observing others</v>
      </c>
      <c r="N263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263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" s="1" t="str">
        <f ca="1">IFERROR(__xludf.DUMMYFUNCTION("""COMPUTED_VALUE"""),"Work with 2 to 3 people in my team")</f>
        <v>Work with 2 to 3 people in my team</v>
      </c>
      <c r="Q263" s="1"/>
      <c r="R263" s="1"/>
      <c r="S263" s="1"/>
    </row>
    <row r="264" spans="1:19" ht="12.5" x14ac:dyDescent="0.25">
      <c r="A264" s="2">
        <f ca="1">IFERROR(__xludf.DUMMYFUNCTION("""COMPUTED_VALUE"""),44918.7964545949)</f>
        <v>44918.7964545949</v>
      </c>
      <c r="B264" s="1" t="str">
        <f ca="1">IFERROR(__xludf.DUMMYFUNCTION("""COMPUTED_VALUE"""),"India")</f>
        <v>India</v>
      </c>
      <c r="C264" s="1">
        <f ca="1">IFERROR(__xludf.DUMMYFUNCTION("""COMPUTED_VALUE"""),385001)</f>
        <v>385001</v>
      </c>
      <c r="D264" s="1" t="str">
        <f ca="1">IFERROR(__xludf.DUMMYFUNCTION("""COMPUTED_VALUE"""),"Male")</f>
        <v>Male</v>
      </c>
      <c r="E264" s="1" t="str">
        <f ca="1">IFERROR(__xludf.DUMMYFUNCTION("""COMPUTED_VALUE"""),"My Parents")</f>
        <v>My Parents</v>
      </c>
      <c r="F264" s="1" t="str">
        <f ca="1">IFERROR(__xludf.DUMMYFUNCTION("""COMPUTED_VALUE"""),"Yes, I will earn and do that")</f>
        <v>Yes, I will earn and do that</v>
      </c>
      <c r="G264" s="1" t="str">
        <f ca="1">IFERROR(__xludf.DUMMYFUNCTION("""COMPUTED_VALUE"""),"Will work for 3 years or more")</f>
        <v>Will work for 3 years or more</v>
      </c>
      <c r="H264" s="1" t="str">
        <f ca="1">IFERROR(__xludf.DUMMYFUNCTION("""COMPUTED_VALUE"""),"Yes")</f>
        <v>Yes</v>
      </c>
      <c r="I264" s="1" t="str">
        <f ca="1">IFERROR(__xludf.DUMMYFUNCTION("""COMPUTED_VALUE"""),"Will work for them")</f>
        <v>Will work for them</v>
      </c>
      <c r="J264" s="1">
        <f ca="1">IFERROR(__xludf.DUMMYFUNCTION("""COMPUTED_VALUE"""),4)</f>
        <v>4</v>
      </c>
      <c r="K264" s="1" t="str">
        <f ca="1">IFERROR(__xludf.DUMMYFUNCTION("""COMPUTED_VALUE"""),"Every Day Office Environment")</f>
        <v>Every Day Office Environment</v>
      </c>
      <c r="L2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64" s="1" t="str">
        <f ca="1">IFERROR(__xludf.DUMMYFUNCTION("""COMPUTED_VALUE"""),"Manage and drive End-to-End Projects or Products, Work as a freelancer and do my thing my way, Become a content Creator in some platform")</f>
        <v>Manage and drive End-to-End Projects or Products, Work as a freelancer and do my thing my way, Become a content Creator in some platform</v>
      </c>
      <c r="O264" s="1" t="str">
        <f ca="1">IFERROR(__xludf.DUMMYFUNCTION("""COMPUTED_VALUE"""),"Manager who sets goal and helps me achieve it")</f>
        <v>Manager who sets goal and helps me achieve it</v>
      </c>
      <c r="P26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64" s="1"/>
      <c r="R264" s="1"/>
      <c r="S264" s="1"/>
    </row>
    <row r="265" spans="1:19" ht="12.5" x14ac:dyDescent="0.25">
      <c r="A265" s="2">
        <f ca="1">IFERROR(__xludf.DUMMYFUNCTION("""COMPUTED_VALUE"""),44918.7971707986)</f>
        <v>44918.7971707986</v>
      </c>
      <c r="B265" s="1" t="str">
        <f ca="1">IFERROR(__xludf.DUMMYFUNCTION("""COMPUTED_VALUE"""),"India")</f>
        <v>India</v>
      </c>
      <c r="C265" s="1">
        <f ca="1">IFERROR(__xludf.DUMMYFUNCTION("""COMPUTED_VALUE"""),576221)</f>
        <v>576221</v>
      </c>
      <c r="D265" s="1" t="str">
        <f ca="1">IFERROR(__xludf.DUMMYFUNCTION("""COMPUTED_VALUE"""),"Female")</f>
        <v>Female</v>
      </c>
      <c r="E265" s="1" t="str">
        <f ca="1">IFERROR(__xludf.DUMMYFUNCTION("""COMPUTED_VALUE"""),"People who have changed the world for better")</f>
        <v>People who have changed the world for better</v>
      </c>
      <c r="F265" s="1" t="str">
        <f ca="1">IFERROR(__xludf.DUMMYFUNCTION("""COMPUTED_VALUE"""),"No I would not be pursuing Higher Education outside of India")</f>
        <v>No I would not be pursuing Higher Education outside of India</v>
      </c>
      <c r="G265" s="1" t="str">
        <f ca="1">IFERROR(__xludf.DUMMYFUNCTION("""COMPUTED_VALUE"""),"This will be hard to do, but if it is the right company I would try")</f>
        <v>This will be hard to do, but if it is the right company I would try</v>
      </c>
      <c r="H265" s="1" t="str">
        <f ca="1">IFERROR(__xludf.DUMMYFUNCTION("""COMPUTED_VALUE"""),"No")</f>
        <v>No</v>
      </c>
      <c r="I265" s="1" t="str">
        <f ca="1">IFERROR(__xludf.DUMMYFUNCTION("""COMPUTED_VALUE"""),"Will NOT work for them")</f>
        <v>Will NOT work for them</v>
      </c>
      <c r="J265" s="1">
        <f ca="1">IFERROR(__xludf.DUMMYFUNCTION("""COMPUTED_VALUE"""),3)</f>
        <v>3</v>
      </c>
      <c r="K265" s="1" t="str">
        <f ca="1">IFERROR(__xludf.DUMMYFUNCTION("""COMPUTED_VALUE"""),"Every Day Office Environment")</f>
        <v>Every Day Office Environment</v>
      </c>
      <c r="L265" s="1" t="str">
        <f ca="1">IFERROR(__xludf.DUMMYFUNCTION("""COMPUTED_VALUE"""),"Employer who appreciates learning and enables that environment")</f>
        <v>Employer who appreciates learning and enables that environment</v>
      </c>
      <c r="M265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65" s="1" t="str">
        <f ca="1">IFERROR(__xludf.DUMMYFUNCTION("""COMPUTED_VALUE"""),"Design and Creative strategy in any company, Teaching in any of the institutes/online or Offline, Build and develop a Team")</f>
        <v>Design and Creative strategy in any company, Teaching in any of the institutes/online or Offline, Build and develop a Team</v>
      </c>
      <c r="O265" s="1" t="str">
        <f ca="1">IFERROR(__xludf.DUMMYFUNCTION("""COMPUTED_VALUE"""),"Manager who explains what is expected, sets a goal and helps achieve it")</f>
        <v>Manager who explains what is expected, sets a goal and helps achieve it</v>
      </c>
      <c r="P265" s="1" t="str">
        <f ca="1">IFERROR(__xludf.DUMMYFUNCTION("""COMPUTED_VALUE"""),"Work with 7 to 10 or more people in my team")</f>
        <v>Work with 7 to 10 or more people in my team</v>
      </c>
      <c r="Q265" s="1"/>
      <c r="R265" s="1"/>
      <c r="S265" s="1"/>
    </row>
    <row r="266" spans="1:19" ht="12.5" x14ac:dyDescent="0.25">
      <c r="A266" s="2">
        <f ca="1">IFERROR(__xludf.DUMMYFUNCTION("""COMPUTED_VALUE"""),44918.7983800115)</f>
        <v>44918.798380011503</v>
      </c>
      <c r="B266" s="1" t="str">
        <f ca="1">IFERROR(__xludf.DUMMYFUNCTION("""COMPUTED_VALUE"""),"India")</f>
        <v>India</v>
      </c>
      <c r="C266" s="1">
        <f ca="1">IFERROR(__xludf.DUMMYFUNCTION("""COMPUTED_VALUE"""),385001)</f>
        <v>385001</v>
      </c>
      <c r="D266" s="1" t="str">
        <f ca="1">IFERROR(__xludf.DUMMYFUNCTION("""COMPUTED_VALUE"""),"Male")</f>
        <v>Male</v>
      </c>
      <c r="E266" s="1" t="str">
        <f ca="1">IFERROR(__xludf.DUMMYFUNCTION("""COMPUTED_VALUE"""),"People who have changed the world for better")</f>
        <v>People who have changed the world for better</v>
      </c>
      <c r="F266" s="1" t="str">
        <f ca="1">IFERROR(__xludf.DUMMYFUNCTION("""COMPUTED_VALUE"""),"Yes, I will earn and do that")</f>
        <v>Yes, I will earn and do that</v>
      </c>
      <c r="G266" s="1" t="str">
        <f ca="1">IFERROR(__xludf.DUMMYFUNCTION("""COMPUTED_VALUE"""),"This will be hard to do, but if it is the right company I would try")</f>
        <v>This will be hard to do, but if it is the right company I would try</v>
      </c>
      <c r="H266" s="1" t="str">
        <f ca="1">IFERROR(__xludf.DUMMYFUNCTION("""COMPUTED_VALUE"""),"No")</f>
        <v>No</v>
      </c>
      <c r="I266" s="1" t="str">
        <f ca="1">IFERROR(__xludf.DUMMYFUNCTION("""COMPUTED_VALUE"""),"Will NOT work for them")</f>
        <v>Will NOT work for them</v>
      </c>
      <c r="J266" s="1">
        <f ca="1">IFERROR(__xludf.DUMMYFUNCTION("""COMPUTED_VALUE"""),10)</f>
        <v>10</v>
      </c>
      <c r="K266" s="1" t="str">
        <f ca="1">IFERROR(__xludf.DUMMYFUNCTION("""COMPUTED_VALUE"""),"Every Day Office Environment")</f>
        <v>Every Day Office Environment</v>
      </c>
      <c r="L2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6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66" s="1" t="str">
        <f ca="1">IFERROR(__xludf.DUMMYFUNCTION("""COMPUTED_VALUE"""),"Business Operations in any organization, Look deeply into Data and generate insights, Work in a BPO setup for some well known client")</f>
        <v>Business Operations in any organization, Look deeply into Data and generate insights, Work in a BPO setup for some well known client</v>
      </c>
      <c r="O266" s="1" t="str">
        <f ca="1">IFERROR(__xludf.DUMMYFUNCTION("""COMPUTED_VALUE"""),"Manager who explains what is expected, sets a goal and helps achieve it")</f>
        <v>Manager who explains what is expected, sets a goal and helps achieve it</v>
      </c>
      <c r="P266" s="1" t="str">
        <f ca="1">IFERROR(__xludf.DUMMYFUNCTION("""COMPUTED_VALUE"""),"Work with 2 to 3 people in my team")</f>
        <v>Work with 2 to 3 people in my team</v>
      </c>
      <c r="Q266" s="1"/>
      <c r="R266" s="1"/>
      <c r="S266" s="1"/>
    </row>
    <row r="267" spans="1:19" ht="12.5" x14ac:dyDescent="0.25">
      <c r="A267" s="2">
        <f ca="1">IFERROR(__xludf.DUMMYFUNCTION("""COMPUTED_VALUE"""),44918.7990545833)</f>
        <v>44918.799054583302</v>
      </c>
      <c r="B267" s="1" t="str">
        <f ca="1">IFERROR(__xludf.DUMMYFUNCTION("""COMPUTED_VALUE"""),"India")</f>
        <v>India</v>
      </c>
      <c r="C267" s="1">
        <f ca="1">IFERROR(__xludf.DUMMYFUNCTION("""COMPUTED_VALUE"""),574227)</f>
        <v>574227</v>
      </c>
      <c r="D267" s="1" t="str">
        <f ca="1">IFERROR(__xludf.DUMMYFUNCTION("""COMPUTED_VALUE"""),"Male")</f>
        <v>Male</v>
      </c>
      <c r="E267" s="1" t="str">
        <f ca="1">IFERROR(__xludf.DUMMYFUNCTION("""COMPUTED_VALUE"""),"My Parents")</f>
        <v>My Parents</v>
      </c>
      <c r="F267" s="1" t="str">
        <f ca="1">IFERROR(__xludf.DUMMYFUNCTION("""COMPUTED_VALUE"""),"No, But if someone could bare the cost I will")</f>
        <v>No, But if someone could bare the cost I will</v>
      </c>
      <c r="G267" s="1" t="str">
        <f ca="1">IFERROR(__xludf.DUMMYFUNCTION("""COMPUTED_VALUE"""),"This will be hard to do, but if it is the right company I would try")</f>
        <v>This will be hard to do, but if it is the right company I would try</v>
      </c>
      <c r="H267" s="1" t="str">
        <f ca="1">IFERROR(__xludf.DUMMYFUNCTION("""COMPUTED_VALUE"""),"Yes")</f>
        <v>Yes</v>
      </c>
      <c r="I267" s="1" t="str">
        <f ca="1">IFERROR(__xludf.DUMMYFUNCTION("""COMPUTED_VALUE"""),"Will NOT work for them")</f>
        <v>Will NOT work for them</v>
      </c>
      <c r="J267" s="1">
        <f ca="1">IFERROR(__xludf.DUMMYFUNCTION("""COMPUTED_VALUE"""),2)</f>
        <v>2</v>
      </c>
      <c r="K267" s="1" t="str">
        <f ca="1">IFERROR(__xludf.DUMMYFUNCTION("""COMPUTED_VALUE"""),"Fully Remote with Options to travel as and when needed")</f>
        <v>Fully Remote with Options to travel as and when needed</v>
      </c>
      <c r="L2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67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267" s="1" t="str">
        <f ca="1">IFERROR(__xludf.DUMMYFUNCTION("""COMPUTED_VALUE"""),"Manager who sets goal and helps me achieve it")</f>
        <v>Manager who sets goal and helps me achieve it</v>
      </c>
      <c r="P26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67" s="1"/>
      <c r="R267" s="1"/>
      <c r="S267" s="1"/>
    </row>
    <row r="268" spans="1:19" ht="12.5" x14ac:dyDescent="0.25">
      <c r="A268" s="2">
        <f ca="1">IFERROR(__xludf.DUMMYFUNCTION("""COMPUTED_VALUE"""),44918.801559537)</f>
        <v>44918.801559537002</v>
      </c>
      <c r="B268" s="1" t="str">
        <f ca="1">IFERROR(__xludf.DUMMYFUNCTION("""COMPUTED_VALUE"""),"India")</f>
        <v>India</v>
      </c>
      <c r="C268" s="1">
        <f ca="1">IFERROR(__xludf.DUMMYFUNCTION("""COMPUTED_VALUE"""),385001)</f>
        <v>385001</v>
      </c>
      <c r="D268" s="1" t="str">
        <f ca="1">IFERROR(__xludf.DUMMYFUNCTION("""COMPUTED_VALUE"""),"Female")</f>
        <v>Female</v>
      </c>
      <c r="E268" s="1" t="str">
        <f ca="1">IFERROR(__xludf.DUMMYFUNCTION("""COMPUTED_VALUE"""),"My Parents")</f>
        <v>My Parents</v>
      </c>
      <c r="F268" s="1" t="str">
        <f ca="1">IFERROR(__xludf.DUMMYFUNCTION("""COMPUTED_VALUE"""),"Yes, I will earn and do that")</f>
        <v>Yes, I will earn and do that</v>
      </c>
      <c r="G268" s="1" t="str">
        <f ca="1">IFERROR(__xludf.DUMMYFUNCTION("""COMPUTED_VALUE"""),"This will be hard to do, but if it is the right company I would try")</f>
        <v>This will be hard to do, but if it is the right company I would try</v>
      </c>
      <c r="H268" s="1" t="str">
        <f ca="1">IFERROR(__xludf.DUMMYFUNCTION("""COMPUTED_VALUE"""),"No")</f>
        <v>No</v>
      </c>
      <c r="I268" s="1" t="str">
        <f ca="1">IFERROR(__xludf.DUMMYFUNCTION("""COMPUTED_VALUE"""),"Will NOT work for them")</f>
        <v>Will NOT work for them</v>
      </c>
      <c r="J268" s="1">
        <f ca="1">IFERROR(__xludf.DUMMYFUNCTION("""COMPUTED_VALUE"""),5)</f>
        <v>5</v>
      </c>
      <c r="K268" s="1" t="str">
        <f ca="1">IFERROR(__xludf.DUMMYFUNCTION("""COMPUTED_VALUE"""),"Fully Remote with Options to travel as and when needed")</f>
        <v>Fully Remote with Options to travel as and when needed</v>
      </c>
      <c r="L2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8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68" s="1" t="str">
        <f ca="1">IFERROR(__xludf.DUMMYFUNCTION("""COMPUTED_VALUE"""),"Teaching in any of the institutes/online or Offline, Build and develop a Team, Become a content Creator in some platform")</f>
        <v>Teaching in any of the institutes/online or Offline, Build and develop a Team, Become a content Creator in some platform</v>
      </c>
      <c r="O268" s="1" t="str">
        <f ca="1">IFERROR(__xludf.DUMMYFUNCTION("""COMPUTED_VALUE"""),"Manager who explains what is expected, sets a goal and helps achieve it")</f>
        <v>Manager who explains what is expected, sets a goal and helps achieve it</v>
      </c>
      <c r="P268" s="1" t="str">
        <f ca="1">IFERROR(__xludf.DUMMYFUNCTION("""COMPUTED_VALUE"""),"Work with 5 to 6 people in my team")</f>
        <v>Work with 5 to 6 people in my team</v>
      </c>
      <c r="Q268" s="1"/>
      <c r="R268" s="1"/>
      <c r="S268" s="1"/>
    </row>
    <row r="269" spans="1:19" ht="12.5" x14ac:dyDescent="0.25">
      <c r="A269" s="2">
        <f ca="1">IFERROR(__xludf.DUMMYFUNCTION("""COMPUTED_VALUE"""),44918.8042593981)</f>
        <v>44918.804259398101</v>
      </c>
      <c r="B269" s="1" t="str">
        <f ca="1">IFERROR(__xludf.DUMMYFUNCTION("""COMPUTED_VALUE"""),"India")</f>
        <v>India</v>
      </c>
      <c r="C269" s="1">
        <f ca="1">IFERROR(__xludf.DUMMYFUNCTION("""COMPUTED_VALUE"""),576106)</f>
        <v>576106</v>
      </c>
      <c r="D269" s="1" t="str">
        <f ca="1">IFERROR(__xludf.DUMMYFUNCTION("""COMPUTED_VALUE"""),"Male")</f>
        <v>Male</v>
      </c>
      <c r="E269" s="1" t="str">
        <f ca="1">IFERROR(__xludf.DUMMYFUNCTION("""COMPUTED_VALUE"""),"My Parents")</f>
        <v>My Parents</v>
      </c>
      <c r="F269" s="1" t="str">
        <f ca="1">IFERROR(__xludf.DUMMYFUNCTION("""COMPUTED_VALUE"""),"No I would not be pursuing Higher Education outside of India")</f>
        <v>No I would not be pursuing Higher Education outside of India</v>
      </c>
      <c r="G269" s="1" t="str">
        <f ca="1">IFERROR(__xludf.DUMMYFUNCTION("""COMPUTED_VALUE"""),"Will work for 3 years or more")</f>
        <v>Will work for 3 years or more</v>
      </c>
      <c r="H269" s="1" t="str">
        <f ca="1">IFERROR(__xludf.DUMMYFUNCTION("""COMPUTED_VALUE"""),"No")</f>
        <v>No</v>
      </c>
      <c r="I269" s="1" t="str">
        <f ca="1">IFERROR(__xludf.DUMMYFUNCTION("""COMPUTED_VALUE"""),"Will NOT work for them")</f>
        <v>Will NOT work for them</v>
      </c>
      <c r="J269" s="1">
        <f ca="1">IFERROR(__xludf.DUMMYFUNCTION("""COMPUTED_VALUE"""),1)</f>
        <v>1</v>
      </c>
      <c r="K269" s="1" t="str">
        <f ca="1">IFERROR(__xludf.DUMMYFUNCTION("""COMPUTED_VALUE"""),"Fully Remote with Options to travel as and when needed")</f>
        <v>Fully Remote with Options to travel as and when needed</v>
      </c>
      <c r="L269" s="1" t="str">
        <f ca="1">IFERROR(__xludf.DUMMYFUNCTION("""COMPUTED_VALUE"""),"Employer who appreciates learning and enables that environment")</f>
        <v>Employer who appreciates learning and enables that environment</v>
      </c>
      <c r="M269" s="1" t="str">
        <f ca="1">IFERROR(__xludf.DUMMYFUNCTION("""COMPUTED_VALUE"""),"Self Paced Learning Portals, Learning by observing others")</f>
        <v>Self Paced Learning Portals, Learning by observing others</v>
      </c>
      <c r="N269" s="1" t="str">
        <f ca="1">IFERROR(__xludf.DUMMYFUNCTION("""COMPUTED_VALUE"""),"Teaching in any of the institutes/online or Offline, Manage and drive End-to-End Projects or Products, Build and develop a Team")</f>
        <v>Teaching in any of the institutes/online or Offline, Manage and drive End-to-End Projects or Products, Build and develop a Team</v>
      </c>
      <c r="O269" s="1" t="str">
        <f ca="1">IFERROR(__xludf.DUMMYFUNCTION("""COMPUTED_VALUE"""),"Manager who sets goal and helps me achieve it")</f>
        <v>Manager who sets goal and helps me achieve it</v>
      </c>
      <c r="P269" s="1" t="str">
        <f ca="1">IFERROR(__xludf.DUMMYFUNCTION("""COMPUTED_VALUE"""),"Work with more than 10 people in my team")</f>
        <v>Work with more than 10 people in my team</v>
      </c>
      <c r="Q269" s="1"/>
      <c r="R269" s="1"/>
      <c r="S269" s="1"/>
    </row>
    <row r="270" spans="1:19" ht="12.5" x14ac:dyDescent="0.25">
      <c r="A270" s="2">
        <f ca="1">IFERROR(__xludf.DUMMYFUNCTION("""COMPUTED_VALUE"""),44918.8044140277)</f>
        <v>44918.804414027698</v>
      </c>
      <c r="B270" s="1" t="str">
        <f ca="1">IFERROR(__xludf.DUMMYFUNCTION("""COMPUTED_VALUE"""),"United Arab Emirates")</f>
        <v>United Arab Emirates</v>
      </c>
      <c r="C270" s="1">
        <f ca="1">IFERROR(__xludf.DUMMYFUNCTION("""COMPUTED_VALUE"""),420)</f>
        <v>420</v>
      </c>
      <c r="D270" s="1" t="str">
        <f ca="1">IFERROR(__xludf.DUMMYFUNCTION("""COMPUTED_VALUE"""),"Female")</f>
        <v>Female</v>
      </c>
      <c r="E270" s="1" t="str">
        <f ca="1">IFERROR(__xludf.DUMMYFUNCTION("""COMPUTED_VALUE"""),"People who have changed the world for better")</f>
        <v>People who have changed the world for better</v>
      </c>
      <c r="F270" s="1" t="str">
        <f ca="1">IFERROR(__xludf.DUMMYFUNCTION("""COMPUTED_VALUE"""),"No I would not be pursuing Higher Education outside of India")</f>
        <v>No I would not be pursuing Higher Education outside of India</v>
      </c>
      <c r="G270" s="1" t="str">
        <f ca="1">IFERROR(__xludf.DUMMYFUNCTION("""COMPUTED_VALUE"""),"No way, 3 years with one employer is crazy")</f>
        <v>No way, 3 years with one employer is crazy</v>
      </c>
      <c r="H270" s="1" t="str">
        <f ca="1">IFERROR(__xludf.DUMMYFUNCTION("""COMPUTED_VALUE"""),"No")</f>
        <v>No</v>
      </c>
      <c r="I270" s="1" t="str">
        <f ca="1">IFERROR(__xludf.DUMMYFUNCTION("""COMPUTED_VALUE"""),"Will NOT work for them")</f>
        <v>Will NOT work for them</v>
      </c>
      <c r="J270" s="1">
        <f ca="1">IFERROR(__xludf.DUMMYFUNCTION("""COMPUTED_VALUE"""),1)</f>
        <v>1</v>
      </c>
      <c r="K270" s="1" t="str">
        <f ca="1">IFERROR(__xludf.DUMMYFUNCTION("""COMPUTED_VALUE"""),"Fully Remote with No option to visit offices")</f>
        <v>Fully Remote with No option to visit offices</v>
      </c>
      <c r="L270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70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70" s="1" t="str">
        <f ca="1">IFERROR(__xludf.DUMMYFUNCTION("""COMPUTED_VALUE"""),"Work in a BPO setup for some well known client, Work as a freelancer and do my thing my way, Become a content Creator in some platform")</f>
        <v>Work in a BPO setup for some well known client, Work as a freelancer and do my thing my way, Become a content Creator in some platform</v>
      </c>
      <c r="O270" s="1" t="str">
        <f ca="1">IFERROR(__xludf.DUMMYFUNCTION("""COMPUTED_VALUE"""),"Manager who sets unrealistic targets")</f>
        <v>Manager who sets unrealistic targets</v>
      </c>
      <c r="P270" s="1" t="str">
        <f ca="1">IFERROR(__xludf.DUMMYFUNCTION("""COMPUTED_VALUE"""),"Work alone")</f>
        <v>Work alone</v>
      </c>
      <c r="Q270" s="1"/>
      <c r="R270" s="1"/>
      <c r="S270" s="1"/>
    </row>
    <row r="271" spans="1:19" ht="12.5" x14ac:dyDescent="0.25">
      <c r="A271" s="2">
        <f ca="1">IFERROR(__xludf.DUMMYFUNCTION("""COMPUTED_VALUE"""),44918.8096292361)</f>
        <v>44918.809629236101</v>
      </c>
      <c r="B271" s="1" t="str">
        <f ca="1">IFERROR(__xludf.DUMMYFUNCTION("""COMPUTED_VALUE"""),"India")</f>
        <v>India</v>
      </c>
      <c r="C271" s="1">
        <f ca="1">IFERROR(__xludf.DUMMYFUNCTION("""COMPUTED_VALUE"""),576213)</f>
        <v>576213</v>
      </c>
      <c r="D271" s="1" t="str">
        <f ca="1">IFERROR(__xludf.DUMMYFUNCTION("""COMPUTED_VALUE"""),"Female")</f>
        <v>Female</v>
      </c>
      <c r="E271" s="1" t="str">
        <f ca="1">IFERROR(__xludf.DUMMYFUNCTION("""COMPUTED_VALUE"""),"People from my circle, but not family members")</f>
        <v>People from my circle, but not family members</v>
      </c>
      <c r="F271" s="1" t="str">
        <f ca="1">IFERROR(__xludf.DUMMYFUNCTION("""COMPUTED_VALUE"""),"No I would not be pursuing Higher Education outside of India")</f>
        <v>No I would not be pursuing Higher Education outside of India</v>
      </c>
      <c r="G271" s="1" t="str">
        <f ca="1">IFERROR(__xludf.DUMMYFUNCTION("""COMPUTED_VALUE"""),"This will be hard to do, but if it is the right company I would try")</f>
        <v>This will be hard to do, but if it is the right company I would try</v>
      </c>
      <c r="H271" s="1" t="str">
        <f ca="1">IFERROR(__xludf.DUMMYFUNCTION("""COMPUTED_VALUE"""),"Yes")</f>
        <v>Yes</v>
      </c>
      <c r="I271" s="1" t="str">
        <f ca="1">IFERROR(__xludf.DUMMYFUNCTION("""COMPUTED_VALUE"""),"Will NOT work for them")</f>
        <v>Will NOT work for them</v>
      </c>
      <c r="J271" s="1">
        <f ca="1">IFERROR(__xludf.DUMMYFUNCTION("""COMPUTED_VALUE"""),8)</f>
        <v>8</v>
      </c>
      <c r="K271" s="1" t="str">
        <f ca="1">IFERROR(__xludf.DUMMYFUNCTION("""COMPUTED_VALUE"""),"Hybrid Working Environment with less than 10 days a month at office")</f>
        <v>Hybrid Working Environment with less than 10 days a month at office</v>
      </c>
      <c r="L271" s="1" t="str">
        <f ca="1">IFERROR(__xludf.DUMMYFUNCTION("""COMPUTED_VALUE"""),"Employer who appreciates learning and enables that environment")</f>
        <v>Employer who appreciates learning and enables that environment</v>
      </c>
      <c r="M27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71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271" s="1" t="str">
        <f ca="1">IFERROR(__xludf.DUMMYFUNCTION("""COMPUTED_VALUE"""),"Manager who explains what is expected, sets a goal and helps achieve it")</f>
        <v>Manager who explains what is expected, sets a goal and helps achieve it</v>
      </c>
      <c r="P271" s="1" t="str">
        <f ca="1">IFERROR(__xludf.DUMMYFUNCTION("""COMPUTED_VALUE"""),"Work with 7 to 10 or more people in my team")</f>
        <v>Work with 7 to 10 or more people in my team</v>
      </c>
      <c r="Q271" s="1"/>
      <c r="R271" s="1"/>
      <c r="S271" s="1"/>
    </row>
    <row r="272" spans="1:19" ht="12.5" x14ac:dyDescent="0.25">
      <c r="A272" s="2">
        <f ca="1">IFERROR(__xludf.DUMMYFUNCTION("""COMPUTED_VALUE"""),44918.8157517013)</f>
        <v>44918.815751701302</v>
      </c>
      <c r="B272" s="1" t="str">
        <f ca="1">IFERROR(__xludf.DUMMYFUNCTION("""COMPUTED_VALUE"""),"India")</f>
        <v>India</v>
      </c>
      <c r="C272" s="1">
        <f ca="1">IFERROR(__xludf.DUMMYFUNCTION("""COMPUTED_VALUE"""),576210)</f>
        <v>576210</v>
      </c>
      <c r="D272" s="1" t="str">
        <f ca="1">IFERROR(__xludf.DUMMYFUNCTION("""COMPUTED_VALUE"""),"Female")</f>
        <v>Female</v>
      </c>
      <c r="E272" s="1" t="str">
        <f ca="1">IFERROR(__xludf.DUMMYFUNCTION("""COMPUTED_VALUE"""),"My Parents")</f>
        <v>My Parents</v>
      </c>
      <c r="F272" s="1" t="str">
        <f ca="1">IFERROR(__xludf.DUMMYFUNCTION("""COMPUTED_VALUE"""),"Yes, I will earn and do that")</f>
        <v>Yes, I will earn and do that</v>
      </c>
      <c r="G272" s="1" t="str">
        <f ca="1">IFERROR(__xludf.DUMMYFUNCTION("""COMPUTED_VALUE"""),"Will work for 3 years or more")</f>
        <v>Will work for 3 years or more</v>
      </c>
      <c r="H272" s="1" t="str">
        <f ca="1">IFERROR(__xludf.DUMMYFUNCTION("""COMPUTED_VALUE"""),"No")</f>
        <v>No</v>
      </c>
      <c r="I272" s="1" t="str">
        <f ca="1">IFERROR(__xludf.DUMMYFUNCTION("""COMPUTED_VALUE"""),"Will NOT work for them")</f>
        <v>Will NOT work for them</v>
      </c>
      <c r="J272" s="1">
        <f ca="1">IFERROR(__xludf.DUMMYFUNCTION("""COMPUTED_VALUE"""),5)</f>
        <v>5</v>
      </c>
      <c r="K272" s="1" t="str">
        <f ca="1">IFERROR(__xludf.DUMMYFUNCTION("""COMPUTED_VALUE"""),"Every Day Office Environment")</f>
        <v>Every Day Office Environment</v>
      </c>
      <c r="L272" s="1" t="str">
        <f ca="1">IFERROR(__xludf.DUMMYFUNCTION("""COMPUTED_VALUE"""),"Employer who appreciates learning and enables that environment")</f>
        <v>Employer who appreciates learning and enables that environment</v>
      </c>
      <c r="M272" s="1" t="str">
        <f ca="1">IFERROR(__xludf.DUMMYFUNCTION("""COMPUTED_VALUE"""),"Self Paced Learning Portals, Instructor or Expert Learning Programs")</f>
        <v>Self Paced Learning Portals, Instructor or Expert Learning Programs</v>
      </c>
      <c r="N272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272" s="1" t="str">
        <f ca="1">IFERROR(__xludf.DUMMYFUNCTION("""COMPUTED_VALUE"""),"Manager who clearly describes what she/he needs")</f>
        <v>Manager who clearly describes what she/he needs</v>
      </c>
      <c r="P272" s="1" t="str">
        <f ca="1">IFERROR(__xludf.DUMMYFUNCTION("""COMPUTED_VALUE"""),"Work with more than 10 people in my team")</f>
        <v>Work with more than 10 people in my team</v>
      </c>
      <c r="Q272" s="1"/>
      <c r="R272" s="1"/>
      <c r="S272" s="1"/>
    </row>
    <row r="273" spans="1:19" ht="12.5" x14ac:dyDescent="0.25">
      <c r="A273" s="2">
        <f ca="1">IFERROR(__xludf.DUMMYFUNCTION("""COMPUTED_VALUE"""),44918.8177486921)</f>
        <v>44918.817748692098</v>
      </c>
      <c r="B273" s="1" t="str">
        <f ca="1">IFERROR(__xludf.DUMMYFUNCTION("""COMPUTED_VALUE"""),"India")</f>
        <v>India</v>
      </c>
      <c r="C273" s="1">
        <f ca="1">IFERROR(__xludf.DUMMYFUNCTION("""COMPUTED_VALUE"""),385001)</f>
        <v>385001</v>
      </c>
      <c r="D273" s="1" t="str">
        <f ca="1">IFERROR(__xludf.DUMMYFUNCTION("""COMPUTED_VALUE"""),"Female")</f>
        <v>Female</v>
      </c>
      <c r="E273" s="1" t="str">
        <f ca="1">IFERROR(__xludf.DUMMYFUNCTION("""COMPUTED_VALUE"""),"My Parents")</f>
        <v>My Parents</v>
      </c>
      <c r="F273" s="1" t="str">
        <f ca="1">IFERROR(__xludf.DUMMYFUNCTION("""COMPUTED_VALUE"""),"No I would not be pursuing Higher Education outside of India")</f>
        <v>No I would not be pursuing Higher Education outside of India</v>
      </c>
      <c r="G273" s="1" t="str">
        <f ca="1">IFERROR(__xludf.DUMMYFUNCTION("""COMPUTED_VALUE"""),"This will be hard to do, but if it is the right company I would try")</f>
        <v>This will be hard to do, but if it is the right company I would try</v>
      </c>
      <c r="H273" s="1" t="str">
        <f ca="1">IFERROR(__xludf.DUMMYFUNCTION("""COMPUTED_VALUE"""),"No")</f>
        <v>No</v>
      </c>
      <c r="I273" s="1" t="str">
        <f ca="1">IFERROR(__xludf.DUMMYFUNCTION("""COMPUTED_VALUE"""),"Will NOT work for them")</f>
        <v>Will NOT work for them</v>
      </c>
      <c r="J273" s="1">
        <f ca="1">IFERROR(__xludf.DUMMYFUNCTION("""COMPUTED_VALUE"""),3)</f>
        <v>3</v>
      </c>
      <c r="K273" s="1" t="str">
        <f ca="1">IFERROR(__xludf.DUMMYFUNCTION("""COMPUTED_VALUE"""),"Every Day Office Environment")</f>
        <v>Every Day Office Environment</v>
      </c>
      <c r="L273" s="1" t="str">
        <f ca="1">IFERROR(__xludf.DUMMYFUNCTION("""COMPUTED_VALUE"""),"Employer who appreciates learning and enables that environment")</f>
        <v>Employer who appreciates learning and enables that environment</v>
      </c>
      <c r="M273" s="1" t="str">
        <f ca="1">IFERROR(__xludf.DUMMYFUNCTION("""COMPUTED_VALUE"""),"Self Paced Learning Portals, Learning by observing others")</f>
        <v>Self Paced Learning Portals, Learning by observing others</v>
      </c>
      <c r="N273" s="1" t="str">
        <f ca="1">IFERROR(__xludf.DUMMYFUNCTION("""COMPUTED_VALUE"""),"Business Operations in any organization, Work in a BPO setup for some well known client, Become a content Creator in some platform")</f>
        <v>Business Operations in any organization, Work in a BPO setup for some well known client, Become a content Creator in some platform</v>
      </c>
      <c r="O273" s="1" t="str">
        <f ca="1">IFERROR(__xludf.DUMMYFUNCTION("""COMPUTED_VALUE"""),"Manager who clearly describes what she/he needs")</f>
        <v>Manager who clearly describes what she/he needs</v>
      </c>
      <c r="P273" s="1" t="str">
        <f ca="1">IFERROR(__xludf.DUMMYFUNCTION("""COMPUTED_VALUE"""),"Work with more than 10 people in my team")</f>
        <v>Work with more than 10 people in my team</v>
      </c>
      <c r="Q273" s="1"/>
      <c r="R273" s="1"/>
      <c r="S273" s="1"/>
    </row>
    <row r="274" spans="1:19" ht="12.5" x14ac:dyDescent="0.25">
      <c r="A274" s="2">
        <f ca="1">IFERROR(__xludf.DUMMYFUNCTION("""COMPUTED_VALUE"""),44918.8226930208)</f>
        <v>44918.822693020797</v>
      </c>
      <c r="B274" s="1" t="str">
        <f ca="1">IFERROR(__xludf.DUMMYFUNCTION("""COMPUTED_VALUE"""),"India")</f>
        <v>India</v>
      </c>
      <c r="C274" s="1">
        <f ca="1">IFERROR(__xludf.DUMMYFUNCTION("""COMPUTED_VALUE"""),385001)</f>
        <v>385001</v>
      </c>
      <c r="D274" s="1" t="str">
        <f ca="1">IFERROR(__xludf.DUMMYFUNCTION("""COMPUTED_VALUE"""),"Female")</f>
        <v>Female</v>
      </c>
      <c r="E274" s="1" t="str">
        <f ca="1">IFERROR(__xludf.DUMMYFUNCTION("""COMPUTED_VALUE"""),"My Parents")</f>
        <v>My Parents</v>
      </c>
      <c r="F274" s="1" t="str">
        <f ca="1">IFERROR(__xludf.DUMMYFUNCTION("""COMPUTED_VALUE"""),"No I would not be pursuing Higher Education outside of India")</f>
        <v>No I would not be pursuing Higher Education outside of India</v>
      </c>
      <c r="G274" s="1" t="str">
        <f ca="1">IFERROR(__xludf.DUMMYFUNCTION("""COMPUTED_VALUE"""),"This will be hard to do, but if it is the right company I would try")</f>
        <v>This will be hard to do, but if it is the right company I would try</v>
      </c>
      <c r="H274" s="1" t="str">
        <f ca="1">IFERROR(__xludf.DUMMYFUNCTION("""COMPUTED_VALUE"""),"Yes")</f>
        <v>Yes</v>
      </c>
      <c r="I274" s="1" t="str">
        <f ca="1">IFERROR(__xludf.DUMMYFUNCTION("""COMPUTED_VALUE"""),"Will work for them")</f>
        <v>Will work for them</v>
      </c>
      <c r="J274" s="1">
        <f ca="1">IFERROR(__xludf.DUMMYFUNCTION("""COMPUTED_VALUE"""),9)</f>
        <v>9</v>
      </c>
      <c r="K274" s="1" t="str">
        <f ca="1">IFERROR(__xludf.DUMMYFUNCTION("""COMPUTED_VALUE"""),"Every Day Office Environment")</f>
        <v>Every Day Office Environment</v>
      </c>
      <c r="L274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74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74" s="1" t="str">
        <f ca="1">IFERROR(__xludf.DUMMYFUNCTION("""COMPUTED_VALUE"""),"Design and Creative strategy in any company, Design and Develop amazing software, Become a content Creator in some platform")</f>
        <v>Design and Creative strategy in any company, Design and Develop amazing software, Become a content Creator in some platform</v>
      </c>
      <c r="O274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" s="1" t="str">
        <f ca="1">IFERROR(__xludf.DUMMYFUNCTION("""COMPUTED_VALUE"""),"Work with 7 to 10 or more people in my team")</f>
        <v>Work with 7 to 10 or more people in my team</v>
      </c>
      <c r="Q274" s="1"/>
      <c r="R274" s="1"/>
      <c r="S274" s="1"/>
    </row>
    <row r="275" spans="1:19" ht="12.5" x14ac:dyDescent="0.25">
      <c r="A275" s="2">
        <f ca="1">IFERROR(__xludf.DUMMYFUNCTION("""COMPUTED_VALUE"""),44918.8316146412)</f>
        <v>44918.831614641203</v>
      </c>
      <c r="B275" s="1" t="str">
        <f ca="1">IFERROR(__xludf.DUMMYFUNCTION("""COMPUTED_VALUE"""),"India")</f>
        <v>India</v>
      </c>
      <c r="C275" s="1">
        <f ca="1">IFERROR(__xludf.DUMMYFUNCTION("""COMPUTED_VALUE"""),574102)</f>
        <v>574102</v>
      </c>
      <c r="D275" s="1" t="str">
        <f ca="1">IFERROR(__xludf.DUMMYFUNCTION("""COMPUTED_VALUE"""),"Male")</f>
        <v>Male</v>
      </c>
      <c r="E275" s="1" t="str">
        <f ca="1">IFERROR(__xludf.DUMMYFUNCTION("""COMPUTED_VALUE"""),"People from my circle, but not family members")</f>
        <v>People from my circle, but not family members</v>
      </c>
      <c r="F275" s="1" t="str">
        <f ca="1">IFERROR(__xludf.DUMMYFUNCTION("""COMPUTED_VALUE"""),"Yes, I will earn and do that")</f>
        <v>Yes, I will earn and do that</v>
      </c>
      <c r="G275" s="1" t="str">
        <f ca="1">IFERROR(__xludf.DUMMYFUNCTION("""COMPUTED_VALUE"""),"Will work for 3 years or more")</f>
        <v>Will work for 3 years or more</v>
      </c>
      <c r="H275" s="1" t="str">
        <f ca="1">IFERROR(__xludf.DUMMYFUNCTION("""COMPUTED_VALUE"""),"Yes")</f>
        <v>Yes</v>
      </c>
      <c r="I275" s="1" t="str">
        <f ca="1">IFERROR(__xludf.DUMMYFUNCTION("""COMPUTED_VALUE"""),"Will NOT work for them")</f>
        <v>Will NOT work for them</v>
      </c>
      <c r="J275" s="1">
        <f ca="1">IFERROR(__xludf.DUMMYFUNCTION("""COMPUTED_VALUE"""),9)</f>
        <v>9</v>
      </c>
      <c r="K275" s="1" t="str">
        <f ca="1">IFERROR(__xludf.DUMMYFUNCTION("""COMPUTED_VALUE"""),"Fully Remote with Options to travel as and when needed")</f>
        <v>Fully Remote with Options to travel as and when needed</v>
      </c>
      <c r="L275" s="1" t="str">
        <f ca="1">IFERROR(__xludf.DUMMYFUNCTION("""COMPUTED_VALUE"""),"Employer who rewards learning and enables that environment")</f>
        <v>Employer who rewards learning and enables that environment</v>
      </c>
      <c r="M275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75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75" s="1" t="str">
        <f ca="1">IFERROR(__xludf.DUMMYFUNCTION("""COMPUTED_VALUE"""),"Manager who explains what is expected, sets a goal and helps achieve it")</f>
        <v>Manager who explains what is expected, sets a goal and helps achieve it</v>
      </c>
      <c r="P275" s="1" t="str">
        <f ca="1">IFERROR(__xludf.DUMMYFUNCTION("""COMPUTED_VALUE"""),"Work with 5 to 6 people in my team")</f>
        <v>Work with 5 to 6 people in my team</v>
      </c>
      <c r="Q275" s="1"/>
      <c r="R275" s="1"/>
      <c r="S275" s="1"/>
    </row>
    <row r="276" spans="1:19" ht="12.5" x14ac:dyDescent="0.25">
      <c r="A276" s="2">
        <f ca="1">IFERROR(__xludf.DUMMYFUNCTION("""COMPUTED_VALUE"""),44918.8425719675)</f>
        <v>44918.8425719675</v>
      </c>
      <c r="B276" s="1" t="str">
        <f ca="1">IFERROR(__xludf.DUMMYFUNCTION("""COMPUTED_VALUE"""),"India")</f>
        <v>India</v>
      </c>
      <c r="C276" s="1">
        <f ca="1">IFERROR(__xludf.DUMMYFUNCTION("""COMPUTED_VALUE"""),576221)</f>
        <v>576221</v>
      </c>
      <c r="D276" s="1" t="str">
        <f ca="1">IFERROR(__xludf.DUMMYFUNCTION("""COMPUTED_VALUE"""),"Female")</f>
        <v>Female</v>
      </c>
      <c r="E276" s="1" t="str">
        <f ca="1">IFERROR(__xludf.DUMMYFUNCTION("""COMPUTED_VALUE"""),"My Parents")</f>
        <v>My Parents</v>
      </c>
      <c r="F276" s="1" t="str">
        <f ca="1">IFERROR(__xludf.DUMMYFUNCTION("""COMPUTED_VALUE"""),"No I would not be pursuing Higher Education outside of India")</f>
        <v>No I would not be pursuing Higher Education outside of India</v>
      </c>
      <c r="G276" s="1" t="str">
        <f ca="1">IFERROR(__xludf.DUMMYFUNCTION("""COMPUTED_VALUE"""),"This will be hard to do, but if it is the right company I would try")</f>
        <v>This will be hard to do, but if it is the right company I would try</v>
      </c>
      <c r="H276" s="1" t="str">
        <f ca="1">IFERROR(__xludf.DUMMYFUNCTION("""COMPUTED_VALUE"""),"Yes")</f>
        <v>Yes</v>
      </c>
      <c r="I276" s="1" t="str">
        <f ca="1">IFERROR(__xludf.DUMMYFUNCTION("""COMPUTED_VALUE"""),"Will NOT work for them")</f>
        <v>Will NOT work for them</v>
      </c>
      <c r="J276" s="1">
        <f ca="1">IFERROR(__xludf.DUMMYFUNCTION("""COMPUTED_VALUE"""),4)</f>
        <v>4</v>
      </c>
      <c r="K276" s="1" t="str">
        <f ca="1">IFERROR(__xludf.DUMMYFUNCTION("""COMPUTED_VALUE"""),"Every Day Office Environment")</f>
        <v>Every Day Office Environment</v>
      </c>
      <c r="L276" s="1" t="str">
        <f ca="1">IFERROR(__xludf.DUMMYFUNCTION("""COMPUTED_VALUE"""),"Employer who rewards learning and enables that environment")</f>
        <v>Employer who rewards learning and enables that environment</v>
      </c>
      <c r="M276" s="1" t="str">
        <f ca="1">IFERROR(__xludf.DUMMYFUNCTION("""COMPUTED_VALUE"""),"Instructor or Expert Learning Programs, Learning by observing others")</f>
        <v>Instructor or Expert Learning Programs, Learning by observing others</v>
      </c>
      <c r="N276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276" s="1" t="str">
        <f ca="1">IFERROR(__xludf.DUMMYFUNCTION("""COMPUTED_VALUE"""),"Manager who sets goal and helps me achieve it")</f>
        <v>Manager who sets goal and helps me achieve it</v>
      </c>
      <c r="P276" s="1" t="str">
        <f ca="1">IFERROR(__xludf.DUMMYFUNCTION("""COMPUTED_VALUE"""),"Work with 5 to 6 people in my team")</f>
        <v>Work with 5 to 6 people in my team</v>
      </c>
      <c r="Q276" s="1"/>
      <c r="R276" s="1"/>
      <c r="S276" s="1"/>
    </row>
    <row r="277" spans="1:19" ht="12.5" x14ac:dyDescent="0.25">
      <c r="A277" s="2">
        <f ca="1">IFERROR(__xludf.DUMMYFUNCTION("""COMPUTED_VALUE"""),44918.9005433217)</f>
        <v>44918.900543321703</v>
      </c>
      <c r="B277" s="1" t="str">
        <f ca="1">IFERROR(__xludf.DUMMYFUNCTION("""COMPUTED_VALUE"""),"India")</f>
        <v>India</v>
      </c>
      <c r="C277" s="1">
        <f ca="1">IFERROR(__xludf.DUMMYFUNCTION("""COMPUTED_VALUE"""),605008)</f>
        <v>605008</v>
      </c>
      <c r="D277" s="1" t="str">
        <f ca="1">IFERROR(__xludf.DUMMYFUNCTION("""COMPUTED_VALUE"""),"Female")</f>
        <v>Female</v>
      </c>
      <c r="E277" s="1" t="str">
        <f ca="1">IFERROR(__xludf.DUMMYFUNCTION("""COMPUTED_VALUE"""),"Social Media like LinkedIn")</f>
        <v>Social Media like LinkedIn</v>
      </c>
      <c r="F277" s="1" t="str">
        <f ca="1">IFERROR(__xludf.DUMMYFUNCTION("""COMPUTED_VALUE"""),"Yes, I will earn and do that")</f>
        <v>Yes, I will earn and do that</v>
      </c>
      <c r="G277" s="1" t="str">
        <f ca="1">IFERROR(__xludf.DUMMYFUNCTION("""COMPUTED_VALUE"""),"Will work for 3 years or more")</f>
        <v>Will work for 3 years or more</v>
      </c>
      <c r="H277" s="1" t="str">
        <f ca="1">IFERROR(__xludf.DUMMYFUNCTION("""COMPUTED_VALUE"""),"Yes")</f>
        <v>Yes</v>
      </c>
      <c r="I277" s="1" t="str">
        <f ca="1">IFERROR(__xludf.DUMMYFUNCTION("""COMPUTED_VALUE"""),"Will work for them")</f>
        <v>Will work for them</v>
      </c>
      <c r="J277" s="1">
        <f ca="1">IFERROR(__xludf.DUMMYFUNCTION("""COMPUTED_VALUE"""),5)</f>
        <v>5</v>
      </c>
      <c r="K277" s="1" t="str">
        <f ca="1">IFERROR(__xludf.DUMMYFUNCTION("""COMPUTED_VALUE"""),"Every Day Office Environment")</f>
        <v>Every Day Office Environment</v>
      </c>
      <c r="L277" s="1" t="str">
        <f ca="1">IFERROR(__xludf.DUMMYFUNCTION("""COMPUTED_VALUE"""),"Employer who rewards learning and enables that environment")</f>
        <v>Employer who rewards learning and enables that environment</v>
      </c>
      <c r="M277" s="1" t="str">
        <f ca="1">IFERROR(__xludf.DUMMYFUNCTION("""COMPUTED_VALUE"""),"Self Paced Learning Portals, Learning by observing others")</f>
        <v>Self Paced Learning Portals, Learning by observing others</v>
      </c>
      <c r="N277" s="1" t="str">
        <f ca="1">IFERROR(__xludf.DUMMYFUNCTION("""COMPUTED_VALUE"""),"Manage and drive End-to-End Projects or Products, Build and develop a Team, Look deeply into Data and generate insights")</f>
        <v>Manage and drive End-to-End Projects or Products, Build and develop a Team, Look deeply into Data and generate insights</v>
      </c>
      <c r="O277" s="1" t="str">
        <f ca="1">IFERROR(__xludf.DUMMYFUNCTION("""COMPUTED_VALUE"""),"Manager who explains what is expected, sets a goal and helps achieve it")</f>
        <v>Manager who explains what is expected, sets a goal and helps achieve it</v>
      </c>
      <c r="P277" s="1" t="str">
        <f ca="1">IFERROR(__xludf.DUMMYFUNCTION("""COMPUTED_VALUE"""),"Work with 5 to 6 people in my team")</f>
        <v>Work with 5 to 6 people in my team</v>
      </c>
      <c r="Q277" s="1"/>
      <c r="R277" s="1"/>
      <c r="S277" s="1"/>
    </row>
    <row r="278" spans="1:19" ht="12.5" x14ac:dyDescent="0.25">
      <c r="A278" s="2">
        <f ca="1">IFERROR(__xludf.DUMMYFUNCTION("""COMPUTED_VALUE"""),44918.9024058912)</f>
        <v>44918.902405891196</v>
      </c>
      <c r="B278" s="1" t="str">
        <f ca="1">IFERROR(__xludf.DUMMYFUNCTION("""COMPUTED_VALUE"""),"India")</f>
        <v>India</v>
      </c>
      <c r="C278" s="1">
        <f ca="1">IFERROR(__xludf.DUMMYFUNCTION("""COMPUTED_VALUE"""),385120)</f>
        <v>385120</v>
      </c>
      <c r="D278" s="1" t="str">
        <f ca="1">IFERROR(__xludf.DUMMYFUNCTION("""COMPUTED_VALUE"""),"Male")</f>
        <v>Male</v>
      </c>
      <c r="E278" s="1" t="str">
        <f ca="1">IFERROR(__xludf.DUMMYFUNCTION("""COMPUTED_VALUE"""),"My Parents")</f>
        <v>My Parents</v>
      </c>
      <c r="F278" s="1" t="str">
        <f ca="1">IFERROR(__xludf.DUMMYFUNCTION("""COMPUTED_VALUE"""),"No I would not be pursuing Higher Education outside of India")</f>
        <v>No I would not be pursuing Higher Education outside of India</v>
      </c>
      <c r="G278" s="1" t="str">
        <f ca="1">IFERROR(__xludf.DUMMYFUNCTION("""COMPUTED_VALUE"""),"Will work for 3 years or more")</f>
        <v>Will work for 3 years or more</v>
      </c>
      <c r="H278" s="1" t="str">
        <f ca="1">IFERROR(__xludf.DUMMYFUNCTION("""COMPUTED_VALUE"""),"No")</f>
        <v>No</v>
      </c>
      <c r="I278" s="1" t="str">
        <f ca="1">IFERROR(__xludf.DUMMYFUNCTION("""COMPUTED_VALUE"""),"Will NOT work for them")</f>
        <v>Will NOT work for them</v>
      </c>
      <c r="J278" s="1">
        <f ca="1">IFERROR(__xludf.DUMMYFUNCTION("""COMPUTED_VALUE"""),1)</f>
        <v>1</v>
      </c>
      <c r="K278" s="1" t="str">
        <f ca="1">IFERROR(__xludf.DUMMYFUNCTION("""COMPUTED_VALUE"""),"Every Day Office Environment")</f>
        <v>Every Day Office Environment</v>
      </c>
      <c r="L278" s="1" t="str">
        <f ca="1">IFERROR(__xludf.DUMMYFUNCTION("""COMPUTED_VALUE"""),"Employer who appreciates learning and enables that environment")</f>
        <v>Employer who appreciates learning and enables that environment</v>
      </c>
      <c r="M278" s="1" t="str">
        <f ca="1">IFERROR(__xludf.DUMMYFUNCTION("""COMPUTED_VALUE"""),"Instructor or Expert Learning Programs, Learning by observing others")</f>
        <v>Instructor or Expert Learning Programs, Learning by observing others</v>
      </c>
      <c r="N278" s="1" t="str">
        <f ca="1">IFERROR(__xludf.DUMMYFUNCTION("""COMPUTED_VALUE"""),"Manage and drive End-to-End Projects or Products, Build and develop a Team, Look deeply into Data and generate insights")</f>
        <v>Manage and drive End-to-End Projects or Products, Build and develop a Team, Look deeply into Data and generate insights</v>
      </c>
      <c r="O278" s="1" t="str">
        <f ca="1">IFERROR(__xludf.DUMMYFUNCTION("""COMPUTED_VALUE"""),"Manager who explains what is expected, sets a goal and helps achieve it")</f>
        <v>Manager who explains what is expected, sets a goal and helps achieve it</v>
      </c>
      <c r="P278" s="1" t="str">
        <f ca="1">IFERROR(__xludf.DUMMYFUNCTION("""COMPUTED_VALUE"""),"Work with 5 to 6 people in my team")</f>
        <v>Work with 5 to 6 people in my team</v>
      </c>
      <c r="Q278" s="1"/>
      <c r="R278" s="1"/>
      <c r="S278" s="1"/>
    </row>
    <row r="279" spans="1:19" ht="12.5" x14ac:dyDescent="0.25">
      <c r="A279" s="2">
        <f ca="1">IFERROR(__xludf.DUMMYFUNCTION("""COMPUTED_VALUE"""),44918.9036249421)</f>
        <v>44918.903624942097</v>
      </c>
      <c r="B279" s="1" t="str">
        <f ca="1">IFERROR(__xludf.DUMMYFUNCTION("""COMPUTED_VALUE"""),"India")</f>
        <v>India</v>
      </c>
      <c r="C279" s="1">
        <f ca="1">IFERROR(__xludf.DUMMYFUNCTION("""COMPUTED_VALUE"""),605601)</f>
        <v>605601</v>
      </c>
      <c r="D279" s="1" t="str">
        <f ca="1">IFERROR(__xludf.DUMMYFUNCTION("""COMPUTED_VALUE"""),"Male")</f>
        <v>Male</v>
      </c>
      <c r="E279" s="1" t="str">
        <f ca="1">IFERROR(__xludf.DUMMYFUNCTION("""COMPUTED_VALUE"""),"My Parents")</f>
        <v>My Parents</v>
      </c>
      <c r="F279" s="1" t="str">
        <f ca="1">IFERROR(__xludf.DUMMYFUNCTION("""COMPUTED_VALUE"""),"No I would not be pursuing Higher Education outside of India")</f>
        <v>No I would not be pursuing Higher Education outside of India</v>
      </c>
      <c r="G279" s="1" t="str">
        <f ca="1">IFERROR(__xludf.DUMMYFUNCTION("""COMPUTED_VALUE"""),"Will work for 3 years or more")</f>
        <v>Will work for 3 years or more</v>
      </c>
      <c r="H279" s="1" t="str">
        <f ca="1">IFERROR(__xludf.DUMMYFUNCTION("""COMPUTED_VALUE"""),"Yes")</f>
        <v>Yes</v>
      </c>
      <c r="I279" s="1" t="str">
        <f ca="1">IFERROR(__xludf.DUMMYFUNCTION("""COMPUTED_VALUE"""),"Will work for them")</f>
        <v>Will work for them</v>
      </c>
      <c r="J279" s="1">
        <f ca="1">IFERROR(__xludf.DUMMYFUNCTION("""COMPUTED_VALUE"""),1)</f>
        <v>1</v>
      </c>
      <c r="K279" s="1" t="str">
        <f ca="1">IFERROR(__xludf.DUMMYFUNCTION("""COMPUTED_VALUE"""),"Hybrid Working Environment with less than 3 days a month at office")</f>
        <v>Hybrid Working Environment with less than 3 days a month at office</v>
      </c>
      <c r="L279" s="1" t="str">
        <f ca="1">IFERROR(__xludf.DUMMYFUNCTION("""COMPUTED_VALUE"""),"Employer who rewards learning and enables that environment")</f>
        <v>Employer who rewards learning and enables that environment</v>
      </c>
      <c r="M279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79" s="1" t="str">
        <f ca="1">IFERROR(__xludf.DUMMYFUNCTION("""COMPUTED_VALUE"""),"Business Operations in any organization, Work in a BPO setup for some well known client, Become a content Creator in some platform")</f>
        <v>Business Operations in any organization, Work in a BPO setup for some well known client, Become a content Creator in some platform</v>
      </c>
      <c r="O279" s="1" t="str">
        <f ca="1">IFERROR(__xludf.DUMMYFUNCTION("""COMPUTED_VALUE"""),"Manager who explains what is expected, sets a goal and helps achieve it")</f>
        <v>Manager who explains what is expected, sets a goal and helps achieve it</v>
      </c>
      <c r="P279" s="1" t="str">
        <f ca="1">IFERROR(__xludf.DUMMYFUNCTION("""COMPUTED_VALUE"""),"Work alone")</f>
        <v>Work alone</v>
      </c>
      <c r="Q279" s="1"/>
      <c r="R279" s="1"/>
      <c r="S279" s="1"/>
    </row>
    <row r="280" spans="1:19" ht="12.5" x14ac:dyDescent="0.25">
      <c r="A280" s="2">
        <f ca="1">IFERROR(__xludf.DUMMYFUNCTION("""COMPUTED_VALUE"""),44918.9125017708)</f>
        <v>44918.912501770799</v>
      </c>
      <c r="B280" s="1" t="str">
        <f ca="1">IFERROR(__xludf.DUMMYFUNCTION("""COMPUTED_VALUE"""),"India")</f>
        <v>India</v>
      </c>
      <c r="C280" s="1">
        <f ca="1">IFERROR(__xludf.DUMMYFUNCTION("""COMPUTED_VALUE"""),385001)</f>
        <v>385001</v>
      </c>
      <c r="D280" s="1" t="str">
        <f ca="1">IFERROR(__xludf.DUMMYFUNCTION("""COMPUTED_VALUE"""),"Female")</f>
        <v>Female</v>
      </c>
      <c r="E280" s="1" t="str">
        <f ca="1">IFERROR(__xludf.DUMMYFUNCTION("""COMPUTED_VALUE"""),"My Parents")</f>
        <v>My Parents</v>
      </c>
      <c r="F280" s="1" t="str">
        <f ca="1">IFERROR(__xludf.DUMMYFUNCTION("""COMPUTED_VALUE"""),"No, But if someone could bare the cost I will")</f>
        <v>No, But if someone could bare the cost I will</v>
      </c>
      <c r="G280" s="1" t="str">
        <f ca="1">IFERROR(__xludf.DUMMYFUNCTION("""COMPUTED_VALUE"""),"This will be hard to do, but if it is the right company I would try")</f>
        <v>This will be hard to do, but if it is the right company I would try</v>
      </c>
      <c r="H280" s="1" t="str">
        <f ca="1">IFERROR(__xludf.DUMMYFUNCTION("""COMPUTED_VALUE"""),"No")</f>
        <v>No</v>
      </c>
      <c r="I280" s="1" t="str">
        <f ca="1">IFERROR(__xludf.DUMMYFUNCTION("""COMPUTED_VALUE"""),"Will NOT work for them")</f>
        <v>Will NOT work for them</v>
      </c>
      <c r="J280" s="1">
        <f ca="1">IFERROR(__xludf.DUMMYFUNCTION("""COMPUTED_VALUE"""),5)</f>
        <v>5</v>
      </c>
      <c r="K280" s="1" t="str">
        <f ca="1">IFERROR(__xludf.DUMMYFUNCTION("""COMPUTED_VALUE"""),"Every Day Office Environment")</f>
        <v>Every Day Office Environment</v>
      </c>
      <c r="L280" s="1" t="str">
        <f ca="1">IFERROR(__xludf.DUMMYFUNCTION("""COMPUTED_VALUE"""),"Employer who rewards learning and enables that environment")</f>
        <v>Employer who rewards learning and enables that environment</v>
      </c>
      <c r="M280" s="1" t="str">
        <f ca="1">IFERROR(__xludf.DUMMYFUNCTION("""COMPUTED_VALUE"""),"Self Paced Learning Portals, Learning by observing others")</f>
        <v>Self Paced Learning Portals, Learning by observing others</v>
      </c>
      <c r="N280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280" s="1" t="str">
        <f ca="1">IFERROR(__xludf.DUMMYFUNCTION("""COMPUTED_VALUE"""),"Manager who explains what is expected, sets a goal and helps achieve it")</f>
        <v>Manager who explains what is expected, sets a goal and helps achieve it</v>
      </c>
      <c r="P280" s="1" t="str">
        <f ca="1">IFERROR(__xludf.DUMMYFUNCTION("""COMPUTED_VALUE"""),"Work with 2 to 3 people in my team")</f>
        <v>Work with 2 to 3 people in my team</v>
      </c>
      <c r="Q280" s="1"/>
      <c r="R280" s="1"/>
      <c r="S280" s="1"/>
    </row>
    <row r="281" spans="1:19" ht="12.5" x14ac:dyDescent="0.25">
      <c r="A281" s="2">
        <f ca="1">IFERROR(__xludf.DUMMYFUNCTION("""COMPUTED_VALUE"""),44918.9128643171)</f>
        <v>44918.912864317099</v>
      </c>
      <c r="B281" s="1" t="str">
        <f ca="1">IFERROR(__xludf.DUMMYFUNCTION("""COMPUTED_VALUE"""),"India")</f>
        <v>India</v>
      </c>
      <c r="C281" s="1">
        <f ca="1">IFERROR(__xludf.DUMMYFUNCTION("""COMPUTED_VALUE"""),607301)</f>
        <v>607301</v>
      </c>
      <c r="D281" s="1" t="str">
        <f ca="1">IFERROR(__xludf.DUMMYFUNCTION("""COMPUTED_VALUE"""),"Male")</f>
        <v>Male</v>
      </c>
      <c r="E281" s="1" t="str">
        <f ca="1">IFERROR(__xludf.DUMMYFUNCTION("""COMPUTED_VALUE"""),"My Parents")</f>
        <v>My Parents</v>
      </c>
      <c r="F281" s="1" t="str">
        <f ca="1">IFERROR(__xludf.DUMMYFUNCTION("""COMPUTED_VALUE"""),"Yes, I will earn and do that")</f>
        <v>Yes, I will earn and do that</v>
      </c>
      <c r="G281" s="1" t="str">
        <f ca="1">IFERROR(__xludf.DUMMYFUNCTION("""COMPUTED_VALUE"""),"Will work for 3 years or more")</f>
        <v>Will work for 3 years or more</v>
      </c>
      <c r="H281" s="1" t="str">
        <f ca="1">IFERROR(__xludf.DUMMYFUNCTION("""COMPUTED_VALUE"""),"No")</f>
        <v>No</v>
      </c>
      <c r="I281" s="1" t="str">
        <f ca="1">IFERROR(__xludf.DUMMYFUNCTION("""COMPUTED_VALUE"""),"Will NOT work for them")</f>
        <v>Will NOT work for them</v>
      </c>
      <c r="J281" s="1">
        <f ca="1">IFERROR(__xludf.DUMMYFUNCTION("""COMPUTED_VALUE"""),5)</f>
        <v>5</v>
      </c>
      <c r="K281" s="1" t="str">
        <f ca="1">IFERROR(__xludf.DUMMYFUNCTION("""COMPUTED_VALUE"""),"Fully Remote with Options to travel as and when needed")</f>
        <v>Fully Remote with Options to travel as and when needed</v>
      </c>
      <c r="L281" s="1" t="str">
        <f ca="1">IFERROR(__xludf.DUMMYFUNCTION("""COMPUTED_VALUE"""),"Employer who appreciates learning and enables that environment")</f>
        <v>Employer who appreciates learning and enables that environment</v>
      </c>
      <c r="M281" s="1" t="str">
        <f ca="1">IFERROR(__xludf.DUMMYFUNCTION("""COMPUTED_VALUE"""),"Self Paced Learning Portals, Learning by observing others")</f>
        <v>Self Paced Learning Portals, Learning by observing others</v>
      </c>
      <c r="N281" s="1" t="str">
        <f ca="1">IFERROR(__xludf.DUMMYFUNCTION("""COMPUTED_VALUE"""),"Business Operations in any organization, Build and develop a Team, Work as a freelancer and do my thing my way")</f>
        <v>Business Operations in any organization, Build and develop a Team, Work as a freelancer and do my thing my way</v>
      </c>
      <c r="O281" s="1" t="str">
        <f ca="1">IFERROR(__xludf.DUMMYFUNCTION("""COMPUTED_VALUE"""),"Manager who sets goal and helps me achieve it")</f>
        <v>Manager who sets goal and helps me achieve it</v>
      </c>
      <c r="P281" s="1" t="str">
        <f ca="1">IFERROR(__xludf.DUMMYFUNCTION("""COMPUTED_VALUE"""),"Work alone")</f>
        <v>Work alone</v>
      </c>
      <c r="Q281" s="1"/>
      <c r="R281" s="1"/>
      <c r="S281" s="1"/>
    </row>
    <row r="282" spans="1:19" ht="12.5" x14ac:dyDescent="0.25">
      <c r="A282" s="2">
        <f ca="1">IFERROR(__xludf.DUMMYFUNCTION("""COMPUTED_VALUE"""),44918.9228122106)</f>
        <v>44918.9228122106</v>
      </c>
      <c r="B282" s="1" t="str">
        <f ca="1">IFERROR(__xludf.DUMMYFUNCTION("""COMPUTED_VALUE"""),"India")</f>
        <v>India</v>
      </c>
      <c r="C282" s="1">
        <f ca="1">IFERROR(__xludf.DUMMYFUNCTION("""COMPUTED_VALUE"""),576229)</f>
        <v>576229</v>
      </c>
      <c r="D282" s="1" t="str">
        <f ca="1">IFERROR(__xludf.DUMMYFUNCTION("""COMPUTED_VALUE"""),"Female")</f>
        <v>Female</v>
      </c>
      <c r="E282" s="1" t="str">
        <f ca="1">IFERROR(__xludf.DUMMYFUNCTION("""COMPUTED_VALUE"""),"My Parents")</f>
        <v>My Parents</v>
      </c>
      <c r="F282" s="1" t="str">
        <f ca="1">IFERROR(__xludf.DUMMYFUNCTION("""COMPUTED_VALUE"""),"No I would not be pursuing Higher Education outside of India")</f>
        <v>No I would not be pursuing Higher Education outside of India</v>
      </c>
      <c r="G282" s="1" t="str">
        <f ca="1">IFERROR(__xludf.DUMMYFUNCTION("""COMPUTED_VALUE"""),"This will be hard to do, but if it is the right company I would try")</f>
        <v>This will be hard to do, but if it is the right company I would try</v>
      </c>
      <c r="H282" s="1" t="str">
        <f ca="1">IFERROR(__xludf.DUMMYFUNCTION("""COMPUTED_VALUE"""),"No")</f>
        <v>No</v>
      </c>
      <c r="I282" s="1" t="str">
        <f ca="1">IFERROR(__xludf.DUMMYFUNCTION("""COMPUTED_VALUE"""),"Will NOT work for them")</f>
        <v>Will NOT work for them</v>
      </c>
      <c r="J282" s="1">
        <f ca="1">IFERROR(__xludf.DUMMYFUNCTION("""COMPUTED_VALUE"""),3)</f>
        <v>3</v>
      </c>
      <c r="K282" s="1" t="str">
        <f ca="1">IFERROR(__xludf.DUMMYFUNCTION("""COMPUTED_VALUE"""),"Hybrid Working Environment with less than 15 days a month at office")</f>
        <v>Hybrid Working Environment with less than 15 days a month at office</v>
      </c>
      <c r="L2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8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82" s="1" t="str">
        <f ca="1">IFERROR(__xludf.DUMMYFUNCTION("""COMPUTED_VALUE"""),"Business Operations in any organization, Manage and drive End-to-End Projects or Products, Work as a freelancer and do my thing my way")</f>
        <v>Business Operations in any organization, Manage and drive End-to-End Projects or Products, Work as a freelancer and do my thing my way</v>
      </c>
      <c r="O282" s="1" t="str">
        <f ca="1">IFERROR(__xludf.DUMMYFUNCTION("""COMPUTED_VALUE"""),"Manager who explains what is expected, sets a goal and helps achieve it")</f>
        <v>Manager who explains what is expected, sets a goal and helps achieve it</v>
      </c>
      <c r="P282" s="1" t="str">
        <f ca="1">IFERROR(__xludf.DUMMYFUNCTION("""COMPUTED_VALUE"""),"Work with 5 to 6 people in my team")</f>
        <v>Work with 5 to 6 people in my team</v>
      </c>
      <c r="Q282" s="1"/>
      <c r="R282" s="1"/>
      <c r="S282" s="1"/>
    </row>
    <row r="283" spans="1:19" ht="12.5" x14ac:dyDescent="0.25">
      <c r="A283" s="2">
        <f ca="1">IFERROR(__xludf.DUMMYFUNCTION("""COMPUTED_VALUE"""),44918.9581378125)</f>
        <v>44918.9581378125</v>
      </c>
      <c r="B283" s="1" t="str">
        <f ca="1">IFERROR(__xludf.DUMMYFUNCTION("""COMPUTED_VALUE"""),"India")</f>
        <v>India</v>
      </c>
      <c r="C283" s="1">
        <f ca="1">IFERROR(__xludf.DUMMYFUNCTION("""COMPUTED_VALUE"""),385001)</f>
        <v>385001</v>
      </c>
      <c r="D283" s="1" t="str">
        <f ca="1">IFERROR(__xludf.DUMMYFUNCTION("""COMPUTED_VALUE"""),"Male")</f>
        <v>Male</v>
      </c>
      <c r="E283" s="1" t="str">
        <f ca="1">IFERROR(__xludf.DUMMYFUNCTION("""COMPUTED_VALUE"""),"My Parents")</f>
        <v>My Parents</v>
      </c>
      <c r="F283" s="1" t="str">
        <f ca="1">IFERROR(__xludf.DUMMYFUNCTION("""COMPUTED_VALUE"""),"Yes, I will earn and do that")</f>
        <v>Yes, I will earn and do that</v>
      </c>
      <c r="G283" s="1" t="str">
        <f ca="1">IFERROR(__xludf.DUMMYFUNCTION("""COMPUTED_VALUE"""),"This will be hard to do, but if it is the right company I would try")</f>
        <v>This will be hard to do, but if it is the right company I would try</v>
      </c>
      <c r="H283" s="1" t="str">
        <f ca="1">IFERROR(__xludf.DUMMYFUNCTION("""COMPUTED_VALUE"""),"No")</f>
        <v>No</v>
      </c>
      <c r="I283" s="1" t="str">
        <f ca="1">IFERROR(__xludf.DUMMYFUNCTION("""COMPUTED_VALUE"""),"Will NOT work for them")</f>
        <v>Will NOT work for them</v>
      </c>
      <c r="J283" s="1">
        <f ca="1">IFERROR(__xludf.DUMMYFUNCTION("""COMPUTED_VALUE"""),7)</f>
        <v>7</v>
      </c>
      <c r="K283" s="1" t="str">
        <f ca="1">IFERROR(__xludf.DUMMYFUNCTION("""COMPUTED_VALUE"""),"Fully Remote with Options to travel as and when needed")</f>
        <v>Fully Remote with Options to travel as and when needed</v>
      </c>
      <c r="L2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83" s="1" t="str">
        <f ca="1">IFERROR(__xludf.DUMMYFUNCTION("""COMPUTED_VALUE"""),"Instructor or Expert Learning Programs, Learning by observing others")</f>
        <v>Instructor or Expert Learning Programs, Learning by observing others</v>
      </c>
      <c r="N283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283" s="1" t="str">
        <f ca="1">IFERROR(__xludf.DUMMYFUNCTION("""COMPUTED_VALUE"""),"Manager who explains what is expected, sets a goal and helps achieve it")</f>
        <v>Manager who explains what is expected, sets a goal and helps achieve it</v>
      </c>
      <c r="P283" s="1" t="str">
        <f ca="1">IFERROR(__xludf.DUMMYFUNCTION("""COMPUTED_VALUE"""),"Work with more than 10 people in my team")</f>
        <v>Work with more than 10 people in my team</v>
      </c>
      <c r="Q283" s="1"/>
      <c r="R283" s="1"/>
      <c r="S283" s="1"/>
    </row>
    <row r="284" spans="1:19" ht="12.5" x14ac:dyDescent="0.25">
      <c r="A284" s="2">
        <f ca="1">IFERROR(__xludf.DUMMYFUNCTION("""COMPUTED_VALUE"""),44918.9781476967)</f>
        <v>44918.978147696696</v>
      </c>
      <c r="B284" s="1" t="str">
        <f ca="1">IFERROR(__xludf.DUMMYFUNCTION("""COMPUTED_VALUE"""),"India")</f>
        <v>India</v>
      </c>
      <c r="C284" s="1">
        <f ca="1">IFERROR(__xludf.DUMMYFUNCTION("""COMPUTED_VALUE"""),385001)</f>
        <v>385001</v>
      </c>
      <c r="D284" s="1" t="str">
        <f ca="1">IFERROR(__xludf.DUMMYFUNCTION("""COMPUTED_VALUE"""),"Female")</f>
        <v>Female</v>
      </c>
      <c r="E284" s="1" t="str">
        <f ca="1">IFERROR(__xludf.DUMMYFUNCTION("""COMPUTED_VALUE"""),"People who have changed the world for better")</f>
        <v>People who have changed the world for better</v>
      </c>
      <c r="F284" s="1" t="str">
        <f ca="1">IFERROR(__xludf.DUMMYFUNCTION("""COMPUTED_VALUE"""),"No I would not be pursuing Higher Education outside of India")</f>
        <v>No I would not be pursuing Higher Education outside of India</v>
      </c>
      <c r="G284" s="1" t="str">
        <f ca="1">IFERROR(__xludf.DUMMYFUNCTION("""COMPUTED_VALUE"""),"This will be hard to do, but if it is the right company I would try")</f>
        <v>This will be hard to do, but if it is the right company I would try</v>
      </c>
      <c r="H284" s="1" t="str">
        <f ca="1">IFERROR(__xludf.DUMMYFUNCTION("""COMPUTED_VALUE"""),"No")</f>
        <v>No</v>
      </c>
      <c r="I284" s="1" t="str">
        <f ca="1">IFERROR(__xludf.DUMMYFUNCTION("""COMPUTED_VALUE"""),"Will NOT work for them")</f>
        <v>Will NOT work for them</v>
      </c>
      <c r="J284" s="1">
        <f ca="1">IFERROR(__xludf.DUMMYFUNCTION("""COMPUTED_VALUE"""),1)</f>
        <v>1</v>
      </c>
      <c r="K284" s="1" t="str">
        <f ca="1">IFERROR(__xludf.DUMMYFUNCTION("""COMPUTED_VALUE"""),"Fully Remote with Options to travel as and when needed")</f>
        <v>Fully Remote with Options to travel as and when needed</v>
      </c>
      <c r="L2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84" s="1" t="str">
        <f ca="1">IFERROR(__xludf.DUMMYFUNCTION("""COMPUTED_VALUE"""),"Instructor or Expert Learning Programs, Learning by observing others")</f>
        <v>Instructor or Expert Learning Programs, Learning by observing others</v>
      </c>
      <c r="N284" s="1" t="str">
        <f ca="1">IFERROR(__xludf.DUMMYFUNCTION("""COMPUTED_VALUE"""),"Teaching in any of the institutes/online or Offline, Look deeply into Data and generate insights, Work as a freelancer and do my thing my way")</f>
        <v>Teaching in any of the institutes/online or Offline, Look deeply into Data and generate insights, Work as a freelancer and do my thing my way</v>
      </c>
      <c r="O284" s="1" t="str">
        <f ca="1">IFERROR(__xludf.DUMMYFUNCTION("""COMPUTED_VALUE"""),"Manager who clearly describes what she/he needs")</f>
        <v>Manager who clearly describes what she/he needs</v>
      </c>
      <c r="P284" s="1" t="str">
        <f ca="1">IFERROR(__xludf.DUMMYFUNCTION("""COMPUTED_VALUE"""),"Work with 2 to 3 people in my team")</f>
        <v>Work with 2 to 3 people in my team</v>
      </c>
      <c r="Q284" s="1"/>
      <c r="R284" s="1"/>
      <c r="S284" s="1"/>
    </row>
    <row r="285" spans="1:19" ht="12.5" x14ac:dyDescent="0.25">
      <c r="A285" s="2">
        <f ca="1">IFERROR(__xludf.DUMMYFUNCTION("""COMPUTED_VALUE"""),44919.2661134143)</f>
        <v>44919.266113414298</v>
      </c>
      <c r="B285" s="1" t="str">
        <f ca="1">IFERROR(__xludf.DUMMYFUNCTION("""COMPUTED_VALUE"""),"India")</f>
        <v>India</v>
      </c>
      <c r="C285" s="1">
        <f ca="1">IFERROR(__xludf.DUMMYFUNCTION("""COMPUTED_VALUE"""),385210)</f>
        <v>385210</v>
      </c>
      <c r="D285" s="1" t="str">
        <f ca="1">IFERROR(__xludf.DUMMYFUNCTION("""COMPUTED_VALUE"""),"Male")</f>
        <v>Male</v>
      </c>
      <c r="E285" s="1" t="str">
        <f ca="1">IFERROR(__xludf.DUMMYFUNCTION("""COMPUTED_VALUE"""),"My Parents")</f>
        <v>My Parents</v>
      </c>
      <c r="F285" s="1" t="str">
        <f ca="1">IFERROR(__xludf.DUMMYFUNCTION("""COMPUTED_VALUE"""),"No, But if someone could bare the cost I will")</f>
        <v>No, But if someone could bare the cost I will</v>
      </c>
      <c r="G285" s="1" t="str">
        <f ca="1">IFERROR(__xludf.DUMMYFUNCTION("""COMPUTED_VALUE"""),"This will be hard to do, but if it is the right company I would try")</f>
        <v>This will be hard to do, but if it is the right company I would try</v>
      </c>
      <c r="H285" s="1" t="str">
        <f ca="1">IFERROR(__xludf.DUMMYFUNCTION("""COMPUTED_VALUE"""),"Yes")</f>
        <v>Yes</v>
      </c>
      <c r="I285" s="1" t="str">
        <f ca="1">IFERROR(__xludf.DUMMYFUNCTION("""COMPUTED_VALUE"""),"Will work for them")</f>
        <v>Will work for them</v>
      </c>
      <c r="J285" s="1">
        <f ca="1">IFERROR(__xludf.DUMMYFUNCTION("""COMPUTED_VALUE"""),4)</f>
        <v>4</v>
      </c>
      <c r="K285" s="1" t="str">
        <f ca="1">IFERROR(__xludf.DUMMYFUNCTION("""COMPUTED_VALUE"""),"Hybrid Working Environment with less than 15 days a month at office")</f>
        <v>Hybrid Working Environment with less than 15 days a month at office</v>
      </c>
      <c r="L2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85" s="1" t="str">
        <f ca="1">IFERROR(__xludf.DUMMYFUNCTION("""COMPUTED_VALUE"""),"Instructor or Expert Learning Programs, Learning by observing others")</f>
        <v>Instructor or Expert Learning Programs, Learning by observing others</v>
      </c>
      <c r="N285" s="1" t="str">
        <f ca="1">IFERROR(__xludf.DUMMYFUNCTION("""COMPUTED_VALUE"""),"Teaching in any of the institutes/online or Offline, Business Operations in any organization, Manage and drive End-to-End Projects or Products")</f>
        <v>Teaching in any of the institutes/online or Offline, Business Operations in any organization, Manage and drive End-to-End Projects or Products</v>
      </c>
      <c r="O285" s="1" t="str">
        <f ca="1">IFERROR(__xludf.DUMMYFUNCTION("""COMPUTED_VALUE"""),"Manager who clearly describes what she/he needs")</f>
        <v>Manager who clearly describes what she/he needs</v>
      </c>
      <c r="P285" s="1" t="str">
        <f ca="1">IFERROR(__xludf.DUMMYFUNCTION("""COMPUTED_VALUE"""),"Work alone")</f>
        <v>Work alone</v>
      </c>
      <c r="Q285" s="1"/>
      <c r="R285" s="1"/>
      <c r="S285" s="1"/>
    </row>
    <row r="286" spans="1:19" ht="12.5" x14ac:dyDescent="0.25">
      <c r="A286" s="2">
        <f ca="1">IFERROR(__xludf.DUMMYFUNCTION("""COMPUTED_VALUE"""),44919.3857185185)</f>
        <v>44919.385718518497</v>
      </c>
      <c r="B286" s="1" t="str">
        <f ca="1">IFERROR(__xludf.DUMMYFUNCTION("""COMPUTED_VALUE"""),"India")</f>
        <v>India</v>
      </c>
      <c r="C286" s="1">
        <f ca="1">IFERROR(__xludf.DUMMYFUNCTION("""COMPUTED_VALUE"""),574611)</f>
        <v>574611</v>
      </c>
      <c r="D286" s="1" t="str">
        <f ca="1">IFERROR(__xludf.DUMMYFUNCTION("""COMPUTED_VALUE"""),"Female")</f>
        <v>Female</v>
      </c>
      <c r="E286" s="1" t="str">
        <f ca="1">IFERROR(__xludf.DUMMYFUNCTION("""COMPUTED_VALUE"""),"Influencers who had successful careers")</f>
        <v>Influencers who had successful careers</v>
      </c>
      <c r="F286" s="1" t="str">
        <f ca="1">IFERROR(__xludf.DUMMYFUNCTION("""COMPUTED_VALUE"""),"No I would not be pursuing Higher Education outside of India")</f>
        <v>No I would not be pursuing Higher Education outside of India</v>
      </c>
      <c r="G286" s="1" t="str">
        <f ca="1">IFERROR(__xludf.DUMMYFUNCTION("""COMPUTED_VALUE"""),"Will work for 3 years or more")</f>
        <v>Will work for 3 years or more</v>
      </c>
      <c r="H286" s="1" t="str">
        <f ca="1">IFERROR(__xludf.DUMMYFUNCTION("""COMPUTED_VALUE"""),"No")</f>
        <v>No</v>
      </c>
      <c r="I286" s="1" t="str">
        <f ca="1">IFERROR(__xludf.DUMMYFUNCTION("""COMPUTED_VALUE"""),"Will NOT work for them")</f>
        <v>Will NOT work for them</v>
      </c>
      <c r="J286" s="1">
        <f ca="1">IFERROR(__xludf.DUMMYFUNCTION("""COMPUTED_VALUE"""),6)</f>
        <v>6</v>
      </c>
      <c r="K286" s="1" t="str">
        <f ca="1">IFERROR(__xludf.DUMMYFUNCTION("""COMPUTED_VALUE"""),"Every Day Office Environment")</f>
        <v>Every Day Office Environment</v>
      </c>
      <c r="L286" s="1" t="str">
        <f ca="1">IFERROR(__xludf.DUMMYFUNCTION("""COMPUTED_VALUE"""),"Employer who appreciates learning and enables that environment")</f>
        <v>Employer who appreciates learning and enables that environment</v>
      </c>
      <c r="M286" s="1" t="str">
        <f ca="1">IFERROR(__xludf.DUMMYFUNCTION("""COMPUTED_VALUE"""),"Instructor or Expert Learning Programs, Learning by observing others")</f>
        <v>Instructor or Expert Learning Programs, Learning by observing others</v>
      </c>
      <c r="N286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286" s="1" t="str">
        <f ca="1">IFERROR(__xludf.DUMMYFUNCTION("""COMPUTED_VALUE"""),"Manager who clearly describes what she/he needs")</f>
        <v>Manager who clearly describes what she/he needs</v>
      </c>
      <c r="P286" s="1" t="str">
        <f ca="1">IFERROR(__xludf.DUMMYFUNCTION("""COMPUTED_VALUE"""),"Work with 5 to 6 people in my team")</f>
        <v>Work with 5 to 6 people in my team</v>
      </c>
      <c r="Q286" s="1"/>
      <c r="R286" s="1"/>
      <c r="S286" s="1"/>
    </row>
    <row r="287" spans="1:19" ht="12.5" x14ac:dyDescent="0.25">
      <c r="A287" s="2">
        <f ca="1">IFERROR(__xludf.DUMMYFUNCTION("""COMPUTED_VALUE"""),44919.4026261689)</f>
        <v>44919.4026261689</v>
      </c>
      <c r="B287" s="1" t="str">
        <f ca="1">IFERROR(__xludf.DUMMYFUNCTION("""COMPUTED_VALUE"""),"India")</f>
        <v>India</v>
      </c>
      <c r="C287" s="1">
        <f ca="1">IFERROR(__xludf.DUMMYFUNCTION("""COMPUTED_VALUE"""),574103)</f>
        <v>574103</v>
      </c>
      <c r="D287" s="1" t="str">
        <f ca="1">IFERROR(__xludf.DUMMYFUNCTION("""COMPUTED_VALUE"""),"Male")</f>
        <v>Male</v>
      </c>
      <c r="E287" s="1" t="str">
        <f ca="1">IFERROR(__xludf.DUMMYFUNCTION("""COMPUTED_VALUE"""),"People who have changed the world for better")</f>
        <v>People who have changed the world for better</v>
      </c>
      <c r="F287" s="1" t="str">
        <f ca="1">IFERROR(__xludf.DUMMYFUNCTION("""COMPUTED_VALUE"""),"Yes, I will earn and do that")</f>
        <v>Yes, I will earn and do that</v>
      </c>
      <c r="G287" s="1" t="str">
        <f ca="1">IFERROR(__xludf.DUMMYFUNCTION("""COMPUTED_VALUE"""),"Will work for 3 years or more")</f>
        <v>Will work for 3 years or more</v>
      </c>
      <c r="H287" s="1" t="str">
        <f ca="1">IFERROR(__xludf.DUMMYFUNCTION("""COMPUTED_VALUE"""),"Yes")</f>
        <v>Yes</v>
      </c>
      <c r="I287" s="1" t="str">
        <f ca="1">IFERROR(__xludf.DUMMYFUNCTION("""COMPUTED_VALUE"""),"Will NOT work for them")</f>
        <v>Will NOT work for them</v>
      </c>
      <c r="J287" s="1">
        <f ca="1">IFERROR(__xludf.DUMMYFUNCTION("""COMPUTED_VALUE"""),7)</f>
        <v>7</v>
      </c>
      <c r="K287" s="1" t="str">
        <f ca="1">IFERROR(__xludf.DUMMYFUNCTION("""COMPUTED_VALUE"""),"Hybrid Working Environment with less than 10 days a month at office")</f>
        <v>Hybrid Working Environment with less than 10 days a month at office</v>
      </c>
      <c r="L2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87" s="1" t="str">
        <f ca="1">IFERROR(__xludf.DUMMYFUNCTION("""COMPUTED_VALUE"""),"Instructor or Expert Learning Programs, Learning by observing others")</f>
        <v>Instructor or Expert Learning Programs, Learning by observing others</v>
      </c>
      <c r="N287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287" s="1" t="str">
        <f ca="1">IFERROR(__xludf.DUMMYFUNCTION("""COMPUTED_VALUE"""),"Manager who explains what is expected, sets a goal and helps achieve it")</f>
        <v>Manager who explains what is expected, sets a goal and helps achieve it</v>
      </c>
      <c r="P287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287" s="1"/>
      <c r="R287" s="1"/>
      <c r="S287" s="1"/>
    </row>
    <row r="288" spans="1:19" ht="12.5" x14ac:dyDescent="0.25">
      <c r="A288" s="2">
        <f ca="1">IFERROR(__xludf.DUMMYFUNCTION("""COMPUTED_VALUE"""),44919.4068294212)</f>
        <v>44919.406829421197</v>
      </c>
      <c r="B288" s="1" t="str">
        <f ca="1">IFERROR(__xludf.DUMMYFUNCTION("""COMPUTED_VALUE"""),"India")</f>
        <v>India</v>
      </c>
      <c r="C288" s="1">
        <f ca="1">IFERROR(__xludf.DUMMYFUNCTION("""COMPUTED_VALUE"""),574111)</f>
        <v>574111</v>
      </c>
      <c r="D288" s="1" t="str">
        <f ca="1">IFERROR(__xludf.DUMMYFUNCTION("""COMPUTED_VALUE"""),"Female")</f>
        <v>Female</v>
      </c>
      <c r="E288" s="1" t="str">
        <f ca="1">IFERROR(__xludf.DUMMYFUNCTION("""COMPUTED_VALUE"""),"Influencers who had successful careers")</f>
        <v>Influencers who had successful careers</v>
      </c>
      <c r="F288" s="1" t="str">
        <f ca="1">IFERROR(__xludf.DUMMYFUNCTION("""COMPUTED_VALUE"""),"No, But if someone could bare the cost I will")</f>
        <v>No, But if someone could bare the cost I will</v>
      </c>
      <c r="G288" s="1" t="str">
        <f ca="1">IFERROR(__xludf.DUMMYFUNCTION("""COMPUTED_VALUE"""),"This will be hard to do, but if it is the right company I would try")</f>
        <v>This will be hard to do, but if it is the right company I would try</v>
      </c>
      <c r="H288" s="1" t="str">
        <f ca="1">IFERROR(__xludf.DUMMYFUNCTION("""COMPUTED_VALUE"""),"No")</f>
        <v>No</v>
      </c>
      <c r="I288" s="1" t="str">
        <f ca="1">IFERROR(__xludf.DUMMYFUNCTION("""COMPUTED_VALUE"""),"Will NOT work for them")</f>
        <v>Will NOT work for them</v>
      </c>
      <c r="J288" s="1">
        <f ca="1">IFERROR(__xludf.DUMMYFUNCTION("""COMPUTED_VALUE"""),8)</f>
        <v>8</v>
      </c>
      <c r="K288" s="1" t="str">
        <f ca="1">IFERROR(__xludf.DUMMYFUNCTION("""COMPUTED_VALUE"""),"Fully Remote with Options to travel as and when needed")</f>
        <v>Fully Remote with Options to travel as and when needed</v>
      </c>
      <c r="L2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88" s="1" t="str">
        <f ca="1">IFERROR(__xludf.DUMMYFUNCTION("""COMPUTED_VALUE"""),"Instructor or Expert Learning Programs, Learning by observing others")</f>
        <v>Instructor or Expert Learning Programs, Learning by observing others</v>
      </c>
      <c r="N288" s="1" t="str">
        <f ca="1">IFERROR(__xludf.DUMMYFUNCTION("""COMPUTED_VALUE"""),"Build and develop a Team, Work as a freelancer and do my thing my way, Become a content Creator in some platform")</f>
        <v>Build and develop a Team, Work as a freelancer and do my thing my way, Become a content Creator in some platform</v>
      </c>
      <c r="O288" s="1" t="str">
        <f ca="1">IFERROR(__xludf.DUMMYFUNCTION("""COMPUTED_VALUE"""),"Manager who explains what is expected, sets a goal and helps achieve it")</f>
        <v>Manager who explains what is expected, sets a goal and helps achieve it</v>
      </c>
      <c r="P288" s="1" t="str">
        <f ca="1">IFERROR(__xludf.DUMMYFUNCTION("""COMPUTED_VALUE"""),"Work alone, Work with 2 to 3 people in my team")</f>
        <v>Work alone, Work with 2 to 3 people in my team</v>
      </c>
      <c r="Q288" s="1"/>
      <c r="R288" s="1"/>
      <c r="S288" s="1"/>
    </row>
    <row r="289" spans="1:19" ht="12.5" x14ac:dyDescent="0.25">
      <c r="A289" s="2">
        <f ca="1">IFERROR(__xludf.DUMMYFUNCTION("""COMPUTED_VALUE"""),44919.460229699)</f>
        <v>44919.460229698998</v>
      </c>
      <c r="B289" s="1" t="str">
        <f ca="1">IFERROR(__xludf.DUMMYFUNCTION("""COMPUTED_VALUE"""),"India")</f>
        <v>India</v>
      </c>
      <c r="C289" s="1">
        <f ca="1">IFERROR(__xludf.DUMMYFUNCTION("""COMPUTED_VALUE"""),385520)</f>
        <v>385520</v>
      </c>
      <c r="D289" s="1" t="str">
        <f ca="1">IFERROR(__xludf.DUMMYFUNCTION("""COMPUTED_VALUE"""),"Male")</f>
        <v>Male</v>
      </c>
      <c r="E289" s="1" t="str">
        <f ca="1">IFERROR(__xludf.DUMMYFUNCTION("""COMPUTED_VALUE"""),"People who have changed the world for better")</f>
        <v>People who have changed the world for better</v>
      </c>
      <c r="F289" s="1" t="str">
        <f ca="1">IFERROR(__xludf.DUMMYFUNCTION("""COMPUTED_VALUE"""),"No I would not be pursuing Higher Education outside of India")</f>
        <v>No I would not be pursuing Higher Education outside of India</v>
      </c>
      <c r="G289" s="1" t="str">
        <f ca="1">IFERROR(__xludf.DUMMYFUNCTION("""COMPUTED_VALUE"""),"Will work for 3 years or more")</f>
        <v>Will work for 3 years or more</v>
      </c>
      <c r="H289" s="1" t="str">
        <f ca="1">IFERROR(__xludf.DUMMYFUNCTION("""COMPUTED_VALUE"""),"No")</f>
        <v>No</v>
      </c>
      <c r="I289" s="1" t="str">
        <f ca="1">IFERROR(__xludf.DUMMYFUNCTION("""COMPUTED_VALUE"""),"Will NOT work for them")</f>
        <v>Will NOT work for them</v>
      </c>
      <c r="J289" s="1">
        <f ca="1">IFERROR(__xludf.DUMMYFUNCTION("""COMPUTED_VALUE"""),3)</f>
        <v>3</v>
      </c>
      <c r="K289" s="1" t="str">
        <f ca="1">IFERROR(__xludf.DUMMYFUNCTION("""COMPUTED_VALUE"""),"Fully Remote with Options to travel as and when needed")</f>
        <v>Fully Remote with Options to travel as and when needed</v>
      </c>
      <c r="L2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89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89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289" s="1" t="str">
        <f ca="1">IFERROR(__xludf.DUMMYFUNCTION("""COMPUTED_VALUE"""),"Manager who explains what is expected, sets a goal and helps achieve it")</f>
        <v>Manager who explains what is expected, sets a goal and helps achieve it</v>
      </c>
      <c r="P289" s="1" t="str">
        <f ca="1">IFERROR(__xludf.DUMMYFUNCTION("""COMPUTED_VALUE"""),"Work with 2 to 3 people in my team")</f>
        <v>Work with 2 to 3 people in my team</v>
      </c>
      <c r="Q289" s="1"/>
      <c r="R289" s="1"/>
      <c r="S289" s="1"/>
    </row>
    <row r="290" spans="1:19" ht="12.5" x14ac:dyDescent="0.25">
      <c r="A290" s="2">
        <f ca="1">IFERROR(__xludf.DUMMYFUNCTION("""COMPUTED_VALUE"""),44919.4652683796)</f>
        <v>44919.465268379601</v>
      </c>
      <c r="B290" s="1" t="str">
        <f ca="1">IFERROR(__xludf.DUMMYFUNCTION("""COMPUTED_VALUE"""),"India")</f>
        <v>India</v>
      </c>
      <c r="C290" s="1">
        <f ca="1">IFERROR(__xludf.DUMMYFUNCTION("""COMPUTED_VALUE"""),576213)</f>
        <v>576213</v>
      </c>
      <c r="D290" s="1" t="str">
        <f ca="1">IFERROR(__xludf.DUMMYFUNCTION("""COMPUTED_VALUE"""),"Female")</f>
        <v>Female</v>
      </c>
      <c r="E290" s="1" t="str">
        <f ca="1">IFERROR(__xludf.DUMMYFUNCTION("""COMPUTED_VALUE"""),"People who have changed the world for better")</f>
        <v>People who have changed the world for better</v>
      </c>
      <c r="F290" s="1" t="str">
        <f ca="1">IFERROR(__xludf.DUMMYFUNCTION("""COMPUTED_VALUE"""),"Yes, I will earn and do that")</f>
        <v>Yes, I will earn and do that</v>
      </c>
      <c r="G290" s="1" t="str">
        <f ca="1">IFERROR(__xludf.DUMMYFUNCTION("""COMPUTED_VALUE"""),"This will be hard to do, but if it is the right company I would try")</f>
        <v>This will be hard to do, but if it is the right company I would try</v>
      </c>
      <c r="H290" s="1" t="str">
        <f ca="1">IFERROR(__xludf.DUMMYFUNCTION("""COMPUTED_VALUE"""),"No")</f>
        <v>No</v>
      </c>
      <c r="I290" s="1" t="str">
        <f ca="1">IFERROR(__xludf.DUMMYFUNCTION("""COMPUTED_VALUE"""),"Will NOT work for them")</f>
        <v>Will NOT work for them</v>
      </c>
      <c r="J290" s="1">
        <f ca="1">IFERROR(__xludf.DUMMYFUNCTION("""COMPUTED_VALUE"""),3)</f>
        <v>3</v>
      </c>
      <c r="K290" s="1" t="str">
        <f ca="1">IFERROR(__xludf.DUMMYFUNCTION("""COMPUTED_VALUE"""),"Fully Remote with Options to travel as and when needed")</f>
        <v>Fully Remote with Options to travel as and when needed</v>
      </c>
      <c r="L290" s="1" t="str">
        <f ca="1">IFERROR(__xludf.DUMMYFUNCTION("""COMPUTED_VALUE"""),"Employer who appreciates learning and enables that environment")</f>
        <v>Employer who appreciates learning and enables that environment</v>
      </c>
      <c r="M290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90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290" s="1" t="str">
        <f ca="1">IFERROR(__xludf.DUMMYFUNCTION("""COMPUTED_VALUE"""),"Manager who sets goal and helps me achieve it")</f>
        <v>Manager who sets goal and helps me achieve it</v>
      </c>
      <c r="P290" s="1" t="str">
        <f ca="1">IFERROR(__xludf.DUMMYFUNCTION("""COMPUTED_VALUE"""),"Work with 2 to 3 people in my team")</f>
        <v>Work with 2 to 3 people in my team</v>
      </c>
      <c r="Q290" s="1"/>
      <c r="R290" s="1"/>
      <c r="S290" s="1"/>
    </row>
    <row r="291" spans="1:19" ht="12.5" x14ac:dyDescent="0.25">
      <c r="A291" s="2">
        <f ca="1">IFERROR(__xludf.DUMMYFUNCTION("""COMPUTED_VALUE"""),44919.6012614699)</f>
        <v>44919.601261469899</v>
      </c>
      <c r="B291" s="1" t="str">
        <f ca="1">IFERROR(__xludf.DUMMYFUNCTION("""COMPUTED_VALUE"""),"India")</f>
        <v>India</v>
      </c>
      <c r="C291" s="1">
        <f ca="1">IFERROR(__xludf.DUMMYFUNCTION("""COMPUTED_VALUE"""),385520)</f>
        <v>385520</v>
      </c>
      <c r="D291" s="1" t="str">
        <f ca="1">IFERROR(__xludf.DUMMYFUNCTION("""COMPUTED_VALUE"""),"Female")</f>
        <v>Female</v>
      </c>
      <c r="E291" s="1" t="str">
        <f ca="1">IFERROR(__xludf.DUMMYFUNCTION("""COMPUTED_VALUE"""),"Influencers who had successful careers")</f>
        <v>Influencers who had successful careers</v>
      </c>
      <c r="F291" s="1" t="str">
        <f ca="1">IFERROR(__xludf.DUMMYFUNCTION("""COMPUTED_VALUE"""),"Yes, I will earn and do that")</f>
        <v>Yes, I will earn and do that</v>
      </c>
      <c r="G291" s="1" t="str">
        <f ca="1">IFERROR(__xludf.DUMMYFUNCTION("""COMPUTED_VALUE"""),"This will be hard to do, but if it is the right company I would try")</f>
        <v>This will be hard to do, but if it is the right company I would try</v>
      </c>
      <c r="H291" s="1" t="str">
        <f ca="1">IFERROR(__xludf.DUMMYFUNCTION("""COMPUTED_VALUE"""),"Yes")</f>
        <v>Yes</v>
      </c>
      <c r="I291" s="1" t="str">
        <f ca="1">IFERROR(__xludf.DUMMYFUNCTION("""COMPUTED_VALUE"""),"Will work for them")</f>
        <v>Will work for them</v>
      </c>
      <c r="J291" s="1">
        <f ca="1">IFERROR(__xludf.DUMMYFUNCTION("""COMPUTED_VALUE"""),5)</f>
        <v>5</v>
      </c>
      <c r="K291" s="1" t="str">
        <f ca="1">IFERROR(__xludf.DUMMYFUNCTION("""COMPUTED_VALUE"""),"Hybrid Working Environment with less than 10 days a month at office")</f>
        <v>Hybrid Working Environment with less than 10 days a month at office</v>
      </c>
      <c r="L291" s="1" t="str">
        <f ca="1">IFERROR(__xludf.DUMMYFUNCTION("""COMPUTED_VALUE"""),"Employer who appreciates learning and enables that environment")</f>
        <v>Employer who appreciates learning and enables that environment</v>
      </c>
      <c r="M29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91" s="1" t="str">
        <f ca="1">IFERROR(__xludf.DUMMYFUNCTION("""COMPUTED_VALUE"""),"Design and Creative strategy in any company, Teaching in any of the institutes/online or Offline, Manage and drive End-to-End Projects or Products")</f>
        <v>Design and Creative strategy in any company, Teaching in any of the institutes/online or Offline, Manage and drive End-to-End Projects or Products</v>
      </c>
      <c r="O291" s="1" t="str">
        <f ca="1">IFERROR(__xludf.DUMMYFUNCTION("""COMPUTED_VALUE"""),"Manager who explains what is expected, sets a goal and helps achieve it")</f>
        <v>Manager who explains what is expected, sets a goal and helps achieve it</v>
      </c>
      <c r="P291" s="1" t="str">
        <f ca="1">IFERROR(__xludf.DUMMYFUNCTION("""COMPUTED_VALUE"""),"Work with 5 to 6 people in my team")</f>
        <v>Work with 5 to 6 people in my team</v>
      </c>
      <c r="Q291" s="1"/>
      <c r="R291" s="1"/>
      <c r="S291" s="1"/>
    </row>
    <row r="292" spans="1:19" ht="12.5" x14ac:dyDescent="0.25">
      <c r="A292" s="2">
        <f ca="1">IFERROR(__xludf.DUMMYFUNCTION("""COMPUTED_VALUE"""),44919.6154726273)</f>
        <v>44919.615472627302</v>
      </c>
      <c r="B292" s="1" t="str">
        <f ca="1">IFERROR(__xludf.DUMMYFUNCTION("""COMPUTED_VALUE"""),"India")</f>
        <v>India</v>
      </c>
      <c r="C292" s="1">
        <f ca="1">IFERROR(__xludf.DUMMYFUNCTION("""COMPUTED_VALUE"""),442401)</f>
        <v>442401</v>
      </c>
      <c r="D292" s="1" t="str">
        <f ca="1">IFERROR(__xludf.DUMMYFUNCTION("""COMPUTED_VALUE"""),"Male")</f>
        <v>Male</v>
      </c>
      <c r="E292" s="1" t="str">
        <f ca="1">IFERROR(__xludf.DUMMYFUNCTION("""COMPUTED_VALUE"""),"My Parents")</f>
        <v>My Parents</v>
      </c>
      <c r="F292" s="1" t="str">
        <f ca="1">IFERROR(__xludf.DUMMYFUNCTION("""COMPUTED_VALUE"""),"No, But if someone could bare the cost I will")</f>
        <v>No, But if someone could bare the cost I will</v>
      </c>
      <c r="G292" s="1" t="str">
        <f ca="1">IFERROR(__xludf.DUMMYFUNCTION("""COMPUTED_VALUE"""),"This will be hard to do, but if it is the right company I would try")</f>
        <v>This will be hard to do, but if it is the right company I would try</v>
      </c>
      <c r="H292" s="1" t="str">
        <f ca="1">IFERROR(__xludf.DUMMYFUNCTION("""COMPUTED_VALUE"""),"No")</f>
        <v>No</v>
      </c>
      <c r="I292" s="1" t="str">
        <f ca="1">IFERROR(__xludf.DUMMYFUNCTION("""COMPUTED_VALUE"""),"Will NOT work for them")</f>
        <v>Will NOT work for them</v>
      </c>
      <c r="J292" s="1">
        <f ca="1">IFERROR(__xludf.DUMMYFUNCTION("""COMPUTED_VALUE"""),7)</f>
        <v>7</v>
      </c>
      <c r="K292" s="1" t="str">
        <f ca="1">IFERROR(__xludf.DUMMYFUNCTION("""COMPUTED_VALUE"""),"Fully Remote with Options to travel as and when needed")</f>
        <v>Fully Remote with Options to travel as and when needed</v>
      </c>
      <c r="L292" s="1" t="str">
        <f ca="1">IFERROR(__xludf.DUMMYFUNCTION("""COMPUTED_VALUE"""),"Employer who rewards learning and enables that environment")</f>
        <v>Employer who rewards learning and enables that environment</v>
      </c>
      <c r="M29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292" s="1" t="str">
        <f ca="1">IFERROR(__xludf.DUMMYFUNCTION("""COMPUTED_VALUE"""),"Business Operations in any organization, Look deeply into Data and generate insights, Become a content Creator in some platform")</f>
        <v>Business Operations in any organization, Look deeply into Data and generate insights, Become a content Creator in some platform</v>
      </c>
      <c r="O292" s="1" t="str">
        <f ca="1">IFERROR(__xludf.DUMMYFUNCTION("""COMPUTED_VALUE"""),"Manager who explains what is expected, sets a goal and helps achieve it")</f>
        <v>Manager who explains what is expected, sets a goal and helps achieve it</v>
      </c>
      <c r="P292" s="1" t="str">
        <f ca="1">IFERROR(__xludf.DUMMYFUNCTION("""COMPUTED_VALUE"""),"Work with 5 to 6 people in my team")</f>
        <v>Work with 5 to 6 people in my team</v>
      </c>
      <c r="Q292" s="1"/>
      <c r="R292" s="1"/>
      <c r="S292" s="1"/>
    </row>
    <row r="293" spans="1:19" ht="12.5" x14ac:dyDescent="0.25">
      <c r="A293" s="2">
        <f ca="1">IFERROR(__xludf.DUMMYFUNCTION("""COMPUTED_VALUE"""),44919.6175858912)</f>
        <v>44919.617585891203</v>
      </c>
      <c r="B293" s="1" t="str">
        <f ca="1">IFERROR(__xludf.DUMMYFUNCTION("""COMPUTED_VALUE"""),"India")</f>
        <v>India</v>
      </c>
      <c r="C293" s="1">
        <f ca="1">IFERROR(__xludf.DUMMYFUNCTION("""COMPUTED_VALUE"""),576215)</f>
        <v>576215</v>
      </c>
      <c r="D293" s="1" t="str">
        <f ca="1">IFERROR(__xludf.DUMMYFUNCTION("""COMPUTED_VALUE"""),"Female")</f>
        <v>Female</v>
      </c>
      <c r="E293" s="1" t="str">
        <f ca="1">IFERROR(__xludf.DUMMYFUNCTION("""COMPUTED_VALUE"""),"My Parents")</f>
        <v>My Parents</v>
      </c>
      <c r="F293" s="1" t="str">
        <f ca="1">IFERROR(__xludf.DUMMYFUNCTION("""COMPUTED_VALUE"""),"No I would not be pursuing Higher Education outside of India")</f>
        <v>No I would not be pursuing Higher Education outside of India</v>
      </c>
      <c r="G293" s="1" t="str">
        <f ca="1">IFERROR(__xludf.DUMMYFUNCTION("""COMPUTED_VALUE"""),"This will be hard to do, but if it is the right company I would try")</f>
        <v>This will be hard to do, but if it is the right company I would try</v>
      </c>
      <c r="H293" s="1" t="str">
        <f ca="1">IFERROR(__xludf.DUMMYFUNCTION("""COMPUTED_VALUE"""),"No")</f>
        <v>No</v>
      </c>
      <c r="I293" s="1" t="str">
        <f ca="1">IFERROR(__xludf.DUMMYFUNCTION("""COMPUTED_VALUE"""),"Will NOT work for them")</f>
        <v>Will NOT work for them</v>
      </c>
      <c r="J293" s="1">
        <f ca="1">IFERROR(__xludf.DUMMYFUNCTION("""COMPUTED_VALUE"""),4)</f>
        <v>4</v>
      </c>
      <c r="K293" s="1" t="str">
        <f ca="1">IFERROR(__xludf.DUMMYFUNCTION("""COMPUTED_VALUE"""),"Hybrid Working Environment with less than 15 days a month at office")</f>
        <v>Hybrid Working Environment with less than 15 days a month at office</v>
      </c>
      <c r="L293" s="1" t="str">
        <f ca="1">IFERROR(__xludf.DUMMYFUNCTION("""COMPUTED_VALUE"""),"Employer who appreciates learning and enables that environment")</f>
        <v>Employer who appreciates learning and enables that environment</v>
      </c>
      <c r="M293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93" s="1" t="str">
        <f ca="1">IFERROR(__xludf.DUMMYFUNCTION("""COMPUTED_VALUE"""),"Design and Creative strategy in any company, Teaching in any of the institutes/online or Offline, Design and Develop amazing software")</f>
        <v>Design and Creative strategy in any company, Teaching in any of the institutes/online or Offline, Design and Develop amazing software</v>
      </c>
      <c r="O293" s="1" t="str">
        <f ca="1">IFERROR(__xludf.DUMMYFUNCTION("""COMPUTED_VALUE"""),"Manager who explains what is expected, sets a goal and helps achieve it")</f>
        <v>Manager who explains what is expected, sets a goal and helps achieve it</v>
      </c>
      <c r="P293" s="1" t="str">
        <f ca="1">IFERROR(__xludf.DUMMYFUNCTION("""COMPUTED_VALUE"""),"Work with 5 to 6 people in my team")</f>
        <v>Work with 5 to 6 people in my team</v>
      </c>
      <c r="Q293" s="1"/>
      <c r="R293" s="1"/>
      <c r="S293" s="1"/>
    </row>
    <row r="294" spans="1:19" ht="12.5" x14ac:dyDescent="0.25">
      <c r="A294" s="2">
        <f ca="1">IFERROR(__xludf.DUMMYFUNCTION("""COMPUTED_VALUE"""),44919.6313431712)</f>
        <v>44919.631343171197</v>
      </c>
      <c r="B294" s="1" t="str">
        <f ca="1">IFERROR(__xludf.DUMMYFUNCTION("""COMPUTED_VALUE"""),"India")</f>
        <v>India</v>
      </c>
      <c r="C294" s="1">
        <f ca="1">IFERROR(__xludf.DUMMYFUNCTION("""COMPUTED_VALUE"""),401107)</f>
        <v>401107</v>
      </c>
      <c r="D294" s="1" t="str">
        <f ca="1">IFERROR(__xludf.DUMMYFUNCTION("""COMPUTED_VALUE"""),"Female")</f>
        <v>Female</v>
      </c>
      <c r="E294" s="1" t="str">
        <f ca="1">IFERROR(__xludf.DUMMYFUNCTION("""COMPUTED_VALUE"""),"Social Media like LinkedIn")</f>
        <v>Social Media like LinkedIn</v>
      </c>
      <c r="F294" s="1" t="str">
        <f ca="1">IFERROR(__xludf.DUMMYFUNCTION("""COMPUTED_VALUE"""),"Yes, I will earn and do that")</f>
        <v>Yes, I will earn and do that</v>
      </c>
      <c r="G294" s="1" t="str">
        <f ca="1">IFERROR(__xludf.DUMMYFUNCTION("""COMPUTED_VALUE"""),"Will work for 3 years or more")</f>
        <v>Will work for 3 years or more</v>
      </c>
      <c r="H294" s="1" t="str">
        <f ca="1">IFERROR(__xludf.DUMMYFUNCTION("""COMPUTED_VALUE"""),"No")</f>
        <v>No</v>
      </c>
      <c r="I294" s="1" t="str">
        <f ca="1">IFERROR(__xludf.DUMMYFUNCTION("""COMPUTED_VALUE"""),"Will NOT work for them")</f>
        <v>Will NOT work for them</v>
      </c>
      <c r="J294" s="1">
        <f ca="1">IFERROR(__xludf.DUMMYFUNCTION("""COMPUTED_VALUE"""),9)</f>
        <v>9</v>
      </c>
      <c r="K294" s="1" t="str">
        <f ca="1">IFERROR(__xludf.DUMMYFUNCTION("""COMPUTED_VALUE"""),"Hybrid Working Environment with less than 3 days a month at office")</f>
        <v>Hybrid Working Environment with less than 3 days a month at office</v>
      </c>
      <c r="L294" s="1" t="str">
        <f ca="1">IFERROR(__xludf.DUMMYFUNCTION("""COMPUTED_VALUE"""),"Employer who rewards learning and enables that environment")</f>
        <v>Employer who rewards learning and enables that environment</v>
      </c>
      <c r="M294" s="1" t="str">
        <f ca="1">IFERROR(__xludf.DUMMYFUNCTION("""COMPUTED_VALUE"""),"Self Paced Learning Portals, Instructor or Expert Learning Programs")</f>
        <v>Self Paced Learning Portals, Instructor or Expert Learning Programs</v>
      </c>
      <c r="N294" s="1" t="str">
        <f ca="1">IFERROR(__xludf.DUMMYFUNCTION("""COMPUTED_VALUE"""),"Build and develop a Team, Look deeply into Data and generate insights, Work as a freelancer and do my thing my way")</f>
        <v>Build and develop a Team, Look deeply into Data and generate insights, Work as a freelancer and do my thing my way</v>
      </c>
      <c r="O294" s="1" t="str">
        <f ca="1">IFERROR(__xludf.DUMMYFUNCTION("""COMPUTED_VALUE"""),"Manager who clearly describes what she/he needs")</f>
        <v>Manager who clearly describes what she/he needs</v>
      </c>
      <c r="P294" s="1" t="str">
        <f ca="1">IFERROR(__xludf.DUMMYFUNCTION("""COMPUTED_VALUE"""),"Work alone, Work with 2 to 3 people in my team, Work with 7 to 10 or more people in my team")</f>
        <v>Work alone, Work with 2 to 3 people in my team, Work with 7 to 10 or more people in my team</v>
      </c>
      <c r="Q294" s="1"/>
      <c r="R294" s="1"/>
      <c r="S294" s="1"/>
    </row>
    <row r="295" spans="1:19" ht="12.5" x14ac:dyDescent="0.25">
      <c r="A295" s="2">
        <f ca="1">IFERROR(__xludf.DUMMYFUNCTION("""COMPUTED_VALUE"""),44919.6499281481)</f>
        <v>44919.649928148101</v>
      </c>
      <c r="B295" s="1" t="str">
        <f ca="1">IFERROR(__xludf.DUMMYFUNCTION("""COMPUTED_VALUE"""),"India")</f>
        <v>India</v>
      </c>
      <c r="C295" s="1">
        <f ca="1">IFERROR(__xludf.DUMMYFUNCTION("""COMPUTED_VALUE"""),400101)</f>
        <v>400101</v>
      </c>
      <c r="D295" s="1" t="str">
        <f ca="1">IFERROR(__xludf.DUMMYFUNCTION("""COMPUTED_VALUE"""),"Male")</f>
        <v>Male</v>
      </c>
      <c r="E295" s="1" t="str">
        <f ca="1">IFERROR(__xludf.DUMMYFUNCTION("""COMPUTED_VALUE"""),"People from my circle, but not family members")</f>
        <v>People from my circle, but not family members</v>
      </c>
      <c r="F295" s="1" t="str">
        <f ca="1">IFERROR(__xludf.DUMMYFUNCTION("""COMPUTED_VALUE"""),"No I would not be pursuing Higher Education outside of India")</f>
        <v>No I would not be pursuing Higher Education outside of India</v>
      </c>
      <c r="G295" s="1" t="str">
        <f ca="1">IFERROR(__xludf.DUMMYFUNCTION("""COMPUTED_VALUE"""),"This will be hard to do, but if it is the right company I would try")</f>
        <v>This will be hard to do, but if it is the right company I would try</v>
      </c>
      <c r="H295" s="1" t="str">
        <f ca="1">IFERROR(__xludf.DUMMYFUNCTION("""COMPUTED_VALUE"""),"Yes")</f>
        <v>Yes</v>
      </c>
      <c r="I295" s="1" t="str">
        <f ca="1">IFERROR(__xludf.DUMMYFUNCTION("""COMPUTED_VALUE"""),"Will NOT work for them")</f>
        <v>Will NOT work for them</v>
      </c>
      <c r="J295" s="1">
        <f ca="1">IFERROR(__xludf.DUMMYFUNCTION("""COMPUTED_VALUE"""),3)</f>
        <v>3</v>
      </c>
      <c r="K295" s="1" t="str">
        <f ca="1">IFERROR(__xludf.DUMMYFUNCTION("""COMPUTED_VALUE"""),"Fully Remote with Options to travel as and when needed")</f>
        <v>Fully Remote with Options to travel as and when needed</v>
      </c>
      <c r="L2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95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95" s="1" t="str">
        <f ca="1">IFERROR(__xludf.DUMMYFUNCTION("""COMPUTED_VALUE"""),"Manage and drive End-to-End Projects or Products, Build and develop a Team, Look deeply into Data and generate insights")</f>
        <v>Manage and drive End-to-End Projects or Products, Build and develop a Team, Look deeply into Data and generate insights</v>
      </c>
      <c r="O295" s="1" t="str">
        <f ca="1">IFERROR(__xludf.DUMMYFUNCTION("""COMPUTED_VALUE"""),"Manager who explains what is expected, sets a goal and helps achieve it")</f>
        <v>Manager who explains what is expected, sets a goal and helps achieve it</v>
      </c>
      <c r="P295" s="1" t="str">
        <f ca="1">IFERROR(__xludf.DUMMYFUNCTION("""COMPUTED_VALUE"""),"Work alone, Work with 2 to 3 people in my team")</f>
        <v>Work alone, Work with 2 to 3 people in my team</v>
      </c>
      <c r="Q295" s="1"/>
      <c r="R295" s="1"/>
      <c r="S295" s="1"/>
    </row>
    <row r="296" spans="1:19" ht="12.5" x14ac:dyDescent="0.25">
      <c r="A296" s="2">
        <f ca="1">IFERROR(__xludf.DUMMYFUNCTION("""COMPUTED_VALUE"""),44919.649994074)</f>
        <v>44919.649994074003</v>
      </c>
      <c r="B296" s="1" t="str">
        <f ca="1">IFERROR(__xludf.DUMMYFUNCTION("""COMPUTED_VALUE"""),"India")</f>
        <v>India</v>
      </c>
      <c r="C296" s="1">
        <f ca="1">IFERROR(__xludf.DUMMYFUNCTION("""COMPUTED_VALUE"""),400101)</f>
        <v>400101</v>
      </c>
      <c r="D296" s="1" t="str">
        <f ca="1">IFERROR(__xludf.DUMMYFUNCTION("""COMPUTED_VALUE"""),"Male")</f>
        <v>Male</v>
      </c>
      <c r="E296" s="1" t="str">
        <f ca="1">IFERROR(__xludf.DUMMYFUNCTION("""COMPUTED_VALUE"""),"My Parents")</f>
        <v>My Parents</v>
      </c>
      <c r="F296" s="1" t="str">
        <f ca="1">IFERROR(__xludf.DUMMYFUNCTION("""COMPUTED_VALUE"""),"No, But if someone could bare the cost I will")</f>
        <v>No, But if someone could bare the cost I will</v>
      </c>
      <c r="G296" s="1" t="str">
        <f ca="1">IFERROR(__xludf.DUMMYFUNCTION("""COMPUTED_VALUE"""),"Will work for 3 years or more")</f>
        <v>Will work for 3 years or more</v>
      </c>
      <c r="H296" s="1" t="str">
        <f ca="1">IFERROR(__xludf.DUMMYFUNCTION("""COMPUTED_VALUE"""),"Yes")</f>
        <v>Yes</v>
      </c>
      <c r="I296" s="1" t="str">
        <f ca="1">IFERROR(__xludf.DUMMYFUNCTION("""COMPUTED_VALUE"""),"Will work for them")</f>
        <v>Will work for them</v>
      </c>
      <c r="J296" s="1">
        <f ca="1">IFERROR(__xludf.DUMMYFUNCTION("""COMPUTED_VALUE"""),1)</f>
        <v>1</v>
      </c>
      <c r="K296" s="1" t="str">
        <f ca="1">IFERROR(__xludf.DUMMYFUNCTION("""COMPUTED_VALUE"""),"Every Day Office Environment")</f>
        <v>Every Day Office Environment</v>
      </c>
      <c r="L296" s="1" t="str">
        <f ca="1">IFERROR(__xludf.DUMMYFUNCTION("""COMPUTED_VALUE"""),"Employer who appreciates learning and enables that environment")</f>
        <v>Employer who appreciates learning and enables that environment</v>
      </c>
      <c r="M296" s="1" t="str">
        <f ca="1">IFERROR(__xludf.DUMMYFUNCTION("""COMPUTED_VALUE"""),"Self Paced Learning Portals, Instructor or Expert Learning Programs")</f>
        <v>Self Paced Learning Portals, Instructor or Expert Learning Programs</v>
      </c>
      <c r="N296" s="1" t="str">
        <f ca="1">IFERROR(__xludf.DUMMYFUNCTION("""COMPUTED_VALUE"""),"Design and Creative strategy in any company, Design and Develop amazing software, Look deeply into Data and generate insights")</f>
        <v>Design and Creative strategy in any company, Design and Develop amazing software, Look deeply into Data and generate insights</v>
      </c>
      <c r="O296" s="1" t="str">
        <f ca="1">IFERROR(__xludf.DUMMYFUNCTION("""COMPUTED_VALUE"""),"Manager who clearly describes what she/he needs")</f>
        <v>Manager who clearly describes what she/he needs</v>
      </c>
      <c r="P296" s="1" t="str">
        <f ca="1">IFERROR(__xludf.DUMMYFUNCTION("""COMPUTED_VALUE"""),"Work alone")</f>
        <v>Work alone</v>
      </c>
      <c r="Q296" s="1"/>
      <c r="R296" s="1"/>
      <c r="S296" s="1"/>
    </row>
    <row r="297" spans="1:19" ht="12.5" x14ac:dyDescent="0.25">
      <c r="A297" s="2">
        <f ca="1">IFERROR(__xludf.DUMMYFUNCTION("""COMPUTED_VALUE"""),44919.6628826851)</f>
        <v>44919.662882685101</v>
      </c>
      <c r="B297" s="1" t="str">
        <f ca="1">IFERROR(__xludf.DUMMYFUNCTION("""COMPUTED_VALUE"""),"India")</f>
        <v>India</v>
      </c>
      <c r="C297" s="1">
        <f ca="1">IFERROR(__xludf.DUMMYFUNCTION("""COMPUTED_VALUE"""),385001)</f>
        <v>385001</v>
      </c>
      <c r="D297" s="1" t="str">
        <f ca="1">IFERROR(__xludf.DUMMYFUNCTION("""COMPUTED_VALUE"""),"Female")</f>
        <v>Female</v>
      </c>
      <c r="E297" s="1" t="str">
        <f ca="1">IFERROR(__xludf.DUMMYFUNCTION("""COMPUTED_VALUE"""),"My Parents")</f>
        <v>My Parents</v>
      </c>
      <c r="F297" s="1" t="str">
        <f ca="1">IFERROR(__xludf.DUMMYFUNCTION("""COMPUTED_VALUE"""),"Yes, I will earn and do that")</f>
        <v>Yes, I will earn and do that</v>
      </c>
      <c r="G297" s="1" t="str">
        <f ca="1">IFERROR(__xludf.DUMMYFUNCTION("""COMPUTED_VALUE"""),"No way, 3 years with one employer is crazy")</f>
        <v>No way, 3 years with one employer is crazy</v>
      </c>
      <c r="H297" s="1" t="str">
        <f ca="1">IFERROR(__xludf.DUMMYFUNCTION("""COMPUTED_VALUE"""),"Yes")</f>
        <v>Yes</v>
      </c>
      <c r="I297" s="1" t="str">
        <f ca="1">IFERROR(__xludf.DUMMYFUNCTION("""COMPUTED_VALUE"""),"Will work for them")</f>
        <v>Will work for them</v>
      </c>
      <c r="J297" s="1">
        <f ca="1">IFERROR(__xludf.DUMMYFUNCTION("""COMPUTED_VALUE"""),2)</f>
        <v>2</v>
      </c>
      <c r="K297" s="1" t="str">
        <f ca="1">IFERROR(__xludf.DUMMYFUNCTION("""COMPUTED_VALUE"""),"Every Day Office Environment")</f>
        <v>Every Day Office Environment</v>
      </c>
      <c r="L297" s="1" t="str">
        <f ca="1">IFERROR(__xludf.DUMMYFUNCTION("""COMPUTED_VALUE"""),"Employer who rewards learning and enables that environment")</f>
        <v>Employer who rewards learning and enables that environment</v>
      </c>
      <c r="M297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297" s="1" t="str">
        <f ca="1">IFERROR(__xludf.DUMMYFUNCTION("""COMPUTED_VALUE"""),"Design and Creative strategy in any company, Business Operations in any organization, Design and Develop amazing software")</f>
        <v>Design and Creative strategy in any company, Business Operations in any organization, Design and Develop amazing software</v>
      </c>
      <c r="O297" s="1" t="str">
        <f ca="1">IFERROR(__xludf.DUMMYFUNCTION("""COMPUTED_VALUE"""),"Manager who sets targets and expects me to achieve it")</f>
        <v>Manager who sets targets and expects me to achieve it</v>
      </c>
      <c r="P297" s="1" t="str">
        <f ca="1">IFERROR(__xludf.DUMMYFUNCTION("""COMPUTED_VALUE"""),"Work with 2 to 3 people in my team")</f>
        <v>Work with 2 to 3 people in my team</v>
      </c>
      <c r="Q297" s="1"/>
      <c r="R297" s="1"/>
      <c r="S297" s="1"/>
    </row>
    <row r="298" spans="1:19" ht="12.5" x14ac:dyDescent="0.25">
      <c r="A298" s="2">
        <f ca="1">IFERROR(__xludf.DUMMYFUNCTION("""COMPUTED_VALUE"""),44919.6646511805)</f>
        <v>44919.664651180501</v>
      </c>
      <c r="B298" s="1" t="str">
        <f ca="1">IFERROR(__xludf.DUMMYFUNCTION("""COMPUTED_VALUE"""),"India")</f>
        <v>India</v>
      </c>
      <c r="C298" s="1">
        <f ca="1">IFERROR(__xludf.DUMMYFUNCTION("""COMPUTED_VALUE"""),576213)</f>
        <v>576213</v>
      </c>
      <c r="D298" s="1" t="str">
        <f ca="1">IFERROR(__xludf.DUMMYFUNCTION("""COMPUTED_VALUE"""),"Female")</f>
        <v>Female</v>
      </c>
      <c r="E298" s="1" t="str">
        <f ca="1">IFERROR(__xludf.DUMMYFUNCTION("""COMPUTED_VALUE"""),"My Parents")</f>
        <v>My Parents</v>
      </c>
      <c r="F298" s="1" t="str">
        <f ca="1">IFERROR(__xludf.DUMMYFUNCTION("""COMPUTED_VALUE"""),"No, But if someone could bare the cost I will")</f>
        <v>No, But if someone could bare the cost I will</v>
      </c>
      <c r="G298" s="1" t="str">
        <f ca="1">IFERROR(__xludf.DUMMYFUNCTION("""COMPUTED_VALUE"""),"This will be hard to do, but if it is the right company I would try")</f>
        <v>This will be hard to do, but if it is the right company I would try</v>
      </c>
      <c r="H298" s="1" t="str">
        <f ca="1">IFERROR(__xludf.DUMMYFUNCTION("""COMPUTED_VALUE"""),"No")</f>
        <v>No</v>
      </c>
      <c r="I298" s="1" t="str">
        <f ca="1">IFERROR(__xludf.DUMMYFUNCTION("""COMPUTED_VALUE"""),"Will NOT work for them")</f>
        <v>Will NOT work for them</v>
      </c>
      <c r="J298" s="1">
        <f ca="1">IFERROR(__xludf.DUMMYFUNCTION("""COMPUTED_VALUE"""),5)</f>
        <v>5</v>
      </c>
      <c r="K298" s="1" t="str">
        <f ca="1">IFERROR(__xludf.DUMMYFUNCTION("""COMPUTED_VALUE"""),"Fully Remote with Options to travel as and when needed")</f>
        <v>Fully Remote with Options to travel as and when needed</v>
      </c>
      <c r="L298" s="1" t="str">
        <f ca="1">IFERROR(__xludf.DUMMYFUNCTION("""COMPUTED_VALUE"""),"Employer who rewards learning and enables that environment")</f>
        <v>Employer who rewards learning and enables that environment</v>
      </c>
      <c r="M298" s="1" t="str">
        <f ca="1">IFERROR(__xludf.DUMMYFUNCTION("""COMPUTED_VALUE"""),"Self Paced Learning Portals, Instructor or Expert Learning Programs")</f>
        <v>Self Paced Learning Portals, Instructor or Expert Learning Programs</v>
      </c>
      <c r="N298" s="1" t="str">
        <f ca="1">IFERROR(__xludf.DUMMYFUNCTION("""COMPUTED_VALUE"""),"Build and develop a Team, Design and Develop amazing software, Look deeply into Data and generate insights")</f>
        <v>Build and develop a Team, Design and Develop amazing software, Look deeply into Data and generate insights</v>
      </c>
      <c r="O298" s="1" t="str">
        <f ca="1">IFERROR(__xludf.DUMMYFUNCTION("""COMPUTED_VALUE"""),"Manager who clearly describes what she/he needs")</f>
        <v>Manager who clearly describes what she/he needs</v>
      </c>
      <c r="P298" s="1" t="str">
        <f ca="1">IFERROR(__xludf.DUMMYFUNCTION("""COMPUTED_VALUE"""),"Work with 7 to 10 or more people in my team")</f>
        <v>Work with 7 to 10 or more people in my team</v>
      </c>
      <c r="Q298" s="1"/>
      <c r="R298" s="1"/>
      <c r="S298" s="1"/>
    </row>
    <row r="299" spans="1:19" ht="12.5" x14ac:dyDescent="0.25">
      <c r="A299" s="2">
        <f ca="1">IFERROR(__xludf.DUMMYFUNCTION("""COMPUTED_VALUE"""),44919.6716289699)</f>
        <v>44919.671628969903</v>
      </c>
      <c r="B299" s="1" t="str">
        <f ca="1">IFERROR(__xludf.DUMMYFUNCTION("""COMPUTED_VALUE"""),"India")</f>
        <v>India</v>
      </c>
      <c r="C299" s="1">
        <f ca="1">IFERROR(__xludf.DUMMYFUNCTION("""COMPUTED_VALUE"""),400101)</f>
        <v>400101</v>
      </c>
      <c r="D299" s="1" t="str">
        <f ca="1">IFERROR(__xludf.DUMMYFUNCTION("""COMPUTED_VALUE"""),"Male")</f>
        <v>Male</v>
      </c>
      <c r="E299" s="1" t="str">
        <f ca="1">IFERROR(__xludf.DUMMYFUNCTION("""COMPUTED_VALUE"""),"People from my circle, but not family members")</f>
        <v>People from my circle, but not family members</v>
      </c>
      <c r="F299" s="1" t="str">
        <f ca="1">IFERROR(__xludf.DUMMYFUNCTION("""COMPUTED_VALUE"""),"No I would not be pursuing Higher Education outside of India")</f>
        <v>No I would not be pursuing Higher Education outside of India</v>
      </c>
      <c r="G299" s="1" t="str">
        <f ca="1">IFERROR(__xludf.DUMMYFUNCTION("""COMPUTED_VALUE"""),"This will be hard to do, but if it is the right company I would try")</f>
        <v>This will be hard to do, but if it is the right company I would try</v>
      </c>
      <c r="H299" s="1" t="str">
        <f ca="1">IFERROR(__xludf.DUMMYFUNCTION("""COMPUTED_VALUE"""),"No")</f>
        <v>No</v>
      </c>
      <c r="I299" s="1" t="str">
        <f ca="1">IFERROR(__xludf.DUMMYFUNCTION("""COMPUTED_VALUE"""),"Will NOT work for them")</f>
        <v>Will NOT work for them</v>
      </c>
      <c r="J299" s="1">
        <f ca="1">IFERROR(__xludf.DUMMYFUNCTION("""COMPUTED_VALUE"""),1)</f>
        <v>1</v>
      </c>
      <c r="K299" s="1" t="str">
        <f ca="1">IFERROR(__xludf.DUMMYFUNCTION("""COMPUTED_VALUE"""),"Hybrid Working Environment with less than 15 days a month at office")</f>
        <v>Hybrid Working Environment with less than 15 days a month at office</v>
      </c>
      <c r="L299" s="1" t="str">
        <f ca="1">IFERROR(__xludf.DUMMYFUNCTION("""COMPUTED_VALUE"""),"Employer who rewards learning and enables that environment")</f>
        <v>Employer who rewards learning and enables that environment</v>
      </c>
      <c r="M299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299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299" s="1" t="str">
        <f ca="1">IFERROR(__xludf.DUMMYFUNCTION("""COMPUTED_VALUE"""),"Manager who clearly describes what she/he needs")</f>
        <v>Manager who clearly describes what she/he needs</v>
      </c>
      <c r="P299" s="1" t="str">
        <f ca="1">IFERROR(__xludf.DUMMYFUNCTION("""COMPUTED_VALUE"""),"Work alone")</f>
        <v>Work alone</v>
      </c>
      <c r="Q299" s="1"/>
      <c r="R299" s="1"/>
      <c r="S299" s="1"/>
    </row>
    <row r="300" spans="1:19" ht="12.5" x14ac:dyDescent="0.25">
      <c r="A300" s="2">
        <f ca="1">IFERROR(__xludf.DUMMYFUNCTION("""COMPUTED_VALUE"""),44919.6728348032)</f>
        <v>44919.672834803197</v>
      </c>
      <c r="B300" s="1" t="str">
        <f ca="1">IFERROR(__xludf.DUMMYFUNCTION("""COMPUTED_VALUE"""),"India")</f>
        <v>India</v>
      </c>
      <c r="C300" s="1">
        <f ca="1">IFERROR(__xludf.DUMMYFUNCTION("""COMPUTED_VALUE"""),400028)</f>
        <v>400028</v>
      </c>
      <c r="D300" s="1" t="str">
        <f ca="1">IFERROR(__xludf.DUMMYFUNCTION("""COMPUTED_VALUE"""),"Female")</f>
        <v>Female</v>
      </c>
      <c r="E300" s="1" t="str">
        <f ca="1">IFERROR(__xludf.DUMMYFUNCTION("""COMPUTED_VALUE"""),"People who have changed the world for better")</f>
        <v>People who have changed the world for better</v>
      </c>
      <c r="F300" s="1" t="str">
        <f ca="1">IFERROR(__xludf.DUMMYFUNCTION("""COMPUTED_VALUE"""),"Yes, I will earn and do that")</f>
        <v>Yes, I will earn and do that</v>
      </c>
      <c r="G300" s="1" t="str">
        <f ca="1">IFERROR(__xludf.DUMMYFUNCTION("""COMPUTED_VALUE"""),"This will be hard to do, but if it is the right company I would try")</f>
        <v>This will be hard to do, but if it is the right company I would try</v>
      </c>
      <c r="H300" s="1" t="str">
        <f ca="1">IFERROR(__xludf.DUMMYFUNCTION("""COMPUTED_VALUE"""),"Yes")</f>
        <v>Yes</v>
      </c>
      <c r="I300" s="1" t="str">
        <f ca="1">IFERROR(__xludf.DUMMYFUNCTION("""COMPUTED_VALUE"""),"Will NOT work for them")</f>
        <v>Will NOT work for them</v>
      </c>
      <c r="J300" s="1">
        <f ca="1">IFERROR(__xludf.DUMMYFUNCTION("""COMPUTED_VALUE"""),8)</f>
        <v>8</v>
      </c>
      <c r="K300" s="1" t="str">
        <f ca="1">IFERROR(__xludf.DUMMYFUNCTION("""COMPUTED_VALUE"""),"Fully Remote with No option to visit offices")</f>
        <v>Fully Remote with No option to visit offices</v>
      </c>
      <c r="L300" s="1" t="str">
        <f ca="1">IFERROR(__xludf.DUMMYFUNCTION("""COMPUTED_VALUE"""),"Employer who appreciates learning and enables that environment")</f>
        <v>Employer who appreciates learning and enables that environment</v>
      </c>
      <c r="M300" s="1" t="str">
        <f ca="1">IFERROR(__xludf.DUMMYFUNCTION("""COMPUTED_VALUE"""),"Self Paced Learning Portals, Learning by observing others")</f>
        <v>Self Paced Learning Portals, Learning by observing others</v>
      </c>
      <c r="N300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00" s="1" t="str">
        <f ca="1">IFERROR(__xludf.DUMMYFUNCTION("""COMPUTED_VALUE"""),"Manager who sets targets and expects me to achieve it")</f>
        <v>Manager who sets targets and expects me to achieve it</v>
      </c>
      <c r="P300" s="1" t="str">
        <f ca="1">IFERROR(__xludf.DUMMYFUNCTION("""COMPUTED_VALUE"""),"Work alone")</f>
        <v>Work alone</v>
      </c>
      <c r="Q300" s="1"/>
      <c r="R300" s="1"/>
      <c r="S300" s="1"/>
    </row>
    <row r="301" spans="1:19" ht="12.5" x14ac:dyDescent="0.25">
      <c r="A301" s="2">
        <f ca="1">IFERROR(__xludf.DUMMYFUNCTION("""COMPUTED_VALUE"""),44919.7080869212)</f>
        <v>44919.7080869212</v>
      </c>
      <c r="B301" s="1" t="str">
        <f ca="1">IFERROR(__xludf.DUMMYFUNCTION("""COMPUTED_VALUE"""),"India")</f>
        <v>India</v>
      </c>
      <c r="C301" s="1">
        <f ca="1">IFERROR(__xludf.DUMMYFUNCTION("""COMPUTED_VALUE"""),574214)</f>
        <v>574214</v>
      </c>
      <c r="D301" s="1" t="str">
        <f ca="1">IFERROR(__xludf.DUMMYFUNCTION("""COMPUTED_VALUE"""),"Female")</f>
        <v>Female</v>
      </c>
      <c r="E301" s="1" t="str">
        <f ca="1">IFERROR(__xludf.DUMMYFUNCTION("""COMPUTED_VALUE"""),"My Parents")</f>
        <v>My Parents</v>
      </c>
      <c r="F301" s="1" t="str">
        <f ca="1">IFERROR(__xludf.DUMMYFUNCTION("""COMPUTED_VALUE"""),"No, But if someone could bare the cost I will")</f>
        <v>No, But if someone could bare the cost I will</v>
      </c>
      <c r="G301" s="1" t="str">
        <f ca="1">IFERROR(__xludf.DUMMYFUNCTION("""COMPUTED_VALUE"""),"This will be hard to do, but if it is the right company I would try")</f>
        <v>This will be hard to do, but if it is the right company I would try</v>
      </c>
      <c r="H301" s="1" t="str">
        <f ca="1">IFERROR(__xludf.DUMMYFUNCTION("""COMPUTED_VALUE"""),"No")</f>
        <v>No</v>
      </c>
      <c r="I301" s="1" t="str">
        <f ca="1">IFERROR(__xludf.DUMMYFUNCTION("""COMPUTED_VALUE"""),"Will NOT work for them")</f>
        <v>Will NOT work for them</v>
      </c>
      <c r="J301" s="1">
        <f ca="1">IFERROR(__xludf.DUMMYFUNCTION("""COMPUTED_VALUE"""),5)</f>
        <v>5</v>
      </c>
      <c r="K301" s="1" t="str">
        <f ca="1">IFERROR(__xludf.DUMMYFUNCTION("""COMPUTED_VALUE"""),"Fully Remote with Options to travel as and when needed")</f>
        <v>Fully Remote with Options to travel as and when needed</v>
      </c>
      <c r="L301" s="1" t="str">
        <f ca="1">IFERROR(__xludf.DUMMYFUNCTION("""COMPUTED_VALUE"""),"Employer who rewards learning and enables that environment")</f>
        <v>Employer who rewards learning and enables that environment</v>
      </c>
      <c r="M301" s="1" t="str">
        <f ca="1">IFERROR(__xludf.DUMMYFUNCTION("""COMPUTED_VALUE"""),"Self Paced Learning Portals, Instructor or Expert Learning Programs")</f>
        <v>Self Paced Learning Portals, Instructor or Expert Learning Programs</v>
      </c>
      <c r="N301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301" s="1" t="str">
        <f ca="1">IFERROR(__xludf.DUMMYFUNCTION("""COMPUTED_VALUE"""),"Manager who explains what is expected, sets a goal and helps achieve it")</f>
        <v>Manager who explains what is expected, sets a goal and helps achieve it</v>
      </c>
      <c r="P301" s="1" t="str">
        <f ca="1">IFERROR(__xludf.DUMMYFUNCTION("""COMPUTED_VALUE"""),"Work with 2 to 3 people in my team")</f>
        <v>Work with 2 to 3 people in my team</v>
      </c>
      <c r="Q301" s="1"/>
      <c r="R301" s="1"/>
      <c r="S301" s="1"/>
    </row>
    <row r="302" spans="1:19" ht="12.5" x14ac:dyDescent="0.25">
      <c r="A302" s="2">
        <f ca="1">IFERROR(__xludf.DUMMYFUNCTION("""COMPUTED_VALUE"""),44919.7263927893)</f>
        <v>44919.7263927893</v>
      </c>
      <c r="B302" s="1" t="str">
        <f ca="1">IFERROR(__xludf.DUMMYFUNCTION("""COMPUTED_VALUE"""),"India")</f>
        <v>India</v>
      </c>
      <c r="C302" s="1">
        <f ca="1">IFERROR(__xludf.DUMMYFUNCTION("""COMPUTED_VALUE"""),576101)</f>
        <v>576101</v>
      </c>
      <c r="D302" s="1" t="str">
        <f ca="1">IFERROR(__xludf.DUMMYFUNCTION("""COMPUTED_VALUE"""),"Female")</f>
        <v>Female</v>
      </c>
      <c r="E302" s="1" t="str">
        <f ca="1">IFERROR(__xludf.DUMMYFUNCTION("""COMPUTED_VALUE"""),"Influencers who had successful careers")</f>
        <v>Influencers who had successful careers</v>
      </c>
      <c r="F302" s="1" t="str">
        <f ca="1">IFERROR(__xludf.DUMMYFUNCTION("""COMPUTED_VALUE"""),"No, But if someone could bare the cost I will")</f>
        <v>No, But if someone could bare the cost I will</v>
      </c>
      <c r="G302" s="1" t="str">
        <f ca="1">IFERROR(__xludf.DUMMYFUNCTION("""COMPUTED_VALUE"""),"This will be hard to do, but if it is the right company I would try")</f>
        <v>This will be hard to do, but if it is the right company I would try</v>
      </c>
      <c r="H302" s="1" t="str">
        <f ca="1">IFERROR(__xludf.DUMMYFUNCTION("""COMPUTED_VALUE"""),"No")</f>
        <v>No</v>
      </c>
      <c r="I302" s="1" t="str">
        <f ca="1">IFERROR(__xludf.DUMMYFUNCTION("""COMPUTED_VALUE"""),"Will NOT work for them")</f>
        <v>Will NOT work for them</v>
      </c>
      <c r="J302" s="1">
        <f ca="1">IFERROR(__xludf.DUMMYFUNCTION("""COMPUTED_VALUE"""),2)</f>
        <v>2</v>
      </c>
      <c r="K302" s="1" t="str">
        <f ca="1">IFERROR(__xludf.DUMMYFUNCTION("""COMPUTED_VALUE"""),"Hybrid Working Environment with less than 15 days a month at office")</f>
        <v>Hybrid Working Environment with less than 15 days a month at office</v>
      </c>
      <c r="L3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02" s="1" t="str">
        <f ca="1">IFERROR(__xludf.DUMMYFUNCTION("""COMPUTED_VALUE"""),"Self Paced Learning Portals, Instructor or Expert Learning Programs")</f>
        <v>Self Paced Learning Portals, Instructor or Expert Learning Programs</v>
      </c>
      <c r="N302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302" s="1" t="str">
        <f ca="1">IFERROR(__xludf.DUMMYFUNCTION("""COMPUTED_VALUE"""),"Manager who explains what is expected, sets a goal and helps achieve it")</f>
        <v>Manager who explains what is expected, sets a goal and helps achieve it</v>
      </c>
      <c r="P302" s="1" t="str">
        <f ca="1">IFERROR(__xludf.DUMMYFUNCTION("""COMPUTED_VALUE"""),"Work alone, Work with 5 to 6 people in my team")</f>
        <v>Work alone, Work with 5 to 6 people in my team</v>
      </c>
      <c r="Q302" s="1"/>
      <c r="R302" s="1"/>
      <c r="S302" s="1"/>
    </row>
    <row r="303" spans="1:19" ht="12.5" x14ac:dyDescent="0.25">
      <c r="A303" s="2">
        <f ca="1">IFERROR(__xludf.DUMMYFUNCTION("""COMPUTED_VALUE"""),44919.7392865162)</f>
        <v>44919.739286516196</v>
      </c>
      <c r="B303" s="1" t="str">
        <f ca="1">IFERROR(__xludf.DUMMYFUNCTION("""COMPUTED_VALUE"""),"India")</f>
        <v>India</v>
      </c>
      <c r="C303" s="1">
        <f ca="1">IFERROR(__xludf.DUMMYFUNCTION("""COMPUTED_VALUE"""),385001)</f>
        <v>385001</v>
      </c>
      <c r="D303" s="1" t="str">
        <f ca="1">IFERROR(__xludf.DUMMYFUNCTION("""COMPUTED_VALUE"""),"Female")</f>
        <v>Female</v>
      </c>
      <c r="E303" s="1" t="str">
        <f ca="1">IFERROR(__xludf.DUMMYFUNCTION("""COMPUTED_VALUE"""),"Social Media like LinkedIn")</f>
        <v>Social Media like LinkedIn</v>
      </c>
      <c r="F303" s="1" t="str">
        <f ca="1">IFERROR(__xludf.DUMMYFUNCTION("""COMPUTED_VALUE"""),"Yes, I will earn and do that")</f>
        <v>Yes, I will earn and do that</v>
      </c>
      <c r="G303" s="1" t="str">
        <f ca="1">IFERROR(__xludf.DUMMYFUNCTION("""COMPUTED_VALUE"""),"No way, 3 years with one employer is crazy")</f>
        <v>No way, 3 years with one employer is crazy</v>
      </c>
      <c r="H303" s="1" t="str">
        <f ca="1">IFERROR(__xludf.DUMMYFUNCTION("""COMPUTED_VALUE"""),"Yes")</f>
        <v>Yes</v>
      </c>
      <c r="I303" s="1" t="str">
        <f ca="1">IFERROR(__xludf.DUMMYFUNCTION("""COMPUTED_VALUE"""),"Will NOT work for them")</f>
        <v>Will NOT work for them</v>
      </c>
      <c r="J303" s="1">
        <f ca="1">IFERROR(__xludf.DUMMYFUNCTION("""COMPUTED_VALUE"""),10)</f>
        <v>10</v>
      </c>
      <c r="K303" s="1" t="str">
        <f ca="1">IFERROR(__xludf.DUMMYFUNCTION("""COMPUTED_VALUE"""),"Fully Remote with No option to visit offices")</f>
        <v>Fully Remote with No option to visit offices</v>
      </c>
      <c r="L303" s="1" t="str">
        <f ca="1">IFERROR(__xludf.DUMMYFUNCTION("""COMPUTED_VALUE"""),"Employer who rewards learning and enables that environment")</f>
        <v>Employer who rewards learning and enables that environment</v>
      </c>
      <c r="M303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303" s="1" t="str">
        <f ca="1">IFERROR(__xludf.DUMMYFUNCTION("""COMPUTED_VALUE"""),"Design and Creative strategy in any company, Teaching in any of the institutes/online or Offline, Build and develop a Team")</f>
        <v>Design and Creative strategy in any company, Teaching in any of the institutes/online or Offline, Build and develop a Team</v>
      </c>
      <c r="O303" s="1" t="str">
        <f ca="1">IFERROR(__xludf.DUMMYFUNCTION("""COMPUTED_VALUE"""),"Manager who sets targets and expects me to achieve it")</f>
        <v>Manager who sets targets and expects me to achieve it</v>
      </c>
      <c r="P303" s="1" t="str">
        <f ca="1">IFERROR(__xludf.DUMMYFUNCTION("""COMPUTED_VALUE"""),"Work with more than 10 people in my team")</f>
        <v>Work with more than 10 people in my team</v>
      </c>
      <c r="Q303" s="1"/>
      <c r="R303" s="1"/>
      <c r="S303" s="1"/>
    </row>
    <row r="304" spans="1:19" ht="12.5" x14ac:dyDescent="0.25">
      <c r="A304" s="2">
        <f ca="1">IFERROR(__xludf.DUMMYFUNCTION("""COMPUTED_VALUE"""),44919.9693147569)</f>
        <v>44919.969314756898</v>
      </c>
      <c r="B304" s="1" t="str">
        <f ca="1">IFERROR(__xludf.DUMMYFUNCTION("""COMPUTED_VALUE"""),"India")</f>
        <v>India</v>
      </c>
      <c r="C304" s="1">
        <f ca="1">IFERROR(__xludf.DUMMYFUNCTION("""COMPUTED_VALUE"""),574227)</f>
        <v>574227</v>
      </c>
      <c r="D304" s="1" t="str">
        <f ca="1">IFERROR(__xludf.DUMMYFUNCTION("""COMPUTED_VALUE"""),"Female")</f>
        <v>Female</v>
      </c>
      <c r="E304" s="1" t="str">
        <f ca="1">IFERROR(__xludf.DUMMYFUNCTION("""COMPUTED_VALUE"""),"Influencers who had successful careers")</f>
        <v>Influencers who had successful careers</v>
      </c>
      <c r="F304" s="1" t="str">
        <f ca="1">IFERROR(__xludf.DUMMYFUNCTION("""COMPUTED_VALUE"""),"No I would not be pursuing Higher Education outside of India")</f>
        <v>No I would not be pursuing Higher Education outside of India</v>
      </c>
      <c r="G304" s="1" t="str">
        <f ca="1">IFERROR(__xludf.DUMMYFUNCTION("""COMPUTED_VALUE"""),"Will work for 3 years or more")</f>
        <v>Will work for 3 years or more</v>
      </c>
      <c r="H304" s="1" t="str">
        <f ca="1">IFERROR(__xludf.DUMMYFUNCTION("""COMPUTED_VALUE"""),"No")</f>
        <v>No</v>
      </c>
      <c r="I304" s="1" t="str">
        <f ca="1">IFERROR(__xludf.DUMMYFUNCTION("""COMPUTED_VALUE"""),"Will NOT work for them")</f>
        <v>Will NOT work for them</v>
      </c>
      <c r="J304" s="1">
        <f ca="1">IFERROR(__xludf.DUMMYFUNCTION("""COMPUTED_VALUE"""),5)</f>
        <v>5</v>
      </c>
      <c r="K304" s="1" t="str">
        <f ca="1">IFERROR(__xludf.DUMMYFUNCTION("""COMPUTED_VALUE"""),"Hybrid Working Environment with less than 10 days a month at office")</f>
        <v>Hybrid Working Environment with less than 10 days a month at office</v>
      </c>
      <c r="L3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0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04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04" s="1" t="str">
        <f ca="1">IFERROR(__xludf.DUMMYFUNCTION("""COMPUTED_VALUE"""),"Manager who explains what is expected, sets a goal and helps achieve it")</f>
        <v>Manager who explains what is expected, sets a goal and helps achieve it</v>
      </c>
      <c r="P304" s="1" t="str">
        <f ca="1">IFERROR(__xludf.DUMMYFUNCTION("""COMPUTED_VALUE"""),"Work with 7 to 10 or more people in my team")</f>
        <v>Work with 7 to 10 or more people in my team</v>
      </c>
      <c r="Q304" s="1"/>
      <c r="R304" s="1"/>
      <c r="S304" s="1"/>
    </row>
    <row r="305" spans="1:19" ht="12.5" x14ac:dyDescent="0.25">
      <c r="A305" s="2">
        <f ca="1">IFERROR(__xludf.DUMMYFUNCTION("""COMPUTED_VALUE"""),44920.6712373726)</f>
        <v>44920.671237372597</v>
      </c>
      <c r="B305" s="1" t="str">
        <f ca="1">IFERROR(__xludf.DUMMYFUNCTION("""COMPUTED_VALUE"""),"India")</f>
        <v>India</v>
      </c>
      <c r="C305" s="1">
        <f ca="1">IFERROR(__xludf.DUMMYFUNCTION("""COMPUTED_VALUE"""),210424)</f>
        <v>210424</v>
      </c>
      <c r="D305" s="1" t="str">
        <f ca="1">IFERROR(__xludf.DUMMYFUNCTION("""COMPUTED_VALUE"""),"Male")</f>
        <v>Male</v>
      </c>
      <c r="E305" s="1" t="str">
        <f ca="1">IFERROR(__xludf.DUMMYFUNCTION("""COMPUTED_VALUE"""),"People from my circle, but not family members")</f>
        <v>People from my circle, but not family members</v>
      </c>
      <c r="F305" s="1" t="str">
        <f ca="1">IFERROR(__xludf.DUMMYFUNCTION("""COMPUTED_VALUE"""),"No I would not be pursuing Higher Education outside of India")</f>
        <v>No I would not be pursuing Higher Education outside of India</v>
      </c>
      <c r="G305" s="1" t="str">
        <f ca="1">IFERROR(__xludf.DUMMYFUNCTION("""COMPUTED_VALUE"""),"Will work for 3 years or more")</f>
        <v>Will work for 3 years or more</v>
      </c>
      <c r="H305" s="1" t="str">
        <f ca="1">IFERROR(__xludf.DUMMYFUNCTION("""COMPUTED_VALUE"""),"No")</f>
        <v>No</v>
      </c>
      <c r="I305" s="1" t="str">
        <f ca="1">IFERROR(__xludf.DUMMYFUNCTION("""COMPUTED_VALUE"""),"Will NOT work for them")</f>
        <v>Will NOT work for them</v>
      </c>
      <c r="J305" s="1">
        <f ca="1">IFERROR(__xludf.DUMMYFUNCTION("""COMPUTED_VALUE"""),5)</f>
        <v>5</v>
      </c>
      <c r="K305" s="1" t="str">
        <f ca="1">IFERROR(__xludf.DUMMYFUNCTION("""COMPUTED_VALUE"""),"Hybrid Working Environment with less than 10 days a month at office")</f>
        <v>Hybrid Working Environment with less than 10 days a month at office</v>
      </c>
      <c r="L305" s="1" t="str">
        <f ca="1">IFERROR(__xludf.DUMMYFUNCTION("""COMPUTED_VALUE"""),"Employer who appreciates learning and enables that environment")</f>
        <v>Employer who appreciates learning and enables that environment</v>
      </c>
      <c r="M305" s="1" t="str">
        <f ca="1">IFERROR(__xludf.DUMMYFUNCTION("""COMPUTED_VALUE"""),"Instructor or Expert Learning Programs, Learning by observing others")</f>
        <v>Instructor or Expert Learning Programs, Learning by observing others</v>
      </c>
      <c r="N305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305" s="1" t="str">
        <f ca="1">IFERROR(__xludf.DUMMYFUNCTION("""COMPUTED_VALUE"""),"Manager who sets goal and helps me achieve it")</f>
        <v>Manager who sets goal and helps me achieve it</v>
      </c>
      <c r="P305" s="1" t="str">
        <f ca="1">IFERROR(__xludf.DUMMYFUNCTION("""COMPUTED_VALUE"""),"Work with 2 to 3 people in my team")</f>
        <v>Work with 2 to 3 people in my team</v>
      </c>
      <c r="Q305" s="1"/>
      <c r="R305" s="1"/>
      <c r="S305" s="1"/>
    </row>
    <row r="306" spans="1:19" ht="12.5" x14ac:dyDescent="0.25">
      <c r="A306" s="2">
        <f ca="1">IFERROR(__xludf.DUMMYFUNCTION("""COMPUTED_VALUE"""),44920.6721050694)</f>
        <v>44920.672105069403</v>
      </c>
      <c r="B306" s="1" t="str">
        <f ca="1">IFERROR(__xludf.DUMMYFUNCTION("""COMPUTED_VALUE"""),"India")</f>
        <v>India</v>
      </c>
      <c r="C306" s="1">
        <f ca="1">IFERROR(__xludf.DUMMYFUNCTION("""COMPUTED_VALUE"""),600100)</f>
        <v>600100</v>
      </c>
      <c r="D306" s="1" t="str">
        <f ca="1">IFERROR(__xludf.DUMMYFUNCTION("""COMPUTED_VALUE"""),"Female")</f>
        <v>Female</v>
      </c>
      <c r="E306" s="1" t="str">
        <f ca="1">IFERROR(__xludf.DUMMYFUNCTION("""COMPUTED_VALUE"""),"My Parents")</f>
        <v>My Parents</v>
      </c>
      <c r="F306" s="1" t="str">
        <f ca="1">IFERROR(__xludf.DUMMYFUNCTION("""COMPUTED_VALUE"""),"No, But if someone could bare the cost I will")</f>
        <v>No, But if someone could bare the cost I will</v>
      </c>
      <c r="G306" s="1" t="str">
        <f ca="1">IFERROR(__xludf.DUMMYFUNCTION("""COMPUTED_VALUE"""),"This will be hard to do, but if it is the right company I would try")</f>
        <v>This will be hard to do, but if it is the right company I would try</v>
      </c>
      <c r="H306" s="1" t="str">
        <f ca="1">IFERROR(__xludf.DUMMYFUNCTION("""COMPUTED_VALUE"""),"No")</f>
        <v>No</v>
      </c>
      <c r="I306" s="1" t="str">
        <f ca="1">IFERROR(__xludf.DUMMYFUNCTION("""COMPUTED_VALUE"""),"Will NOT work for them")</f>
        <v>Will NOT work for them</v>
      </c>
      <c r="J306" s="1">
        <f ca="1">IFERROR(__xludf.DUMMYFUNCTION("""COMPUTED_VALUE"""),9)</f>
        <v>9</v>
      </c>
      <c r="K306" s="1" t="str">
        <f ca="1">IFERROR(__xludf.DUMMYFUNCTION("""COMPUTED_VALUE"""),"Hybrid Working Environment with less than 15 days a month at office")</f>
        <v>Hybrid Working Environment with less than 15 days a month at office</v>
      </c>
      <c r="L3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06" s="1" t="str">
        <f ca="1">IFERROR(__xludf.DUMMYFUNCTION("""COMPUTED_VALUE"""),"Self Paced Learning Portals, Instructor or Expert Learning Programs")</f>
        <v>Self Paced Learning Portals, Instructor or Expert Learning Programs</v>
      </c>
      <c r="N306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306" s="1" t="str">
        <f ca="1">IFERROR(__xludf.DUMMYFUNCTION("""COMPUTED_VALUE"""),"Manager who clearly describes what she/he needs")</f>
        <v>Manager who clearly describes what she/he needs</v>
      </c>
      <c r="P306" s="1" t="str">
        <f ca="1">IFERROR(__xludf.DUMMYFUNCTION("""COMPUTED_VALUE"""),"Work with 5 to 6 people in my team")</f>
        <v>Work with 5 to 6 people in my team</v>
      </c>
      <c r="Q306" s="1"/>
      <c r="R306" s="1"/>
      <c r="S306" s="1"/>
    </row>
    <row r="307" spans="1:19" ht="12.5" x14ac:dyDescent="0.25">
      <c r="A307" s="2">
        <f ca="1">IFERROR(__xludf.DUMMYFUNCTION("""COMPUTED_VALUE"""),44920.6784597569)</f>
        <v>44920.678459756899</v>
      </c>
      <c r="B307" s="1" t="str">
        <f ca="1">IFERROR(__xludf.DUMMYFUNCTION("""COMPUTED_VALUE"""),"India")</f>
        <v>India</v>
      </c>
      <c r="C307" s="1">
        <f ca="1">IFERROR(__xludf.DUMMYFUNCTION("""COMPUTED_VALUE"""),210427)</f>
        <v>210427</v>
      </c>
      <c r="D307" s="1" t="str">
        <f ca="1">IFERROR(__xludf.DUMMYFUNCTION("""COMPUTED_VALUE"""),"Male")</f>
        <v>Male</v>
      </c>
      <c r="E307" s="1" t="str">
        <f ca="1">IFERROR(__xludf.DUMMYFUNCTION("""COMPUTED_VALUE"""),"Social Media like LinkedIn")</f>
        <v>Social Media like LinkedIn</v>
      </c>
      <c r="F307" s="1" t="str">
        <f ca="1">IFERROR(__xludf.DUMMYFUNCTION("""COMPUTED_VALUE"""),"Yes, I will earn and do that")</f>
        <v>Yes, I will earn and do that</v>
      </c>
      <c r="G307" s="1" t="str">
        <f ca="1">IFERROR(__xludf.DUMMYFUNCTION("""COMPUTED_VALUE"""),"This will be hard to do, but if it is the right company I would try")</f>
        <v>This will be hard to do, but if it is the right company I would try</v>
      </c>
      <c r="H307" s="1" t="str">
        <f ca="1">IFERROR(__xludf.DUMMYFUNCTION("""COMPUTED_VALUE"""),"No")</f>
        <v>No</v>
      </c>
      <c r="I307" s="1" t="str">
        <f ca="1">IFERROR(__xludf.DUMMYFUNCTION("""COMPUTED_VALUE"""),"Will NOT work for them")</f>
        <v>Will NOT work for them</v>
      </c>
      <c r="J307" s="1">
        <f ca="1">IFERROR(__xludf.DUMMYFUNCTION("""COMPUTED_VALUE"""),8)</f>
        <v>8</v>
      </c>
      <c r="K307" s="1" t="str">
        <f ca="1">IFERROR(__xludf.DUMMYFUNCTION("""COMPUTED_VALUE"""),"Hybrid Working Environment with less than 3 days a month at office")</f>
        <v>Hybrid Working Environment with less than 3 days a month at office</v>
      </c>
      <c r="L3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07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307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307" s="1" t="str">
        <f ca="1">IFERROR(__xludf.DUMMYFUNCTION("""COMPUTED_VALUE"""),"Manager who explains what is expected, sets a goal and helps achieve it")</f>
        <v>Manager who explains what is expected, sets a goal and helps achieve it</v>
      </c>
      <c r="P307" s="1" t="str">
        <f ca="1">IFERROR(__xludf.DUMMYFUNCTION("""COMPUTED_VALUE"""),"Work alone")</f>
        <v>Work alone</v>
      </c>
      <c r="Q307" s="1"/>
      <c r="R307" s="1"/>
      <c r="S307" s="1"/>
    </row>
    <row r="308" spans="1:19" ht="12.5" x14ac:dyDescent="0.25">
      <c r="A308" s="2">
        <f ca="1">IFERROR(__xludf.DUMMYFUNCTION("""COMPUTED_VALUE"""),44920.7275024421)</f>
        <v>44920.727502442103</v>
      </c>
      <c r="B308" s="1" t="str">
        <f ca="1">IFERROR(__xludf.DUMMYFUNCTION("""COMPUTED_VALUE"""),"India")</f>
        <v>India</v>
      </c>
      <c r="C308" s="1">
        <f ca="1">IFERROR(__xludf.DUMMYFUNCTION("""COMPUTED_VALUE"""),210424)</f>
        <v>210424</v>
      </c>
      <c r="D308" s="1" t="str">
        <f ca="1">IFERROR(__xludf.DUMMYFUNCTION("""COMPUTED_VALUE"""),"Male")</f>
        <v>Male</v>
      </c>
      <c r="E308" s="1" t="str">
        <f ca="1">IFERROR(__xludf.DUMMYFUNCTION("""COMPUTED_VALUE"""),"My Parents")</f>
        <v>My Parents</v>
      </c>
      <c r="F308" s="1" t="str">
        <f ca="1">IFERROR(__xludf.DUMMYFUNCTION("""COMPUTED_VALUE"""),"No I would not be pursuing Higher Education outside of India")</f>
        <v>No I would not be pursuing Higher Education outside of India</v>
      </c>
      <c r="G308" s="1" t="str">
        <f ca="1">IFERROR(__xludf.DUMMYFUNCTION("""COMPUTED_VALUE"""),"This will be hard to do, but if it is the right company I would try")</f>
        <v>This will be hard to do, but if it is the right company I would try</v>
      </c>
      <c r="H308" s="1" t="str">
        <f ca="1">IFERROR(__xludf.DUMMYFUNCTION("""COMPUTED_VALUE"""),"No")</f>
        <v>No</v>
      </c>
      <c r="I308" s="1" t="str">
        <f ca="1">IFERROR(__xludf.DUMMYFUNCTION("""COMPUTED_VALUE"""),"Will NOT work for them")</f>
        <v>Will NOT work for them</v>
      </c>
      <c r="J308" s="1">
        <f ca="1">IFERROR(__xludf.DUMMYFUNCTION("""COMPUTED_VALUE"""),5)</f>
        <v>5</v>
      </c>
      <c r="K308" s="1" t="str">
        <f ca="1">IFERROR(__xludf.DUMMYFUNCTION("""COMPUTED_VALUE"""),"Fully Remote with Options to travel as and when needed")</f>
        <v>Fully Remote with Options to travel as and when needed</v>
      </c>
      <c r="L308" s="1" t="str">
        <f ca="1">IFERROR(__xludf.DUMMYFUNCTION("""COMPUTED_VALUE"""),"Employer who appreciates learning and enables that environment")</f>
        <v>Employer who appreciates learning and enables that environment</v>
      </c>
      <c r="M308" s="1" t="str">
        <f ca="1">IFERROR(__xludf.DUMMYFUNCTION("""COMPUTED_VALUE"""),"Self Paced Learning Portals, Instructor or Expert Learning Programs")</f>
        <v>Self Paced Learning Portals, Instructor or Expert Learning Programs</v>
      </c>
      <c r="N308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308" s="1" t="str">
        <f ca="1">IFERROR(__xludf.DUMMYFUNCTION("""COMPUTED_VALUE"""),"Manager who sets goal and helps me achieve it")</f>
        <v>Manager who sets goal and helps me achieve it</v>
      </c>
      <c r="P308" s="1" t="str">
        <f ca="1">IFERROR(__xludf.DUMMYFUNCTION("""COMPUTED_VALUE"""),"Work alone")</f>
        <v>Work alone</v>
      </c>
      <c r="Q308" s="1"/>
      <c r="R308" s="1"/>
      <c r="S308" s="1"/>
    </row>
    <row r="309" spans="1:19" ht="12.5" x14ac:dyDescent="0.25">
      <c r="A309" s="2">
        <f ca="1">IFERROR(__xludf.DUMMYFUNCTION("""COMPUTED_VALUE"""),44921.23996978)</f>
        <v>44921.239969779999</v>
      </c>
      <c r="B309" s="1" t="str">
        <f ca="1">IFERROR(__xludf.DUMMYFUNCTION("""COMPUTED_VALUE"""),"India")</f>
        <v>India</v>
      </c>
      <c r="C309" s="1">
        <f ca="1">IFERROR(__xludf.DUMMYFUNCTION("""COMPUTED_VALUE"""),828120)</f>
        <v>828120</v>
      </c>
      <c r="D309" s="1" t="str">
        <f ca="1">IFERROR(__xludf.DUMMYFUNCTION("""COMPUTED_VALUE"""),"Female")</f>
        <v>Female</v>
      </c>
      <c r="E309" s="1" t="str">
        <f ca="1">IFERROR(__xludf.DUMMYFUNCTION("""COMPUTED_VALUE"""),"People who have changed the world for better")</f>
        <v>People who have changed the world for better</v>
      </c>
      <c r="F309" s="1" t="str">
        <f ca="1">IFERROR(__xludf.DUMMYFUNCTION("""COMPUTED_VALUE"""),"No I would not be pursuing Higher Education outside of India")</f>
        <v>No I would not be pursuing Higher Education outside of India</v>
      </c>
      <c r="G309" s="1" t="str">
        <f ca="1">IFERROR(__xludf.DUMMYFUNCTION("""COMPUTED_VALUE"""),"This will be hard to do, but if it is the right company I would try")</f>
        <v>This will be hard to do, but if it is the right company I would try</v>
      </c>
      <c r="H309" s="1" t="str">
        <f ca="1">IFERROR(__xludf.DUMMYFUNCTION("""COMPUTED_VALUE"""),"No")</f>
        <v>No</v>
      </c>
      <c r="I309" s="1" t="str">
        <f ca="1">IFERROR(__xludf.DUMMYFUNCTION("""COMPUTED_VALUE"""),"Will NOT work for them")</f>
        <v>Will NOT work for them</v>
      </c>
      <c r="J309" s="1">
        <f ca="1">IFERROR(__xludf.DUMMYFUNCTION("""COMPUTED_VALUE"""),5)</f>
        <v>5</v>
      </c>
      <c r="K309" s="1" t="str">
        <f ca="1">IFERROR(__xludf.DUMMYFUNCTION("""COMPUTED_VALUE"""),"Fully Remote with No option to visit offices")</f>
        <v>Fully Remote with No option to visit offices</v>
      </c>
      <c r="L309" s="1" t="str">
        <f ca="1">IFERROR(__xludf.DUMMYFUNCTION("""COMPUTED_VALUE"""),"Employer who appreciates learning and enables that environment")</f>
        <v>Employer who appreciates learning and enables that environment</v>
      </c>
      <c r="M309" s="1" t="str">
        <f ca="1">IFERROR(__xludf.DUMMYFUNCTION("""COMPUTED_VALUE"""),"Instructor or Expert Learning Programs, Learning by observing others")</f>
        <v>Instructor or Expert Learning Programs, Learning by observing others</v>
      </c>
      <c r="N309" s="1" t="str">
        <f ca="1">IFERROR(__xludf.DUMMYFUNCTION("""COMPUTED_VALUE"""),"Teaching in any of the institutes/online or Offline, Build and develop a Team, Look deeply into Data and generate insights")</f>
        <v>Teaching in any of the institutes/online or Offline, Build and develop a Team, Look deeply into Data and generate insights</v>
      </c>
      <c r="O309" s="1" t="str">
        <f ca="1">IFERROR(__xludf.DUMMYFUNCTION("""COMPUTED_VALUE"""),"Manager who sets goal and helps me achieve it")</f>
        <v>Manager who sets goal and helps me achieve it</v>
      </c>
      <c r="P309" s="1" t="str">
        <f ca="1">IFERROR(__xludf.DUMMYFUNCTION("""COMPUTED_VALUE"""),"Work with 5 to 6 people in my team")</f>
        <v>Work with 5 to 6 people in my team</v>
      </c>
      <c r="Q309" s="1"/>
      <c r="R309" s="1"/>
      <c r="S309" s="1"/>
    </row>
    <row r="310" spans="1:19" ht="12.5" x14ac:dyDescent="0.25">
      <c r="A310" s="2">
        <f ca="1">IFERROR(__xludf.DUMMYFUNCTION("""COMPUTED_VALUE"""),44922.4101984838)</f>
        <v>44922.410198483798</v>
      </c>
      <c r="B310" s="1" t="str">
        <f ca="1">IFERROR(__xludf.DUMMYFUNCTION("""COMPUTED_VALUE"""),"India")</f>
        <v>India</v>
      </c>
      <c r="C310" s="1">
        <f ca="1">IFERROR(__xludf.DUMMYFUNCTION("""COMPUTED_VALUE"""),743127)</f>
        <v>743127</v>
      </c>
      <c r="D310" s="1" t="str">
        <f ca="1">IFERROR(__xludf.DUMMYFUNCTION("""COMPUTED_VALUE"""),"Male")</f>
        <v>Male</v>
      </c>
      <c r="E310" s="1" t="str">
        <f ca="1">IFERROR(__xludf.DUMMYFUNCTION("""COMPUTED_VALUE"""),"People who have changed the world for better")</f>
        <v>People who have changed the world for better</v>
      </c>
      <c r="F310" s="1" t="str">
        <f ca="1">IFERROR(__xludf.DUMMYFUNCTION("""COMPUTED_VALUE"""),"Yes, I will earn and do that")</f>
        <v>Yes, I will earn and do that</v>
      </c>
      <c r="G310" s="1" t="str">
        <f ca="1">IFERROR(__xludf.DUMMYFUNCTION("""COMPUTED_VALUE"""),"Will work for 3 years or more")</f>
        <v>Will work for 3 years or more</v>
      </c>
      <c r="H310" s="1" t="str">
        <f ca="1">IFERROR(__xludf.DUMMYFUNCTION("""COMPUTED_VALUE"""),"No")</f>
        <v>No</v>
      </c>
      <c r="I310" s="1" t="str">
        <f ca="1">IFERROR(__xludf.DUMMYFUNCTION("""COMPUTED_VALUE"""),"Will NOT work for them")</f>
        <v>Will NOT work for them</v>
      </c>
      <c r="J310" s="1">
        <f ca="1">IFERROR(__xludf.DUMMYFUNCTION("""COMPUTED_VALUE"""),2)</f>
        <v>2</v>
      </c>
      <c r="K310" s="1" t="str">
        <f ca="1">IFERROR(__xludf.DUMMYFUNCTION("""COMPUTED_VALUE"""),"Fully Remote with Options to travel as and when needed")</f>
        <v>Fully Remote with Options to travel as and when needed</v>
      </c>
      <c r="L3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10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310" s="1" t="str">
        <f ca="1">IFERROR(__xludf.DUMMYFUNCTION("""COMPUTED_VALUE"""),"Business Operations in any organization, Build and develop a Team, Work as a freelancer and do my thing my way")</f>
        <v>Business Operations in any organization, Build and develop a Team, Work as a freelancer and do my thing my way</v>
      </c>
      <c r="O310" s="1" t="str">
        <f ca="1">IFERROR(__xludf.DUMMYFUNCTION("""COMPUTED_VALUE"""),"Manager who explains what is expected, sets a goal and helps achieve it")</f>
        <v>Manager who explains what is expected, sets a goal and helps achieve it</v>
      </c>
      <c r="P310" s="1" t="str">
        <f ca="1">IFERROR(__xludf.DUMMYFUNCTION("""COMPUTED_VALUE"""),"Work with more than 10 people in my team")</f>
        <v>Work with more than 10 people in my team</v>
      </c>
      <c r="Q310" s="1"/>
      <c r="R310" s="1"/>
      <c r="S310" s="1"/>
    </row>
    <row r="311" spans="1:19" ht="12.5" x14ac:dyDescent="0.25">
      <c r="A311" s="2">
        <f ca="1">IFERROR(__xludf.DUMMYFUNCTION("""COMPUTED_VALUE"""),44925.2234842013)</f>
        <v>44925.223484201299</v>
      </c>
      <c r="B311" s="1" t="str">
        <f ca="1">IFERROR(__xludf.DUMMYFUNCTION("""COMPUTED_VALUE"""),"Canada")</f>
        <v>Canada</v>
      </c>
      <c r="C311" s="1" t="str">
        <f ca="1">IFERROR(__xludf.DUMMYFUNCTION("""COMPUTED_VALUE"""),"N9B2K9")</f>
        <v>N9B2K9</v>
      </c>
      <c r="D311" s="1" t="str">
        <f ca="1">IFERROR(__xludf.DUMMYFUNCTION("""COMPUTED_VALUE"""),"Male")</f>
        <v>Male</v>
      </c>
      <c r="E311" s="1" t="str">
        <f ca="1">IFERROR(__xludf.DUMMYFUNCTION("""COMPUTED_VALUE"""),"Social Media like LinkedIn")</f>
        <v>Social Media like LinkedIn</v>
      </c>
      <c r="F311" s="1" t="str">
        <f ca="1">IFERROR(__xludf.DUMMYFUNCTION("""COMPUTED_VALUE"""),"Yes, I will earn and do that")</f>
        <v>Yes, I will earn and do that</v>
      </c>
      <c r="G311" s="1" t="str">
        <f ca="1">IFERROR(__xludf.DUMMYFUNCTION("""COMPUTED_VALUE"""),"Will work for 3 years or more")</f>
        <v>Will work for 3 years or more</v>
      </c>
      <c r="H311" s="1" t="str">
        <f ca="1">IFERROR(__xludf.DUMMYFUNCTION("""COMPUTED_VALUE"""),"No")</f>
        <v>No</v>
      </c>
      <c r="I311" s="1" t="str">
        <f ca="1">IFERROR(__xludf.DUMMYFUNCTION("""COMPUTED_VALUE"""),"Will NOT work for them")</f>
        <v>Will NOT work for them</v>
      </c>
      <c r="J311" s="1">
        <f ca="1">IFERROR(__xludf.DUMMYFUNCTION("""COMPUTED_VALUE"""),5)</f>
        <v>5</v>
      </c>
      <c r="K311" s="1" t="str">
        <f ca="1">IFERROR(__xludf.DUMMYFUNCTION("""COMPUTED_VALUE"""),"Fully Remote with Options to travel as and when needed")</f>
        <v>Fully Remote with Options to travel as and when needed</v>
      </c>
      <c r="L311" s="1" t="str">
        <f ca="1">IFERROR(__xludf.DUMMYFUNCTION("""COMPUTED_VALUE"""),"Employer who appreciates learning and enables that environment")</f>
        <v>Employer who appreciates learning and enables that environment</v>
      </c>
      <c r="M311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311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311" s="1" t="str">
        <f ca="1">IFERROR(__xludf.DUMMYFUNCTION("""COMPUTED_VALUE"""),"Manager who sets goal and helps me achieve it")</f>
        <v>Manager who sets goal and helps me achieve it</v>
      </c>
      <c r="P311" s="1" t="str">
        <f ca="1">IFERROR(__xludf.DUMMYFUNCTION("""COMPUTED_VALUE"""),"Work with more than 10 people in my team")</f>
        <v>Work with more than 10 people in my team</v>
      </c>
      <c r="Q311" s="1"/>
      <c r="R311" s="1"/>
      <c r="S311" s="1"/>
    </row>
    <row r="312" spans="1:19" ht="12.5" x14ac:dyDescent="0.25">
      <c r="A312" s="2">
        <f ca="1">IFERROR(__xludf.DUMMYFUNCTION("""COMPUTED_VALUE"""),44925.3416531365)</f>
        <v>44925.3416531365</v>
      </c>
      <c r="B312" s="1" t="str">
        <f ca="1">IFERROR(__xludf.DUMMYFUNCTION("""COMPUTED_VALUE"""),"India")</f>
        <v>India</v>
      </c>
      <c r="C312" s="1">
        <f ca="1">IFERROR(__xludf.DUMMYFUNCTION("""COMPUTED_VALUE"""),560064)</f>
        <v>560064</v>
      </c>
      <c r="D312" s="1" t="str">
        <f ca="1">IFERROR(__xludf.DUMMYFUNCTION("""COMPUTED_VALUE"""),"Female")</f>
        <v>Female</v>
      </c>
      <c r="E312" s="1" t="str">
        <f ca="1">IFERROR(__xludf.DUMMYFUNCTION("""COMPUTED_VALUE"""),"My Parents")</f>
        <v>My Parents</v>
      </c>
      <c r="F312" s="1" t="str">
        <f ca="1">IFERROR(__xludf.DUMMYFUNCTION("""COMPUTED_VALUE"""),"Yes, I will earn and do that")</f>
        <v>Yes, I will earn and do that</v>
      </c>
      <c r="G312" s="1" t="str">
        <f ca="1">IFERROR(__xludf.DUMMYFUNCTION("""COMPUTED_VALUE"""),"Will work for 3 years or more")</f>
        <v>Will work for 3 years or more</v>
      </c>
      <c r="H312" s="1" t="str">
        <f ca="1">IFERROR(__xludf.DUMMYFUNCTION("""COMPUTED_VALUE"""),"No")</f>
        <v>No</v>
      </c>
      <c r="I312" s="1" t="str">
        <f ca="1">IFERROR(__xludf.DUMMYFUNCTION("""COMPUTED_VALUE"""),"Will NOT work for them")</f>
        <v>Will NOT work for them</v>
      </c>
      <c r="J312" s="1">
        <f ca="1">IFERROR(__xludf.DUMMYFUNCTION("""COMPUTED_VALUE"""),5)</f>
        <v>5</v>
      </c>
      <c r="K312" s="1" t="str">
        <f ca="1">IFERROR(__xludf.DUMMYFUNCTION("""COMPUTED_VALUE"""),"Every Day Office Environment")</f>
        <v>Every Day Office Environment</v>
      </c>
      <c r="L3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12" s="1" t="str">
        <f ca="1">IFERROR(__xludf.DUMMYFUNCTION("""COMPUTED_VALUE"""),"Self Paced Learning Portals, Instructor or Expert Learning Programs")</f>
        <v>Self Paced Learning Portals, Instructor or Expert Learning Programs</v>
      </c>
      <c r="N312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312" s="1" t="str">
        <f ca="1">IFERROR(__xludf.DUMMYFUNCTION("""COMPUTED_VALUE"""),"Manager who explains what is expected, sets a goal and helps achieve it")</f>
        <v>Manager who explains what is expected, sets a goal and helps achieve it</v>
      </c>
      <c r="P312" s="1" t="str">
        <f ca="1">IFERROR(__xludf.DUMMYFUNCTION("""COMPUTED_VALUE"""),"Work with 2 to 3 people in my team")</f>
        <v>Work with 2 to 3 people in my team</v>
      </c>
      <c r="Q312" s="1"/>
      <c r="R312" s="1"/>
      <c r="S312" s="1"/>
    </row>
    <row r="313" spans="1:19" ht="12.5" x14ac:dyDescent="0.25">
      <c r="A313" s="2">
        <f ca="1">IFERROR(__xludf.DUMMYFUNCTION("""COMPUTED_VALUE"""),44925.4868696296)</f>
        <v>44925.486869629603</v>
      </c>
      <c r="B313" s="1" t="str">
        <f ca="1">IFERROR(__xludf.DUMMYFUNCTION("""COMPUTED_VALUE"""),"India")</f>
        <v>India</v>
      </c>
      <c r="C313" s="1">
        <f ca="1">IFERROR(__xludf.DUMMYFUNCTION("""COMPUTED_VALUE"""),814112)</f>
        <v>814112</v>
      </c>
      <c r="D313" s="1" t="str">
        <f ca="1">IFERROR(__xludf.DUMMYFUNCTION("""COMPUTED_VALUE"""),"Male")</f>
        <v>Male</v>
      </c>
      <c r="E313" s="1" t="str">
        <f ca="1">IFERROR(__xludf.DUMMYFUNCTION("""COMPUTED_VALUE"""),"People who have changed the world for better")</f>
        <v>People who have changed the world for better</v>
      </c>
      <c r="F313" s="1" t="str">
        <f ca="1">IFERROR(__xludf.DUMMYFUNCTION("""COMPUTED_VALUE"""),"No, But if someone could bare the cost I will")</f>
        <v>No, But if someone could bare the cost I will</v>
      </c>
      <c r="G313" s="1" t="str">
        <f ca="1">IFERROR(__xludf.DUMMYFUNCTION("""COMPUTED_VALUE"""),"This will be hard to do, but if it is the right company I would try")</f>
        <v>This will be hard to do, but if it is the right company I would try</v>
      </c>
      <c r="H313" s="1" t="str">
        <f ca="1">IFERROR(__xludf.DUMMYFUNCTION("""COMPUTED_VALUE"""),"No")</f>
        <v>No</v>
      </c>
      <c r="I313" s="1" t="str">
        <f ca="1">IFERROR(__xludf.DUMMYFUNCTION("""COMPUTED_VALUE"""),"Will NOT work for them")</f>
        <v>Will NOT work for them</v>
      </c>
      <c r="J313" s="1">
        <f ca="1">IFERROR(__xludf.DUMMYFUNCTION("""COMPUTED_VALUE"""),8)</f>
        <v>8</v>
      </c>
      <c r="K313" s="1" t="str">
        <f ca="1">IFERROR(__xludf.DUMMYFUNCTION("""COMPUTED_VALUE"""),"Fully Remote with Options to travel as and when needed")</f>
        <v>Fully Remote with Options to travel as and when needed</v>
      </c>
      <c r="L313" s="1" t="str">
        <f ca="1">IFERROR(__xludf.DUMMYFUNCTION("""COMPUTED_VALUE"""),"Employer who rewards learning and enables that environment")</f>
        <v>Employer who rewards learning and enables that environment</v>
      </c>
      <c r="M313" s="1" t="str">
        <f ca="1">IFERROR(__xludf.DUMMYFUNCTION("""COMPUTED_VALUE"""),"Instructor or Expert Learning Programs, Learning by observing others")</f>
        <v>Instructor or Expert Learning Programs, Learning by observing others</v>
      </c>
      <c r="N313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313" s="1" t="str">
        <f ca="1">IFERROR(__xludf.DUMMYFUNCTION("""COMPUTED_VALUE"""),"Manager who explains what is expected, sets a goal and helps achieve it")</f>
        <v>Manager who explains what is expected, sets a goal and helps achieve it</v>
      </c>
      <c r="P313" s="1" t="str">
        <f ca="1">IFERROR(__xludf.DUMMYFUNCTION("""COMPUTED_VALUE"""),"Work with 2 to 3 people in my team")</f>
        <v>Work with 2 to 3 people in my team</v>
      </c>
      <c r="Q313" s="1"/>
      <c r="R313" s="1"/>
      <c r="S313" s="1"/>
    </row>
    <row r="314" spans="1:19" ht="12.5" x14ac:dyDescent="0.25">
      <c r="A314" s="2">
        <f ca="1">IFERROR(__xludf.DUMMYFUNCTION("""COMPUTED_VALUE"""),44926.5888028819)</f>
        <v>44926.588802881903</v>
      </c>
      <c r="B314" s="1" t="str">
        <f ca="1">IFERROR(__xludf.DUMMYFUNCTION("""COMPUTED_VALUE"""),"India")</f>
        <v>India</v>
      </c>
      <c r="C314" s="1">
        <f ca="1">IFERROR(__xludf.DUMMYFUNCTION("""COMPUTED_VALUE"""),147001)</f>
        <v>147001</v>
      </c>
      <c r="D314" s="1" t="str">
        <f ca="1">IFERROR(__xludf.DUMMYFUNCTION("""COMPUTED_VALUE"""),"Female")</f>
        <v>Female</v>
      </c>
      <c r="E314" s="1" t="str">
        <f ca="1">IFERROR(__xludf.DUMMYFUNCTION("""COMPUTED_VALUE"""),"People who have changed the world for better")</f>
        <v>People who have changed the world for better</v>
      </c>
      <c r="F314" s="1" t="str">
        <f ca="1">IFERROR(__xludf.DUMMYFUNCTION("""COMPUTED_VALUE"""),"No, But if someone could bare the cost I will")</f>
        <v>No, But if someone could bare the cost I will</v>
      </c>
      <c r="G314" s="1" t="str">
        <f ca="1">IFERROR(__xludf.DUMMYFUNCTION("""COMPUTED_VALUE"""),"This will be hard to do, but if it is the right company I would try")</f>
        <v>This will be hard to do, but if it is the right company I would try</v>
      </c>
      <c r="H314" s="1" t="str">
        <f ca="1">IFERROR(__xludf.DUMMYFUNCTION("""COMPUTED_VALUE"""),"Yes")</f>
        <v>Yes</v>
      </c>
      <c r="I314" s="1" t="str">
        <f ca="1">IFERROR(__xludf.DUMMYFUNCTION("""COMPUTED_VALUE"""),"Will NOT work for them")</f>
        <v>Will NOT work for them</v>
      </c>
      <c r="J314" s="1">
        <f ca="1">IFERROR(__xludf.DUMMYFUNCTION("""COMPUTED_VALUE"""),7)</f>
        <v>7</v>
      </c>
      <c r="K314" s="1" t="str">
        <f ca="1">IFERROR(__xludf.DUMMYFUNCTION("""COMPUTED_VALUE"""),"Fully Remote with Options to travel as and when needed")</f>
        <v>Fully Remote with Options to travel as and when needed</v>
      </c>
      <c r="L3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14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314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314" s="1" t="str">
        <f ca="1">IFERROR(__xludf.DUMMYFUNCTION("""COMPUTED_VALUE"""),"Manager who explains what is expected, sets a goal and helps achieve it")</f>
        <v>Manager who explains what is expected, sets a goal and helps achieve it</v>
      </c>
      <c r="P314" s="1" t="str">
        <f ca="1">IFERROR(__xludf.DUMMYFUNCTION("""COMPUTED_VALUE"""),"Work with 2 to 3 people in my team")</f>
        <v>Work with 2 to 3 people in my team</v>
      </c>
      <c r="Q314" s="1"/>
      <c r="R314" s="1"/>
      <c r="S314" s="1"/>
    </row>
    <row r="315" spans="1:19" ht="12.5" x14ac:dyDescent="0.25">
      <c r="A315" s="2">
        <f ca="1">IFERROR(__xludf.DUMMYFUNCTION("""COMPUTED_VALUE"""),44926.6492813194)</f>
        <v>44926.649281319398</v>
      </c>
      <c r="B315" s="1" t="str">
        <f ca="1">IFERROR(__xludf.DUMMYFUNCTION("""COMPUTED_VALUE"""),"Canada")</f>
        <v>Canada</v>
      </c>
      <c r="C315" s="1" t="str">
        <f ca="1">IFERROR(__xludf.DUMMYFUNCTION("""COMPUTED_VALUE"""),"S4s6a6")</f>
        <v>S4s6a6</v>
      </c>
      <c r="D315" s="1" t="str">
        <f ca="1">IFERROR(__xludf.DUMMYFUNCTION("""COMPUTED_VALUE"""),"Female")</f>
        <v>Female</v>
      </c>
      <c r="E315" s="1" t="str">
        <f ca="1">IFERROR(__xludf.DUMMYFUNCTION("""COMPUTED_VALUE"""),"Influencers who had successful careers")</f>
        <v>Influencers who had successful careers</v>
      </c>
      <c r="F315" s="1" t="str">
        <f ca="1">IFERROR(__xludf.DUMMYFUNCTION("""COMPUTED_VALUE"""),"Yes, I will earn and do that")</f>
        <v>Yes, I will earn and do that</v>
      </c>
      <c r="G315" s="1" t="str">
        <f ca="1">IFERROR(__xludf.DUMMYFUNCTION("""COMPUTED_VALUE"""),"This will be hard to do, but if it is the right company I would try")</f>
        <v>This will be hard to do, but if it is the right company I would try</v>
      </c>
      <c r="H315" s="1" t="str">
        <f ca="1">IFERROR(__xludf.DUMMYFUNCTION("""COMPUTED_VALUE"""),"No")</f>
        <v>No</v>
      </c>
      <c r="I315" s="1" t="str">
        <f ca="1">IFERROR(__xludf.DUMMYFUNCTION("""COMPUTED_VALUE"""),"Will NOT work for them")</f>
        <v>Will NOT work for them</v>
      </c>
      <c r="J315" s="1">
        <f ca="1">IFERROR(__xludf.DUMMYFUNCTION("""COMPUTED_VALUE"""),1)</f>
        <v>1</v>
      </c>
      <c r="K315" s="1" t="str">
        <f ca="1">IFERROR(__xludf.DUMMYFUNCTION("""COMPUTED_VALUE"""),"Fully Remote with Options to travel as and when needed")</f>
        <v>Fully Remote with Options to travel as and when needed</v>
      </c>
      <c r="L3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15" s="1" t="str">
        <f ca="1">IFERROR(__xludf.DUMMYFUNCTION("""COMPUTED_VALUE"""),"Self Paced Learning Portals, Learning by observing others")</f>
        <v>Self Paced Learning Portals, Learning by observing others</v>
      </c>
      <c r="N315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315" s="1" t="str">
        <f ca="1">IFERROR(__xludf.DUMMYFUNCTION("""COMPUTED_VALUE"""),"Manager who explains what is expected, sets a goal and helps achieve it")</f>
        <v>Manager who explains what is expected, sets a goal and helps achieve it</v>
      </c>
      <c r="P315" s="1" t="str">
        <f ca="1">IFERROR(__xludf.DUMMYFUNCTION("""COMPUTED_VALUE"""),"Work with more than 10 people in my team")</f>
        <v>Work with more than 10 people in my team</v>
      </c>
      <c r="Q315" s="1"/>
      <c r="R315" s="1"/>
      <c r="S315" s="1"/>
    </row>
    <row r="316" spans="1:19" ht="12.5" x14ac:dyDescent="0.25">
      <c r="A316" s="2">
        <f ca="1">IFERROR(__xludf.DUMMYFUNCTION("""COMPUTED_VALUE"""),44926.7506061921)</f>
        <v>44926.750606192101</v>
      </c>
      <c r="B316" s="1" t="str">
        <f ca="1">IFERROR(__xludf.DUMMYFUNCTION("""COMPUTED_VALUE"""),"India")</f>
        <v>India</v>
      </c>
      <c r="C316" s="1">
        <f ca="1">IFERROR(__xludf.DUMMYFUNCTION("""COMPUTED_VALUE"""),431601)</f>
        <v>431601</v>
      </c>
      <c r="D316" s="1" t="str">
        <f ca="1">IFERROR(__xludf.DUMMYFUNCTION("""COMPUTED_VALUE"""),"Male")</f>
        <v>Male</v>
      </c>
      <c r="E316" s="1" t="str">
        <f ca="1">IFERROR(__xludf.DUMMYFUNCTION("""COMPUTED_VALUE"""),"Influencers who had successful careers")</f>
        <v>Influencers who had successful careers</v>
      </c>
      <c r="F316" s="1" t="str">
        <f ca="1">IFERROR(__xludf.DUMMYFUNCTION("""COMPUTED_VALUE"""),"Yes, I will earn and do that")</f>
        <v>Yes, I will earn and do that</v>
      </c>
      <c r="G316" s="1" t="str">
        <f ca="1">IFERROR(__xludf.DUMMYFUNCTION("""COMPUTED_VALUE"""),"Will work for 3 years or more")</f>
        <v>Will work for 3 years or more</v>
      </c>
      <c r="H316" s="1" t="str">
        <f ca="1">IFERROR(__xludf.DUMMYFUNCTION("""COMPUTED_VALUE"""),"Yes")</f>
        <v>Yes</v>
      </c>
      <c r="I316" s="1" t="str">
        <f ca="1">IFERROR(__xludf.DUMMYFUNCTION("""COMPUTED_VALUE"""),"Will work for them")</f>
        <v>Will work for them</v>
      </c>
      <c r="J316" s="1">
        <f ca="1">IFERROR(__xludf.DUMMYFUNCTION("""COMPUTED_VALUE"""),4)</f>
        <v>4</v>
      </c>
      <c r="K316" s="1" t="str">
        <f ca="1">IFERROR(__xludf.DUMMYFUNCTION("""COMPUTED_VALUE"""),"Hybrid Working Environment with less than 10 days a month at office")</f>
        <v>Hybrid Working Environment with less than 10 days a month at office</v>
      </c>
      <c r="L3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16" s="1" t="str">
        <f ca="1">IFERROR(__xludf.DUMMYFUNCTION("""COMPUTED_VALUE"""),"Instructor or Expert Learning Programs, Learning by observing others")</f>
        <v>Instructor or Expert Learning Programs, Learning by observing others</v>
      </c>
      <c r="N316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316" s="1" t="str">
        <f ca="1">IFERROR(__xludf.DUMMYFUNCTION("""COMPUTED_VALUE"""),"Manager who sets targets and expects me to achieve it")</f>
        <v>Manager who sets targets and expects me to achieve it</v>
      </c>
      <c r="P316" s="1" t="str">
        <f ca="1">IFERROR(__xludf.DUMMYFUNCTION("""COMPUTED_VALUE"""),"Work with 5 to 6 people in my team")</f>
        <v>Work with 5 to 6 people in my team</v>
      </c>
      <c r="Q316" s="1"/>
      <c r="R316" s="1"/>
      <c r="S316" s="1"/>
    </row>
    <row r="317" spans="1:19" ht="12.5" x14ac:dyDescent="0.25">
      <c r="A317" s="2">
        <f ca="1">IFERROR(__xludf.DUMMYFUNCTION("""COMPUTED_VALUE"""),44926.8332774074)</f>
        <v>44926.833277407401</v>
      </c>
      <c r="B317" s="1" t="str">
        <f ca="1">IFERROR(__xludf.DUMMYFUNCTION("""COMPUTED_VALUE"""),"India")</f>
        <v>India</v>
      </c>
      <c r="C317" s="1">
        <f ca="1">IFERROR(__xludf.DUMMYFUNCTION("""COMPUTED_VALUE"""),147001)</f>
        <v>147001</v>
      </c>
      <c r="D317" s="1" t="str">
        <f ca="1">IFERROR(__xludf.DUMMYFUNCTION("""COMPUTED_VALUE"""),"Female")</f>
        <v>Female</v>
      </c>
      <c r="E317" s="1" t="str">
        <f ca="1">IFERROR(__xludf.DUMMYFUNCTION("""COMPUTED_VALUE"""),"My Parents")</f>
        <v>My Parents</v>
      </c>
      <c r="F317" s="1" t="str">
        <f ca="1">IFERROR(__xludf.DUMMYFUNCTION("""COMPUTED_VALUE"""),"No I would not be pursuing Higher Education outside of India")</f>
        <v>No I would not be pursuing Higher Education outside of India</v>
      </c>
      <c r="G317" s="1" t="str">
        <f ca="1">IFERROR(__xludf.DUMMYFUNCTION("""COMPUTED_VALUE"""),"Will work for 3 years or more")</f>
        <v>Will work for 3 years or more</v>
      </c>
      <c r="H317" s="1" t="str">
        <f ca="1">IFERROR(__xludf.DUMMYFUNCTION("""COMPUTED_VALUE"""),"No")</f>
        <v>No</v>
      </c>
      <c r="I317" s="1" t="str">
        <f ca="1">IFERROR(__xludf.DUMMYFUNCTION("""COMPUTED_VALUE"""),"Will NOT work for them")</f>
        <v>Will NOT work for them</v>
      </c>
      <c r="J317" s="1">
        <f ca="1">IFERROR(__xludf.DUMMYFUNCTION("""COMPUTED_VALUE"""),1)</f>
        <v>1</v>
      </c>
      <c r="K317" s="1" t="str">
        <f ca="1">IFERROR(__xludf.DUMMYFUNCTION("""COMPUTED_VALUE"""),"Fully Remote with No option to visit offices")</f>
        <v>Fully Remote with No option to visit offices</v>
      </c>
      <c r="L3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1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17" s="1" t="str">
        <f ca="1">IFERROR(__xludf.DUMMYFUNCTION("""COMPUTED_VALUE"""),"Business Operations in any organization, Build and develop a Team, Work in a BPO setup for some well known client")</f>
        <v>Business Operations in any organization, Build and develop a Team, Work in a BPO setup for some well known client</v>
      </c>
      <c r="O317" s="1" t="str">
        <f ca="1">IFERROR(__xludf.DUMMYFUNCTION("""COMPUTED_VALUE"""),"Manager who sets goal and helps me achieve it")</f>
        <v>Manager who sets goal and helps me achieve it</v>
      </c>
      <c r="P317" s="1" t="str">
        <f ca="1">IFERROR(__xludf.DUMMYFUNCTION("""COMPUTED_VALUE"""),"Work with 5 to 6 people in my team")</f>
        <v>Work with 5 to 6 people in my team</v>
      </c>
      <c r="Q317" s="1"/>
      <c r="R317" s="1"/>
      <c r="S317" s="1"/>
    </row>
    <row r="318" spans="1:19" ht="12.5" x14ac:dyDescent="0.25">
      <c r="A318" s="2">
        <f ca="1">IFERROR(__xludf.DUMMYFUNCTION("""COMPUTED_VALUE"""),44926.879094699)</f>
        <v>44926.879094698998</v>
      </c>
      <c r="B318" s="1" t="str">
        <f ca="1">IFERROR(__xludf.DUMMYFUNCTION("""COMPUTED_VALUE"""),"India")</f>
        <v>India</v>
      </c>
      <c r="C318" s="1">
        <f ca="1">IFERROR(__xludf.DUMMYFUNCTION("""COMPUTED_VALUE"""),412308)</f>
        <v>412308</v>
      </c>
      <c r="D318" s="1" t="str">
        <f ca="1">IFERROR(__xludf.DUMMYFUNCTION("""COMPUTED_VALUE"""),"Male")</f>
        <v>Male</v>
      </c>
      <c r="E318" s="1" t="str">
        <f ca="1">IFERROR(__xludf.DUMMYFUNCTION("""COMPUTED_VALUE"""),"My Parents")</f>
        <v>My Parents</v>
      </c>
      <c r="F318" s="1" t="str">
        <f ca="1">IFERROR(__xludf.DUMMYFUNCTION("""COMPUTED_VALUE"""),"No I would not be pursuing Higher Education outside of India")</f>
        <v>No I would not be pursuing Higher Education outside of India</v>
      </c>
      <c r="G318" s="1" t="str">
        <f ca="1">IFERROR(__xludf.DUMMYFUNCTION("""COMPUTED_VALUE"""),"No way, 3 years with one employer is crazy")</f>
        <v>No way, 3 years with one employer is crazy</v>
      </c>
      <c r="H318" s="1" t="str">
        <f ca="1">IFERROR(__xludf.DUMMYFUNCTION("""COMPUTED_VALUE"""),"Yes")</f>
        <v>Yes</v>
      </c>
      <c r="I318" s="1" t="str">
        <f ca="1">IFERROR(__xludf.DUMMYFUNCTION("""COMPUTED_VALUE"""),"Will work for them")</f>
        <v>Will work for them</v>
      </c>
      <c r="J318" s="1">
        <f ca="1">IFERROR(__xludf.DUMMYFUNCTION("""COMPUTED_VALUE"""),5)</f>
        <v>5</v>
      </c>
      <c r="K318" s="1" t="str">
        <f ca="1">IFERROR(__xludf.DUMMYFUNCTION("""COMPUTED_VALUE"""),"Hybrid Working Environment with less than 3 days a month at office")</f>
        <v>Hybrid Working Environment with less than 3 days a month at office</v>
      </c>
      <c r="L3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18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318" s="1" t="str">
        <f ca="1">IFERROR(__xludf.DUMMYFUNCTION("""COMPUTED_VALUE"""),"Design and Creative strategy in any company, Teaching in any of the institutes/online or Offline, Business Operations in any organization")</f>
        <v>Design and Creative strategy in any company, Teaching in any of the institutes/online or Offline, Business Operations in any organization</v>
      </c>
      <c r="O318" s="1" t="str">
        <f ca="1">IFERROR(__xludf.DUMMYFUNCTION("""COMPUTED_VALUE"""),"Manager who explains what is expected, sets a goal and helps achieve it")</f>
        <v>Manager who explains what is expected, sets a goal and helps achieve it</v>
      </c>
      <c r="P318" s="1" t="str">
        <f ca="1">IFERROR(__xludf.DUMMYFUNCTION("""COMPUTED_VALUE"""),"Work with 5 to 6 people in my team")</f>
        <v>Work with 5 to 6 people in my team</v>
      </c>
      <c r="Q318" s="1"/>
      <c r="R318" s="1"/>
      <c r="S318" s="1"/>
    </row>
    <row r="319" spans="1:19" ht="12.5" x14ac:dyDescent="0.25">
      <c r="A319" s="2">
        <f ca="1">IFERROR(__xludf.DUMMYFUNCTION("""COMPUTED_VALUE"""),44928.9700246412)</f>
        <v>44928.970024641203</v>
      </c>
      <c r="B319" s="1" t="str">
        <f ca="1">IFERROR(__xludf.DUMMYFUNCTION("""COMPUTED_VALUE"""),"India")</f>
        <v>India</v>
      </c>
      <c r="C319" s="1">
        <f ca="1">IFERROR(__xludf.DUMMYFUNCTION("""COMPUTED_VALUE"""),627004)</f>
        <v>627004</v>
      </c>
      <c r="D319" s="1" t="str">
        <f ca="1">IFERROR(__xludf.DUMMYFUNCTION("""COMPUTED_VALUE"""),"Male")</f>
        <v>Male</v>
      </c>
      <c r="E319" s="1" t="str">
        <f ca="1">IFERROR(__xludf.DUMMYFUNCTION("""COMPUTED_VALUE"""),"Influencers who had successful careers")</f>
        <v>Influencers who had successful careers</v>
      </c>
      <c r="F319" s="1" t="str">
        <f ca="1">IFERROR(__xludf.DUMMYFUNCTION("""COMPUTED_VALUE"""),"No I would not be pursuing Higher Education outside of India")</f>
        <v>No I would not be pursuing Higher Education outside of India</v>
      </c>
      <c r="G319" s="1" t="str">
        <f ca="1">IFERROR(__xludf.DUMMYFUNCTION("""COMPUTED_VALUE"""),"Will work for 3 years or more")</f>
        <v>Will work for 3 years or more</v>
      </c>
      <c r="H319" s="1" t="str">
        <f ca="1">IFERROR(__xludf.DUMMYFUNCTION("""COMPUTED_VALUE"""),"Yes")</f>
        <v>Yes</v>
      </c>
      <c r="I319" s="1" t="str">
        <f ca="1">IFERROR(__xludf.DUMMYFUNCTION("""COMPUTED_VALUE"""),"Will NOT work for them")</f>
        <v>Will NOT work for them</v>
      </c>
      <c r="J319" s="1">
        <f ca="1">IFERROR(__xludf.DUMMYFUNCTION("""COMPUTED_VALUE"""),3)</f>
        <v>3</v>
      </c>
      <c r="K319" s="1" t="str">
        <f ca="1">IFERROR(__xludf.DUMMYFUNCTION("""COMPUTED_VALUE"""),"Hybrid Working Environment with less than 15 days a month at office")</f>
        <v>Hybrid Working Environment with less than 15 days a month at office</v>
      </c>
      <c r="L319" s="1" t="str">
        <f ca="1">IFERROR(__xludf.DUMMYFUNCTION("""COMPUTED_VALUE"""),"Employer who appreciates learning and enables that environment")</f>
        <v>Employer who appreciates learning and enables that environment</v>
      </c>
      <c r="M31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19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19" s="1" t="str">
        <f ca="1">IFERROR(__xludf.DUMMYFUNCTION("""COMPUTED_VALUE"""),"Manager who sets goal and helps me achieve it")</f>
        <v>Manager who sets goal and helps me achieve it</v>
      </c>
      <c r="P319" s="1" t="str">
        <f ca="1">IFERROR(__xludf.DUMMYFUNCTION("""COMPUTED_VALUE"""),"Work with 5 to 6 people in my team")</f>
        <v>Work with 5 to 6 people in my team</v>
      </c>
      <c r="Q319" s="1"/>
      <c r="R319" s="1"/>
      <c r="S319" s="1"/>
    </row>
    <row r="320" spans="1:19" ht="12.5" x14ac:dyDescent="0.25">
      <c r="A320" s="2">
        <f ca="1">IFERROR(__xludf.DUMMYFUNCTION("""COMPUTED_VALUE"""),44929.907437905)</f>
        <v>44929.907437905</v>
      </c>
      <c r="B320" s="1" t="str">
        <f ca="1">IFERROR(__xludf.DUMMYFUNCTION("""COMPUTED_VALUE"""),"India")</f>
        <v>India</v>
      </c>
      <c r="C320" s="1">
        <f ca="1">IFERROR(__xludf.DUMMYFUNCTION("""COMPUTED_VALUE"""),457001)</f>
        <v>457001</v>
      </c>
      <c r="D320" s="1" t="str">
        <f ca="1">IFERROR(__xludf.DUMMYFUNCTION("""COMPUTED_VALUE"""),"Female")</f>
        <v>Female</v>
      </c>
      <c r="E320" s="1" t="str">
        <f ca="1">IFERROR(__xludf.DUMMYFUNCTION("""COMPUTED_VALUE"""),"Influencers who had successful careers")</f>
        <v>Influencers who had successful careers</v>
      </c>
      <c r="F320" s="1" t="str">
        <f ca="1">IFERROR(__xludf.DUMMYFUNCTION("""COMPUTED_VALUE"""),"Yes, I will earn and do that")</f>
        <v>Yes, I will earn and do that</v>
      </c>
      <c r="G320" s="1" t="str">
        <f ca="1">IFERROR(__xludf.DUMMYFUNCTION("""COMPUTED_VALUE"""),"Will work for 3 years or more")</f>
        <v>Will work for 3 years or more</v>
      </c>
      <c r="H320" s="1" t="str">
        <f ca="1">IFERROR(__xludf.DUMMYFUNCTION("""COMPUTED_VALUE"""),"No")</f>
        <v>No</v>
      </c>
      <c r="I320" s="1" t="str">
        <f ca="1">IFERROR(__xludf.DUMMYFUNCTION("""COMPUTED_VALUE"""),"Will work for them")</f>
        <v>Will work for them</v>
      </c>
      <c r="J320" s="1">
        <f ca="1">IFERROR(__xludf.DUMMYFUNCTION("""COMPUTED_VALUE"""),3)</f>
        <v>3</v>
      </c>
      <c r="K320" s="1" t="str">
        <f ca="1">IFERROR(__xludf.DUMMYFUNCTION("""COMPUTED_VALUE"""),"Hybrid Working Environment with less than 10 days a month at office")</f>
        <v>Hybrid Working Environment with less than 10 days a month at office</v>
      </c>
      <c r="L320" s="1" t="str">
        <f ca="1">IFERROR(__xludf.DUMMYFUNCTION("""COMPUTED_VALUE"""),"Employer who appreciates learning and enables that environment")</f>
        <v>Employer who appreciates learning and enables that environment</v>
      </c>
      <c r="M320" s="1" t="str">
        <f ca="1">IFERROR(__xludf.DUMMYFUNCTION("""COMPUTED_VALUE"""),"Self Paced Learning Portals, Instructor or Expert Learning Programs")</f>
        <v>Self Paced Learning Portals, Instructor or Expert Learning Programs</v>
      </c>
      <c r="N320" s="1" t="str">
        <f ca="1">IFERROR(__xludf.DUMMYFUNCTION("""COMPUTED_VALUE"""),"Teaching in any of the institutes/online or Offline, Manage and drive End-to-End Projects or Products, Work as a freelancer and do my thing my way")</f>
        <v>Teaching in any of the institutes/online or Offline, Manage and drive End-to-End Projects or Products, Work as a freelancer and do my thing my way</v>
      </c>
      <c r="O320" s="1" t="str">
        <f ca="1">IFERROR(__xludf.DUMMYFUNCTION("""COMPUTED_VALUE"""),"Manager who clearly describes what she/he needs")</f>
        <v>Manager who clearly describes what she/he needs</v>
      </c>
      <c r="P320" s="1" t="str">
        <f ca="1">IFERROR(__xludf.DUMMYFUNCTION("""COMPUTED_VALUE"""),"Work with 2 to 3 people in my team")</f>
        <v>Work with 2 to 3 people in my team</v>
      </c>
      <c r="Q320" s="1"/>
      <c r="R320" s="1"/>
      <c r="S320" s="1"/>
    </row>
    <row r="321" spans="1:19" ht="12.5" x14ac:dyDescent="0.25">
      <c r="A321" s="2">
        <f ca="1">IFERROR(__xludf.DUMMYFUNCTION("""COMPUTED_VALUE"""),44934.5219611458)</f>
        <v>44934.521961145801</v>
      </c>
      <c r="B321" s="1" t="str">
        <f ca="1">IFERROR(__xludf.DUMMYFUNCTION("""COMPUTED_VALUE"""),"India")</f>
        <v>India</v>
      </c>
      <c r="C321" s="1">
        <f ca="1">IFERROR(__xludf.DUMMYFUNCTION("""COMPUTED_VALUE"""),400016)</f>
        <v>400016</v>
      </c>
      <c r="D321" s="1" t="str">
        <f ca="1">IFERROR(__xludf.DUMMYFUNCTION("""COMPUTED_VALUE"""),"Male")</f>
        <v>Male</v>
      </c>
      <c r="E321" s="1" t="str">
        <f ca="1">IFERROR(__xludf.DUMMYFUNCTION("""COMPUTED_VALUE"""),"My Parents")</f>
        <v>My Parents</v>
      </c>
      <c r="F321" s="1" t="str">
        <f ca="1">IFERROR(__xludf.DUMMYFUNCTION("""COMPUTED_VALUE"""),"Yes, I will earn and do that")</f>
        <v>Yes, I will earn and do that</v>
      </c>
      <c r="G321" s="1" t="str">
        <f ca="1">IFERROR(__xludf.DUMMYFUNCTION("""COMPUTED_VALUE"""),"This will be hard to do, but if it is the right company I would try")</f>
        <v>This will be hard to do, but if it is the right company I would try</v>
      </c>
      <c r="H321" s="1" t="str">
        <f ca="1">IFERROR(__xludf.DUMMYFUNCTION("""COMPUTED_VALUE"""),"No")</f>
        <v>No</v>
      </c>
      <c r="I321" s="1" t="str">
        <f ca="1">IFERROR(__xludf.DUMMYFUNCTION("""COMPUTED_VALUE"""),"Will NOT work for them")</f>
        <v>Will NOT work for them</v>
      </c>
      <c r="J321" s="1">
        <f ca="1">IFERROR(__xludf.DUMMYFUNCTION("""COMPUTED_VALUE"""),7)</f>
        <v>7</v>
      </c>
      <c r="K321" s="1" t="str">
        <f ca="1">IFERROR(__xludf.DUMMYFUNCTION("""COMPUTED_VALUE"""),"Hybrid Working Environment with less than 10 days a month at office")</f>
        <v>Hybrid Working Environment with less than 10 days a month at office</v>
      </c>
      <c r="L321" s="1" t="str">
        <f ca="1">IFERROR(__xludf.DUMMYFUNCTION("""COMPUTED_VALUE"""),"Employer who appreciates learning and enables that environment")</f>
        <v>Employer who appreciates learning and enables that environment</v>
      </c>
      <c r="M321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321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321" s="1" t="str">
        <f ca="1">IFERROR(__xludf.DUMMYFUNCTION("""COMPUTED_VALUE"""),"Manager who explains what is expected, sets a goal and helps achieve it")</f>
        <v>Manager who explains what is expected, sets a goal and helps achieve it</v>
      </c>
      <c r="P321" s="1" t="str">
        <f ca="1">IFERROR(__xludf.DUMMYFUNCTION("""COMPUTED_VALUE"""),"Work with 2 to 3 people in my team")</f>
        <v>Work with 2 to 3 people in my team</v>
      </c>
      <c r="Q321" s="1"/>
      <c r="R321" s="1"/>
      <c r="S321" s="1"/>
    </row>
    <row r="322" spans="1:19" ht="12.5" x14ac:dyDescent="0.25">
      <c r="A322" s="2">
        <f ca="1">IFERROR(__xludf.DUMMYFUNCTION("""COMPUTED_VALUE"""),44934.7767418865)</f>
        <v>44934.776741886497</v>
      </c>
      <c r="B322" s="1" t="str">
        <f ca="1">IFERROR(__xludf.DUMMYFUNCTION("""COMPUTED_VALUE"""),"India")</f>
        <v>India</v>
      </c>
      <c r="C322" s="1">
        <f ca="1">IFERROR(__xludf.DUMMYFUNCTION("""COMPUTED_VALUE"""),600069)</f>
        <v>600069</v>
      </c>
      <c r="D322" s="1" t="str">
        <f ca="1">IFERROR(__xludf.DUMMYFUNCTION("""COMPUTED_VALUE"""),"Male")</f>
        <v>Male</v>
      </c>
      <c r="E322" s="1" t="str">
        <f ca="1">IFERROR(__xludf.DUMMYFUNCTION("""COMPUTED_VALUE"""),"People who have changed the world for better")</f>
        <v>People who have changed the world for better</v>
      </c>
      <c r="F322" s="1" t="str">
        <f ca="1">IFERROR(__xludf.DUMMYFUNCTION("""COMPUTED_VALUE"""),"Yes, I will earn and do that")</f>
        <v>Yes, I will earn and do that</v>
      </c>
      <c r="G322" s="1" t="str">
        <f ca="1">IFERROR(__xludf.DUMMYFUNCTION("""COMPUTED_VALUE"""),"This will be hard to do, but if it is the right company I would try")</f>
        <v>This will be hard to do, but if it is the right company I would try</v>
      </c>
      <c r="H322" s="1" t="str">
        <f ca="1">IFERROR(__xludf.DUMMYFUNCTION("""COMPUTED_VALUE"""),"Yes")</f>
        <v>Yes</v>
      </c>
      <c r="I322" s="1" t="str">
        <f ca="1">IFERROR(__xludf.DUMMYFUNCTION("""COMPUTED_VALUE"""),"Will work for them")</f>
        <v>Will work for them</v>
      </c>
      <c r="J322" s="1">
        <f ca="1">IFERROR(__xludf.DUMMYFUNCTION("""COMPUTED_VALUE"""),6)</f>
        <v>6</v>
      </c>
      <c r="K322" s="1" t="str">
        <f ca="1">IFERROR(__xludf.DUMMYFUNCTION("""COMPUTED_VALUE"""),"Hybrid Working Environment with less than 15 days a month at office")</f>
        <v>Hybrid Working Environment with less than 15 days a month at office</v>
      </c>
      <c r="L322" s="1" t="str">
        <f ca="1">IFERROR(__xludf.DUMMYFUNCTION("""COMPUTED_VALUE"""),"Employer who appreciates learning and enables that environment")</f>
        <v>Employer who appreciates learning and enables that environment</v>
      </c>
      <c r="M322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322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322" s="1" t="str">
        <f ca="1">IFERROR(__xludf.DUMMYFUNCTION("""COMPUTED_VALUE"""),"Manager who explains what is expected, sets a goal and helps achieve it")</f>
        <v>Manager who explains what is expected, sets a goal and helps achieve it</v>
      </c>
      <c r="P322" s="1" t="str">
        <f ca="1">IFERROR(__xludf.DUMMYFUNCTION("""COMPUTED_VALUE"""),"Work with 5 to 6 people in my team")</f>
        <v>Work with 5 to 6 people in my team</v>
      </c>
      <c r="Q322" s="1"/>
      <c r="R322" s="1"/>
      <c r="S322" s="1"/>
    </row>
    <row r="323" spans="1:19" ht="12.5" x14ac:dyDescent="0.25">
      <c r="A323" s="2">
        <f ca="1">IFERROR(__xludf.DUMMYFUNCTION("""COMPUTED_VALUE"""),44934.8605270023)</f>
        <v>44934.860527002304</v>
      </c>
      <c r="B323" s="1" t="str">
        <f ca="1">IFERROR(__xludf.DUMMYFUNCTION("""COMPUTED_VALUE"""),"India")</f>
        <v>India</v>
      </c>
      <c r="C323" s="1">
        <f ca="1">IFERROR(__xludf.DUMMYFUNCTION("""COMPUTED_VALUE"""),342005)</f>
        <v>342005</v>
      </c>
      <c r="D323" s="1" t="str">
        <f ca="1">IFERROR(__xludf.DUMMYFUNCTION("""COMPUTED_VALUE"""),"Male")</f>
        <v>Male</v>
      </c>
      <c r="E323" s="1" t="str">
        <f ca="1">IFERROR(__xludf.DUMMYFUNCTION("""COMPUTED_VALUE"""),"Social Media like LinkedIn")</f>
        <v>Social Media like LinkedIn</v>
      </c>
      <c r="F323" s="1" t="str">
        <f ca="1">IFERROR(__xludf.DUMMYFUNCTION("""COMPUTED_VALUE"""),"No I would not be pursuing Higher Education outside of India")</f>
        <v>No I would not be pursuing Higher Education outside of India</v>
      </c>
      <c r="G323" s="1" t="str">
        <f ca="1">IFERROR(__xludf.DUMMYFUNCTION("""COMPUTED_VALUE"""),"This will be hard to do, but if it is the right company I would try")</f>
        <v>This will be hard to do, but if it is the right company I would try</v>
      </c>
      <c r="H323" s="1" t="str">
        <f ca="1">IFERROR(__xludf.DUMMYFUNCTION("""COMPUTED_VALUE"""),"No")</f>
        <v>No</v>
      </c>
      <c r="I323" s="1" t="str">
        <f ca="1">IFERROR(__xludf.DUMMYFUNCTION("""COMPUTED_VALUE"""),"Will NOT work for them")</f>
        <v>Will NOT work for them</v>
      </c>
      <c r="J323" s="1">
        <f ca="1">IFERROR(__xludf.DUMMYFUNCTION("""COMPUTED_VALUE"""),6)</f>
        <v>6</v>
      </c>
      <c r="K323" s="1" t="str">
        <f ca="1">IFERROR(__xludf.DUMMYFUNCTION("""COMPUTED_VALUE"""),"Fully Remote with Options to travel as and when needed")</f>
        <v>Fully Remote with Options to travel as and when needed</v>
      </c>
      <c r="L3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2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23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323" s="1" t="str">
        <f ca="1">IFERROR(__xludf.DUMMYFUNCTION("""COMPUTED_VALUE"""),"Manager who explains what is expected, sets a goal and helps achieve it")</f>
        <v>Manager who explains what is expected, sets a goal and helps achieve it</v>
      </c>
      <c r="P323" s="1" t="str">
        <f ca="1">IFERROR(__xludf.DUMMYFUNCTION("""COMPUTED_VALUE"""),"Work with 5 to 6 people in my team")</f>
        <v>Work with 5 to 6 people in my team</v>
      </c>
      <c r="Q323" s="1"/>
      <c r="R323" s="1"/>
      <c r="S323" s="1"/>
    </row>
    <row r="324" spans="1:19" ht="12.5" x14ac:dyDescent="0.25">
      <c r="A324" s="2">
        <f ca="1">IFERROR(__xludf.DUMMYFUNCTION("""COMPUTED_VALUE"""),44935.0275088194)</f>
        <v>44935.027508819403</v>
      </c>
      <c r="B324" s="1" t="str">
        <f ca="1">IFERROR(__xludf.DUMMYFUNCTION("""COMPUTED_VALUE"""),"India")</f>
        <v>India</v>
      </c>
      <c r="C324" s="1">
        <f ca="1">IFERROR(__xludf.DUMMYFUNCTION("""COMPUTED_VALUE"""),851101)</f>
        <v>851101</v>
      </c>
      <c r="D324" s="1" t="str">
        <f ca="1">IFERROR(__xludf.DUMMYFUNCTION("""COMPUTED_VALUE"""),"Male")</f>
        <v>Male</v>
      </c>
      <c r="E324" s="1" t="str">
        <f ca="1">IFERROR(__xludf.DUMMYFUNCTION("""COMPUTED_VALUE"""),"People who have changed the world for better")</f>
        <v>People who have changed the world for better</v>
      </c>
      <c r="F324" s="1" t="str">
        <f ca="1">IFERROR(__xludf.DUMMYFUNCTION("""COMPUTED_VALUE"""),"Yes, I will earn and do that")</f>
        <v>Yes, I will earn and do that</v>
      </c>
      <c r="G324" s="1" t="str">
        <f ca="1">IFERROR(__xludf.DUMMYFUNCTION("""COMPUTED_VALUE"""),"This will be hard to do, but if it is the right company I would try")</f>
        <v>This will be hard to do, but if it is the right company I would try</v>
      </c>
      <c r="H324" s="1" t="str">
        <f ca="1">IFERROR(__xludf.DUMMYFUNCTION("""COMPUTED_VALUE"""),"Yes")</f>
        <v>Yes</v>
      </c>
      <c r="I324" s="1" t="str">
        <f ca="1">IFERROR(__xludf.DUMMYFUNCTION("""COMPUTED_VALUE"""),"Will work for them")</f>
        <v>Will work for them</v>
      </c>
      <c r="J324" s="1">
        <f ca="1">IFERROR(__xludf.DUMMYFUNCTION("""COMPUTED_VALUE"""),7)</f>
        <v>7</v>
      </c>
      <c r="K324" s="1" t="str">
        <f ca="1">IFERROR(__xludf.DUMMYFUNCTION("""COMPUTED_VALUE"""),"Hybrid Working Environment with less than 15 days a month at office")</f>
        <v>Hybrid Working Environment with less than 15 days a month at office</v>
      </c>
      <c r="L3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2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24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324" s="1" t="str">
        <f ca="1">IFERROR(__xludf.DUMMYFUNCTION("""COMPUTED_VALUE"""),"Manager who explains what is expected, sets a goal and helps achieve it")</f>
        <v>Manager who explains what is expected, sets a goal and helps achieve it</v>
      </c>
      <c r="P324" s="1" t="str">
        <f ca="1">IFERROR(__xludf.DUMMYFUNCTION("""COMPUTED_VALUE"""),"Work with 5 to 6 people in my team")</f>
        <v>Work with 5 to 6 people in my team</v>
      </c>
      <c r="Q324" s="1"/>
      <c r="R324" s="1"/>
      <c r="S324" s="1"/>
    </row>
    <row r="325" spans="1:19" ht="12.5" x14ac:dyDescent="0.25">
      <c r="A325" s="2">
        <f ca="1">IFERROR(__xludf.DUMMYFUNCTION("""COMPUTED_VALUE"""),44935.3081085532)</f>
        <v>44935.308108553203</v>
      </c>
      <c r="B325" s="1" t="str">
        <f ca="1">IFERROR(__xludf.DUMMYFUNCTION("""COMPUTED_VALUE"""),"India")</f>
        <v>India</v>
      </c>
      <c r="C325" s="1">
        <f ca="1">IFERROR(__xludf.DUMMYFUNCTION("""COMPUTED_VALUE"""),636701)</f>
        <v>636701</v>
      </c>
      <c r="D325" s="1" t="str">
        <f ca="1">IFERROR(__xludf.DUMMYFUNCTION("""COMPUTED_VALUE"""),"Male")</f>
        <v>Male</v>
      </c>
      <c r="E325" s="1" t="str">
        <f ca="1">IFERROR(__xludf.DUMMYFUNCTION("""COMPUTED_VALUE"""),"Influencers who had successful careers")</f>
        <v>Influencers who had successful careers</v>
      </c>
      <c r="F325" s="1" t="str">
        <f ca="1">IFERROR(__xludf.DUMMYFUNCTION("""COMPUTED_VALUE"""),"No I would not be pursuing Higher Education outside of India")</f>
        <v>No I would not be pursuing Higher Education outside of India</v>
      </c>
      <c r="G325" s="1" t="str">
        <f ca="1">IFERROR(__xludf.DUMMYFUNCTION("""COMPUTED_VALUE"""),"This will be hard to do, but if it is the right company I would try")</f>
        <v>This will be hard to do, but if it is the right company I would try</v>
      </c>
      <c r="H325" s="1" t="str">
        <f ca="1">IFERROR(__xludf.DUMMYFUNCTION("""COMPUTED_VALUE"""),"No")</f>
        <v>No</v>
      </c>
      <c r="I325" s="1" t="str">
        <f ca="1">IFERROR(__xludf.DUMMYFUNCTION("""COMPUTED_VALUE"""),"Will NOT work for them")</f>
        <v>Will NOT work for them</v>
      </c>
      <c r="J325" s="1">
        <f ca="1">IFERROR(__xludf.DUMMYFUNCTION("""COMPUTED_VALUE"""),5)</f>
        <v>5</v>
      </c>
      <c r="K325" s="1" t="str">
        <f ca="1">IFERROR(__xludf.DUMMYFUNCTION("""COMPUTED_VALUE"""),"Hybrid Working Environment with less than 10 days a month at office")</f>
        <v>Hybrid Working Environment with less than 10 days a month at office</v>
      </c>
      <c r="L3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25" s="1" t="str">
        <f ca="1">IFERROR(__xludf.DUMMYFUNCTION("""COMPUTED_VALUE"""),"Self Paced Learning Portals, Learning by observing others")</f>
        <v>Self Paced Learning Portals, Learning by observing others</v>
      </c>
      <c r="N325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325" s="1" t="str">
        <f ca="1">IFERROR(__xludf.DUMMYFUNCTION("""COMPUTED_VALUE"""),"Manager who sets goal and helps me achieve it")</f>
        <v>Manager who sets goal and helps me achieve it</v>
      </c>
      <c r="P325" s="1" t="str">
        <f ca="1">IFERROR(__xludf.DUMMYFUNCTION("""COMPUTED_VALUE"""),"Work with 5 to 6 people in my team")</f>
        <v>Work with 5 to 6 people in my team</v>
      </c>
      <c r="Q325" s="1"/>
      <c r="R325" s="1"/>
      <c r="S325" s="1"/>
    </row>
    <row r="326" spans="1:19" ht="12.5" x14ac:dyDescent="0.25">
      <c r="A326" s="2">
        <f ca="1">IFERROR(__xludf.DUMMYFUNCTION("""COMPUTED_VALUE"""),44935.4817815393)</f>
        <v>44935.481781539303</v>
      </c>
      <c r="B326" s="1" t="str">
        <f ca="1">IFERROR(__xludf.DUMMYFUNCTION("""COMPUTED_VALUE"""),"India")</f>
        <v>India</v>
      </c>
      <c r="C326" s="1">
        <f ca="1">IFERROR(__xludf.DUMMYFUNCTION("""COMPUTED_VALUE"""),600007)</f>
        <v>600007</v>
      </c>
      <c r="D326" s="1" t="str">
        <f ca="1">IFERROR(__xludf.DUMMYFUNCTION("""COMPUTED_VALUE"""),"Male")</f>
        <v>Male</v>
      </c>
      <c r="E326" s="1" t="str">
        <f ca="1">IFERROR(__xludf.DUMMYFUNCTION("""COMPUTED_VALUE"""),"People who have changed the world for better")</f>
        <v>People who have changed the world for better</v>
      </c>
      <c r="F326" s="1" t="str">
        <f ca="1">IFERROR(__xludf.DUMMYFUNCTION("""COMPUTED_VALUE"""),"Yes, I will earn and do that")</f>
        <v>Yes, I will earn and do that</v>
      </c>
      <c r="G326" s="1" t="str">
        <f ca="1">IFERROR(__xludf.DUMMYFUNCTION("""COMPUTED_VALUE"""),"Will work for 3 years or more")</f>
        <v>Will work for 3 years or more</v>
      </c>
      <c r="H326" s="1" t="str">
        <f ca="1">IFERROR(__xludf.DUMMYFUNCTION("""COMPUTED_VALUE"""),"No")</f>
        <v>No</v>
      </c>
      <c r="I326" s="1" t="str">
        <f ca="1">IFERROR(__xludf.DUMMYFUNCTION("""COMPUTED_VALUE"""),"Will work for them")</f>
        <v>Will work for them</v>
      </c>
      <c r="J326" s="1">
        <f ca="1">IFERROR(__xludf.DUMMYFUNCTION("""COMPUTED_VALUE"""),8)</f>
        <v>8</v>
      </c>
      <c r="K326" s="1" t="str">
        <f ca="1">IFERROR(__xludf.DUMMYFUNCTION("""COMPUTED_VALUE"""),"Hybrid Working Environment with less than 15 days a month at office")</f>
        <v>Hybrid Working Environment with less than 15 days a month at office</v>
      </c>
      <c r="L3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26" s="1" t="str">
        <f ca="1">IFERROR(__xludf.DUMMYFUNCTION("""COMPUTED_VALUE"""),"Self Paced Learning Portals, Instructor or Expert Learning Programs")</f>
        <v>Self Paced Learning Portals, Instructor or Expert Learning Programs</v>
      </c>
      <c r="N326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326" s="1" t="str">
        <f ca="1">IFERROR(__xludf.DUMMYFUNCTION("""COMPUTED_VALUE"""),"Manager who explains what is expected, sets a goal and helps achieve it")</f>
        <v>Manager who explains what is expected, sets a goal and helps achieve it</v>
      </c>
      <c r="P326" s="1" t="str">
        <f ca="1">IFERROR(__xludf.DUMMYFUNCTION("""COMPUTED_VALUE"""),"Work alone, Work with more than 10 people in my team")</f>
        <v>Work alone, Work with more than 10 people in my team</v>
      </c>
      <c r="Q326" s="1"/>
      <c r="R326" s="1"/>
      <c r="S326" s="1"/>
    </row>
    <row r="327" spans="1:19" ht="12.5" x14ac:dyDescent="0.25">
      <c r="A327" s="2">
        <f ca="1">IFERROR(__xludf.DUMMYFUNCTION("""COMPUTED_VALUE"""),44935.5299539699)</f>
        <v>44935.529953969897</v>
      </c>
      <c r="B327" s="1" t="str">
        <f ca="1">IFERROR(__xludf.DUMMYFUNCTION("""COMPUTED_VALUE"""),"India")</f>
        <v>India</v>
      </c>
      <c r="C327" s="1">
        <f ca="1">IFERROR(__xludf.DUMMYFUNCTION("""COMPUTED_VALUE"""),400070)</f>
        <v>400070</v>
      </c>
      <c r="D327" s="1" t="str">
        <f ca="1">IFERROR(__xludf.DUMMYFUNCTION("""COMPUTED_VALUE"""),"Male")</f>
        <v>Male</v>
      </c>
      <c r="E327" s="1" t="str">
        <f ca="1">IFERROR(__xludf.DUMMYFUNCTION("""COMPUTED_VALUE"""),"Influencers who had successful careers")</f>
        <v>Influencers who had successful careers</v>
      </c>
      <c r="F327" s="1" t="str">
        <f ca="1">IFERROR(__xludf.DUMMYFUNCTION("""COMPUTED_VALUE"""),"Yes, I will earn and do that")</f>
        <v>Yes, I will earn and do that</v>
      </c>
      <c r="G327" s="1" t="str">
        <f ca="1">IFERROR(__xludf.DUMMYFUNCTION("""COMPUTED_VALUE"""),"This will be hard to do, but if it is the right company I would try")</f>
        <v>This will be hard to do, but if it is the right company I would try</v>
      </c>
      <c r="H327" s="1" t="str">
        <f ca="1">IFERROR(__xludf.DUMMYFUNCTION("""COMPUTED_VALUE"""),"No")</f>
        <v>No</v>
      </c>
      <c r="I327" s="1" t="str">
        <f ca="1">IFERROR(__xludf.DUMMYFUNCTION("""COMPUTED_VALUE"""),"Will NOT work for them")</f>
        <v>Will NOT work for them</v>
      </c>
      <c r="J327" s="1">
        <f ca="1">IFERROR(__xludf.DUMMYFUNCTION("""COMPUTED_VALUE"""),10)</f>
        <v>10</v>
      </c>
      <c r="K327" s="1" t="str">
        <f ca="1">IFERROR(__xludf.DUMMYFUNCTION("""COMPUTED_VALUE"""),"Hybrid Working Environment with less than 10 days a month at office")</f>
        <v>Hybrid Working Environment with less than 10 days a month at office</v>
      </c>
      <c r="L327" s="1" t="str">
        <f ca="1">IFERROR(__xludf.DUMMYFUNCTION("""COMPUTED_VALUE"""),"Employer who appreciates learning and enables that environment")</f>
        <v>Employer who appreciates learning and enables that environment</v>
      </c>
      <c r="M32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27" s="1" t="str">
        <f ca="1">IFERROR(__xludf.DUMMYFUNCTION("""COMPUTED_VALUE"""),"Design and Creative strategy in any company, Design and Develop amazing software, Look deeply into Data and generate insights")</f>
        <v>Design and Creative strategy in any company, Design and Develop amazing software, Look deeply into Data and generate insights</v>
      </c>
      <c r="O327" s="1" t="str">
        <f ca="1">IFERROR(__xludf.DUMMYFUNCTION("""COMPUTED_VALUE"""),"Manager who sets goal and helps me achieve it")</f>
        <v>Manager who sets goal and helps me achieve it</v>
      </c>
      <c r="P327" s="1" t="str">
        <f ca="1">IFERROR(__xludf.DUMMYFUNCTION("""COMPUTED_VALUE"""),"Work with 7 to 10 or more people in my team")</f>
        <v>Work with 7 to 10 or more people in my team</v>
      </c>
      <c r="Q327" s="1"/>
      <c r="R327" s="1"/>
      <c r="S327" s="1"/>
    </row>
    <row r="328" spans="1:19" ht="12.5" x14ac:dyDescent="0.25">
      <c r="A328" s="2">
        <f ca="1">IFERROR(__xludf.DUMMYFUNCTION("""COMPUTED_VALUE"""),44935.5639017129)</f>
        <v>44935.5639017129</v>
      </c>
      <c r="B328" s="1" t="str">
        <f ca="1">IFERROR(__xludf.DUMMYFUNCTION("""COMPUTED_VALUE"""),"India")</f>
        <v>India</v>
      </c>
      <c r="C328" s="1">
        <f ca="1">IFERROR(__xludf.DUMMYFUNCTION("""COMPUTED_VALUE"""),521001)</f>
        <v>521001</v>
      </c>
      <c r="D328" s="1" t="str">
        <f ca="1">IFERROR(__xludf.DUMMYFUNCTION("""COMPUTED_VALUE"""),"Male")</f>
        <v>Male</v>
      </c>
      <c r="E328" s="1" t="str">
        <f ca="1">IFERROR(__xludf.DUMMYFUNCTION("""COMPUTED_VALUE"""),"Social Media like LinkedIn")</f>
        <v>Social Media like LinkedIn</v>
      </c>
      <c r="F328" s="1" t="str">
        <f ca="1">IFERROR(__xludf.DUMMYFUNCTION("""COMPUTED_VALUE"""),"No I would not be pursuing Higher Education outside of India")</f>
        <v>No I would not be pursuing Higher Education outside of India</v>
      </c>
      <c r="G328" s="1" t="str">
        <f ca="1">IFERROR(__xludf.DUMMYFUNCTION("""COMPUTED_VALUE"""),"This will be hard to do, but if it is the right company I would try")</f>
        <v>This will be hard to do, but if it is the right company I would try</v>
      </c>
      <c r="H328" s="1" t="str">
        <f ca="1">IFERROR(__xludf.DUMMYFUNCTION("""COMPUTED_VALUE"""),"No")</f>
        <v>No</v>
      </c>
      <c r="I328" s="1" t="str">
        <f ca="1">IFERROR(__xludf.DUMMYFUNCTION("""COMPUTED_VALUE"""),"Will NOT work for them")</f>
        <v>Will NOT work for them</v>
      </c>
      <c r="J328" s="1">
        <f ca="1">IFERROR(__xludf.DUMMYFUNCTION("""COMPUTED_VALUE"""),5)</f>
        <v>5</v>
      </c>
      <c r="K328" s="1" t="str">
        <f ca="1">IFERROR(__xludf.DUMMYFUNCTION("""COMPUTED_VALUE"""),"Fully Remote with Options to travel as and when needed")</f>
        <v>Fully Remote with Options to travel as and when needed</v>
      </c>
      <c r="L3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28" s="1" t="str">
        <f ca="1">IFERROR(__xludf.DUMMYFUNCTION("""COMPUTED_VALUE"""),"Self Paced Learning Portals, Instructor or Expert Learning Programs")</f>
        <v>Self Paced Learning Portals, Instructor or Expert Learning Programs</v>
      </c>
      <c r="N328" s="1" t="str">
        <f ca="1">IFERROR(__xludf.DUMMYFUNCTION("""COMPUTED_VALUE"""),"Look deeply into Data and generate insights, Work as a freelancer and do my thing my way, Become a content Creator in some platform")</f>
        <v>Look deeply into Data and generate insights, Work as a freelancer and do my thing my way, Become a content Creator in some platform</v>
      </c>
      <c r="O328" s="1" t="str">
        <f ca="1">IFERROR(__xludf.DUMMYFUNCTION("""COMPUTED_VALUE"""),"Manager who explains what is expected, sets a goal and helps achieve it")</f>
        <v>Manager who explains what is expected, sets a goal and helps achieve it</v>
      </c>
      <c r="P328" s="1" t="str">
        <f ca="1">IFERROR(__xludf.DUMMYFUNCTION("""COMPUTED_VALUE"""),"Work with 2 to 3 people in my team, Work with 5 to 6 people in my team")</f>
        <v>Work with 2 to 3 people in my team, Work with 5 to 6 people in my team</v>
      </c>
      <c r="Q328" s="1"/>
      <c r="R328" s="1"/>
      <c r="S328" s="1"/>
    </row>
    <row r="329" spans="1:19" ht="12.5" x14ac:dyDescent="0.25">
      <c r="A329" s="2">
        <f ca="1">IFERROR(__xludf.DUMMYFUNCTION("""COMPUTED_VALUE"""),44935.7051731134)</f>
        <v>44935.705173113398</v>
      </c>
      <c r="B329" s="1" t="str">
        <f ca="1">IFERROR(__xludf.DUMMYFUNCTION("""COMPUTED_VALUE"""),"India")</f>
        <v>India</v>
      </c>
      <c r="C329" s="1">
        <f ca="1">IFERROR(__xludf.DUMMYFUNCTION("""COMPUTED_VALUE"""),411033)</f>
        <v>411033</v>
      </c>
      <c r="D329" s="1" t="str">
        <f ca="1">IFERROR(__xludf.DUMMYFUNCTION("""COMPUTED_VALUE"""),"Female")</f>
        <v>Female</v>
      </c>
      <c r="E329" s="1" t="str">
        <f ca="1">IFERROR(__xludf.DUMMYFUNCTION("""COMPUTED_VALUE"""),"My Parents")</f>
        <v>My Parents</v>
      </c>
      <c r="F329" s="1" t="str">
        <f ca="1">IFERROR(__xludf.DUMMYFUNCTION("""COMPUTED_VALUE"""),"No I would not be pursuing Higher Education outside of India")</f>
        <v>No I would not be pursuing Higher Education outside of India</v>
      </c>
      <c r="G329" s="1" t="str">
        <f ca="1">IFERROR(__xludf.DUMMYFUNCTION("""COMPUTED_VALUE"""),"This will be hard to do, but if it is the right company I would try")</f>
        <v>This will be hard to do, but if it is the right company I would try</v>
      </c>
      <c r="H329" s="1" t="str">
        <f ca="1">IFERROR(__xludf.DUMMYFUNCTION("""COMPUTED_VALUE"""),"No")</f>
        <v>No</v>
      </c>
      <c r="I329" s="1" t="str">
        <f ca="1">IFERROR(__xludf.DUMMYFUNCTION("""COMPUTED_VALUE"""),"Will NOT work for them")</f>
        <v>Will NOT work for them</v>
      </c>
      <c r="J329" s="1">
        <f ca="1">IFERROR(__xludf.DUMMYFUNCTION("""COMPUTED_VALUE"""),5)</f>
        <v>5</v>
      </c>
      <c r="K329" s="1" t="str">
        <f ca="1">IFERROR(__xludf.DUMMYFUNCTION("""COMPUTED_VALUE"""),"Every Day Office Environment")</f>
        <v>Every Day Office Environment</v>
      </c>
      <c r="L3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29" s="1" t="str">
        <f ca="1">IFERROR(__xludf.DUMMYFUNCTION("""COMPUTED_VALUE"""),"Self Paced Learning Portals, Instructor or Expert Learning Programs")</f>
        <v>Self Paced Learning Portals, Instructor or Expert Learning Programs</v>
      </c>
      <c r="N329" s="1" t="str">
        <f ca="1">IFERROR(__xludf.DUMMYFUNCTION("""COMPUTED_VALUE"""),"Design and Creative strategy in any company, Business Operations in any organization, Manage and drive End-to-End Projects or Products")</f>
        <v>Design and Creative strategy in any company, Business Operations in any organization, Manage and drive End-to-End Projects or Products</v>
      </c>
      <c r="O329" s="1" t="str">
        <f ca="1">IFERROR(__xludf.DUMMYFUNCTION("""COMPUTED_VALUE"""),"Manager who explains what is expected, sets a goal and helps achieve it")</f>
        <v>Manager who explains what is expected, sets a goal and helps achieve it</v>
      </c>
      <c r="P329" s="1" t="str">
        <f ca="1">IFERROR(__xludf.DUMMYFUNCTION("""COMPUTED_VALUE"""),"Work with 2 to 3 people in my team")</f>
        <v>Work with 2 to 3 people in my team</v>
      </c>
      <c r="Q329" s="1"/>
      <c r="R329" s="1"/>
      <c r="S329" s="1"/>
    </row>
    <row r="330" spans="1:19" ht="12.5" x14ac:dyDescent="0.25">
      <c r="A330" s="2">
        <f ca="1">IFERROR(__xludf.DUMMYFUNCTION("""COMPUTED_VALUE"""),44935.7640316898)</f>
        <v>44935.764031689803</v>
      </c>
      <c r="B330" s="1" t="str">
        <f ca="1">IFERROR(__xludf.DUMMYFUNCTION("""COMPUTED_VALUE"""),"India")</f>
        <v>India</v>
      </c>
      <c r="C330" s="1">
        <f ca="1">IFERROR(__xludf.DUMMYFUNCTION("""COMPUTED_VALUE"""),263153)</f>
        <v>263153</v>
      </c>
      <c r="D330" s="1" t="str">
        <f ca="1">IFERROR(__xludf.DUMMYFUNCTION("""COMPUTED_VALUE"""),"Female")</f>
        <v>Female</v>
      </c>
      <c r="E330" s="1" t="str">
        <f ca="1">IFERROR(__xludf.DUMMYFUNCTION("""COMPUTED_VALUE"""),"Influencers who had successful careers")</f>
        <v>Influencers who had successful careers</v>
      </c>
      <c r="F330" s="1" t="str">
        <f ca="1">IFERROR(__xludf.DUMMYFUNCTION("""COMPUTED_VALUE"""),"No I would not be pursuing Higher Education outside of India")</f>
        <v>No I would not be pursuing Higher Education outside of India</v>
      </c>
      <c r="G330" s="1" t="str">
        <f ca="1">IFERROR(__xludf.DUMMYFUNCTION("""COMPUTED_VALUE"""),"This will be hard to do, but if it is the right company I would try")</f>
        <v>This will be hard to do, but if it is the right company I would try</v>
      </c>
      <c r="H330" s="1" t="str">
        <f ca="1">IFERROR(__xludf.DUMMYFUNCTION("""COMPUTED_VALUE"""),"Yes")</f>
        <v>Yes</v>
      </c>
      <c r="I330" s="1" t="str">
        <f ca="1">IFERROR(__xludf.DUMMYFUNCTION("""COMPUTED_VALUE"""),"Will NOT work for them")</f>
        <v>Will NOT work for them</v>
      </c>
      <c r="J330" s="1">
        <f ca="1">IFERROR(__xludf.DUMMYFUNCTION("""COMPUTED_VALUE"""),5)</f>
        <v>5</v>
      </c>
      <c r="K330" s="1" t="str">
        <f ca="1">IFERROR(__xludf.DUMMYFUNCTION("""COMPUTED_VALUE"""),"Fully Remote with No option to visit offices")</f>
        <v>Fully Remote with No option to visit offices</v>
      </c>
      <c r="L3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0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30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330" s="1" t="str">
        <f ca="1">IFERROR(__xludf.DUMMYFUNCTION("""COMPUTED_VALUE"""),"Manager who explains what is expected, sets a goal and helps achieve it")</f>
        <v>Manager who explains what is expected, sets a goal and helps achieve it</v>
      </c>
      <c r="P330" s="1" t="str">
        <f ca="1">IFERROR(__xludf.DUMMYFUNCTION("""COMPUTED_VALUE"""),"Work with 5 to 6 people in my team")</f>
        <v>Work with 5 to 6 people in my team</v>
      </c>
      <c r="Q330" s="1"/>
      <c r="R330" s="1"/>
      <c r="S330" s="1"/>
    </row>
    <row r="331" spans="1:19" ht="12.5" x14ac:dyDescent="0.25">
      <c r="A331" s="2">
        <f ca="1">IFERROR(__xludf.DUMMYFUNCTION("""COMPUTED_VALUE"""),44935.8380354398)</f>
        <v>44935.838035439803</v>
      </c>
      <c r="B331" s="1" t="str">
        <f ca="1">IFERROR(__xludf.DUMMYFUNCTION("""COMPUTED_VALUE"""),"India")</f>
        <v>India</v>
      </c>
      <c r="C331" s="1">
        <f ca="1">IFERROR(__xludf.DUMMYFUNCTION("""COMPUTED_VALUE"""),465674)</f>
        <v>465674</v>
      </c>
      <c r="D331" s="1" t="str">
        <f ca="1">IFERROR(__xludf.DUMMYFUNCTION("""COMPUTED_VALUE"""),"Female")</f>
        <v>Female</v>
      </c>
      <c r="E331" s="1" t="str">
        <f ca="1">IFERROR(__xludf.DUMMYFUNCTION("""COMPUTED_VALUE"""),"My Parents")</f>
        <v>My Parents</v>
      </c>
      <c r="F331" s="1" t="str">
        <f ca="1">IFERROR(__xludf.DUMMYFUNCTION("""COMPUTED_VALUE"""),"Yes, I will earn and do that")</f>
        <v>Yes, I will earn and do that</v>
      </c>
      <c r="G331" s="1" t="str">
        <f ca="1">IFERROR(__xludf.DUMMYFUNCTION("""COMPUTED_VALUE"""),"Will work for 3 years or more")</f>
        <v>Will work for 3 years or more</v>
      </c>
      <c r="H331" s="1" t="str">
        <f ca="1">IFERROR(__xludf.DUMMYFUNCTION("""COMPUTED_VALUE"""),"No")</f>
        <v>No</v>
      </c>
      <c r="I331" s="1" t="str">
        <f ca="1">IFERROR(__xludf.DUMMYFUNCTION("""COMPUTED_VALUE"""),"Will NOT work for them")</f>
        <v>Will NOT work for them</v>
      </c>
      <c r="J331" s="1">
        <f ca="1">IFERROR(__xludf.DUMMYFUNCTION("""COMPUTED_VALUE"""),1)</f>
        <v>1</v>
      </c>
      <c r="K331" s="1" t="str">
        <f ca="1">IFERROR(__xludf.DUMMYFUNCTION("""COMPUTED_VALUE"""),"Hybrid Working Environment with less than 15 days a month at office")</f>
        <v>Hybrid Working Environment with less than 15 days a month at office</v>
      </c>
      <c r="L331" s="1" t="str">
        <f ca="1">IFERROR(__xludf.DUMMYFUNCTION("""COMPUTED_VALUE"""),"Employer who appreciates learning and enables that environment")</f>
        <v>Employer who appreciates learning and enables that environment</v>
      </c>
      <c r="M331" s="1" t="str">
        <f ca="1">IFERROR(__xludf.DUMMYFUNCTION("""COMPUTED_VALUE"""),"Self Paced Learning Portals, Instructor or Expert Learning Programs")</f>
        <v>Self Paced Learning Portals, Instructor or Expert Learning Programs</v>
      </c>
      <c r="N331" s="1" t="str">
        <f ca="1">IFERROR(__xludf.DUMMYFUNCTION("""COMPUTED_VALUE"""),"Teaching in any of the institutes/online or Offline, Work as a freelancer and do my thing my way, Become a content Creator in some platform")</f>
        <v>Teaching in any of the institutes/online or Offline, Work as a freelancer and do my thing my way, Become a content Creator in some platform</v>
      </c>
      <c r="O331" s="1" t="str">
        <f ca="1">IFERROR(__xludf.DUMMYFUNCTION("""COMPUTED_VALUE"""),"Manager who explains what is expected, sets a goal and helps achieve it")</f>
        <v>Manager who explains what is expected, sets a goal and helps achieve it</v>
      </c>
      <c r="P331" s="1" t="str">
        <f ca="1">IFERROR(__xludf.DUMMYFUNCTION("""COMPUTED_VALUE"""),"Work with 7 to 10 or more people in my team")</f>
        <v>Work with 7 to 10 or more people in my team</v>
      </c>
      <c r="Q331" s="1"/>
      <c r="R331" s="1"/>
      <c r="S331" s="1"/>
    </row>
    <row r="332" spans="1:19" ht="12.5" x14ac:dyDescent="0.25">
      <c r="A332" s="2">
        <f ca="1">IFERROR(__xludf.DUMMYFUNCTION("""COMPUTED_VALUE"""),44936.0309894444)</f>
        <v>44936.0309894444</v>
      </c>
      <c r="B332" s="1" t="str">
        <f ca="1">IFERROR(__xludf.DUMMYFUNCTION("""COMPUTED_VALUE"""),"India")</f>
        <v>India</v>
      </c>
      <c r="C332" s="1">
        <f ca="1">IFERROR(__xludf.DUMMYFUNCTION("""COMPUTED_VALUE"""),110027)</f>
        <v>110027</v>
      </c>
      <c r="D332" s="1" t="str">
        <f ca="1">IFERROR(__xludf.DUMMYFUNCTION("""COMPUTED_VALUE"""),"Male")</f>
        <v>Male</v>
      </c>
      <c r="E332" s="1" t="str">
        <f ca="1">IFERROR(__xludf.DUMMYFUNCTION("""COMPUTED_VALUE"""),"People from my circle, but not family members")</f>
        <v>People from my circle, but not family members</v>
      </c>
      <c r="F332" s="1" t="str">
        <f ca="1">IFERROR(__xludf.DUMMYFUNCTION("""COMPUTED_VALUE"""),"No I would not be pursuing Higher Education outside of India")</f>
        <v>No I would not be pursuing Higher Education outside of India</v>
      </c>
      <c r="G332" s="1" t="str">
        <f ca="1">IFERROR(__xludf.DUMMYFUNCTION("""COMPUTED_VALUE"""),"Will work for 3 years or more")</f>
        <v>Will work for 3 years or more</v>
      </c>
      <c r="H332" s="1" t="str">
        <f ca="1">IFERROR(__xludf.DUMMYFUNCTION("""COMPUTED_VALUE"""),"No")</f>
        <v>No</v>
      </c>
      <c r="I332" s="1" t="str">
        <f ca="1">IFERROR(__xludf.DUMMYFUNCTION("""COMPUTED_VALUE"""),"Will NOT work for them")</f>
        <v>Will NOT work for them</v>
      </c>
      <c r="J332" s="1">
        <f ca="1">IFERROR(__xludf.DUMMYFUNCTION("""COMPUTED_VALUE"""),6)</f>
        <v>6</v>
      </c>
      <c r="K332" s="1" t="str">
        <f ca="1">IFERROR(__xludf.DUMMYFUNCTION("""COMPUTED_VALUE"""),"Hybrid Working Environment with less than 15 days a month at office")</f>
        <v>Hybrid Working Environment with less than 15 days a month at office</v>
      </c>
      <c r="L3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32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332" s="1" t="str">
        <f ca="1">IFERROR(__xludf.DUMMYFUNCTION("""COMPUTED_VALUE"""),"Manager who explains what is expected, sets a goal and helps achieve it")</f>
        <v>Manager who explains what is expected, sets a goal and helps achieve it</v>
      </c>
      <c r="P332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332" s="1"/>
      <c r="R332" s="1"/>
      <c r="S332" s="1"/>
    </row>
    <row r="333" spans="1:19" ht="12.5" x14ac:dyDescent="0.25">
      <c r="A333" s="2">
        <f ca="1">IFERROR(__xludf.DUMMYFUNCTION("""COMPUTED_VALUE"""),44936.5113378124)</f>
        <v>44936.511337812401</v>
      </c>
      <c r="B333" s="1" t="str">
        <f ca="1">IFERROR(__xludf.DUMMYFUNCTION("""COMPUTED_VALUE"""),"India")</f>
        <v>India</v>
      </c>
      <c r="C333" s="1">
        <f ca="1">IFERROR(__xludf.DUMMYFUNCTION("""COMPUTED_VALUE"""),145001)</f>
        <v>145001</v>
      </c>
      <c r="D333" s="1" t="str">
        <f ca="1">IFERROR(__xludf.DUMMYFUNCTION("""COMPUTED_VALUE"""),"Male")</f>
        <v>Male</v>
      </c>
      <c r="E333" s="1" t="str">
        <f ca="1">IFERROR(__xludf.DUMMYFUNCTION("""COMPUTED_VALUE"""),"Influencers who had successful careers")</f>
        <v>Influencers who had successful careers</v>
      </c>
      <c r="F333" s="1" t="str">
        <f ca="1">IFERROR(__xludf.DUMMYFUNCTION("""COMPUTED_VALUE"""),"No, But if someone could bare the cost I will")</f>
        <v>No, But if someone could bare the cost I will</v>
      </c>
      <c r="G333" s="1" t="str">
        <f ca="1">IFERROR(__xludf.DUMMYFUNCTION("""COMPUTED_VALUE"""),"This will be hard to do, but if it is the right company I would try")</f>
        <v>This will be hard to do, but if it is the right company I would try</v>
      </c>
      <c r="H333" s="1" t="str">
        <f ca="1">IFERROR(__xludf.DUMMYFUNCTION("""COMPUTED_VALUE"""),"No")</f>
        <v>No</v>
      </c>
      <c r="I333" s="1" t="str">
        <f ca="1">IFERROR(__xludf.DUMMYFUNCTION("""COMPUTED_VALUE"""),"Will NOT work for them")</f>
        <v>Will NOT work for them</v>
      </c>
      <c r="J333" s="1">
        <f ca="1">IFERROR(__xludf.DUMMYFUNCTION("""COMPUTED_VALUE"""),1)</f>
        <v>1</v>
      </c>
      <c r="K333" s="1" t="str">
        <f ca="1">IFERROR(__xludf.DUMMYFUNCTION("""COMPUTED_VALUE"""),"Fully Remote with Options to travel as and when needed")</f>
        <v>Fully Remote with Options to travel as and when needed</v>
      </c>
      <c r="L3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3" s="1" t="str">
        <f ca="1">IFERROR(__xludf.DUMMYFUNCTION("""COMPUTED_VALUE"""),"Instructor or Expert Learning Programs, Learning by observing others")</f>
        <v>Instructor or Expert Learning Programs, Learning by observing others</v>
      </c>
      <c r="N333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333" s="1" t="str">
        <f ca="1">IFERROR(__xludf.DUMMYFUNCTION("""COMPUTED_VALUE"""),"Manager who explains what is expected, sets a goal and helps achieve it")</f>
        <v>Manager who explains what is expected, sets a goal and helps achieve it</v>
      </c>
      <c r="P333" s="1" t="str">
        <f ca="1">IFERROR(__xludf.DUMMYFUNCTION("""COMPUTED_VALUE"""),"Work with 2 to 3 people in my team")</f>
        <v>Work with 2 to 3 people in my team</v>
      </c>
      <c r="Q333" s="1"/>
      <c r="R333" s="1"/>
      <c r="S333" s="1"/>
    </row>
    <row r="334" spans="1:19" ht="12.5" x14ac:dyDescent="0.25">
      <c r="A334" s="2">
        <f ca="1">IFERROR(__xludf.DUMMYFUNCTION("""COMPUTED_VALUE"""),44936.6800256828)</f>
        <v>44936.680025682799</v>
      </c>
      <c r="B334" s="1" t="str">
        <f ca="1">IFERROR(__xludf.DUMMYFUNCTION("""COMPUTED_VALUE"""),"India")</f>
        <v>India</v>
      </c>
      <c r="C334" s="1">
        <f ca="1">IFERROR(__xludf.DUMMYFUNCTION("""COMPUTED_VALUE"""),431001)</f>
        <v>431001</v>
      </c>
      <c r="D334" s="1" t="str">
        <f ca="1">IFERROR(__xludf.DUMMYFUNCTION("""COMPUTED_VALUE"""),"Male")</f>
        <v>Male</v>
      </c>
      <c r="E334" s="1" t="str">
        <f ca="1">IFERROR(__xludf.DUMMYFUNCTION("""COMPUTED_VALUE"""),"Influencers who had successful careers")</f>
        <v>Influencers who had successful careers</v>
      </c>
      <c r="F334" s="1" t="str">
        <f ca="1">IFERROR(__xludf.DUMMYFUNCTION("""COMPUTED_VALUE"""),"Yes, I will earn and do that")</f>
        <v>Yes, I will earn and do that</v>
      </c>
      <c r="G334" s="1" t="str">
        <f ca="1">IFERROR(__xludf.DUMMYFUNCTION("""COMPUTED_VALUE"""),"This will be hard to do, but if it is the right company I would try")</f>
        <v>This will be hard to do, but if it is the right company I would try</v>
      </c>
      <c r="H334" s="1" t="str">
        <f ca="1">IFERROR(__xludf.DUMMYFUNCTION("""COMPUTED_VALUE"""),"No")</f>
        <v>No</v>
      </c>
      <c r="I334" s="1" t="str">
        <f ca="1">IFERROR(__xludf.DUMMYFUNCTION("""COMPUTED_VALUE"""),"Will NOT work for them")</f>
        <v>Will NOT work for them</v>
      </c>
      <c r="J334" s="1">
        <f ca="1">IFERROR(__xludf.DUMMYFUNCTION("""COMPUTED_VALUE"""),5)</f>
        <v>5</v>
      </c>
      <c r="K334" s="1" t="str">
        <f ca="1">IFERROR(__xludf.DUMMYFUNCTION("""COMPUTED_VALUE"""),"Hybrid Working Environment with less than 15 days a month at office")</f>
        <v>Hybrid Working Environment with less than 15 days a month at office</v>
      </c>
      <c r="L3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4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334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334" s="1" t="str">
        <f ca="1">IFERROR(__xludf.DUMMYFUNCTION("""COMPUTED_VALUE"""),"Manager who explains what is expected, sets a goal and helps achieve it")</f>
        <v>Manager who explains what is expected, sets a goal and helps achieve it</v>
      </c>
      <c r="P334" s="1" t="str">
        <f ca="1">IFERROR(__xludf.DUMMYFUNCTION("""COMPUTED_VALUE"""),"Work with 7 to 10 or more people in my team")</f>
        <v>Work with 7 to 10 or more people in my team</v>
      </c>
      <c r="Q334" s="1"/>
      <c r="R334" s="1"/>
      <c r="S334" s="1"/>
    </row>
    <row r="335" spans="1:19" ht="12.5" x14ac:dyDescent="0.25">
      <c r="A335" s="2">
        <f ca="1">IFERROR(__xludf.DUMMYFUNCTION("""COMPUTED_VALUE"""),44936.7046449189)</f>
        <v>44936.7046449189</v>
      </c>
      <c r="B335" s="1" t="str">
        <f ca="1">IFERROR(__xludf.DUMMYFUNCTION("""COMPUTED_VALUE"""),"India")</f>
        <v>India</v>
      </c>
      <c r="C335" s="1">
        <f ca="1">IFERROR(__xludf.DUMMYFUNCTION("""COMPUTED_VALUE"""),457001)</f>
        <v>457001</v>
      </c>
      <c r="D335" s="1" t="str">
        <f ca="1">IFERROR(__xludf.DUMMYFUNCTION("""COMPUTED_VALUE"""),"Female")</f>
        <v>Female</v>
      </c>
      <c r="E335" s="1" t="str">
        <f ca="1">IFERROR(__xludf.DUMMYFUNCTION("""COMPUTED_VALUE"""),"Influencers who had successful careers")</f>
        <v>Influencers who had successful careers</v>
      </c>
      <c r="F335" s="1" t="str">
        <f ca="1">IFERROR(__xludf.DUMMYFUNCTION("""COMPUTED_VALUE"""),"No I would not be pursuing Higher Education outside of India")</f>
        <v>No I would not be pursuing Higher Education outside of India</v>
      </c>
      <c r="G335" s="1" t="str">
        <f ca="1">IFERROR(__xludf.DUMMYFUNCTION("""COMPUTED_VALUE"""),"This will be hard to do, but if it is the right company I would try")</f>
        <v>This will be hard to do, but if it is the right company I would try</v>
      </c>
      <c r="H335" s="1" t="str">
        <f ca="1">IFERROR(__xludf.DUMMYFUNCTION("""COMPUTED_VALUE"""),"No")</f>
        <v>No</v>
      </c>
      <c r="I335" s="1" t="str">
        <f ca="1">IFERROR(__xludf.DUMMYFUNCTION("""COMPUTED_VALUE"""),"Will NOT work for them")</f>
        <v>Will NOT work for them</v>
      </c>
      <c r="J335" s="1">
        <f ca="1">IFERROR(__xludf.DUMMYFUNCTION("""COMPUTED_VALUE"""),5)</f>
        <v>5</v>
      </c>
      <c r="K335" s="1" t="str">
        <f ca="1">IFERROR(__xludf.DUMMYFUNCTION("""COMPUTED_VALUE"""),"Hybrid Working Environment with less than 3 days a month at office")</f>
        <v>Hybrid Working Environment with less than 3 days a month at office</v>
      </c>
      <c r="L335" s="1" t="str">
        <f ca="1">IFERROR(__xludf.DUMMYFUNCTION("""COMPUTED_VALUE"""),"Employer who rewards learning and enables that environment")</f>
        <v>Employer who rewards learning and enables that environment</v>
      </c>
      <c r="M335" s="1" t="str">
        <f ca="1">IFERROR(__xludf.DUMMYFUNCTION("""COMPUTED_VALUE"""),"Self Paced Learning Portals, Instructor or Expert Learning Programs")</f>
        <v>Self Paced Learning Portals, Instructor or Expert Learning Programs</v>
      </c>
      <c r="N335" s="1" t="str">
        <f ca="1">IFERROR(__xludf.DUMMYFUNCTION("""COMPUTED_VALUE"""),"Design and Creative strategy in any company, Teaching in any of the institutes/online or Offline, Work as a freelancer and do my thing my way")</f>
        <v>Design and Creative strategy in any company, Teaching in any of the institutes/online or Offline, Work as a freelancer and do my thing my way</v>
      </c>
      <c r="O335" s="1" t="str">
        <f ca="1">IFERROR(__xludf.DUMMYFUNCTION("""COMPUTED_VALUE"""),"Manager who clearly describes what she/he needs")</f>
        <v>Manager who clearly describes what she/he needs</v>
      </c>
      <c r="P335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335" s="1"/>
      <c r="R335" s="1"/>
      <c r="S335" s="1"/>
    </row>
    <row r="336" spans="1:19" ht="12.5" x14ac:dyDescent="0.25">
      <c r="A336" s="2">
        <f ca="1">IFERROR(__xludf.DUMMYFUNCTION("""COMPUTED_VALUE"""),44937.3908363425)</f>
        <v>44937.3908363425</v>
      </c>
      <c r="B336" s="1" t="str">
        <f ca="1">IFERROR(__xludf.DUMMYFUNCTION("""COMPUTED_VALUE"""),"India")</f>
        <v>India</v>
      </c>
      <c r="C336" s="1">
        <f ca="1">IFERROR(__xludf.DUMMYFUNCTION("""COMPUTED_VALUE"""),520013)</f>
        <v>520013</v>
      </c>
      <c r="D336" s="1" t="str">
        <f ca="1">IFERROR(__xludf.DUMMYFUNCTION("""COMPUTED_VALUE"""),"Female")</f>
        <v>Female</v>
      </c>
      <c r="E336" s="1" t="str">
        <f ca="1">IFERROR(__xludf.DUMMYFUNCTION("""COMPUTED_VALUE"""),"People from my circle, but not family members")</f>
        <v>People from my circle, but not family members</v>
      </c>
      <c r="F336" s="1" t="str">
        <f ca="1">IFERROR(__xludf.DUMMYFUNCTION("""COMPUTED_VALUE"""),"No, But if someone could bare the cost I will")</f>
        <v>No, But if someone could bare the cost I will</v>
      </c>
      <c r="G336" s="1" t="str">
        <f ca="1">IFERROR(__xludf.DUMMYFUNCTION("""COMPUTED_VALUE"""),"No way, 3 years with one employer is crazy")</f>
        <v>No way, 3 years with one employer is crazy</v>
      </c>
      <c r="H336" s="1" t="str">
        <f ca="1">IFERROR(__xludf.DUMMYFUNCTION("""COMPUTED_VALUE"""),"No")</f>
        <v>No</v>
      </c>
      <c r="I336" s="1" t="str">
        <f ca="1">IFERROR(__xludf.DUMMYFUNCTION("""COMPUTED_VALUE"""),"Will NOT work for them")</f>
        <v>Will NOT work for them</v>
      </c>
      <c r="J336" s="1">
        <f ca="1">IFERROR(__xludf.DUMMYFUNCTION("""COMPUTED_VALUE"""),5)</f>
        <v>5</v>
      </c>
      <c r="K336" s="1" t="str">
        <f ca="1">IFERROR(__xludf.DUMMYFUNCTION("""COMPUTED_VALUE"""),"Hybrid Working Environment with less than 3 days a month at office")</f>
        <v>Hybrid Working Environment with less than 3 days a month at office</v>
      </c>
      <c r="L3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6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36" s="1" t="str">
        <f ca="1">IFERROR(__xludf.DUMMYFUNCTION("""COMPUTED_VALUE"""),"Teaching in any of the institutes/online or Offline, Business Operations in any organization, Look deeply into Data and generate insights")</f>
        <v>Teaching in any of the institutes/online or Offline, Business Operations in any organization, Look deeply into Data and generate insights</v>
      </c>
      <c r="O336" s="1" t="str">
        <f ca="1">IFERROR(__xludf.DUMMYFUNCTION("""COMPUTED_VALUE"""),"Manager who explains what is expected, sets a goal and helps achieve it")</f>
        <v>Manager who explains what is expected, sets a goal and helps achieve it</v>
      </c>
      <c r="P336" s="1" t="str">
        <f ca="1">IFERROR(__xludf.DUMMYFUNCTION("""COMPUTED_VALUE"""),"Work with more than 10 people in my team")</f>
        <v>Work with more than 10 people in my team</v>
      </c>
      <c r="Q336" s="1"/>
      <c r="R336" s="1"/>
      <c r="S336" s="1"/>
    </row>
    <row r="337" spans="1:19" ht="12.5" x14ac:dyDescent="0.25">
      <c r="A337" s="2">
        <f ca="1">IFERROR(__xludf.DUMMYFUNCTION("""COMPUTED_VALUE"""),44937.5010597106)</f>
        <v>44937.501059710601</v>
      </c>
      <c r="B337" s="1" t="str">
        <f ca="1">IFERROR(__xludf.DUMMYFUNCTION("""COMPUTED_VALUE"""),"Nigeria")</f>
        <v>Nigeria</v>
      </c>
      <c r="C337" s="1" t="str">
        <f ca="1">IFERROR(__xludf.DUMMYFUNCTION("""COMPUTED_VALUE"""),"UTC+01")</f>
        <v>UTC+01</v>
      </c>
      <c r="D337" s="1" t="str">
        <f ca="1">IFERROR(__xludf.DUMMYFUNCTION("""COMPUTED_VALUE"""),"Male")</f>
        <v>Male</v>
      </c>
      <c r="E337" s="1" t="str">
        <f ca="1">IFERROR(__xludf.DUMMYFUNCTION("""COMPUTED_VALUE"""),"Influencers who had successful careers")</f>
        <v>Influencers who had successful careers</v>
      </c>
      <c r="F337" s="1" t="str">
        <f ca="1">IFERROR(__xludf.DUMMYFUNCTION("""COMPUTED_VALUE"""),"Yes, I will earn and do that")</f>
        <v>Yes, I will earn and do that</v>
      </c>
      <c r="G337" s="1" t="str">
        <f ca="1">IFERROR(__xludf.DUMMYFUNCTION("""COMPUTED_VALUE"""),"This will be hard to do, but if it is the right company I would try")</f>
        <v>This will be hard to do, but if it is the right company I would try</v>
      </c>
      <c r="H337" s="1" t="str">
        <f ca="1">IFERROR(__xludf.DUMMYFUNCTION("""COMPUTED_VALUE"""),"No")</f>
        <v>No</v>
      </c>
      <c r="I337" s="1" t="str">
        <f ca="1">IFERROR(__xludf.DUMMYFUNCTION("""COMPUTED_VALUE"""),"Will NOT work for them")</f>
        <v>Will NOT work for them</v>
      </c>
      <c r="J337" s="1">
        <f ca="1">IFERROR(__xludf.DUMMYFUNCTION("""COMPUTED_VALUE"""),1)</f>
        <v>1</v>
      </c>
      <c r="K337" s="1" t="str">
        <f ca="1">IFERROR(__xludf.DUMMYFUNCTION("""COMPUTED_VALUE"""),"Fully Remote with Options to travel as and when needed")</f>
        <v>Fully Remote with Options to travel as and when needed</v>
      </c>
      <c r="L3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7" s="1" t="str">
        <f ca="1">IFERROR(__xludf.DUMMYFUNCTION("""COMPUTED_VALUE"""),"Instructor or Expert Learning Programs, Learning by observing others")</f>
        <v>Instructor or Expert Learning Programs, Learning by observing others</v>
      </c>
      <c r="N337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337" s="1" t="str">
        <f ca="1">IFERROR(__xludf.DUMMYFUNCTION("""COMPUTED_VALUE"""),"Manager who explains what is expected, sets a goal and helps achieve it")</f>
        <v>Manager who explains what is expected, sets a goal and helps achieve it</v>
      </c>
      <c r="P337" s="1" t="str">
        <f ca="1">IFERROR(__xludf.DUMMYFUNCTION("""COMPUTED_VALUE"""),"Work with more than 10 people in my team")</f>
        <v>Work with more than 10 people in my team</v>
      </c>
      <c r="Q337" s="1"/>
      <c r="R337" s="1"/>
      <c r="S337" s="1"/>
    </row>
    <row r="338" spans="1:19" ht="12.5" x14ac:dyDescent="0.25">
      <c r="A338" s="2">
        <f ca="1">IFERROR(__xludf.DUMMYFUNCTION("""COMPUTED_VALUE"""),44937.6631981944)</f>
        <v>44937.663198194401</v>
      </c>
      <c r="B338" s="1" t="str">
        <f ca="1">IFERROR(__xludf.DUMMYFUNCTION("""COMPUTED_VALUE"""),"India")</f>
        <v>India</v>
      </c>
      <c r="C338" s="1">
        <f ca="1">IFERROR(__xludf.DUMMYFUNCTION("""COMPUTED_VALUE"""),201304)</f>
        <v>201304</v>
      </c>
      <c r="D338" s="1" t="str">
        <f ca="1">IFERROR(__xludf.DUMMYFUNCTION("""COMPUTED_VALUE"""),"Female")</f>
        <v>Female</v>
      </c>
      <c r="E338" s="1" t="str">
        <f ca="1">IFERROR(__xludf.DUMMYFUNCTION("""COMPUTED_VALUE"""),"Influencers who had successful careers")</f>
        <v>Influencers who had successful careers</v>
      </c>
      <c r="F338" s="1" t="str">
        <f ca="1">IFERROR(__xludf.DUMMYFUNCTION("""COMPUTED_VALUE"""),"No I would not be pursuing Higher Education outside of India")</f>
        <v>No I would not be pursuing Higher Education outside of India</v>
      </c>
      <c r="G338" s="1" t="str">
        <f ca="1">IFERROR(__xludf.DUMMYFUNCTION("""COMPUTED_VALUE"""),"This will be hard to do, but if it is the right company I would try")</f>
        <v>This will be hard to do, but if it is the right company I would try</v>
      </c>
      <c r="H338" s="1" t="str">
        <f ca="1">IFERROR(__xludf.DUMMYFUNCTION("""COMPUTED_VALUE"""),"No")</f>
        <v>No</v>
      </c>
      <c r="I338" s="1" t="str">
        <f ca="1">IFERROR(__xludf.DUMMYFUNCTION("""COMPUTED_VALUE"""),"Will NOT work for them")</f>
        <v>Will NOT work for them</v>
      </c>
      <c r="J338" s="1">
        <f ca="1">IFERROR(__xludf.DUMMYFUNCTION("""COMPUTED_VALUE"""),2)</f>
        <v>2</v>
      </c>
      <c r="K338" s="1" t="str">
        <f ca="1">IFERROR(__xludf.DUMMYFUNCTION("""COMPUTED_VALUE"""),"Hybrid Working Environment with less than 15 days a month at office")</f>
        <v>Hybrid Working Environment with less than 15 days a month at office</v>
      </c>
      <c r="L3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8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38" s="1" t="str">
        <f ca="1">IFERROR(__xludf.DUMMYFUNCTION("""COMPUTED_VALUE"""),"Teaching in any of the institutes/online or Offline, Build and develop a Team, Look deeply into Data and generate insights")</f>
        <v>Teaching in any of the institutes/online or Offline, Build and develop a Team, Look deeply into Data and generate insights</v>
      </c>
      <c r="O338" s="1" t="str">
        <f ca="1">IFERROR(__xludf.DUMMYFUNCTION("""COMPUTED_VALUE"""),"Manager who clearly describes what she/he needs")</f>
        <v>Manager who clearly describes what she/he needs</v>
      </c>
      <c r="P338" s="1" t="str">
        <f ca="1">IFERROR(__xludf.DUMMYFUNCTION("""COMPUTED_VALUE"""),"Work with 5 to 6 people in my team")</f>
        <v>Work with 5 to 6 people in my team</v>
      </c>
      <c r="Q338" s="1"/>
      <c r="R338" s="1"/>
      <c r="S338" s="1"/>
    </row>
    <row r="339" spans="1:19" ht="12.5" x14ac:dyDescent="0.25">
      <c r="A339" s="2">
        <f ca="1">IFERROR(__xludf.DUMMYFUNCTION("""COMPUTED_VALUE"""),44937.7179000926)</f>
        <v>44937.717900092597</v>
      </c>
      <c r="B339" s="1" t="str">
        <f ca="1">IFERROR(__xludf.DUMMYFUNCTION("""COMPUTED_VALUE"""),"India")</f>
        <v>India</v>
      </c>
      <c r="C339" s="1">
        <f ca="1">IFERROR(__xludf.DUMMYFUNCTION("""COMPUTED_VALUE"""),383007)</f>
        <v>383007</v>
      </c>
      <c r="D339" s="1" t="str">
        <f ca="1">IFERROR(__xludf.DUMMYFUNCTION("""COMPUTED_VALUE"""),"Male")</f>
        <v>Male</v>
      </c>
      <c r="E339" s="1" t="str">
        <f ca="1">IFERROR(__xludf.DUMMYFUNCTION("""COMPUTED_VALUE"""),"People from my circle, but not family members")</f>
        <v>People from my circle, but not family members</v>
      </c>
      <c r="F339" s="1" t="str">
        <f ca="1">IFERROR(__xludf.DUMMYFUNCTION("""COMPUTED_VALUE"""),"No, But if someone could bare the cost I will")</f>
        <v>No, But if someone could bare the cost I will</v>
      </c>
      <c r="G339" s="1" t="str">
        <f ca="1">IFERROR(__xludf.DUMMYFUNCTION("""COMPUTED_VALUE"""),"This will be hard to do, but if it is the right company I would try")</f>
        <v>This will be hard to do, but if it is the right company I would try</v>
      </c>
      <c r="H339" s="1" t="str">
        <f ca="1">IFERROR(__xludf.DUMMYFUNCTION("""COMPUTED_VALUE"""),"No")</f>
        <v>No</v>
      </c>
      <c r="I339" s="1" t="str">
        <f ca="1">IFERROR(__xludf.DUMMYFUNCTION("""COMPUTED_VALUE"""),"Will NOT work for them")</f>
        <v>Will NOT work for them</v>
      </c>
      <c r="J339" s="1">
        <f ca="1">IFERROR(__xludf.DUMMYFUNCTION("""COMPUTED_VALUE"""),8)</f>
        <v>8</v>
      </c>
      <c r="K339" s="1" t="str">
        <f ca="1">IFERROR(__xludf.DUMMYFUNCTION("""COMPUTED_VALUE"""),"Hybrid Working Environment with less than 10 days a month at office")</f>
        <v>Hybrid Working Environment with less than 10 days a month at office</v>
      </c>
      <c r="L3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39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339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39" s="1" t="str">
        <f ca="1">IFERROR(__xludf.DUMMYFUNCTION("""COMPUTED_VALUE"""),"Manager who sets goal and helps me achieve it")</f>
        <v>Manager who sets goal and helps me achieve it</v>
      </c>
      <c r="P339" s="1" t="str">
        <f ca="1">IFERROR(__xludf.DUMMYFUNCTION("""COMPUTED_VALUE"""),"Work with 2 to 3 people in my team")</f>
        <v>Work with 2 to 3 people in my team</v>
      </c>
      <c r="Q339" s="1"/>
      <c r="R339" s="1"/>
      <c r="S339" s="1"/>
    </row>
    <row r="340" spans="1:19" ht="12.5" x14ac:dyDescent="0.25">
      <c r="A340" s="2">
        <f ca="1">IFERROR(__xludf.DUMMYFUNCTION("""COMPUTED_VALUE"""),44937.753747037)</f>
        <v>44937.753747037001</v>
      </c>
      <c r="B340" s="1" t="str">
        <f ca="1">IFERROR(__xludf.DUMMYFUNCTION("""COMPUTED_VALUE"""),"India")</f>
        <v>India</v>
      </c>
      <c r="C340" s="1">
        <f ca="1">IFERROR(__xludf.DUMMYFUNCTION("""COMPUTED_VALUE"""),638012)</f>
        <v>638012</v>
      </c>
      <c r="D340" s="1" t="str">
        <f ca="1">IFERROR(__xludf.DUMMYFUNCTION("""COMPUTED_VALUE"""),"Male")</f>
        <v>Male</v>
      </c>
      <c r="E340" s="1" t="str">
        <f ca="1">IFERROR(__xludf.DUMMYFUNCTION("""COMPUTED_VALUE"""),"Influencers who had successful careers")</f>
        <v>Influencers who had successful careers</v>
      </c>
      <c r="F340" s="1" t="str">
        <f ca="1">IFERROR(__xludf.DUMMYFUNCTION("""COMPUTED_VALUE"""),"Yes, I will earn and do that")</f>
        <v>Yes, I will earn and do that</v>
      </c>
      <c r="G340" s="1" t="str">
        <f ca="1">IFERROR(__xludf.DUMMYFUNCTION("""COMPUTED_VALUE"""),"This will be hard to do, but if it is the right company I would try")</f>
        <v>This will be hard to do, but if it is the right company I would try</v>
      </c>
      <c r="H340" s="1" t="str">
        <f ca="1">IFERROR(__xludf.DUMMYFUNCTION("""COMPUTED_VALUE"""),"No")</f>
        <v>No</v>
      </c>
      <c r="I340" s="1" t="str">
        <f ca="1">IFERROR(__xludf.DUMMYFUNCTION("""COMPUTED_VALUE"""),"Will NOT work for them")</f>
        <v>Will NOT work for them</v>
      </c>
      <c r="J340" s="1">
        <f ca="1">IFERROR(__xludf.DUMMYFUNCTION("""COMPUTED_VALUE"""),5)</f>
        <v>5</v>
      </c>
      <c r="K340" s="1" t="str">
        <f ca="1">IFERROR(__xludf.DUMMYFUNCTION("""COMPUTED_VALUE"""),"Hybrid Working Environment with less than 15 days a month at office")</f>
        <v>Hybrid Working Environment with less than 15 days a month at office</v>
      </c>
      <c r="L3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40" s="1" t="str">
        <f ca="1">IFERROR(__xludf.DUMMYFUNCTION("""COMPUTED_VALUE"""),"Self Paced Learning Portals, Instructor or Expert Learning Programs")</f>
        <v>Self Paced Learning Portals, Instructor or Expert Learning Programs</v>
      </c>
      <c r="N340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340" s="1" t="str">
        <f ca="1">IFERROR(__xludf.DUMMYFUNCTION("""COMPUTED_VALUE"""),"Manager who explains what is expected, sets a goal and helps achieve it")</f>
        <v>Manager who explains what is expected, sets a goal and helps achieve it</v>
      </c>
      <c r="P340" s="1" t="str">
        <f ca="1">IFERROR(__xludf.DUMMYFUNCTION("""COMPUTED_VALUE"""),"Work with 5 to 6 people in my team")</f>
        <v>Work with 5 to 6 people in my team</v>
      </c>
      <c r="Q340" s="1"/>
      <c r="R340" s="1"/>
      <c r="S340" s="1"/>
    </row>
    <row r="341" spans="1:19" ht="12.5" x14ac:dyDescent="0.25">
      <c r="A341" s="2">
        <f ca="1">IFERROR(__xludf.DUMMYFUNCTION("""COMPUTED_VALUE"""),44937.758060324)</f>
        <v>44937.758060323999</v>
      </c>
      <c r="B341" s="1" t="str">
        <f ca="1">IFERROR(__xludf.DUMMYFUNCTION("""COMPUTED_VALUE"""),"India")</f>
        <v>India</v>
      </c>
      <c r="C341" s="1">
        <f ca="1">IFERROR(__xludf.DUMMYFUNCTION("""COMPUTED_VALUE"""),457001)</f>
        <v>457001</v>
      </c>
      <c r="D341" s="1" t="str">
        <f ca="1">IFERROR(__xludf.DUMMYFUNCTION("""COMPUTED_VALUE"""),"Male")</f>
        <v>Male</v>
      </c>
      <c r="E341" s="1" t="str">
        <f ca="1">IFERROR(__xludf.DUMMYFUNCTION("""COMPUTED_VALUE"""),"People who have changed the world for better")</f>
        <v>People who have changed the world for better</v>
      </c>
      <c r="F341" s="1" t="str">
        <f ca="1">IFERROR(__xludf.DUMMYFUNCTION("""COMPUTED_VALUE"""),"Yes, I will earn and do that")</f>
        <v>Yes, I will earn and do that</v>
      </c>
      <c r="G341" s="1" t="str">
        <f ca="1">IFERROR(__xludf.DUMMYFUNCTION("""COMPUTED_VALUE"""),"Will work for 3 years or more")</f>
        <v>Will work for 3 years or more</v>
      </c>
      <c r="H341" s="1" t="str">
        <f ca="1">IFERROR(__xludf.DUMMYFUNCTION("""COMPUTED_VALUE"""),"Yes")</f>
        <v>Yes</v>
      </c>
      <c r="I341" s="1" t="str">
        <f ca="1">IFERROR(__xludf.DUMMYFUNCTION("""COMPUTED_VALUE"""),"Will work for them")</f>
        <v>Will work for them</v>
      </c>
      <c r="J341" s="1">
        <f ca="1">IFERROR(__xludf.DUMMYFUNCTION("""COMPUTED_VALUE"""),5)</f>
        <v>5</v>
      </c>
      <c r="K341" s="1" t="str">
        <f ca="1">IFERROR(__xludf.DUMMYFUNCTION("""COMPUTED_VALUE"""),"Fully Remote with Options to travel as and when needed")</f>
        <v>Fully Remote with Options to travel as and when needed</v>
      </c>
      <c r="L341" s="1" t="str">
        <f ca="1">IFERROR(__xludf.DUMMYFUNCTION("""COMPUTED_VALUE"""),"Employer who appreciates learning and enables that environment")</f>
        <v>Employer who appreciates learning and enables that environment</v>
      </c>
      <c r="M341" s="1" t="str">
        <f ca="1">IFERROR(__xludf.DUMMYFUNCTION("""COMPUTED_VALUE"""),"Self Paced Learning Portals, Learning by observing others")</f>
        <v>Self Paced Learning Portals, Learning by observing others</v>
      </c>
      <c r="N341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341" s="1" t="str">
        <f ca="1">IFERROR(__xludf.DUMMYFUNCTION("""COMPUTED_VALUE"""),"Manager who sets goal and helps me achieve it")</f>
        <v>Manager who sets goal and helps me achieve it</v>
      </c>
      <c r="P341" s="1" t="str">
        <f ca="1">IFERROR(__xludf.DUMMYFUNCTION("""COMPUTED_VALUE"""),"Work with more than 10 people in my team")</f>
        <v>Work with more than 10 people in my team</v>
      </c>
      <c r="Q341" s="1"/>
      <c r="R341" s="1"/>
      <c r="S341" s="1"/>
    </row>
    <row r="342" spans="1:19" ht="12.5" x14ac:dyDescent="0.25">
      <c r="A342" s="2">
        <f ca="1">IFERROR(__xludf.DUMMYFUNCTION("""COMPUTED_VALUE"""),44937.8912260532)</f>
        <v>44937.891226053202</v>
      </c>
      <c r="B342" s="1" t="str">
        <f ca="1">IFERROR(__xludf.DUMMYFUNCTION("""COMPUTED_VALUE"""),"India")</f>
        <v>India</v>
      </c>
      <c r="C342" s="1">
        <f ca="1">IFERROR(__xludf.DUMMYFUNCTION("""COMPUTED_VALUE"""),560010)</f>
        <v>560010</v>
      </c>
      <c r="D342" s="1" t="str">
        <f ca="1">IFERROR(__xludf.DUMMYFUNCTION("""COMPUTED_VALUE"""),"Female")</f>
        <v>Female</v>
      </c>
      <c r="E342" s="1" t="str">
        <f ca="1">IFERROR(__xludf.DUMMYFUNCTION("""COMPUTED_VALUE"""),"My Parents")</f>
        <v>My Parents</v>
      </c>
      <c r="F342" s="1" t="str">
        <f ca="1">IFERROR(__xludf.DUMMYFUNCTION("""COMPUTED_VALUE"""),"No I would not be pursuing Higher Education outside of India")</f>
        <v>No I would not be pursuing Higher Education outside of India</v>
      </c>
      <c r="G342" s="1" t="str">
        <f ca="1">IFERROR(__xludf.DUMMYFUNCTION("""COMPUTED_VALUE"""),"This will be hard to do, but if it is the right company I would try")</f>
        <v>This will be hard to do, but if it is the right company I would try</v>
      </c>
      <c r="H342" s="1" t="str">
        <f ca="1">IFERROR(__xludf.DUMMYFUNCTION("""COMPUTED_VALUE"""),"No")</f>
        <v>No</v>
      </c>
      <c r="I342" s="1" t="str">
        <f ca="1">IFERROR(__xludf.DUMMYFUNCTION("""COMPUTED_VALUE"""),"Will NOT work for them")</f>
        <v>Will NOT work for them</v>
      </c>
      <c r="J342" s="1">
        <f ca="1">IFERROR(__xludf.DUMMYFUNCTION("""COMPUTED_VALUE"""),8)</f>
        <v>8</v>
      </c>
      <c r="K342" s="1" t="str">
        <f ca="1">IFERROR(__xludf.DUMMYFUNCTION("""COMPUTED_VALUE"""),"Every Day Office Environment")</f>
        <v>Every Day Office Environment</v>
      </c>
      <c r="L342" s="1" t="str">
        <f ca="1">IFERROR(__xludf.DUMMYFUNCTION("""COMPUTED_VALUE"""),"Employer who appreciates learning and enables that environment")</f>
        <v>Employer who appreciates learning and enables that environment</v>
      </c>
      <c r="M342" s="1" t="str">
        <f ca="1">IFERROR(__xludf.DUMMYFUNCTION("""COMPUTED_VALUE"""),"Instructor or Expert Learning Programs, Learning by observing others")</f>
        <v>Instructor or Expert Learning Programs, Learning by observing others</v>
      </c>
      <c r="N342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342" s="1" t="str">
        <f ca="1">IFERROR(__xludf.DUMMYFUNCTION("""COMPUTED_VALUE"""),"Manager who sets goal and helps me achieve it")</f>
        <v>Manager who sets goal and helps me achieve it</v>
      </c>
      <c r="P342" s="1" t="str">
        <f ca="1">IFERROR(__xludf.DUMMYFUNCTION("""COMPUTED_VALUE"""),"Work with 5 to 6 people in my team")</f>
        <v>Work with 5 to 6 people in my team</v>
      </c>
      <c r="Q342" s="1"/>
      <c r="R342" s="1"/>
      <c r="S342" s="1"/>
    </row>
    <row r="343" spans="1:19" ht="12.5" x14ac:dyDescent="0.25">
      <c r="A343" s="2">
        <f ca="1">IFERROR(__xludf.DUMMYFUNCTION("""COMPUTED_VALUE"""),44937.891986655)</f>
        <v>44937.891986654999</v>
      </c>
      <c r="B343" s="1" t="str">
        <f ca="1">IFERROR(__xludf.DUMMYFUNCTION("""COMPUTED_VALUE"""),"India")</f>
        <v>India</v>
      </c>
      <c r="C343" s="1">
        <f ca="1">IFERROR(__xludf.DUMMYFUNCTION("""COMPUTED_VALUE"""),411048)</f>
        <v>411048</v>
      </c>
      <c r="D343" s="1" t="str">
        <f ca="1">IFERROR(__xludf.DUMMYFUNCTION("""COMPUTED_VALUE"""),"Male")</f>
        <v>Male</v>
      </c>
      <c r="E343" s="1" t="str">
        <f ca="1">IFERROR(__xludf.DUMMYFUNCTION("""COMPUTED_VALUE"""),"Social Media like LinkedIn")</f>
        <v>Social Media like LinkedIn</v>
      </c>
      <c r="F343" s="1" t="str">
        <f ca="1">IFERROR(__xludf.DUMMYFUNCTION("""COMPUTED_VALUE"""),"No, But if someone could bare the cost I will")</f>
        <v>No, But if someone could bare the cost I will</v>
      </c>
      <c r="G343" s="1" t="str">
        <f ca="1">IFERROR(__xludf.DUMMYFUNCTION("""COMPUTED_VALUE"""),"This will be hard to do, but if it is the right company I would try")</f>
        <v>This will be hard to do, but if it is the right company I would try</v>
      </c>
      <c r="H343" s="1" t="str">
        <f ca="1">IFERROR(__xludf.DUMMYFUNCTION("""COMPUTED_VALUE"""),"No")</f>
        <v>No</v>
      </c>
      <c r="I343" s="1" t="str">
        <f ca="1">IFERROR(__xludf.DUMMYFUNCTION("""COMPUTED_VALUE"""),"Will NOT work for them")</f>
        <v>Will NOT work for them</v>
      </c>
      <c r="J343" s="1">
        <f ca="1">IFERROR(__xludf.DUMMYFUNCTION("""COMPUTED_VALUE"""),7)</f>
        <v>7</v>
      </c>
      <c r="K343" s="1" t="str">
        <f ca="1">IFERROR(__xludf.DUMMYFUNCTION("""COMPUTED_VALUE"""),"Hybrid Working Environment with less than 3 days a month at office")</f>
        <v>Hybrid Working Environment with less than 3 days a month at office</v>
      </c>
      <c r="L3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43" s="1" t="str">
        <f ca="1">IFERROR(__xludf.DUMMYFUNCTION("""COMPUTED_VALUE"""),"Instructor or Expert Learning Programs, Learning by observing others")</f>
        <v>Instructor or Expert Learning Programs, Learning by observing others</v>
      </c>
      <c r="N343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343" s="1" t="str">
        <f ca="1">IFERROR(__xludf.DUMMYFUNCTION("""COMPUTED_VALUE"""),"Manager who explains what is expected, sets a goal and helps achieve it")</f>
        <v>Manager who explains what is expected, sets a goal and helps achieve it</v>
      </c>
      <c r="P343" s="1" t="str">
        <f ca="1">IFERROR(__xludf.DUMMYFUNCTION("""COMPUTED_VALUE"""),"Work with more than 10 people in my team")</f>
        <v>Work with more than 10 people in my team</v>
      </c>
      <c r="Q343" s="1"/>
      <c r="R343" s="1"/>
      <c r="S343" s="1"/>
    </row>
    <row r="344" spans="1:19" ht="12.5" x14ac:dyDescent="0.25">
      <c r="A344" s="2">
        <f ca="1">IFERROR(__xludf.DUMMYFUNCTION("""COMPUTED_VALUE"""),44938.0538303125)</f>
        <v>44938.053830312499</v>
      </c>
      <c r="B344" s="1" t="str">
        <f ca="1">IFERROR(__xludf.DUMMYFUNCTION("""COMPUTED_VALUE"""),"India")</f>
        <v>India</v>
      </c>
      <c r="C344" s="1">
        <f ca="1">IFERROR(__xludf.DUMMYFUNCTION("""COMPUTED_VALUE"""),283203)</f>
        <v>283203</v>
      </c>
      <c r="D344" s="1" t="str">
        <f ca="1">IFERROR(__xludf.DUMMYFUNCTION("""COMPUTED_VALUE"""),"Female")</f>
        <v>Female</v>
      </c>
      <c r="E344" s="1" t="str">
        <f ca="1">IFERROR(__xludf.DUMMYFUNCTION("""COMPUTED_VALUE"""),"My Parents")</f>
        <v>My Parents</v>
      </c>
      <c r="F344" s="1" t="str">
        <f ca="1">IFERROR(__xludf.DUMMYFUNCTION("""COMPUTED_VALUE"""),"Yes, I will earn and do that")</f>
        <v>Yes, I will earn and do that</v>
      </c>
      <c r="G344" s="1" t="str">
        <f ca="1">IFERROR(__xludf.DUMMYFUNCTION("""COMPUTED_VALUE"""),"This will be hard to do, but if it is the right company I would try")</f>
        <v>This will be hard to do, but if it is the right company I would try</v>
      </c>
      <c r="H344" s="1" t="str">
        <f ca="1">IFERROR(__xludf.DUMMYFUNCTION("""COMPUTED_VALUE"""),"Yes")</f>
        <v>Yes</v>
      </c>
      <c r="I344" s="1" t="str">
        <f ca="1">IFERROR(__xludf.DUMMYFUNCTION("""COMPUTED_VALUE"""),"Will NOT work for them")</f>
        <v>Will NOT work for them</v>
      </c>
      <c r="J344" s="1">
        <f ca="1">IFERROR(__xludf.DUMMYFUNCTION("""COMPUTED_VALUE"""),8)</f>
        <v>8</v>
      </c>
      <c r="K344" s="1" t="str">
        <f ca="1">IFERROR(__xludf.DUMMYFUNCTION("""COMPUTED_VALUE"""),"Hybrid Working Environment with less than 10 days a month at office")</f>
        <v>Hybrid Working Environment with less than 10 days a month at office</v>
      </c>
      <c r="L3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4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44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344" s="1" t="str">
        <f ca="1">IFERROR(__xludf.DUMMYFUNCTION("""COMPUTED_VALUE"""),"Manager who explains what is expected, sets a goal and helps achieve it")</f>
        <v>Manager who explains what is expected, sets a goal and helps achieve it</v>
      </c>
      <c r="P344" s="1" t="str">
        <f ca="1">IFERROR(__xludf.DUMMYFUNCTION("""COMPUTED_VALUE"""),"Work with 5 to 6 people in my team")</f>
        <v>Work with 5 to 6 people in my team</v>
      </c>
      <c r="Q344" s="1"/>
      <c r="R344" s="1"/>
      <c r="S344" s="1"/>
    </row>
    <row r="345" spans="1:19" ht="12.5" x14ac:dyDescent="0.25">
      <c r="A345" s="2">
        <f ca="1">IFERROR(__xludf.DUMMYFUNCTION("""COMPUTED_VALUE"""),44938.4051238078)</f>
        <v>44938.405123807803</v>
      </c>
      <c r="B345" s="1" t="str">
        <f ca="1">IFERROR(__xludf.DUMMYFUNCTION("""COMPUTED_VALUE"""),"India")</f>
        <v>India</v>
      </c>
      <c r="C345" s="1">
        <f ca="1">IFERROR(__xludf.DUMMYFUNCTION("""COMPUTED_VALUE"""),206001)</f>
        <v>206001</v>
      </c>
      <c r="D345" s="1" t="str">
        <f ca="1">IFERROR(__xludf.DUMMYFUNCTION("""COMPUTED_VALUE"""),"Male")</f>
        <v>Male</v>
      </c>
      <c r="E345" s="1" t="str">
        <f ca="1">IFERROR(__xludf.DUMMYFUNCTION("""COMPUTED_VALUE"""),"Influencers who had successful careers")</f>
        <v>Influencers who had successful careers</v>
      </c>
      <c r="F345" s="1" t="str">
        <f ca="1">IFERROR(__xludf.DUMMYFUNCTION("""COMPUTED_VALUE"""),"Yes, I will earn and do that")</f>
        <v>Yes, I will earn and do that</v>
      </c>
      <c r="G345" s="1" t="str">
        <f ca="1">IFERROR(__xludf.DUMMYFUNCTION("""COMPUTED_VALUE"""),"This will be hard to do, but if it is the right company I would try")</f>
        <v>This will be hard to do, but if it is the right company I would try</v>
      </c>
      <c r="H345" s="1" t="str">
        <f ca="1">IFERROR(__xludf.DUMMYFUNCTION("""COMPUTED_VALUE"""),"No")</f>
        <v>No</v>
      </c>
      <c r="I345" s="1" t="str">
        <f ca="1">IFERROR(__xludf.DUMMYFUNCTION("""COMPUTED_VALUE"""),"Will NOT work for them")</f>
        <v>Will NOT work for them</v>
      </c>
      <c r="J345" s="1">
        <f ca="1">IFERROR(__xludf.DUMMYFUNCTION("""COMPUTED_VALUE"""),6)</f>
        <v>6</v>
      </c>
      <c r="K345" s="1" t="str">
        <f ca="1">IFERROR(__xludf.DUMMYFUNCTION("""COMPUTED_VALUE"""),"Fully Remote with Options to travel as and when needed")</f>
        <v>Fully Remote with Options to travel as and when needed</v>
      </c>
      <c r="L3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45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45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45" s="1" t="str">
        <f ca="1">IFERROR(__xludf.DUMMYFUNCTION("""COMPUTED_VALUE"""),"Manager who explains what is expected, sets a goal and helps achieve it")</f>
        <v>Manager who explains what is expected, sets a goal and helps achieve it</v>
      </c>
      <c r="P345" s="1" t="str">
        <f ca="1">IFERROR(__xludf.DUMMYFUNCTION("""COMPUTED_VALUE"""),"Work with 5 to 6 people in my team")</f>
        <v>Work with 5 to 6 people in my team</v>
      </c>
      <c r="Q345" s="1"/>
      <c r="R345" s="1"/>
      <c r="S345" s="1"/>
    </row>
    <row r="346" spans="1:19" ht="12.5" x14ac:dyDescent="0.25">
      <c r="A346" s="2">
        <f ca="1">IFERROR(__xludf.DUMMYFUNCTION("""COMPUTED_VALUE"""),44938.8226759259)</f>
        <v>44938.822675925898</v>
      </c>
      <c r="B346" s="1" t="str">
        <f ca="1">IFERROR(__xludf.DUMMYFUNCTION("""COMPUTED_VALUE"""),"India")</f>
        <v>India</v>
      </c>
      <c r="C346" s="1">
        <f ca="1">IFERROR(__xludf.DUMMYFUNCTION("""COMPUTED_VALUE"""),412308)</f>
        <v>412308</v>
      </c>
      <c r="D346" s="1" t="str">
        <f ca="1">IFERROR(__xludf.DUMMYFUNCTION("""COMPUTED_VALUE"""),"Male")</f>
        <v>Male</v>
      </c>
      <c r="E346" s="1" t="str">
        <f ca="1">IFERROR(__xludf.DUMMYFUNCTION("""COMPUTED_VALUE"""),"Influencers who had successful careers")</f>
        <v>Influencers who had successful careers</v>
      </c>
      <c r="F346" s="1" t="str">
        <f ca="1">IFERROR(__xludf.DUMMYFUNCTION("""COMPUTED_VALUE"""),"Yes, I will earn and do that")</f>
        <v>Yes, I will earn and do that</v>
      </c>
      <c r="G346" s="1" t="str">
        <f ca="1">IFERROR(__xludf.DUMMYFUNCTION("""COMPUTED_VALUE"""),"Will work for 3 years or more")</f>
        <v>Will work for 3 years or more</v>
      </c>
      <c r="H346" s="1" t="str">
        <f ca="1">IFERROR(__xludf.DUMMYFUNCTION("""COMPUTED_VALUE"""),"No")</f>
        <v>No</v>
      </c>
      <c r="I346" s="1" t="str">
        <f ca="1">IFERROR(__xludf.DUMMYFUNCTION("""COMPUTED_VALUE"""),"Will NOT work for them")</f>
        <v>Will NOT work for them</v>
      </c>
      <c r="J346" s="1">
        <f ca="1">IFERROR(__xludf.DUMMYFUNCTION("""COMPUTED_VALUE"""),10)</f>
        <v>10</v>
      </c>
      <c r="K346" s="1" t="str">
        <f ca="1">IFERROR(__xludf.DUMMYFUNCTION("""COMPUTED_VALUE"""),"Hybrid Working Environment with less than 10 days a month at office")</f>
        <v>Hybrid Working Environment with less than 10 days a month at office</v>
      </c>
      <c r="L3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46" s="1" t="str">
        <f ca="1">IFERROR(__xludf.DUMMYFUNCTION("""COMPUTED_VALUE"""),"Self Paced Learning Portals, Instructor or Expert Learning Programs")</f>
        <v>Self Paced Learning Portals, Instructor or Expert Learning Programs</v>
      </c>
      <c r="N346" s="1" t="str">
        <f ca="1">IFERROR(__xludf.DUMMYFUNCTION("""COMPUTED_VALUE"""),"Design and Creative strategy in any company, Business Operations in any organization, Work as a freelancer and do my thing my way")</f>
        <v>Design and Creative strategy in any company, Business Operations in any organization, Work as a freelancer and do my thing my way</v>
      </c>
      <c r="O346" s="1" t="str">
        <f ca="1">IFERROR(__xludf.DUMMYFUNCTION("""COMPUTED_VALUE"""),"Manager who explains what is expected, sets a goal and helps achieve it")</f>
        <v>Manager who explains what is expected, sets a goal and helps achieve it</v>
      </c>
      <c r="P346" s="1" t="str">
        <f ca="1">IFERROR(__xludf.DUMMYFUNCTION("""COMPUTED_VALUE"""),"Work with 5 to 6 people in my team")</f>
        <v>Work with 5 to 6 people in my team</v>
      </c>
      <c r="Q346" s="1"/>
      <c r="R346" s="1"/>
      <c r="S346" s="1"/>
    </row>
    <row r="347" spans="1:19" ht="12.5" x14ac:dyDescent="0.25">
      <c r="A347" s="2">
        <f ca="1">IFERROR(__xludf.DUMMYFUNCTION("""COMPUTED_VALUE"""),44938.8339716319)</f>
        <v>44938.833971631902</v>
      </c>
      <c r="B347" s="1" t="str">
        <f ca="1">IFERROR(__xludf.DUMMYFUNCTION("""COMPUTED_VALUE"""),"India")</f>
        <v>India</v>
      </c>
      <c r="C347" s="1">
        <f ca="1">IFERROR(__xludf.DUMMYFUNCTION("""COMPUTED_VALUE"""),457001)</f>
        <v>457001</v>
      </c>
      <c r="D347" s="1" t="str">
        <f ca="1">IFERROR(__xludf.DUMMYFUNCTION("""COMPUTED_VALUE"""),"Female")</f>
        <v>Female</v>
      </c>
      <c r="E347" s="1" t="str">
        <f ca="1">IFERROR(__xludf.DUMMYFUNCTION("""COMPUTED_VALUE"""),"Influencers who had successful careers")</f>
        <v>Influencers who had successful careers</v>
      </c>
      <c r="F347" s="1" t="str">
        <f ca="1">IFERROR(__xludf.DUMMYFUNCTION("""COMPUTED_VALUE"""),"No I would not be pursuing Higher Education outside of India")</f>
        <v>No I would not be pursuing Higher Education outside of India</v>
      </c>
      <c r="G347" s="1" t="str">
        <f ca="1">IFERROR(__xludf.DUMMYFUNCTION("""COMPUTED_VALUE"""),"This will be hard to do, but if it is the right company I would try")</f>
        <v>This will be hard to do, but if it is the right company I would try</v>
      </c>
      <c r="H347" s="1" t="str">
        <f ca="1">IFERROR(__xludf.DUMMYFUNCTION("""COMPUTED_VALUE"""),"No")</f>
        <v>No</v>
      </c>
      <c r="I347" s="1" t="str">
        <f ca="1">IFERROR(__xludf.DUMMYFUNCTION("""COMPUTED_VALUE"""),"Will NOT work for them")</f>
        <v>Will NOT work for them</v>
      </c>
      <c r="J347" s="1">
        <f ca="1">IFERROR(__xludf.DUMMYFUNCTION("""COMPUTED_VALUE"""),4)</f>
        <v>4</v>
      </c>
      <c r="K347" s="1" t="str">
        <f ca="1">IFERROR(__xludf.DUMMYFUNCTION("""COMPUTED_VALUE"""),"Hybrid Working Environment with less than 10 days a month at office")</f>
        <v>Hybrid Working Environment with less than 10 days a month at office</v>
      </c>
      <c r="L3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47" s="1" t="str">
        <f ca="1">IFERROR(__xludf.DUMMYFUNCTION("""COMPUTED_VALUE"""),"Self Paced Learning Portals, Learning by observing others")</f>
        <v>Self Paced Learning Portals, Learning by observing others</v>
      </c>
      <c r="N347" s="1" t="str">
        <f ca="1">IFERROR(__xludf.DUMMYFUNCTION("""COMPUTED_VALUE"""),"Design and Creative strategy in any company, Teaching in any of the institutes/online or Offline, Build and develop a Team")</f>
        <v>Design and Creative strategy in any company, Teaching in any of the institutes/online or Offline, Build and develop a Team</v>
      </c>
      <c r="O347" s="1" t="str">
        <f ca="1">IFERROR(__xludf.DUMMYFUNCTION("""COMPUTED_VALUE"""),"Manager who explains what is expected, sets a goal and helps achieve it")</f>
        <v>Manager who explains what is expected, sets a goal and helps achieve it</v>
      </c>
      <c r="P347" s="1" t="str">
        <f ca="1">IFERROR(__xludf.DUMMYFUNCTION("""COMPUTED_VALUE"""),"Work with 2 to 3 people in my team")</f>
        <v>Work with 2 to 3 people in my team</v>
      </c>
      <c r="Q347" s="1"/>
      <c r="R347" s="1"/>
      <c r="S347" s="1"/>
    </row>
    <row r="348" spans="1:19" ht="12.5" x14ac:dyDescent="0.25">
      <c r="A348" s="2">
        <f ca="1">IFERROR(__xludf.DUMMYFUNCTION("""COMPUTED_VALUE"""),44938.8532356018)</f>
        <v>44938.853235601797</v>
      </c>
      <c r="B348" s="1" t="str">
        <f ca="1">IFERROR(__xludf.DUMMYFUNCTION("""COMPUTED_VALUE"""),"India")</f>
        <v>India</v>
      </c>
      <c r="C348" s="1">
        <f ca="1">IFERROR(__xludf.DUMMYFUNCTION("""COMPUTED_VALUE"""),560067)</f>
        <v>560067</v>
      </c>
      <c r="D348" s="1" t="str">
        <f ca="1">IFERROR(__xludf.DUMMYFUNCTION("""COMPUTED_VALUE"""),"Male")</f>
        <v>Male</v>
      </c>
      <c r="E348" s="1" t="str">
        <f ca="1">IFERROR(__xludf.DUMMYFUNCTION("""COMPUTED_VALUE"""),"People from my circle, but not family members")</f>
        <v>People from my circle, but not family members</v>
      </c>
      <c r="F348" s="1" t="str">
        <f ca="1">IFERROR(__xludf.DUMMYFUNCTION("""COMPUTED_VALUE"""),"No I would not be pursuing Higher Education outside of India")</f>
        <v>No I would not be pursuing Higher Education outside of India</v>
      </c>
      <c r="G348" s="1" t="str">
        <f ca="1">IFERROR(__xludf.DUMMYFUNCTION("""COMPUTED_VALUE"""),"Will work for 3 years or more")</f>
        <v>Will work for 3 years or more</v>
      </c>
      <c r="H348" s="1" t="str">
        <f ca="1">IFERROR(__xludf.DUMMYFUNCTION("""COMPUTED_VALUE"""),"No")</f>
        <v>No</v>
      </c>
      <c r="I348" s="1" t="str">
        <f ca="1">IFERROR(__xludf.DUMMYFUNCTION("""COMPUTED_VALUE"""),"Will NOT work for them")</f>
        <v>Will NOT work for them</v>
      </c>
      <c r="J348" s="1">
        <f ca="1">IFERROR(__xludf.DUMMYFUNCTION("""COMPUTED_VALUE"""),5)</f>
        <v>5</v>
      </c>
      <c r="K348" s="1" t="str">
        <f ca="1">IFERROR(__xludf.DUMMYFUNCTION("""COMPUTED_VALUE"""),"Fully Remote with Options to travel as and when needed")</f>
        <v>Fully Remote with Options to travel as and when needed</v>
      </c>
      <c r="L3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48" s="1" t="str">
        <f ca="1">IFERROR(__xludf.DUMMYFUNCTION("""COMPUTED_VALUE"""),"Self Paced Learning Portals, Instructor or Expert Learning Programs")</f>
        <v>Self Paced Learning Portals, Instructor or Expert Learning Programs</v>
      </c>
      <c r="N348" s="1" t="str">
        <f ca="1">IFERROR(__xludf.DUMMYFUNCTION("""COMPUTED_VALUE"""),"Business Operations in any organization, Look deeply into Data and generate insights, Work as a freelancer and do my thing my way")</f>
        <v>Business Operations in any organization, Look deeply into Data and generate insights, Work as a freelancer and do my thing my way</v>
      </c>
      <c r="O348" s="1" t="str">
        <f ca="1">IFERROR(__xludf.DUMMYFUNCTION("""COMPUTED_VALUE"""),"Manager who explains what is expected, sets a goal and helps achieve it")</f>
        <v>Manager who explains what is expected, sets a goal and helps achieve it</v>
      </c>
      <c r="P348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348" s="1"/>
      <c r="R348" s="1"/>
      <c r="S348" s="1"/>
    </row>
    <row r="349" spans="1:19" ht="12.5" x14ac:dyDescent="0.25">
      <c r="A349" s="2">
        <f ca="1">IFERROR(__xludf.DUMMYFUNCTION("""COMPUTED_VALUE"""),44938.9027559722)</f>
        <v>44938.902755972202</v>
      </c>
      <c r="B349" s="1" t="str">
        <f ca="1">IFERROR(__xludf.DUMMYFUNCTION("""COMPUTED_VALUE"""),"India")</f>
        <v>India</v>
      </c>
      <c r="C349" s="1">
        <f ca="1">IFERROR(__xludf.DUMMYFUNCTION("""COMPUTED_VALUE"""),560010)</f>
        <v>560010</v>
      </c>
      <c r="D349" s="1" t="str">
        <f ca="1">IFERROR(__xludf.DUMMYFUNCTION("""COMPUTED_VALUE"""),"Male")</f>
        <v>Male</v>
      </c>
      <c r="E349" s="1" t="str">
        <f ca="1">IFERROR(__xludf.DUMMYFUNCTION("""COMPUTED_VALUE"""),"My Parents")</f>
        <v>My Parents</v>
      </c>
      <c r="F349" s="1" t="str">
        <f ca="1">IFERROR(__xludf.DUMMYFUNCTION("""COMPUTED_VALUE"""),"No, But if someone could bare the cost I will")</f>
        <v>No, But if someone could bare the cost I will</v>
      </c>
      <c r="G349" s="1" t="str">
        <f ca="1">IFERROR(__xludf.DUMMYFUNCTION("""COMPUTED_VALUE"""),"Will work for 3 years or more")</f>
        <v>Will work for 3 years or more</v>
      </c>
      <c r="H349" s="1" t="str">
        <f ca="1">IFERROR(__xludf.DUMMYFUNCTION("""COMPUTED_VALUE"""),"No")</f>
        <v>No</v>
      </c>
      <c r="I349" s="1" t="str">
        <f ca="1">IFERROR(__xludf.DUMMYFUNCTION("""COMPUTED_VALUE"""),"Will work for them")</f>
        <v>Will work for them</v>
      </c>
      <c r="J349" s="1">
        <f ca="1">IFERROR(__xludf.DUMMYFUNCTION("""COMPUTED_VALUE"""),6)</f>
        <v>6</v>
      </c>
      <c r="K349" s="1" t="str">
        <f ca="1">IFERROR(__xludf.DUMMYFUNCTION("""COMPUTED_VALUE"""),"Hybrid Working Environment with less than 3 days a month at office")</f>
        <v>Hybrid Working Environment with less than 3 days a month at office</v>
      </c>
      <c r="L349" s="1" t="str">
        <f ca="1">IFERROR(__xludf.DUMMYFUNCTION("""COMPUTED_VALUE"""),"Employer who appreciates learning and enables that environment")</f>
        <v>Employer who appreciates learning and enables that environment</v>
      </c>
      <c r="M349" s="1" t="str">
        <f ca="1">IFERROR(__xludf.DUMMYFUNCTION("""COMPUTED_VALUE"""),"Self Paced Learning Portals, Instructor or Expert Learning Programs")</f>
        <v>Self Paced Learning Portals, Instructor or Expert Learning Programs</v>
      </c>
      <c r="N349" s="1" t="str">
        <f ca="1">IFERROR(__xludf.DUMMYFUNCTION("""COMPUTED_VALUE"""),"Business Operations in any organization, Manage and drive End-to-End Projects or Products, Build and develop a Team")</f>
        <v>Business Operations in any organization, Manage and drive End-to-End Projects or Products, Build and develop a Team</v>
      </c>
      <c r="O349" s="1" t="str">
        <f ca="1">IFERROR(__xludf.DUMMYFUNCTION("""COMPUTED_VALUE"""),"Manager who sets goal and helps me achieve it")</f>
        <v>Manager who sets goal and helps me achieve it</v>
      </c>
      <c r="P349" s="1" t="str">
        <f ca="1">IFERROR(__xludf.DUMMYFUNCTION("""COMPUTED_VALUE"""),"Work with 5 to 6 people in my team")</f>
        <v>Work with 5 to 6 people in my team</v>
      </c>
      <c r="Q349" s="1"/>
      <c r="R349" s="1"/>
      <c r="S349" s="1"/>
    </row>
    <row r="350" spans="1:19" ht="12.5" x14ac:dyDescent="0.25">
      <c r="A350" s="2">
        <f ca="1">IFERROR(__xludf.DUMMYFUNCTION("""COMPUTED_VALUE"""),44939.3858035069)</f>
        <v>44939.385803506899</v>
      </c>
      <c r="B350" s="1" t="str">
        <f ca="1">IFERROR(__xludf.DUMMYFUNCTION("""COMPUTED_VALUE"""),"India")</f>
        <v>India</v>
      </c>
      <c r="C350" s="1">
        <f ca="1">IFERROR(__xludf.DUMMYFUNCTION("""COMPUTED_VALUE"""),641602)</f>
        <v>641602</v>
      </c>
      <c r="D350" s="1" t="str">
        <f ca="1">IFERROR(__xludf.DUMMYFUNCTION("""COMPUTED_VALUE"""),"Male")</f>
        <v>Male</v>
      </c>
      <c r="E350" s="1" t="str">
        <f ca="1">IFERROR(__xludf.DUMMYFUNCTION("""COMPUTED_VALUE"""),"People who have changed the world for better")</f>
        <v>People who have changed the world for better</v>
      </c>
      <c r="F350" s="1" t="str">
        <f ca="1">IFERROR(__xludf.DUMMYFUNCTION("""COMPUTED_VALUE"""),"No I would not be pursuing Higher Education outside of India")</f>
        <v>No I would not be pursuing Higher Education outside of India</v>
      </c>
      <c r="G350" s="1" t="str">
        <f ca="1">IFERROR(__xludf.DUMMYFUNCTION("""COMPUTED_VALUE"""),"This will be hard to do, but if it is the right company I would try")</f>
        <v>This will be hard to do, but if it is the right company I would try</v>
      </c>
      <c r="H350" s="1" t="str">
        <f ca="1">IFERROR(__xludf.DUMMYFUNCTION("""COMPUTED_VALUE"""),"No")</f>
        <v>No</v>
      </c>
      <c r="I350" s="1" t="str">
        <f ca="1">IFERROR(__xludf.DUMMYFUNCTION("""COMPUTED_VALUE"""),"Will NOT work for them")</f>
        <v>Will NOT work for them</v>
      </c>
      <c r="J350" s="1">
        <f ca="1">IFERROR(__xludf.DUMMYFUNCTION("""COMPUTED_VALUE"""),8)</f>
        <v>8</v>
      </c>
      <c r="K350" s="1" t="str">
        <f ca="1">IFERROR(__xludf.DUMMYFUNCTION("""COMPUTED_VALUE"""),"Hybrid Working Environment with less than 15 days a month at office")</f>
        <v>Hybrid Working Environment with less than 15 days a month at office</v>
      </c>
      <c r="L350" s="1" t="str">
        <f ca="1">IFERROR(__xludf.DUMMYFUNCTION("""COMPUTED_VALUE"""),"Employer who rewards learning and enables that environment")</f>
        <v>Employer who rewards learning and enables that environment</v>
      </c>
      <c r="M350" s="1" t="str">
        <f ca="1">IFERROR(__xludf.DUMMYFUNCTION("""COMPUTED_VALUE"""),"Self Paced Learning Portals, Learning by observing others")</f>
        <v>Self Paced Learning Portals, Learning by observing others</v>
      </c>
      <c r="N350" s="1" t="str">
        <f ca="1">IFERROR(__xludf.DUMMYFUNCTION("""COMPUTED_VALUE"""),"Design and Creative strategy in any company, Manage and drive End-to-End Projects or Products, Build and develop a Team")</f>
        <v>Design and Creative strategy in any company, Manage and drive End-to-End Projects or Products, Build and develop a Team</v>
      </c>
      <c r="O350" s="1" t="str">
        <f ca="1">IFERROR(__xludf.DUMMYFUNCTION("""COMPUTED_VALUE"""),"Manager who sets goal and helps me achieve it")</f>
        <v>Manager who sets goal and helps me achieve it</v>
      </c>
      <c r="P35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350" s="1"/>
      <c r="R350" s="1"/>
      <c r="S350" s="1"/>
    </row>
    <row r="351" spans="1:19" ht="12.5" x14ac:dyDescent="0.25">
      <c r="A351" s="2">
        <f ca="1">IFERROR(__xludf.DUMMYFUNCTION("""COMPUTED_VALUE"""),44939.4151089236)</f>
        <v>44939.415108923597</v>
      </c>
      <c r="B351" s="1" t="str">
        <f ca="1">IFERROR(__xludf.DUMMYFUNCTION("""COMPUTED_VALUE"""),"India")</f>
        <v>India</v>
      </c>
      <c r="C351" s="1">
        <f ca="1">IFERROR(__xludf.DUMMYFUNCTION("""COMPUTED_VALUE"""),457001)</f>
        <v>457001</v>
      </c>
      <c r="D351" s="1" t="str">
        <f ca="1">IFERROR(__xludf.DUMMYFUNCTION("""COMPUTED_VALUE"""),"Male")</f>
        <v>Male</v>
      </c>
      <c r="E351" s="1" t="str">
        <f ca="1">IFERROR(__xludf.DUMMYFUNCTION("""COMPUTED_VALUE"""),"Social Media like LinkedIn")</f>
        <v>Social Media like LinkedIn</v>
      </c>
      <c r="F351" s="1" t="str">
        <f ca="1">IFERROR(__xludf.DUMMYFUNCTION("""COMPUTED_VALUE"""),"Yes, I will earn and do that")</f>
        <v>Yes, I will earn and do that</v>
      </c>
      <c r="G351" s="1" t="str">
        <f ca="1">IFERROR(__xludf.DUMMYFUNCTION("""COMPUTED_VALUE"""),"This will be hard to do, but if it is the right company I would try")</f>
        <v>This will be hard to do, but if it is the right company I would try</v>
      </c>
      <c r="H351" s="1" t="str">
        <f ca="1">IFERROR(__xludf.DUMMYFUNCTION("""COMPUTED_VALUE"""),"No")</f>
        <v>No</v>
      </c>
      <c r="I351" s="1" t="str">
        <f ca="1">IFERROR(__xludf.DUMMYFUNCTION("""COMPUTED_VALUE"""),"Will NOT work for them")</f>
        <v>Will NOT work for them</v>
      </c>
      <c r="J351" s="1">
        <f ca="1">IFERROR(__xludf.DUMMYFUNCTION("""COMPUTED_VALUE"""),4)</f>
        <v>4</v>
      </c>
      <c r="K351" s="1" t="str">
        <f ca="1">IFERROR(__xludf.DUMMYFUNCTION("""COMPUTED_VALUE"""),"Hybrid Working Environment with less than 15 days a month at office")</f>
        <v>Hybrid Working Environment with less than 15 days a month at office</v>
      </c>
      <c r="L3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5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51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351" s="1" t="str">
        <f ca="1">IFERROR(__xludf.DUMMYFUNCTION("""COMPUTED_VALUE"""),"Manager who explains what is expected, sets a goal and helps achieve it")</f>
        <v>Manager who explains what is expected, sets a goal and helps achieve it</v>
      </c>
      <c r="P351" s="1" t="str">
        <f ca="1">IFERROR(__xludf.DUMMYFUNCTION("""COMPUTED_VALUE"""),"Work with 2 to 3 people in my team, Work with 5 to 6 people in my team")</f>
        <v>Work with 2 to 3 people in my team, Work with 5 to 6 people in my team</v>
      </c>
      <c r="Q351" s="1"/>
      <c r="R351" s="1"/>
      <c r="S351" s="1"/>
    </row>
    <row r="352" spans="1:19" ht="12.5" x14ac:dyDescent="0.25">
      <c r="A352" s="2">
        <f ca="1">IFERROR(__xludf.DUMMYFUNCTION("""COMPUTED_VALUE"""),44939.451500706)</f>
        <v>44939.451500706004</v>
      </c>
      <c r="B352" s="1" t="str">
        <f ca="1">IFERROR(__xludf.DUMMYFUNCTION("""COMPUTED_VALUE"""),"India")</f>
        <v>India</v>
      </c>
      <c r="C352" s="1">
        <f ca="1">IFERROR(__xludf.DUMMYFUNCTION("""COMPUTED_VALUE"""),465614)</f>
        <v>465614</v>
      </c>
      <c r="D352" s="1" t="str">
        <f ca="1">IFERROR(__xludf.DUMMYFUNCTION("""COMPUTED_VALUE"""),"Male")</f>
        <v>Male</v>
      </c>
      <c r="E352" s="1" t="str">
        <f ca="1">IFERROR(__xludf.DUMMYFUNCTION("""COMPUTED_VALUE"""),"Social Media like LinkedIn")</f>
        <v>Social Media like LinkedIn</v>
      </c>
      <c r="F352" s="1" t="str">
        <f ca="1">IFERROR(__xludf.DUMMYFUNCTION("""COMPUTED_VALUE"""),"Yes, I will earn and do that")</f>
        <v>Yes, I will earn and do that</v>
      </c>
      <c r="G352" s="1" t="str">
        <f ca="1">IFERROR(__xludf.DUMMYFUNCTION("""COMPUTED_VALUE"""),"This will be hard to do, but if it is the right company I would try")</f>
        <v>This will be hard to do, but if it is the right company I would try</v>
      </c>
      <c r="H352" s="1" t="str">
        <f ca="1">IFERROR(__xludf.DUMMYFUNCTION("""COMPUTED_VALUE"""),"No")</f>
        <v>No</v>
      </c>
      <c r="I352" s="1" t="str">
        <f ca="1">IFERROR(__xludf.DUMMYFUNCTION("""COMPUTED_VALUE"""),"Will NOT work for them")</f>
        <v>Will NOT work for them</v>
      </c>
      <c r="J352" s="1">
        <f ca="1">IFERROR(__xludf.DUMMYFUNCTION("""COMPUTED_VALUE"""),1)</f>
        <v>1</v>
      </c>
      <c r="K352" s="1" t="str">
        <f ca="1">IFERROR(__xludf.DUMMYFUNCTION("""COMPUTED_VALUE"""),"Fully Remote with Options to travel as and when needed")</f>
        <v>Fully Remote with Options to travel as and when needed</v>
      </c>
      <c r="L352" s="1" t="str">
        <f ca="1">IFERROR(__xludf.DUMMYFUNCTION("""COMPUTED_VALUE"""),"Employer who appreciates learning and enables that environment")</f>
        <v>Employer who appreciates learning and enables that environment</v>
      </c>
      <c r="M352" s="1" t="str">
        <f ca="1">IFERROR(__xludf.DUMMYFUNCTION("""COMPUTED_VALUE"""),"Self Paced Learning Portals, Instructor or Expert Learning Programs")</f>
        <v>Self Paced Learning Portals, Instructor or Expert Learning Programs</v>
      </c>
      <c r="N352" s="1" t="str">
        <f ca="1">IFERROR(__xludf.DUMMYFUNCTION("""COMPUTED_VALUE"""),"Business Operations in any organization, Build and develop a Team, Work as a freelancer and do my thing my way")</f>
        <v>Business Operations in any organization, Build and develop a Team, Work as a freelancer and do my thing my way</v>
      </c>
      <c r="O352" s="1" t="str">
        <f ca="1">IFERROR(__xludf.DUMMYFUNCTION("""COMPUTED_VALUE"""),"Manager who clearly describes what she/he needs")</f>
        <v>Manager who clearly describes what she/he needs</v>
      </c>
      <c r="P352" s="1" t="str">
        <f ca="1">IFERROR(__xludf.DUMMYFUNCTION("""COMPUTED_VALUE"""),"Work with more than 10 people in my team")</f>
        <v>Work with more than 10 people in my team</v>
      </c>
      <c r="Q352" s="1"/>
      <c r="R352" s="1"/>
      <c r="S352" s="1"/>
    </row>
    <row r="353" spans="1:19" ht="12.5" x14ac:dyDescent="0.25">
      <c r="A353" s="2">
        <f ca="1">IFERROR(__xludf.DUMMYFUNCTION("""COMPUTED_VALUE"""),44939.4556909722)</f>
        <v>44939.455690972201</v>
      </c>
      <c r="B353" s="1" t="str">
        <f ca="1">IFERROR(__xludf.DUMMYFUNCTION("""COMPUTED_VALUE"""),"India")</f>
        <v>India</v>
      </c>
      <c r="C353" s="1">
        <f ca="1">IFERROR(__xludf.DUMMYFUNCTION("""COMPUTED_VALUE"""),560010)</f>
        <v>560010</v>
      </c>
      <c r="D353" s="1" t="str">
        <f ca="1">IFERROR(__xludf.DUMMYFUNCTION("""COMPUTED_VALUE"""),"Male")</f>
        <v>Male</v>
      </c>
      <c r="E353" s="1" t="str">
        <f ca="1">IFERROR(__xludf.DUMMYFUNCTION("""COMPUTED_VALUE"""),"People who have changed the world for better")</f>
        <v>People who have changed the world for better</v>
      </c>
      <c r="F353" s="1" t="str">
        <f ca="1">IFERROR(__xludf.DUMMYFUNCTION("""COMPUTED_VALUE"""),"No I would not be pursuing Higher Education outside of India")</f>
        <v>No I would not be pursuing Higher Education outside of India</v>
      </c>
      <c r="G353" s="1" t="str">
        <f ca="1">IFERROR(__xludf.DUMMYFUNCTION("""COMPUTED_VALUE"""),"This will be hard to do, but if it is the right company I would try")</f>
        <v>This will be hard to do, but if it is the right company I would try</v>
      </c>
      <c r="H353" s="1" t="str">
        <f ca="1">IFERROR(__xludf.DUMMYFUNCTION("""COMPUTED_VALUE"""),"No")</f>
        <v>No</v>
      </c>
      <c r="I353" s="1" t="str">
        <f ca="1">IFERROR(__xludf.DUMMYFUNCTION("""COMPUTED_VALUE"""),"Will NOT work for them")</f>
        <v>Will NOT work for them</v>
      </c>
      <c r="J353" s="1">
        <f ca="1">IFERROR(__xludf.DUMMYFUNCTION("""COMPUTED_VALUE"""),7)</f>
        <v>7</v>
      </c>
      <c r="K353" s="1" t="str">
        <f ca="1">IFERROR(__xludf.DUMMYFUNCTION("""COMPUTED_VALUE"""),"Hybrid Working Environment with less than 15 days a month at office")</f>
        <v>Hybrid Working Environment with less than 15 days a month at office</v>
      </c>
      <c r="L3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53" s="1" t="str">
        <f ca="1">IFERROR(__xludf.DUMMYFUNCTION("""COMPUTED_VALUE"""),"Instructor or Expert Learning Programs, Learning by observing others")</f>
        <v>Instructor or Expert Learning Programs, Learning by observing others</v>
      </c>
      <c r="N353" s="1" t="str">
        <f ca="1">IFERROR(__xludf.DUMMYFUNCTION("""COMPUTED_VALUE"""),"Manage and drive End-to-End Projects or Products, Design and Develop amazing software, Look deeply into Data and generate insights")</f>
        <v>Manage and drive End-to-End Projects or Products, Design and Develop amazing software, Look deeply into Data and generate insights</v>
      </c>
      <c r="O353" s="1" t="str">
        <f ca="1">IFERROR(__xludf.DUMMYFUNCTION("""COMPUTED_VALUE"""),"Manager who explains what is expected, sets a goal and helps achieve it")</f>
        <v>Manager who explains what is expected, sets a goal and helps achieve it</v>
      </c>
      <c r="P353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353" s="1"/>
      <c r="R353" s="1"/>
      <c r="S353" s="1"/>
    </row>
    <row r="354" spans="1:19" ht="12.5" x14ac:dyDescent="0.25">
      <c r="A354" s="2">
        <f ca="1">IFERROR(__xludf.DUMMYFUNCTION("""COMPUTED_VALUE"""),44939.5227505902)</f>
        <v>44939.5227505902</v>
      </c>
      <c r="B354" s="1" t="str">
        <f ca="1">IFERROR(__xludf.DUMMYFUNCTION("""COMPUTED_VALUE"""),"India")</f>
        <v>India</v>
      </c>
      <c r="C354" s="1">
        <f ca="1">IFERROR(__xludf.DUMMYFUNCTION("""COMPUTED_VALUE"""),560015)</f>
        <v>560015</v>
      </c>
      <c r="D354" s="1" t="str">
        <f ca="1">IFERROR(__xludf.DUMMYFUNCTION("""COMPUTED_VALUE"""),"Male")</f>
        <v>Male</v>
      </c>
      <c r="E354" s="1" t="str">
        <f ca="1">IFERROR(__xludf.DUMMYFUNCTION("""COMPUTED_VALUE"""),"People from my circle, but not family members")</f>
        <v>People from my circle, but not family members</v>
      </c>
      <c r="F354" s="1" t="str">
        <f ca="1">IFERROR(__xludf.DUMMYFUNCTION("""COMPUTED_VALUE"""),"No I would not be pursuing Higher Education outside of India")</f>
        <v>No I would not be pursuing Higher Education outside of India</v>
      </c>
      <c r="G354" s="1" t="str">
        <f ca="1">IFERROR(__xludf.DUMMYFUNCTION("""COMPUTED_VALUE"""),"This will be hard to do, but if it is the right company I would try")</f>
        <v>This will be hard to do, but if it is the right company I would try</v>
      </c>
      <c r="H354" s="1" t="str">
        <f ca="1">IFERROR(__xludf.DUMMYFUNCTION("""COMPUTED_VALUE"""),"No")</f>
        <v>No</v>
      </c>
      <c r="I354" s="1" t="str">
        <f ca="1">IFERROR(__xludf.DUMMYFUNCTION("""COMPUTED_VALUE"""),"Will NOT work for them")</f>
        <v>Will NOT work for them</v>
      </c>
      <c r="J354" s="1">
        <f ca="1">IFERROR(__xludf.DUMMYFUNCTION("""COMPUTED_VALUE"""),1)</f>
        <v>1</v>
      </c>
      <c r="K354" s="1" t="str">
        <f ca="1">IFERROR(__xludf.DUMMYFUNCTION("""COMPUTED_VALUE"""),"Hybrid Working Environment with less than 10 days a month at office")</f>
        <v>Hybrid Working Environment with less than 10 days a month at office</v>
      </c>
      <c r="L354" s="1" t="str">
        <f ca="1">IFERROR(__xludf.DUMMYFUNCTION("""COMPUTED_VALUE"""),"Employer who rewards learning and enables that environment")</f>
        <v>Employer who rewards learning and enables that environment</v>
      </c>
      <c r="M354" s="1" t="str">
        <f ca="1">IFERROR(__xludf.DUMMYFUNCTION("""COMPUTED_VALUE"""),"Self Paced Learning Portals, Learning by observing others")</f>
        <v>Self Paced Learning Portals, Learning by observing others</v>
      </c>
      <c r="N354" s="1" t="str">
        <f ca="1">IFERROR(__xludf.DUMMYFUNCTION("""COMPUTED_VALUE"""),"Design and Creative strategy in any company, Design and Develop amazing software, Work as a freelancer and do my thing my way")</f>
        <v>Design and Creative strategy in any company, Design and Develop amazing software, Work as a freelancer and do my thing my way</v>
      </c>
      <c r="O354" s="1" t="str">
        <f ca="1">IFERROR(__xludf.DUMMYFUNCTION("""COMPUTED_VALUE"""),"Manager who explains what is expected, sets a goal and helps achieve it")</f>
        <v>Manager who explains what is expected, sets a goal and helps achieve it</v>
      </c>
      <c r="P354" s="1" t="str">
        <f ca="1">IFERROR(__xludf.DUMMYFUNCTION("""COMPUTED_VALUE"""),"Work with 2 to 3 people in my team")</f>
        <v>Work with 2 to 3 people in my team</v>
      </c>
      <c r="Q354" s="1"/>
      <c r="R354" s="1"/>
      <c r="S354" s="1"/>
    </row>
    <row r="355" spans="1:19" ht="12.5" x14ac:dyDescent="0.25">
      <c r="A355" s="2">
        <f ca="1">IFERROR(__xludf.DUMMYFUNCTION("""COMPUTED_VALUE"""),44939.5722373611)</f>
        <v>44939.572237361099</v>
      </c>
      <c r="B355" s="1" t="str">
        <f ca="1">IFERROR(__xludf.DUMMYFUNCTION("""COMPUTED_VALUE"""),"India")</f>
        <v>India</v>
      </c>
      <c r="C355" s="1">
        <f ca="1">IFERROR(__xludf.DUMMYFUNCTION("""COMPUTED_VALUE"""),560077)</f>
        <v>560077</v>
      </c>
      <c r="D355" s="1" t="str">
        <f ca="1">IFERROR(__xludf.DUMMYFUNCTION("""COMPUTED_VALUE"""),"Male")</f>
        <v>Male</v>
      </c>
      <c r="E355" s="1" t="str">
        <f ca="1">IFERROR(__xludf.DUMMYFUNCTION("""COMPUTED_VALUE"""),"My Parents")</f>
        <v>My Parents</v>
      </c>
      <c r="F355" s="1" t="str">
        <f ca="1">IFERROR(__xludf.DUMMYFUNCTION("""COMPUTED_VALUE"""),"No, But if someone could bare the cost I will")</f>
        <v>No, But if someone could bare the cost I will</v>
      </c>
      <c r="G355" s="1" t="str">
        <f ca="1">IFERROR(__xludf.DUMMYFUNCTION("""COMPUTED_VALUE"""),"Will work for 3 years or more")</f>
        <v>Will work for 3 years or more</v>
      </c>
      <c r="H355" s="1" t="str">
        <f ca="1">IFERROR(__xludf.DUMMYFUNCTION("""COMPUTED_VALUE"""),"Yes")</f>
        <v>Yes</v>
      </c>
      <c r="I355" s="1" t="str">
        <f ca="1">IFERROR(__xludf.DUMMYFUNCTION("""COMPUTED_VALUE"""),"Will work for them")</f>
        <v>Will work for them</v>
      </c>
      <c r="J355" s="1">
        <f ca="1">IFERROR(__xludf.DUMMYFUNCTION("""COMPUTED_VALUE"""),4)</f>
        <v>4</v>
      </c>
      <c r="K355" s="1" t="str">
        <f ca="1">IFERROR(__xludf.DUMMYFUNCTION("""COMPUTED_VALUE"""),"Hybrid Working Environment with less than 15 days a month at office")</f>
        <v>Hybrid Working Environment with less than 15 days a month at office</v>
      </c>
      <c r="L355" s="1" t="str">
        <f ca="1">IFERROR(__xludf.DUMMYFUNCTION("""COMPUTED_VALUE"""),"Employer who rewards learning and enables that environment")</f>
        <v>Employer who rewards learning and enables that environment</v>
      </c>
      <c r="M355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355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355" s="1" t="str">
        <f ca="1">IFERROR(__xludf.DUMMYFUNCTION("""COMPUTED_VALUE"""),"Manager who explains what is expected, sets a goal and helps achieve it")</f>
        <v>Manager who explains what is expected, sets a goal and helps achieve it</v>
      </c>
      <c r="P355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355" s="1"/>
      <c r="R355" s="1"/>
      <c r="S355" s="1"/>
    </row>
    <row r="356" spans="1:19" ht="12.5" x14ac:dyDescent="0.25">
      <c r="A356" s="2">
        <f ca="1">IFERROR(__xludf.DUMMYFUNCTION("""COMPUTED_VALUE"""),44939.8109976736)</f>
        <v>44939.810997673601</v>
      </c>
      <c r="B356" s="1" t="str">
        <f ca="1">IFERROR(__xludf.DUMMYFUNCTION("""COMPUTED_VALUE"""),"India")</f>
        <v>India</v>
      </c>
      <c r="C356" s="1">
        <f ca="1">IFERROR(__xludf.DUMMYFUNCTION("""COMPUTED_VALUE"""),401105)</f>
        <v>401105</v>
      </c>
      <c r="D356" s="1" t="str">
        <f ca="1">IFERROR(__xludf.DUMMYFUNCTION("""COMPUTED_VALUE"""),"Male")</f>
        <v>Male</v>
      </c>
      <c r="E356" s="1" t="str">
        <f ca="1">IFERROR(__xludf.DUMMYFUNCTION("""COMPUTED_VALUE"""),"People who have changed the world for better")</f>
        <v>People who have changed the world for better</v>
      </c>
      <c r="F356" s="1" t="str">
        <f ca="1">IFERROR(__xludf.DUMMYFUNCTION("""COMPUTED_VALUE"""),"No, But if someone could bare the cost I will")</f>
        <v>No, But if someone could bare the cost I will</v>
      </c>
      <c r="G356" s="1" t="str">
        <f ca="1">IFERROR(__xludf.DUMMYFUNCTION("""COMPUTED_VALUE"""),"This will be hard to do, but if it is the right company I would try")</f>
        <v>This will be hard to do, but if it is the right company I would try</v>
      </c>
      <c r="H356" s="1" t="str">
        <f ca="1">IFERROR(__xludf.DUMMYFUNCTION("""COMPUTED_VALUE"""),"No")</f>
        <v>No</v>
      </c>
      <c r="I356" s="1" t="str">
        <f ca="1">IFERROR(__xludf.DUMMYFUNCTION("""COMPUTED_VALUE"""),"Will NOT work for them")</f>
        <v>Will NOT work for them</v>
      </c>
      <c r="J356" s="1">
        <f ca="1">IFERROR(__xludf.DUMMYFUNCTION("""COMPUTED_VALUE"""),5)</f>
        <v>5</v>
      </c>
      <c r="K356" s="1" t="str">
        <f ca="1">IFERROR(__xludf.DUMMYFUNCTION("""COMPUTED_VALUE"""),"Hybrid Working Environment with less than 10 days a month at office")</f>
        <v>Hybrid Working Environment with less than 10 days a month at office</v>
      </c>
      <c r="L3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56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356" s="1" t="str">
        <f ca="1">IFERROR(__xludf.DUMMYFUNCTION("""COMPUTED_VALUE"""),"Manage and drive End-to-End Projects or Products, Build and develop a Team, Look deeply into Data and generate insights")</f>
        <v>Manage and drive End-to-End Projects or Products, Build and develop a Team, Look deeply into Data and generate insights</v>
      </c>
      <c r="O356" s="1" t="str">
        <f ca="1">IFERROR(__xludf.DUMMYFUNCTION("""COMPUTED_VALUE"""),"Manager who explains what is expected, sets a goal and helps achieve it")</f>
        <v>Manager who explains what is expected, sets a goal and helps achieve it</v>
      </c>
      <c r="P356" s="1" t="str">
        <f ca="1">IFERROR(__xludf.DUMMYFUNCTION("""COMPUTED_VALUE"""),"Work with 5 to 6 people in my team")</f>
        <v>Work with 5 to 6 people in my team</v>
      </c>
      <c r="Q356" s="1"/>
      <c r="R356" s="1"/>
      <c r="S356" s="1"/>
    </row>
    <row r="357" spans="1:19" ht="12.5" x14ac:dyDescent="0.25">
      <c r="A357" s="2">
        <f ca="1">IFERROR(__xludf.DUMMYFUNCTION("""COMPUTED_VALUE"""),44939.956319699)</f>
        <v>44939.956319698998</v>
      </c>
      <c r="B357" s="1" t="str">
        <f ca="1">IFERROR(__xludf.DUMMYFUNCTION("""COMPUTED_VALUE"""),"India")</f>
        <v>India</v>
      </c>
      <c r="C357" s="1">
        <f ca="1">IFERROR(__xludf.DUMMYFUNCTION("""COMPUTED_VALUE"""),500010)</f>
        <v>500010</v>
      </c>
      <c r="D357" s="1" t="str">
        <f ca="1">IFERROR(__xludf.DUMMYFUNCTION("""COMPUTED_VALUE"""),"Male")</f>
        <v>Male</v>
      </c>
      <c r="E357" s="1" t="str">
        <f ca="1">IFERROR(__xludf.DUMMYFUNCTION("""COMPUTED_VALUE"""),"Social Media like LinkedIn")</f>
        <v>Social Media like LinkedIn</v>
      </c>
      <c r="F357" s="1" t="str">
        <f ca="1">IFERROR(__xludf.DUMMYFUNCTION("""COMPUTED_VALUE"""),"No I would not be pursuing Higher Education outside of India")</f>
        <v>No I would not be pursuing Higher Education outside of India</v>
      </c>
      <c r="G357" s="1" t="str">
        <f ca="1">IFERROR(__xludf.DUMMYFUNCTION("""COMPUTED_VALUE"""),"This will be hard to do, but if it is the right company I would try")</f>
        <v>This will be hard to do, but if it is the right company I would try</v>
      </c>
      <c r="H357" s="1" t="str">
        <f ca="1">IFERROR(__xludf.DUMMYFUNCTION("""COMPUTED_VALUE"""),"Yes")</f>
        <v>Yes</v>
      </c>
      <c r="I357" s="1" t="str">
        <f ca="1">IFERROR(__xludf.DUMMYFUNCTION("""COMPUTED_VALUE"""),"Will work for them")</f>
        <v>Will work for them</v>
      </c>
      <c r="J357" s="1">
        <f ca="1">IFERROR(__xludf.DUMMYFUNCTION("""COMPUTED_VALUE"""),6)</f>
        <v>6</v>
      </c>
      <c r="K357" s="1" t="str">
        <f ca="1">IFERROR(__xludf.DUMMYFUNCTION("""COMPUTED_VALUE"""),"Every Day Office Environment")</f>
        <v>Every Day Office Environment</v>
      </c>
      <c r="L3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5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57" s="1" t="str">
        <f ca="1">IFERROR(__xludf.DUMMYFUNCTION("""COMPUTED_VALUE"""),"Business Operations in any organization, Design and Develop amazing software, Look deeply into Data and generate insights")</f>
        <v>Business Operations in any organization, Design and Develop amazing software, Look deeply into Data and generate insights</v>
      </c>
      <c r="O357" s="1" t="str">
        <f ca="1">IFERROR(__xludf.DUMMYFUNCTION("""COMPUTED_VALUE"""),"Manager who explains what is expected, sets a goal and helps achieve it")</f>
        <v>Manager who explains what is expected, sets a goal and helps achieve it</v>
      </c>
      <c r="P357" s="1" t="str">
        <f ca="1">IFERROR(__xludf.DUMMYFUNCTION("""COMPUTED_VALUE"""),"Work with 2 to 3 people in my team, Work with 5 to 6 people in my team")</f>
        <v>Work with 2 to 3 people in my team, Work with 5 to 6 people in my team</v>
      </c>
      <c r="Q357" s="1"/>
      <c r="R357" s="1"/>
      <c r="S357" s="1"/>
    </row>
    <row r="358" spans="1:19" ht="12.5" x14ac:dyDescent="0.25">
      <c r="A358" s="2">
        <f ca="1">IFERROR(__xludf.DUMMYFUNCTION("""COMPUTED_VALUE"""),44940.5050044328)</f>
        <v>44940.505004432802</v>
      </c>
      <c r="B358" s="1" t="str">
        <f ca="1">IFERROR(__xludf.DUMMYFUNCTION("""COMPUTED_VALUE"""),"India")</f>
        <v>India</v>
      </c>
      <c r="C358" s="1">
        <f ca="1">IFERROR(__xludf.DUMMYFUNCTION("""COMPUTED_VALUE"""),534003)</f>
        <v>534003</v>
      </c>
      <c r="D358" s="1" t="str">
        <f ca="1">IFERROR(__xludf.DUMMYFUNCTION("""COMPUTED_VALUE"""),"Female")</f>
        <v>Female</v>
      </c>
      <c r="E358" s="1" t="str">
        <f ca="1">IFERROR(__xludf.DUMMYFUNCTION("""COMPUTED_VALUE"""),"Influencers who had successful careers")</f>
        <v>Influencers who had successful careers</v>
      </c>
      <c r="F358" s="1" t="str">
        <f ca="1">IFERROR(__xludf.DUMMYFUNCTION("""COMPUTED_VALUE"""),"No I would not be pursuing Higher Education outside of India")</f>
        <v>No I would not be pursuing Higher Education outside of India</v>
      </c>
      <c r="G358" s="1" t="str">
        <f ca="1">IFERROR(__xludf.DUMMYFUNCTION("""COMPUTED_VALUE"""),"This will be hard to do, but if it is the right company I would try")</f>
        <v>This will be hard to do, but if it is the right company I would try</v>
      </c>
      <c r="H358" s="1" t="str">
        <f ca="1">IFERROR(__xludf.DUMMYFUNCTION("""COMPUTED_VALUE"""),"No")</f>
        <v>No</v>
      </c>
      <c r="I358" s="1" t="str">
        <f ca="1">IFERROR(__xludf.DUMMYFUNCTION("""COMPUTED_VALUE"""),"Will NOT work for them")</f>
        <v>Will NOT work for them</v>
      </c>
      <c r="J358" s="1">
        <f ca="1">IFERROR(__xludf.DUMMYFUNCTION("""COMPUTED_VALUE"""),5)</f>
        <v>5</v>
      </c>
      <c r="K358" s="1" t="str">
        <f ca="1">IFERROR(__xludf.DUMMYFUNCTION("""COMPUTED_VALUE"""),"Fully Remote with No option to visit offices")</f>
        <v>Fully Remote with No option to visit offices</v>
      </c>
      <c r="L3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58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58" s="1" t="str">
        <f ca="1">IFERROR(__xludf.DUMMYFUNCTION("""COMPUTED_VALUE"""),"Design and Creative strategy in any company, Teaching in any of the institutes/online or Offline, Manage and drive End-to-End Projects or Products")</f>
        <v>Design and Creative strategy in any company, Teaching in any of the institutes/online or Offline, Manage and drive End-to-End Projects or Products</v>
      </c>
      <c r="O358" s="1" t="str">
        <f ca="1">IFERROR(__xludf.DUMMYFUNCTION("""COMPUTED_VALUE"""),"Manager who sets goal and helps me achieve it")</f>
        <v>Manager who sets goal and helps me achieve it</v>
      </c>
      <c r="P358" s="1" t="str">
        <f ca="1">IFERROR(__xludf.DUMMYFUNCTION("""COMPUTED_VALUE"""),"Work with 5 to 6 people in my team")</f>
        <v>Work with 5 to 6 people in my team</v>
      </c>
      <c r="Q358" s="1"/>
      <c r="R358" s="1"/>
      <c r="S358" s="1"/>
    </row>
    <row r="359" spans="1:19" ht="12.5" x14ac:dyDescent="0.25">
      <c r="A359" s="2">
        <f ca="1">IFERROR(__xludf.DUMMYFUNCTION("""COMPUTED_VALUE"""),44940.5063320717)</f>
        <v>44940.506332071702</v>
      </c>
      <c r="B359" s="1" t="str">
        <f ca="1">IFERROR(__xludf.DUMMYFUNCTION("""COMPUTED_VALUE"""),"India")</f>
        <v>India</v>
      </c>
      <c r="C359" s="1">
        <f ca="1">IFERROR(__xludf.DUMMYFUNCTION("""COMPUTED_VALUE"""),534001)</f>
        <v>534001</v>
      </c>
      <c r="D359" s="1" t="str">
        <f ca="1">IFERROR(__xludf.DUMMYFUNCTION("""COMPUTED_VALUE"""),"Male")</f>
        <v>Male</v>
      </c>
      <c r="E359" s="1" t="str">
        <f ca="1">IFERROR(__xludf.DUMMYFUNCTION("""COMPUTED_VALUE"""),"Influencers who had successful careers")</f>
        <v>Influencers who had successful careers</v>
      </c>
      <c r="F359" s="1" t="str">
        <f ca="1">IFERROR(__xludf.DUMMYFUNCTION("""COMPUTED_VALUE"""),"No I would not be pursuing Higher Education outside of India")</f>
        <v>No I would not be pursuing Higher Education outside of India</v>
      </c>
      <c r="G359" s="1" t="str">
        <f ca="1">IFERROR(__xludf.DUMMYFUNCTION("""COMPUTED_VALUE"""),"This will be hard to do, but if it is the right company I would try")</f>
        <v>This will be hard to do, but if it is the right company I would try</v>
      </c>
      <c r="H359" s="1" t="str">
        <f ca="1">IFERROR(__xludf.DUMMYFUNCTION("""COMPUTED_VALUE"""),"No")</f>
        <v>No</v>
      </c>
      <c r="I359" s="1" t="str">
        <f ca="1">IFERROR(__xludf.DUMMYFUNCTION("""COMPUTED_VALUE"""),"Will NOT work for them")</f>
        <v>Will NOT work for them</v>
      </c>
      <c r="J359" s="1">
        <f ca="1">IFERROR(__xludf.DUMMYFUNCTION("""COMPUTED_VALUE"""),6)</f>
        <v>6</v>
      </c>
      <c r="K359" s="1" t="str">
        <f ca="1">IFERROR(__xludf.DUMMYFUNCTION("""COMPUTED_VALUE"""),"Fully Remote with No option to visit offices")</f>
        <v>Fully Remote with No option to visit offices</v>
      </c>
      <c r="L359" s="1" t="str">
        <f ca="1">IFERROR(__xludf.DUMMYFUNCTION("""COMPUTED_VALUE"""),"Employer who appreciates learning and enables that environment")</f>
        <v>Employer who appreciates learning and enables that environment</v>
      </c>
      <c r="M359" s="1" t="str">
        <f ca="1">IFERROR(__xludf.DUMMYFUNCTION("""COMPUTED_VALUE"""),"Self Paced Learning Portals, Learning by observing others")</f>
        <v>Self Paced Learning Portals, Learning by observing others</v>
      </c>
      <c r="N359" s="1" t="str">
        <f ca="1">IFERROR(__xludf.DUMMYFUNCTION("""COMPUTED_VALUE"""),"Design and Creative strategy in any company, Work as a freelancer and do my thing my way, Become a content Creator in some platform")</f>
        <v>Design and Creative strategy in any company, Work as a freelancer and do my thing my way, Become a content Creator in some platform</v>
      </c>
      <c r="O359" s="1" t="str">
        <f ca="1">IFERROR(__xludf.DUMMYFUNCTION("""COMPUTED_VALUE"""),"Manager who explains what is expected, sets a goal and helps achieve it")</f>
        <v>Manager who explains what is expected, sets a goal and helps achieve it</v>
      </c>
      <c r="P359" s="1" t="str">
        <f ca="1">IFERROR(__xludf.DUMMYFUNCTION("""COMPUTED_VALUE"""),"Work with 2 to 3 people in my team, Work with 5 to 6 people in my team")</f>
        <v>Work with 2 to 3 people in my team, Work with 5 to 6 people in my team</v>
      </c>
      <c r="Q359" s="1"/>
      <c r="R359" s="1"/>
      <c r="S359" s="1"/>
    </row>
    <row r="360" spans="1:19" ht="12.5" x14ac:dyDescent="0.25">
      <c r="A360" s="2">
        <f ca="1">IFERROR(__xludf.DUMMYFUNCTION("""COMPUTED_VALUE"""),44940.5133477893)</f>
        <v>44940.513347789303</v>
      </c>
      <c r="B360" s="1" t="str">
        <f ca="1">IFERROR(__xludf.DUMMYFUNCTION("""COMPUTED_VALUE"""),"India")</f>
        <v>India</v>
      </c>
      <c r="C360" s="1">
        <f ca="1">IFERROR(__xludf.DUMMYFUNCTION("""COMPUTED_VALUE"""),534462)</f>
        <v>534462</v>
      </c>
      <c r="D360" s="1" t="str">
        <f ca="1">IFERROR(__xludf.DUMMYFUNCTION("""COMPUTED_VALUE"""),"Female")</f>
        <v>Female</v>
      </c>
      <c r="E360" s="1" t="str">
        <f ca="1">IFERROR(__xludf.DUMMYFUNCTION("""COMPUTED_VALUE"""),"My Parents")</f>
        <v>My Parents</v>
      </c>
      <c r="F360" s="1" t="str">
        <f ca="1">IFERROR(__xludf.DUMMYFUNCTION("""COMPUTED_VALUE"""),"Yes, I will earn and do that")</f>
        <v>Yes, I will earn and do that</v>
      </c>
      <c r="G360" s="1" t="str">
        <f ca="1">IFERROR(__xludf.DUMMYFUNCTION("""COMPUTED_VALUE"""),"This will be hard to do, but if it is the right company I would try")</f>
        <v>This will be hard to do, but if it is the right company I would try</v>
      </c>
      <c r="H360" s="1" t="str">
        <f ca="1">IFERROR(__xludf.DUMMYFUNCTION("""COMPUTED_VALUE"""),"No")</f>
        <v>No</v>
      </c>
      <c r="I360" s="1" t="str">
        <f ca="1">IFERROR(__xludf.DUMMYFUNCTION("""COMPUTED_VALUE"""),"Will work for them")</f>
        <v>Will work for them</v>
      </c>
      <c r="J360" s="1">
        <f ca="1">IFERROR(__xludf.DUMMYFUNCTION("""COMPUTED_VALUE"""),8)</f>
        <v>8</v>
      </c>
      <c r="K360" s="1" t="str">
        <f ca="1">IFERROR(__xludf.DUMMYFUNCTION("""COMPUTED_VALUE"""),"Hybrid Working Environment with less than 3 days a month at office")</f>
        <v>Hybrid Working Environment with less than 3 days a month at office</v>
      </c>
      <c r="L360" s="1" t="str">
        <f ca="1">IFERROR(__xludf.DUMMYFUNCTION("""COMPUTED_VALUE"""),"Employer who rewards learning and enables that environment")</f>
        <v>Employer who rewards learning and enables that environment</v>
      </c>
      <c r="M360" s="1" t="str">
        <f ca="1">IFERROR(__xludf.DUMMYFUNCTION("""COMPUTED_VALUE"""),"Self Paced Learning Portals, Learning by observing others")</f>
        <v>Self Paced Learning Portals, Learning by observing others</v>
      </c>
      <c r="N360" s="1" t="str">
        <f ca="1">IFERROR(__xludf.DUMMYFUNCTION("""COMPUTED_VALUE"""),"Design and Creative strategy in any company, Build and develop a Team, Become a content Creator in some platform")</f>
        <v>Design and Creative strategy in any company, Build and develop a Team, Become a content Creator in some platform</v>
      </c>
      <c r="O360" s="1" t="str">
        <f ca="1">IFERROR(__xludf.DUMMYFUNCTION("""COMPUTED_VALUE"""),"Manager who clearly describes what she/he needs")</f>
        <v>Manager who clearly describes what she/he needs</v>
      </c>
      <c r="P360" s="1" t="str">
        <f ca="1">IFERROR(__xludf.DUMMYFUNCTION("""COMPUTED_VALUE"""),"Work with 2 to 3 people in my team")</f>
        <v>Work with 2 to 3 people in my team</v>
      </c>
      <c r="Q360" s="1"/>
      <c r="R360" s="1"/>
      <c r="S360" s="1"/>
    </row>
    <row r="361" spans="1:19" ht="12.5" x14ac:dyDescent="0.25">
      <c r="A361" s="2">
        <f ca="1">IFERROR(__xludf.DUMMYFUNCTION("""COMPUTED_VALUE"""),44940.5151725)</f>
        <v>44940.515172500003</v>
      </c>
      <c r="B361" s="1" t="str">
        <f ca="1">IFERROR(__xludf.DUMMYFUNCTION("""COMPUTED_VALUE"""),"India")</f>
        <v>India</v>
      </c>
      <c r="C361" s="1">
        <f ca="1">IFERROR(__xludf.DUMMYFUNCTION("""COMPUTED_VALUE"""),503003)</f>
        <v>503003</v>
      </c>
      <c r="D361" s="1" t="str">
        <f ca="1">IFERROR(__xludf.DUMMYFUNCTION("""COMPUTED_VALUE"""),"Female")</f>
        <v>Female</v>
      </c>
      <c r="E361" s="1" t="str">
        <f ca="1">IFERROR(__xludf.DUMMYFUNCTION("""COMPUTED_VALUE"""),"People who have changed the world for better")</f>
        <v>People who have changed the world for better</v>
      </c>
      <c r="F361" s="1" t="str">
        <f ca="1">IFERROR(__xludf.DUMMYFUNCTION("""COMPUTED_VALUE"""),"Yes, I will earn and do that")</f>
        <v>Yes, I will earn and do that</v>
      </c>
      <c r="G361" s="1" t="str">
        <f ca="1">IFERROR(__xludf.DUMMYFUNCTION("""COMPUTED_VALUE"""),"This will be hard to do, but if it is the right company I would try")</f>
        <v>This will be hard to do, but if it is the right company I would try</v>
      </c>
      <c r="H361" s="1" t="str">
        <f ca="1">IFERROR(__xludf.DUMMYFUNCTION("""COMPUTED_VALUE"""),"No")</f>
        <v>No</v>
      </c>
      <c r="I361" s="1" t="str">
        <f ca="1">IFERROR(__xludf.DUMMYFUNCTION("""COMPUTED_VALUE"""),"Will NOT work for them")</f>
        <v>Will NOT work for them</v>
      </c>
      <c r="J361" s="1">
        <f ca="1">IFERROR(__xludf.DUMMYFUNCTION("""COMPUTED_VALUE"""),4)</f>
        <v>4</v>
      </c>
      <c r="K361" s="1" t="str">
        <f ca="1">IFERROR(__xludf.DUMMYFUNCTION("""COMPUTED_VALUE"""),"Every Day Office Environment")</f>
        <v>Every Day Office Environment</v>
      </c>
      <c r="L3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61" s="1" t="str">
        <f ca="1">IFERROR(__xludf.DUMMYFUNCTION("""COMPUTED_VALUE"""),"Self Paced Learning Portals, Instructor or Expert Learning Programs")</f>
        <v>Self Paced Learning Portals, Instructor or Expert Learning Programs</v>
      </c>
      <c r="N361" s="1" t="str">
        <f ca="1">IFERROR(__xludf.DUMMYFUNCTION("""COMPUTED_VALUE"""),"Design and Creative strategy in any company, Manage and drive End-to-End Projects or Products, Build and develop a Team")</f>
        <v>Design and Creative strategy in any company, Manage and drive End-to-End Projects or Products, Build and develop a Team</v>
      </c>
      <c r="O361" s="1" t="str">
        <f ca="1">IFERROR(__xludf.DUMMYFUNCTION("""COMPUTED_VALUE"""),"Manager who explains what is expected, sets a goal and helps achieve it")</f>
        <v>Manager who explains what is expected, sets a goal and helps achieve it</v>
      </c>
      <c r="P361" s="1" t="str">
        <f ca="1">IFERROR(__xludf.DUMMYFUNCTION("""COMPUTED_VALUE"""),"Work with more than 10 people in my team")</f>
        <v>Work with more than 10 people in my team</v>
      </c>
      <c r="Q361" s="1"/>
      <c r="R361" s="1"/>
      <c r="S361" s="1"/>
    </row>
    <row r="362" spans="1:19" ht="12.5" x14ac:dyDescent="0.25">
      <c r="A362" s="2">
        <f ca="1">IFERROR(__xludf.DUMMYFUNCTION("""COMPUTED_VALUE"""),44940.5228396759)</f>
        <v>44940.522839675898</v>
      </c>
      <c r="B362" s="1" t="str">
        <f ca="1">IFERROR(__xludf.DUMMYFUNCTION("""COMPUTED_VALUE"""),"India")</f>
        <v>India</v>
      </c>
      <c r="C362" s="1">
        <f ca="1">IFERROR(__xludf.DUMMYFUNCTION("""COMPUTED_VALUE"""),534001)</f>
        <v>534001</v>
      </c>
      <c r="D362" s="1" t="str">
        <f ca="1">IFERROR(__xludf.DUMMYFUNCTION("""COMPUTED_VALUE"""),"Male")</f>
        <v>Male</v>
      </c>
      <c r="E362" s="1" t="str">
        <f ca="1">IFERROR(__xludf.DUMMYFUNCTION("""COMPUTED_VALUE"""),"People who have changed the world for better")</f>
        <v>People who have changed the world for better</v>
      </c>
      <c r="F362" s="1" t="str">
        <f ca="1">IFERROR(__xludf.DUMMYFUNCTION("""COMPUTED_VALUE"""),"No I would not be pursuing Higher Education outside of India")</f>
        <v>No I would not be pursuing Higher Education outside of India</v>
      </c>
      <c r="G362" s="1" t="str">
        <f ca="1">IFERROR(__xludf.DUMMYFUNCTION("""COMPUTED_VALUE"""),"This will be hard to do, but if it is the right company I would try")</f>
        <v>This will be hard to do, but if it is the right company I would try</v>
      </c>
      <c r="H362" s="1" t="str">
        <f ca="1">IFERROR(__xludf.DUMMYFUNCTION("""COMPUTED_VALUE"""),"No")</f>
        <v>No</v>
      </c>
      <c r="I362" s="1" t="str">
        <f ca="1">IFERROR(__xludf.DUMMYFUNCTION("""COMPUTED_VALUE"""),"Will NOT work for them")</f>
        <v>Will NOT work for them</v>
      </c>
      <c r="J362" s="1">
        <f ca="1">IFERROR(__xludf.DUMMYFUNCTION("""COMPUTED_VALUE"""),8)</f>
        <v>8</v>
      </c>
      <c r="K362" s="1" t="str">
        <f ca="1">IFERROR(__xludf.DUMMYFUNCTION("""COMPUTED_VALUE"""),"Hybrid Working Environment with less than 15 days a month at office")</f>
        <v>Hybrid Working Environment with less than 15 days a month at office</v>
      </c>
      <c r="L3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62" s="1" t="str">
        <f ca="1">IFERROR(__xludf.DUMMYFUNCTION("""COMPUTED_VALUE"""),"Instructor or Expert Learning Programs, Learning by observing others")</f>
        <v>Instructor or Expert Learning Programs, Learning by observing others</v>
      </c>
      <c r="N362" s="1" t="str">
        <f ca="1">IFERROR(__xludf.DUMMYFUNCTION("""COMPUTED_VALUE"""),"Teaching in any of the institutes/online or Offline, Business Operations in any organization, Build and develop a Team")</f>
        <v>Teaching in any of the institutes/online or Offline, Business Operations in any organization, Build and develop a Team</v>
      </c>
      <c r="O362" s="1" t="str">
        <f ca="1">IFERROR(__xludf.DUMMYFUNCTION("""COMPUTED_VALUE"""),"Manager who sets goal and helps me achieve it")</f>
        <v>Manager who sets goal and helps me achieve it</v>
      </c>
      <c r="P362" s="1" t="str">
        <f ca="1">IFERROR(__xludf.DUMMYFUNCTION("""COMPUTED_VALUE"""),"Work with 2 to 3 people in my team, Work with 5 to 6 people in my team")</f>
        <v>Work with 2 to 3 people in my team, Work with 5 to 6 people in my team</v>
      </c>
      <c r="Q362" s="1"/>
      <c r="R362" s="1"/>
      <c r="S362" s="1"/>
    </row>
    <row r="363" spans="1:19" ht="12.5" x14ac:dyDescent="0.25">
      <c r="A363" s="2">
        <f ca="1">IFERROR(__xludf.DUMMYFUNCTION("""COMPUTED_VALUE"""),44940.5248081944)</f>
        <v>44940.524808194401</v>
      </c>
      <c r="B363" s="1" t="str">
        <f ca="1">IFERROR(__xludf.DUMMYFUNCTION("""COMPUTED_VALUE"""),"India")</f>
        <v>India</v>
      </c>
      <c r="C363" s="1">
        <f ca="1">IFERROR(__xludf.DUMMYFUNCTION("""COMPUTED_VALUE"""),516401)</f>
        <v>516401</v>
      </c>
      <c r="D363" s="1" t="str">
        <f ca="1">IFERROR(__xludf.DUMMYFUNCTION("""COMPUTED_VALUE"""),"Male")</f>
        <v>Male</v>
      </c>
      <c r="E363" s="1" t="str">
        <f ca="1">IFERROR(__xludf.DUMMYFUNCTION("""COMPUTED_VALUE"""),"Influencers who had successful careers")</f>
        <v>Influencers who had successful careers</v>
      </c>
      <c r="F363" s="1" t="str">
        <f ca="1">IFERROR(__xludf.DUMMYFUNCTION("""COMPUTED_VALUE"""),"Yes, I will earn and do that")</f>
        <v>Yes, I will earn and do that</v>
      </c>
      <c r="G363" s="1" t="str">
        <f ca="1">IFERROR(__xludf.DUMMYFUNCTION("""COMPUTED_VALUE"""),"Will work for 3 years or more")</f>
        <v>Will work for 3 years or more</v>
      </c>
      <c r="H363" s="1" t="str">
        <f ca="1">IFERROR(__xludf.DUMMYFUNCTION("""COMPUTED_VALUE"""),"No")</f>
        <v>No</v>
      </c>
      <c r="I363" s="1" t="str">
        <f ca="1">IFERROR(__xludf.DUMMYFUNCTION("""COMPUTED_VALUE"""),"Will NOT work for them")</f>
        <v>Will NOT work for them</v>
      </c>
      <c r="J363" s="1">
        <f ca="1">IFERROR(__xludf.DUMMYFUNCTION("""COMPUTED_VALUE"""),10)</f>
        <v>10</v>
      </c>
      <c r="K363" s="1" t="str">
        <f ca="1">IFERROR(__xludf.DUMMYFUNCTION("""COMPUTED_VALUE"""),"Every Day Office Environment")</f>
        <v>Every Day Office Environment</v>
      </c>
      <c r="L3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63" s="1" t="str">
        <f ca="1">IFERROR(__xludf.DUMMYFUNCTION("""COMPUTED_VALUE"""),"Instructor or Expert Learning Programs, Learning by observing others")</f>
        <v>Instructor or Expert Learning Programs, Learning by observing others</v>
      </c>
      <c r="N363" s="1" t="str">
        <f ca="1">IFERROR(__xludf.DUMMYFUNCTION("""COMPUTED_VALUE"""),"Design and Creative strategy in any company, Build and develop a Team, Design and Develop amazing software")</f>
        <v>Design and Creative strategy in any company, Build and develop a Team, Design and Develop amazing software</v>
      </c>
      <c r="O363" s="1" t="str">
        <f ca="1">IFERROR(__xludf.DUMMYFUNCTION("""COMPUTED_VALUE"""),"Manager who explains what is expected, sets a goal and helps achieve it")</f>
        <v>Manager who explains what is expected, sets a goal and helps achieve it</v>
      </c>
      <c r="P363" s="1" t="str">
        <f ca="1">IFERROR(__xludf.DUMMYFUNCTION("""COMPUTED_VALUE"""),"Work with 5 to 6 people in my team")</f>
        <v>Work with 5 to 6 people in my team</v>
      </c>
      <c r="Q363" s="1"/>
      <c r="R363" s="1"/>
      <c r="S363" s="1"/>
    </row>
    <row r="364" spans="1:19" ht="12.5" x14ac:dyDescent="0.25">
      <c r="A364" s="2">
        <f ca="1">IFERROR(__xludf.DUMMYFUNCTION("""COMPUTED_VALUE"""),44940.5311496412)</f>
        <v>44940.531149641203</v>
      </c>
      <c r="B364" s="1" t="str">
        <f ca="1">IFERROR(__xludf.DUMMYFUNCTION("""COMPUTED_VALUE"""),"India")</f>
        <v>India</v>
      </c>
      <c r="C364" s="1">
        <f ca="1">IFERROR(__xludf.DUMMYFUNCTION("""COMPUTED_VALUE"""),473551)</f>
        <v>473551</v>
      </c>
      <c r="D364" s="1" t="str">
        <f ca="1">IFERROR(__xludf.DUMMYFUNCTION("""COMPUTED_VALUE"""),"Male")</f>
        <v>Male</v>
      </c>
      <c r="E364" s="1" t="str">
        <f ca="1">IFERROR(__xludf.DUMMYFUNCTION("""COMPUTED_VALUE"""),"My Parents")</f>
        <v>My Parents</v>
      </c>
      <c r="F364" s="1" t="str">
        <f ca="1">IFERROR(__xludf.DUMMYFUNCTION("""COMPUTED_VALUE"""),"No I would not be pursuing Higher Education outside of India")</f>
        <v>No I would not be pursuing Higher Education outside of India</v>
      </c>
      <c r="G364" s="1" t="str">
        <f ca="1">IFERROR(__xludf.DUMMYFUNCTION("""COMPUTED_VALUE"""),"This will be hard to do, but if it is the right company I would try")</f>
        <v>This will be hard to do, but if it is the right company I would try</v>
      </c>
      <c r="H364" s="1" t="str">
        <f ca="1">IFERROR(__xludf.DUMMYFUNCTION("""COMPUTED_VALUE"""),"Yes")</f>
        <v>Yes</v>
      </c>
      <c r="I364" s="1" t="str">
        <f ca="1">IFERROR(__xludf.DUMMYFUNCTION("""COMPUTED_VALUE"""),"Will NOT work for them")</f>
        <v>Will NOT work for them</v>
      </c>
      <c r="J364" s="1">
        <f ca="1">IFERROR(__xludf.DUMMYFUNCTION("""COMPUTED_VALUE"""),5)</f>
        <v>5</v>
      </c>
      <c r="K364" s="1" t="str">
        <f ca="1">IFERROR(__xludf.DUMMYFUNCTION("""COMPUTED_VALUE"""),"Fully Remote with Options to travel as and when needed")</f>
        <v>Fully Remote with Options to travel as and when needed</v>
      </c>
      <c r="L364" s="1" t="str">
        <f ca="1">IFERROR(__xludf.DUMMYFUNCTION("""COMPUTED_VALUE"""),"Employer who appreciates learning and enables that environment")</f>
        <v>Employer who appreciates learning and enables that environment</v>
      </c>
      <c r="M36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64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64" s="1" t="str">
        <f ca="1">IFERROR(__xludf.DUMMYFUNCTION("""COMPUTED_VALUE"""),"Manager who explains what is expected, sets a goal and helps achieve it")</f>
        <v>Manager who explains what is expected, sets a goal and helps achieve it</v>
      </c>
      <c r="P364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364" s="1"/>
      <c r="R364" s="1"/>
      <c r="S364" s="1"/>
    </row>
    <row r="365" spans="1:19" ht="12.5" x14ac:dyDescent="0.25">
      <c r="A365" s="2">
        <f ca="1">IFERROR(__xludf.DUMMYFUNCTION("""COMPUTED_VALUE"""),44940.6212412037)</f>
        <v>44940.621241203698</v>
      </c>
      <c r="B365" s="1" t="str">
        <f ca="1">IFERROR(__xludf.DUMMYFUNCTION("""COMPUTED_VALUE"""),"India")</f>
        <v>India</v>
      </c>
      <c r="C365" s="1">
        <f ca="1">IFERROR(__xludf.DUMMYFUNCTION("""COMPUTED_VALUE"""),522647)</f>
        <v>522647</v>
      </c>
      <c r="D365" s="1" t="str">
        <f ca="1">IFERROR(__xludf.DUMMYFUNCTION("""COMPUTED_VALUE"""),"Female")</f>
        <v>Female</v>
      </c>
      <c r="E365" s="1" t="str">
        <f ca="1">IFERROR(__xludf.DUMMYFUNCTION("""COMPUTED_VALUE"""),"People from my circle, but not family members")</f>
        <v>People from my circle, but not family members</v>
      </c>
      <c r="F365" s="1" t="str">
        <f ca="1">IFERROR(__xludf.DUMMYFUNCTION("""COMPUTED_VALUE"""),"Yes, I will earn and do that")</f>
        <v>Yes, I will earn and do that</v>
      </c>
      <c r="G365" s="1" t="str">
        <f ca="1">IFERROR(__xludf.DUMMYFUNCTION("""COMPUTED_VALUE"""),"This will be hard to do, but if it is the right company I would try")</f>
        <v>This will be hard to do, but if it is the right company I would try</v>
      </c>
      <c r="H365" s="1" t="str">
        <f ca="1">IFERROR(__xludf.DUMMYFUNCTION("""COMPUTED_VALUE"""),"Yes")</f>
        <v>Yes</v>
      </c>
      <c r="I365" s="1" t="str">
        <f ca="1">IFERROR(__xludf.DUMMYFUNCTION("""COMPUTED_VALUE"""),"Will work for them")</f>
        <v>Will work for them</v>
      </c>
      <c r="J365" s="1">
        <f ca="1">IFERROR(__xludf.DUMMYFUNCTION("""COMPUTED_VALUE"""),2)</f>
        <v>2</v>
      </c>
      <c r="K365" s="1" t="str">
        <f ca="1">IFERROR(__xludf.DUMMYFUNCTION("""COMPUTED_VALUE"""),"Hybrid Working Environment with less than 3 days a month at office")</f>
        <v>Hybrid Working Environment with less than 3 days a month at office</v>
      </c>
      <c r="L365" s="1" t="str">
        <f ca="1">IFERROR(__xludf.DUMMYFUNCTION("""COMPUTED_VALUE"""),"Employer who appreciates learning and enables that environment")</f>
        <v>Employer who appreciates learning and enables that environment</v>
      </c>
      <c r="M365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365" s="1" t="str">
        <f ca="1">IFERROR(__xludf.DUMMYFUNCTION("""COMPUTED_VALUE"""),"Design and Creative strategy in any company, Business Operations in any organization, Design and Develop amazing software")</f>
        <v>Design and Creative strategy in any company, Business Operations in any organization, Design and Develop amazing software</v>
      </c>
      <c r="O365" s="1" t="str">
        <f ca="1">IFERROR(__xludf.DUMMYFUNCTION("""COMPUTED_VALUE"""),"Manager who clearly describes what she/he needs")</f>
        <v>Manager who clearly describes what she/he needs</v>
      </c>
      <c r="P365" s="1" t="str">
        <f ca="1">IFERROR(__xludf.DUMMYFUNCTION("""COMPUTED_VALUE"""),"Work with 2 to 3 people in my team, Work with 5 to 6 people in my team")</f>
        <v>Work with 2 to 3 people in my team, Work with 5 to 6 people in my team</v>
      </c>
      <c r="Q365" s="1"/>
      <c r="R365" s="1"/>
      <c r="S365" s="1"/>
    </row>
    <row r="366" spans="1:19" ht="12.5" x14ac:dyDescent="0.25">
      <c r="A366" s="2">
        <f ca="1">IFERROR(__xludf.DUMMYFUNCTION("""COMPUTED_VALUE"""),44940.6232545949)</f>
        <v>44940.623254594902</v>
      </c>
      <c r="B366" s="1" t="str">
        <f ca="1">IFERROR(__xludf.DUMMYFUNCTION("""COMPUTED_VALUE"""),"India")</f>
        <v>India</v>
      </c>
      <c r="C366" s="1">
        <f ca="1">IFERROR(__xludf.DUMMYFUNCTION("""COMPUTED_VALUE"""),500083)</f>
        <v>500083</v>
      </c>
      <c r="D366" s="1" t="str">
        <f ca="1">IFERROR(__xludf.DUMMYFUNCTION("""COMPUTED_VALUE"""),"Female")</f>
        <v>Female</v>
      </c>
      <c r="E366" s="1" t="str">
        <f ca="1">IFERROR(__xludf.DUMMYFUNCTION("""COMPUTED_VALUE"""),"People from my circle, but not family members")</f>
        <v>People from my circle, but not family members</v>
      </c>
      <c r="F366" s="1" t="str">
        <f ca="1">IFERROR(__xludf.DUMMYFUNCTION("""COMPUTED_VALUE"""),"Yes, I will earn and do that")</f>
        <v>Yes, I will earn and do that</v>
      </c>
      <c r="G366" s="1" t="str">
        <f ca="1">IFERROR(__xludf.DUMMYFUNCTION("""COMPUTED_VALUE"""),"This will be hard to do, but if it is the right company I would try")</f>
        <v>This will be hard to do, but if it is the right company I would try</v>
      </c>
      <c r="H366" s="1" t="str">
        <f ca="1">IFERROR(__xludf.DUMMYFUNCTION("""COMPUTED_VALUE"""),"No")</f>
        <v>No</v>
      </c>
      <c r="I366" s="1" t="str">
        <f ca="1">IFERROR(__xludf.DUMMYFUNCTION("""COMPUTED_VALUE"""),"Will work for them")</f>
        <v>Will work for them</v>
      </c>
      <c r="J366" s="1">
        <f ca="1">IFERROR(__xludf.DUMMYFUNCTION("""COMPUTED_VALUE"""),9)</f>
        <v>9</v>
      </c>
      <c r="K366" s="1" t="str">
        <f ca="1">IFERROR(__xludf.DUMMYFUNCTION("""COMPUTED_VALUE"""),"Hybrid Working Environment with less than 3 days a month at office")</f>
        <v>Hybrid Working Environment with less than 3 days a month at office</v>
      </c>
      <c r="L366" s="1" t="str">
        <f ca="1">IFERROR(__xludf.DUMMYFUNCTION("""COMPUTED_VALUE"""),"Employer who rewards learning and enables that environment")</f>
        <v>Employer who rewards learning and enables that environment</v>
      </c>
      <c r="M366" s="1" t="str">
        <f ca="1">IFERROR(__xludf.DUMMYFUNCTION("""COMPUTED_VALUE"""),"Self Paced Learning Portals, Learning by observing others")</f>
        <v>Self Paced Learning Portals, Learning by observing others</v>
      </c>
      <c r="N366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366" s="1" t="str">
        <f ca="1">IFERROR(__xludf.DUMMYFUNCTION("""COMPUTED_VALUE"""),"Manager who explains what is expected, sets a goal and helps achieve it")</f>
        <v>Manager who explains what is expected, sets a goal and helps achieve it</v>
      </c>
      <c r="P366" s="1" t="str">
        <f ca="1">IFERROR(__xludf.DUMMYFUNCTION("""COMPUTED_VALUE"""),"Work with 2 to 3 people in my team, Work with 5 to 6 people in my team")</f>
        <v>Work with 2 to 3 people in my team, Work with 5 to 6 people in my team</v>
      </c>
      <c r="Q366" s="1"/>
      <c r="R366" s="1"/>
      <c r="S366" s="1"/>
    </row>
    <row r="367" spans="1:19" ht="12.5" x14ac:dyDescent="0.25">
      <c r="A367" s="2">
        <f ca="1">IFERROR(__xludf.DUMMYFUNCTION("""COMPUTED_VALUE"""),44940.7054760185)</f>
        <v>44940.705476018498</v>
      </c>
      <c r="B367" s="1" t="str">
        <f ca="1">IFERROR(__xludf.DUMMYFUNCTION("""COMPUTED_VALUE"""),"India")</f>
        <v>India</v>
      </c>
      <c r="C367" s="1">
        <f ca="1">IFERROR(__xludf.DUMMYFUNCTION("""COMPUTED_VALUE"""),305001)</f>
        <v>305001</v>
      </c>
      <c r="D367" s="1" t="str">
        <f ca="1">IFERROR(__xludf.DUMMYFUNCTION("""COMPUTED_VALUE"""),"Female")</f>
        <v>Female</v>
      </c>
      <c r="E367" s="1" t="str">
        <f ca="1">IFERROR(__xludf.DUMMYFUNCTION("""COMPUTED_VALUE"""),"Influencers who had successful careers")</f>
        <v>Influencers who had successful careers</v>
      </c>
      <c r="F367" s="1" t="str">
        <f ca="1">IFERROR(__xludf.DUMMYFUNCTION("""COMPUTED_VALUE"""),"No I would not be pursuing Higher Education outside of India")</f>
        <v>No I would not be pursuing Higher Education outside of India</v>
      </c>
      <c r="G367" s="1" t="str">
        <f ca="1">IFERROR(__xludf.DUMMYFUNCTION("""COMPUTED_VALUE"""),"This will be hard to do, but if it is the right company I would try")</f>
        <v>This will be hard to do, but if it is the right company I would try</v>
      </c>
      <c r="H367" s="1" t="str">
        <f ca="1">IFERROR(__xludf.DUMMYFUNCTION("""COMPUTED_VALUE"""),"No")</f>
        <v>No</v>
      </c>
      <c r="I367" s="1" t="str">
        <f ca="1">IFERROR(__xludf.DUMMYFUNCTION("""COMPUTED_VALUE"""),"Will NOT work for them")</f>
        <v>Will NOT work for them</v>
      </c>
      <c r="J367" s="1">
        <f ca="1">IFERROR(__xludf.DUMMYFUNCTION("""COMPUTED_VALUE"""),6)</f>
        <v>6</v>
      </c>
      <c r="K367" s="1" t="str">
        <f ca="1">IFERROR(__xludf.DUMMYFUNCTION("""COMPUTED_VALUE"""),"Fully Remote with Options to travel as and when needed")</f>
        <v>Fully Remote with Options to travel as and when needed</v>
      </c>
      <c r="L3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67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67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367" s="1" t="str">
        <f ca="1">IFERROR(__xludf.DUMMYFUNCTION("""COMPUTED_VALUE"""),"Manager who explains what is expected, sets a goal and helps achieve it")</f>
        <v>Manager who explains what is expected, sets a goal and helps achieve it</v>
      </c>
      <c r="P367" s="1" t="str">
        <f ca="1">IFERROR(__xludf.DUMMYFUNCTION("""COMPUTED_VALUE"""),"Work with 2 to 3 people in my team")</f>
        <v>Work with 2 to 3 people in my team</v>
      </c>
      <c r="Q367" s="1"/>
      <c r="R367" s="1"/>
      <c r="S367" s="1"/>
    </row>
    <row r="368" spans="1:19" ht="12.5" x14ac:dyDescent="0.25">
      <c r="A368" s="2">
        <f ca="1">IFERROR(__xludf.DUMMYFUNCTION("""COMPUTED_VALUE"""),44940.9715226967)</f>
        <v>44940.971522696702</v>
      </c>
      <c r="B368" s="1" t="str">
        <f ca="1">IFERROR(__xludf.DUMMYFUNCTION("""COMPUTED_VALUE"""),"India")</f>
        <v>India</v>
      </c>
      <c r="C368" s="1">
        <f ca="1">IFERROR(__xludf.DUMMYFUNCTION("""COMPUTED_VALUE"""),110034)</f>
        <v>110034</v>
      </c>
      <c r="D368" s="1" t="str">
        <f ca="1">IFERROR(__xludf.DUMMYFUNCTION("""COMPUTED_VALUE"""),"Male")</f>
        <v>Male</v>
      </c>
      <c r="E368" s="1" t="str">
        <f ca="1">IFERROR(__xludf.DUMMYFUNCTION("""COMPUTED_VALUE"""),"Social Media like LinkedIn")</f>
        <v>Social Media like LinkedIn</v>
      </c>
      <c r="F368" s="1" t="str">
        <f ca="1">IFERROR(__xludf.DUMMYFUNCTION("""COMPUTED_VALUE"""),"Yes, I will earn and do that")</f>
        <v>Yes, I will earn and do that</v>
      </c>
      <c r="G368" s="1" t="str">
        <f ca="1">IFERROR(__xludf.DUMMYFUNCTION("""COMPUTED_VALUE"""),"Will work for 3 years or more")</f>
        <v>Will work for 3 years or more</v>
      </c>
      <c r="H368" s="1" t="str">
        <f ca="1">IFERROR(__xludf.DUMMYFUNCTION("""COMPUTED_VALUE"""),"No")</f>
        <v>No</v>
      </c>
      <c r="I368" s="1" t="str">
        <f ca="1">IFERROR(__xludf.DUMMYFUNCTION("""COMPUTED_VALUE"""),"Will NOT work for them")</f>
        <v>Will NOT work for them</v>
      </c>
      <c r="J368" s="1">
        <f ca="1">IFERROR(__xludf.DUMMYFUNCTION("""COMPUTED_VALUE"""),5)</f>
        <v>5</v>
      </c>
      <c r="K368" s="1" t="str">
        <f ca="1">IFERROR(__xludf.DUMMYFUNCTION("""COMPUTED_VALUE"""),"Hybrid Working Environment with less than 3 days a month at office")</f>
        <v>Hybrid Working Environment with less than 3 days a month at office</v>
      </c>
      <c r="L368" s="1" t="str">
        <f ca="1">IFERROR(__xludf.DUMMYFUNCTION("""COMPUTED_VALUE"""),"Employer who rewards learning and enables that environment")</f>
        <v>Employer who rewards learning and enables that environment</v>
      </c>
      <c r="M368" s="1" t="str">
        <f ca="1">IFERROR(__xludf.DUMMYFUNCTION("""COMPUTED_VALUE"""),"Self Paced Learning Portals, Learning by observing others")</f>
        <v>Self Paced Learning Portals, Learning by observing others</v>
      </c>
      <c r="N368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68" s="1" t="str">
        <f ca="1">IFERROR(__xludf.DUMMYFUNCTION("""COMPUTED_VALUE"""),"Manager who sets targets and expects me to achieve it")</f>
        <v>Manager who sets targets and expects me to achieve it</v>
      </c>
      <c r="P368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368" s="1"/>
      <c r="R368" s="1"/>
      <c r="S368" s="1"/>
    </row>
    <row r="369" spans="1:19" ht="12.5" x14ac:dyDescent="0.25">
      <c r="A369" s="2">
        <f ca="1">IFERROR(__xludf.DUMMYFUNCTION("""COMPUTED_VALUE"""),44944.391160405)</f>
        <v>44944.391160405001</v>
      </c>
      <c r="B369" s="1" t="str">
        <f ca="1">IFERROR(__xludf.DUMMYFUNCTION("""COMPUTED_VALUE"""),"India")</f>
        <v>India</v>
      </c>
      <c r="C369" s="1">
        <f ca="1">IFERROR(__xludf.DUMMYFUNCTION("""COMPUTED_VALUE"""),760009)</f>
        <v>760009</v>
      </c>
      <c r="D369" s="1" t="str">
        <f ca="1">IFERROR(__xludf.DUMMYFUNCTION("""COMPUTED_VALUE"""),"Male")</f>
        <v>Male</v>
      </c>
      <c r="E369" s="1" t="str">
        <f ca="1">IFERROR(__xludf.DUMMYFUNCTION("""COMPUTED_VALUE"""),"People who have changed the world for better")</f>
        <v>People who have changed the world for better</v>
      </c>
      <c r="F369" s="1" t="str">
        <f ca="1">IFERROR(__xludf.DUMMYFUNCTION("""COMPUTED_VALUE"""),"No I would not be pursuing Higher Education outside of India")</f>
        <v>No I would not be pursuing Higher Education outside of India</v>
      </c>
      <c r="G369" s="1" t="str">
        <f ca="1">IFERROR(__xludf.DUMMYFUNCTION("""COMPUTED_VALUE"""),"This will be hard to do, but if it is the right company I would try")</f>
        <v>This will be hard to do, but if it is the right company I would try</v>
      </c>
      <c r="H369" s="1" t="str">
        <f ca="1">IFERROR(__xludf.DUMMYFUNCTION("""COMPUTED_VALUE"""),"No")</f>
        <v>No</v>
      </c>
      <c r="I369" s="1" t="str">
        <f ca="1">IFERROR(__xludf.DUMMYFUNCTION("""COMPUTED_VALUE"""),"Will work for them")</f>
        <v>Will work for them</v>
      </c>
      <c r="J369" s="1">
        <f ca="1">IFERROR(__xludf.DUMMYFUNCTION("""COMPUTED_VALUE"""),5)</f>
        <v>5</v>
      </c>
      <c r="K369" s="1" t="str">
        <f ca="1">IFERROR(__xludf.DUMMYFUNCTION("""COMPUTED_VALUE"""),"Hybrid Working Environment with less than 15 days a month at office")</f>
        <v>Hybrid Working Environment with less than 15 days a month at office</v>
      </c>
      <c r="L369" s="1" t="str">
        <f ca="1">IFERROR(__xludf.DUMMYFUNCTION("""COMPUTED_VALUE"""),"Employer who appreciates learning and enables that environment")</f>
        <v>Employer who appreciates learning and enables that environment</v>
      </c>
      <c r="M369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69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69" s="1" t="str">
        <f ca="1">IFERROR(__xludf.DUMMYFUNCTION("""COMPUTED_VALUE"""),"Manager who explains what is expected, sets a goal and helps achieve it")</f>
        <v>Manager who explains what is expected, sets a goal and helps achieve it</v>
      </c>
      <c r="P369" s="1" t="str">
        <f ca="1">IFERROR(__xludf.DUMMYFUNCTION("""COMPUTED_VALUE"""),"Work with more than 10 people in my team")</f>
        <v>Work with more than 10 people in my team</v>
      </c>
      <c r="Q369" s="1"/>
      <c r="R369" s="1"/>
      <c r="S369" s="1"/>
    </row>
    <row r="370" spans="1:19" ht="12.5" x14ac:dyDescent="0.25">
      <c r="A370" s="2">
        <f ca="1">IFERROR(__xludf.DUMMYFUNCTION("""COMPUTED_VALUE"""),44944.4298348495)</f>
        <v>44944.429834849499</v>
      </c>
      <c r="B370" s="1" t="str">
        <f ca="1">IFERROR(__xludf.DUMMYFUNCTION("""COMPUTED_VALUE"""),"India")</f>
        <v>India</v>
      </c>
      <c r="C370" s="1">
        <f ca="1">IFERROR(__xludf.DUMMYFUNCTION("""COMPUTED_VALUE"""),500062)</f>
        <v>500062</v>
      </c>
      <c r="D370" s="1" t="str">
        <f ca="1">IFERROR(__xludf.DUMMYFUNCTION("""COMPUTED_VALUE"""),"Female")</f>
        <v>Female</v>
      </c>
      <c r="E370" s="1" t="str">
        <f ca="1">IFERROR(__xludf.DUMMYFUNCTION("""COMPUTED_VALUE"""),"My Parents")</f>
        <v>My Parents</v>
      </c>
      <c r="F370" s="1" t="str">
        <f ca="1">IFERROR(__xludf.DUMMYFUNCTION("""COMPUTED_VALUE"""),"Yes, I will earn and do that")</f>
        <v>Yes, I will earn and do that</v>
      </c>
      <c r="G370" s="1" t="str">
        <f ca="1">IFERROR(__xludf.DUMMYFUNCTION("""COMPUTED_VALUE"""),"Will work for 3 years or more")</f>
        <v>Will work for 3 years or more</v>
      </c>
      <c r="H370" s="1" t="str">
        <f ca="1">IFERROR(__xludf.DUMMYFUNCTION("""COMPUTED_VALUE"""),"No")</f>
        <v>No</v>
      </c>
      <c r="I370" s="1" t="str">
        <f ca="1">IFERROR(__xludf.DUMMYFUNCTION("""COMPUTED_VALUE"""),"Will NOT work for them")</f>
        <v>Will NOT work for them</v>
      </c>
      <c r="J370" s="1">
        <f ca="1">IFERROR(__xludf.DUMMYFUNCTION("""COMPUTED_VALUE"""),5)</f>
        <v>5</v>
      </c>
      <c r="K370" s="1" t="str">
        <f ca="1">IFERROR(__xludf.DUMMYFUNCTION("""COMPUTED_VALUE"""),"Every Day Office Environment")</f>
        <v>Every Day Office Environment</v>
      </c>
      <c r="L370" s="1" t="str">
        <f ca="1">IFERROR(__xludf.DUMMYFUNCTION("""COMPUTED_VALUE"""),"Employer who appreciates learning and enables that environment")</f>
        <v>Employer who appreciates learning and enables that environment</v>
      </c>
      <c r="M370" s="1" t="str">
        <f ca="1">IFERROR(__xludf.DUMMYFUNCTION("""COMPUTED_VALUE"""),"Self Paced Learning Portals, Instructor or Expert Learning Programs")</f>
        <v>Self Paced Learning Portals, Instructor or Expert Learning Programs</v>
      </c>
      <c r="N370" s="1" t="str">
        <f ca="1">IFERROR(__xludf.DUMMYFUNCTION("""COMPUTED_VALUE"""),"Design and Creative strategy in any company, Design and Develop amazing software, Become a content Creator in some platform")</f>
        <v>Design and Creative strategy in any company, Design and Develop amazing software, Become a content Creator in some platform</v>
      </c>
      <c r="O370" s="1" t="str">
        <f ca="1">IFERROR(__xludf.DUMMYFUNCTION("""COMPUTED_VALUE"""),"Manager who sets goal and helps me achieve it")</f>
        <v>Manager who sets goal and helps me achieve it</v>
      </c>
      <c r="P370" s="1" t="str">
        <f ca="1">IFERROR(__xludf.DUMMYFUNCTION("""COMPUTED_VALUE"""),"Work with 5 to 6 people in my team")</f>
        <v>Work with 5 to 6 people in my team</v>
      </c>
      <c r="Q370" s="1"/>
      <c r="R370" s="1"/>
      <c r="S370" s="1"/>
    </row>
    <row r="371" spans="1:19" ht="12.5" x14ac:dyDescent="0.25">
      <c r="A371" s="2">
        <f ca="1">IFERROR(__xludf.DUMMYFUNCTION("""COMPUTED_VALUE"""),44944.9019997569)</f>
        <v>44944.901999756898</v>
      </c>
      <c r="B371" s="1" t="str">
        <f ca="1">IFERROR(__xludf.DUMMYFUNCTION("""COMPUTED_VALUE"""),"India")</f>
        <v>India</v>
      </c>
      <c r="C371" s="1">
        <f ca="1">IFERROR(__xludf.DUMMYFUNCTION("""COMPUTED_VALUE"""),560100)</f>
        <v>560100</v>
      </c>
      <c r="D371" s="1" t="str">
        <f ca="1">IFERROR(__xludf.DUMMYFUNCTION("""COMPUTED_VALUE"""),"Female")</f>
        <v>Female</v>
      </c>
      <c r="E371" s="1" t="str">
        <f ca="1">IFERROR(__xludf.DUMMYFUNCTION("""COMPUTED_VALUE"""),"People who have changed the world for better")</f>
        <v>People who have changed the world for better</v>
      </c>
      <c r="F371" s="1" t="str">
        <f ca="1">IFERROR(__xludf.DUMMYFUNCTION("""COMPUTED_VALUE"""),"Yes, I will earn and do that")</f>
        <v>Yes, I will earn and do that</v>
      </c>
      <c r="G371" s="1" t="str">
        <f ca="1">IFERROR(__xludf.DUMMYFUNCTION("""COMPUTED_VALUE"""),"This will be hard to do, but if it is the right company I would try")</f>
        <v>This will be hard to do, but if it is the right company I would try</v>
      </c>
      <c r="H371" s="1" t="str">
        <f ca="1">IFERROR(__xludf.DUMMYFUNCTION("""COMPUTED_VALUE"""),"Yes")</f>
        <v>Yes</v>
      </c>
      <c r="I371" s="1" t="str">
        <f ca="1">IFERROR(__xludf.DUMMYFUNCTION("""COMPUTED_VALUE"""),"Will NOT work for them")</f>
        <v>Will NOT work for them</v>
      </c>
      <c r="J371" s="1">
        <f ca="1">IFERROR(__xludf.DUMMYFUNCTION("""COMPUTED_VALUE"""),6)</f>
        <v>6</v>
      </c>
      <c r="K371" s="1" t="str">
        <f ca="1">IFERROR(__xludf.DUMMYFUNCTION("""COMPUTED_VALUE"""),"Hybrid Working Environment with less than 10 days a month at office")</f>
        <v>Hybrid Working Environment with less than 10 days a month at office</v>
      </c>
      <c r="L3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71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71" s="1" t="str">
        <f ca="1">IFERROR(__xludf.DUMMYFUNCTION("""COMPUTED_VALUE"""),"Design and Creative strategy in any company, Build and develop a Team, Look deeply into Data and generate insights")</f>
        <v>Design and Creative strategy in any company, Build and develop a Team, Look deeply into Data and generate insights</v>
      </c>
      <c r="O371" s="1" t="str">
        <f ca="1">IFERROR(__xludf.DUMMYFUNCTION("""COMPUTED_VALUE"""),"Manager who explains what is expected, sets a goal and helps achieve it")</f>
        <v>Manager who explains what is expected, sets a goal and helps achieve it</v>
      </c>
      <c r="P371" s="1" t="str">
        <f ca="1">IFERROR(__xludf.DUMMYFUNCTION("""COMPUTED_VALUE"""),"Work with 5 to 6 people in my team")</f>
        <v>Work with 5 to 6 people in my team</v>
      </c>
      <c r="Q371" s="1"/>
      <c r="R371" s="1"/>
      <c r="S371" s="1"/>
    </row>
    <row r="372" spans="1:19" ht="12.5" x14ac:dyDescent="0.25">
      <c r="A372" s="2">
        <f ca="1">IFERROR(__xludf.DUMMYFUNCTION("""COMPUTED_VALUE"""),44945.7068227083)</f>
        <v>44945.7068227083</v>
      </c>
      <c r="B372" s="1" t="str">
        <f ca="1">IFERROR(__xludf.DUMMYFUNCTION("""COMPUTED_VALUE"""),"India")</f>
        <v>India</v>
      </c>
      <c r="C372" s="1">
        <f ca="1">IFERROR(__xludf.DUMMYFUNCTION("""COMPUTED_VALUE"""),490006)</f>
        <v>490006</v>
      </c>
      <c r="D372" s="1" t="str">
        <f ca="1">IFERROR(__xludf.DUMMYFUNCTION("""COMPUTED_VALUE"""),"Female")</f>
        <v>Female</v>
      </c>
      <c r="E372" s="1" t="str">
        <f ca="1">IFERROR(__xludf.DUMMYFUNCTION("""COMPUTED_VALUE"""),"My Parents")</f>
        <v>My Parents</v>
      </c>
      <c r="F372" s="1" t="str">
        <f ca="1">IFERROR(__xludf.DUMMYFUNCTION("""COMPUTED_VALUE"""),"No I would not be pursuing Higher Education outside of India")</f>
        <v>No I would not be pursuing Higher Education outside of India</v>
      </c>
      <c r="G372" s="1" t="str">
        <f ca="1">IFERROR(__xludf.DUMMYFUNCTION("""COMPUTED_VALUE"""),"This will be hard to do, but if it is the right company I would try")</f>
        <v>This will be hard to do, but if it is the right company I would try</v>
      </c>
      <c r="H372" s="1" t="str">
        <f ca="1">IFERROR(__xludf.DUMMYFUNCTION("""COMPUTED_VALUE"""),"No")</f>
        <v>No</v>
      </c>
      <c r="I372" s="1" t="str">
        <f ca="1">IFERROR(__xludf.DUMMYFUNCTION("""COMPUTED_VALUE"""),"Will NOT work for them")</f>
        <v>Will NOT work for them</v>
      </c>
      <c r="J372" s="1">
        <f ca="1">IFERROR(__xludf.DUMMYFUNCTION("""COMPUTED_VALUE"""),7)</f>
        <v>7</v>
      </c>
      <c r="K372" s="1" t="str">
        <f ca="1">IFERROR(__xludf.DUMMYFUNCTION("""COMPUTED_VALUE"""),"Hybrid Working Environment with less than 15 days a month at office")</f>
        <v>Hybrid Working Environment with less than 15 days a month at office</v>
      </c>
      <c r="L3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72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72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72" s="1" t="str">
        <f ca="1">IFERROR(__xludf.DUMMYFUNCTION("""COMPUTED_VALUE"""),"Manager who clearly describes what she/he needs")</f>
        <v>Manager who clearly describes what she/he needs</v>
      </c>
      <c r="P372" s="1" t="str">
        <f ca="1">IFERROR(__xludf.DUMMYFUNCTION("""COMPUTED_VALUE"""),"Work with 5 to 6 people in my team")</f>
        <v>Work with 5 to 6 people in my team</v>
      </c>
      <c r="Q372" s="1"/>
      <c r="R372" s="1"/>
      <c r="S372" s="1"/>
    </row>
    <row r="373" spans="1:19" ht="12.5" x14ac:dyDescent="0.25">
      <c r="A373" s="2">
        <f ca="1">IFERROR(__xludf.DUMMYFUNCTION("""COMPUTED_VALUE"""),44946.8637613888)</f>
        <v>44946.863761388799</v>
      </c>
      <c r="B373" s="1" t="str">
        <f ca="1">IFERROR(__xludf.DUMMYFUNCTION("""COMPUTED_VALUE"""),"India")</f>
        <v>India</v>
      </c>
      <c r="C373" s="1">
        <f ca="1">IFERROR(__xludf.DUMMYFUNCTION("""COMPUTED_VALUE"""),834001)</f>
        <v>834001</v>
      </c>
      <c r="D373" s="1" t="str">
        <f ca="1">IFERROR(__xludf.DUMMYFUNCTION("""COMPUTED_VALUE"""),"Male")</f>
        <v>Male</v>
      </c>
      <c r="E373" s="1" t="str">
        <f ca="1">IFERROR(__xludf.DUMMYFUNCTION("""COMPUTED_VALUE"""),"Influencers who had successful careers")</f>
        <v>Influencers who had successful careers</v>
      </c>
      <c r="F373" s="1" t="str">
        <f ca="1">IFERROR(__xludf.DUMMYFUNCTION("""COMPUTED_VALUE"""),"No, But if someone could bare the cost I will")</f>
        <v>No, But if someone could bare the cost I will</v>
      </c>
      <c r="G373" s="1" t="str">
        <f ca="1">IFERROR(__xludf.DUMMYFUNCTION("""COMPUTED_VALUE"""),"This will be hard to do, but if it is the right company I would try")</f>
        <v>This will be hard to do, but if it is the right company I would try</v>
      </c>
      <c r="H373" s="1" t="str">
        <f ca="1">IFERROR(__xludf.DUMMYFUNCTION("""COMPUTED_VALUE"""),"Yes")</f>
        <v>Yes</v>
      </c>
      <c r="I373" s="1" t="str">
        <f ca="1">IFERROR(__xludf.DUMMYFUNCTION("""COMPUTED_VALUE"""),"Will NOT work for them")</f>
        <v>Will NOT work for them</v>
      </c>
      <c r="J373" s="1">
        <f ca="1">IFERROR(__xludf.DUMMYFUNCTION("""COMPUTED_VALUE"""),7)</f>
        <v>7</v>
      </c>
      <c r="K373" s="1" t="str">
        <f ca="1">IFERROR(__xludf.DUMMYFUNCTION("""COMPUTED_VALUE"""),"Hybrid Working Environment with less than 15 days a month at office")</f>
        <v>Hybrid Working Environment with less than 15 days a month at office</v>
      </c>
      <c r="L3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7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73" s="1" t="str">
        <f ca="1">IFERROR(__xludf.DUMMYFUNCTION("""COMPUTED_VALUE"""),"Manage and drive End-to-End Projects or Products, Look deeply into Data and generate insights, Work as a freelancer and do my thing my way")</f>
        <v>Manage and drive End-to-End Projects or Products, Look deeply into Data and generate insights, Work as a freelancer and do my thing my way</v>
      </c>
      <c r="O373" s="1" t="str">
        <f ca="1">IFERROR(__xludf.DUMMYFUNCTION("""COMPUTED_VALUE"""),"Manager who explains what is expected, sets a goal and helps achieve it")</f>
        <v>Manager who explains what is expected, sets a goal and helps achieve it</v>
      </c>
      <c r="P373" s="1" t="str">
        <f ca="1">IFERROR(__xludf.DUMMYFUNCTION("""COMPUTED_VALUE"""),"Work with 5 to 6 people in my team")</f>
        <v>Work with 5 to 6 people in my team</v>
      </c>
      <c r="Q373" s="1"/>
      <c r="R373" s="1"/>
      <c r="S373" s="1"/>
    </row>
    <row r="374" spans="1:19" ht="12.5" x14ac:dyDescent="0.25">
      <c r="A374" s="2">
        <f ca="1">IFERROR(__xludf.DUMMYFUNCTION("""COMPUTED_VALUE"""),44951.6269945833)</f>
        <v>44951.626994583297</v>
      </c>
      <c r="B374" s="1" t="str">
        <f ca="1">IFERROR(__xludf.DUMMYFUNCTION("""COMPUTED_VALUE"""),"India")</f>
        <v>India</v>
      </c>
      <c r="C374" s="1">
        <f ca="1">IFERROR(__xludf.DUMMYFUNCTION("""COMPUTED_VALUE"""),441111)</f>
        <v>441111</v>
      </c>
      <c r="D374" s="1" t="str">
        <f ca="1">IFERROR(__xludf.DUMMYFUNCTION("""COMPUTED_VALUE"""),"Female")</f>
        <v>Female</v>
      </c>
      <c r="E374" s="1" t="str">
        <f ca="1">IFERROR(__xludf.DUMMYFUNCTION("""COMPUTED_VALUE"""),"Influencers who had successful careers")</f>
        <v>Influencers who had successful careers</v>
      </c>
      <c r="F374" s="1" t="str">
        <f ca="1">IFERROR(__xludf.DUMMYFUNCTION("""COMPUTED_VALUE"""),"Yes, I will earn and do that")</f>
        <v>Yes, I will earn and do that</v>
      </c>
      <c r="G374" s="1" t="str">
        <f ca="1">IFERROR(__xludf.DUMMYFUNCTION("""COMPUTED_VALUE"""),"This will be hard to do, but if it is the right company I would try")</f>
        <v>This will be hard to do, but if it is the right company I would try</v>
      </c>
      <c r="H374" s="1" t="str">
        <f ca="1">IFERROR(__xludf.DUMMYFUNCTION("""COMPUTED_VALUE"""),"No")</f>
        <v>No</v>
      </c>
      <c r="I374" s="1" t="str">
        <f ca="1">IFERROR(__xludf.DUMMYFUNCTION("""COMPUTED_VALUE"""),"Will NOT work for them")</f>
        <v>Will NOT work for them</v>
      </c>
      <c r="J374" s="1">
        <f ca="1">IFERROR(__xludf.DUMMYFUNCTION("""COMPUTED_VALUE"""),1)</f>
        <v>1</v>
      </c>
      <c r="K374" s="1" t="str">
        <f ca="1">IFERROR(__xludf.DUMMYFUNCTION("""COMPUTED_VALUE"""),"Every Day Office Environment")</f>
        <v>Every Day Office Environment</v>
      </c>
      <c r="L3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74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74" s="1" t="str">
        <f ca="1">IFERROR(__xludf.DUMMYFUNCTION("""COMPUTED_VALUE"""),"Business Operations in any organization, Manage and drive End-to-End Projects or Products, Look deeply into Data and generate insights")</f>
        <v>Business Operations in any organization, Manage and drive End-to-End Projects or Products, Look deeply into Data and generate insights</v>
      </c>
      <c r="O374" s="1" t="str">
        <f ca="1">IFERROR(__xludf.DUMMYFUNCTION("""COMPUTED_VALUE"""),"Manager who explains what is expected, sets a goal and helps achieve it")</f>
        <v>Manager who explains what is expected, sets a goal and helps achieve it</v>
      </c>
      <c r="P374" s="1" t="str">
        <f ca="1">IFERROR(__xludf.DUMMYFUNCTION("""COMPUTED_VALUE"""),"Work with more than 10 people in my team")</f>
        <v>Work with more than 10 people in my team</v>
      </c>
      <c r="Q374" s="1"/>
      <c r="R374" s="1"/>
      <c r="S374" s="1"/>
    </row>
    <row r="375" spans="1:19" ht="12.5" x14ac:dyDescent="0.25">
      <c r="A375" s="2">
        <f ca="1">IFERROR(__xludf.DUMMYFUNCTION("""COMPUTED_VALUE"""),44952.7191622916)</f>
        <v>44952.7191622916</v>
      </c>
      <c r="B375" s="1" t="str">
        <f ca="1">IFERROR(__xludf.DUMMYFUNCTION("""COMPUTED_VALUE"""),"India")</f>
        <v>India</v>
      </c>
      <c r="C375" s="1">
        <f ca="1">IFERROR(__xludf.DUMMYFUNCTION("""COMPUTED_VALUE"""),631052)</f>
        <v>631052</v>
      </c>
      <c r="D375" s="1" t="str">
        <f ca="1">IFERROR(__xludf.DUMMYFUNCTION("""COMPUTED_VALUE"""),"Female")</f>
        <v>Female</v>
      </c>
      <c r="E375" s="1" t="str">
        <f ca="1">IFERROR(__xludf.DUMMYFUNCTION("""COMPUTED_VALUE"""),"My Parents")</f>
        <v>My Parents</v>
      </c>
      <c r="F375" s="1" t="str">
        <f ca="1">IFERROR(__xludf.DUMMYFUNCTION("""COMPUTED_VALUE"""),"Yes, I will earn and do that")</f>
        <v>Yes, I will earn and do that</v>
      </c>
      <c r="G375" s="1" t="str">
        <f ca="1">IFERROR(__xludf.DUMMYFUNCTION("""COMPUTED_VALUE"""),"This will be hard to do, but if it is the right company I would try")</f>
        <v>This will be hard to do, but if it is the right company I would try</v>
      </c>
      <c r="H375" s="1" t="str">
        <f ca="1">IFERROR(__xludf.DUMMYFUNCTION("""COMPUTED_VALUE"""),"No")</f>
        <v>No</v>
      </c>
      <c r="I375" s="1" t="str">
        <f ca="1">IFERROR(__xludf.DUMMYFUNCTION("""COMPUTED_VALUE"""),"Will NOT work for them")</f>
        <v>Will NOT work for them</v>
      </c>
      <c r="J375" s="1">
        <f ca="1">IFERROR(__xludf.DUMMYFUNCTION("""COMPUTED_VALUE"""),2)</f>
        <v>2</v>
      </c>
      <c r="K375" s="1" t="str">
        <f ca="1">IFERROR(__xludf.DUMMYFUNCTION("""COMPUTED_VALUE"""),"Hybrid Working Environment with less than 15 days a month at office")</f>
        <v>Hybrid Working Environment with less than 15 days a month at office</v>
      </c>
      <c r="L375" s="1" t="str">
        <f ca="1">IFERROR(__xludf.DUMMYFUNCTION("""COMPUTED_VALUE"""),"Employer who appreciates learning and enables that environment")</f>
        <v>Employer who appreciates learning and enables that environment</v>
      </c>
      <c r="M375" s="1" t="str">
        <f ca="1">IFERROR(__xludf.DUMMYFUNCTION("""COMPUTED_VALUE"""),"Self Paced Learning Portals, Instructor or Expert Learning Programs")</f>
        <v>Self Paced Learning Portals, Instructor or Expert Learning Programs</v>
      </c>
      <c r="N375" s="1" t="str">
        <f ca="1">IFERROR(__xludf.DUMMYFUNCTION("""COMPUTED_VALUE"""),"Design and Creative strategy in any company, Teaching in any of the institutes/online or Offline, Manage and drive End-to-End Projects or Products")</f>
        <v>Design and Creative strategy in any company, Teaching in any of the institutes/online or Offline, Manage and drive End-to-End Projects or Products</v>
      </c>
      <c r="O375" s="1" t="str">
        <f ca="1">IFERROR(__xludf.DUMMYFUNCTION("""COMPUTED_VALUE"""),"Manager who explains what is expected, sets a goal and helps achieve it")</f>
        <v>Manager who explains what is expected, sets a goal and helps achieve it</v>
      </c>
      <c r="P375" s="1" t="str">
        <f ca="1">IFERROR(__xludf.DUMMYFUNCTION("""COMPUTED_VALUE"""),"Work with 7 to 10 or more people in my team")</f>
        <v>Work with 7 to 10 or more people in my team</v>
      </c>
      <c r="Q375" s="1"/>
      <c r="R375" s="1"/>
      <c r="S375" s="1"/>
    </row>
    <row r="376" spans="1:19" ht="12.5" x14ac:dyDescent="0.25">
      <c r="A376" s="2">
        <f ca="1">IFERROR(__xludf.DUMMYFUNCTION("""COMPUTED_VALUE"""),44952.9457343055)</f>
        <v>44952.945734305496</v>
      </c>
      <c r="B376" s="1" t="str">
        <f ca="1">IFERROR(__xludf.DUMMYFUNCTION("""COMPUTED_VALUE"""),"India")</f>
        <v>India</v>
      </c>
      <c r="C376" s="1">
        <f ca="1">IFERROR(__xludf.DUMMYFUNCTION("""COMPUTED_VALUE"""),416520)</f>
        <v>416520</v>
      </c>
      <c r="D376" s="1" t="str">
        <f ca="1">IFERROR(__xludf.DUMMYFUNCTION("""COMPUTED_VALUE"""),"Female")</f>
        <v>Female</v>
      </c>
      <c r="E376" s="1" t="str">
        <f ca="1">IFERROR(__xludf.DUMMYFUNCTION("""COMPUTED_VALUE"""),"My Parents")</f>
        <v>My Parents</v>
      </c>
      <c r="F376" s="1" t="str">
        <f ca="1">IFERROR(__xludf.DUMMYFUNCTION("""COMPUTED_VALUE"""),"No I would not be pursuing Higher Education outside of India")</f>
        <v>No I would not be pursuing Higher Education outside of India</v>
      </c>
      <c r="G376" s="1" t="str">
        <f ca="1">IFERROR(__xludf.DUMMYFUNCTION("""COMPUTED_VALUE"""),"Will work for 3 years or more")</f>
        <v>Will work for 3 years or more</v>
      </c>
      <c r="H376" s="1" t="str">
        <f ca="1">IFERROR(__xludf.DUMMYFUNCTION("""COMPUTED_VALUE"""),"Yes")</f>
        <v>Yes</v>
      </c>
      <c r="I376" s="1" t="str">
        <f ca="1">IFERROR(__xludf.DUMMYFUNCTION("""COMPUTED_VALUE"""),"Will work for them")</f>
        <v>Will work for them</v>
      </c>
      <c r="J376" s="1">
        <f ca="1">IFERROR(__xludf.DUMMYFUNCTION("""COMPUTED_VALUE"""),2)</f>
        <v>2</v>
      </c>
      <c r="K376" s="1" t="str">
        <f ca="1">IFERROR(__xludf.DUMMYFUNCTION("""COMPUTED_VALUE"""),"Fully Remote with Options to travel as and when needed")</f>
        <v>Fully Remote with Options to travel as and when needed</v>
      </c>
      <c r="L3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76" s="1" t="str">
        <f ca="1">IFERROR(__xludf.DUMMYFUNCTION("""COMPUTED_VALUE"""),"Learning by observing others, Trial and error by doing side projects within the company")</f>
        <v>Learning by observing others, Trial and error by doing side projects within the company</v>
      </c>
      <c r="N376" s="1" t="str">
        <f ca="1">IFERROR(__xludf.DUMMYFUNCTION("""COMPUTED_VALUE"""),"Business Operations in any organization, Build and develop a Team, Look deeply into Data and generate insights")</f>
        <v>Business Operations in any organization, Build and develop a Team, Look deeply into Data and generate insights</v>
      </c>
      <c r="O376" s="1" t="str">
        <f ca="1">IFERROR(__xludf.DUMMYFUNCTION("""COMPUTED_VALUE"""),"Manager who explains what is expected, sets a goal and helps achieve it")</f>
        <v>Manager who explains what is expected, sets a goal and helps achieve it</v>
      </c>
      <c r="P376" s="1" t="str">
        <f ca="1">IFERROR(__xludf.DUMMYFUNCTION("""COMPUTED_VALUE"""),"Work with 5 to 6 people in my team")</f>
        <v>Work with 5 to 6 people in my team</v>
      </c>
      <c r="Q376" s="1"/>
      <c r="R376" s="1"/>
      <c r="S376" s="1"/>
    </row>
    <row r="377" spans="1:19" ht="12.5" x14ac:dyDescent="0.25">
      <c r="A377" s="2">
        <f ca="1">IFERROR(__xludf.DUMMYFUNCTION("""COMPUTED_VALUE"""),44954.4842589467)</f>
        <v>44954.484258946701</v>
      </c>
      <c r="B377" s="1" t="str">
        <f ca="1">IFERROR(__xludf.DUMMYFUNCTION("""COMPUTED_VALUE"""),"India")</f>
        <v>India</v>
      </c>
      <c r="C377" s="1">
        <f ca="1">IFERROR(__xludf.DUMMYFUNCTION("""COMPUTED_VALUE"""),560100)</f>
        <v>560100</v>
      </c>
      <c r="D377" s="1" t="str">
        <f ca="1">IFERROR(__xludf.DUMMYFUNCTION("""COMPUTED_VALUE"""),"Male")</f>
        <v>Male</v>
      </c>
      <c r="E377" s="1" t="str">
        <f ca="1">IFERROR(__xludf.DUMMYFUNCTION("""COMPUTED_VALUE"""),"Influencers who had successful careers")</f>
        <v>Influencers who had successful careers</v>
      </c>
      <c r="F377" s="1" t="str">
        <f ca="1">IFERROR(__xludf.DUMMYFUNCTION("""COMPUTED_VALUE"""),"No I would not be pursuing Higher Education outside of India")</f>
        <v>No I would not be pursuing Higher Education outside of India</v>
      </c>
      <c r="G377" s="1" t="str">
        <f ca="1">IFERROR(__xludf.DUMMYFUNCTION("""COMPUTED_VALUE"""),"Will work for 3 years or more")</f>
        <v>Will work for 3 years or more</v>
      </c>
      <c r="H377" s="1" t="str">
        <f ca="1">IFERROR(__xludf.DUMMYFUNCTION("""COMPUTED_VALUE"""),"No")</f>
        <v>No</v>
      </c>
      <c r="I377" s="1" t="str">
        <f ca="1">IFERROR(__xludf.DUMMYFUNCTION("""COMPUTED_VALUE"""),"Will NOT work for them")</f>
        <v>Will NOT work for them</v>
      </c>
      <c r="J377" s="1">
        <f ca="1">IFERROR(__xludf.DUMMYFUNCTION("""COMPUTED_VALUE"""),10)</f>
        <v>10</v>
      </c>
      <c r="K377" s="1" t="str">
        <f ca="1">IFERROR(__xludf.DUMMYFUNCTION("""COMPUTED_VALUE"""),"Every Day Office Environment")</f>
        <v>Every Day Office Environment</v>
      </c>
      <c r="L377" s="1" t="str">
        <f ca="1">IFERROR(__xludf.DUMMYFUNCTION("""COMPUTED_VALUE"""),"Employer who appreciates learning and enables that environment")</f>
        <v>Employer who appreciates learning and enables that environment</v>
      </c>
      <c r="M377" s="1" t="str">
        <f ca="1">IFERROR(__xludf.DUMMYFUNCTION("""COMPUTED_VALUE"""),"Instructor or Expert Learning Programs, Learning by observing others")</f>
        <v>Instructor or Expert Learning Programs, Learning by observing others</v>
      </c>
      <c r="N377" s="1" t="str">
        <f ca="1">IFERROR(__xludf.DUMMYFUNCTION("""COMPUTED_VALUE"""),"Business Operations in any organization, Work as a freelancer and do my thing my way, Become a content Creator in some platform")</f>
        <v>Business Operations in any organization, Work as a freelancer and do my thing my way, Become a content Creator in some platform</v>
      </c>
      <c r="O377" s="1" t="str">
        <f ca="1">IFERROR(__xludf.DUMMYFUNCTION("""COMPUTED_VALUE"""),"Manager who sets goal and helps me achieve it")</f>
        <v>Manager who sets goal and helps me achieve it</v>
      </c>
      <c r="P377" s="1" t="str">
        <f ca="1">IFERROR(__xludf.DUMMYFUNCTION("""COMPUTED_VALUE"""),"Work with more than 10 people in my team")</f>
        <v>Work with more than 10 people in my team</v>
      </c>
      <c r="Q377" s="1"/>
      <c r="R377" s="1"/>
      <c r="S377" s="1"/>
    </row>
    <row r="378" spans="1:19" ht="12.5" x14ac:dyDescent="0.25">
      <c r="A378" s="2">
        <f ca="1">IFERROR(__xludf.DUMMYFUNCTION("""COMPUTED_VALUE"""),44954.4842905787)</f>
        <v>44954.484290578701</v>
      </c>
      <c r="B378" s="1" t="str">
        <f ca="1">IFERROR(__xludf.DUMMYFUNCTION("""COMPUTED_VALUE"""),"India")</f>
        <v>India</v>
      </c>
      <c r="C378" s="1">
        <f ca="1">IFERROR(__xludf.DUMMYFUNCTION("""COMPUTED_VALUE"""),632301)</f>
        <v>632301</v>
      </c>
      <c r="D378" s="1" t="str">
        <f ca="1">IFERROR(__xludf.DUMMYFUNCTION("""COMPUTED_VALUE"""),"Female")</f>
        <v>Female</v>
      </c>
      <c r="E378" s="1" t="str">
        <f ca="1">IFERROR(__xludf.DUMMYFUNCTION("""COMPUTED_VALUE"""),"Influencers who had successful careers")</f>
        <v>Influencers who had successful careers</v>
      </c>
      <c r="F378" s="1" t="str">
        <f ca="1">IFERROR(__xludf.DUMMYFUNCTION("""COMPUTED_VALUE"""),"No I would not be pursuing Higher Education outside of India")</f>
        <v>No I would not be pursuing Higher Education outside of India</v>
      </c>
      <c r="G378" s="1" t="str">
        <f ca="1">IFERROR(__xludf.DUMMYFUNCTION("""COMPUTED_VALUE"""),"This will be hard to do, but if it is the right company I would try")</f>
        <v>This will be hard to do, but if it is the right company I would try</v>
      </c>
      <c r="H378" s="1" t="str">
        <f ca="1">IFERROR(__xludf.DUMMYFUNCTION("""COMPUTED_VALUE"""),"Yes")</f>
        <v>Yes</v>
      </c>
      <c r="I378" s="1" t="str">
        <f ca="1">IFERROR(__xludf.DUMMYFUNCTION("""COMPUTED_VALUE"""),"Will work for them")</f>
        <v>Will work for them</v>
      </c>
      <c r="J378" s="1">
        <f ca="1">IFERROR(__xludf.DUMMYFUNCTION("""COMPUTED_VALUE"""),5)</f>
        <v>5</v>
      </c>
      <c r="K378" s="1" t="str">
        <f ca="1">IFERROR(__xludf.DUMMYFUNCTION("""COMPUTED_VALUE"""),"Every Day Office Environment")</f>
        <v>Every Day Office Environment</v>
      </c>
      <c r="L378" s="1" t="str">
        <f ca="1">IFERROR(__xludf.DUMMYFUNCTION("""COMPUTED_VALUE"""),"Employer who appreciates learning and enables that environment")</f>
        <v>Employer who appreciates learning and enables that environment</v>
      </c>
      <c r="M378" s="1" t="str">
        <f ca="1">IFERROR(__xludf.DUMMYFUNCTION("""COMPUTED_VALUE"""),"Self Paced Learning Portals, Learning by observing others")</f>
        <v>Self Paced Learning Portals, Learning by observing others</v>
      </c>
      <c r="N378" s="1" t="str">
        <f ca="1">IFERROR(__xludf.DUMMYFUNCTION("""COMPUTED_VALUE"""),"Design and Creative strategy in any company, Business Operations in any organization, Become a content Creator in some platform")</f>
        <v>Design and Creative strategy in any company, Business Operations in any organization, Become a content Creator in some platform</v>
      </c>
      <c r="O378" s="1" t="str">
        <f ca="1">IFERROR(__xludf.DUMMYFUNCTION("""COMPUTED_VALUE"""),"Manager who explains what is expected, sets a goal and helps achieve it")</f>
        <v>Manager who explains what is expected, sets a goal and helps achieve it</v>
      </c>
      <c r="P378" s="1" t="str">
        <f ca="1">IFERROR(__xludf.DUMMYFUNCTION("""COMPUTED_VALUE"""),"Work with 5 to 6 people in my team")</f>
        <v>Work with 5 to 6 people in my team</v>
      </c>
      <c r="Q378" s="1"/>
      <c r="R378" s="1"/>
      <c r="S378" s="1"/>
    </row>
    <row r="379" spans="1:19" ht="12.5" x14ac:dyDescent="0.25">
      <c r="A379" s="2">
        <f ca="1">IFERROR(__xludf.DUMMYFUNCTION("""COMPUTED_VALUE"""),44977.8779770138)</f>
        <v>44977.877977013799</v>
      </c>
      <c r="B379" s="1" t="str">
        <f ca="1">IFERROR(__xludf.DUMMYFUNCTION("""COMPUTED_VALUE"""),"India")</f>
        <v>India</v>
      </c>
      <c r="C379" s="1">
        <f ca="1">IFERROR(__xludf.DUMMYFUNCTION("""COMPUTED_VALUE"""),641046)</f>
        <v>641046</v>
      </c>
      <c r="D379" s="1" t="str">
        <f ca="1">IFERROR(__xludf.DUMMYFUNCTION("""COMPUTED_VALUE"""),"Male")</f>
        <v>Male</v>
      </c>
      <c r="E379" s="1" t="str">
        <f ca="1">IFERROR(__xludf.DUMMYFUNCTION("""COMPUTED_VALUE"""),"People who have changed the world for better")</f>
        <v>People who have changed the world for better</v>
      </c>
      <c r="F379" s="1" t="str">
        <f ca="1">IFERROR(__xludf.DUMMYFUNCTION("""COMPUTED_VALUE"""),"Yes, I will earn and do that")</f>
        <v>Yes, I will earn and do that</v>
      </c>
      <c r="G379" s="1" t="str">
        <f ca="1">IFERROR(__xludf.DUMMYFUNCTION("""COMPUTED_VALUE"""),"This will be hard to do, but if it is the right company I would try")</f>
        <v>This will be hard to do, but if it is the right company I would try</v>
      </c>
      <c r="H379" s="1" t="str">
        <f ca="1">IFERROR(__xludf.DUMMYFUNCTION("""COMPUTED_VALUE"""),"Yes")</f>
        <v>Yes</v>
      </c>
      <c r="I379" s="1" t="str">
        <f ca="1">IFERROR(__xludf.DUMMYFUNCTION("""COMPUTED_VALUE"""),"Will NOT work for them")</f>
        <v>Will NOT work for them</v>
      </c>
      <c r="J379" s="1">
        <f ca="1">IFERROR(__xludf.DUMMYFUNCTION("""COMPUTED_VALUE"""),6)</f>
        <v>6</v>
      </c>
      <c r="K379" s="1" t="str">
        <f ca="1">IFERROR(__xludf.DUMMYFUNCTION("""COMPUTED_VALUE"""),"Every Day Office Environment")</f>
        <v>Every Day Office Environment</v>
      </c>
      <c r="L379" s="1" t="str">
        <f ca="1">IFERROR(__xludf.DUMMYFUNCTION("""COMPUTED_VALUE"""),"Employer who appreciates learning and enables that environment")</f>
        <v>Employer who appreciates learning and enables that environment</v>
      </c>
      <c r="M379" s="1" t="str">
        <f ca="1">IFERROR(__xludf.DUMMYFUNCTION("""COMPUTED_VALUE"""),"Instructor or Expert Learning Programs, Learning by observing others")</f>
        <v>Instructor or Expert Learning Programs, Learning by observing others</v>
      </c>
      <c r="N379" s="1" t="str">
        <f ca="1">IFERROR(__xludf.DUMMYFUNCTION("""COMPUTED_VALUE"""),"Design and Creative strategy in any company, Business Operations in any organization, Build and develop a Team")</f>
        <v>Design and Creative strategy in any company, Business Operations in any organization, Build and develop a Team</v>
      </c>
      <c r="O379" s="1" t="str">
        <f ca="1">IFERROR(__xludf.DUMMYFUNCTION("""COMPUTED_VALUE"""),"Manager who explains what is expected, sets a goal and helps achieve it")</f>
        <v>Manager who explains what is expected, sets a goal and helps achieve it</v>
      </c>
      <c r="P379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379" s="1"/>
      <c r="R379" s="1"/>
      <c r="S379" s="1"/>
    </row>
    <row r="380" spans="1:19" ht="12.5" x14ac:dyDescent="0.25">
      <c r="A380" s="2">
        <f ca="1">IFERROR(__xludf.DUMMYFUNCTION("""COMPUTED_VALUE"""),44979.5104514583)</f>
        <v>44979.5104514583</v>
      </c>
      <c r="B380" s="1" t="str">
        <f ca="1">IFERROR(__xludf.DUMMYFUNCTION("""COMPUTED_VALUE"""),"India")</f>
        <v>India</v>
      </c>
      <c r="C380" s="1">
        <f ca="1">IFERROR(__xludf.DUMMYFUNCTION("""COMPUTED_VALUE"""),394230)</f>
        <v>394230</v>
      </c>
      <c r="D380" s="1" t="str">
        <f ca="1">IFERROR(__xludf.DUMMYFUNCTION("""COMPUTED_VALUE"""),"Male")</f>
        <v>Male</v>
      </c>
      <c r="E380" s="1" t="str">
        <f ca="1">IFERROR(__xludf.DUMMYFUNCTION("""COMPUTED_VALUE"""),"My Parents")</f>
        <v>My Parents</v>
      </c>
      <c r="F380" s="1" t="str">
        <f ca="1">IFERROR(__xludf.DUMMYFUNCTION("""COMPUTED_VALUE"""),"No, But if someone could bare the cost I will")</f>
        <v>No, But if someone could bare the cost I will</v>
      </c>
      <c r="G380" s="1" t="str">
        <f ca="1">IFERROR(__xludf.DUMMYFUNCTION("""COMPUTED_VALUE"""),"This will be hard to do, but if it is the right company I would try")</f>
        <v>This will be hard to do, but if it is the right company I would try</v>
      </c>
      <c r="H380" s="1" t="str">
        <f ca="1">IFERROR(__xludf.DUMMYFUNCTION("""COMPUTED_VALUE"""),"Yes")</f>
        <v>Yes</v>
      </c>
      <c r="I380" s="1" t="str">
        <f ca="1">IFERROR(__xludf.DUMMYFUNCTION("""COMPUTED_VALUE"""),"Will work for them")</f>
        <v>Will work for them</v>
      </c>
      <c r="J380" s="1">
        <f ca="1">IFERROR(__xludf.DUMMYFUNCTION("""COMPUTED_VALUE"""),10)</f>
        <v>10</v>
      </c>
      <c r="K380" s="1" t="str">
        <f ca="1">IFERROR(__xludf.DUMMYFUNCTION("""COMPUTED_VALUE"""),"Every Day Office Environment")</f>
        <v>Every Day Office Environment</v>
      </c>
      <c r="L3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80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80" s="1" t="str">
        <f ca="1">IFERROR(__xludf.DUMMYFUNCTION("""COMPUTED_VALUE"""),"Business Operations in any organization, Design and Develop amazing software, Become a content Creator in some platform")</f>
        <v>Business Operations in any organization, Design and Develop amazing software, Become a content Creator in some platform</v>
      </c>
      <c r="O380" s="1" t="str">
        <f ca="1">IFERROR(__xludf.DUMMYFUNCTION("""COMPUTED_VALUE"""),"Manager who explains what is expected, sets a goal and helps achieve it")</f>
        <v>Manager who explains what is expected, sets a goal and helps achieve it</v>
      </c>
      <c r="P380" s="1" t="str">
        <f ca="1">IFERROR(__xludf.DUMMYFUNCTION("""COMPUTED_VALUE"""),"Work with 5 to 6 people in my team")</f>
        <v>Work with 5 to 6 people in my team</v>
      </c>
      <c r="Q380" s="1"/>
      <c r="R380" s="1"/>
      <c r="S380" s="1"/>
    </row>
    <row r="381" spans="1:19" ht="12.5" x14ac:dyDescent="0.25">
      <c r="A381" s="2">
        <f ca="1">IFERROR(__xludf.DUMMYFUNCTION("""COMPUTED_VALUE"""),44985.8199412963)</f>
        <v>44985.8199412963</v>
      </c>
      <c r="B381" s="1" t="str">
        <f ca="1">IFERROR(__xludf.DUMMYFUNCTION("""COMPUTED_VALUE"""),"India")</f>
        <v>India</v>
      </c>
      <c r="C381" s="1">
        <f ca="1">IFERROR(__xludf.DUMMYFUNCTION("""COMPUTED_VALUE"""),44023)</f>
        <v>44023</v>
      </c>
      <c r="D381" s="1" t="str">
        <f ca="1">IFERROR(__xludf.DUMMYFUNCTION("""COMPUTED_VALUE"""),"Male")</f>
        <v>Male</v>
      </c>
      <c r="E381" s="1" t="str">
        <f ca="1">IFERROR(__xludf.DUMMYFUNCTION("""COMPUTED_VALUE"""),"My Parents")</f>
        <v>My Parents</v>
      </c>
      <c r="F381" s="1" t="str">
        <f ca="1">IFERROR(__xludf.DUMMYFUNCTION("""COMPUTED_VALUE"""),"No I would not be pursuing Higher Education outside of India")</f>
        <v>No I would not be pursuing Higher Education outside of India</v>
      </c>
      <c r="G381" s="1" t="str">
        <f ca="1">IFERROR(__xludf.DUMMYFUNCTION("""COMPUTED_VALUE"""),"This will be hard to do, but if it is the right company I would try")</f>
        <v>This will be hard to do, but if it is the right company I would try</v>
      </c>
      <c r="H381" s="1" t="str">
        <f ca="1">IFERROR(__xludf.DUMMYFUNCTION("""COMPUTED_VALUE"""),"Yes")</f>
        <v>Yes</v>
      </c>
      <c r="I381" s="1" t="str">
        <f ca="1">IFERROR(__xludf.DUMMYFUNCTION("""COMPUTED_VALUE"""),"Will work for them")</f>
        <v>Will work for them</v>
      </c>
      <c r="J381" s="1">
        <f ca="1">IFERROR(__xludf.DUMMYFUNCTION("""COMPUTED_VALUE"""),5)</f>
        <v>5</v>
      </c>
      <c r="K381" s="1" t="str">
        <f ca="1">IFERROR(__xludf.DUMMYFUNCTION("""COMPUTED_VALUE"""),"Hybrid Working Environment with less than 10 days a month at office")</f>
        <v>Hybrid Working Environment with less than 10 days a month at office</v>
      </c>
      <c r="L381" s="1" t="str">
        <f ca="1">IFERROR(__xludf.DUMMYFUNCTION("""COMPUTED_VALUE"""),"Employer who rewards learning and enables that environment")</f>
        <v>Employer who rewards learning and enables that environment</v>
      </c>
      <c r="M381" s="1" t="str">
        <f ca="1">IFERROR(__xludf.DUMMYFUNCTION("""COMPUTED_VALUE"""),"Instructor or Expert Learning Programs, Learning by observing others")</f>
        <v>Instructor or Expert Learning Programs, Learning by observing others</v>
      </c>
      <c r="N381" s="1" t="str">
        <f ca="1">IFERROR(__xludf.DUMMYFUNCTION("""COMPUTED_VALUE"""),"Look deeply into Data and generate insights, Work as a freelancer and do my thing my way, Become a content Creator in some platform")</f>
        <v>Look deeply into Data and generate insights, Work as a freelancer and do my thing my way, Become a content Creator in some platform</v>
      </c>
      <c r="O381" s="1" t="str">
        <f ca="1">IFERROR(__xludf.DUMMYFUNCTION("""COMPUTED_VALUE"""),"Manager who sets goal and helps me achieve it")</f>
        <v>Manager who sets goal and helps me achieve it</v>
      </c>
      <c r="P381" s="1" t="str">
        <f ca="1">IFERROR(__xludf.DUMMYFUNCTION("""COMPUTED_VALUE"""),"Work with more than 10 people in my team")</f>
        <v>Work with more than 10 people in my team</v>
      </c>
      <c r="Q381" s="1"/>
      <c r="R381" s="1"/>
      <c r="S381" s="1"/>
    </row>
    <row r="382" spans="1:19" ht="12.5" x14ac:dyDescent="0.25">
      <c r="A382" s="2">
        <f ca="1">IFERROR(__xludf.DUMMYFUNCTION("""COMPUTED_VALUE"""),45012.6643323726)</f>
        <v>45012.664332372602</v>
      </c>
      <c r="B382" s="1" t="str">
        <f ca="1">IFERROR(__xludf.DUMMYFUNCTION("""COMPUTED_VALUE"""),"India")</f>
        <v>India</v>
      </c>
      <c r="C382" s="1">
        <f ca="1">IFERROR(__xludf.DUMMYFUNCTION("""COMPUTED_VALUE"""),620017)</f>
        <v>620017</v>
      </c>
      <c r="D382" s="1" t="str">
        <f ca="1">IFERROR(__xludf.DUMMYFUNCTION("""COMPUTED_VALUE"""),"Female")</f>
        <v>Female</v>
      </c>
      <c r="E382" s="1" t="str">
        <f ca="1">IFERROR(__xludf.DUMMYFUNCTION("""COMPUTED_VALUE"""),"People who have changed the world for better")</f>
        <v>People who have changed the world for better</v>
      </c>
      <c r="F382" s="1" t="str">
        <f ca="1">IFERROR(__xludf.DUMMYFUNCTION("""COMPUTED_VALUE"""),"No, But if someone could bare the cost I will")</f>
        <v>No, But if someone could bare the cost I will</v>
      </c>
      <c r="G382" s="1" t="str">
        <f ca="1">IFERROR(__xludf.DUMMYFUNCTION("""COMPUTED_VALUE"""),"Will work for 3 years or more")</f>
        <v>Will work for 3 years or more</v>
      </c>
      <c r="H382" s="1" t="str">
        <f ca="1">IFERROR(__xludf.DUMMYFUNCTION("""COMPUTED_VALUE"""),"No")</f>
        <v>No</v>
      </c>
      <c r="I382" s="1" t="str">
        <f ca="1">IFERROR(__xludf.DUMMYFUNCTION("""COMPUTED_VALUE"""),"Will NOT work for them")</f>
        <v>Will NOT work for them</v>
      </c>
      <c r="J382" s="1">
        <f ca="1">IFERROR(__xludf.DUMMYFUNCTION("""COMPUTED_VALUE"""),5)</f>
        <v>5</v>
      </c>
      <c r="K382" s="1" t="str">
        <f ca="1">IFERROR(__xludf.DUMMYFUNCTION("""COMPUTED_VALUE"""),"Hybrid Working Environment with less than 15 days a month at office")</f>
        <v>Hybrid Working Environment with less than 15 days a month at office</v>
      </c>
      <c r="L382" s="1" t="str">
        <f ca="1">IFERROR(__xludf.DUMMYFUNCTION("""COMPUTED_VALUE"""),"Employer who appreciates learning and enables that environment")</f>
        <v>Employer who appreciates learning and enables that environment</v>
      </c>
      <c r="M382" s="1" t="str">
        <f ca="1">IFERROR(__xludf.DUMMYFUNCTION("""COMPUTED_VALUE"""),"Self Paced Learning Portals, Instructor or Expert Learning Programs")</f>
        <v>Self Paced Learning Portals, Instructor or Expert Learning Programs</v>
      </c>
      <c r="N382" s="1" t="str">
        <f ca="1">IFERROR(__xludf.DUMMYFUNCTION("""COMPUTED_VALUE"""),"Design and Creative strategy in any company, Manage and drive End-to-End Projects or Products, Look deeply into Data and generate insights")</f>
        <v>Design and Creative strategy in any company, Manage and drive End-to-End Projects or Products, Look deeply into Data and generate insights</v>
      </c>
      <c r="O382" s="1" t="str">
        <f ca="1">IFERROR(__xludf.DUMMYFUNCTION("""COMPUTED_VALUE"""),"Manager who explains what is expected, sets a goal and helps achieve it")</f>
        <v>Manager who explains what is expected, sets a goal and helps achieve it</v>
      </c>
      <c r="P382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382" s="1"/>
      <c r="R382" s="1"/>
      <c r="S382" s="1"/>
    </row>
    <row r="383" spans="1:19" ht="12.5" x14ac:dyDescent="0.25">
      <c r="A383" s="2">
        <f ca="1">IFERROR(__xludf.DUMMYFUNCTION("""COMPUTED_VALUE"""),45020.8773611458)</f>
        <v>45020.877361145802</v>
      </c>
      <c r="B383" s="1" t="str">
        <f ca="1">IFERROR(__xludf.DUMMYFUNCTION("""COMPUTED_VALUE"""),"India")</f>
        <v>India</v>
      </c>
      <c r="C383" s="1">
        <f ca="1">IFERROR(__xludf.DUMMYFUNCTION("""COMPUTED_VALUE"""),500032)</f>
        <v>500032</v>
      </c>
      <c r="D383" s="1" t="str">
        <f ca="1">IFERROR(__xludf.DUMMYFUNCTION("""COMPUTED_VALUE"""),"Male")</f>
        <v>Male</v>
      </c>
      <c r="E383" s="1" t="str">
        <f ca="1">IFERROR(__xludf.DUMMYFUNCTION("""COMPUTED_VALUE"""),"People who have changed the world for better")</f>
        <v>People who have changed the world for better</v>
      </c>
      <c r="F383" s="1" t="str">
        <f ca="1">IFERROR(__xludf.DUMMYFUNCTION("""COMPUTED_VALUE"""),"No I would not be pursuing Higher Education outside of India")</f>
        <v>No I would not be pursuing Higher Education outside of India</v>
      </c>
      <c r="G383" s="1" t="str">
        <f ca="1">IFERROR(__xludf.DUMMYFUNCTION("""COMPUTED_VALUE"""),"Will work for 3 years or more")</f>
        <v>Will work for 3 years or more</v>
      </c>
      <c r="H383" s="1" t="str">
        <f ca="1">IFERROR(__xludf.DUMMYFUNCTION("""COMPUTED_VALUE"""),"No")</f>
        <v>No</v>
      </c>
      <c r="I383" s="1" t="str">
        <f ca="1">IFERROR(__xludf.DUMMYFUNCTION("""COMPUTED_VALUE"""),"Will NOT work for them")</f>
        <v>Will NOT work for them</v>
      </c>
      <c r="J383" s="1">
        <f ca="1">IFERROR(__xludf.DUMMYFUNCTION("""COMPUTED_VALUE"""),5)</f>
        <v>5</v>
      </c>
      <c r="K383" s="1" t="str">
        <f ca="1">IFERROR(__xludf.DUMMYFUNCTION("""COMPUTED_VALUE"""),"Fully Remote with Options to travel as and when needed")</f>
        <v>Fully Remote with Options to travel as and when needed</v>
      </c>
      <c r="L3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83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83" s="1" t="str">
        <f ca="1">IFERROR(__xludf.DUMMYFUNCTION("""COMPUTED_VALUE"""),"Design and Creative strategy in any company, Look deeply into Data and generate insights, Work as a freelancer and do my thing my way")</f>
        <v>Design and Creative strategy in any company, Look deeply into Data and generate insights, Work as a freelancer and do my thing my way</v>
      </c>
      <c r="O383" s="1" t="str">
        <f ca="1">IFERROR(__xludf.DUMMYFUNCTION("""COMPUTED_VALUE"""),"Manager who explains what is expected, sets a goal and helps achieve it")</f>
        <v>Manager who explains what is expected, sets a goal and helps achieve it</v>
      </c>
      <c r="P383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383" s="1" t="str">
        <f ca="1">IFERROR(__xludf.DUMMYFUNCTION("""COMPUTED_VALUE"""),"Yes, I Understand this is gonna happen everywhere")</f>
        <v>Yes, I Understand this is gonna happen everywhere</v>
      </c>
      <c r="R383" s="1"/>
      <c r="S383" s="1"/>
    </row>
    <row r="384" spans="1:19" ht="12.5" x14ac:dyDescent="0.25">
      <c r="A384" s="2">
        <f ca="1">IFERROR(__xludf.DUMMYFUNCTION("""COMPUTED_VALUE"""),45020.8783153472)</f>
        <v>45020.878315347203</v>
      </c>
      <c r="B384" s="1" t="str">
        <f ca="1">IFERROR(__xludf.DUMMYFUNCTION("""COMPUTED_VALUE"""),"India")</f>
        <v>India</v>
      </c>
      <c r="C384" s="1">
        <f ca="1">IFERROR(__xludf.DUMMYFUNCTION("""COMPUTED_VALUE"""),600083)</f>
        <v>600083</v>
      </c>
      <c r="D384" s="1" t="str">
        <f ca="1">IFERROR(__xludf.DUMMYFUNCTION("""COMPUTED_VALUE"""),"Female")</f>
        <v>Female</v>
      </c>
      <c r="E384" s="1" t="str">
        <f ca="1">IFERROR(__xludf.DUMMYFUNCTION("""COMPUTED_VALUE"""),"People from my circle, but not family members")</f>
        <v>People from my circle, but not family members</v>
      </c>
      <c r="F384" s="1" t="str">
        <f ca="1">IFERROR(__xludf.DUMMYFUNCTION("""COMPUTED_VALUE"""),"Yes, I will earn and do that")</f>
        <v>Yes, I will earn and do that</v>
      </c>
      <c r="G384" s="1" t="str">
        <f ca="1">IFERROR(__xludf.DUMMYFUNCTION("""COMPUTED_VALUE"""),"No way, 3 years with one employer is crazy")</f>
        <v>No way, 3 years with one employer is crazy</v>
      </c>
      <c r="H384" s="1" t="str">
        <f ca="1">IFERROR(__xludf.DUMMYFUNCTION("""COMPUTED_VALUE"""),"No")</f>
        <v>No</v>
      </c>
      <c r="I384" s="1" t="str">
        <f ca="1">IFERROR(__xludf.DUMMYFUNCTION("""COMPUTED_VALUE"""),"Will NOT work for them")</f>
        <v>Will NOT work for them</v>
      </c>
      <c r="J384" s="1">
        <f ca="1">IFERROR(__xludf.DUMMYFUNCTION("""COMPUTED_VALUE"""),3)</f>
        <v>3</v>
      </c>
      <c r="K384" s="1" t="str">
        <f ca="1">IFERROR(__xludf.DUMMYFUNCTION("""COMPUTED_VALUE"""),"Fully Remote with Options to travel as and when needed")</f>
        <v>Fully Remote with Options to travel as and when needed</v>
      </c>
      <c r="L3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84" s="1" t="str">
        <f ca="1">IFERROR(__xludf.DUMMYFUNCTION("""COMPUTED_VALUE"""),"Self Paced Learning Portals, Learning by observing others")</f>
        <v>Self Paced Learning Portals, Learning by observing others</v>
      </c>
      <c r="N384" s="1" t="str">
        <f ca="1">IFERROR(__xludf.DUMMYFUNCTION("""COMPUTED_VALUE"""),"Design and Creative strategy in any company, Business Operations in any organization, Look deeply into Data and generate insights")</f>
        <v>Design and Creative strategy in any company, Business Operations in any organization, Look deeply into Data and generate insights</v>
      </c>
      <c r="O384" s="1" t="str">
        <f ca="1">IFERROR(__xludf.DUMMYFUNCTION("""COMPUTED_VALUE"""),"Manager who explains what is expected, sets a goal and helps achieve it")</f>
        <v>Manager who explains what is expected, sets a goal and helps achieve it</v>
      </c>
      <c r="P384" s="1" t="str">
        <f ca="1">IFERROR(__xludf.DUMMYFUNCTION("""COMPUTED_VALUE"""),"Work alone, Work with 2 to 3 people in my team")</f>
        <v>Work alone, Work with 2 to 3 people in my team</v>
      </c>
      <c r="Q384" s="1" t="str">
        <f ca="1">IFERROR(__xludf.DUMMYFUNCTION("""COMPUTED_VALUE"""),"No")</f>
        <v>No</v>
      </c>
      <c r="R384" s="1"/>
      <c r="S384" s="1"/>
    </row>
    <row r="385" spans="1:19" ht="12.5" x14ac:dyDescent="0.25">
      <c r="A385" s="2">
        <f ca="1">IFERROR(__xludf.DUMMYFUNCTION("""COMPUTED_VALUE"""),45020.8844391666)</f>
        <v>45020.884439166599</v>
      </c>
      <c r="B385" s="1" t="str">
        <f ca="1">IFERROR(__xludf.DUMMYFUNCTION("""COMPUTED_VALUE"""),"India")</f>
        <v>India</v>
      </c>
      <c r="C385" s="1">
        <f ca="1">IFERROR(__xludf.DUMMYFUNCTION("""COMPUTED_VALUE"""),560016)</f>
        <v>560016</v>
      </c>
      <c r="D385" s="1" t="str">
        <f ca="1">IFERROR(__xludf.DUMMYFUNCTION("""COMPUTED_VALUE"""),"Male")</f>
        <v>Male</v>
      </c>
      <c r="E385" s="1" t="str">
        <f ca="1">IFERROR(__xludf.DUMMYFUNCTION("""COMPUTED_VALUE"""),"Influencers who had successful careers")</f>
        <v>Influencers who had successful careers</v>
      </c>
      <c r="F385" s="1" t="str">
        <f ca="1">IFERROR(__xludf.DUMMYFUNCTION("""COMPUTED_VALUE"""),"No, But if someone could bare the cost I will")</f>
        <v>No, But if someone could bare the cost I will</v>
      </c>
      <c r="G385" s="1" t="str">
        <f ca="1">IFERROR(__xludf.DUMMYFUNCTION("""COMPUTED_VALUE"""),"This will be hard to do, but if it is the right company I would try")</f>
        <v>This will be hard to do, but if it is the right company I would try</v>
      </c>
      <c r="H385" s="1" t="str">
        <f ca="1">IFERROR(__xludf.DUMMYFUNCTION("""COMPUTED_VALUE"""),"No")</f>
        <v>No</v>
      </c>
      <c r="I385" s="1" t="str">
        <f ca="1">IFERROR(__xludf.DUMMYFUNCTION("""COMPUTED_VALUE"""),"Will work for them")</f>
        <v>Will work for them</v>
      </c>
      <c r="J385" s="1">
        <f ca="1">IFERROR(__xludf.DUMMYFUNCTION("""COMPUTED_VALUE"""),5)</f>
        <v>5</v>
      </c>
      <c r="K385" s="1" t="str">
        <f ca="1">IFERROR(__xludf.DUMMYFUNCTION("""COMPUTED_VALUE"""),"Fully Remote with Options to travel as and when needed")</f>
        <v>Fully Remote with Options to travel as and when needed</v>
      </c>
      <c r="L385" s="1" t="str">
        <f ca="1">IFERROR(__xludf.DUMMYFUNCTION("""COMPUTED_VALUE"""),"Employer who appreciates learning and enables that environment")</f>
        <v>Employer who appreciates learning and enables that environment</v>
      </c>
      <c r="M385" s="1" t="str">
        <f ca="1">IFERROR(__xludf.DUMMYFUNCTION("""COMPUTED_VALUE"""),"Instructor or Expert Learning Programs, Trial and error by doing side projects within the company")</f>
        <v>Instructor or Expert Learning Programs, Trial and error by doing side projects within the company</v>
      </c>
      <c r="N385" s="1" t="str">
        <f ca="1">IFERROR(__xludf.DUMMYFUNCTION("""COMPUTED_VALUE"""),"Business Operations in any organization, Design and Develop amazing software, Look deeply into Data and generate insights, Work as a freelancer and do my thing my way")</f>
        <v>Business Operations in any organization, Design and Develop amazing software, Look deeply into Data and generate insights, Work as a freelancer and do my thing my way</v>
      </c>
      <c r="O385" s="1" t="str">
        <f ca="1">IFERROR(__xludf.DUMMYFUNCTION("""COMPUTED_VALUE"""),"Manager who explains what is expected, sets a goal and helps achieve it")</f>
        <v>Manager who explains what is expected, sets a goal and helps achieve it</v>
      </c>
      <c r="P385" s="1" t="str">
        <f ca="1">IFERROR(__xludf.DUMMYFUNCTION("""COMPUTED_VALUE"""),"Work with more than 10 people in my team")</f>
        <v>Work with more than 10 people in my team</v>
      </c>
      <c r="Q385" s="1" t="str">
        <f ca="1">IFERROR(__xludf.DUMMYFUNCTION("""COMPUTED_VALUE"""),"No")</f>
        <v>No</v>
      </c>
      <c r="R385" s="1"/>
      <c r="S385" s="1"/>
    </row>
    <row r="386" spans="1:19" ht="12.5" x14ac:dyDescent="0.25">
      <c r="A386" s="2">
        <f ca="1">IFERROR(__xludf.DUMMYFUNCTION("""COMPUTED_VALUE"""),45020.884921875)</f>
        <v>45020.884921874997</v>
      </c>
      <c r="B386" s="1" t="str">
        <f ca="1">IFERROR(__xludf.DUMMYFUNCTION("""COMPUTED_VALUE"""),"India")</f>
        <v>India</v>
      </c>
      <c r="C386" s="1">
        <f ca="1">IFERROR(__xludf.DUMMYFUNCTION("""COMPUTED_VALUE"""),560083)</f>
        <v>560083</v>
      </c>
      <c r="D386" s="1" t="str">
        <f ca="1">IFERROR(__xludf.DUMMYFUNCTION("""COMPUTED_VALUE"""),"Male")</f>
        <v>Male</v>
      </c>
      <c r="E386" s="1" t="str">
        <f ca="1">IFERROR(__xludf.DUMMYFUNCTION("""COMPUTED_VALUE"""),"People from my circle, but not family members")</f>
        <v>People from my circle, but not family members</v>
      </c>
      <c r="F386" s="1" t="str">
        <f ca="1">IFERROR(__xludf.DUMMYFUNCTION("""COMPUTED_VALUE"""),"No I would not be pursuing Higher Education outside of India")</f>
        <v>No I would not be pursuing Higher Education outside of India</v>
      </c>
      <c r="G386" s="1" t="str">
        <f ca="1">IFERROR(__xludf.DUMMYFUNCTION("""COMPUTED_VALUE"""),"Will work for 3 years or more")</f>
        <v>Will work for 3 years or more</v>
      </c>
      <c r="H386" s="1" t="str">
        <f ca="1">IFERROR(__xludf.DUMMYFUNCTION("""COMPUTED_VALUE"""),"No")</f>
        <v>No</v>
      </c>
      <c r="I386" s="1" t="str">
        <f ca="1">IFERROR(__xludf.DUMMYFUNCTION("""COMPUTED_VALUE"""),"Will NOT work for them")</f>
        <v>Will NOT work for them</v>
      </c>
      <c r="J386" s="1">
        <f ca="1">IFERROR(__xludf.DUMMYFUNCTION("""COMPUTED_VALUE"""),1)</f>
        <v>1</v>
      </c>
      <c r="K386" s="1" t="str">
        <f ca="1">IFERROR(__xludf.DUMMYFUNCTION("""COMPUTED_VALUE"""),"Hybrid Working Environment with less than 3 days a month at office")</f>
        <v>Hybrid Working Environment with less than 3 days a month at office</v>
      </c>
      <c r="L3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86" s="1" t="str">
        <f ca="1">IFERROR(__xludf.DUMMYFUNCTION("""COMPUTED_VALUE"""),"Self Paced Learning Portals, Instructor or Expert Learning Programs")</f>
        <v>Self Paced Learning Portals, Instructor or Expert Learning Programs</v>
      </c>
      <c r="N386" s="1" t="str">
        <f ca="1">IFERROR(__xludf.DUMMYFUNCTION("""COMPUTED_VALUE"""),"Teaching in any of the institutes/colleges/online or offline, Business Operations in any organization, Manage and drive End-to-End Projects or Products, Look deeply into Data and generate insights")</f>
        <v>Teaching in any of the institutes/colleges/online or offline, Business Operations in any organization, Manage and drive End-to-End Projects or Products, Look deeply into Data and generate insights</v>
      </c>
      <c r="O386" s="1" t="str">
        <f ca="1">IFERROR(__xludf.DUMMYFUNCTION("""COMPUTED_VALUE"""),"Manager who explains what is expected, sets a goal and helps achieve it")</f>
        <v>Manager who explains what is expected, sets a goal and helps achieve it</v>
      </c>
      <c r="P386" s="1" t="str">
        <f ca="1">IFERROR(__xludf.DUMMYFUNCTION("""COMPUTED_VALUE"""),"Work with 5 to 6 people in my team")</f>
        <v>Work with 5 to 6 people in my team</v>
      </c>
      <c r="Q386" s="1" t="str">
        <f ca="1">IFERROR(__xludf.DUMMYFUNCTION("""COMPUTED_VALUE"""),"Yes, I Understand this is gonna happen everywhere")</f>
        <v>Yes, I Understand this is gonna happen everywhere</v>
      </c>
      <c r="R386" s="1"/>
      <c r="S386" s="1"/>
    </row>
    <row r="387" spans="1:19" ht="12.5" x14ac:dyDescent="0.25">
      <c r="A387" s="2">
        <f ca="1">IFERROR(__xludf.DUMMYFUNCTION("""COMPUTED_VALUE"""),45020.8854449189)</f>
        <v>45020.885444918902</v>
      </c>
      <c r="B387" s="1" t="str">
        <f ca="1">IFERROR(__xludf.DUMMYFUNCTION("""COMPUTED_VALUE"""),"India")</f>
        <v>India</v>
      </c>
      <c r="C387" s="1">
        <f ca="1">IFERROR(__xludf.DUMMYFUNCTION("""COMPUTED_VALUE"""),250001)</f>
        <v>250001</v>
      </c>
      <c r="D387" s="1" t="str">
        <f ca="1">IFERROR(__xludf.DUMMYFUNCTION("""COMPUTED_VALUE"""),"Male")</f>
        <v>Male</v>
      </c>
      <c r="E387" s="1" t="str">
        <f ca="1">IFERROR(__xludf.DUMMYFUNCTION("""COMPUTED_VALUE"""),"People who have changed the world for better")</f>
        <v>People who have changed the world for better</v>
      </c>
      <c r="F387" s="1" t="str">
        <f ca="1">IFERROR(__xludf.DUMMYFUNCTION("""COMPUTED_VALUE"""),"Yes, I will earn and do that")</f>
        <v>Yes, I will earn and do that</v>
      </c>
      <c r="G387" s="1" t="str">
        <f ca="1">IFERROR(__xludf.DUMMYFUNCTION("""COMPUTED_VALUE"""),"This will be hard to do, but if it is the right company I would try")</f>
        <v>This will be hard to do, but if it is the right company I would try</v>
      </c>
      <c r="H387" s="1" t="str">
        <f ca="1">IFERROR(__xludf.DUMMYFUNCTION("""COMPUTED_VALUE"""),"No")</f>
        <v>No</v>
      </c>
      <c r="I387" s="1" t="str">
        <f ca="1">IFERROR(__xludf.DUMMYFUNCTION("""COMPUTED_VALUE"""),"Will NOT work for them")</f>
        <v>Will NOT work for them</v>
      </c>
      <c r="J387" s="1">
        <f ca="1">IFERROR(__xludf.DUMMYFUNCTION("""COMPUTED_VALUE"""),6)</f>
        <v>6</v>
      </c>
      <c r="K387" s="1" t="str">
        <f ca="1">IFERROR(__xludf.DUMMYFUNCTION("""COMPUTED_VALUE"""),"Hybrid Working Environment with less than 3 days a month at office")</f>
        <v>Hybrid Working Environment with less than 3 days a month at office</v>
      </c>
      <c r="L387" s="1" t="str">
        <f ca="1">IFERROR(__xludf.DUMMYFUNCTION("""COMPUTED_VALUE"""),"Employer who rewards learning and enables that environment")</f>
        <v>Employer who rewards learning and enables that environment</v>
      </c>
      <c r="M387" s="1" t="str">
        <f ca="1">IFERROR(__xludf.DUMMYFUNCTION("""COMPUTED_VALUE"""),"Self Paced Learning Portals, Trial and error by doing side projects within the company")</f>
        <v>Self Paced Learning Portals, Trial and error by doing side projects within the company</v>
      </c>
      <c r="N387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387" s="1" t="str">
        <f ca="1">IFERROR(__xludf.DUMMYFUNCTION("""COMPUTED_VALUE"""),"Manager who sets goal and helps me achieve it")</f>
        <v>Manager who sets goal and helps me achieve it</v>
      </c>
      <c r="P387" s="1" t="str">
        <f ca="1">IFERROR(__xludf.DUMMYFUNCTION("""COMPUTED_VALUE"""),"Work with 2 to 3 people in my team")</f>
        <v>Work with 2 to 3 people in my team</v>
      </c>
      <c r="Q387" s="1" t="str">
        <f ca="1">IFERROR(__xludf.DUMMYFUNCTION("""COMPUTED_VALUE"""),"No")</f>
        <v>No</v>
      </c>
      <c r="R387" s="1"/>
      <c r="S387" s="1"/>
    </row>
    <row r="388" spans="1:19" ht="12.5" x14ac:dyDescent="0.25">
      <c r="A388" s="2">
        <f ca="1">IFERROR(__xludf.DUMMYFUNCTION("""COMPUTED_VALUE"""),45020.8891492361)</f>
        <v>45020.8891492361</v>
      </c>
      <c r="B388" s="1" t="str">
        <f ca="1">IFERROR(__xludf.DUMMYFUNCTION("""COMPUTED_VALUE"""),"India")</f>
        <v>India</v>
      </c>
      <c r="C388" s="1">
        <f ca="1">IFERROR(__xludf.DUMMYFUNCTION("""COMPUTED_VALUE"""),560034)</f>
        <v>560034</v>
      </c>
      <c r="D388" s="1" t="str">
        <f ca="1">IFERROR(__xludf.DUMMYFUNCTION("""COMPUTED_VALUE"""),"Male")</f>
        <v>Male</v>
      </c>
      <c r="E388" s="1" t="str">
        <f ca="1">IFERROR(__xludf.DUMMYFUNCTION("""COMPUTED_VALUE"""),"People who have changed the world for better")</f>
        <v>People who have changed the world for better</v>
      </c>
      <c r="F388" s="1" t="str">
        <f ca="1">IFERROR(__xludf.DUMMYFUNCTION("""COMPUTED_VALUE"""),"Yes, I will earn and do that")</f>
        <v>Yes, I will earn and do that</v>
      </c>
      <c r="G388" s="1" t="str">
        <f ca="1">IFERROR(__xludf.DUMMYFUNCTION("""COMPUTED_VALUE"""),"This will be hard to do, but if it is the right company I would try")</f>
        <v>This will be hard to do, but if it is the right company I would try</v>
      </c>
      <c r="H388" s="1" t="str">
        <f ca="1">IFERROR(__xludf.DUMMYFUNCTION("""COMPUTED_VALUE"""),"No")</f>
        <v>No</v>
      </c>
      <c r="I388" s="1" t="str">
        <f ca="1">IFERROR(__xludf.DUMMYFUNCTION("""COMPUTED_VALUE"""),"Will NOT work for them")</f>
        <v>Will NOT work for them</v>
      </c>
      <c r="J388" s="1">
        <f ca="1">IFERROR(__xludf.DUMMYFUNCTION("""COMPUTED_VALUE"""),1)</f>
        <v>1</v>
      </c>
      <c r="K388" s="1" t="str">
        <f ca="1">IFERROR(__xludf.DUMMYFUNCTION("""COMPUTED_VALUE"""),"Fully Remote with Options to travel as and when needed")</f>
        <v>Fully Remote with Options to travel as and when needed</v>
      </c>
      <c r="L3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8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388" s="1" t="str">
        <f ca="1">IFERROR(__xludf.DUMMYFUNCTION("""COMPUTED_VALUE"""),"Build and develop a Team, Look deeply into Data and generate insights, Entrepreneur or Start Up, An Artificial Intelligence Specialist / Talking to Robots")</f>
        <v>Build and develop a Team, Look deeply into Data and generate insights, Entrepreneur or Start Up, An Artificial Intelligence Specialist / Talking to Robots</v>
      </c>
      <c r="O388" s="1" t="str">
        <f ca="1">IFERROR(__xludf.DUMMYFUNCTION("""COMPUTED_VALUE"""),"Manager who explains what is expected, sets a goal and helps achieve it")</f>
        <v>Manager who explains what is expected, sets a goal and helps achieve it</v>
      </c>
      <c r="P38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388" s="1" t="str">
        <f ca="1">IFERROR(__xludf.DUMMYFUNCTION("""COMPUTED_VALUE"""),"No")</f>
        <v>No</v>
      </c>
      <c r="R388" s="1"/>
      <c r="S388" s="1"/>
    </row>
    <row r="389" spans="1:19" ht="12.5" x14ac:dyDescent="0.25">
      <c r="A389" s="2">
        <f ca="1">IFERROR(__xludf.DUMMYFUNCTION("""COMPUTED_VALUE"""),45020.8962146874)</f>
        <v>45020.896214687498</v>
      </c>
      <c r="B389" s="1" t="str">
        <f ca="1">IFERROR(__xludf.DUMMYFUNCTION("""COMPUTED_VALUE"""),"India")</f>
        <v>India</v>
      </c>
      <c r="C389" s="1">
        <f ca="1">IFERROR(__xludf.DUMMYFUNCTION("""COMPUTED_VALUE"""),641004)</f>
        <v>641004</v>
      </c>
      <c r="D389" s="1" t="str">
        <f ca="1">IFERROR(__xludf.DUMMYFUNCTION("""COMPUTED_VALUE"""),"Male")</f>
        <v>Male</v>
      </c>
      <c r="E389" s="1" t="str">
        <f ca="1">IFERROR(__xludf.DUMMYFUNCTION("""COMPUTED_VALUE"""),"Social Media like LinkedIn")</f>
        <v>Social Media like LinkedIn</v>
      </c>
      <c r="F389" s="1" t="str">
        <f ca="1">IFERROR(__xludf.DUMMYFUNCTION("""COMPUTED_VALUE"""),"Yes, I will earn and do that")</f>
        <v>Yes, I will earn and do that</v>
      </c>
      <c r="G389" s="1" t="str">
        <f ca="1">IFERROR(__xludf.DUMMYFUNCTION("""COMPUTED_VALUE"""),"Will work for 3 years or more")</f>
        <v>Will work for 3 years or more</v>
      </c>
      <c r="H389" s="1" t="str">
        <f ca="1">IFERROR(__xludf.DUMMYFUNCTION("""COMPUTED_VALUE"""),"Yes")</f>
        <v>Yes</v>
      </c>
      <c r="I389" s="1" t="str">
        <f ca="1">IFERROR(__xludf.DUMMYFUNCTION("""COMPUTED_VALUE"""),"Will NOT work for them")</f>
        <v>Will NOT work for them</v>
      </c>
      <c r="J389" s="1">
        <f ca="1">IFERROR(__xludf.DUMMYFUNCTION("""COMPUTED_VALUE"""),8)</f>
        <v>8</v>
      </c>
      <c r="K389" s="1" t="str">
        <f ca="1">IFERROR(__xludf.DUMMYFUNCTION("""COMPUTED_VALUE"""),"Fully Remote with No option to visit offices")</f>
        <v>Fully Remote with No option to visit offices</v>
      </c>
      <c r="L389" s="1" t="str">
        <f ca="1">IFERROR(__xludf.DUMMYFUNCTION("""COMPUTED_VALUE"""),"Employer who appreciates learning and enables that environment")</f>
        <v>Employer who appreciates learning and enables that environment</v>
      </c>
      <c r="M38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389" s="1" t="str">
        <f ca="1">IFERROR(__xludf.DUMMYFUNCTION("""COMPUTED_VALUE"""),"Manage and drive End-to-End Projects or Products, Design and Develop amazing software, Look deeply into Data and generate insights, Entrepreneur or Start Up")</f>
        <v>Manage and drive End-to-End Projects or Products, Design and Develop amazing software, Look deeply into Data and generate insights, Entrepreneur or Start Up</v>
      </c>
      <c r="O389" s="1" t="str">
        <f ca="1">IFERROR(__xludf.DUMMYFUNCTION("""COMPUTED_VALUE"""),"Manager who sets goal and helps me achieve it")</f>
        <v>Manager who sets goal and helps me achieve it</v>
      </c>
      <c r="P389" s="1" t="str">
        <f ca="1">IFERROR(__xludf.DUMMYFUNCTION("""COMPUTED_VALUE"""),"Work with 2 to 3 people in my team, Work with 5 to 6 people in my team")</f>
        <v>Work with 2 to 3 people in my team, Work with 5 to 6 people in my team</v>
      </c>
      <c r="Q389" s="1" t="str">
        <f ca="1">IFERROR(__xludf.DUMMYFUNCTION("""COMPUTED_VALUE"""),"Yes, I Understand this is gonna happen everywhere")</f>
        <v>Yes, I Understand this is gonna happen everywhere</v>
      </c>
      <c r="R389" s="1" t="str">
        <f ca="1">IFERROR(__xludf.DUMMYFUNCTION("""COMPUTED_VALUE"""),"No way")</f>
        <v>No way</v>
      </c>
      <c r="S389" s="1"/>
    </row>
    <row r="390" spans="1:19" ht="12.5" x14ac:dyDescent="0.25">
      <c r="A390" s="2">
        <f ca="1">IFERROR(__xludf.DUMMYFUNCTION("""COMPUTED_VALUE"""),45020.9041456828)</f>
        <v>45020.904145682798</v>
      </c>
      <c r="B390" s="1" t="str">
        <f ca="1">IFERROR(__xludf.DUMMYFUNCTION("""COMPUTED_VALUE"""),"India")</f>
        <v>India</v>
      </c>
      <c r="C390" s="1">
        <f ca="1">IFERROR(__xludf.DUMMYFUNCTION("""COMPUTED_VALUE"""),452003)</f>
        <v>452003</v>
      </c>
      <c r="D390" s="1" t="str">
        <f ca="1">IFERROR(__xludf.DUMMYFUNCTION("""COMPUTED_VALUE"""),"Male")</f>
        <v>Male</v>
      </c>
      <c r="E390" s="1" t="str">
        <f ca="1">IFERROR(__xludf.DUMMYFUNCTION("""COMPUTED_VALUE"""),"People who have changed the world for better")</f>
        <v>People who have changed the world for better</v>
      </c>
      <c r="F390" s="1" t="str">
        <f ca="1">IFERROR(__xludf.DUMMYFUNCTION("""COMPUTED_VALUE"""),"Yes, I will earn and do that")</f>
        <v>Yes, I will earn and do that</v>
      </c>
      <c r="G390" s="1" t="str">
        <f ca="1">IFERROR(__xludf.DUMMYFUNCTION("""COMPUTED_VALUE"""),"This will be hard to do, but if it is the right company I would try")</f>
        <v>This will be hard to do, but if it is the right company I would try</v>
      </c>
      <c r="H390" s="1" t="str">
        <f ca="1">IFERROR(__xludf.DUMMYFUNCTION("""COMPUTED_VALUE"""),"No")</f>
        <v>No</v>
      </c>
      <c r="I390" s="1" t="str">
        <f ca="1">IFERROR(__xludf.DUMMYFUNCTION("""COMPUTED_VALUE"""),"Will NOT work for them")</f>
        <v>Will NOT work for them</v>
      </c>
      <c r="J390" s="1">
        <f ca="1">IFERROR(__xludf.DUMMYFUNCTION("""COMPUTED_VALUE"""),4)</f>
        <v>4</v>
      </c>
      <c r="K390" s="1" t="str">
        <f ca="1">IFERROR(__xludf.DUMMYFUNCTION("""COMPUTED_VALUE"""),"Fully Remote with Options to travel as and when needed")</f>
        <v>Fully Remote with Options to travel as and when needed</v>
      </c>
      <c r="L3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9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390" s="1" t="str">
        <f ca="1">IFERROR(__xludf.DUMMYFUNCTION("""COMPUTED_VALUE"""),"Design and Creative strategy in any company, Teaching in any of the institutes/colleges/online or offline, Business Operations in any organization, Become a content Creator in some platform")</f>
        <v>Design and Creative strategy in any company, Teaching in any of the institutes/colleges/online or offline, Business Operations in any organization, Become a content Creator in some platform</v>
      </c>
      <c r="O390" s="1" t="str">
        <f ca="1">IFERROR(__xludf.DUMMYFUNCTION("""COMPUTED_VALUE"""),"Manager who sets targets and expects me to achieve it")</f>
        <v>Manager who sets targets and expects me to achieve it</v>
      </c>
      <c r="P390" s="1" t="str">
        <f ca="1">IFERROR(__xludf.DUMMYFUNCTION("""COMPUTED_VALUE"""),"Work with 2 to 3 people in my team")</f>
        <v>Work with 2 to 3 people in my team</v>
      </c>
      <c r="Q390" s="1" t="str">
        <f ca="1">IFERROR(__xludf.DUMMYFUNCTION("""COMPUTED_VALUE"""),"Yes, I Understand this is gonna happen everywhere")</f>
        <v>Yes, I Understand this is gonna happen everywhere</v>
      </c>
      <c r="R390" s="1" t="str">
        <f ca="1">IFERROR(__xludf.DUMMYFUNCTION("""COMPUTED_VALUE"""),"No way")</f>
        <v>No way</v>
      </c>
      <c r="S390" s="1"/>
    </row>
    <row r="391" spans="1:19" ht="12.5" x14ac:dyDescent="0.25">
      <c r="A391" s="2">
        <f ca="1">IFERROR(__xludf.DUMMYFUNCTION("""COMPUTED_VALUE"""),45020.9066177777)</f>
        <v>45020.906617777699</v>
      </c>
      <c r="B391" s="1" t="str">
        <f ca="1">IFERROR(__xludf.DUMMYFUNCTION("""COMPUTED_VALUE"""),"India")</f>
        <v>India</v>
      </c>
      <c r="C391" s="1">
        <f ca="1">IFERROR(__xludf.DUMMYFUNCTION("""COMPUTED_VALUE"""),560049)</f>
        <v>560049</v>
      </c>
      <c r="D391" s="1" t="str">
        <f ca="1">IFERROR(__xludf.DUMMYFUNCTION("""COMPUTED_VALUE"""),"Male")</f>
        <v>Male</v>
      </c>
      <c r="E391" s="1" t="str">
        <f ca="1">IFERROR(__xludf.DUMMYFUNCTION("""COMPUTED_VALUE"""),"My Parents")</f>
        <v>My Parents</v>
      </c>
      <c r="F391" s="1" t="str">
        <f ca="1">IFERROR(__xludf.DUMMYFUNCTION("""COMPUTED_VALUE"""),"Yes, I will earn and do that")</f>
        <v>Yes, I will earn and do that</v>
      </c>
      <c r="G391" s="1" t="str">
        <f ca="1">IFERROR(__xludf.DUMMYFUNCTION("""COMPUTED_VALUE"""),"This will be hard to do, but if it is the right company I would try")</f>
        <v>This will be hard to do, but if it is the right company I would try</v>
      </c>
      <c r="H391" s="1" t="str">
        <f ca="1">IFERROR(__xludf.DUMMYFUNCTION("""COMPUTED_VALUE"""),"No")</f>
        <v>No</v>
      </c>
      <c r="I391" s="1" t="str">
        <f ca="1">IFERROR(__xludf.DUMMYFUNCTION("""COMPUTED_VALUE"""),"Will NOT work for them")</f>
        <v>Will NOT work for them</v>
      </c>
      <c r="J391" s="1">
        <f ca="1">IFERROR(__xludf.DUMMYFUNCTION("""COMPUTED_VALUE"""),6)</f>
        <v>6</v>
      </c>
      <c r="K391" s="1" t="str">
        <f ca="1">IFERROR(__xludf.DUMMYFUNCTION("""COMPUTED_VALUE"""),"Hybrid Working Environment with more than 15 days a month at office")</f>
        <v>Hybrid Working Environment with more than 15 days a month at office</v>
      </c>
      <c r="L3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9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391" s="1" t="str">
        <f ca="1">IFERROR(__xludf.DUMMYFUNCTION("""COMPUTED_VALUE"""),"Design and Creative strategy in any company, Business Operations in any organization, Entrepreneur or Start Up, Manufacturing / Oil and Gas/ Construction / Hard Physical Work related")</f>
        <v>Design and Creative strategy in any company, Business Operations in any organization, Entrepreneur or Start Up, Manufacturing / Oil and Gas/ Construction / Hard Physical Work related</v>
      </c>
      <c r="O391" s="1" t="str">
        <f ca="1">IFERROR(__xludf.DUMMYFUNCTION("""COMPUTED_VALUE"""),"Manager who explains what is expected, sets a goal and helps achieve it")</f>
        <v>Manager who explains what is expected, sets a goal and helps achieve it</v>
      </c>
      <c r="P391" s="1" t="str">
        <f ca="1">IFERROR(__xludf.DUMMYFUNCTION("""COMPUTED_VALUE"""),"Work with 2 to 3 people in my team, Work with 5 to 6 people in my team")</f>
        <v>Work with 2 to 3 people in my team, Work with 5 to 6 people in my team</v>
      </c>
      <c r="Q391" s="1" t="str">
        <f ca="1">IFERROR(__xludf.DUMMYFUNCTION("""COMPUTED_VALUE"""),"Yes, I Understand this is gonna happen everywhere")</f>
        <v>Yes, I Understand this is gonna happen everywhere</v>
      </c>
      <c r="R391" s="1" t="str">
        <f ca="1">IFERROR(__xludf.DUMMYFUNCTION("""COMPUTED_VALUE"""),"This will be hard to do, but if it is the right company I would try")</f>
        <v>This will be hard to do, but if it is the right company I would try</v>
      </c>
      <c r="S391" s="1"/>
    </row>
    <row r="392" spans="1:19" ht="12.5" x14ac:dyDescent="0.25">
      <c r="A392" s="2">
        <f ca="1">IFERROR(__xludf.DUMMYFUNCTION("""COMPUTED_VALUE"""),45020.9477240046)</f>
        <v>45020.947724004604</v>
      </c>
      <c r="B392" s="1" t="str">
        <f ca="1">IFERROR(__xludf.DUMMYFUNCTION("""COMPUTED_VALUE"""),"India")</f>
        <v>India</v>
      </c>
      <c r="C392" s="1">
        <f ca="1">IFERROR(__xludf.DUMMYFUNCTION("""COMPUTED_VALUE"""),335526)</f>
        <v>335526</v>
      </c>
      <c r="D392" s="1" t="str">
        <f ca="1">IFERROR(__xludf.DUMMYFUNCTION("""COMPUTED_VALUE"""),"Female")</f>
        <v>Female</v>
      </c>
      <c r="E392" s="1" t="str">
        <f ca="1">IFERROR(__xludf.DUMMYFUNCTION("""COMPUTED_VALUE"""),"People who have changed the world for better")</f>
        <v>People who have changed the world for better</v>
      </c>
      <c r="F392" s="1" t="str">
        <f ca="1">IFERROR(__xludf.DUMMYFUNCTION("""COMPUTED_VALUE"""),"Yes, I will earn and do that")</f>
        <v>Yes, I will earn and do that</v>
      </c>
      <c r="G392" s="1" t="str">
        <f ca="1">IFERROR(__xludf.DUMMYFUNCTION("""COMPUTED_VALUE"""),"This will be hard to do, but if it is the right company I would try")</f>
        <v>This will be hard to do, but if it is the right company I would try</v>
      </c>
      <c r="H392" s="1" t="str">
        <f ca="1">IFERROR(__xludf.DUMMYFUNCTION("""COMPUTED_VALUE"""),"No")</f>
        <v>No</v>
      </c>
      <c r="I392" s="1" t="str">
        <f ca="1">IFERROR(__xludf.DUMMYFUNCTION("""COMPUTED_VALUE"""),"Will NOT work for them")</f>
        <v>Will NOT work for them</v>
      </c>
      <c r="J392" s="1">
        <f ca="1">IFERROR(__xludf.DUMMYFUNCTION("""COMPUTED_VALUE"""),5)</f>
        <v>5</v>
      </c>
      <c r="K392" s="1" t="str">
        <f ca="1">IFERROR(__xludf.DUMMYFUNCTION("""COMPUTED_VALUE"""),"Fully Remote with Options to travel as and when needed")</f>
        <v>Fully Remote with Options to travel as and when needed</v>
      </c>
      <c r="L392" s="1" t="str">
        <f ca="1">IFERROR(__xludf.DUMMYFUNCTION("""COMPUTED_VALUE"""),"Employer who appreciates learning and enables that environment")</f>
        <v>Employer who appreciates learning and enables that environment</v>
      </c>
      <c r="M39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392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392" s="1" t="str">
        <f ca="1">IFERROR(__xludf.DUMMYFUNCTION("""COMPUTED_VALUE"""),"Manager who sets goal and helps me achieve it")</f>
        <v>Manager who sets goal and helps me achieve it</v>
      </c>
      <c r="P392" s="1" t="str">
        <f ca="1">IFERROR(__xludf.DUMMYFUNCTION("""COMPUTED_VALUE"""),"Work with 7 to 10 or more people in my team")</f>
        <v>Work with 7 to 10 or more people in my team</v>
      </c>
      <c r="Q392" s="1" t="str">
        <f ca="1">IFERROR(__xludf.DUMMYFUNCTION("""COMPUTED_VALUE"""),"No")</f>
        <v>No</v>
      </c>
      <c r="R392" s="1" t="str">
        <f ca="1">IFERROR(__xludf.DUMMYFUNCTION("""COMPUTED_VALUE"""),"This will be hard to do, but if it is the right company I would try")</f>
        <v>This will be hard to do, but if it is the right company I would try</v>
      </c>
      <c r="S392" s="1"/>
    </row>
    <row r="393" spans="1:19" ht="12.5" x14ac:dyDescent="0.25">
      <c r="A393" s="2">
        <f ca="1">IFERROR(__xludf.DUMMYFUNCTION("""COMPUTED_VALUE"""),45020.9511776388)</f>
        <v>45020.951177638803</v>
      </c>
      <c r="B393" s="1" t="str">
        <f ca="1">IFERROR(__xludf.DUMMYFUNCTION("""COMPUTED_VALUE"""),"India")</f>
        <v>India</v>
      </c>
      <c r="C393" s="1">
        <f ca="1">IFERROR(__xludf.DUMMYFUNCTION("""COMPUTED_VALUE"""),58000)</f>
        <v>58000</v>
      </c>
      <c r="D393" s="1" t="str">
        <f ca="1">IFERROR(__xludf.DUMMYFUNCTION("""COMPUTED_VALUE"""),"Female")</f>
        <v>Female</v>
      </c>
      <c r="E393" s="1" t="str">
        <f ca="1">IFERROR(__xludf.DUMMYFUNCTION("""COMPUTED_VALUE"""),"Influencers who had successful careers")</f>
        <v>Influencers who had successful careers</v>
      </c>
      <c r="F393" s="1" t="str">
        <f ca="1">IFERROR(__xludf.DUMMYFUNCTION("""COMPUTED_VALUE"""),"Yes, I will earn and do that")</f>
        <v>Yes, I will earn and do that</v>
      </c>
      <c r="G393" s="1" t="str">
        <f ca="1">IFERROR(__xludf.DUMMYFUNCTION("""COMPUTED_VALUE"""),"Will work for 3 years or more")</f>
        <v>Will work for 3 years or more</v>
      </c>
      <c r="H393" s="1" t="str">
        <f ca="1">IFERROR(__xludf.DUMMYFUNCTION("""COMPUTED_VALUE"""),"Yes")</f>
        <v>Yes</v>
      </c>
      <c r="I393" s="1" t="str">
        <f ca="1">IFERROR(__xludf.DUMMYFUNCTION("""COMPUTED_VALUE"""),"Will NOT work for them")</f>
        <v>Will NOT work for them</v>
      </c>
      <c r="J393" s="1">
        <f ca="1">IFERROR(__xludf.DUMMYFUNCTION("""COMPUTED_VALUE"""),5)</f>
        <v>5</v>
      </c>
      <c r="K393" s="1" t="str">
        <f ca="1">IFERROR(__xludf.DUMMYFUNCTION("""COMPUTED_VALUE"""),"Fully Remote with Options to travel as and when needed")</f>
        <v>Fully Remote with Options to travel as and when needed</v>
      </c>
      <c r="L393" s="1" t="str">
        <f ca="1">IFERROR(__xludf.DUMMYFUNCTION("""COMPUTED_VALUE"""),"Employer who rewards learning and enables that environment")</f>
        <v>Employer who rewards learning and enables that environment</v>
      </c>
      <c r="M39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393" s="1" t="str">
        <f ca="1">IFERROR(__xludf.DUMMYFUNCTION("""COMPUTED_VALUE"""),"Build and develop a Team, Work in a BPO setup for some well known client, Work as a freelancer and do my thing my way, Manufacturing / Oil and Gas/ Construction / Hard Physical Work related")</f>
        <v>Build and develop a Team, Work in a BPO setup for some well known client, Work as a freelancer and do my thing my way, Manufacturing / Oil and Gas/ Construction / Hard Physical Work related</v>
      </c>
      <c r="O393" s="1" t="str">
        <f ca="1">IFERROR(__xludf.DUMMYFUNCTION("""COMPUTED_VALUE"""),"Manager who explains what is expected, sets a goal and helps achieve it")</f>
        <v>Manager who explains what is expected, sets a goal and helps achieve it</v>
      </c>
      <c r="P393" s="1" t="str">
        <f ca="1">IFERROR(__xludf.DUMMYFUNCTION("""COMPUTED_VALUE"""),"Work with 7 to 10 or more people in my team")</f>
        <v>Work with 7 to 10 or more people in my team</v>
      </c>
      <c r="Q393" s="1" t="str">
        <f ca="1">IFERROR(__xludf.DUMMYFUNCTION("""COMPUTED_VALUE"""),"No")</f>
        <v>No</v>
      </c>
      <c r="R393" s="1" t="str">
        <f ca="1">IFERROR(__xludf.DUMMYFUNCTION("""COMPUTED_VALUE"""),"Will work for 7 years or more")</f>
        <v>Will work for 7 years or more</v>
      </c>
      <c r="S393" s="1"/>
    </row>
    <row r="394" spans="1:19" ht="12.5" x14ac:dyDescent="0.25">
      <c r="A394" s="2">
        <f ca="1">IFERROR(__xludf.DUMMYFUNCTION("""COMPUTED_VALUE"""),45021.0060633449)</f>
        <v>45021.006063344903</v>
      </c>
      <c r="B394" s="1" t="str">
        <f ca="1">IFERROR(__xludf.DUMMYFUNCTION("""COMPUTED_VALUE"""),"India")</f>
        <v>India</v>
      </c>
      <c r="C394" s="1">
        <f ca="1">IFERROR(__xludf.DUMMYFUNCTION("""COMPUTED_VALUE"""),400078)</f>
        <v>400078</v>
      </c>
      <c r="D394" s="1" t="str">
        <f ca="1">IFERROR(__xludf.DUMMYFUNCTION("""COMPUTED_VALUE"""),"Male")</f>
        <v>Male</v>
      </c>
      <c r="E394" s="1" t="str">
        <f ca="1">IFERROR(__xludf.DUMMYFUNCTION("""COMPUTED_VALUE"""),"People who have changed the world for better")</f>
        <v>People who have changed the world for better</v>
      </c>
      <c r="F394" s="1" t="str">
        <f ca="1">IFERROR(__xludf.DUMMYFUNCTION("""COMPUTED_VALUE"""),"Yes, I will earn and do that")</f>
        <v>Yes, I will earn and do that</v>
      </c>
      <c r="G394" s="1" t="str">
        <f ca="1">IFERROR(__xludf.DUMMYFUNCTION("""COMPUTED_VALUE"""),"No way")</f>
        <v>No way</v>
      </c>
      <c r="H394" s="1" t="str">
        <f ca="1">IFERROR(__xludf.DUMMYFUNCTION("""COMPUTED_VALUE"""),"Yes")</f>
        <v>Yes</v>
      </c>
      <c r="I394" s="1" t="str">
        <f ca="1">IFERROR(__xludf.DUMMYFUNCTION("""COMPUTED_VALUE"""),"Will NOT work for them")</f>
        <v>Will NOT work for them</v>
      </c>
      <c r="J394" s="1">
        <f ca="1">IFERROR(__xludf.DUMMYFUNCTION("""COMPUTED_VALUE"""),7)</f>
        <v>7</v>
      </c>
      <c r="K394" s="1" t="str">
        <f ca="1">IFERROR(__xludf.DUMMYFUNCTION("""COMPUTED_VALUE"""),"Hybrid Working Environment with less than 3 days a month at office")</f>
        <v>Hybrid Working Environment with less than 3 days a month at office</v>
      </c>
      <c r="L3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9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394" s="1" t="str">
        <f ca="1">IFERROR(__xludf.DUMMYFUNCTION("""COMPUTED_VALUE"""),"Build and develop a Team, Look deeply into Data and generate insights, Entrepreneur or Start Up, I Want to sell things/Sales")</f>
        <v>Build and develop a Team, Look deeply into Data and generate insights, Entrepreneur or Start Up, I Want to sell things/Sales</v>
      </c>
      <c r="O394" s="1" t="str">
        <f ca="1">IFERROR(__xludf.DUMMYFUNCTION("""COMPUTED_VALUE"""),"Manager who explains what is expected, sets a goal and helps achieve it")</f>
        <v>Manager who explains what is expected, sets a goal and helps achieve it</v>
      </c>
      <c r="P394" s="1" t="str">
        <f ca="1">IFERROR(__xludf.DUMMYFUNCTION("""COMPUTED_VALUE"""),"Work with more than 10 people in my team")</f>
        <v>Work with more than 10 people in my team</v>
      </c>
      <c r="Q394" s="1" t="str">
        <f ca="1">IFERROR(__xludf.DUMMYFUNCTION("""COMPUTED_VALUE"""),"Yes, I Understand this is gonna happen everywhere")</f>
        <v>Yes, I Understand this is gonna happen everywhere</v>
      </c>
      <c r="R394" s="1" t="str">
        <f ca="1">IFERROR(__xludf.DUMMYFUNCTION("""COMPUTED_VALUE"""),"No way")</f>
        <v>No way</v>
      </c>
      <c r="S394" s="1"/>
    </row>
    <row r="395" spans="1:19" ht="12.5" x14ac:dyDescent="0.25">
      <c r="A395" s="2">
        <f ca="1">IFERROR(__xludf.DUMMYFUNCTION("""COMPUTED_VALUE"""),45021.0087265046)</f>
        <v>45021.008726504602</v>
      </c>
      <c r="B395" s="1" t="str">
        <f ca="1">IFERROR(__xludf.DUMMYFUNCTION("""COMPUTED_VALUE"""),"India")</f>
        <v>India</v>
      </c>
      <c r="C395" s="1">
        <f ca="1">IFERROR(__xludf.DUMMYFUNCTION("""COMPUTED_VALUE"""),411028)</f>
        <v>411028</v>
      </c>
      <c r="D395" s="1" t="str">
        <f ca="1">IFERROR(__xludf.DUMMYFUNCTION("""COMPUTED_VALUE"""),"Male")</f>
        <v>Male</v>
      </c>
      <c r="E395" s="1" t="str">
        <f ca="1">IFERROR(__xludf.DUMMYFUNCTION("""COMPUTED_VALUE"""),"People who have changed the world for better")</f>
        <v>People who have changed the world for better</v>
      </c>
      <c r="F395" s="1" t="str">
        <f ca="1">IFERROR(__xludf.DUMMYFUNCTION("""COMPUTED_VALUE"""),"Yes, I will earn and do that")</f>
        <v>Yes, I will earn and do that</v>
      </c>
      <c r="G395" s="1" t="str">
        <f ca="1">IFERROR(__xludf.DUMMYFUNCTION("""COMPUTED_VALUE"""),"This will be hard to do, but if it is the right company I would try")</f>
        <v>This will be hard to do, but if it is the right company I would try</v>
      </c>
      <c r="H395" s="1" t="str">
        <f ca="1">IFERROR(__xludf.DUMMYFUNCTION("""COMPUTED_VALUE"""),"Yes")</f>
        <v>Yes</v>
      </c>
      <c r="I395" s="1" t="str">
        <f ca="1">IFERROR(__xludf.DUMMYFUNCTION("""COMPUTED_VALUE"""),"Will NOT work for them")</f>
        <v>Will NOT work for them</v>
      </c>
      <c r="J395" s="1">
        <f ca="1">IFERROR(__xludf.DUMMYFUNCTION("""COMPUTED_VALUE"""),7)</f>
        <v>7</v>
      </c>
      <c r="K395" s="1" t="str">
        <f ca="1">IFERROR(__xludf.DUMMYFUNCTION("""COMPUTED_VALUE"""),"Fully Remote with Options to travel as and when needed")</f>
        <v>Fully Remote with Options to travel as and when needed</v>
      </c>
      <c r="L3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9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395" s="1" t="str">
        <f ca="1">IFERROR(__xludf.DUMMYFUNCTION("""COMPUTED_VALUE"""),"Look deeply into Data and generate insights, Become a content Creator in some platform, Entrepreneur or Start Up, An Artificial Intelligence Specialist / Talking to Robots")</f>
        <v>Look deeply into Data and generate insights, Become a content Creator in some platform, Entrepreneur or Start Up, An Artificial Intelligence Specialist / Talking to Robots</v>
      </c>
      <c r="O395" s="1" t="str">
        <f ca="1">IFERROR(__xludf.DUMMYFUNCTION("""COMPUTED_VALUE"""),"Manager who explains what is expected, sets a goal and helps achieve it")</f>
        <v>Manager who explains what is expected, sets a goal and helps achieve it</v>
      </c>
      <c r="P395" s="1" t="str">
        <f ca="1">IFERROR(__xludf.DUMMYFUNCTION("""COMPUTED_VALUE"""),"Work with more than 10 people in my team")</f>
        <v>Work with more than 10 people in my team</v>
      </c>
      <c r="Q395" s="1" t="str">
        <f ca="1">IFERROR(__xludf.DUMMYFUNCTION("""COMPUTED_VALUE"""),"I have NO other choice")</f>
        <v>I have NO other choice</v>
      </c>
      <c r="R395" s="1" t="str">
        <f ca="1">IFERROR(__xludf.DUMMYFUNCTION("""COMPUTED_VALUE"""),"This will be hard to do, but if it is the right company I would try")</f>
        <v>This will be hard to do, but if it is the right company I would try</v>
      </c>
      <c r="S395" s="1"/>
    </row>
    <row r="396" spans="1:19" ht="12.5" x14ac:dyDescent="0.25">
      <c r="A396" s="2">
        <f ca="1">IFERROR(__xludf.DUMMYFUNCTION("""COMPUTED_VALUE"""),45021.0133855208)</f>
        <v>45021.013385520797</v>
      </c>
      <c r="B396" s="1" t="str">
        <f ca="1">IFERROR(__xludf.DUMMYFUNCTION("""COMPUTED_VALUE"""),"Canada")</f>
        <v>Canada</v>
      </c>
      <c r="C396" s="1">
        <f ca="1">IFERROR(__xludf.DUMMYFUNCTION("""COMPUTED_VALUE"""),132001)</f>
        <v>132001</v>
      </c>
      <c r="D396" s="1" t="str">
        <f ca="1">IFERROR(__xludf.DUMMYFUNCTION("""COMPUTED_VALUE"""),"Female")</f>
        <v>Female</v>
      </c>
      <c r="E396" s="1" t="str">
        <f ca="1">IFERROR(__xludf.DUMMYFUNCTION("""COMPUTED_VALUE"""),"People who have changed the world for better")</f>
        <v>People who have changed the world for better</v>
      </c>
      <c r="F396" s="1" t="str">
        <f ca="1">IFERROR(__xludf.DUMMYFUNCTION("""COMPUTED_VALUE"""),"Yes, I will earn and do that")</f>
        <v>Yes, I will earn and do that</v>
      </c>
      <c r="G396" s="1" t="str">
        <f ca="1">IFERROR(__xludf.DUMMYFUNCTION("""COMPUTED_VALUE"""),"This will be hard to do, but if it is the right company I would try")</f>
        <v>This will be hard to do, but if it is the right company I would try</v>
      </c>
      <c r="H396" s="1" t="str">
        <f ca="1">IFERROR(__xludf.DUMMYFUNCTION("""COMPUTED_VALUE"""),"No")</f>
        <v>No</v>
      </c>
      <c r="I396" s="1" t="str">
        <f ca="1">IFERROR(__xludf.DUMMYFUNCTION("""COMPUTED_VALUE"""),"Will NOT work for them")</f>
        <v>Will NOT work for them</v>
      </c>
      <c r="J396" s="1">
        <f ca="1">IFERROR(__xludf.DUMMYFUNCTION("""COMPUTED_VALUE"""),5)</f>
        <v>5</v>
      </c>
      <c r="K396" s="1" t="str">
        <f ca="1">IFERROR(__xludf.DUMMYFUNCTION("""COMPUTED_VALUE"""),"Fully Remote with Options to travel as and when needed")</f>
        <v>Fully Remote with Options to travel as and when needed</v>
      </c>
      <c r="L3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9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396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396" s="1" t="str">
        <f ca="1">IFERROR(__xludf.DUMMYFUNCTION("""COMPUTED_VALUE"""),"Manager who explains what is expected, sets a goal and helps achieve it")</f>
        <v>Manager who explains what is expected, sets a goal and helps achieve it</v>
      </c>
      <c r="P396" s="1" t="str">
        <f ca="1">IFERROR(__xludf.DUMMYFUNCTION("""COMPUTED_VALUE"""),"Work with 5 to 6 people in my team")</f>
        <v>Work with 5 to 6 people in my team</v>
      </c>
      <c r="Q396" s="1" t="str">
        <f ca="1">IFERROR(__xludf.DUMMYFUNCTION("""COMPUTED_VALUE"""),"No")</f>
        <v>No</v>
      </c>
      <c r="R396" s="1" t="str">
        <f ca="1">IFERROR(__xludf.DUMMYFUNCTION("""COMPUTED_VALUE"""),"This will be hard to do, but if it is the right company I would try")</f>
        <v>This will be hard to do, but if it is the right company I would try</v>
      </c>
      <c r="S396" s="1"/>
    </row>
    <row r="397" spans="1:19" ht="12.5" x14ac:dyDescent="0.25">
      <c r="A397" s="2">
        <f ca="1">IFERROR(__xludf.DUMMYFUNCTION("""COMPUTED_VALUE"""),45021.021127037)</f>
        <v>45021.021127036998</v>
      </c>
      <c r="B397" s="1" t="str">
        <f ca="1">IFERROR(__xludf.DUMMYFUNCTION("""COMPUTED_VALUE"""),"India")</f>
        <v>India</v>
      </c>
      <c r="C397" s="1">
        <f ca="1">IFERROR(__xludf.DUMMYFUNCTION("""COMPUTED_VALUE"""),440002)</f>
        <v>440002</v>
      </c>
      <c r="D397" s="1" t="str">
        <f ca="1">IFERROR(__xludf.DUMMYFUNCTION("""COMPUTED_VALUE"""),"Male")</f>
        <v>Male</v>
      </c>
      <c r="E397" s="1" t="str">
        <f ca="1">IFERROR(__xludf.DUMMYFUNCTION("""COMPUTED_VALUE"""),"My Parents")</f>
        <v>My Parents</v>
      </c>
      <c r="F397" s="1" t="str">
        <f ca="1">IFERROR(__xludf.DUMMYFUNCTION("""COMPUTED_VALUE"""),"No, But if someone could bare the cost I will")</f>
        <v>No, But if someone could bare the cost I will</v>
      </c>
      <c r="G397" s="1" t="str">
        <f ca="1">IFERROR(__xludf.DUMMYFUNCTION("""COMPUTED_VALUE"""),"This will be hard to do, but if it is the right company I would try")</f>
        <v>This will be hard to do, but if it is the right company I would try</v>
      </c>
      <c r="H397" s="1" t="str">
        <f ca="1">IFERROR(__xludf.DUMMYFUNCTION("""COMPUTED_VALUE"""),"No")</f>
        <v>No</v>
      </c>
      <c r="I397" s="1" t="str">
        <f ca="1">IFERROR(__xludf.DUMMYFUNCTION("""COMPUTED_VALUE"""),"Will NOT work for them")</f>
        <v>Will NOT work for them</v>
      </c>
      <c r="J397" s="1">
        <f ca="1">IFERROR(__xludf.DUMMYFUNCTION("""COMPUTED_VALUE"""),4)</f>
        <v>4</v>
      </c>
      <c r="K397" s="1" t="str">
        <f ca="1">IFERROR(__xludf.DUMMYFUNCTION("""COMPUTED_VALUE"""),"Hybrid Working Environment with more than 15 days a month at office")</f>
        <v>Hybrid Working Environment with more than 15 days a month at office</v>
      </c>
      <c r="L397" s="1" t="str">
        <f ca="1">IFERROR(__xludf.DUMMYFUNCTION("""COMPUTED_VALUE"""),"Employer who rewards learning and enables that environment")</f>
        <v>Employer who rewards learning and enables that environment</v>
      </c>
      <c r="M39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397" s="1" t="str">
        <f ca="1">IFERROR(__xludf.DUMMYFUNCTION("""COMPUTED_VALUE"""),"Design and Develop amazing software, Work as a freelancer and do my thing my way, Entrepreneur or Start Up, An Artificial Intelligence Specialist / Talking to Robots")</f>
        <v>Design and Develop amazing software, Work as a freelancer and do my thing my way, Entrepreneur or Start Up, An Artificial Intelligence Specialist / Talking to Robots</v>
      </c>
      <c r="O397" s="1" t="str">
        <f ca="1">IFERROR(__xludf.DUMMYFUNCTION("""COMPUTED_VALUE"""),"Manager who sets goal and helps me achieve it")</f>
        <v>Manager who sets goal and helps me achieve it</v>
      </c>
      <c r="P397" s="1" t="str">
        <f ca="1">IFERROR(__xludf.DUMMYFUNCTION("""COMPUTED_VALUE"""),"Work with more than 10 people in my team")</f>
        <v>Work with more than 10 people in my team</v>
      </c>
      <c r="Q397" s="1" t="str">
        <f ca="1">IFERROR(__xludf.DUMMYFUNCTION("""COMPUTED_VALUE"""),"I have NO other choice")</f>
        <v>I have NO other choice</v>
      </c>
      <c r="R397" s="1" t="str">
        <f ca="1">IFERROR(__xludf.DUMMYFUNCTION("""COMPUTED_VALUE"""),"This will be hard to do, but if it is the right company I would try")</f>
        <v>This will be hard to do, but if it is the right company I would try</v>
      </c>
      <c r="S397" s="1"/>
    </row>
    <row r="398" spans="1:19" ht="12.5" x14ac:dyDescent="0.25">
      <c r="A398" s="2">
        <f ca="1">IFERROR(__xludf.DUMMYFUNCTION("""COMPUTED_VALUE"""),45021.0250229745)</f>
        <v>45021.0250229745</v>
      </c>
      <c r="B398" s="1" t="str">
        <f ca="1">IFERROR(__xludf.DUMMYFUNCTION("""COMPUTED_VALUE"""),"India")</f>
        <v>India</v>
      </c>
      <c r="C398" s="1">
        <f ca="1">IFERROR(__xludf.DUMMYFUNCTION("""COMPUTED_VALUE"""),624005)</f>
        <v>624005</v>
      </c>
      <c r="D398" s="1" t="str">
        <f ca="1">IFERROR(__xludf.DUMMYFUNCTION("""COMPUTED_VALUE"""),"Female")</f>
        <v>Female</v>
      </c>
      <c r="E398" s="1" t="str">
        <f ca="1">IFERROR(__xludf.DUMMYFUNCTION("""COMPUTED_VALUE"""),"People who have changed the world for better")</f>
        <v>People who have changed the world for better</v>
      </c>
      <c r="F398" s="1" t="str">
        <f ca="1">IFERROR(__xludf.DUMMYFUNCTION("""COMPUTED_VALUE"""),"No I would not be pursuing Higher Education outside of India")</f>
        <v>No I would not be pursuing Higher Education outside of India</v>
      </c>
      <c r="G398" s="1" t="str">
        <f ca="1">IFERROR(__xludf.DUMMYFUNCTION("""COMPUTED_VALUE"""),"Will work for 3 years or more")</f>
        <v>Will work for 3 years or more</v>
      </c>
      <c r="H398" s="1" t="str">
        <f ca="1">IFERROR(__xludf.DUMMYFUNCTION("""COMPUTED_VALUE"""),"No")</f>
        <v>No</v>
      </c>
      <c r="I398" s="1" t="str">
        <f ca="1">IFERROR(__xludf.DUMMYFUNCTION("""COMPUTED_VALUE"""),"Will NOT work for them")</f>
        <v>Will NOT work for them</v>
      </c>
      <c r="J398" s="1">
        <f ca="1">IFERROR(__xludf.DUMMYFUNCTION("""COMPUTED_VALUE"""),1)</f>
        <v>1</v>
      </c>
      <c r="K398" s="1" t="str">
        <f ca="1">IFERROR(__xludf.DUMMYFUNCTION("""COMPUTED_VALUE"""),"Hybrid Working Environment with more than 15 days a month at office")</f>
        <v>Hybrid Working Environment with more than 15 days a month at office</v>
      </c>
      <c r="L398" s="1" t="str">
        <f ca="1">IFERROR(__xludf.DUMMYFUNCTION("""COMPUTED_VALUE"""),"Employer who appreciates learning and enables that environment")</f>
        <v>Employer who appreciates learning and enables that environment</v>
      </c>
      <c r="M398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398" s="1" t="str">
        <f ca="1">IFERROR(__xludf.DUMMYFUNCTION("""COMPUTED_VALUE"""),"Design and Creative strategy in any company, Business Operations in any organization, Manage and drive End-to-End Projects or Products, Work in a BPO setup for some well known client")</f>
        <v>Design and Creative strategy in any company, Business Operations in any organization, Manage and drive End-to-End Projects or Products, Work in a BPO setup for some well known client</v>
      </c>
      <c r="O398" s="1" t="str">
        <f ca="1">IFERROR(__xludf.DUMMYFUNCTION("""COMPUTED_VALUE"""),"Manager who explains what is expected, sets a goal and helps achieve it")</f>
        <v>Manager who explains what is expected, sets a goal and helps achieve it</v>
      </c>
      <c r="P398" s="1" t="str">
        <f ca="1">IFERROR(__xludf.DUMMYFUNCTION("""COMPUTED_VALUE"""),"Work with 5 to 6 people in my team")</f>
        <v>Work with 5 to 6 people in my team</v>
      </c>
      <c r="Q398" s="1" t="str">
        <f ca="1">IFERROR(__xludf.DUMMYFUNCTION("""COMPUTED_VALUE"""),"Yes, I Understand this is gonna happen everywhere")</f>
        <v>Yes, I Understand this is gonna happen everywhere</v>
      </c>
      <c r="R398" s="1" t="str">
        <f ca="1">IFERROR(__xludf.DUMMYFUNCTION("""COMPUTED_VALUE"""),"This will be hard to do, but if it is the right company I would try")</f>
        <v>This will be hard to do, but if it is the right company I would try</v>
      </c>
      <c r="S398" s="1"/>
    </row>
    <row r="399" spans="1:19" ht="12.5" x14ac:dyDescent="0.25">
      <c r="A399" s="2">
        <f ca="1">IFERROR(__xludf.DUMMYFUNCTION("""COMPUTED_VALUE"""),45021.0332639467)</f>
        <v>45021.033263946701</v>
      </c>
      <c r="B399" s="1" t="str">
        <f ca="1">IFERROR(__xludf.DUMMYFUNCTION("""COMPUTED_VALUE"""),"India")</f>
        <v>India</v>
      </c>
      <c r="C399" s="1">
        <f ca="1">IFERROR(__xludf.DUMMYFUNCTION("""COMPUTED_VALUE"""),382424)</f>
        <v>382424</v>
      </c>
      <c r="D399" s="1" t="str">
        <f ca="1">IFERROR(__xludf.DUMMYFUNCTION("""COMPUTED_VALUE"""),"Male")</f>
        <v>Male</v>
      </c>
      <c r="E399" s="1" t="str">
        <f ca="1">IFERROR(__xludf.DUMMYFUNCTION("""COMPUTED_VALUE"""),"People from my circle, but not family members")</f>
        <v>People from my circle, but not family members</v>
      </c>
      <c r="F399" s="1" t="str">
        <f ca="1">IFERROR(__xludf.DUMMYFUNCTION("""COMPUTED_VALUE"""),"No I would not be pursuing Higher Education outside of India")</f>
        <v>No I would not be pursuing Higher Education outside of India</v>
      </c>
      <c r="G399" s="1" t="str">
        <f ca="1">IFERROR(__xludf.DUMMYFUNCTION("""COMPUTED_VALUE"""),"Will work for 3 years or more")</f>
        <v>Will work for 3 years or more</v>
      </c>
      <c r="H399" s="1" t="str">
        <f ca="1">IFERROR(__xludf.DUMMYFUNCTION("""COMPUTED_VALUE"""),"No")</f>
        <v>No</v>
      </c>
      <c r="I399" s="1" t="str">
        <f ca="1">IFERROR(__xludf.DUMMYFUNCTION("""COMPUTED_VALUE"""),"Will NOT work for them")</f>
        <v>Will NOT work for them</v>
      </c>
      <c r="J399" s="1">
        <f ca="1">IFERROR(__xludf.DUMMYFUNCTION("""COMPUTED_VALUE"""),6)</f>
        <v>6</v>
      </c>
      <c r="K399" s="1" t="str">
        <f ca="1">IFERROR(__xludf.DUMMYFUNCTION("""COMPUTED_VALUE"""),"Fully Remote with Options to travel as and when needed")</f>
        <v>Fully Remote with Options to travel as and when needed</v>
      </c>
      <c r="L3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39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399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399" s="1" t="str">
        <f ca="1">IFERROR(__xludf.DUMMYFUNCTION("""COMPUTED_VALUE"""),"Manager who sets unrealistic targets")</f>
        <v>Manager who sets unrealistic targets</v>
      </c>
      <c r="P399" s="1" t="str">
        <f ca="1">IFERROR(__xludf.DUMMYFUNCTION("""COMPUTED_VALUE"""),"Work with 5 to 6 people in my team")</f>
        <v>Work with 5 to 6 people in my team</v>
      </c>
      <c r="Q399" s="1" t="str">
        <f ca="1">IFERROR(__xludf.DUMMYFUNCTION("""COMPUTED_VALUE"""),"Yes, I Understand this is gonna happen everywhere")</f>
        <v>Yes, I Understand this is gonna happen everywhere</v>
      </c>
      <c r="R399" s="1" t="str">
        <f ca="1">IFERROR(__xludf.DUMMYFUNCTION("""COMPUTED_VALUE"""),"This will be hard to do, but if it is the right company I would try")</f>
        <v>This will be hard to do, but if it is the right company I would try</v>
      </c>
      <c r="S399" s="1"/>
    </row>
    <row r="400" spans="1:19" ht="12.5" x14ac:dyDescent="0.25">
      <c r="A400" s="2">
        <f ca="1">IFERROR(__xludf.DUMMYFUNCTION("""COMPUTED_VALUE"""),45021.0336456597)</f>
        <v>45021.0336456597</v>
      </c>
      <c r="B400" s="1" t="str">
        <f ca="1">IFERROR(__xludf.DUMMYFUNCTION("""COMPUTED_VALUE"""),"Canada")</f>
        <v>Canada</v>
      </c>
      <c r="C400" s="1">
        <f ca="1">IFERROR(__xludf.DUMMYFUNCTION("""COMPUTED_VALUE"""),226016)</f>
        <v>226016</v>
      </c>
      <c r="D400" s="1" t="str">
        <f ca="1">IFERROR(__xludf.DUMMYFUNCTION("""COMPUTED_VALUE"""),"Female")</f>
        <v>Female</v>
      </c>
      <c r="E400" s="1" t="str">
        <f ca="1">IFERROR(__xludf.DUMMYFUNCTION("""COMPUTED_VALUE"""),"People from my circle, but not family members")</f>
        <v>People from my circle, but not family members</v>
      </c>
      <c r="F400" s="1" t="str">
        <f ca="1">IFERROR(__xludf.DUMMYFUNCTION("""COMPUTED_VALUE"""),"No, But if someone could bare the cost I will")</f>
        <v>No, But if someone could bare the cost I will</v>
      </c>
      <c r="G400" s="1" t="str">
        <f ca="1">IFERROR(__xludf.DUMMYFUNCTION("""COMPUTED_VALUE"""),"Will work for 3 years or more")</f>
        <v>Will work for 3 years or more</v>
      </c>
      <c r="H400" s="1" t="str">
        <f ca="1">IFERROR(__xludf.DUMMYFUNCTION("""COMPUTED_VALUE"""),"No")</f>
        <v>No</v>
      </c>
      <c r="I400" s="1" t="str">
        <f ca="1">IFERROR(__xludf.DUMMYFUNCTION("""COMPUTED_VALUE"""),"Will NOT work for them")</f>
        <v>Will NOT work for them</v>
      </c>
      <c r="J400" s="1">
        <f ca="1">IFERROR(__xludf.DUMMYFUNCTION("""COMPUTED_VALUE"""),8)</f>
        <v>8</v>
      </c>
      <c r="K400" s="1" t="str">
        <f ca="1">IFERROR(__xludf.DUMMYFUNCTION("""COMPUTED_VALUE"""),"Hybrid Working Environment with less than 3 days a month at office")</f>
        <v>Hybrid Working Environment with less than 3 days a month at office</v>
      </c>
      <c r="L400" s="1" t="str">
        <f ca="1">IFERROR(__xludf.DUMMYFUNCTION("""COMPUTED_VALUE"""),"Employer who appreciates learning and enables that environment")</f>
        <v>Employer who appreciates learning and enables that environment</v>
      </c>
      <c r="M40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00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400" s="1" t="str">
        <f ca="1">IFERROR(__xludf.DUMMYFUNCTION("""COMPUTED_VALUE"""),"Manager who sets goal and helps me achieve it")</f>
        <v>Manager who sets goal and helps me achieve it</v>
      </c>
      <c r="P400" s="1" t="str">
        <f ca="1">IFERROR(__xludf.DUMMYFUNCTION("""COMPUTED_VALUE"""),"Work with 2 to 3 people in my team")</f>
        <v>Work with 2 to 3 people in my team</v>
      </c>
      <c r="Q400" s="1" t="str">
        <f ca="1">IFERROR(__xludf.DUMMYFUNCTION("""COMPUTED_VALUE"""),"Yes, I Understand this is gonna happen everywhere")</f>
        <v>Yes, I Understand this is gonna happen everywhere</v>
      </c>
      <c r="R400" s="1" t="str">
        <f ca="1">IFERROR(__xludf.DUMMYFUNCTION("""COMPUTED_VALUE"""),"Will work for 7 years or more")</f>
        <v>Will work for 7 years or more</v>
      </c>
      <c r="S400" s="1"/>
    </row>
    <row r="401" spans="1:19" ht="12.5" x14ac:dyDescent="0.25">
      <c r="A401" s="2">
        <f ca="1">IFERROR(__xludf.DUMMYFUNCTION("""COMPUTED_VALUE"""),45021.0352989351)</f>
        <v>45021.035298935101</v>
      </c>
      <c r="B401" s="1" t="str">
        <f ca="1">IFERROR(__xludf.DUMMYFUNCTION("""COMPUTED_VALUE"""),"India")</f>
        <v>India</v>
      </c>
      <c r="C401" s="1">
        <f ca="1">IFERROR(__xludf.DUMMYFUNCTION("""COMPUTED_VALUE"""),110077)</f>
        <v>110077</v>
      </c>
      <c r="D401" s="1" t="str">
        <f ca="1">IFERROR(__xludf.DUMMYFUNCTION("""COMPUTED_VALUE"""),"Male")</f>
        <v>Male</v>
      </c>
      <c r="E401" s="1" t="str">
        <f ca="1">IFERROR(__xludf.DUMMYFUNCTION("""COMPUTED_VALUE"""),"People who have changed the world for better")</f>
        <v>People who have changed the world for better</v>
      </c>
      <c r="F401" s="1" t="str">
        <f ca="1">IFERROR(__xludf.DUMMYFUNCTION("""COMPUTED_VALUE"""),"No I would not be pursuing Higher Education outside of India")</f>
        <v>No I would not be pursuing Higher Education outside of India</v>
      </c>
      <c r="G401" s="1" t="str">
        <f ca="1">IFERROR(__xludf.DUMMYFUNCTION("""COMPUTED_VALUE"""),"This will be hard to do, but if it is the right company I would try")</f>
        <v>This will be hard to do, but if it is the right company I would try</v>
      </c>
      <c r="H401" s="1" t="str">
        <f ca="1">IFERROR(__xludf.DUMMYFUNCTION("""COMPUTED_VALUE"""),"No")</f>
        <v>No</v>
      </c>
      <c r="I401" s="1" t="str">
        <f ca="1">IFERROR(__xludf.DUMMYFUNCTION("""COMPUTED_VALUE"""),"Will NOT work for them")</f>
        <v>Will NOT work for them</v>
      </c>
      <c r="J401" s="1">
        <f ca="1">IFERROR(__xludf.DUMMYFUNCTION("""COMPUTED_VALUE"""),5)</f>
        <v>5</v>
      </c>
      <c r="K401" s="1" t="str">
        <f ca="1">IFERROR(__xludf.DUMMYFUNCTION("""COMPUTED_VALUE"""),"Hybrid Working Environment with more than 15 days a month at office")</f>
        <v>Hybrid Working Environment with more than 15 days a month at office</v>
      </c>
      <c r="L4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0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01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401" s="1" t="str">
        <f ca="1">IFERROR(__xludf.DUMMYFUNCTION("""COMPUTED_VALUE"""),"Manager who explains what is expected, sets a goal and helps achieve it")</f>
        <v>Manager who explains what is expected, sets a goal and helps achieve it</v>
      </c>
      <c r="P401" s="1" t="str">
        <f ca="1">IFERROR(__xludf.DUMMYFUNCTION("""COMPUTED_VALUE"""),"Work alone, Work with 5 to 6 people in my team")</f>
        <v>Work alone, Work with 5 to 6 people in my team</v>
      </c>
      <c r="Q401" s="1" t="str">
        <f ca="1">IFERROR(__xludf.DUMMYFUNCTION("""COMPUTED_VALUE"""),"I have NO other choice")</f>
        <v>I have NO other choice</v>
      </c>
      <c r="R401" s="1" t="str">
        <f ca="1">IFERROR(__xludf.DUMMYFUNCTION("""COMPUTED_VALUE"""),"This will be hard to do, but if it is the right company I would try")</f>
        <v>This will be hard to do, but if it is the right company I would try</v>
      </c>
      <c r="S401" s="1"/>
    </row>
    <row r="402" spans="1:19" ht="12.5" x14ac:dyDescent="0.25">
      <c r="A402" s="2">
        <f ca="1">IFERROR(__xludf.DUMMYFUNCTION("""COMPUTED_VALUE"""),45021.042155324)</f>
        <v>45021.042155324001</v>
      </c>
      <c r="B402" s="1" t="str">
        <f ca="1">IFERROR(__xludf.DUMMYFUNCTION("""COMPUTED_VALUE"""),"India")</f>
        <v>India</v>
      </c>
      <c r="C402" s="1">
        <f ca="1">IFERROR(__xludf.DUMMYFUNCTION("""COMPUTED_VALUE"""),442902)</f>
        <v>442902</v>
      </c>
      <c r="D402" s="1" t="str">
        <f ca="1">IFERROR(__xludf.DUMMYFUNCTION("""COMPUTED_VALUE"""),"Male")</f>
        <v>Male</v>
      </c>
      <c r="E402" s="1" t="str">
        <f ca="1">IFERROR(__xludf.DUMMYFUNCTION("""COMPUTED_VALUE"""),"Influencers who had successful careers")</f>
        <v>Influencers who had successful careers</v>
      </c>
      <c r="F402" s="1" t="str">
        <f ca="1">IFERROR(__xludf.DUMMYFUNCTION("""COMPUTED_VALUE"""),"Yes, I will earn and do that")</f>
        <v>Yes, I will earn and do that</v>
      </c>
      <c r="G402" s="1" t="str">
        <f ca="1">IFERROR(__xludf.DUMMYFUNCTION("""COMPUTED_VALUE"""),"This will be hard to do, but if it is the right company I would try")</f>
        <v>This will be hard to do, but if it is the right company I would try</v>
      </c>
      <c r="H402" s="1" t="str">
        <f ca="1">IFERROR(__xludf.DUMMYFUNCTION("""COMPUTED_VALUE"""),"No")</f>
        <v>No</v>
      </c>
      <c r="I402" s="1" t="str">
        <f ca="1">IFERROR(__xludf.DUMMYFUNCTION("""COMPUTED_VALUE"""),"Will NOT work for them")</f>
        <v>Will NOT work for them</v>
      </c>
      <c r="J402" s="1">
        <f ca="1">IFERROR(__xludf.DUMMYFUNCTION("""COMPUTED_VALUE"""),5)</f>
        <v>5</v>
      </c>
      <c r="K402" s="1" t="str">
        <f ca="1">IFERROR(__xludf.DUMMYFUNCTION("""COMPUTED_VALUE"""),"Hybrid Working Environment with more than 15 days a month at office")</f>
        <v>Hybrid Working Environment with more than 15 days a month at office</v>
      </c>
      <c r="L4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0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02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402" s="1" t="str">
        <f ca="1">IFERROR(__xludf.DUMMYFUNCTION("""COMPUTED_VALUE"""),"Manager who explains what is expected, sets a goal and helps achieve it")</f>
        <v>Manager who explains what is expected, sets a goal and helps achieve it</v>
      </c>
      <c r="P402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402" s="1" t="str">
        <f ca="1">IFERROR(__xludf.DUMMYFUNCTION("""COMPUTED_VALUE"""),"Yes, I Understand this is gonna happen everywhere")</f>
        <v>Yes, I Understand this is gonna happen everywhere</v>
      </c>
      <c r="R402" s="1" t="str">
        <f ca="1">IFERROR(__xludf.DUMMYFUNCTION("""COMPUTED_VALUE"""),"This will be hard to do, but if it is the right company I would try")</f>
        <v>This will be hard to do, but if it is the right company I would try</v>
      </c>
      <c r="S402" s="1"/>
    </row>
    <row r="403" spans="1:19" ht="12.5" x14ac:dyDescent="0.25">
      <c r="A403" s="2">
        <f ca="1">IFERROR(__xludf.DUMMYFUNCTION("""COMPUTED_VALUE"""),45021.0478929976)</f>
        <v>45021.047892997602</v>
      </c>
      <c r="B403" s="1" t="str">
        <f ca="1">IFERROR(__xludf.DUMMYFUNCTION("""COMPUTED_VALUE"""),"India")</f>
        <v>India</v>
      </c>
      <c r="C403" s="1">
        <f ca="1">IFERROR(__xludf.DUMMYFUNCTION("""COMPUTED_VALUE"""),530032)</f>
        <v>530032</v>
      </c>
      <c r="D403" s="1" t="str">
        <f ca="1">IFERROR(__xludf.DUMMYFUNCTION("""COMPUTED_VALUE"""),"Male")</f>
        <v>Male</v>
      </c>
      <c r="E403" s="1" t="str">
        <f ca="1">IFERROR(__xludf.DUMMYFUNCTION("""COMPUTED_VALUE"""),"People from my circle, but not family members")</f>
        <v>People from my circle, but not family members</v>
      </c>
      <c r="F403" s="1" t="str">
        <f ca="1">IFERROR(__xludf.DUMMYFUNCTION("""COMPUTED_VALUE"""),"No I would not be pursuing Higher Education outside of India")</f>
        <v>No I would not be pursuing Higher Education outside of India</v>
      </c>
      <c r="G403" s="1" t="str">
        <f ca="1">IFERROR(__xludf.DUMMYFUNCTION("""COMPUTED_VALUE"""),"This will be hard to do, but if it is the right company I would try")</f>
        <v>This will be hard to do, but if it is the right company I would try</v>
      </c>
      <c r="H403" s="1" t="str">
        <f ca="1">IFERROR(__xludf.DUMMYFUNCTION("""COMPUTED_VALUE"""),"No")</f>
        <v>No</v>
      </c>
      <c r="I403" s="1" t="str">
        <f ca="1">IFERROR(__xludf.DUMMYFUNCTION("""COMPUTED_VALUE"""),"Will work for them")</f>
        <v>Will work for them</v>
      </c>
      <c r="J403" s="1">
        <f ca="1">IFERROR(__xludf.DUMMYFUNCTION("""COMPUTED_VALUE"""),8)</f>
        <v>8</v>
      </c>
      <c r="K403" s="1" t="str">
        <f ca="1">IFERROR(__xludf.DUMMYFUNCTION("""COMPUTED_VALUE"""),"Fully Remote with Options to travel as and when needed")</f>
        <v>Fully Remote with Options to travel as and when needed</v>
      </c>
      <c r="L403" s="1" t="str">
        <f ca="1">IFERROR(__xludf.DUMMYFUNCTION("""COMPUTED_VALUE"""),"Employer who rewards learning and enables that environment")</f>
        <v>Employer who rewards learning and enables that environment</v>
      </c>
      <c r="M403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403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403" s="1" t="str">
        <f ca="1">IFERROR(__xludf.DUMMYFUNCTION("""COMPUTED_VALUE"""),"Manager who clearly describes what she/he needs")</f>
        <v>Manager who clearly describes what she/he needs</v>
      </c>
      <c r="P403" s="1" t="str">
        <f ca="1">IFERROR(__xludf.DUMMYFUNCTION("""COMPUTED_VALUE"""),"Work alone, Work with 2 to 3 people in my team")</f>
        <v>Work alone, Work with 2 to 3 people in my team</v>
      </c>
      <c r="Q403" s="1" t="str">
        <f ca="1">IFERROR(__xludf.DUMMYFUNCTION("""COMPUTED_VALUE"""),"I have NO other choice")</f>
        <v>I have NO other choice</v>
      </c>
      <c r="R403" s="1" t="str">
        <f ca="1">IFERROR(__xludf.DUMMYFUNCTION("""COMPUTED_VALUE"""),"This will be hard to do, but if it is the right company I would try")</f>
        <v>This will be hard to do, but if it is the right company I would try</v>
      </c>
      <c r="S403" s="1"/>
    </row>
    <row r="404" spans="1:19" ht="12.5" x14ac:dyDescent="0.25">
      <c r="A404" s="2">
        <f ca="1">IFERROR(__xludf.DUMMYFUNCTION("""COMPUTED_VALUE"""),45021.0736379282)</f>
        <v>45021.073637928203</v>
      </c>
      <c r="B404" s="1" t="str">
        <f ca="1">IFERROR(__xludf.DUMMYFUNCTION("""COMPUTED_VALUE"""),"India")</f>
        <v>India</v>
      </c>
      <c r="C404" s="1">
        <f ca="1">IFERROR(__xludf.DUMMYFUNCTION("""COMPUTED_VALUE"""),412207)</f>
        <v>412207</v>
      </c>
      <c r="D404" s="1" t="str">
        <f ca="1">IFERROR(__xludf.DUMMYFUNCTION("""COMPUTED_VALUE"""),"Male")</f>
        <v>Male</v>
      </c>
      <c r="E404" s="1" t="str">
        <f ca="1">IFERROR(__xludf.DUMMYFUNCTION("""COMPUTED_VALUE"""),"People who have changed the world for better")</f>
        <v>People who have changed the world for better</v>
      </c>
      <c r="F404" s="1" t="str">
        <f ca="1">IFERROR(__xludf.DUMMYFUNCTION("""COMPUTED_VALUE"""),"No I would not be pursuing Higher Education outside of India")</f>
        <v>No I would not be pursuing Higher Education outside of India</v>
      </c>
      <c r="G404" s="1" t="str">
        <f ca="1">IFERROR(__xludf.DUMMYFUNCTION("""COMPUTED_VALUE"""),"This will be hard to do, but if it is the right company I would try")</f>
        <v>This will be hard to do, but if it is the right company I would try</v>
      </c>
      <c r="H404" s="1" t="str">
        <f ca="1">IFERROR(__xludf.DUMMYFUNCTION("""COMPUTED_VALUE"""),"Yes")</f>
        <v>Yes</v>
      </c>
      <c r="I404" s="1" t="str">
        <f ca="1">IFERROR(__xludf.DUMMYFUNCTION("""COMPUTED_VALUE"""),"Will NOT work for them")</f>
        <v>Will NOT work for them</v>
      </c>
      <c r="J404" s="1">
        <f ca="1">IFERROR(__xludf.DUMMYFUNCTION("""COMPUTED_VALUE"""),4)</f>
        <v>4</v>
      </c>
      <c r="K404" s="1" t="str">
        <f ca="1">IFERROR(__xludf.DUMMYFUNCTION("""COMPUTED_VALUE"""),"Every Day Office Environment")</f>
        <v>Every Day Office Environment</v>
      </c>
      <c r="L404" s="1" t="str">
        <f ca="1">IFERROR(__xludf.DUMMYFUNCTION("""COMPUTED_VALUE"""),"Employer who appreciates learning and enables that environment")</f>
        <v>Employer who appreciates learning and enables that environment</v>
      </c>
      <c r="M40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404" s="1" t="str">
        <f ca="1">IFERROR(__xludf.DUMMYFUNCTION("""COMPUTED_VALUE"""),"Design and Creative strategy in any company, Build and develop a Team, An Artificial Intelligence Specialist / Talking to Robots, Manufacturing / Oil and Gas/ Construction / Hard Physical Work related")</f>
        <v>Design and Creative strategy in any company, Build and develop a Team, An Artificial Intelligence Specialist / Talking to Robots, Manufacturing / Oil and Gas/ Construction / Hard Physical Work related</v>
      </c>
      <c r="O404" s="1" t="str">
        <f ca="1">IFERROR(__xludf.DUMMYFUNCTION("""COMPUTED_VALUE"""),"Manager who explains what is expected, sets a goal and helps achieve it")</f>
        <v>Manager who explains what is expected, sets a goal and helps achieve it</v>
      </c>
      <c r="P404" s="1" t="str">
        <f ca="1">IFERROR(__xludf.DUMMYFUNCTION("""COMPUTED_VALUE"""),"Work with 5 to 6 people in my team")</f>
        <v>Work with 5 to 6 people in my team</v>
      </c>
      <c r="Q404" s="1" t="str">
        <f ca="1">IFERROR(__xludf.DUMMYFUNCTION("""COMPUTED_VALUE"""),"Yes, I Understand this is gonna happen everywhere")</f>
        <v>Yes, I Understand this is gonna happen everywhere</v>
      </c>
      <c r="R404" s="1" t="str">
        <f ca="1">IFERROR(__xludf.DUMMYFUNCTION("""COMPUTED_VALUE"""),"This will be hard to do, but if it is the right company I would try")</f>
        <v>This will be hard to do, but if it is the right company I would try</v>
      </c>
      <c r="S404" s="1"/>
    </row>
    <row r="405" spans="1:19" ht="12.5" x14ac:dyDescent="0.25">
      <c r="A405" s="2">
        <f ca="1">IFERROR(__xludf.DUMMYFUNCTION("""COMPUTED_VALUE"""),45021.3045107754)</f>
        <v>45021.304510775401</v>
      </c>
      <c r="B405" s="1" t="str">
        <f ca="1">IFERROR(__xludf.DUMMYFUNCTION("""COMPUTED_VALUE"""),"India")</f>
        <v>India</v>
      </c>
      <c r="C405" s="1">
        <f ca="1">IFERROR(__xludf.DUMMYFUNCTION("""COMPUTED_VALUE"""),110059)</f>
        <v>110059</v>
      </c>
      <c r="D405" s="1" t="str">
        <f ca="1">IFERROR(__xludf.DUMMYFUNCTION("""COMPUTED_VALUE"""),"Male")</f>
        <v>Male</v>
      </c>
      <c r="E405" s="1" t="str">
        <f ca="1">IFERROR(__xludf.DUMMYFUNCTION("""COMPUTED_VALUE"""),"My Parents")</f>
        <v>My Parents</v>
      </c>
      <c r="F405" s="1" t="str">
        <f ca="1">IFERROR(__xludf.DUMMYFUNCTION("""COMPUTED_VALUE"""),"Yes, I will earn and do that")</f>
        <v>Yes, I will earn and do that</v>
      </c>
      <c r="G405" s="1" t="str">
        <f ca="1">IFERROR(__xludf.DUMMYFUNCTION("""COMPUTED_VALUE"""),"This will be hard to do, but if it is the right company I would try")</f>
        <v>This will be hard to do, but if it is the right company I would try</v>
      </c>
      <c r="H405" s="1" t="str">
        <f ca="1">IFERROR(__xludf.DUMMYFUNCTION("""COMPUTED_VALUE"""),"No")</f>
        <v>No</v>
      </c>
      <c r="I405" s="1" t="str">
        <f ca="1">IFERROR(__xludf.DUMMYFUNCTION("""COMPUTED_VALUE"""),"Will NOT work for them")</f>
        <v>Will NOT work for them</v>
      </c>
      <c r="J405" s="1">
        <f ca="1">IFERROR(__xludf.DUMMYFUNCTION("""COMPUTED_VALUE"""),8)</f>
        <v>8</v>
      </c>
      <c r="K405" s="1" t="str">
        <f ca="1">IFERROR(__xludf.DUMMYFUNCTION("""COMPUTED_VALUE"""),"Hybrid Working Environment with more than 15 days a month at office")</f>
        <v>Hybrid Working Environment with more than 15 days a month at office</v>
      </c>
      <c r="L405" s="1" t="str">
        <f ca="1">IFERROR(__xludf.DUMMYFUNCTION("""COMPUTED_VALUE"""),"Employer who appreciates learning and enables that environment")</f>
        <v>Employer who appreciates learning and enables that environment</v>
      </c>
      <c r="M40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05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405" s="1" t="str">
        <f ca="1">IFERROR(__xludf.DUMMYFUNCTION("""COMPUTED_VALUE"""),"Manager who sets goal and helps me achieve it")</f>
        <v>Manager who sets goal and helps me achieve it</v>
      </c>
      <c r="P405" s="1" t="str">
        <f ca="1">IFERROR(__xludf.DUMMYFUNCTION("""COMPUTED_VALUE"""),"Work with 7 to 10 or more people in my team")</f>
        <v>Work with 7 to 10 or more people in my team</v>
      </c>
      <c r="Q405" s="1" t="str">
        <f ca="1">IFERROR(__xludf.DUMMYFUNCTION("""COMPUTED_VALUE"""),"Yes, I Understand this is gonna happen everywhere")</f>
        <v>Yes, I Understand this is gonna happen everywhere</v>
      </c>
      <c r="R405" s="1" t="str">
        <f ca="1">IFERROR(__xludf.DUMMYFUNCTION("""COMPUTED_VALUE"""),"No way")</f>
        <v>No way</v>
      </c>
      <c r="S405" s="1"/>
    </row>
    <row r="406" spans="1:19" ht="12.5" x14ac:dyDescent="0.25">
      <c r="A406" s="2">
        <f ca="1">IFERROR(__xludf.DUMMYFUNCTION("""COMPUTED_VALUE"""),45021.3107257523)</f>
        <v>45021.310725752301</v>
      </c>
      <c r="B406" s="1" t="str">
        <f ca="1">IFERROR(__xludf.DUMMYFUNCTION("""COMPUTED_VALUE"""),"India")</f>
        <v>India</v>
      </c>
      <c r="C406" s="1">
        <f ca="1">IFERROR(__xludf.DUMMYFUNCTION("""COMPUTED_VALUE"""),627002)</f>
        <v>627002</v>
      </c>
      <c r="D406" s="1" t="str">
        <f ca="1">IFERROR(__xludf.DUMMYFUNCTION("""COMPUTED_VALUE"""),"Male")</f>
        <v>Male</v>
      </c>
      <c r="E406" s="1" t="str">
        <f ca="1">IFERROR(__xludf.DUMMYFUNCTION("""COMPUTED_VALUE"""),"My Parents")</f>
        <v>My Parents</v>
      </c>
      <c r="F406" s="1" t="str">
        <f ca="1">IFERROR(__xludf.DUMMYFUNCTION("""COMPUTED_VALUE"""),"No, But if someone could bare the cost I will")</f>
        <v>No, But if someone could bare the cost I will</v>
      </c>
      <c r="G406" s="1" t="str">
        <f ca="1">IFERROR(__xludf.DUMMYFUNCTION("""COMPUTED_VALUE"""),"Will work for 3 years or more")</f>
        <v>Will work for 3 years or more</v>
      </c>
      <c r="H406" s="1" t="str">
        <f ca="1">IFERROR(__xludf.DUMMYFUNCTION("""COMPUTED_VALUE"""),"No")</f>
        <v>No</v>
      </c>
      <c r="I406" s="1" t="str">
        <f ca="1">IFERROR(__xludf.DUMMYFUNCTION("""COMPUTED_VALUE"""),"Will NOT work for them")</f>
        <v>Will NOT work for them</v>
      </c>
      <c r="J406" s="1">
        <f ca="1">IFERROR(__xludf.DUMMYFUNCTION("""COMPUTED_VALUE"""),6)</f>
        <v>6</v>
      </c>
      <c r="K406" s="1" t="str">
        <f ca="1">IFERROR(__xludf.DUMMYFUNCTION("""COMPUTED_VALUE"""),"Hybrid Working Environment with more than 15 days a month at office")</f>
        <v>Hybrid Working Environment with more than 15 days a month at office</v>
      </c>
      <c r="L4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0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06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406" s="1" t="str">
        <f ca="1">IFERROR(__xludf.DUMMYFUNCTION("""COMPUTED_VALUE"""),"Manager who explains what is expected, sets a goal and helps achieve it")</f>
        <v>Manager who explains what is expected, sets a goal and helps achieve it</v>
      </c>
      <c r="P406" s="1" t="str">
        <f ca="1">IFERROR(__xludf.DUMMYFUNCTION("""COMPUTED_VALUE"""),"Work with 5 to 6 people in my team")</f>
        <v>Work with 5 to 6 people in my team</v>
      </c>
      <c r="Q406" s="1" t="str">
        <f ca="1">IFERROR(__xludf.DUMMYFUNCTION("""COMPUTED_VALUE"""),"I have NO other choice")</f>
        <v>I have NO other choice</v>
      </c>
      <c r="R406" s="1" t="str">
        <f ca="1">IFERROR(__xludf.DUMMYFUNCTION("""COMPUTED_VALUE"""),"This will be hard to do, but if it is the right company I would try")</f>
        <v>This will be hard to do, but if it is the right company I would try</v>
      </c>
      <c r="S406" s="1"/>
    </row>
    <row r="407" spans="1:19" ht="12.5" x14ac:dyDescent="0.25">
      <c r="A407" s="2">
        <f ca="1">IFERROR(__xludf.DUMMYFUNCTION("""COMPUTED_VALUE"""),45021.3176421643)</f>
        <v>45021.3176421643</v>
      </c>
      <c r="B407" s="1" t="str">
        <f ca="1">IFERROR(__xludf.DUMMYFUNCTION("""COMPUTED_VALUE"""),"India")</f>
        <v>India</v>
      </c>
      <c r="C407" s="1">
        <f ca="1">IFERROR(__xludf.DUMMYFUNCTION("""COMPUTED_VALUE"""),250001)</f>
        <v>250001</v>
      </c>
      <c r="D407" s="1" t="str">
        <f ca="1">IFERROR(__xludf.DUMMYFUNCTION("""COMPUTED_VALUE"""),"Male")</f>
        <v>Male</v>
      </c>
      <c r="E407" s="1" t="str">
        <f ca="1">IFERROR(__xludf.DUMMYFUNCTION("""COMPUTED_VALUE"""),"People from my circle, but not family members")</f>
        <v>People from my circle, but not family members</v>
      </c>
      <c r="F407" s="1" t="str">
        <f ca="1">IFERROR(__xludf.DUMMYFUNCTION("""COMPUTED_VALUE"""),"Yes, I will earn and do that")</f>
        <v>Yes, I will earn and do that</v>
      </c>
      <c r="G407" s="1" t="str">
        <f ca="1">IFERROR(__xludf.DUMMYFUNCTION("""COMPUTED_VALUE"""),"This will be hard to do, but if it is the right company I would try")</f>
        <v>This will be hard to do, but if it is the right company I would try</v>
      </c>
      <c r="H407" s="1" t="str">
        <f ca="1">IFERROR(__xludf.DUMMYFUNCTION("""COMPUTED_VALUE"""),"No")</f>
        <v>No</v>
      </c>
      <c r="I407" s="1" t="str">
        <f ca="1">IFERROR(__xludf.DUMMYFUNCTION("""COMPUTED_VALUE"""),"Will NOT work for them")</f>
        <v>Will NOT work for them</v>
      </c>
      <c r="J407" s="1">
        <f ca="1">IFERROR(__xludf.DUMMYFUNCTION("""COMPUTED_VALUE"""),6)</f>
        <v>6</v>
      </c>
      <c r="K407" s="1" t="str">
        <f ca="1">IFERROR(__xludf.DUMMYFUNCTION("""COMPUTED_VALUE"""),"Fully Remote with Options to travel as and when needed")</f>
        <v>Fully Remote with Options to travel as and when needed</v>
      </c>
      <c r="L4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07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407" s="1" t="str">
        <f ca="1">IFERROR(__xludf.DUMMYFUNCTION("""COMPUTED_VALUE"""),"Manager who clearly describes what she/he needs")</f>
        <v>Manager who clearly describes what she/he needs</v>
      </c>
      <c r="P407" s="1" t="str">
        <f ca="1">IFERROR(__xludf.DUMMYFUNCTION("""COMPUTED_VALUE"""),"Work alone, Work with 2 to 3 people in my team")</f>
        <v>Work alone, Work with 2 to 3 people in my team</v>
      </c>
      <c r="Q407" s="1" t="str">
        <f ca="1">IFERROR(__xludf.DUMMYFUNCTION("""COMPUTED_VALUE"""),"Yes, I Understand this is gonna happen everywhere")</f>
        <v>Yes, I Understand this is gonna happen everywhere</v>
      </c>
      <c r="R407" s="1" t="str">
        <f ca="1">IFERROR(__xludf.DUMMYFUNCTION("""COMPUTED_VALUE"""),"This will be hard to do, but if it is the right company I would try")</f>
        <v>This will be hard to do, but if it is the right company I would try</v>
      </c>
      <c r="S407" s="1"/>
    </row>
    <row r="408" spans="1:19" ht="12.5" x14ac:dyDescent="0.25">
      <c r="A408" s="2">
        <f ca="1">IFERROR(__xludf.DUMMYFUNCTION("""COMPUTED_VALUE"""),45021.3793198611)</f>
        <v>45021.379319861102</v>
      </c>
      <c r="B408" s="1" t="str">
        <f ca="1">IFERROR(__xludf.DUMMYFUNCTION("""COMPUTED_VALUE"""),"India")</f>
        <v>India</v>
      </c>
      <c r="C408" s="1">
        <f ca="1">IFERROR(__xludf.DUMMYFUNCTION("""COMPUTED_VALUE"""),721506)</f>
        <v>721506</v>
      </c>
      <c r="D408" s="1" t="str">
        <f ca="1">IFERROR(__xludf.DUMMYFUNCTION("""COMPUTED_VALUE"""),"Female")</f>
        <v>Female</v>
      </c>
      <c r="E408" s="1" t="str">
        <f ca="1">IFERROR(__xludf.DUMMYFUNCTION("""COMPUTED_VALUE"""),"Influencers who had successful careers")</f>
        <v>Influencers who had successful careers</v>
      </c>
      <c r="F408" s="1" t="str">
        <f ca="1">IFERROR(__xludf.DUMMYFUNCTION("""COMPUTED_VALUE"""),"Yes, I will earn and do that")</f>
        <v>Yes, I will earn and do that</v>
      </c>
      <c r="G408" s="1" t="str">
        <f ca="1">IFERROR(__xludf.DUMMYFUNCTION("""COMPUTED_VALUE"""),"Will work for 3 years or more")</f>
        <v>Will work for 3 years or more</v>
      </c>
      <c r="H408" s="1" t="str">
        <f ca="1">IFERROR(__xludf.DUMMYFUNCTION("""COMPUTED_VALUE"""),"Yes")</f>
        <v>Yes</v>
      </c>
      <c r="I408" s="1" t="str">
        <f ca="1">IFERROR(__xludf.DUMMYFUNCTION("""COMPUTED_VALUE"""),"Will NOT work for them")</f>
        <v>Will NOT work for them</v>
      </c>
      <c r="J408" s="1">
        <f ca="1">IFERROR(__xludf.DUMMYFUNCTION("""COMPUTED_VALUE"""),9)</f>
        <v>9</v>
      </c>
      <c r="K408" s="1" t="str">
        <f ca="1">IFERROR(__xludf.DUMMYFUNCTION("""COMPUTED_VALUE"""),"Every Day Office Environment")</f>
        <v>Every Day Office Environment</v>
      </c>
      <c r="L4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0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0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408" s="1" t="str">
        <f ca="1">IFERROR(__xludf.DUMMYFUNCTION("""COMPUTED_VALUE"""),"Manager who explains what is expected, sets a goal and helps achieve it")</f>
        <v>Manager who explains what is expected, sets a goal and helps achieve it</v>
      </c>
      <c r="P408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408" s="1" t="str">
        <f ca="1">IFERROR(__xludf.DUMMYFUNCTION("""COMPUTED_VALUE"""),"Yes, I Understand this is gonna happen everywhere")</f>
        <v>Yes, I Understand this is gonna happen everywhere</v>
      </c>
      <c r="R408" s="1" t="str">
        <f ca="1">IFERROR(__xludf.DUMMYFUNCTION("""COMPUTED_VALUE"""),"This will be hard to do, but if it is the right company I would try")</f>
        <v>This will be hard to do, but if it is the right company I would try</v>
      </c>
      <c r="S408" s="1"/>
    </row>
    <row r="409" spans="1:19" ht="12.5" x14ac:dyDescent="0.25">
      <c r="A409" s="2">
        <f ca="1">IFERROR(__xludf.DUMMYFUNCTION("""COMPUTED_VALUE"""),45021.3872363657)</f>
        <v>45021.387236365699</v>
      </c>
      <c r="B409" s="1" t="str">
        <f ca="1">IFERROR(__xludf.DUMMYFUNCTION("""COMPUTED_VALUE"""),"India")</f>
        <v>India</v>
      </c>
      <c r="C409" s="1">
        <f ca="1">IFERROR(__xludf.DUMMYFUNCTION("""COMPUTED_VALUE"""),600091)</f>
        <v>600091</v>
      </c>
      <c r="D409" s="1" t="str">
        <f ca="1">IFERROR(__xludf.DUMMYFUNCTION("""COMPUTED_VALUE"""),"Male")</f>
        <v>Male</v>
      </c>
      <c r="E409" s="1" t="str">
        <f ca="1">IFERROR(__xludf.DUMMYFUNCTION("""COMPUTED_VALUE"""),"Influencers who had successful careers")</f>
        <v>Influencers who had successful careers</v>
      </c>
      <c r="F409" s="1" t="str">
        <f ca="1">IFERROR(__xludf.DUMMYFUNCTION("""COMPUTED_VALUE"""),"Yes, I will earn and do that")</f>
        <v>Yes, I will earn and do that</v>
      </c>
      <c r="G409" s="1" t="str">
        <f ca="1">IFERROR(__xludf.DUMMYFUNCTION("""COMPUTED_VALUE"""),"This will be hard to do, but if it is the right company I would try")</f>
        <v>This will be hard to do, but if it is the right company I would try</v>
      </c>
      <c r="H409" s="1" t="str">
        <f ca="1">IFERROR(__xludf.DUMMYFUNCTION("""COMPUTED_VALUE"""),"No")</f>
        <v>No</v>
      </c>
      <c r="I409" s="1" t="str">
        <f ca="1">IFERROR(__xludf.DUMMYFUNCTION("""COMPUTED_VALUE"""),"Will NOT work for them")</f>
        <v>Will NOT work for them</v>
      </c>
      <c r="J409" s="1">
        <f ca="1">IFERROR(__xludf.DUMMYFUNCTION("""COMPUTED_VALUE"""),3)</f>
        <v>3</v>
      </c>
      <c r="K409" s="1" t="str">
        <f ca="1">IFERROR(__xludf.DUMMYFUNCTION("""COMPUTED_VALUE"""),"Fully Remote with Options to travel as and when needed")</f>
        <v>Fully Remote with Options to travel as and when needed</v>
      </c>
      <c r="L409" s="1" t="str">
        <f ca="1">IFERROR(__xludf.DUMMYFUNCTION("""COMPUTED_VALUE"""),"Employer who appreciates learning and enables that environment")</f>
        <v>Employer who appreciates learning and enables that environment</v>
      </c>
      <c r="M40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409" s="1" t="str">
        <f ca="1">IFERROR(__xludf.DUMMYFUNCTION("""COMPUTED_VALUE"""),"Design and Creative strategy in any company, Build and develop a Team, Work in a BPO setup for some well known client, Entrepreneur or Start Up")</f>
        <v>Design and Creative strategy in any company, Build and develop a Team, Work in a BPO setup for some well known client, Entrepreneur or Start Up</v>
      </c>
      <c r="O409" s="1" t="str">
        <f ca="1">IFERROR(__xludf.DUMMYFUNCTION("""COMPUTED_VALUE"""),"Manager who explains what is expected, sets a goal and helps achieve it")</f>
        <v>Manager who explains what is expected, sets a goal and helps achieve it</v>
      </c>
      <c r="P409" s="1" t="str">
        <f ca="1">IFERROR(__xludf.DUMMYFUNCTION("""COMPUTED_VALUE"""),"Work with 7 to 10 or more people in my team")</f>
        <v>Work with 7 to 10 or more people in my team</v>
      </c>
      <c r="Q409" s="1" t="str">
        <f ca="1">IFERROR(__xludf.DUMMYFUNCTION("""COMPUTED_VALUE"""),"Yes, I Understand this is gonna happen everywhere")</f>
        <v>Yes, I Understand this is gonna happen everywhere</v>
      </c>
      <c r="R409" s="1" t="str">
        <f ca="1">IFERROR(__xludf.DUMMYFUNCTION("""COMPUTED_VALUE"""),"This will be hard to do, but if it is the right company I would try")</f>
        <v>This will be hard to do, but if it is the right company I would try</v>
      </c>
      <c r="S409" s="1"/>
    </row>
    <row r="410" spans="1:19" ht="12.5" x14ac:dyDescent="0.25">
      <c r="A410" s="2">
        <f ca="1">IFERROR(__xludf.DUMMYFUNCTION("""COMPUTED_VALUE"""),45021.3966642592)</f>
        <v>45021.396664259199</v>
      </c>
      <c r="B410" s="1" t="str">
        <f ca="1">IFERROR(__xludf.DUMMYFUNCTION("""COMPUTED_VALUE"""),"India")</f>
        <v>India</v>
      </c>
      <c r="C410" s="1">
        <f ca="1">IFERROR(__xludf.DUMMYFUNCTION("""COMPUTED_VALUE"""),600129)</f>
        <v>600129</v>
      </c>
      <c r="D410" s="1" t="str">
        <f ca="1">IFERROR(__xludf.DUMMYFUNCTION("""COMPUTED_VALUE"""),"Male")</f>
        <v>Male</v>
      </c>
      <c r="E410" s="1" t="str">
        <f ca="1">IFERROR(__xludf.DUMMYFUNCTION("""COMPUTED_VALUE"""),"My Parents")</f>
        <v>My Parents</v>
      </c>
      <c r="F410" s="1" t="str">
        <f ca="1">IFERROR(__xludf.DUMMYFUNCTION("""COMPUTED_VALUE"""),"No I would not be pursuing Higher Education outside of India")</f>
        <v>No I would not be pursuing Higher Education outside of India</v>
      </c>
      <c r="G410" s="1" t="str">
        <f ca="1">IFERROR(__xludf.DUMMYFUNCTION("""COMPUTED_VALUE"""),"Will work for 3 years or more")</f>
        <v>Will work for 3 years or more</v>
      </c>
      <c r="H410" s="1" t="str">
        <f ca="1">IFERROR(__xludf.DUMMYFUNCTION("""COMPUTED_VALUE"""),"No")</f>
        <v>No</v>
      </c>
      <c r="I410" s="1" t="str">
        <f ca="1">IFERROR(__xludf.DUMMYFUNCTION("""COMPUTED_VALUE"""),"Will work for them")</f>
        <v>Will work for them</v>
      </c>
      <c r="J410" s="1">
        <f ca="1">IFERROR(__xludf.DUMMYFUNCTION("""COMPUTED_VALUE"""),7)</f>
        <v>7</v>
      </c>
      <c r="K410" s="1" t="str">
        <f ca="1">IFERROR(__xludf.DUMMYFUNCTION("""COMPUTED_VALUE"""),"Every Day Office Environment")</f>
        <v>Every Day Office Environment</v>
      </c>
      <c r="L410" s="1" t="str">
        <f ca="1">IFERROR(__xludf.DUMMYFUNCTION("""COMPUTED_VALUE"""),"Employer who appreciates learning and enables that environment")</f>
        <v>Employer who appreciates learning and enables that environment</v>
      </c>
      <c r="M41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410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410" s="1" t="str">
        <f ca="1">IFERROR(__xludf.DUMMYFUNCTION("""COMPUTED_VALUE"""),"Manager who explains what is expected, sets a goal and helps achieve it")</f>
        <v>Manager who explains what is expected, sets a goal and helps achieve it</v>
      </c>
      <c r="P410" s="1" t="str">
        <f ca="1">IFERROR(__xludf.DUMMYFUNCTION("""COMPUTED_VALUE"""),"Work with 5 to 6 people in my team")</f>
        <v>Work with 5 to 6 people in my team</v>
      </c>
      <c r="Q410" s="1" t="str">
        <f ca="1">IFERROR(__xludf.DUMMYFUNCTION("""COMPUTED_VALUE"""),"No")</f>
        <v>No</v>
      </c>
      <c r="R410" s="1" t="str">
        <f ca="1">IFERROR(__xludf.DUMMYFUNCTION("""COMPUTED_VALUE"""),"This will be hard to do, but if it is the right company I would try")</f>
        <v>This will be hard to do, but if it is the right company I would try</v>
      </c>
      <c r="S410" s="1"/>
    </row>
    <row r="411" spans="1:19" ht="12.5" x14ac:dyDescent="0.25">
      <c r="A411" s="2">
        <f ca="1">IFERROR(__xludf.DUMMYFUNCTION("""COMPUTED_VALUE"""),45021.3985698148)</f>
        <v>45021.398569814803</v>
      </c>
      <c r="B411" s="1" t="str">
        <f ca="1">IFERROR(__xludf.DUMMYFUNCTION("""COMPUTED_VALUE"""),"India")</f>
        <v>India</v>
      </c>
      <c r="C411" s="1">
        <f ca="1">IFERROR(__xludf.DUMMYFUNCTION("""COMPUTED_VALUE"""),834001)</f>
        <v>834001</v>
      </c>
      <c r="D411" s="1" t="str">
        <f ca="1">IFERROR(__xludf.DUMMYFUNCTION("""COMPUTED_VALUE"""),"Female")</f>
        <v>Female</v>
      </c>
      <c r="E411" s="1" t="str">
        <f ca="1">IFERROR(__xludf.DUMMYFUNCTION("""COMPUTED_VALUE"""),"Social Media like LinkedIn")</f>
        <v>Social Media like LinkedIn</v>
      </c>
      <c r="F411" s="1" t="str">
        <f ca="1">IFERROR(__xludf.DUMMYFUNCTION("""COMPUTED_VALUE"""),"Yes, I will earn and do that")</f>
        <v>Yes, I will earn and do that</v>
      </c>
      <c r="G411" s="1" t="str">
        <f ca="1">IFERROR(__xludf.DUMMYFUNCTION("""COMPUTED_VALUE"""),"This will be hard to do, but if it is the right company I would try")</f>
        <v>This will be hard to do, but if it is the right company I would try</v>
      </c>
      <c r="H411" s="1" t="str">
        <f ca="1">IFERROR(__xludf.DUMMYFUNCTION("""COMPUTED_VALUE"""),"No")</f>
        <v>No</v>
      </c>
      <c r="I411" s="1" t="str">
        <f ca="1">IFERROR(__xludf.DUMMYFUNCTION("""COMPUTED_VALUE"""),"Will NOT work for them")</f>
        <v>Will NOT work for them</v>
      </c>
      <c r="J411" s="1">
        <f ca="1">IFERROR(__xludf.DUMMYFUNCTION("""COMPUTED_VALUE"""),2)</f>
        <v>2</v>
      </c>
      <c r="K411" s="1" t="str">
        <f ca="1">IFERROR(__xludf.DUMMYFUNCTION("""COMPUTED_VALUE"""),"Hybrid Working Environment with more than 15 days a month at office")</f>
        <v>Hybrid Working Environment with more than 15 days a month at office</v>
      </c>
      <c r="L4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1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411" s="1" t="str">
        <f ca="1">IFERROR(__xludf.DUMMYFUNCTION("""COMPUTED_VALUE"""),"Teaching in any of the institutes/colleges/online or offline, Build and develop a Team, Look deeply into Data and generate insights, Work as a freelancer and do my thing my way")</f>
        <v>Teaching in any of the institutes/colleges/online or offline, Build and develop a Team, Look deeply into Data and generate insights, Work as a freelancer and do my thing my way</v>
      </c>
      <c r="O411" s="1" t="str">
        <f ca="1">IFERROR(__xludf.DUMMYFUNCTION("""COMPUTED_VALUE"""),"Manager who explains what is expected, sets a goal and helps achieve it")</f>
        <v>Manager who explains what is expected, sets a goal and helps achieve it</v>
      </c>
      <c r="P411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411" s="1" t="str">
        <f ca="1">IFERROR(__xludf.DUMMYFUNCTION("""COMPUTED_VALUE"""),"Yes, I Understand this is gonna happen everywhere")</f>
        <v>Yes, I Understand this is gonna happen everywhere</v>
      </c>
      <c r="R411" s="1" t="str">
        <f ca="1">IFERROR(__xludf.DUMMYFUNCTION("""COMPUTED_VALUE"""),"No way")</f>
        <v>No way</v>
      </c>
      <c r="S411" s="1"/>
    </row>
    <row r="412" spans="1:19" ht="12.5" x14ac:dyDescent="0.25">
      <c r="A412" s="2">
        <f ca="1">IFERROR(__xludf.DUMMYFUNCTION("""COMPUTED_VALUE"""),45021.4005213194)</f>
        <v>45021.400521319403</v>
      </c>
      <c r="B412" s="1" t="str">
        <f ca="1">IFERROR(__xludf.DUMMYFUNCTION("""COMPUTED_VALUE"""),"India")</f>
        <v>India</v>
      </c>
      <c r="C412" s="1">
        <f ca="1">IFERROR(__xludf.DUMMYFUNCTION("""COMPUTED_VALUE"""),641028)</f>
        <v>641028</v>
      </c>
      <c r="D412" s="1" t="str">
        <f ca="1">IFERROR(__xludf.DUMMYFUNCTION("""COMPUTED_VALUE"""),"Male")</f>
        <v>Male</v>
      </c>
      <c r="E412" s="1" t="str">
        <f ca="1">IFERROR(__xludf.DUMMYFUNCTION("""COMPUTED_VALUE"""),"People who have changed the world for better")</f>
        <v>People who have changed the world for better</v>
      </c>
      <c r="F412" s="1" t="str">
        <f ca="1">IFERROR(__xludf.DUMMYFUNCTION("""COMPUTED_VALUE"""),"Yes, I will earn and do that")</f>
        <v>Yes, I will earn and do that</v>
      </c>
      <c r="G412" s="1" t="str">
        <f ca="1">IFERROR(__xludf.DUMMYFUNCTION("""COMPUTED_VALUE"""),"This will be hard to do, but if it is the right company I would try")</f>
        <v>This will be hard to do, but if it is the right company I would try</v>
      </c>
      <c r="H412" s="1" t="str">
        <f ca="1">IFERROR(__xludf.DUMMYFUNCTION("""COMPUTED_VALUE"""),"Yes")</f>
        <v>Yes</v>
      </c>
      <c r="I412" s="1" t="str">
        <f ca="1">IFERROR(__xludf.DUMMYFUNCTION("""COMPUTED_VALUE"""),"Will work for them")</f>
        <v>Will work for them</v>
      </c>
      <c r="J412" s="1">
        <f ca="1">IFERROR(__xludf.DUMMYFUNCTION("""COMPUTED_VALUE"""),6)</f>
        <v>6</v>
      </c>
      <c r="K412" s="1" t="str">
        <f ca="1">IFERROR(__xludf.DUMMYFUNCTION("""COMPUTED_VALUE"""),"Hybrid Working Environment with more than 15 days a month at office")</f>
        <v>Hybrid Working Environment with more than 15 days a month at office</v>
      </c>
      <c r="L4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1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412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412" s="1" t="str">
        <f ca="1">IFERROR(__xludf.DUMMYFUNCTION("""COMPUTED_VALUE"""),"Manager who explains what is expected, sets a goal and helps achieve it")</f>
        <v>Manager who explains what is expected, sets a goal and helps achieve it</v>
      </c>
      <c r="P412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412" s="1" t="str">
        <f ca="1">IFERROR(__xludf.DUMMYFUNCTION("""COMPUTED_VALUE"""),"Yes, I Understand this is gonna happen everywhere")</f>
        <v>Yes, I Understand this is gonna happen everywhere</v>
      </c>
      <c r="R412" s="1" t="str">
        <f ca="1">IFERROR(__xludf.DUMMYFUNCTION("""COMPUTED_VALUE"""),"This will be hard to do, but if it is the right company I would try")</f>
        <v>This will be hard to do, but if it is the right company I would try</v>
      </c>
      <c r="S412" s="1"/>
    </row>
    <row r="413" spans="1:19" ht="12.5" x14ac:dyDescent="0.25">
      <c r="A413" s="2">
        <f ca="1">IFERROR(__xludf.DUMMYFUNCTION("""COMPUTED_VALUE"""),45021.4065811921)</f>
        <v>45021.406581192103</v>
      </c>
      <c r="B413" s="1" t="str">
        <f ca="1">IFERROR(__xludf.DUMMYFUNCTION("""COMPUTED_VALUE"""),"India")</f>
        <v>India</v>
      </c>
      <c r="C413" s="1" t="str">
        <f ca="1">IFERROR(__xludf.DUMMYFUNCTION("""COMPUTED_VALUE"""),"+91")</f>
        <v>+91</v>
      </c>
      <c r="D413" s="1" t="str">
        <f ca="1">IFERROR(__xludf.DUMMYFUNCTION("""COMPUTED_VALUE"""),"Male")</f>
        <v>Male</v>
      </c>
      <c r="E413" s="1" t="str">
        <f ca="1">IFERROR(__xludf.DUMMYFUNCTION("""COMPUTED_VALUE"""),"Social Media like LinkedIn")</f>
        <v>Social Media like LinkedIn</v>
      </c>
      <c r="F413" s="1" t="str">
        <f ca="1">IFERROR(__xludf.DUMMYFUNCTION("""COMPUTED_VALUE"""),"Yes, I will earn and do that")</f>
        <v>Yes, I will earn and do that</v>
      </c>
      <c r="G413" s="1" t="str">
        <f ca="1">IFERROR(__xludf.DUMMYFUNCTION("""COMPUTED_VALUE"""),"Will work for 3 years or more")</f>
        <v>Will work for 3 years or more</v>
      </c>
      <c r="H413" s="1" t="str">
        <f ca="1">IFERROR(__xludf.DUMMYFUNCTION("""COMPUTED_VALUE"""),"Yes")</f>
        <v>Yes</v>
      </c>
      <c r="I413" s="1" t="str">
        <f ca="1">IFERROR(__xludf.DUMMYFUNCTION("""COMPUTED_VALUE"""),"Will NOT work for them")</f>
        <v>Will NOT work for them</v>
      </c>
      <c r="J413" s="1">
        <f ca="1">IFERROR(__xludf.DUMMYFUNCTION("""COMPUTED_VALUE"""),8)</f>
        <v>8</v>
      </c>
      <c r="K413" s="1" t="str">
        <f ca="1">IFERROR(__xludf.DUMMYFUNCTION("""COMPUTED_VALUE"""),"Hybrid Working Environment with more than 15 days a month at office")</f>
        <v>Hybrid Working Environment with more than 15 days a month at office</v>
      </c>
      <c r="L4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13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413" s="1" t="str">
        <f ca="1">IFERROR(__xludf.DUMMYFUNCTION("""COMPUTED_VALUE"""),"Business Operations in any organization, Build and develop a Team, Look deeply into Data and generate insights, Manufacturing / Oil and Gas/ Construction / Hard Physical Work related")</f>
        <v>Business Operations in any organization, Build and develop a Team, Look deeply into Data and generate insights, Manufacturing / Oil and Gas/ Construction / Hard Physical Work related</v>
      </c>
      <c r="O413" s="1" t="str">
        <f ca="1">IFERROR(__xludf.DUMMYFUNCTION("""COMPUTED_VALUE"""),"Manager who clearly describes what she/he needs")</f>
        <v>Manager who clearly describes what she/he needs</v>
      </c>
      <c r="P413" s="1" t="str">
        <f ca="1">IFERROR(__xludf.DUMMYFUNCTION("""COMPUTED_VALUE"""),"Work with more than 10 people in my team")</f>
        <v>Work with more than 10 people in my team</v>
      </c>
      <c r="Q413" s="1" t="str">
        <f ca="1">IFERROR(__xludf.DUMMYFUNCTION("""COMPUTED_VALUE"""),"No")</f>
        <v>No</v>
      </c>
      <c r="R413" s="1" t="str">
        <f ca="1">IFERROR(__xludf.DUMMYFUNCTION("""COMPUTED_VALUE"""),"No way")</f>
        <v>No way</v>
      </c>
      <c r="S413" s="1"/>
    </row>
    <row r="414" spans="1:19" ht="12.5" x14ac:dyDescent="0.25">
      <c r="A414" s="2">
        <f ca="1">IFERROR(__xludf.DUMMYFUNCTION("""COMPUTED_VALUE"""),45021.4167827777)</f>
        <v>45021.416782777698</v>
      </c>
      <c r="B414" s="1" t="str">
        <f ca="1">IFERROR(__xludf.DUMMYFUNCTION("""COMPUTED_VALUE"""),"India")</f>
        <v>India</v>
      </c>
      <c r="C414" s="1">
        <f ca="1">IFERROR(__xludf.DUMMYFUNCTION("""COMPUTED_VALUE"""),600014)</f>
        <v>600014</v>
      </c>
      <c r="D414" s="1" t="str">
        <f ca="1">IFERROR(__xludf.DUMMYFUNCTION("""COMPUTED_VALUE"""),"Male")</f>
        <v>Male</v>
      </c>
      <c r="E414" s="1" t="str">
        <f ca="1">IFERROR(__xludf.DUMMYFUNCTION("""COMPUTED_VALUE"""),"Social Media like LinkedIn")</f>
        <v>Social Media like LinkedIn</v>
      </c>
      <c r="F414" s="1" t="str">
        <f ca="1">IFERROR(__xludf.DUMMYFUNCTION("""COMPUTED_VALUE"""),"No I would not be pursuing Higher Education outside of India")</f>
        <v>No I would not be pursuing Higher Education outside of India</v>
      </c>
      <c r="G414" s="1" t="str">
        <f ca="1">IFERROR(__xludf.DUMMYFUNCTION("""COMPUTED_VALUE"""),"This will be hard to do, but if it is the right company I would try")</f>
        <v>This will be hard to do, but if it is the right company I would try</v>
      </c>
      <c r="H414" s="1" t="str">
        <f ca="1">IFERROR(__xludf.DUMMYFUNCTION("""COMPUTED_VALUE"""),"No")</f>
        <v>No</v>
      </c>
      <c r="I414" s="1" t="str">
        <f ca="1">IFERROR(__xludf.DUMMYFUNCTION("""COMPUTED_VALUE"""),"Will NOT work for them")</f>
        <v>Will NOT work for them</v>
      </c>
      <c r="J414" s="1">
        <f ca="1">IFERROR(__xludf.DUMMYFUNCTION("""COMPUTED_VALUE"""),5)</f>
        <v>5</v>
      </c>
      <c r="K414" s="1" t="str">
        <f ca="1">IFERROR(__xludf.DUMMYFUNCTION("""COMPUTED_VALUE"""),"Hybrid Working Environment with less than 3 days a month at office")</f>
        <v>Hybrid Working Environment with less than 3 days a month at office</v>
      </c>
      <c r="L414" s="1" t="str">
        <f ca="1">IFERROR(__xludf.DUMMYFUNCTION("""COMPUTED_VALUE"""),"Employer who appreciates learning and enables that environment")</f>
        <v>Employer who appreciates learning and enables that environment</v>
      </c>
      <c r="M41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414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414" s="1" t="str">
        <f ca="1">IFERROR(__xludf.DUMMYFUNCTION("""COMPUTED_VALUE"""),"Manager who explains what is expected, sets a goal and helps achieve it")</f>
        <v>Manager who explains what is expected, sets a goal and helps achieve it</v>
      </c>
      <c r="P414" s="1" t="str">
        <f ca="1">IFERROR(__xludf.DUMMYFUNCTION("""COMPUTED_VALUE"""),"Work with 2 to 3 people in my team")</f>
        <v>Work with 2 to 3 people in my team</v>
      </c>
      <c r="Q414" s="1" t="str">
        <f ca="1">IFERROR(__xludf.DUMMYFUNCTION("""COMPUTED_VALUE"""),"Yes, I Understand this is gonna happen everywhere")</f>
        <v>Yes, I Understand this is gonna happen everywhere</v>
      </c>
      <c r="R414" s="1" t="str">
        <f ca="1">IFERROR(__xludf.DUMMYFUNCTION("""COMPUTED_VALUE"""),"This will be hard to do, but if it is the right company I would try")</f>
        <v>This will be hard to do, but if it is the right company I would try</v>
      </c>
      <c r="S414" s="1"/>
    </row>
    <row r="415" spans="1:19" ht="12.5" x14ac:dyDescent="0.25">
      <c r="A415" s="2">
        <f ca="1">IFERROR(__xludf.DUMMYFUNCTION("""COMPUTED_VALUE"""),45021.4254258101)</f>
        <v>45021.425425810099</v>
      </c>
      <c r="B415" s="1" t="str">
        <f ca="1">IFERROR(__xludf.DUMMYFUNCTION("""COMPUTED_VALUE"""),"India")</f>
        <v>India</v>
      </c>
      <c r="C415" s="1">
        <f ca="1">IFERROR(__xludf.DUMMYFUNCTION("""COMPUTED_VALUE"""),671315)</f>
        <v>671315</v>
      </c>
      <c r="D415" s="1" t="str">
        <f ca="1">IFERROR(__xludf.DUMMYFUNCTION("""COMPUTED_VALUE"""),"Male")</f>
        <v>Male</v>
      </c>
      <c r="E415" s="1" t="str">
        <f ca="1">IFERROR(__xludf.DUMMYFUNCTION("""COMPUTED_VALUE"""),"Social Media like LinkedIn")</f>
        <v>Social Media like LinkedIn</v>
      </c>
      <c r="F415" s="1" t="str">
        <f ca="1">IFERROR(__xludf.DUMMYFUNCTION("""COMPUTED_VALUE"""),"No, But if someone could bare the cost I will")</f>
        <v>No, But if someone could bare the cost I will</v>
      </c>
      <c r="G415" s="1" t="str">
        <f ca="1">IFERROR(__xludf.DUMMYFUNCTION("""COMPUTED_VALUE"""),"This will be hard to do, but if it is the right company I would try")</f>
        <v>This will be hard to do, but if it is the right company I would try</v>
      </c>
      <c r="H415" s="1" t="str">
        <f ca="1">IFERROR(__xludf.DUMMYFUNCTION("""COMPUTED_VALUE"""),"Yes")</f>
        <v>Yes</v>
      </c>
      <c r="I415" s="1" t="str">
        <f ca="1">IFERROR(__xludf.DUMMYFUNCTION("""COMPUTED_VALUE"""),"Will work for them")</f>
        <v>Will work for them</v>
      </c>
      <c r="J415" s="1">
        <f ca="1">IFERROR(__xludf.DUMMYFUNCTION("""COMPUTED_VALUE"""),4)</f>
        <v>4</v>
      </c>
      <c r="K415" s="1" t="str">
        <f ca="1">IFERROR(__xludf.DUMMYFUNCTION("""COMPUTED_VALUE"""),"Hybrid Working Environment with less than 3 days a month at office")</f>
        <v>Hybrid Working Environment with less than 3 days a month at office</v>
      </c>
      <c r="L4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1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415" s="1" t="str">
        <f ca="1">IFERROR(__xludf.DUMMYFUNCTION("""COMPUTED_VALUE"""),"Look deeply into Data and generate insights, Work as a freelancer and do my thing my way, Become a content Creator in some platform, Entrepreneur or Start Up")</f>
        <v>Look deeply into Data and generate insights, Work as a freelancer and do my thing my way, Become a content Creator in some platform, Entrepreneur or Start Up</v>
      </c>
      <c r="O415" s="1" t="str">
        <f ca="1">IFERROR(__xludf.DUMMYFUNCTION("""COMPUTED_VALUE"""),"Manager who explains what is expected, sets a goal and helps achieve it")</f>
        <v>Manager who explains what is expected, sets a goal and helps achieve it</v>
      </c>
      <c r="P415" s="1" t="str">
        <f ca="1">IFERROR(__xludf.DUMMYFUNCTION("""COMPUTED_VALUE"""),"Work with 2 to 3 people in my team, Work with 5 to 6 people in my team")</f>
        <v>Work with 2 to 3 people in my team, Work with 5 to 6 people in my team</v>
      </c>
      <c r="Q415" s="1" t="str">
        <f ca="1">IFERROR(__xludf.DUMMYFUNCTION("""COMPUTED_VALUE"""),"Yes, I Understand this is gonna happen everywhere")</f>
        <v>Yes, I Understand this is gonna happen everywhere</v>
      </c>
      <c r="R415" s="1" t="str">
        <f ca="1">IFERROR(__xludf.DUMMYFUNCTION("""COMPUTED_VALUE"""),"No way")</f>
        <v>No way</v>
      </c>
      <c r="S415" s="1"/>
    </row>
    <row r="416" spans="1:19" ht="12.5" x14ac:dyDescent="0.25">
      <c r="A416" s="2">
        <f ca="1">IFERROR(__xludf.DUMMYFUNCTION("""COMPUTED_VALUE"""),45021.4369009722)</f>
        <v>45021.4369009722</v>
      </c>
      <c r="B416" s="1" t="str">
        <f ca="1">IFERROR(__xludf.DUMMYFUNCTION("""COMPUTED_VALUE"""),"India")</f>
        <v>India</v>
      </c>
      <c r="C416" s="1">
        <f ca="1">IFERROR(__xludf.DUMMYFUNCTION("""COMPUTED_VALUE"""),500079)</f>
        <v>500079</v>
      </c>
      <c r="D416" s="1" t="str">
        <f ca="1">IFERROR(__xludf.DUMMYFUNCTION("""COMPUTED_VALUE"""),"Male")</f>
        <v>Male</v>
      </c>
      <c r="E416" s="1" t="str">
        <f ca="1">IFERROR(__xludf.DUMMYFUNCTION("""COMPUTED_VALUE"""),"Influencers who had successful careers")</f>
        <v>Influencers who had successful careers</v>
      </c>
      <c r="F416" s="1" t="str">
        <f ca="1">IFERROR(__xludf.DUMMYFUNCTION("""COMPUTED_VALUE"""),"Yes, I will earn and do that")</f>
        <v>Yes, I will earn and do that</v>
      </c>
      <c r="G416" s="1" t="str">
        <f ca="1">IFERROR(__xludf.DUMMYFUNCTION("""COMPUTED_VALUE"""),"This will be hard to do, but if it is the right company I would try")</f>
        <v>This will be hard to do, but if it is the right company I would try</v>
      </c>
      <c r="H416" s="1" t="str">
        <f ca="1">IFERROR(__xludf.DUMMYFUNCTION("""COMPUTED_VALUE"""),"No")</f>
        <v>No</v>
      </c>
      <c r="I416" s="1" t="str">
        <f ca="1">IFERROR(__xludf.DUMMYFUNCTION("""COMPUTED_VALUE"""),"Will NOT work for them")</f>
        <v>Will NOT work for them</v>
      </c>
      <c r="J416" s="1">
        <f ca="1">IFERROR(__xludf.DUMMYFUNCTION("""COMPUTED_VALUE"""),4)</f>
        <v>4</v>
      </c>
      <c r="K416" s="1" t="str">
        <f ca="1">IFERROR(__xludf.DUMMYFUNCTION("""COMPUTED_VALUE"""),"Fully Remote with Options to travel as and when needed")</f>
        <v>Fully Remote with Options to travel as and when needed</v>
      </c>
      <c r="L416" s="1" t="str">
        <f ca="1">IFERROR(__xludf.DUMMYFUNCTION("""COMPUTED_VALUE"""),"Employer who appreciates learning and enables that environment")</f>
        <v>Employer who appreciates learning and enables that environment</v>
      </c>
      <c r="M41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16" s="1" t="str">
        <f ca="1">IFERROR(__xludf.DUMMYFUNCTION("""COMPUTED_VALUE"""),"Manage and drive End-to-End Projects or Products, Design and Develop amazing software, Look deeply into Data and generate insights, Entrepreneur or Start Up")</f>
        <v>Manage and drive End-to-End Projects or Products, Design and Develop amazing software, Look deeply into Data and generate insights, Entrepreneur or Start Up</v>
      </c>
      <c r="O416" s="1" t="str">
        <f ca="1">IFERROR(__xludf.DUMMYFUNCTION("""COMPUTED_VALUE"""),"Manager who explains what is expected, sets a goal and helps achieve it")</f>
        <v>Manager who explains what is expected, sets a goal and helps achieve it</v>
      </c>
      <c r="P416" s="1" t="str">
        <f ca="1">IFERROR(__xludf.DUMMYFUNCTION("""COMPUTED_VALUE"""),"Work with 5 to 6 people in my team")</f>
        <v>Work with 5 to 6 people in my team</v>
      </c>
      <c r="Q416" s="1" t="str">
        <f ca="1">IFERROR(__xludf.DUMMYFUNCTION("""COMPUTED_VALUE"""),"Yes, I Understand this is gonna happen everywhere")</f>
        <v>Yes, I Understand this is gonna happen everywhere</v>
      </c>
      <c r="R416" s="1" t="str">
        <f ca="1">IFERROR(__xludf.DUMMYFUNCTION("""COMPUTED_VALUE"""),"No way")</f>
        <v>No way</v>
      </c>
      <c r="S416" s="1"/>
    </row>
    <row r="417" spans="1:19" ht="12.5" x14ac:dyDescent="0.25">
      <c r="A417" s="2">
        <f ca="1">IFERROR(__xludf.DUMMYFUNCTION("""COMPUTED_VALUE"""),45021.4369750115)</f>
        <v>45021.4369750115</v>
      </c>
      <c r="B417" s="1" t="str">
        <f ca="1">IFERROR(__xludf.DUMMYFUNCTION("""COMPUTED_VALUE"""),"Others")</f>
        <v>Others</v>
      </c>
      <c r="C417" s="1">
        <f ca="1">IFERROR(__xludf.DUMMYFUNCTION("""COMPUTED_VALUE"""),2151)</f>
        <v>2151</v>
      </c>
      <c r="D417" s="1" t="str">
        <f ca="1">IFERROR(__xludf.DUMMYFUNCTION("""COMPUTED_VALUE"""),"Male")</f>
        <v>Male</v>
      </c>
      <c r="E417" s="1" t="str">
        <f ca="1">IFERROR(__xludf.DUMMYFUNCTION("""COMPUTED_VALUE"""),"People from my circle, but not family members")</f>
        <v>People from my circle, but not family members</v>
      </c>
      <c r="F417" s="1" t="str">
        <f ca="1">IFERROR(__xludf.DUMMYFUNCTION("""COMPUTED_VALUE"""),"Yes, I will earn and do that")</f>
        <v>Yes, I will earn and do that</v>
      </c>
      <c r="G417" s="1" t="str">
        <f ca="1">IFERROR(__xludf.DUMMYFUNCTION("""COMPUTED_VALUE"""),"Will work for 3 years or more")</f>
        <v>Will work for 3 years or more</v>
      </c>
      <c r="H417" s="1" t="str">
        <f ca="1">IFERROR(__xludf.DUMMYFUNCTION("""COMPUTED_VALUE"""),"Yes")</f>
        <v>Yes</v>
      </c>
      <c r="I417" s="1" t="str">
        <f ca="1">IFERROR(__xludf.DUMMYFUNCTION("""COMPUTED_VALUE"""),"Will work for them")</f>
        <v>Will work for them</v>
      </c>
      <c r="J417" s="1">
        <f ca="1">IFERROR(__xludf.DUMMYFUNCTION("""COMPUTED_VALUE"""),10)</f>
        <v>10</v>
      </c>
      <c r="K417" s="1" t="str">
        <f ca="1">IFERROR(__xludf.DUMMYFUNCTION("""COMPUTED_VALUE"""),"Every Day Office Environment")</f>
        <v>Every Day Office Environment</v>
      </c>
      <c r="L417" s="1" t="str">
        <f ca="1">IFERROR(__xludf.DUMMYFUNCTION("""COMPUTED_VALUE"""),"Employer who appreciates learning and enables that environment")</f>
        <v>Employer who appreciates learning and enables that environment</v>
      </c>
      <c r="M41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417" s="1" t="str">
        <f ca="1">IFERROR(__xludf.DUMMYFUNCTION("""COMPUTED_VALUE"""),"Design and Creative strategy in any company, Business Operations in any organization, Build and develop a Team, Manufacturing / Oil and Gas/ Construction / Hard Physical Work related")</f>
        <v>Design and Creative strategy in any company, Business Operations in any organization, Build and develop a Team, Manufacturing / Oil and Gas/ Construction / Hard Physical Work related</v>
      </c>
      <c r="O417" s="1" t="str">
        <f ca="1">IFERROR(__xludf.DUMMYFUNCTION("""COMPUTED_VALUE"""),"Manager who explains what is expected, sets a goal and helps achieve it")</f>
        <v>Manager who explains what is expected, sets a goal and helps achieve it</v>
      </c>
      <c r="P417" s="1" t="str">
        <f ca="1">IFERROR(__xludf.DUMMYFUNCTION("""COMPUTED_VALUE"""),"Work with more than 10 people in my team")</f>
        <v>Work with more than 10 people in my team</v>
      </c>
      <c r="Q417" s="1" t="str">
        <f ca="1">IFERROR(__xludf.DUMMYFUNCTION("""COMPUTED_VALUE"""),"I have NO other choice")</f>
        <v>I have NO other choice</v>
      </c>
      <c r="R417" s="1" t="str">
        <f ca="1">IFERROR(__xludf.DUMMYFUNCTION("""COMPUTED_VALUE"""),"Will work for 7 years or more")</f>
        <v>Will work for 7 years or more</v>
      </c>
      <c r="S417" s="1"/>
    </row>
    <row r="418" spans="1:19" ht="12.5" x14ac:dyDescent="0.25">
      <c r="A418" s="2">
        <f ca="1">IFERROR(__xludf.DUMMYFUNCTION("""COMPUTED_VALUE"""),45021.4381428472)</f>
        <v>45021.438142847197</v>
      </c>
      <c r="B418" s="1" t="str">
        <f ca="1">IFERROR(__xludf.DUMMYFUNCTION("""COMPUTED_VALUE"""),"India")</f>
        <v>India</v>
      </c>
      <c r="C418" s="1">
        <f ca="1">IFERROR(__xludf.DUMMYFUNCTION("""COMPUTED_VALUE"""),670014)</f>
        <v>670014</v>
      </c>
      <c r="D418" s="1" t="str">
        <f ca="1">IFERROR(__xludf.DUMMYFUNCTION("""COMPUTED_VALUE"""),"Male")</f>
        <v>Male</v>
      </c>
      <c r="E418" s="1" t="str">
        <f ca="1">IFERROR(__xludf.DUMMYFUNCTION("""COMPUTED_VALUE"""),"People from my circle, but not family members")</f>
        <v>People from my circle, but not family members</v>
      </c>
      <c r="F418" s="1" t="str">
        <f ca="1">IFERROR(__xludf.DUMMYFUNCTION("""COMPUTED_VALUE"""),"Yes, I will earn and do that")</f>
        <v>Yes, I will earn and do that</v>
      </c>
      <c r="G418" s="1" t="str">
        <f ca="1">IFERROR(__xludf.DUMMYFUNCTION("""COMPUTED_VALUE"""),"Will work for 3 years or more")</f>
        <v>Will work for 3 years or more</v>
      </c>
      <c r="H418" s="1" t="str">
        <f ca="1">IFERROR(__xludf.DUMMYFUNCTION("""COMPUTED_VALUE"""),"Yes")</f>
        <v>Yes</v>
      </c>
      <c r="I418" s="1" t="str">
        <f ca="1">IFERROR(__xludf.DUMMYFUNCTION("""COMPUTED_VALUE"""),"Will work for them")</f>
        <v>Will work for them</v>
      </c>
      <c r="J418" s="1">
        <f ca="1">IFERROR(__xludf.DUMMYFUNCTION("""COMPUTED_VALUE"""),6)</f>
        <v>6</v>
      </c>
      <c r="K418" s="1" t="str">
        <f ca="1">IFERROR(__xludf.DUMMYFUNCTION("""COMPUTED_VALUE"""),"Hybrid Working Environment with more than 15 days a month at office")</f>
        <v>Hybrid Working Environment with more than 15 days a month at office</v>
      </c>
      <c r="L4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1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18" s="1" t="str">
        <f ca="1">IFERROR(__xludf.DUMMYFUNCTION("""COMPUTED_VALUE"""),"Design and Creative strategy in any company, Manage and drive End-to-End Projects or Products, Design and Develop amazing software, Work as a freelancer and do my thing my way")</f>
        <v>Design and Creative strategy in any company, Manage and drive End-to-End Projects or Products, Design and Develop amazing software, Work as a freelancer and do my thing my way</v>
      </c>
      <c r="O418" s="1" t="str">
        <f ca="1">IFERROR(__xludf.DUMMYFUNCTION("""COMPUTED_VALUE"""),"Manager who explains what is expected, sets a goal and helps achieve it")</f>
        <v>Manager who explains what is expected, sets a goal and helps achieve it</v>
      </c>
      <c r="P418" s="1" t="str">
        <f ca="1">IFERROR(__xludf.DUMMYFUNCTION("""COMPUTED_VALUE"""),"Work with 5 to 6 people in my team")</f>
        <v>Work with 5 to 6 people in my team</v>
      </c>
      <c r="Q418" s="1" t="str">
        <f ca="1">IFERROR(__xludf.DUMMYFUNCTION("""COMPUTED_VALUE"""),"Yes, I Understand this is gonna happen everywhere")</f>
        <v>Yes, I Understand this is gonna happen everywhere</v>
      </c>
      <c r="R418" s="1" t="str">
        <f ca="1">IFERROR(__xludf.DUMMYFUNCTION("""COMPUTED_VALUE"""),"This will be hard to do, but if it is the right company I would try")</f>
        <v>This will be hard to do, but if it is the right company I would try</v>
      </c>
      <c r="S418" s="1"/>
    </row>
    <row r="419" spans="1:19" ht="12.5" x14ac:dyDescent="0.25">
      <c r="A419" s="2">
        <f ca="1">IFERROR(__xludf.DUMMYFUNCTION("""COMPUTED_VALUE"""),45021.4398118402)</f>
        <v>45021.439811840202</v>
      </c>
      <c r="B419" s="1" t="str">
        <f ca="1">IFERROR(__xludf.DUMMYFUNCTION("""COMPUTED_VALUE"""),"India")</f>
        <v>India</v>
      </c>
      <c r="C419" s="1">
        <f ca="1">IFERROR(__xludf.DUMMYFUNCTION("""COMPUTED_VALUE"""),390009)</f>
        <v>390009</v>
      </c>
      <c r="D419" s="1" t="str">
        <f ca="1">IFERROR(__xludf.DUMMYFUNCTION("""COMPUTED_VALUE"""),"Male")</f>
        <v>Male</v>
      </c>
      <c r="E419" s="1" t="str">
        <f ca="1">IFERROR(__xludf.DUMMYFUNCTION("""COMPUTED_VALUE"""),"Influencers who had successful careers")</f>
        <v>Influencers who had successful careers</v>
      </c>
      <c r="F419" s="1" t="str">
        <f ca="1">IFERROR(__xludf.DUMMYFUNCTION("""COMPUTED_VALUE"""),"Yes, I will earn and do that")</f>
        <v>Yes, I will earn and do that</v>
      </c>
      <c r="G419" s="1" t="str">
        <f ca="1">IFERROR(__xludf.DUMMYFUNCTION("""COMPUTED_VALUE"""),"This will be hard to do, but if it is the right company I would try")</f>
        <v>This will be hard to do, but if it is the right company I would try</v>
      </c>
      <c r="H419" s="1" t="str">
        <f ca="1">IFERROR(__xludf.DUMMYFUNCTION("""COMPUTED_VALUE"""),"No")</f>
        <v>No</v>
      </c>
      <c r="I419" s="1" t="str">
        <f ca="1">IFERROR(__xludf.DUMMYFUNCTION("""COMPUTED_VALUE"""),"Will NOT work for them")</f>
        <v>Will NOT work for them</v>
      </c>
      <c r="J419" s="1">
        <f ca="1">IFERROR(__xludf.DUMMYFUNCTION("""COMPUTED_VALUE"""),1)</f>
        <v>1</v>
      </c>
      <c r="K419" s="1" t="str">
        <f ca="1">IFERROR(__xludf.DUMMYFUNCTION("""COMPUTED_VALUE"""),"Every Day Office Environment")</f>
        <v>Every Day Office Environment</v>
      </c>
      <c r="L4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1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419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419" s="1" t="str">
        <f ca="1">IFERROR(__xludf.DUMMYFUNCTION("""COMPUTED_VALUE"""),"Manager who explains what is expected, sets a goal and helps achieve it")</f>
        <v>Manager who explains what is expected, sets a goal and helps achieve it</v>
      </c>
      <c r="P419" s="1" t="str">
        <f ca="1">IFERROR(__xludf.DUMMYFUNCTION("""COMPUTED_VALUE"""),"Work with more than 10 people in my team")</f>
        <v>Work with more than 10 people in my team</v>
      </c>
      <c r="Q419" s="1" t="str">
        <f ca="1">IFERROR(__xludf.DUMMYFUNCTION("""COMPUTED_VALUE"""),"Yes, I Understand this is gonna happen everywhere")</f>
        <v>Yes, I Understand this is gonna happen everywhere</v>
      </c>
      <c r="R419" s="1" t="str">
        <f ca="1">IFERROR(__xludf.DUMMYFUNCTION("""COMPUTED_VALUE"""),"No way")</f>
        <v>No way</v>
      </c>
      <c r="S419" s="1"/>
    </row>
    <row r="420" spans="1:19" ht="12.5" x14ac:dyDescent="0.25">
      <c r="A420" s="2">
        <f ca="1">IFERROR(__xludf.DUMMYFUNCTION("""COMPUTED_VALUE"""),45021.4426400578)</f>
        <v>45021.442640057801</v>
      </c>
      <c r="B420" s="1" t="str">
        <f ca="1">IFERROR(__xludf.DUMMYFUNCTION("""COMPUTED_VALUE"""),"India")</f>
        <v>India</v>
      </c>
      <c r="C420" s="1">
        <f ca="1">IFERROR(__xludf.DUMMYFUNCTION("""COMPUTED_VALUE"""),500079)</f>
        <v>500079</v>
      </c>
      <c r="D420" s="1" t="str">
        <f ca="1">IFERROR(__xludf.DUMMYFUNCTION("""COMPUTED_VALUE"""),"Male")</f>
        <v>Male</v>
      </c>
      <c r="E420" s="1" t="str">
        <f ca="1">IFERROR(__xludf.DUMMYFUNCTION("""COMPUTED_VALUE"""),"Influencers who had successful careers")</f>
        <v>Influencers who had successful careers</v>
      </c>
      <c r="F420" s="1" t="str">
        <f ca="1">IFERROR(__xludf.DUMMYFUNCTION("""COMPUTED_VALUE"""),"Yes, I will earn and do that")</f>
        <v>Yes, I will earn and do that</v>
      </c>
      <c r="G420" s="1" t="str">
        <f ca="1">IFERROR(__xludf.DUMMYFUNCTION("""COMPUTED_VALUE"""),"This will be hard to do, but if it is the right company I would try")</f>
        <v>This will be hard to do, but if it is the right company I would try</v>
      </c>
      <c r="H420" s="1" t="str">
        <f ca="1">IFERROR(__xludf.DUMMYFUNCTION("""COMPUTED_VALUE"""),"No")</f>
        <v>No</v>
      </c>
      <c r="I420" s="1" t="str">
        <f ca="1">IFERROR(__xludf.DUMMYFUNCTION("""COMPUTED_VALUE"""),"Will NOT work for them")</f>
        <v>Will NOT work for them</v>
      </c>
      <c r="J420" s="1">
        <f ca="1">IFERROR(__xludf.DUMMYFUNCTION("""COMPUTED_VALUE"""),2)</f>
        <v>2</v>
      </c>
      <c r="K420" s="1" t="str">
        <f ca="1">IFERROR(__xludf.DUMMYFUNCTION("""COMPUTED_VALUE"""),"Hybrid Working Environment with more than 15 days a month at office")</f>
        <v>Hybrid Working Environment with more than 15 days a month at office</v>
      </c>
      <c r="L4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2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420" s="1" t="str">
        <f ca="1">IFERROR(__xludf.DUMMYFUNCTION("""COMPUTED_VALUE"""),"Build and develop a Team, Design and Develop amazing software, Entrepreneur or Start Up, An Artificial Intelligence Specialist / Talking to Robots")</f>
        <v>Build and develop a Team, Design and Develop amazing software, Entrepreneur or Start Up, An Artificial Intelligence Specialist / Talking to Robots</v>
      </c>
      <c r="O420" s="1" t="str">
        <f ca="1">IFERROR(__xludf.DUMMYFUNCTION("""COMPUTED_VALUE"""),"Manager who explains what is expected, sets a goal and helps achieve it")</f>
        <v>Manager who explains what is expected, sets a goal and helps achieve it</v>
      </c>
      <c r="P420" s="1" t="str">
        <f ca="1">IFERROR(__xludf.DUMMYFUNCTION("""COMPUTED_VALUE"""),"Work with 5 to 6 people in my team")</f>
        <v>Work with 5 to 6 people in my team</v>
      </c>
      <c r="Q420" s="1" t="str">
        <f ca="1">IFERROR(__xludf.DUMMYFUNCTION("""COMPUTED_VALUE"""),"No")</f>
        <v>No</v>
      </c>
      <c r="R420" s="1" t="str">
        <f ca="1">IFERROR(__xludf.DUMMYFUNCTION("""COMPUTED_VALUE"""),"This will be hard to do, but if it is the right company I would try")</f>
        <v>This will be hard to do, but if it is the right company I would try</v>
      </c>
      <c r="S420" s="1"/>
    </row>
    <row r="421" spans="1:19" ht="12.5" x14ac:dyDescent="0.25">
      <c r="A421" s="2">
        <f ca="1">IFERROR(__xludf.DUMMYFUNCTION("""COMPUTED_VALUE"""),45021.44284375)</f>
        <v>45021.442843750003</v>
      </c>
      <c r="B421" s="1" t="str">
        <f ca="1">IFERROR(__xludf.DUMMYFUNCTION("""COMPUTED_VALUE"""),"India")</f>
        <v>India</v>
      </c>
      <c r="C421" s="1">
        <f ca="1">IFERROR(__xludf.DUMMYFUNCTION("""COMPUTED_VALUE"""),560066)</f>
        <v>560066</v>
      </c>
      <c r="D421" s="1" t="str">
        <f ca="1">IFERROR(__xludf.DUMMYFUNCTION("""COMPUTED_VALUE"""),"Male")</f>
        <v>Male</v>
      </c>
      <c r="E421" s="1" t="str">
        <f ca="1">IFERROR(__xludf.DUMMYFUNCTION("""COMPUTED_VALUE"""),"People who have changed the world for better")</f>
        <v>People who have changed the world for better</v>
      </c>
      <c r="F421" s="1" t="str">
        <f ca="1">IFERROR(__xludf.DUMMYFUNCTION("""COMPUTED_VALUE"""),"Yes, I will earn and do that")</f>
        <v>Yes, I will earn and do that</v>
      </c>
      <c r="G421" s="1" t="str">
        <f ca="1">IFERROR(__xludf.DUMMYFUNCTION("""COMPUTED_VALUE"""),"Will work for 3 years or more")</f>
        <v>Will work for 3 years or more</v>
      </c>
      <c r="H421" s="1" t="str">
        <f ca="1">IFERROR(__xludf.DUMMYFUNCTION("""COMPUTED_VALUE"""),"Yes")</f>
        <v>Yes</v>
      </c>
      <c r="I421" s="1" t="str">
        <f ca="1">IFERROR(__xludf.DUMMYFUNCTION("""COMPUTED_VALUE"""),"Will NOT work for them")</f>
        <v>Will NOT work for them</v>
      </c>
      <c r="J421" s="1">
        <f ca="1">IFERROR(__xludf.DUMMYFUNCTION("""COMPUTED_VALUE"""),7)</f>
        <v>7</v>
      </c>
      <c r="K421" s="1" t="str">
        <f ca="1">IFERROR(__xludf.DUMMYFUNCTION("""COMPUTED_VALUE"""),"Hybrid Working Environment with more than 15 days a month at office")</f>
        <v>Hybrid Working Environment with more than 15 days a month at office</v>
      </c>
      <c r="L4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2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421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421" s="1" t="str">
        <f ca="1">IFERROR(__xludf.DUMMYFUNCTION("""COMPUTED_VALUE"""),"Manager who explains what is expected, sets a goal and helps achieve it")</f>
        <v>Manager who explains what is expected, sets a goal and helps achieve it</v>
      </c>
      <c r="P421" s="1" t="str">
        <f ca="1">IFERROR(__xludf.DUMMYFUNCTION("""COMPUTED_VALUE"""),"Work alone, Work with 5 to 6 people in my team")</f>
        <v>Work alone, Work with 5 to 6 people in my team</v>
      </c>
      <c r="Q421" s="1" t="str">
        <f ca="1">IFERROR(__xludf.DUMMYFUNCTION("""COMPUTED_VALUE"""),"Yes, I Understand this is gonna happen everywhere")</f>
        <v>Yes, I Understand this is gonna happen everywhere</v>
      </c>
      <c r="R421" s="1" t="str">
        <f ca="1">IFERROR(__xludf.DUMMYFUNCTION("""COMPUTED_VALUE"""),"This will be hard to do, but if it is the right company I would try")</f>
        <v>This will be hard to do, but if it is the right company I would try</v>
      </c>
      <c r="S421" s="1"/>
    </row>
    <row r="422" spans="1:19" ht="12.5" x14ac:dyDescent="0.25">
      <c r="A422" s="2">
        <f ca="1">IFERROR(__xludf.DUMMYFUNCTION("""COMPUTED_VALUE"""),45021.4430277199)</f>
        <v>45021.443027719899</v>
      </c>
      <c r="B422" s="1" t="str">
        <f ca="1">IFERROR(__xludf.DUMMYFUNCTION("""COMPUTED_VALUE"""),"India")</f>
        <v>India</v>
      </c>
      <c r="C422" s="1">
        <f ca="1">IFERROR(__xludf.DUMMYFUNCTION("""COMPUTED_VALUE"""),421301)</f>
        <v>421301</v>
      </c>
      <c r="D422" s="1" t="str">
        <f ca="1">IFERROR(__xludf.DUMMYFUNCTION("""COMPUTED_VALUE"""),"Male")</f>
        <v>Male</v>
      </c>
      <c r="E422" s="1" t="str">
        <f ca="1">IFERROR(__xludf.DUMMYFUNCTION("""COMPUTED_VALUE"""),"People who have changed the world for better")</f>
        <v>People who have changed the world for better</v>
      </c>
      <c r="F422" s="1" t="str">
        <f ca="1">IFERROR(__xludf.DUMMYFUNCTION("""COMPUTED_VALUE"""),"No I would not be pursuing Higher Education outside of India")</f>
        <v>No I would not be pursuing Higher Education outside of India</v>
      </c>
      <c r="G422" s="1" t="str">
        <f ca="1">IFERROR(__xludf.DUMMYFUNCTION("""COMPUTED_VALUE"""),"Will work for 3 years or more")</f>
        <v>Will work for 3 years or more</v>
      </c>
      <c r="H422" s="1" t="str">
        <f ca="1">IFERROR(__xludf.DUMMYFUNCTION("""COMPUTED_VALUE"""),"Yes")</f>
        <v>Yes</v>
      </c>
      <c r="I422" s="1" t="str">
        <f ca="1">IFERROR(__xludf.DUMMYFUNCTION("""COMPUTED_VALUE"""),"Will NOT work for them")</f>
        <v>Will NOT work for them</v>
      </c>
      <c r="J422" s="1">
        <f ca="1">IFERROR(__xludf.DUMMYFUNCTION("""COMPUTED_VALUE"""),5)</f>
        <v>5</v>
      </c>
      <c r="K422" s="1" t="str">
        <f ca="1">IFERROR(__xludf.DUMMYFUNCTION("""COMPUTED_VALUE"""),"Fully Remote with Options to travel as and when needed")</f>
        <v>Fully Remote with Options to travel as and when needed</v>
      </c>
      <c r="L4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2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22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422" s="1" t="str">
        <f ca="1">IFERROR(__xludf.DUMMYFUNCTION("""COMPUTED_VALUE"""),"Manager who clearly describes what she/he needs")</f>
        <v>Manager who clearly describes what she/he needs</v>
      </c>
      <c r="P422" s="1" t="str">
        <f ca="1">IFERROR(__xludf.DUMMYFUNCTION("""COMPUTED_VALUE"""),"Work with 7 to 10 or more people in my team")</f>
        <v>Work with 7 to 10 or more people in my team</v>
      </c>
      <c r="Q422" s="1" t="str">
        <f ca="1">IFERROR(__xludf.DUMMYFUNCTION("""COMPUTED_VALUE"""),"Yes, I Understand this is gonna happen everywhere")</f>
        <v>Yes, I Understand this is gonna happen everywhere</v>
      </c>
      <c r="R422" s="1" t="str">
        <f ca="1">IFERROR(__xludf.DUMMYFUNCTION("""COMPUTED_VALUE"""),"This will be hard to do, but if it is the right company I would try")</f>
        <v>This will be hard to do, but if it is the right company I would try</v>
      </c>
      <c r="S422" s="1"/>
    </row>
    <row r="423" spans="1:19" ht="12.5" x14ac:dyDescent="0.25">
      <c r="A423" s="2">
        <f ca="1">IFERROR(__xludf.DUMMYFUNCTION("""COMPUTED_VALUE"""),45021.4441805555)</f>
        <v>45021.444180555503</v>
      </c>
      <c r="B423" s="1" t="str">
        <f ca="1">IFERROR(__xludf.DUMMYFUNCTION("""COMPUTED_VALUE"""),"Others")</f>
        <v>Others</v>
      </c>
      <c r="C423" s="1" t="str">
        <f ca="1">IFERROR(__xludf.DUMMYFUNCTION("""COMPUTED_VALUE"""),"02-414")</f>
        <v>02-414</v>
      </c>
      <c r="D423" s="1" t="str">
        <f ca="1">IFERROR(__xludf.DUMMYFUNCTION("""COMPUTED_VALUE"""),"Male")</f>
        <v>Male</v>
      </c>
      <c r="E423" s="1" t="str">
        <f ca="1">IFERROR(__xludf.DUMMYFUNCTION("""COMPUTED_VALUE"""),"People from my circle, but not family members")</f>
        <v>People from my circle, but not family members</v>
      </c>
      <c r="F423" s="1" t="str">
        <f ca="1">IFERROR(__xludf.DUMMYFUNCTION("""COMPUTED_VALUE"""),"Yes, I will earn and do that")</f>
        <v>Yes, I will earn and do that</v>
      </c>
      <c r="G423" s="1" t="str">
        <f ca="1">IFERROR(__xludf.DUMMYFUNCTION("""COMPUTED_VALUE"""),"This will be hard to do, but if it is the right company I would try")</f>
        <v>This will be hard to do, but if it is the right company I would try</v>
      </c>
      <c r="H423" s="1" t="str">
        <f ca="1">IFERROR(__xludf.DUMMYFUNCTION("""COMPUTED_VALUE"""),"Yes")</f>
        <v>Yes</v>
      </c>
      <c r="I423" s="1" t="str">
        <f ca="1">IFERROR(__xludf.DUMMYFUNCTION("""COMPUTED_VALUE"""),"Will work for them")</f>
        <v>Will work for them</v>
      </c>
      <c r="J423" s="1">
        <f ca="1">IFERROR(__xludf.DUMMYFUNCTION("""COMPUTED_VALUE"""),6)</f>
        <v>6</v>
      </c>
      <c r="K423" s="1" t="str">
        <f ca="1">IFERROR(__xludf.DUMMYFUNCTION("""COMPUTED_VALUE"""),"Hybrid Working Environment with less than 3 days a month at office")</f>
        <v>Hybrid Working Environment with less than 3 days a month at office</v>
      </c>
      <c r="L4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2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423" s="1" t="str">
        <f ca="1">IFERROR(__xludf.DUMMYFUNCTION("""COMPUTED_VALUE"""),"Teaching in any of the institutes/colleges/online or offline, Manage and drive End-to-End Projects or Products, Build and develop a Team, Entrepreneur or Start Up")</f>
        <v>Teaching in any of the institutes/colleges/online or offline, Manage and drive End-to-End Projects or Products, Build and develop a Team, Entrepreneur or Start Up</v>
      </c>
      <c r="O423" s="1" t="str">
        <f ca="1">IFERROR(__xludf.DUMMYFUNCTION("""COMPUTED_VALUE"""),"Manager who explains what is expected, sets a goal and helps achieve it")</f>
        <v>Manager who explains what is expected, sets a goal and helps achieve it</v>
      </c>
      <c r="P423" s="1" t="str">
        <f ca="1">IFERROR(__xludf.DUMMYFUNCTION("""COMPUTED_VALUE"""),"Work with 2 to 3 people in my team, Work with 5 to 6 people in my team")</f>
        <v>Work with 2 to 3 people in my team, Work with 5 to 6 people in my team</v>
      </c>
      <c r="Q423" s="1" t="str">
        <f ca="1">IFERROR(__xludf.DUMMYFUNCTION("""COMPUTED_VALUE"""),"Yes, I Understand this is gonna happen everywhere")</f>
        <v>Yes, I Understand this is gonna happen everywhere</v>
      </c>
      <c r="R423" s="1" t="str">
        <f ca="1">IFERROR(__xludf.DUMMYFUNCTION("""COMPUTED_VALUE"""),"This will be hard to do, but if it is the right company I would try")</f>
        <v>This will be hard to do, but if it is the right company I would try</v>
      </c>
      <c r="S423" s="1"/>
    </row>
    <row r="424" spans="1:19" ht="12.5" x14ac:dyDescent="0.25">
      <c r="A424" s="2">
        <f ca="1">IFERROR(__xludf.DUMMYFUNCTION("""COMPUTED_VALUE"""),45021.4447393865)</f>
        <v>45021.444739386498</v>
      </c>
      <c r="B424" s="1" t="str">
        <f ca="1">IFERROR(__xludf.DUMMYFUNCTION("""COMPUTED_VALUE"""),"India")</f>
        <v>India</v>
      </c>
      <c r="C424" s="1">
        <f ca="1">IFERROR(__xludf.DUMMYFUNCTION("""COMPUTED_VALUE"""),500008)</f>
        <v>500008</v>
      </c>
      <c r="D424" s="1" t="str">
        <f ca="1">IFERROR(__xludf.DUMMYFUNCTION("""COMPUTED_VALUE"""),"Male")</f>
        <v>Male</v>
      </c>
      <c r="E424" s="1" t="str">
        <f ca="1">IFERROR(__xludf.DUMMYFUNCTION("""COMPUTED_VALUE"""),"People who have changed the world for better")</f>
        <v>People who have changed the world for better</v>
      </c>
      <c r="F424" s="1" t="str">
        <f ca="1">IFERROR(__xludf.DUMMYFUNCTION("""COMPUTED_VALUE"""),"No, But if someone could bare the cost I will")</f>
        <v>No, But if someone could bare the cost I will</v>
      </c>
      <c r="G424" s="1" t="str">
        <f ca="1">IFERROR(__xludf.DUMMYFUNCTION("""COMPUTED_VALUE"""),"This will be hard to do, but if it is the right company I would try")</f>
        <v>This will be hard to do, but if it is the right company I would try</v>
      </c>
      <c r="H424" s="1" t="str">
        <f ca="1">IFERROR(__xludf.DUMMYFUNCTION("""COMPUTED_VALUE"""),"Yes")</f>
        <v>Yes</v>
      </c>
      <c r="I424" s="1" t="str">
        <f ca="1">IFERROR(__xludf.DUMMYFUNCTION("""COMPUTED_VALUE"""),"Will work for them")</f>
        <v>Will work for them</v>
      </c>
      <c r="J424" s="1">
        <f ca="1">IFERROR(__xludf.DUMMYFUNCTION("""COMPUTED_VALUE"""),5)</f>
        <v>5</v>
      </c>
      <c r="K424" s="1" t="str">
        <f ca="1">IFERROR(__xludf.DUMMYFUNCTION("""COMPUTED_VALUE"""),"Fully Remote with Options to travel as and when needed")</f>
        <v>Fully Remote with Options to travel as and when needed</v>
      </c>
      <c r="L424" s="1" t="str">
        <f ca="1">IFERROR(__xludf.DUMMYFUNCTION("""COMPUTED_VALUE"""),"Employer who appreciates learning and enables that environment")</f>
        <v>Employer who appreciates learning and enables that environment</v>
      </c>
      <c r="M42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24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424" s="1" t="str">
        <f ca="1">IFERROR(__xludf.DUMMYFUNCTION("""COMPUTED_VALUE"""),"Manager who sets goal and helps me achieve it")</f>
        <v>Manager who sets goal and helps me achieve it</v>
      </c>
      <c r="P424" s="1" t="str">
        <f ca="1">IFERROR(__xludf.DUMMYFUNCTION("""COMPUTED_VALUE"""),"Work alone")</f>
        <v>Work alone</v>
      </c>
      <c r="Q424" s="1" t="str">
        <f ca="1">IFERROR(__xludf.DUMMYFUNCTION("""COMPUTED_VALUE"""),"Yes, I Understand this is gonna happen everywhere")</f>
        <v>Yes, I Understand this is gonna happen everywhere</v>
      </c>
      <c r="R424" s="1" t="str">
        <f ca="1">IFERROR(__xludf.DUMMYFUNCTION("""COMPUTED_VALUE"""),"This will be hard to do, but if it is the right company I would try")</f>
        <v>This will be hard to do, but if it is the right company I would try</v>
      </c>
      <c r="S424" s="1"/>
    </row>
    <row r="425" spans="1:19" ht="12.5" x14ac:dyDescent="0.25">
      <c r="A425" s="2">
        <f ca="1">IFERROR(__xludf.DUMMYFUNCTION("""COMPUTED_VALUE"""),45021.4459127546)</f>
        <v>45021.4459127546</v>
      </c>
      <c r="B425" s="1" t="str">
        <f ca="1">IFERROR(__xludf.DUMMYFUNCTION("""COMPUTED_VALUE"""),"India")</f>
        <v>India</v>
      </c>
      <c r="C425" s="1">
        <f ca="1">IFERROR(__xludf.DUMMYFUNCTION("""COMPUTED_VALUE"""),400083)</f>
        <v>400083</v>
      </c>
      <c r="D425" s="1" t="str">
        <f ca="1">IFERROR(__xludf.DUMMYFUNCTION("""COMPUTED_VALUE"""),"Male")</f>
        <v>Male</v>
      </c>
      <c r="E425" s="1" t="str">
        <f ca="1">IFERROR(__xludf.DUMMYFUNCTION("""COMPUTED_VALUE"""),"Social Media like LinkedIn")</f>
        <v>Social Media like LinkedIn</v>
      </c>
      <c r="F425" s="1" t="str">
        <f ca="1">IFERROR(__xludf.DUMMYFUNCTION("""COMPUTED_VALUE"""),"No I would not be pursuing Higher Education outside of India")</f>
        <v>No I would not be pursuing Higher Education outside of India</v>
      </c>
      <c r="G425" s="1" t="str">
        <f ca="1">IFERROR(__xludf.DUMMYFUNCTION("""COMPUTED_VALUE"""),"This will be hard to do, but if it is the right company I would try")</f>
        <v>This will be hard to do, but if it is the right company I would try</v>
      </c>
      <c r="H425" s="1" t="str">
        <f ca="1">IFERROR(__xludf.DUMMYFUNCTION("""COMPUTED_VALUE"""),"Yes")</f>
        <v>Yes</v>
      </c>
      <c r="I425" s="1" t="str">
        <f ca="1">IFERROR(__xludf.DUMMYFUNCTION("""COMPUTED_VALUE"""),"Will work for them")</f>
        <v>Will work for them</v>
      </c>
      <c r="J425" s="1">
        <f ca="1">IFERROR(__xludf.DUMMYFUNCTION("""COMPUTED_VALUE"""),10)</f>
        <v>10</v>
      </c>
      <c r="K425" s="1" t="str">
        <f ca="1">IFERROR(__xludf.DUMMYFUNCTION("""COMPUTED_VALUE"""),"Hybrid Working Environment with less than 3 days a month at office")</f>
        <v>Hybrid Working Environment with less than 3 days a month at office</v>
      </c>
      <c r="L425" s="1" t="str">
        <f ca="1">IFERROR(__xludf.DUMMYFUNCTION("""COMPUTED_VALUE"""),"Employer who appreciates learning and enables that environment")</f>
        <v>Employer who appreciates learning and enables that environment</v>
      </c>
      <c r="M42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425" s="1" t="str">
        <f ca="1">IFERROR(__xludf.DUMMYFUNCTION("""COMPUTED_VALUE"""),"Build and develop a Team, Look deeply into Data and generate insights, Entrepreneur or Start Up, An Artificial Intelligence Specialist / Talking to Robots")</f>
        <v>Build and develop a Team, Look deeply into Data and generate insights, Entrepreneur or Start Up, An Artificial Intelligence Specialist / Talking to Robots</v>
      </c>
      <c r="O425" s="1" t="str">
        <f ca="1">IFERROR(__xludf.DUMMYFUNCTION("""COMPUTED_VALUE"""),"Manager who clearly describes what she/he needs")</f>
        <v>Manager who clearly describes what she/he needs</v>
      </c>
      <c r="P425" s="1" t="str">
        <f ca="1">IFERROR(__xludf.DUMMYFUNCTION("""COMPUTED_VALUE"""),"Work with 2 to 3 people in my team")</f>
        <v>Work with 2 to 3 people in my team</v>
      </c>
      <c r="Q425" s="1" t="str">
        <f ca="1">IFERROR(__xludf.DUMMYFUNCTION("""COMPUTED_VALUE"""),"Yes, I Understand this is gonna happen everywhere")</f>
        <v>Yes, I Understand this is gonna happen everywhere</v>
      </c>
      <c r="R425" s="1" t="str">
        <f ca="1">IFERROR(__xludf.DUMMYFUNCTION("""COMPUTED_VALUE"""),"This will be hard to do, but if it is the right company I would try")</f>
        <v>This will be hard to do, but if it is the right company I would try</v>
      </c>
      <c r="S425" s="1"/>
    </row>
    <row r="426" spans="1:19" ht="12.5" x14ac:dyDescent="0.25">
      <c r="A426" s="2">
        <f ca="1">IFERROR(__xludf.DUMMYFUNCTION("""COMPUTED_VALUE"""),45021.4491116898)</f>
        <v>45021.449111689799</v>
      </c>
      <c r="B426" s="1" t="str">
        <f ca="1">IFERROR(__xludf.DUMMYFUNCTION("""COMPUTED_VALUE"""),"India")</f>
        <v>India</v>
      </c>
      <c r="C426" s="1">
        <f ca="1">IFERROR(__xludf.DUMMYFUNCTION("""COMPUTED_VALUE"""),627357)</f>
        <v>627357</v>
      </c>
      <c r="D426" s="1" t="str">
        <f ca="1">IFERROR(__xludf.DUMMYFUNCTION("""COMPUTED_VALUE"""),"Male")</f>
        <v>Male</v>
      </c>
      <c r="E426" s="1" t="str">
        <f ca="1">IFERROR(__xludf.DUMMYFUNCTION("""COMPUTED_VALUE"""),"People who have changed the world for better")</f>
        <v>People who have changed the world for better</v>
      </c>
      <c r="F426" s="1" t="str">
        <f ca="1">IFERROR(__xludf.DUMMYFUNCTION("""COMPUTED_VALUE"""),"Yes, I will earn and do that")</f>
        <v>Yes, I will earn and do that</v>
      </c>
      <c r="G426" s="1" t="str">
        <f ca="1">IFERROR(__xludf.DUMMYFUNCTION("""COMPUTED_VALUE"""),"This will be hard to do, but if it is the right company I would try")</f>
        <v>This will be hard to do, but if it is the right company I would try</v>
      </c>
      <c r="H426" s="1" t="str">
        <f ca="1">IFERROR(__xludf.DUMMYFUNCTION("""COMPUTED_VALUE"""),"Yes")</f>
        <v>Yes</v>
      </c>
      <c r="I426" s="1" t="str">
        <f ca="1">IFERROR(__xludf.DUMMYFUNCTION("""COMPUTED_VALUE"""),"Will work for them")</f>
        <v>Will work for them</v>
      </c>
      <c r="J426" s="1">
        <f ca="1">IFERROR(__xludf.DUMMYFUNCTION("""COMPUTED_VALUE"""),8)</f>
        <v>8</v>
      </c>
      <c r="K426" s="1" t="str">
        <f ca="1">IFERROR(__xludf.DUMMYFUNCTION("""COMPUTED_VALUE"""),"Every Day Office Environment")</f>
        <v>Every Day Office Environment</v>
      </c>
      <c r="L4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2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26" s="1" t="str">
        <f ca="1">IFERROR(__xludf.DUMMYFUNCTION("""COMPUTED_VALUE"""),"Design and Creative strategy in any company, Manage and drive End-to-End Projects or Products, Work as a freelancer and do my thing my way, An Artificial Intelligence Specialist / Talking to Robots")</f>
        <v>Design and Creative strategy in any company, Manage and drive End-to-End Projects or Products, Work as a freelancer and do my thing my way, An Artificial Intelligence Specialist / Talking to Robots</v>
      </c>
      <c r="O426" s="1" t="str">
        <f ca="1">IFERROR(__xludf.DUMMYFUNCTION("""COMPUTED_VALUE"""),"Manager who explains what is expected, sets a goal and helps achieve it")</f>
        <v>Manager who explains what is expected, sets a goal and helps achieve it</v>
      </c>
      <c r="P426" s="1" t="str">
        <f ca="1">IFERROR(__xludf.DUMMYFUNCTION("""COMPUTED_VALUE"""),"Work with 5 to 6 people in my team")</f>
        <v>Work with 5 to 6 people in my team</v>
      </c>
      <c r="Q426" s="1" t="str">
        <f ca="1">IFERROR(__xludf.DUMMYFUNCTION("""COMPUTED_VALUE"""),"Yes, I Understand this is gonna happen everywhere")</f>
        <v>Yes, I Understand this is gonna happen everywhere</v>
      </c>
      <c r="R426" s="1" t="str">
        <f ca="1">IFERROR(__xludf.DUMMYFUNCTION("""COMPUTED_VALUE"""),"No way")</f>
        <v>No way</v>
      </c>
      <c r="S426" s="1"/>
    </row>
    <row r="427" spans="1:19" ht="12.5" x14ac:dyDescent="0.25">
      <c r="A427" s="2">
        <f ca="1">IFERROR(__xludf.DUMMYFUNCTION("""COMPUTED_VALUE"""),45021.4501617476)</f>
        <v>45021.450161747598</v>
      </c>
      <c r="B427" s="1" t="str">
        <f ca="1">IFERROR(__xludf.DUMMYFUNCTION("""COMPUTED_VALUE"""),"India")</f>
        <v>India</v>
      </c>
      <c r="C427" s="1">
        <f ca="1">IFERROR(__xludf.DUMMYFUNCTION("""COMPUTED_VALUE"""),500036)</f>
        <v>500036</v>
      </c>
      <c r="D427" s="1" t="str">
        <f ca="1">IFERROR(__xludf.DUMMYFUNCTION("""COMPUTED_VALUE"""),"Male")</f>
        <v>Male</v>
      </c>
      <c r="E427" s="1" t="str">
        <f ca="1">IFERROR(__xludf.DUMMYFUNCTION("""COMPUTED_VALUE"""),"My Parents")</f>
        <v>My Parents</v>
      </c>
      <c r="F427" s="1" t="str">
        <f ca="1">IFERROR(__xludf.DUMMYFUNCTION("""COMPUTED_VALUE"""),"Yes, I will earn and do that")</f>
        <v>Yes, I will earn and do that</v>
      </c>
      <c r="G427" s="1" t="str">
        <f ca="1">IFERROR(__xludf.DUMMYFUNCTION("""COMPUTED_VALUE"""),"This will be hard to do, but if it is the right company I would try")</f>
        <v>This will be hard to do, but if it is the right company I would try</v>
      </c>
      <c r="H427" s="1" t="str">
        <f ca="1">IFERROR(__xludf.DUMMYFUNCTION("""COMPUTED_VALUE"""),"No")</f>
        <v>No</v>
      </c>
      <c r="I427" s="1" t="str">
        <f ca="1">IFERROR(__xludf.DUMMYFUNCTION("""COMPUTED_VALUE"""),"Will NOT work for them")</f>
        <v>Will NOT work for them</v>
      </c>
      <c r="J427" s="1">
        <f ca="1">IFERROR(__xludf.DUMMYFUNCTION("""COMPUTED_VALUE"""),3)</f>
        <v>3</v>
      </c>
      <c r="K427" s="1" t="str">
        <f ca="1">IFERROR(__xludf.DUMMYFUNCTION("""COMPUTED_VALUE"""),"Hybrid Working Environment with more than 15 days a month at office")</f>
        <v>Hybrid Working Environment with more than 15 days a month at office</v>
      </c>
      <c r="L427" s="1" t="str">
        <f ca="1">IFERROR(__xludf.DUMMYFUNCTION("""COMPUTED_VALUE"""),"Employer who appreciates learning and enables that environment")</f>
        <v>Employer who appreciates learning and enables that environment</v>
      </c>
      <c r="M42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427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427" s="1" t="str">
        <f ca="1">IFERROR(__xludf.DUMMYFUNCTION("""COMPUTED_VALUE"""),"Manager who clearly describes what she/he needs")</f>
        <v>Manager who clearly describes what she/he needs</v>
      </c>
      <c r="P427" s="1" t="str">
        <f ca="1">IFERROR(__xludf.DUMMYFUNCTION("""COMPUTED_VALUE"""),"Work with 2 to 3 people in my team")</f>
        <v>Work with 2 to 3 people in my team</v>
      </c>
      <c r="Q427" s="1" t="str">
        <f ca="1">IFERROR(__xludf.DUMMYFUNCTION("""COMPUTED_VALUE"""),"Yes, I Understand this is gonna happen everywhere")</f>
        <v>Yes, I Understand this is gonna happen everywhere</v>
      </c>
      <c r="R427" s="1" t="str">
        <f ca="1">IFERROR(__xludf.DUMMYFUNCTION("""COMPUTED_VALUE"""),"No way")</f>
        <v>No way</v>
      </c>
      <c r="S427" s="1"/>
    </row>
    <row r="428" spans="1:19" ht="12.5" x14ac:dyDescent="0.25">
      <c r="A428" s="2">
        <f ca="1">IFERROR(__xludf.DUMMYFUNCTION("""COMPUTED_VALUE"""),45021.4502098263)</f>
        <v>45021.450209826296</v>
      </c>
      <c r="B428" s="1" t="str">
        <f ca="1">IFERROR(__xludf.DUMMYFUNCTION("""COMPUTED_VALUE"""),"India")</f>
        <v>India</v>
      </c>
      <c r="C428" s="1">
        <f ca="1">IFERROR(__xludf.DUMMYFUNCTION("""COMPUTED_VALUE"""),500079)</f>
        <v>500079</v>
      </c>
      <c r="D428" s="1" t="str">
        <f ca="1">IFERROR(__xludf.DUMMYFUNCTION("""COMPUTED_VALUE"""),"Female")</f>
        <v>Female</v>
      </c>
      <c r="E428" s="1" t="str">
        <f ca="1">IFERROR(__xludf.DUMMYFUNCTION("""COMPUTED_VALUE"""),"People who have changed the world for better")</f>
        <v>People who have changed the world for better</v>
      </c>
      <c r="F428" s="1" t="str">
        <f ca="1">IFERROR(__xludf.DUMMYFUNCTION("""COMPUTED_VALUE"""),"No, But if someone could bare the cost I will")</f>
        <v>No, But if someone could bare the cost I will</v>
      </c>
      <c r="G428" s="1" t="str">
        <f ca="1">IFERROR(__xludf.DUMMYFUNCTION("""COMPUTED_VALUE"""),"This will be hard to do, but if it is the right company I would try")</f>
        <v>This will be hard to do, but if it is the right company I would try</v>
      </c>
      <c r="H428" s="1" t="str">
        <f ca="1">IFERROR(__xludf.DUMMYFUNCTION("""COMPUTED_VALUE"""),"No")</f>
        <v>No</v>
      </c>
      <c r="I428" s="1" t="str">
        <f ca="1">IFERROR(__xludf.DUMMYFUNCTION("""COMPUTED_VALUE"""),"Will NOT work for them")</f>
        <v>Will NOT work for them</v>
      </c>
      <c r="J428" s="1">
        <f ca="1">IFERROR(__xludf.DUMMYFUNCTION("""COMPUTED_VALUE"""),7)</f>
        <v>7</v>
      </c>
      <c r="K428" s="1" t="str">
        <f ca="1">IFERROR(__xludf.DUMMYFUNCTION("""COMPUTED_VALUE"""),"Fully Remote with Options to travel as and when needed")</f>
        <v>Fully Remote with Options to travel as and when needed</v>
      </c>
      <c r="L4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2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28" s="1" t="str">
        <f ca="1">IFERROR(__xludf.DUMMYFUNCTION("""COMPUTED_VALUE"""),"Business Operations in any organization, Build and develop a Team, Design and Develop amazing software, Look deeply into Data and generate insights")</f>
        <v>Business Operations in any organization, Build and develop a Team, Design and Develop amazing software, Look deeply into Data and generate insights</v>
      </c>
      <c r="O428" s="1" t="str">
        <f ca="1">IFERROR(__xludf.DUMMYFUNCTION("""COMPUTED_VALUE"""),"Manager who explains what is expected, sets a goal and helps achieve it")</f>
        <v>Manager who explains what is expected, sets a goal and helps achieve it</v>
      </c>
      <c r="P428" s="1" t="str">
        <f ca="1">IFERROR(__xludf.DUMMYFUNCTION("""COMPUTED_VALUE"""),"Work with 7 to 10 or more people in my team")</f>
        <v>Work with 7 to 10 or more people in my team</v>
      </c>
      <c r="Q428" s="1" t="str">
        <f ca="1">IFERROR(__xludf.DUMMYFUNCTION("""COMPUTED_VALUE"""),"No")</f>
        <v>No</v>
      </c>
      <c r="R428" s="1" t="str">
        <f ca="1">IFERROR(__xludf.DUMMYFUNCTION("""COMPUTED_VALUE"""),"This will be hard to do, but if it is the right company I would try")</f>
        <v>This will be hard to do, but if it is the right company I would try</v>
      </c>
      <c r="S428" s="1"/>
    </row>
    <row r="429" spans="1:19" ht="12.5" x14ac:dyDescent="0.25">
      <c r="A429" s="2">
        <f ca="1">IFERROR(__xludf.DUMMYFUNCTION("""COMPUTED_VALUE"""),45021.4513109838)</f>
        <v>45021.451310983801</v>
      </c>
      <c r="B429" s="1" t="str">
        <f ca="1">IFERROR(__xludf.DUMMYFUNCTION("""COMPUTED_VALUE"""),"India")</f>
        <v>India</v>
      </c>
      <c r="C429" s="1">
        <f ca="1">IFERROR(__xludf.DUMMYFUNCTION("""COMPUTED_VALUE"""),440036)</f>
        <v>440036</v>
      </c>
      <c r="D429" s="1" t="str">
        <f ca="1">IFERROR(__xludf.DUMMYFUNCTION("""COMPUTED_VALUE"""),"Female")</f>
        <v>Female</v>
      </c>
      <c r="E429" s="1" t="str">
        <f ca="1">IFERROR(__xludf.DUMMYFUNCTION("""COMPUTED_VALUE"""),"My Parents")</f>
        <v>My Parents</v>
      </c>
      <c r="F429" s="1" t="str">
        <f ca="1">IFERROR(__xludf.DUMMYFUNCTION("""COMPUTED_VALUE"""),"Yes, I will earn and do that")</f>
        <v>Yes, I will earn and do that</v>
      </c>
      <c r="G429" s="1" t="str">
        <f ca="1">IFERROR(__xludf.DUMMYFUNCTION("""COMPUTED_VALUE"""),"This will be hard to do, but if it is the right company I would try")</f>
        <v>This will be hard to do, but if it is the right company I would try</v>
      </c>
      <c r="H429" s="1" t="str">
        <f ca="1">IFERROR(__xludf.DUMMYFUNCTION("""COMPUTED_VALUE"""),"Yes")</f>
        <v>Yes</v>
      </c>
      <c r="I429" s="1" t="str">
        <f ca="1">IFERROR(__xludf.DUMMYFUNCTION("""COMPUTED_VALUE"""),"Will NOT work for them")</f>
        <v>Will NOT work for them</v>
      </c>
      <c r="J429" s="1">
        <f ca="1">IFERROR(__xludf.DUMMYFUNCTION("""COMPUTED_VALUE"""),3)</f>
        <v>3</v>
      </c>
      <c r="K429" s="1" t="str">
        <f ca="1">IFERROR(__xludf.DUMMYFUNCTION("""COMPUTED_VALUE"""),"Fully Remote with Options to travel as and when needed")</f>
        <v>Fully Remote with Options to travel as and when needed</v>
      </c>
      <c r="L4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2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429" s="1" t="str">
        <f ca="1">IFERROR(__xludf.DUMMYFUNCTION("""COMPUTED_VALUE"""),"Design and Creative strategy in any company, Teaching in any of the institutes/colleges/online or offline, An Artificial Intelligence Specialist / Talking to Robots, Manufacturing / Oil and Gas/ Construction / Hard Physical Work related")</f>
        <v>Design and Creative strategy in any company, Teaching in any of the institutes/colleges/online or offline, An Artificial Intelligence Specialist / Talking to Robots, Manufacturing / Oil and Gas/ Construction / Hard Physical Work related</v>
      </c>
      <c r="O429" s="1" t="str">
        <f ca="1">IFERROR(__xludf.DUMMYFUNCTION("""COMPUTED_VALUE"""),"Manager who explains what is expected, sets a goal and helps achieve it")</f>
        <v>Manager who explains what is expected, sets a goal and helps achieve it</v>
      </c>
      <c r="P429" s="1" t="str">
        <f ca="1">IFERROR(__xludf.DUMMYFUNCTION("""COMPUTED_VALUE"""),"Work with 2 to 3 people in my team")</f>
        <v>Work with 2 to 3 people in my team</v>
      </c>
      <c r="Q429" s="1" t="str">
        <f ca="1">IFERROR(__xludf.DUMMYFUNCTION("""COMPUTED_VALUE"""),"Yes, I Understand this is gonna happen everywhere")</f>
        <v>Yes, I Understand this is gonna happen everywhere</v>
      </c>
      <c r="R429" s="1" t="str">
        <f ca="1">IFERROR(__xludf.DUMMYFUNCTION("""COMPUTED_VALUE"""),"This will be hard to do, but if it is the right company I would try")</f>
        <v>This will be hard to do, but if it is the right company I would try</v>
      </c>
      <c r="S429" s="1"/>
    </row>
    <row r="430" spans="1:19" ht="12.5" x14ac:dyDescent="0.25">
      <c r="A430" s="2">
        <f ca="1">IFERROR(__xludf.DUMMYFUNCTION("""COMPUTED_VALUE"""),45021.4521712615)</f>
        <v>45021.452171261502</v>
      </c>
      <c r="B430" s="1" t="str">
        <f ca="1">IFERROR(__xludf.DUMMYFUNCTION("""COMPUTED_VALUE"""),"India")</f>
        <v>India</v>
      </c>
      <c r="C430" s="1">
        <f ca="1">IFERROR(__xludf.DUMMYFUNCTION("""COMPUTED_VALUE"""),500060)</f>
        <v>500060</v>
      </c>
      <c r="D430" s="1" t="str">
        <f ca="1">IFERROR(__xludf.DUMMYFUNCTION("""COMPUTED_VALUE"""),"Male")</f>
        <v>Male</v>
      </c>
      <c r="E430" s="1" t="str">
        <f ca="1">IFERROR(__xludf.DUMMYFUNCTION("""COMPUTED_VALUE"""),"People who have changed the world for better")</f>
        <v>People who have changed the world for better</v>
      </c>
      <c r="F430" s="1" t="str">
        <f ca="1">IFERROR(__xludf.DUMMYFUNCTION("""COMPUTED_VALUE"""),"No I would not be pursuing Higher Education outside of India")</f>
        <v>No I would not be pursuing Higher Education outside of India</v>
      </c>
      <c r="G430" s="1" t="str">
        <f ca="1">IFERROR(__xludf.DUMMYFUNCTION("""COMPUTED_VALUE"""),"No way")</f>
        <v>No way</v>
      </c>
      <c r="H430" s="1" t="str">
        <f ca="1">IFERROR(__xludf.DUMMYFUNCTION("""COMPUTED_VALUE"""),"No")</f>
        <v>No</v>
      </c>
      <c r="I430" s="1" t="str">
        <f ca="1">IFERROR(__xludf.DUMMYFUNCTION("""COMPUTED_VALUE"""),"Will NOT work for them")</f>
        <v>Will NOT work for them</v>
      </c>
      <c r="J430" s="1">
        <f ca="1">IFERROR(__xludf.DUMMYFUNCTION("""COMPUTED_VALUE"""),1)</f>
        <v>1</v>
      </c>
      <c r="K430" s="1" t="str">
        <f ca="1">IFERROR(__xludf.DUMMYFUNCTION("""COMPUTED_VALUE"""),"Hybrid Working Environment with less than 3 days a month at office")</f>
        <v>Hybrid Working Environment with less than 3 days a month at office</v>
      </c>
      <c r="L43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43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30" s="1" t="str">
        <f ca="1">IFERROR(__xludf.DUMMYFUNCTION("""COMPUTED_VALUE"""),"Teaching in any of the institutes/colleges/online or offline, I Want to sell things/Sales, An Artificial Intelligence Specialist / Talking to Robots, Manufacturing / Oil and Gas/ Construction / Hard Physical Work related")</f>
        <v>Teaching in any of the institutes/colleges/online or offline, I Want to sell things/Sales, An Artificial Intelligence Specialist / Talking to Robots, Manufacturing / Oil and Gas/ Construction / Hard Physical Work related</v>
      </c>
      <c r="O430" s="1" t="str">
        <f ca="1">IFERROR(__xludf.DUMMYFUNCTION("""COMPUTED_VALUE"""),"Manager who clearly describes what she/he needs")</f>
        <v>Manager who clearly describes what she/he needs</v>
      </c>
      <c r="P430" s="1" t="str">
        <f ca="1">IFERROR(__xludf.DUMMYFUNCTION("""COMPUTED_VALUE"""),"Work with 5 to 6 people in my team")</f>
        <v>Work with 5 to 6 people in my team</v>
      </c>
      <c r="Q430" s="1" t="str">
        <f ca="1">IFERROR(__xludf.DUMMYFUNCTION("""COMPUTED_VALUE"""),"No")</f>
        <v>No</v>
      </c>
      <c r="R430" s="1" t="str">
        <f ca="1">IFERROR(__xludf.DUMMYFUNCTION("""COMPUTED_VALUE"""),"No way")</f>
        <v>No way</v>
      </c>
      <c r="S430" s="1"/>
    </row>
    <row r="431" spans="1:19" ht="12.5" x14ac:dyDescent="0.25">
      <c r="A431" s="2">
        <f ca="1">IFERROR(__xludf.DUMMYFUNCTION("""COMPUTED_VALUE"""),45021.4536553125)</f>
        <v>45021.4536553125</v>
      </c>
      <c r="B431" s="1" t="str">
        <f ca="1">IFERROR(__xludf.DUMMYFUNCTION("""COMPUTED_VALUE"""),"India")</f>
        <v>India</v>
      </c>
      <c r="C431" s="1">
        <f ca="1">IFERROR(__xludf.DUMMYFUNCTION("""COMPUTED_VALUE"""),560076)</f>
        <v>560076</v>
      </c>
      <c r="D431" s="1" t="str">
        <f ca="1">IFERROR(__xludf.DUMMYFUNCTION("""COMPUTED_VALUE"""),"Male")</f>
        <v>Male</v>
      </c>
      <c r="E431" s="1" t="str">
        <f ca="1">IFERROR(__xludf.DUMMYFUNCTION("""COMPUTED_VALUE"""),"Influencers who had successful careers")</f>
        <v>Influencers who had successful careers</v>
      </c>
      <c r="F431" s="1" t="str">
        <f ca="1">IFERROR(__xludf.DUMMYFUNCTION("""COMPUTED_VALUE"""),"Yes, I will earn and do that")</f>
        <v>Yes, I will earn and do that</v>
      </c>
      <c r="G431" s="1" t="str">
        <f ca="1">IFERROR(__xludf.DUMMYFUNCTION("""COMPUTED_VALUE"""),"This will be hard to do, but if it is the right company I would try")</f>
        <v>This will be hard to do, but if it is the right company I would try</v>
      </c>
      <c r="H431" s="1" t="str">
        <f ca="1">IFERROR(__xludf.DUMMYFUNCTION("""COMPUTED_VALUE"""),"No")</f>
        <v>No</v>
      </c>
      <c r="I431" s="1" t="str">
        <f ca="1">IFERROR(__xludf.DUMMYFUNCTION("""COMPUTED_VALUE"""),"Will NOT work for them")</f>
        <v>Will NOT work for them</v>
      </c>
      <c r="J431" s="1">
        <f ca="1">IFERROR(__xludf.DUMMYFUNCTION("""COMPUTED_VALUE"""),2)</f>
        <v>2</v>
      </c>
      <c r="K431" s="1" t="str">
        <f ca="1">IFERROR(__xludf.DUMMYFUNCTION("""COMPUTED_VALUE"""),"Hybrid Working Environment with less than 3 days a month at office")</f>
        <v>Hybrid Working Environment with less than 3 days a month at office</v>
      </c>
      <c r="L4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3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431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431" s="1" t="str">
        <f ca="1">IFERROR(__xludf.DUMMYFUNCTION("""COMPUTED_VALUE"""),"Manager who explains what is expected, sets a goal and helps achieve it")</f>
        <v>Manager who explains what is expected, sets a goal and helps achieve it</v>
      </c>
      <c r="P431" s="1" t="str">
        <f ca="1">IFERROR(__xludf.DUMMYFUNCTION("""COMPUTED_VALUE"""),"Work alone, Work with 2 to 3 people in my team")</f>
        <v>Work alone, Work with 2 to 3 people in my team</v>
      </c>
      <c r="Q431" s="1" t="str">
        <f ca="1">IFERROR(__xludf.DUMMYFUNCTION("""COMPUTED_VALUE"""),"Yes, I Understand this is gonna happen everywhere")</f>
        <v>Yes, I Understand this is gonna happen everywhere</v>
      </c>
      <c r="R431" s="1" t="str">
        <f ca="1">IFERROR(__xludf.DUMMYFUNCTION("""COMPUTED_VALUE"""),"This will be hard to do, but if it is the right company I would try")</f>
        <v>This will be hard to do, but if it is the right company I would try</v>
      </c>
      <c r="S431" s="1"/>
    </row>
    <row r="432" spans="1:19" ht="12.5" x14ac:dyDescent="0.25">
      <c r="A432" s="2">
        <f ca="1">IFERROR(__xludf.DUMMYFUNCTION("""COMPUTED_VALUE"""),45021.4554504629)</f>
        <v>45021.455450462898</v>
      </c>
      <c r="B432" s="1" t="str">
        <f ca="1">IFERROR(__xludf.DUMMYFUNCTION("""COMPUTED_VALUE"""),"India")</f>
        <v>India</v>
      </c>
      <c r="C432" s="1">
        <f ca="1">IFERROR(__xludf.DUMMYFUNCTION("""COMPUTED_VALUE"""),500079)</f>
        <v>500079</v>
      </c>
      <c r="D432" s="1" t="str">
        <f ca="1">IFERROR(__xludf.DUMMYFUNCTION("""COMPUTED_VALUE"""),"Female")</f>
        <v>Female</v>
      </c>
      <c r="E432" s="1" t="str">
        <f ca="1">IFERROR(__xludf.DUMMYFUNCTION("""COMPUTED_VALUE"""),"Influencers who had successful careers")</f>
        <v>Influencers who had successful careers</v>
      </c>
      <c r="F432" s="1" t="str">
        <f ca="1">IFERROR(__xludf.DUMMYFUNCTION("""COMPUTED_VALUE"""),"No I would not be pursuing Higher Education outside of India")</f>
        <v>No I would not be pursuing Higher Education outside of India</v>
      </c>
      <c r="G432" s="1" t="str">
        <f ca="1">IFERROR(__xludf.DUMMYFUNCTION("""COMPUTED_VALUE"""),"Will work for 3 years or more")</f>
        <v>Will work for 3 years or more</v>
      </c>
      <c r="H432" s="1" t="str">
        <f ca="1">IFERROR(__xludf.DUMMYFUNCTION("""COMPUTED_VALUE"""),"No")</f>
        <v>No</v>
      </c>
      <c r="I432" s="1" t="str">
        <f ca="1">IFERROR(__xludf.DUMMYFUNCTION("""COMPUTED_VALUE"""),"Will NOT work for them")</f>
        <v>Will NOT work for them</v>
      </c>
      <c r="J432" s="1">
        <f ca="1">IFERROR(__xludf.DUMMYFUNCTION("""COMPUTED_VALUE"""),5)</f>
        <v>5</v>
      </c>
      <c r="K432" s="1" t="str">
        <f ca="1">IFERROR(__xludf.DUMMYFUNCTION("""COMPUTED_VALUE"""),"Hybrid Working Environment with more than 15 days a month at office")</f>
        <v>Hybrid Working Environment with more than 15 days a month at office</v>
      </c>
      <c r="L4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3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32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432" s="1" t="str">
        <f ca="1">IFERROR(__xludf.DUMMYFUNCTION("""COMPUTED_VALUE"""),"Manager who sets goal and helps me achieve it")</f>
        <v>Manager who sets goal and helps me achieve it</v>
      </c>
      <c r="P432" s="1" t="str">
        <f ca="1">IFERROR(__xludf.DUMMYFUNCTION("""COMPUTED_VALUE"""),"Work with 5 to 6 people in my team")</f>
        <v>Work with 5 to 6 people in my team</v>
      </c>
      <c r="Q432" s="1" t="str">
        <f ca="1">IFERROR(__xludf.DUMMYFUNCTION("""COMPUTED_VALUE"""),"Yes, I Understand this is gonna happen everywhere")</f>
        <v>Yes, I Understand this is gonna happen everywhere</v>
      </c>
      <c r="R432" s="1" t="str">
        <f ca="1">IFERROR(__xludf.DUMMYFUNCTION("""COMPUTED_VALUE"""),"This will be hard to do, but if it is the right company I would try")</f>
        <v>This will be hard to do, but if it is the right company I would try</v>
      </c>
      <c r="S432" s="1"/>
    </row>
    <row r="433" spans="1:19" ht="12.5" x14ac:dyDescent="0.25">
      <c r="A433" s="2">
        <f ca="1">IFERROR(__xludf.DUMMYFUNCTION("""COMPUTED_VALUE"""),45021.4556394675)</f>
        <v>45021.455639467502</v>
      </c>
      <c r="B433" s="1" t="str">
        <f ca="1">IFERROR(__xludf.DUMMYFUNCTION("""COMPUTED_VALUE"""),"India")</f>
        <v>India</v>
      </c>
      <c r="C433" s="1">
        <f ca="1">IFERROR(__xludf.DUMMYFUNCTION("""COMPUTED_VALUE"""),560003)</f>
        <v>560003</v>
      </c>
      <c r="D433" s="1" t="str">
        <f ca="1">IFERROR(__xludf.DUMMYFUNCTION("""COMPUTED_VALUE"""),"Female")</f>
        <v>Female</v>
      </c>
      <c r="E433" s="1" t="str">
        <f ca="1">IFERROR(__xludf.DUMMYFUNCTION("""COMPUTED_VALUE"""),"People who have changed the world for better")</f>
        <v>People who have changed the world for better</v>
      </c>
      <c r="F433" s="1" t="str">
        <f ca="1">IFERROR(__xludf.DUMMYFUNCTION("""COMPUTED_VALUE"""),"No I would not be pursuing Higher Education outside of India")</f>
        <v>No I would not be pursuing Higher Education outside of India</v>
      </c>
      <c r="G433" s="1" t="str">
        <f ca="1">IFERROR(__xludf.DUMMYFUNCTION("""COMPUTED_VALUE"""),"Will work for 3 years or more")</f>
        <v>Will work for 3 years or more</v>
      </c>
      <c r="H433" s="1" t="str">
        <f ca="1">IFERROR(__xludf.DUMMYFUNCTION("""COMPUTED_VALUE"""),"No")</f>
        <v>No</v>
      </c>
      <c r="I433" s="1" t="str">
        <f ca="1">IFERROR(__xludf.DUMMYFUNCTION("""COMPUTED_VALUE"""),"Will NOT work for them")</f>
        <v>Will NOT work for them</v>
      </c>
      <c r="J433" s="1">
        <f ca="1">IFERROR(__xludf.DUMMYFUNCTION("""COMPUTED_VALUE"""),3)</f>
        <v>3</v>
      </c>
      <c r="K433" s="1" t="str">
        <f ca="1">IFERROR(__xludf.DUMMYFUNCTION("""COMPUTED_VALUE"""),"Hybrid Working Environment with less than 3 days a month at office")</f>
        <v>Hybrid Working Environment with less than 3 days a month at office</v>
      </c>
      <c r="L4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33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433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433" s="1" t="str">
        <f ca="1">IFERROR(__xludf.DUMMYFUNCTION("""COMPUTED_VALUE"""),"Manager who explains what is expected, sets a goal and helps achieve it")</f>
        <v>Manager who explains what is expected, sets a goal and helps achieve it</v>
      </c>
      <c r="P433" s="1" t="str">
        <f ca="1">IFERROR(__xludf.DUMMYFUNCTION("""COMPUTED_VALUE"""),"Work with 5 to 6 people in my team")</f>
        <v>Work with 5 to 6 people in my team</v>
      </c>
      <c r="Q433" s="1" t="str">
        <f ca="1">IFERROR(__xludf.DUMMYFUNCTION("""COMPUTED_VALUE"""),"Yes, I Understand this is gonna happen everywhere")</f>
        <v>Yes, I Understand this is gonna happen everywhere</v>
      </c>
      <c r="R433" s="1" t="str">
        <f ca="1">IFERROR(__xludf.DUMMYFUNCTION("""COMPUTED_VALUE"""),"Will work for 7 years or more")</f>
        <v>Will work for 7 years or more</v>
      </c>
      <c r="S433" s="1"/>
    </row>
    <row r="434" spans="1:19" ht="12.5" x14ac:dyDescent="0.25">
      <c r="A434" s="2">
        <f ca="1">IFERROR(__xludf.DUMMYFUNCTION("""COMPUTED_VALUE"""),45021.4562984722)</f>
        <v>45021.4562984722</v>
      </c>
      <c r="B434" s="1" t="str">
        <f ca="1">IFERROR(__xludf.DUMMYFUNCTION("""COMPUTED_VALUE"""),"India")</f>
        <v>India</v>
      </c>
      <c r="C434" s="1">
        <f ca="1">IFERROR(__xludf.DUMMYFUNCTION("""COMPUTED_VALUE"""),560100)</f>
        <v>560100</v>
      </c>
      <c r="D434" s="1" t="str">
        <f ca="1">IFERROR(__xludf.DUMMYFUNCTION("""COMPUTED_VALUE"""),"Male")</f>
        <v>Male</v>
      </c>
      <c r="E434" s="1" t="str">
        <f ca="1">IFERROR(__xludf.DUMMYFUNCTION("""COMPUTED_VALUE"""),"People who have changed the world for better")</f>
        <v>People who have changed the world for better</v>
      </c>
      <c r="F434" s="1" t="str">
        <f ca="1">IFERROR(__xludf.DUMMYFUNCTION("""COMPUTED_VALUE"""),"No, But if someone could bare the cost I will")</f>
        <v>No, But if someone could bare the cost I will</v>
      </c>
      <c r="G434" s="1" t="str">
        <f ca="1">IFERROR(__xludf.DUMMYFUNCTION("""COMPUTED_VALUE"""),"This will be hard to do, but if it is the right company I would try")</f>
        <v>This will be hard to do, but if it is the right company I would try</v>
      </c>
      <c r="H434" s="1" t="str">
        <f ca="1">IFERROR(__xludf.DUMMYFUNCTION("""COMPUTED_VALUE"""),"No")</f>
        <v>No</v>
      </c>
      <c r="I434" s="1" t="str">
        <f ca="1">IFERROR(__xludf.DUMMYFUNCTION("""COMPUTED_VALUE"""),"Will NOT work for them")</f>
        <v>Will NOT work for them</v>
      </c>
      <c r="J434" s="1">
        <f ca="1">IFERROR(__xludf.DUMMYFUNCTION("""COMPUTED_VALUE"""),5)</f>
        <v>5</v>
      </c>
      <c r="K434" s="1" t="str">
        <f ca="1">IFERROR(__xludf.DUMMYFUNCTION("""COMPUTED_VALUE"""),"Fully Remote with Options to travel as and when needed")</f>
        <v>Fully Remote with Options to travel as and when needed</v>
      </c>
      <c r="L434" s="1" t="str">
        <f ca="1">IFERROR(__xludf.DUMMYFUNCTION("""COMPUTED_VALUE"""),"Employer who appreciates learning and enables that environment")</f>
        <v>Employer who appreciates learning and enables that environment</v>
      </c>
      <c r="M43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34" s="1" t="str">
        <f ca="1">IFERROR(__xludf.DUMMYFUNCTION("""COMPUTED_VALUE"""),"Design and Creative strategy in any company, Manage and drive End-to-End Projects or Products, Entrepreneur or Start Up, I Want to sell things/Sales")</f>
        <v>Design and Creative strategy in any company, Manage and drive End-to-End Projects or Products, Entrepreneur or Start Up, I Want to sell things/Sales</v>
      </c>
      <c r="O434" s="1" t="str">
        <f ca="1">IFERROR(__xludf.DUMMYFUNCTION("""COMPUTED_VALUE"""),"Manager who clearly describes what she/he needs")</f>
        <v>Manager who clearly describes what she/he needs</v>
      </c>
      <c r="P434" s="1" t="str">
        <f ca="1">IFERROR(__xludf.DUMMYFUNCTION("""COMPUTED_VALUE"""),"Work with 2 to 3 people in my team")</f>
        <v>Work with 2 to 3 people in my team</v>
      </c>
      <c r="Q434" s="1" t="str">
        <f ca="1">IFERROR(__xludf.DUMMYFUNCTION("""COMPUTED_VALUE"""),"No")</f>
        <v>No</v>
      </c>
      <c r="R434" s="1" t="str">
        <f ca="1">IFERROR(__xludf.DUMMYFUNCTION("""COMPUTED_VALUE"""),"This will be hard to do, but if it is the right company I would try")</f>
        <v>This will be hard to do, but if it is the right company I would try</v>
      </c>
      <c r="S434" s="1"/>
    </row>
    <row r="435" spans="1:19" ht="12.5" x14ac:dyDescent="0.25">
      <c r="A435" s="2">
        <f ca="1">IFERROR(__xludf.DUMMYFUNCTION("""COMPUTED_VALUE"""),45021.4571275231)</f>
        <v>45021.457127523099</v>
      </c>
      <c r="B435" s="1" t="str">
        <f ca="1">IFERROR(__xludf.DUMMYFUNCTION("""COMPUTED_VALUE"""),"India")</f>
        <v>India</v>
      </c>
      <c r="C435" s="1">
        <f ca="1">IFERROR(__xludf.DUMMYFUNCTION("""COMPUTED_VALUE"""),400042)</f>
        <v>400042</v>
      </c>
      <c r="D435" s="1" t="str">
        <f ca="1">IFERROR(__xludf.DUMMYFUNCTION("""COMPUTED_VALUE"""),"Male")</f>
        <v>Male</v>
      </c>
      <c r="E435" s="1" t="str">
        <f ca="1">IFERROR(__xludf.DUMMYFUNCTION("""COMPUTED_VALUE"""),"Influencers who had successful careers")</f>
        <v>Influencers who had successful careers</v>
      </c>
      <c r="F435" s="1" t="str">
        <f ca="1">IFERROR(__xludf.DUMMYFUNCTION("""COMPUTED_VALUE"""),"Yes, I will earn and do that")</f>
        <v>Yes, I will earn and do that</v>
      </c>
      <c r="G435" s="1" t="str">
        <f ca="1">IFERROR(__xludf.DUMMYFUNCTION("""COMPUTED_VALUE"""),"This will be hard to do, but if it is the right company I would try")</f>
        <v>This will be hard to do, but if it is the right company I would try</v>
      </c>
      <c r="H435" s="1" t="str">
        <f ca="1">IFERROR(__xludf.DUMMYFUNCTION("""COMPUTED_VALUE"""),"No")</f>
        <v>No</v>
      </c>
      <c r="I435" s="1" t="str">
        <f ca="1">IFERROR(__xludf.DUMMYFUNCTION("""COMPUTED_VALUE"""),"Will NOT work for them")</f>
        <v>Will NOT work for them</v>
      </c>
      <c r="J435" s="1">
        <f ca="1">IFERROR(__xludf.DUMMYFUNCTION("""COMPUTED_VALUE"""),1)</f>
        <v>1</v>
      </c>
      <c r="K435" s="1" t="str">
        <f ca="1">IFERROR(__xludf.DUMMYFUNCTION("""COMPUTED_VALUE"""),"Every Day Office Environment")</f>
        <v>Every Day Office Environment</v>
      </c>
      <c r="L435" s="1" t="str">
        <f ca="1">IFERROR(__xludf.DUMMYFUNCTION("""COMPUTED_VALUE"""),"Employer who rewards learning and enables that environment")</f>
        <v>Employer who rewards learning and enables that environment</v>
      </c>
      <c r="M43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435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435" s="1" t="str">
        <f ca="1">IFERROR(__xludf.DUMMYFUNCTION("""COMPUTED_VALUE"""),"Manager who explains what is expected, sets a goal and helps achieve it")</f>
        <v>Manager who explains what is expected, sets a goal and helps achieve it</v>
      </c>
      <c r="P435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435" s="1" t="str">
        <f ca="1">IFERROR(__xludf.DUMMYFUNCTION("""COMPUTED_VALUE"""),"Yes, I Understand this is gonna happen everywhere")</f>
        <v>Yes, I Understand this is gonna happen everywhere</v>
      </c>
      <c r="R435" s="1" t="str">
        <f ca="1">IFERROR(__xludf.DUMMYFUNCTION("""COMPUTED_VALUE"""),"No way")</f>
        <v>No way</v>
      </c>
      <c r="S435" s="1"/>
    </row>
    <row r="436" spans="1:19" ht="12.5" x14ac:dyDescent="0.25">
      <c r="A436" s="2">
        <f ca="1">IFERROR(__xludf.DUMMYFUNCTION("""COMPUTED_VALUE"""),45021.4631790856)</f>
        <v>45021.4631790856</v>
      </c>
      <c r="B436" s="1" t="str">
        <f ca="1">IFERROR(__xludf.DUMMYFUNCTION("""COMPUTED_VALUE"""),"India")</f>
        <v>India</v>
      </c>
      <c r="C436" s="1">
        <f ca="1">IFERROR(__xludf.DUMMYFUNCTION("""COMPUTED_VALUE"""),500079)</f>
        <v>500079</v>
      </c>
      <c r="D436" s="1" t="str">
        <f ca="1">IFERROR(__xludf.DUMMYFUNCTION("""COMPUTED_VALUE"""),"Male")</f>
        <v>Male</v>
      </c>
      <c r="E436" s="1" t="str">
        <f ca="1">IFERROR(__xludf.DUMMYFUNCTION("""COMPUTED_VALUE"""),"Influencers who had successful careers")</f>
        <v>Influencers who had successful careers</v>
      </c>
      <c r="F436" s="1" t="str">
        <f ca="1">IFERROR(__xludf.DUMMYFUNCTION("""COMPUTED_VALUE"""),"Yes, I will earn and do that")</f>
        <v>Yes, I will earn and do that</v>
      </c>
      <c r="G436" s="1" t="str">
        <f ca="1">IFERROR(__xludf.DUMMYFUNCTION("""COMPUTED_VALUE"""),"This will be hard to do, but if it is the right company I would try")</f>
        <v>This will be hard to do, but if it is the right company I would try</v>
      </c>
      <c r="H436" s="1" t="str">
        <f ca="1">IFERROR(__xludf.DUMMYFUNCTION("""COMPUTED_VALUE"""),"No")</f>
        <v>No</v>
      </c>
      <c r="I436" s="1" t="str">
        <f ca="1">IFERROR(__xludf.DUMMYFUNCTION("""COMPUTED_VALUE"""),"Will NOT work for them")</f>
        <v>Will NOT work for them</v>
      </c>
      <c r="J436" s="1">
        <f ca="1">IFERROR(__xludf.DUMMYFUNCTION("""COMPUTED_VALUE"""),6)</f>
        <v>6</v>
      </c>
      <c r="K436" s="1" t="str">
        <f ca="1">IFERROR(__xludf.DUMMYFUNCTION("""COMPUTED_VALUE"""),"Hybrid Working Environment with more than 15 days a month at office")</f>
        <v>Hybrid Working Environment with more than 15 days a month at office</v>
      </c>
      <c r="L4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3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436" s="1" t="str">
        <f ca="1">IFERROR(__xludf.DUMMYFUNCTION("""COMPUTED_VALUE"""),"Design and Develop amazing software, Look deeply into Data and generate insights, Entrepreneur or Start Up, An Artificial Intelligence Specialist / Talking to Robots")</f>
        <v>Design and Develop amazing software, Look deeply into Data and generate insights, Entrepreneur or Start Up, An Artificial Intelligence Specialist / Talking to Robots</v>
      </c>
      <c r="O436" s="1" t="str">
        <f ca="1">IFERROR(__xludf.DUMMYFUNCTION("""COMPUTED_VALUE"""),"Manager who sets goal and helps me achieve it")</f>
        <v>Manager who sets goal and helps me achieve it</v>
      </c>
      <c r="P436" s="1" t="str">
        <f ca="1">IFERROR(__xludf.DUMMYFUNCTION("""COMPUTED_VALUE"""),"Work with more than 10 people in my team")</f>
        <v>Work with more than 10 people in my team</v>
      </c>
      <c r="Q436" s="1" t="str">
        <f ca="1">IFERROR(__xludf.DUMMYFUNCTION("""COMPUTED_VALUE"""),"Yes, I Understand this is gonna happen everywhere")</f>
        <v>Yes, I Understand this is gonna happen everywhere</v>
      </c>
      <c r="R436" s="1" t="str">
        <f ca="1">IFERROR(__xludf.DUMMYFUNCTION("""COMPUTED_VALUE"""),"No way")</f>
        <v>No way</v>
      </c>
      <c r="S436" s="1"/>
    </row>
    <row r="437" spans="1:19" ht="12.5" x14ac:dyDescent="0.25">
      <c r="A437" s="2">
        <f ca="1">IFERROR(__xludf.DUMMYFUNCTION("""COMPUTED_VALUE"""),45021.4641477546)</f>
        <v>45021.464147754603</v>
      </c>
      <c r="B437" s="1" t="str">
        <f ca="1">IFERROR(__xludf.DUMMYFUNCTION("""COMPUTED_VALUE"""),"India")</f>
        <v>India</v>
      </c>
      <c r="C437" s="1">
        <f ca="1">IFERROR(__xludf.DUMMYFUNCTION("""COMPUTED_VALUE"""),641005)</f>
        <v>641005</v>
      </c>
      <c r="D437" s="1" t="str">
        <f ca="1">IFERROR(__xludf.DUMMYFUNCTION("""COMPUTED_VALUE"""),"Female")</f>
        <v>Female</v>
      </c>
      <c r="E437" s="1" t="str">
        <f ca="1">IFERROR(__xludf.DUMMYFUNCTION("""COMPUTED_VALUE"""),"People from my circle, but not family members")</f>
        <v>People from my circle, but not family members</v>
      </c>
      <c r="F437" s="1" t="str">
        <f ca="1">IFERROR(__xludf.DUMMYFUNCTION("""COMPUTED_VALUE"""),"No I would not be pursuing Higher Education outside of India")</f>
        <v>No I would not be pursuing Higher Education outside of India</v>
      </c>
      <c r="G437" s="1" t="str">
        <f ca="1">IFERROR(__xludf.DUMMYFUNCTION("""COMPUTED_VALUE"""),"This will be hard to do, but if it is the right company I would try")</f>
        <v>This will be hard to do, but if it is the right company I would try</v>
      </c>
      <c r="H437" s="1" t="str">
        <f ca="1">IFERROR(__xludf.DUMMYFUNCTION("""COMPUTED_VALUE"""),"No")</f>
        <v>No</v>
      </c>
      <c r="I437" s="1" t="str">
        <f ca="1">IFERROR(__xludf.DUMMYFUNCTION("""COMPUTED_VALUE"""),"Will NOT work for them")</f>
        <v>Will NOT work for them</v>
      </c>
      <c r="J437" s="1">
        <f ca="1">IFERROR(__xludf.DUMMYFUNCTION("""COMPUTED_VALUE"""),4)</f>
        <v>4</v>
      </c>
      <c r="K437" s="1" t="str">
        <f ca="1">IFERROR(__xludf.DUMMYFUNCTION("""COMPUTED_VALUE"""),"Fully Remote with No option to visit offices")</f>
        <v>Fully Remote with No option to visit offices</v>
      </c>
      <c r="L437" s="1" t="str">
        <f ca="1">IFERROR(__xludf.DUMMYFUNCTION("""COMPUTED_VALUE"""),"Employer who rewards learning and enables that environment")</f>
        <v>Employer who rewards learning and enables that environment</v>
      </c>
      <c r="M43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37" s="1" t="str">
        <f ca="1">IFERROR(__xludf.DUMMYFUNCTION("""COMPUTED_VALUE"""),"Design and Creative strategy in any company, Teaching in any of the institutes/colleges/online or offline, Look deeply into Data and generate insights, Entrepreneur or Start Up")</f>
        <v>Design and Creative strategy in any company, Teaching in any of the institutes/colleges/online or offline, Look deeply into Data and generate insights, Entrepreneur or Start Up</v>
      </c>
      <c r="O437" s="1" t="str">
        <f ca="1">IFERROR(__xludf.DUMMYFUNCTION("""COMPUTED_VALUE"""),"Manager who explains what is expected, sets a goal and helps achieve it")</f>
        <v>Manager who explains what is expected, sets a goal and helps achieve it</v>
      </c>
      <c r="P437" s="1" t="str">
        <f ca="1">IFERROR(__xludf.DUMMYFUNCTION("""COMPUTED_VALUE"""),"Work with 2 to 3 people in my team")</f>
        <v>Work with 2 to 3 people in my team</v>
      </c>
      <c r="Q437" s="1" t="str">
        <f ca="1">IFERROR(__xludf.DUMMYFUNCTION("""COMPUTED_VALUE"""),"Yes, I Understand this is gonna happen everywhere")</f>
        <v>Yes, I Understand this is gonna happen everywhere</v>
      </c>
      <c r="R437" s="1" t="str">
        <f ca="1">IFERROR(__xludf.DUMMYFUNCTION("""COMPUTED_VALUE"""),"This will be hard to do, but if it is the right company I would try")</f>
        <v>This will be hard to do, but if it is the right company I would try</v>
      </c>
      <c r="S437" s="1"/>
    </row>
    <row r="438" spans="1:19" ht="12.5" x14ac:dyDescent="0.25">
      <c r="A438" s="2">
        <f ca="1">IFERROR(__xludf.DUMMYFUNCTION("""COMPUTED_VALUE"""),45021.4660854513)</f>
        <v>45021.466085451299</v>
      </c>
      <c r="B438" s="1" t="str">
        <f ca="1">IFERROR(__xludf.DUMMYFUNCTION("""COMPUTED_VALUE"""),"India")</f>
        <v>India</v>
      </c>
      <c r="C438" s="1">
        <f ca="1">IFERROR(__xludf.DUMMYFUNCTION("""COMPUTED_VALUE"""),201305)</f>
        <v>201305</v>
      </c>
      <c r="D438" s="1" t="str">
        <f ca="1">IFERROR(__xludf.DUMMYFUNCTION("""COMPUTED_VALUE"""),"Female")</f>
        <v>Female</v>
      </c>
      <c r="E438" s="1" t="str">
        <f ca="1">IFERROR(__xludf.DUMMYFUNCTION("""COMPUTED_VALUE"""),"My Parents")</f>
        <v>My Parents</v>
      </c>
      <c r="F438" s="1" t="str">
        <f ca="1">IFERROR(__xludf.DUMMYFUNCTION("""COMPUTED_VALUE"""),"Yes, I will earn and do that")</f>
        <v>Yes, I will earn and do that</v>
      </c>
      <c r="G438" s="1" t="str">
        <f ca="1">IFERROR(__xludf.DUMMYFUNCTION("""COMPUTED_VALUE"""),"Will work for 3 years or more")</f>
        <v>Will work for 3 years or more</v>
      </c>
      <c r="H438" s="1" t="str">
        <f ca="1">IFERROR(__xludf.DUMMYFUNCTION("""COMPUTED_VALUE"""),"No")</f>
        <v>No</v>
      </c>
      <c r="I438" s="1" t="str">
        <f ca="1">IFERROR(__xludf.DUMMYFUNCTION("""COMPUTED_VALUE"""),"Will NOT work for them")</f>
        <v>Will NOT work for them</v>
      </c>
      <c r="J438" s="1">
        <f ca="1">IFERROR(__xludf.DUMMYFUNCTION("""COMPUTED_VALUE"""),1)</f>
        <v>1</v>
      </c>
      <c r="K438" s="1" t="str">
        <f ca="1">IFERROR(__xludf.DUMMYFUNCTION("""COMPUTED_VALUE"""),"Every Day Office Environment")</f>
        <v>Every Day Office Environment</v>
      </c>
      <c r="L4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3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438" s="1" t="str">
        <f ca="1">IFERROR(__xludf.DUMMYFUNCTION("""COMPUTED_VALUE"""),"Manage and drive End-to-End Projects or Products, Work as a freelancer and do my thing my way, Become a content Creator in some platform, An Artificial Intelligence Specialist / Talking to Robots")</f>
        <v>Manage and drive End-to-End Projects or Products, Work as a freelancer and do my thing my way, Become a content Creator in some platform, An Artificial Intelligence Specialist / Talking to Robots</v>
      </c>
      <c r="O438" s="1" t="str">
        <f ca="1">IFERROR(__xludf.DUMMYFUNCTION("""COMPUTED_VALUE"""),"Manager who clearly describes what she/he needs")</f>
        <v>Manager who clearly describes what she/he needs</v>
      </c>
      <c r="P438" s="1" t="str">
        <f ca="1">IFERROR(__xludf.DUMMYFUNCTION("""COMPUTED_VALUE"""),"Work with more than 10 people in my team")</f>
        <v>Work with more than 10 people in my team</v>
      </c>
      <c r="Q438" s="1" t="str">
        <f ca="1">IFERROR(__xludf.DUMMYFUNCTION("""COMPUTED_VALUE"""),"No")</f>
        <v>No</v>
      </c>
      <c r="R438" s="1" t="str">
        <f ca="1">IFERROR(__xludf.DUMMYFUNCTION("""COMPUTED_VALUE"""),"Will work for 7 years or more")</f>
        <v>Will work for 7 years or more</v>
      </c>
      <c r="S438" s="1"/>
    </row>
    <row r="439" spans="1:19" ht="12.5" x14ac:dyDescent="0.25">
      <c r="A439" s="2">
        <f ca="1">IFERROR(__xludf.DUMMYFUNCTION("""COMPUTED_VALUE"""),45021.468045324)</f>
        <v>45021.468045324</v>
      </c>
      <c r="B439" s="1" t="str">
        <f ca="1">IFERROR(__xludf.DUMMYFUNCTION("""COMPUTED_VALUE"""),"India")</f>
        <v>India</v>
      </c>
      <c r="C439" s="1">
        <f ca="1">IFERROR(__xludf.DUMMYFUNCTION("""COMPUTED_VALUE"""),509209)</f>
        <v>509209</v>
      </c>
      <c r="D439" s="1" t="str">
        <f ca="1">IFERROR(__xludf.DUMMYFUNCTION("""COMPUTED_VALUE"""),"Female")</f>
        <v>Female</v>
      </c>
      <c r="E439" s="1" t="str">
        <f ca="1">IFERROR(__xludf.DUMMYFUNCTION("""COMPUTED_VALUE"""),"My Parents")</f>
        <v>My Parents</v>
      </c>
      <c r="F439" s="1" t="str">
        <f ca="1">IFERROR(__xludf.DUMMYFUNCTION("""COMPUTED_VALUE"""),"Yes, I will earn and do that")</f>
        <v>Yes, I will earn and do that</v>
      </c>
      <c r="G439" s="1" t="str">
        <f ca="1">IFERROR(__xludf.DUMMYFUNCTION("""COMPUTED_VALUE"""),"This will be hard to do, but if it is the right company I would try")</f>
        <v>This will be hard to do, but if it is the right company I would try</v>
      </c>
      <c r="H439" s="1" t="str">
        <f ca="1">IFERROR(__xludf.DUMMYFUNCTION("""COMPUTED_VALUE"""),"No")</f>
        <v>No</v>
      </c>
      <c r="I439" s="1" t="str">
        <f ca="1">IFERROR(__xludf.DUMMYFUNCTION("""COMPUTED_VALUE"""),"Will NOT work for them")</f>
        <v>Will NOT work for them</v>
      </c>
      <c r="J439" s="1">
        <f ca="1">IFERROR(__xludf.DUMMYFUNCTION("""COMPUTED_VALUE"""),1)</f>
        <v>1</v>
      </c>
      <c r="K439" s="1" t="str">
        <f ca="1">IFERROR(__xludf.DUMMYFUNCTION("""COMPUTED_VALUE"""),"Fully Remote with Options to travel as and when needed")</f>
        <v>Fully Remote with Options to travel as and when needed</v>
      </c>
      <c r="L439" s="1" t="str">
        <f ca="1">IFERROR(__xludf.DUMMYFUNCTION("""COMPUTED_VALUE"""),"Employer who appreciates learning and enables that environment")</f>
        <v>Employer who appreciates learning and enables that environment</v>
      </c>
      <c r="M43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439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439" s="1" t="str">
        <f ca="1">IFERROR(__xludf.DUMMYFUNCTION("""COMPUTED_VALUE"""),"Manager who clearly describes what she/he needs")</f>
        <v>Manager who clearly describes what she/he needs</v>
      </c>
      <c r="P439" s="1" t="str">
        <f ca="1">IFERROR(__xludf.DUMMYFUNCTION("""COMPUTED_VALUE"""),"Work with 2 to 3 people in my team")</f>
        <v>Work with 2 to 3 people in my team</v>
      </c>
      <c r="Q439" s="1" t="str">
        <f ca="1">IFERROR(__xludf.DUMMYFUNCTION("""COMPUTED_VALUE"""),"No")</f>
        <v>No</v>
      </c>
      <c r="R439" s="1" t="str">
        <f ca="1">IFERROR(__xludf.DUMMYFUNCTION("""COMPUTED_VALUE"""),"No way")</f>
        <v>No way</v>
      </c>
      <c r="S439" s="1"/>
    </row>
    <row r="440" spans="1:19" ht="12.5" x14ac:dyDescent="0.25">
      <c r="A440" s="2">
        <f ca="1">IFERROR(__xludf.DUMMYFUNCTION("""COMPUTED_VALUE"""),45021.4698859606)</f>
        <v>45021.4698859606</v>
      </c>
      <c r="B440" s="1" t="str">
        <f ca="1">IFERROR(__xludf.DUMMYFUNCTION("""COMPUTED_VALUE"""),"India")</f>
        <v>India</v>
      </c>
      <c r="C440" s="1">
        <f ca="1">IFERROR(__xludf.DUMMYFUNCTION("""COMPUTED_VALUE"""),501505)</f>
        <v>501505</v>
      </c>
      <c r="D440" s="1" t="str">
        <f ca="1">IFERROR(__xludf.DUMMYFUNCTION("""COMPUTED_VALUE"""),"Male")</f>
        <v>Male</v>
      </c>
      <c r="E440" s="1" t="str">
        <f ca="1">IFERROR(__xludf.DUMMYFUNCTION("""COMPUTED_VALUE"""),"My Parents")</f>
        <v>My Parents</v>
      </c>
      <c r="F440" s="1" t="str">
        <f ca="1">IFERROR(__xludf.DUMMYFUNCTION("""COMPUTED_VALUE"""),"Yes, I will earn and do that")</f>
        <v>Yes, I will earn and do that</v>
      </c>
      <c r="G440" s="1" t="str">
        <f ca="1">IFERROR(__xludf.DUMMYFUNCTION("""COMPUTED_VALUE"""),"Will work for 3 years or more")</f>
        <v>Will work for 3 years or more</v>
      </c>
      <c r="H440" s="1" t="str">
        <f ca="1">IFERROR(__xludf.DUMMYFUNCTION("""COMPUTED_VALUE"""),"No")</f>
        <v>No</v>
      </c>
      <c r="I440" s="1" t="str">
        <f ca="1">IFERROR(__xludf.DUMMYFUNCTION("""COMPUTED_VALUE"""),"Will NOT work for them")</f>
        <v>Will NOT work for them</v>
      </c>
      <c r="J440" s="1">
        <f ca="1">IFERROR(__xludf.DUMMYFUNCTION("""COMPUTED_VALUE"""),5)</f>
        <v>5</v>
      </c>
      <c r="K440" s="1" t="str">
        <f ca="1">IFERROR(__xludf.DUMMYFUNCTION("""COMPUTED_VALUE"""),"Hybrid Working Environment with more than 15 days a month at office")</f>
        <v>Hybrid Working Environment with more than 15 days a month at office</v>
      </c>
      <c r="L4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4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440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440" s="1" t="str">
        <f ca="1">IFERROR(__xludf.DUMMYFUNCTION("""COMPUTED_VALUE"""),"Manager who sets goal and helps me achieve it")</f>
        <v>Manager who sets goal and helps me achieve it</v>
      </c>
      <c r="P440" s="1" t="str">
        <f ca="1">IFERROR(__xludf.DUMMYFUNCTION("""COMPUTED_VALUE"""),"Work with 5 to 6 people in my team")</f>
        <v>Work with 5 to 6 people in my team</v>
      </c>
      <c r="Q440" s="1" t="str">
        <f ca="1">IFERROR(__xludf.DUMMYFUNCTION("""COMPUTED_VALUE"""),"Yes, I Understand this is gonna happen everywhere")</f>
        <v>Yes, I Understand this is gonna happen everywhere</v>
      </c>
      <c r="R440" s="1" t="str">
        <f ca="1">IFERROR(__xludf.DUMMYFUNCTION("""COMPUTED_VALUE"""),"This will be hard to do, but if it is the right company I would try")</f>
        <v>This will be hard to do, but if it is the right company I would try</v>
      </c>
      <c r="S440" s="1"/>
    </row>
    <row r="441" spans="1:19" ht="12.5" x14ac:dyDescent="0.25">
      <c r="A441" s="2">
        <f ca="1">IFERROR(__xludf.DUMMYFUNCTION("""COMPUTED_VALUE"""),45021.4727215277)</f>
        <v>45021.472721527702</v>
      </c>
      <c r="B441" s="1" t="str">
        <f ca="1">IFERROR(__xludf.DUMMYFUNCTION("""COMPUTED_VALUE"""),"India")</f>
        <v>India</v>
      </c>
      <c r="C441" s="1">
        <f ca="1">IFERROR(__xludf.DUMMYFUNCTION("""COMPUTED_VALUE"""),442906)</f>
        <v>442906</v>
      </c>
      <c r="D441" s="1" t="str">
        <f ca="1">IFERROR(__xludf.DUMMYFUNCTION("""COMPUTED_VALUE"""),"Male")</f>
        <v>Male</v>
      </c>
      <c r="E441" s="1" t="str">
        <f ca="1">IFERROR(__xludf.DUMMYFUNCTION("""COMPUTED_VALUE"""),"People from my circle, but not family members")</f>
        <v>People from my circle, but not family members</v>
      </c>
      <c r="F441" s="1" t="str">
        <f ca="1">IFERROR(__xludf.DUMMYFUNCTION("""COMPUTED_VALUE"""),"No, But if someone could bare the cost I will")</f>
        <v>No, But if someone could bare the cost I will</v>
      </c>
      <c r="G441" s="1" t="str">
        <f ca="1">IFERROR(__xludf.DUMMYFUNCTION("""COMPUTED_VALUE"""),"Will work for 3 years or more")</f>
        <v>Will work for 3 years or more</v>
      </c>
      <c r="H441" s="1" t="str">
        <f ca="1">IFERROR(__xludf.DUMMYFUNCTION("""COMPUTED_VALUE"""),"Yes")</f>
        <v>Yes</v>
      </c>
      <c r="I441" s="1" t="str">
        <f ca="1">IFERROR(__xludf.DUMMYFUNCTION("""COMPUTED_VALUE"""),"Will work for them")</f>
        <v>Will work for them</v>
      </c>
      <c r="J441" s="1">
        <f ca="1">IFERROR(__xludf.DUMMYFUNCTION("""COMPUTED_VALUE"""),4)</f>
        <v>4</v>
      </c>
      <c r="K441" s="1" t="str">
        <f ca="1">IFERROR(__xludf.DUMMYFUNCTION("""COMPUTED_VALUE"""),"Hybrid Working Environment with more than 15 days a month at office")</f>
        <v>Hybrid Working Environment with more than 15 days a month at office</v>
      </c>
      <c r="L4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41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441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441" s="1" t="str">
        <f ca="1">IFERROR(__xludf.DUMMYFUNCTION("""COMPUTED_VALUE"""),"Manager who explains what is expected, sets a goal and helps achieve it")</f>
        <v>Manager who explains what is expected, sets a goal and helps achieve it</v>
      </c>
      <c r="P441" s="1" t="str">
        <f ca="1">IFERROR(__xludf.DUMMYFUNCTION("""COMPUTED_VALUE"""),"Work with 5 to 6 people in my team")</f>
        <v>Work with 5 to 6 people in my team</v>
      </c>
      <c r="Q441" s="1" t="str">
        <f ca="1">IFERROR(__xludf.DUMMYFUNCTION("""COMPUTED_VALUE"""),"Yes, I Understand this is gonna happen everywhere")</f>
        <v>Yes, I Understand this is gonna happen everywhere</v>
      </c>
      <c r="R441" s="1" t="str">
        <f ca="1">IFERROR(__xludf.DUMMYFUNCTION("""COMPUTED_VALUE"""),"This will be hard to do, but if it is the right company I would try")</f>
        <v>This will be hard to do, but if it is the right company I would try</v>
      </c>
      <c r="S441" s="1"/>
    </row>
    <row r="442" spans="1:19" ht="12.5" x14ac:dyDescent="0.25">
      <c r="A442" s="2">
        <f ca="1">IFERROR(__xludf.DUMMYFUNCTION("""COMPUTED_VALUE"""),45021.472915023)</f>
        <v>45021.4729150231</v>
      </c>
      <c r="B442" s="1" t="str">
        <f ca="1">IFERROR(__xludf.DUMMYFUNCTION("""COMPUTED_VALUE"""),"Canada")</f>
        <v>Canada</v>
      </c>
      <c r="C442" s="1">
        <f ca="1">IFERROR(__xludf.DUMMYFUNCTION("""COMPUTED_VALUE"""),508213)</f>
        <v>508213</v>
      </c>
      <c r="D442" s="1" t="str">
        <f ca="1">IFERROR(__xludf.DUMMYFUNCTION("""COMPUTED_VALUE"""),"Male")</f>
        <v>Male</v>
      </c>
      <c r="E442" s="1" t="str">
        <f ca="1">IFERROR(__xludf.DUMMYFUNCTION("""COMPUTED_VALUE"""),"Influencers who had successful careers")</f>
        <v>Influencers who had successful careers</v>
      </c>
      <c r="F442" s="1" t="str">
        <f ca="1">IFERROR(__xludf.DUMMYFUNCTION("""COMPUTED_VALUE"""),"Yes, I will earn and do that")</f>
        <v>Yes, I will earn and do that</v>
      </c>
      <c r="G442" s="1" t="str">
        <f ca="1">IFERROR(__xludf.DUMMYFUNCTION("""COMPUTED_VALUE"""),"Will work for 3 years or more")</f>
        <v>Will work for 3 years or more</v>
      </c>
      <c r="H442" s="1" t="str">
        <f ca="1">IFERROR(__xludf.DUMMYFUNCTION("""COMPUTED_VALUE"""),"Yes")</f>
        <v>Yes</v>
      </c>
      <c r="I442" s="1" t="str">
        <f ca="1">IFERROR(__xludf.DUMMYFUNCTION("""COMPUTED_VALUE"""),"Will work for them")</f>
        <v>Will work for them</v>
      </c>
      <c r="J442" s="1">
        <f ca="1">IFERROR(__xludf.DUMMYFUNCTION("""COMPUTED_VALUE"""),3)</f>
        <v>3</v>
      </c>
      <c r="K442" s="1" t="str">
        <f ca="1">IFERROR(__xludf.DUMMYFUNCTION("""COMPUTED_VALUE"""),"Fully Remote with Options to travel as and when needed")</f>
        <v>Fully Remote with Options to travel as and when needed</v>
      </c>
      <c r="L4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4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42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442" s="1" t="str">
        <f ca="1">IFERROR(__xludf.DUMMYFUNCTION("""COMPUTED_VALUE"""),"Manager who explains what is expected, sets a goal and helps achieve it")</f>
        <v>Manager who explains what is expected, sets a goal and helps achieve it</v>
      </c>
      <c r="P442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442" s="1" t="str">
        <f ca="1">IFERROR(__xludf.DUMMYFUNCTION("""COMPUTED_VALUE"""),"Yes, I Understand this is gonna happen everywhere")</f>
        <v>Yes, I Understand this is gonna happen everywhere</v>
      </c>
      <c r="R442" s="1" t="str">
        <f ca="1">IFERROR(__xludf.DUMMYFUNCTION("""COMPUTED_VALUE"""),"This will be hard to do, but if it is the right company I would try")</f>
        <v>This will be hard to do, but if it is the right company I would try</v>
      </c>
      <c r="S442" s="1"/>
    </row>
    <row r="443" spans="1:19" ht="12.5" x14ac:dyDescent="0.25">
      <c r="A443" s="2">
        <f ca="1">IFERROR(__xludf.DUMMYFUNCTION("""COMPUTED_VALUE"""),45021.4729779976)</f>
        <v>45021.472977997597</v>
      </c>
      <c r="B443" s="1" t="str">
        <f ca="1">IFERROR(__xludf.DUMMYFUNCTION("""COMPUTED_VALUE"""),"India")</f>
        <v>India</v>
      </c>
      <c r="C443" s="1">
        <f ca="1">IFERROR(__xludf.DUMMYFUNCTION("""COMPUTED_VALUE"""),500079)</f>
        <v>500079</v>
      </c>
      <c r="D443" s="1" t="str">
        <f ca="1">IFERROR(__xludf.DUMMYFUNCTION("""COMPUTED_VALUE"""),"Female")</f>
        <v>Female</v>
      </c>
      <c r="E443" s="1" t="str">
        <f ca="1">IFERROR(__xludf.DUMMYFUNCTION("""COMPUTED_VALUE"""),"People who have changed the world for better")</f>
        <v>People who have changed the world for better</v>
      </c>
      <c r="F443" s="1" t="str">
        <f ca="1">IFERROR(__xludf.DUMMYFUNCTION("""COMPUTED_VALUE"""),"No I would not be pursuing Higher Education outside of India")</f>
        <v>No I would not be pursuing Higher Education outside of India</v>
      </c>
      <c r="G443" s="1" t="str">
        <f ca="1">IFERROR(__xludf.DUMMYFUNCTION("""COMPUTED_VALUE"""),"Will work for 3 years or more")</f>
        <v>Will work for 3 years or more</v>
      </c>
      <c r="H443" s="1" t="str">
        <f ca="1">IFERROR(__xludf.DUMMYFUNCTION("""COMPUTED_VALUE"""),"No")</f>
        <v>No</v>
      </c>
      <c r="I443" s="1" t="str">
        <f ca="1">IFERROR(__xludf.DUMMYFUNCTION("""COMPUTED_VALUE"""),"Will NOT work for them")</f>
        <v>Will NOT work for them</v>
      </c>
      <c r="J443" s="1">
        <f ca="1">IFERROR(__xludf.DUMMYFUNCTION("""COMPUTED_VALUE"""),1)</f>
        <v>1</v>
      </c>
      <c r="K443" s="1" t="str">
        <f ca="1">IFERROR(__xludf.DUMMYFUNCTION("""COMPUTED_VALUE"""),"Hybrid Working Environment with less than 3 days a month at office")</f>
        <v>Hybrid Working Environment with less than 3 days a month at office</v>
      </c>
      <c r="L443" s="1" t="str">
        <f ca="1">IFERROR(__xludf.DUMMYFUNCTION("""COMPUTED_VALUE"""),"Employer who appreciates learning and enables that environment")</f>
        <v>Employer who appreciates learning and enables that environment</v>
      </c>
      <c r="M4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4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443" s="1" t="str">
        <f ca="1">IFERROR(__xludf.DUMMYFUNCTION("""COMPUTED_VALUE"""),"Manager who explains what is expected, sets a goal and helps achieve it")</f>
        <v>Manager who explains what is expected, sets a goal and helps achieve it</v>
      </c>
      <c r="P443" s="1" t="str">
        <f ca="1">IFERROR(__xludf.DUMMYFUNCTION("""COMPUTED_VALUE"""),"Work alone")</f>
        <v>Work alone</v>
      </c>
      <c r="Q443" s="1" t="str">
        <f ca="1">IFERROR(__xludf.DUMMYFUNCTION("""COMPUTED_VALUE"""),"No")</f>
        <v>No</v>
      </c>
      <c r="R443" s="1" t="str">
        <f ca="1">IFERROR(__xludf.DUMMYFUNCTION("""COMPUTED_VALUE"""),"This will be hard to do, but if it is the right company I would try")</f>
        <v>This will be hard to do, but if it is the right company I would try</v>
      </c>
      <c r="S443" s="1"/>
    </row>
    <row r="444" spans="1:19" ht="12.5" x14ac:dyDescent="0.25">
      <c r="A444" s="2">
        <f ca="1">IFERROR(__xludf.DUMMYFUNCTION("""COMPUTED_VALUE"""),45021.4731972453)</f>
        <v>45021.473197245301</v>
      </c>
      <c r="B444" s="1" t="str">
        <f ca="1">IFERROR(__xludf.DUMMYFUNCTION("""COMPUTED_VALUE"""),"India")</f>
        <v>India</v>
      </c>
      <c r="C444" s="1">
        <f ca="1">IFERROR(__xludf.DUMMYFUNCTION("""COMPUTED_VALUE"""),500070)</f>
        <v>500070</v>
      </c>
      <c r="D444" s="1" t="str">
        <f ca="1">IFERROR(__xludf.DUMMYFUNCTION("""COMPUTED_VALUE"""),"Female")</f>
        <v>Female</v>
      </c>
      <c r="E444" s="1" t="str">
        <f ca="1">IFERROR(__xludf.DUMMYFUNCTION("""COMPUTED_VALUE"""),"My Parents")</f>
        <v>My Parents</v>
      </c>
      <c r="F444" s="1" t="str">
        <f ca="1">IFERROR(__xludf.DUMMYFUNCTION("""COMPUTED_VALUE"""),"No, But if someone could bare the cost I will")</f>
        <v>No, But if someone could bare the cost I will</v>
      </c>
      <c r="G444" s="1" t="str">
        <f ca="1">IFERROR(__xludf.DUMMYFUNCTION("""COMPUTED_VALUE"""),"This will be hard to do, but if it is the right company I would try")</f>
        <v>This will be hard to do, but if it is the right company I would try</v>
      </c>
      <c r="H444" s="1" t="str">
        <f ca="1">IFERROR(__xludf.DUMMYFUNCTION("""COMPUTED_VALUE"""),"No")</f>
        <v>No</v>
      </c>
      <c r="I444" s="1" t="str">
        <f ca="1">IFERROR(__xludf.DUMMYFUNCTION("""COMPUTED_VALUE"""),"Will NOT work for them")</f>
        <v>Will NOT work for them</v>
      </c>
      <c r="J444" s="1">
        <f ca="1">IFERROR(__xludf.DUMMYFUNCTION("""COMPUTED_VALUE"""),2)</f>
        <v>2</v>
      </c>
      <c r="K444" s="1" t="str">
        <f ca="1">IFERROR(__xludf.DUMMYFUNCTION("""COMPUTED_VALUE"""),"Fully Remote with Options to travel as and when needed")</f>
        <v>Fully Remote with Options to travel as and when needed</v>
      </c>
      <c r="L444" s="1" t="str">
        <f ca="1">IFERROR(__xludf.DUMMYFUNCTION("""COMPUTED_VALUE"""),"Employer who appreciates learning and enables that environment")</f>
        <v>Employer who appreciates learning and enables that environment</v>
      </c>
      <c r="M44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44" s="1" t="str">
        <f ca="1">IFERROR(__xludf.DUMMYFUNCTION("""COMPUTED_VALUE"""),"Design and Creative strategy in any company, Manage and drive End-to-End Projects or Products, Design and Develop amazing software, An Artificial Intelligence Specialist / Talking to Robots")</f>
        <v>Design and Creative strategy in any company, Manage and drive End-to-End Projects or Products, Design and Develop amazing software, An Artificial Intelligence Specialist / Talking to Robots</v>
      </c>
      <c r="O444" s="1" t="str">
        <f ca="1">IFERROR(__xludf.DUMMYFUNCTION("""COMPUTED_VALUE"""),"Manager who explains what is expected, sets a goal and helps achieve it")</f>
        <v>Manager who explains what is expected, sets a goal and helps achieve it</v>
      </c>
      <c r="P444" s="1" t="str">
        <f ca="1">IFERROR(__xludf.DUMMYFUNCTION("""COMPUTED_VALUE"""),"Work with 2 to 3 people in my team")</f>
        <v>Work with 2 to 3 people in my team</v>
      </c>
      <c r="Q444" s="1" t="str">
        <f ca="1">IFERROR(__xludf.DUMMYFUNCTION("""COMPUTED_VALUE"""),"No")</f>
        <v>No</v>
      </c>
      <c r="R444" s="1" t="str">
        <f ca="1">IFERROR(__xludf.DUMMYFUNCTION("""COMPUTED_VALUE"""),"No way")</f>
        <v>No way</v>
      </c>
      <c r="S444" s="1"/>
    </row>
    <row r="445" spans="1:19" ht="12.5" x14ac:dyDescent="0.25">
      <c r="A445" s="2">
        <f ca="1">IFERROR(__xludf.DUMMYFUNCTION("""COMPUTED_VALUE"""),45021.473929618)</f>
        <v>45021.473929617998</v>
      </c>
      <c r="B445" s="1" t="str">
        <f ca="1">IFERROR(__xludf.DUMMYFUNCTION("""COMPUTED_VALUE"""),"India")</f>
        <v>India</v>
      </c>
      <c r="C445" s="1">
        <f ca="1">IFERROR(__xludf.DUMMYFUNCTION("""COMPUTED_VALUE"""),509209)</f>
        <v>509209</v>
      </c>
      <c r="D445" s="1" t="str">
        <f ca="1">IFERROR(__xludf.DUMMYFUNCTION("""COMPUTED_VALUE"""),"Female")</f>
        <v>Female</v>
      </c>
      <c r="E445" s="1" t="str">
        <f ca="1">IFERROR(__xludf.DUMMYFUNCTION("""COMPUTED_VALUE"""),"My Parents")</f>
        <v>My Parents</v>
      </c>
      <c r="F445" s="1" t="str">
        <f ca="1">IFERROR(__xludf.DUMMYFUNCTION("""COMPUTED_VALUE"""),"No I would not be pursuing Higher Education outside of India")</f>
        <v>No I would not be pursuing Higher Education outside of India</v>
      </c>
      <c r="G445" s="1" t="str">
        <f ca="1">IFERROR(__xludf.DUMMYFUNCTION("""COMPUTED_VALUE"""),"This will be hard to do, but if it is the right company I would try")</f>
        <v>This will be hard to do, but if it is the right company I would try</v>
      </c>
      <c r="H445" s="1" t="str">
        <f ca="1">IFERROR(__xludf.DUMMYFUNCTION("""COMPUTED_VALUE"""),"No")</f>
        <v>No</v>
      </c>
      <c r="I445" s="1" t="str">
        <f ca="1">IFERROR(__xludf.DUMMYFUNCTION("""COMPUTED_VALUE"""),"Will NOT work for them")</f>
        <v>Will NOT work for them</v>
      </c>
      <c r="J445" s="1">
        <f ca="1">IFERROR(__xludf.DUMMYFUNCTION("""COMPUTED_VALUE"""),6)</f>
        <v>6</v>
      </c>
      <c r="K445" s="1" t="str">
        <f ca="1">IFERROR(__xludf.DUMMYFUNCTION("""COMPUTED_VALUE"""),"Fully Remote with Options to travel as and when needed")</f>
        <v>Fully Remote with Options to travel as and when needed</v>
      </c>
      <c r="L4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4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45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445" s="1" t="str">
        <f ca="1">IFERROR(__xludf.DUMMYFUNCTION("""COMPUTED_VALUE"""),"Manager who explains what is expected, sets a goal and helps achieve it")</f>
        <v>Manager who explains what is expected, sets a goal and helps achieve it</v>
      </c>
      <c r="P445" s="1" t="str">
        <f ca="1">IFERROR(__xludf.DUMMYFUNCTION("""COMPUTED_VALUE"""),"Work with 2 to 3 people in my team, Work with 5 to 6 people in my team")</f>
        <v>Work with 2 to 3 people in my team, Work with 5 to 6 people in my team</v>
      </c>
      <c r="Q445" s="1" t="str">
        <f ca="1">IFERROR(__xludf.DUMMYFUNCTION("""COMPUTED_VALUE"""),"Yes, I Understand this is gonna happen everywhere")</f>
        <v>Yes, I Understand this is gonna happen everywhere</v>
      </c>
      <c r="R445" s="1" t="str">
        <f ca="1">IFERROR(__xludf.DUMMYFUNCTION("""COMPUTED_VALUE"""),"This will be hard to do, but if it is the right company I would try")</f>
        <v>This will be hard to do, but if it is the right company I would try</v>
      </c>
      <c r="S445" s="1"/>
    </row>
    <row r="446" spans="1:19" ht="12.5" x14ac:dyDescent="0.25">
      <c r="A446" s="2">
        <f ca="1">IFERROR(__xludf.DUMMYFUNCTION("""COMPUTED_VALUE"""),45021.4744186689)</f>
        <v>45021.474418668899</v>
      </c>
      <c r="B446" s="1" t="str">
        <f ca="1">IFERROR(__xludf.DUMMYFUNCTION("""COMPUTED_VALUE"""),"India")</f>
        <v>India</v>
      </c>
      <c r="C446" s="1">
        <f ca="1">IFERROR(__xludf.DUMMYFUNCTION("""COMPUTED_VALUE"""),600056)</f>
        <v>600056</v>
      </c>
      <c r="D446" s="1" t="str">
        <f ca="1">IFERROR(__xludf.DUMMYFUNCTION("""COMPUTED_VALUE"""),"Male")</f>
        <v>Male</v>
      </c>
      <c r="E446" s="1" t="str">
        <f ca="1">IFERROR(__xludf.DUMMYFUNCTION("""COMPUTED_VALUE"""),"My Parents")</f>
        <v>My Parents</v>
      </c>
      <c r="F446" s="1" t="str">
        <f ca="1">IFERROR(__xludf.DUMMYFUNCTION("""COMPUTED_VALUE"""),"No I would not be pursuing Higher Education outside of India")</f>
        <v>No I would not be pursuing Higher Education outside of India</v>
      </c>
      <c r="G446" s="1" t="str">
        <f ca="1">IFERROR(__xludf.DUMMYFUNCTION("""COMPUTED_VALUE"""),"Will work for 3 years or more")</f>
        <v>Will work for 3 years or more</v>
      </c>
      <c r="H446" s="1" t="str">
        <f ca="1">IFERROR(__xludf.DUMMYFUNCTION("""COMPUTED_VALUE"""),"No")</f>
        <v>No</v>
      </c>
      <c r="I446" s="1" t="str">
        <f ca="1">IFERROR(__xludf.DUMMYFUNCTION("""COMPUTED_VALUE"""),"Will NOT work for them")</f>
        <v>Will NOT work for them</v>
      </c>
      <c r="J446" s="1">
        <f ca="1">IFERROR(__xludf.DUMMYFUNCTION("""COMPUTED_VALUE"""),9)</f>
        <v>9</v>
      </c>
      <c r="K446" s="1" t="str">
        <f ca="1">IFERROR(__xludf.DUMMYFUNCTION("""COMPUTED_VALUE"""),"Hybrid Working Environment with more than 15 days a month at office")</f>
        <v>Hybrid Working Environment with more than 15 days a month at office</v>
      </c>
      <c r="L446" s="1" t="str">
        <f ca="1">IFERROR(__xludf.DUMMYFUNCTION("""COMPUTED_VALUE"""),"Employer who rewards learning and enables that environment")</f>
        <v>Employer who rewards learning and enables that environment</v>
      </c>
      <c r="M44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446" s="1" t="str">
        <f ca="1">IFERROR(__xludf.DUMMYFUNCTION("""COMPUTED_VALUE"""),"Design and Creative strategy in any company, Build and develop a Team, Become a content Creator in some platform, Manufacturing / Oil and Gas/ Construction / Hard Physical Work related")</f>
        <v>Design and Creative strategy in any company, Build and develop a Team, Become a content Creator in some platform, Manufacturing / Oil and Gas/ Construction / Hard Physical Work related</v>
      </c>
      <c r="O446" s="1" t="str">
        <f ca="1">IFERROR(__xludf.DUMMYFUNCTION("""COMPUTED_VALUE"""),"Manager who clearly describes what she/he needs")</f>
        <v>Manager who clearly describes what she/he needs</v>
      </c>
      <c r="P446" s="1" t="str">
        <f ca="1">IFERROR(__xludf.DUMMYFUNCTION("""COMPUTED_VALUE"""),"Work with 2 to 3 people in my team")</f>
        <v>Work with 2 to 3 people in my team</v>
      </c>
      <c r="Q446" s="1" t="str">
        <f ca="1">IFERROR(__xludf.DUMMYFUNCTION("""COMPUTED_VALUE"""),"Yes, I Understand this is gonna happen everywhere")</f>
        <v>Yes, I Understand this is gonna happen everywhere</v>
      </c>
      <c r="R446" s="1" t="str">
        <f ca="1">IFERROR(__xludf.DUMMYFUNCTION("""COMPUTED_VALUE"""),"Will work for 7 years or more")</f>
        <v>Will work for 7 years or more</v>
      </c>
      <c r="S446" s="1"/>
    </row>
    <row r="447" spans="1:19" ht="12.5" x14ac:dyDescent="0.25">
      <c r="A447" s="2">
        <f ca="1">IFERROR(__xludf.DUMMYFUNCTION("""COMPUTED_VALUE"""),45021.4755988773)</f>
        <v>45021.475598877303</v>
      </c>
      <c r="B447" s="1" t="str">
        <f ca="1">IFERROR(__xludf.DUMMYFUNCTION("""COMPUTED_VALUE"""),"Others")</f>
        <v>Others</v>
      </c>
      <c r="C447" s="1">
        <f ca="1">IFERROR(__xludf.DUMMYFUNCTION("""COMPUTED_VALUE"""),312)</f>
        <v>312</v>
      </c>
      <c r="D447" s="1" t="str">
        <f ca="1">IFERROR(__xludf.DUMMYFUNCTION("""COMPUTED_VALUE"""),"Male")</f>
        <v>Male</v>
      </c>
      <c r="E447" s="1" t="str">
        <f ca="1">IFERROR(__xludf.DUMMYFUNCTION("""COMPUTED_VALUE"""),"People who have changed the world for better")</f>
        <v>People who have changed the world for better</v>
      </c>
      <c r="F447" s="1" t="str">
        <f ca="1">IFERROR(__xludf.DUMMYFUNCTION("""COMPUTED_VALUE"""),"No, But if someone could bare the cost I will")</f>
        <v>No, But if someone could bare the cost I will</v>
      </c>
      <c r="G447" s="1" t="str">
        <f ca="1">IFERROR(__xludf.DUMMYFUNCTION("""COMPUTED_VALUE"""),"This will be hard to do, but if it is the right company I would try")</f>
        <v>This will be hard to do, but if it is the right company I would try</v>
      </c>
      <c r="H447" s="1" t="str">
        <f ca="1">IFERROR(__xludf.DUMMYFUNCTION("""COMPUTED_VALUE"""),"No")</f>
        <v>No</v>
      </c>
      <c r="I447" s="1" t="str">
        <f ca="1">IFERROR(__xludf.DUMMYFUNCTION("""COMPUTED_VALUE"""),"Will NOT work for them")</f>
        <v>Will NOT work for them</v>
      </c>
      <c r="J447" s="1">
        <f ca="1">IFERROR(__xludf.DUMMYFUNCTION("""COMPUTED_VALUE"""),5)</f>
        <v>5</v>
      </c>
      <c r="K447" s="1" t="str">
        <f ca="1">IFERROR(__xludf.DUMMYFUNCTION("""COMPUTED_VALUE"""),"Hybrid Working Environment with less than 3 days a month at office")</f>
        <v>Hybrid Working Environment with less than 3 days a month at office</v>
      </c>
      <c r="L4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4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47" s="1" t="str">
        <f ca="1">IFERROR(__xludf.DUMMYFUNCTION("""COMPUTED_VALUE"""),"Design and Creative strategy in any company, Become a content Creator in some platform, Entrepreneur or Start Up, I Want to sell things/Sales")</f>
        <v>Design and Creative strategy in any company, Become a content Creator in some platform, Entrepreneur or Start Up, I Want to sell things/Sales</v>
      </c>
      <c r="O447" s="1" t="str">
        <f ca="1">IFERROR(__xludf.DUMMYFUNCTION("""COMPUTED_VALUE"""),"Manager who sets goal and helps me achieve it")</f>
        <v>Manager who sets goal and helps me achieve it</v>
      </c>
      <c r="P447" s="1" t="str">
        <f ca="1">IFERROR(__xludf.DUMMYFUNCTION("""COMPUTED_VALUE"""),"Work with more than 10 people in my team")</f>
        <v>Work with more than 10 people in my team</v>
      </c>
      <c r="Q447" s="1" t="str">
        <f ca="1">IFERROR(__xludf.DUMMYFUNCTION("""COMPUTED_VALUE"""),"Yes, I Understand this is gonna happen everywhere")</f>
        <v>Yes, I Understand this is gonna happen everywhere</v>
      </c>
      <c r="R447" s="1" t="str">
        <f ca="1">IFERROR(__xludf.DUMMYFUNCTION("""COMPUTED_VALUE"""),"This will be hard to do, but if it is the right company I would try")</f>
        <v>This will be hard to do, but if it is the right company I would try</v>
      </c>
      <c r="S447" s="1"/>
    </row>
    <row r="448" spans="1:19" ht="12.5" x14ac:dyDescent="0.25">
      <c r="A448" s="2">
        <f ca="1">IFERROR(__xludf.DUMMYFUNCTION("""COMPUTED_VALUE"""),45021.4758880208)</f>
        <v>45021.475888020803</v>
      </c>
      <c r="B448" s="1" t="str">
        <f ca="1">IFERROR(__xludf.DUMMYFUNCTION("""COMPUTED_VALUE"""),"India")</f>
        <v>India</v>
      </c>
      <c r="C448" s="1">
        <f ca="1">IFERROR(__xludf.DUMMYFUNCTION("""COMPUTED_VALUE"""),500078)</f>
        <v>500078</v>
      </c>
      <c r="D448" s="1" t="str">
        <f ca="1">IFERROR(__xludf.DUMMYFUNCTION("""COMPUTED_VALUE"""),"Male")</f>
        <v>Male</v>
      </c>
      <c r="E448" s="1" t="str">
        <f ca="1">IFERROR(__xludf.DUMMYFUNCTION("""COMPUTED_VALUE"""),"People from my circle, but not family members")</f>
        <v>People from my circle, but not family members</v>
      </c>
      <c r="F448" s="1" t="str">
        <f ca="1">IFERROR(__xludf.DUMMYFUNCTION("""COMPUTED_VALUE"""),"No, But if someone could bare the cost I will")</f>
        <v>No, But if someone could bare the cost I will</v>
      </c>
      <c r="G448" s="1" t="str">
        <f ca="1">IFERROR(__xludf.DUMMYFUNCTION("""COMPUTED_VALUE"""),"This will be hard to do, but if it is the right company I would try")</f>
        <v>This will be hard to do, but if it is the right company I would try</v>
      </c>
      <c r="H448" s="1" t="str">
        <f ca="1">IFERROR(__xludf.DUMMYFUNCTION("""COMPUTED_VALUE"""),"No")</f>
        <v>No</v>
      </c>
      <c r="I448" s="1" t="str">
        <f ca="1">IFERROR(__xludf.DUMMYFUNCTION("""COMPUTED_VALUE"""),"Will NOT work for them")</f>
        <v>Will NOT work for them</v>
      </c>
      <c r="J448" s="1">
        <f ca="1">IFERROR(__xludf.DUMMYFUNCTION("""COMPUTED_VALUE"""),1)</f>
        <v>1</v>
      </c>
      <c r="K448" s="1" t="str">
        <f ca="1">IFERROR(__xludf.DUMMYFUNCTION("""COMPUTED_VALUE"""),"Hybrid Working Environment with more than 15 days a month at office")</f>
        <v>Hybrid Working Environment with more than 15 days a month at office</v>
      </c>
      <c r="L448" s="1" t="str">
        <f ca="1">IFERROR(__xludf.DUMMYFUNCTION("""COMPUTED_VALUE"""),"Employer who appreciates learning and enables that environment")</f>
        <v>Employer who appreciates learning and enables that environment</v>
      </c>
      <c r="M44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448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448" s="1" t="str">
        <f ca="1">IFERROR(__xludf.DUMMYFUNCTION("""COMPUTED_VALUE"""),"Manager who sets goal and helps me achieve it")</f>
        <v>Manager who sets goal and helps me achieve it</v>
      </c>
      <c r="P448" s="1" t="str">
        <f ca="1">IFERROR(__xludf.DUMMYFUNCTION("""COMPUTED_VALUE"""),"Work with 2 to 3 people in my team")</f>
        <v>Work with 2 to 3 people in my team</v>
      </c>
      <c r="Q448" s="1" t="str">
        <f ca="1">IFERROR(__xludf.DUMMYFUNCTION("""COMPUTED_VALUE"""),"No")</f>
        <v>No</v>
      </c>
      <c r="R448" s="1" t="str">
        <f ca="1">IFERROR(__xludf.DUMMYFUNCTION("""COMPUTED_VALUE"""),"No way")</f>
        <v>No way</v>
      </c>
      <c r="S448" s="1"/>
    </row>
    <row r="449" spans="1:19" ht="12.5" x14ac:dyDescent="0.25">
      <c r="A449" s="2">
        <f ca="1">IFERROR(__xludf.DUMMYFUNCTION("""COMPUTED_VALUE"""),45021.4762895138)</f>
        <v>45021.476289513797</v>
      </c>
      <c r="B449" s="1" t="str">
        <f ca="1">IFERROR(__xludf.DUMMYFUNCTION("""COMPUTED_VALUE"""),"India")</f>
        <v>India</v>
      </c>
      <c r="C449" s="1">
        <f ca="1">IFERROR(__xludf.DUMMYFUNCTION("""COMPUTED_VALUE"""),500068)</f>
        <v>500068</v>
      </c>
      <c r="D449" s="1" t="str">
        <f ca="1">IFERROR(__xludf.DUMMYFUNCTION("""COMPUTED_VALUE"""),"Male")</f>
        <v>Male</v>
      </c>
      <c r="E449" s="1" t="str">
        <f ca="1">IFERROR(__xludf.DUMMYFUNCTION("""COMPUTED_VALUE"""),"My Parents")</f>
        <v>My Parents</v>
      </c>
      <c r="F449" s="1" t="str">
        <f ca="1">IFERROR(__xludf.DUMMYFUNCTION("""COMPUTED_VALUE"""),"Yes, I will earn and do that")</f>
        <v>Yes, I will earn and do that</v>
      </c>
      <c r="G449" s="1" t="str">
        <f ca="1">IFERROR(__xludf.DUMMYFUNCTION("""COMPUTED_VALUE"""),"This will be hard to do, but if it is the right company I would try")</f>
        <v>This will be hard to do, but if it is the right company I would try</v>
      </c>
      <c r="H449" s="1" t="str">
        <f ca="1">IFERROR(__xludf.DUMMYFUNCTION("""COMPUTED_VALUE"""),"No")</f>
        <v>No</v>
      </c>
      <c r="I449" s="1" t="str">
        <f ca="1">IFERROR(__xludf.DUMMYFUNCTION("""COMPUTED_VALUE"""),"Will work for them")</f>
        <v>Will work for them</v>
      </c>
      <c r="J449" s="1">
        <f ca="1">IFERROR(__xludf.DUMMYFUNCTION("""COMPUTED_VALUE"""),4)</f>
        <v>4</v>
      </c>
      <c r="K449" s="1" t="str">
        <f ca="1">IFERROR(__xludf.DUMMYFUNCTION("""COMPUTED_VALUE"""),"Fully Remote with Options to travel as and when needed")</f>
        <v>Fully Remote with Options to travel as and when needed</v>
      </c>
      <c r="L4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4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449" s="1" t="str">
        <f ca="1">IFERROR(__xludf.DUMMYFUNCTION("""COMPUTED_VALUE"""),"Build and develop a Team, Design and Develop amazing software, Work as a freelancer and do my thing my way, Entrepreneur or Start Up")</f>
        <v>Build and develop a Team, Design and Develop amazing software, Work as a freelancer and do my thing my way, Entrepreneur or Start Up</v>
      </c>
      <c r="O449" s="1" t="str">
        <f ca="1">IFERROR(__xludf.DUMMYFUNCTION("""COMPUTED_VALUE"""),"Manager who explains what is expected, sets a goal and helps achieve it")</f>
        <v>Manager who explains what is expected, sets a goal and helps achieve it</v>
      </c>
      <c r="P449" s="1" t="str">
        <f ca="1">IFERROR(__xludf.DUMMYFUNCTION("""COMPUTED_VALUE"""),"Work with 2 to 3 people in my team")</f>
        <v>Work with 2 to 3 people in my team</v>
      </c>
      <c r="Q449" s="1" t="str">
        <f ca="1">IFERROR(__xludf.DUMMYFUNCTION("""COMPUTED_VALUE"""),"Yes, I Understand this is gonna happen everywhere")</f>
        <v>Yes, I Understand this is gonna happen everywhere</v>
      </c>
      <c r="R449" s="1" t="str">
        <f ca="1">IFERROR(__xludf.DUMMYFUNCTION("""COMPUTED_VALUE"""),"This will be hard to do, but if it is the right company I would try")</f>
        <v>This will be hard to do, but if it is the right company I would try</v>
      </c>
      <c r="S449" s="1"/>
    </row>
    <row r="450" spans="1:19" ht="12.5" x14ac:dyDescent="0.25">
      <c r="A450" s="2">
        <f ca="1">IFERROR(__xludf.DUMMYFUNCTION("""COMPUTED_VALUE"""),45021.4775208564)</f>
        <v>45021.477520856402</v>
      </c>
      <c r="B450" s="1" t="str">
        <f ca="1">IFERROR(__xludf.DUMMYFUNCTION("""COMPUTED_VALUE"""),"India")</f>
        <v>India</v>
      </c>
      <c r="C450" s="1">
        <f ca="1">IFERROR(__xludf.DUMMYFUNCTION("""COMPUTED_VALUE"""),500097)</f>
        <v>500097</v>
      </c>
      <c r="D450" s="1" t="str">
        <f ca="1">IFERROR(__xludf.DUMMYFUNCTION("""COMPUTED_VALUE"""),"Female")</f>
        <v>Female</v>
      </c>
      <c r="E450" s="1" t="str">
        <f ca="1">IFERROR(__xludf.DUMMYFUNCTION("""COMPUTED_VALUE"""),"Social Media like LinkedIn")</f>
        <v>Social Media like LinkedIn</v>
      </c>
      <c r="F450" s="1" t="str">
        <f ca="1">IFERROR(__xludf.DUMMYFUNCTION("""COMPUTED_VALUE"""),"No I would not be pursuing Higher Education outside of India")</f>
        <v>No I would not be pursuing Higher Education outside of India</v>
      </c>
      <c r="G450" s="1" t="str">
        <f ca="1">IFERROR(__xludf.DUMMYFUNCTION("""COMPUTED_VALUE"""),"Will work for 3 years or more")</f>
        <v>Will work for 3 years or more</v>
      </c>
      <c r="H450" s="1" t="str">
        <f ca="1">IFERROR(__xludf.DUMMYFUNCTION("""COMPUTED_VALUE"""),"Yes")</f>
        <v>Yes</v>
      </c>
      <c r="I450" s="1" t="str">
        <f ca="1">IFERROR(__xludf.DUMMYFUNCTION("""COMPUTED_VALUE"""),"Will NOT work for them")</f>
        <v>Will NOT work for them</v>
      </c>
      <c r="J450" s="1">
        <f ca="1">IFERROR(__xludf.DUMMYFUNCTION("""COMPUTED_VALUE"""),9)</f>
        <v>9</v>
      </c>
      <c r="K450" s="1" t="str">
        <f ca="1">IFERROR(__xludf.DUMMYFUNCTION("""COMPUTED_VALUE"""),"Every Day Office Environment")</f>
        <v>Every Day Office Environment</v>
      </c>
      <c r="L4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5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50" s="1" t="str">
        <f ca="1">IFERROR(__xludf.DUMMYFUNCTION("""COMPUTED_VALUE"""),"Manage and drive End-to-End Projects or Products, Design and Develop amazing software, Look deeply into Data and generate insights, An Artificial Intelligence Specialist / Talking to Robots")</f>
        <v>Manage and drive End-to-End Projects or Products, Design and Develop amazing software, Look deeply into Data and generate insights, An Artificial Intelligence Specialist / Talking to Robots</v>
      </c>
      <c r="O450" s="1" t="str">
        <f ca="1">IFERROR(__xludf.DUMMYFUNCTION("""COMPUTED_VALUE"""),"Manager who explains what is expected, sets a goal and helps achieve it")</f>
        <v>Manager who explains what is expected, sets a goal and helps achieve it</v>
      </c>
      <c r="P450" s="1" t="str">
        <f ca="1">IFERROR(__xludf.DUMMYFUNCTION("""COMPUTED_VALUE"""),"Work with 5 to 6 people in my team")</f>
        <v>Work with 5 to 6 people in my team</v>
      </c>
      <c r="Q450" s="1" t="str">
        <f ca="1">IFERROR(__xludf.DUMMYFUNCTION("""COMPUTED_VALUE"""),"Yes, I Understand this is gonna happen everywhere")</f>
        <v>Yes, I Understand this is gonna happen everywhere</v>
      </c>
      <c r="R450" s="1" t="str">
        <f ca="1">IFERROR(__xludf.DUMMYFUNCTION("""COMPUTED_VALUE"""),"This will be hard to do, but if it is the right company I would try")</f>
        <v>This will be hard to do, but if it is the right company I would try</v>
      </c>
      <c r="S450" s="1"/>
    </row>
    <row r="451" spans="1:19" ht="12.5" x14ac:dyDescent="0.25">
      <c r="A451" s="2">
        <f ca="1">IFERROR(__xludf.DUMMYFUNCTION("""COMPUTED_VALUE"""),45021.4805586805)</f>
        <v>45021.480558680501</v>
      </c>
      <c r="B451" s="1" t="str">
        <f ca="1">IFERROR(__xludf.DUMMYFUNCTION("""COMPUTED_VALUE"""),"India")</f>
        <v>India</v>
      </c>
      <c r="C451" s="1">
        <f ca="1">IFERROR(__xludf.DUMMYFUNCTION("""COMPUTED_VALUE"""),400043)</f>
        <v>400043</v>
      </c>
      <c r="D451" s="1" t="str">
        <f ca="1">IFERROR(__xludf.DUMMYFUNCTION("""COMPUTED_VALUE"""),"Female")</f>
        <v>Female</v>
      </c>
      <c r="E451" s="1" t="str">
        <f ca="1">IFERROR(__xludf.DUMMYFUNCTION("""COMPUTED_VALUE"""),"Influencers who had successful careers")</f>
        <v>Influencers who had successful careers</v>
      </c>
      <c r="F451" s="1" t="str">
        <f ca="1">IFERROR(__xludf.DUMMYFUNCTION("""COMPUTED_VALUE"""),"Yes, I will earn and do that")</f>
        <v>Yes, I will earn and do that</v>
      </c>
      <c r="G451" s="1" t="str">
        <f ca="1">IFERROR(__xludf.DUMMYFUNCTION("""COMPUTED_VALUE"""),"This will be hard to do, but if it is the right company I would try")</f>
        <v>This will be hard to do, but if it is the right company I would try</v>
      </c>
      <c r="H451" s="1" t="str">
        <f ca="1">IFERROR(__xludf.DUMMYFUNCTION("""COMPUTED_VALUE"""),"No")</f>
        <v>No</v>
      </c>
      <c r="I451" s="1" t="str">
        <f ca="1">IFERROR(__xludf.DUMMYFUNCTION("""COMPUTED_VALUE"""),"Will NOT work for them")</f>
        <v>Will NOT work for them</v>
      </c>
      <c r="J451" s="1">
        <f ca="1">IFERROR(__xludf.DUMMYFUNCTION("""COMPUTED_VALUE"""),8)</f>
        <v>8</v>
      </c>
      <c r="K451" s="1" t="str">
        <f ca="1">IFERROR(__xludf.DUMMYFUNCTION("""COMPUTED_VALUE"""),"Hybrid Working Environment with more than 15 days a month at office")</f>
        <v>Hybrid Working Environment with more than 15 days a month at office</v>
      </c>
      <c r="L451" s="1" t="str">
        <f ca="1">IFERROR(__xludf.DUMMYFUNCTION("""COMPUTED_VALUE"""),"Employer who rewards learning and enables that environment")</f>
        <v>Employer who rewards learning and enables that environment</v>
      </c>
      <c r="M45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51" s="1" t="str">
        <f ca="1">IFERROR(__xludf.DUMMYFUNCTION("""COMPUTED_VALUE"""),"Build and develop a Team, Work as a freelancer and do my thing my way, Entrepreneur or Start Up, An Artificial Intelligence Specialist / Talking to Robots")</f>
        <v>Build and develop a Team, Work as a freelancer and do my thing my way, Entrepreneur or Start Up, An Artificial Intelligence Specialist / Talking to Robots</v>
      </c>
      <c r="O451" s="1" t="str">
        <f ca="1">IFERROR(__xludf.DUMMYFUNCTION("""COMPUTED_VALUE"""),"Manager who explains what is expected, sets a goal and helps achieve it")</f>
        <v>Manager who explains what is expected, sets a goal and helps achieve it</v>
      </c>
      <c r="P451" s="1" t="str">
        <f ca="1">IFERROR(__xludf.DUMMYFUNCTION("""COMPUTED_VALUE"""),"Work with 2 to 3 people in my team")</f>
        <v>Work with 2 to 3 people in my team</v>
      </c>
      <c r="Q451" s="1" t="str">
        <f ca="1">IFERROR(__xludf.DUMMYFUNCTION("""COMPUTED_VALUE"""),"Yes, I Understand this is gonna happen everywhere")</f>
        <v>Yes, I Understand this is gonna happen everywhere</v>
      </c>
      <c r="R451" s="1" t="str">
        <f ca="1">IFERROR(__xludf.DUMMYFUNCTION("""COMPUTED_VALUE"""),"No way")</f>
        <v>No way</v>
      </c>
      <c r="S451" s="1"/>
    </row>
    <row r="452" spans="1:19" ht="12.5" x14ac:dyDescent="0.25">
      <c r="A452" s="2">
        <f ca="1">IFERROR(__xludf.DUMMYFUNCTION("""COMPUTED_VALUE"""),45021.4809725115)</f>
        <v>45021.480972511497</v>
      </c>
      <c r="B452" s="1" t="str">
        <f ca="1">IFERROR(__xludf.DUMMYFUNCTION("""COMPUTED_VALUE"""),"India")</f>
        <v>India</v>
      </c>
      <c r="C452" s="1">
        <f ca="1">IFERROR(__xludf.DUMMYFUNCTION("""COMPUTED_VALUE"""),500048)</f>
        <v>500048</v>
      </c>
      <c r="D452" s="1" t="str">
        <f ca="1">IFERROR(__xludf.DUMMYFUNCTION("""COMPUTED_VALUE"""),"Female")</f>
        <v>Female</v>
      </c>
      <c r="E452" s="1" t="str">
        <f ca="1">IFERROR(__xludf.DUMMYFUNCTION("""COMPUTED_VALUE"""),"People who have changed the world for better")</f>
        <v>People who have changed the world for better</v>
      </c>
      <c r="F452" s="1" t="str">
        <f ca="1">IFERROR(__xludf.DUMMYFUNCTION("""COMPUTED_VALUE"""),"Yes, I will earn and do that")</f>
        <v>Yes, I will earn and do that</v>
      </c>
      <c r="G452" s="1" t="str">
        <f ca="1">IFERROR(__xludf.DUMMYFUNCTION("""COMPUTED_VALUE"""),"Will work for 3 years or more")</f>
        <v>Will work for 3 years or more</v>
      </c>
      <c r="H452" s="1" t="str">
        <f ca="1">IFERROR(__xludf.DUMMYFUNCTION("""COMPUTED_VALUE"""),"No")</f>
        <v>No</v>
      </c>
      <c r="I452" s="1" t="str">
        <f ca="1">IFERROR(__xludf.DUMMYFUNCTION("""COMPUTED_VALUE"""),"Will NOT work for them")</f>
        <v>Will NOT work for them</v>
      </c>
      <c r="J452" s="1">
        <f ca="1">IFERROR(__xludf.DUMMYFUNCTION("""COMPUTED_VALUE"""),5)</f>
        <v>5</v>
      </c>
      <c r="K452" s="1" t="str">
        <f ca="1">IFERROR(__xludf.DUMMYFUNCTION("""COMPUTED_VALUE"""),"Every Day Office Environment")</f>
        <v>Every Day Office Environment</v>
      </c>
      <c r="L452" s="1" t="str">
        <f ca="1">IFERROR(__xludf.DUMMYFUNCTION("""COMPUTED_VALUE"""),"Employer who appreciates learning and enables that environment")</f>
        <v>Employer who appreciates learning and enables that environment</v>
      </c>
      <c r="M45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52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452" s="1" t="str">
        <f ca="1">IFERROR(__xludf.DUMMYFUNCTION("""COMPUTED_VALUE"""),"Manager who explains what is expected, sets a goal and helps achieve it")</f>
        <v>Manager who explains what is expected, sets a goal and helps achieve it</v>
      </c>
      <c r="P452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452" s="1" t="str">
        <f ca="1">IFERROR(__xludf.DUMMYFUNCTION("""COMPUTED_VALUE"""),"Yes, I Understand this is gonna happen everywhere")</f>
        <v>Yes, I Understand this is gonna happen everywhere</v>
      </c>
      <c r="R452" s="1" t="str">
        <f ca="1">IFERROR(__xludf.DUMMYFUNCTION("""COMPUTED_VALUE"""),"This will be hard to do, but if it is the right company I would try")</f>
        <v>This will be hard to do, but if it is the right company I would try</v>
      </c>
      <c r="S452" s="1"/>
    </row>
    <row r="453" spans="1:19" ht="12.5" x14ac:dyDescent="0.25">
      <c r="A453" s="2">
        <f ca="1">IFERROR(__xludf.DUMMYFUNCTION("""COMPUTED_VALUE"""),45021.4821778587)</f>
        <v>45021.482177858699</v>
      </c>
      <c r="B453" s="1" t="str">
        <f ca="1">IFERROR(__xludf.DUMMYFUNCTION("""COMPUTED_VALUE"""),"India")</f>
        <v>India</v>
      </c>
      <c r="C453" s="1">
        <f ca="1">IFERROR(__xludf.DUMMYFUNCTION("""COMPUTED_VALUE"""),600125)</f>
        <v>600125</v>
      </c>
      <c r="D453" s="1" t="str">
        <f ca="1">IFERROR(__xludf.DUMMYFUNCTION("""COMPUTED_VALUE"""),"Male")</f>
        <v>Male</v>
      </c>
      <c r="E453" s="1" t="str">
        <f ca="1">IFERROR(__xludf.DUMMYFUNCTION("""COMPUTED_VALUE"""),"People who have changed the world for better")</f>
        <v>People who have changed the world for better</v>
      </c>
      <c r="F453" s="1" t="str">
        <f ca="1">IFERROR(__xludf.DUMMYFUNCTION("""COMPUTED_VALUE"""),"No I would not be pursuing Higher Education outside of India")</f>
        <v>No I would not be pursuing Higher Education outside of India</v>
      </c>
      <c r="G453" s="1" t="str">
        <f ca="1">IFERROR(__xludf.DUMMYFUNCTION("""COMPUTED_VALUE"""),"Will work for 3 years or more")</f>
        <v>Will work for 3 years or more</v>
      </c>
      <c r="H453" s="1" t="str">
        <f ca="1">IFERROR(__xludf.DUMMYFUNCTION("""COMPUTED_VALUE"""),"No")</f>
        <v>No</v>
      </c>
      <c r="I453" s="1" t="str">
        <f ca="1">IFERROR(__xludf.DUMMYFUNCTION("""COMPUTED_VALUE"""),"Will work for them")</f>
        <v>Will work for them</v>
      </c>
      <c r="J453" s="1">
        <f ca="1">IFERROR(__xludf.DUMMYFUNCTION("""COMPUTED_VALUE"""),9)</f>
        <v>9</v>
      </c>
      <c r="K453" s="1" t="str">
        <f ca="1">IFERROR(__xludf.DUMMYFUNCTION("""COMPUTED_VALUE"""),"Hybrid Working Environment with less than 3 days a month at office")</f>
        <v>Hybrid Working Environment with less than 3 days a month at office</v>
      </c>
      <c r="L4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5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53" s="1" t="str">
        <f ca="1">IFERROR(__xludf.DUMMYFUNCTION("""COMPUTED_VALUE"""),"Design and Creative strategy in any company, Business Operations in any organization, Manage and drive End-to-End Projects or Products, Work as a freelancer and do my thing my way")</f>
        <v>Design and Creative strategy in any company, Business Operations in any organization, Manage and drive End-to-End Projects or Products, Work as a freelancer and do my thing my way</v>
      </c>
      <c r="O453" s="1" t="str">
        <f ca="1">IFERROR(__xludf.DUMMYFUNCTION("""COMPUTED_VALUE"""),"Manager who clearly describes what she/he needs")</f>
        <v>Manager who clearly describes what she/he needs</v>
      </c>
      <c r="P453" s="1" t="str">
        <f ca="1">IFERROR(__xludf.DUMMYFUNCTION("""COMPUTED_VALUE"""),"Work with 2 to 3 people in my team")</f>
        <v>Work with 2 to 3 people in my team</v>
      </c>
      <c r="Q453" s="1" t="str">
        <f ca="1">IFERROR(__xludf.DUMMYFUNCTION("""COMPUTED_VALUE"""),"No")</f>
        <v>No</v>
      </c>
      <c r="R453" s="1" t="str">
        <f ca="1">IFERROR(__xludf.DUMMYFUNCTION("""COMPUTED_VALUE"""),"Will work for 7 years or more")</f>
        <v>Will work for 7 years or more</v>
      </c>
      <c r="S453" s="1"/>
    </row>
    <row r="454" spans="1:19" ht="12.5" x14ac:dyDescent="0.25">
      <c r="A454" s="2">
        <f ca="1">IFERROR(__xludf.DUMMYFUNCTION("""COMPUTED_VALUE"""),45021.4823019444)</f>
        <v>45021.482301944401</v>
      </c>
      <c r="B454" s="1" t="str">
        <f ca="1">IFERROR(__xludf.DUMMYFUNCTION("""COMPUTED_VALUE"""),"India")</f>
        <v>India</v>
      </c>
      <c r="C454" s="1">
        <f ca="1">IFERROR(__xludf.DUMMYFUNCTION("""COMPUTED_VALUE"""),131028)</f>
        <v>131028</v>
      </c>
      <c r="D454" s="1" t="str">
        <f ca="1">IFERROR(__xludf.DUMMYFUNCTION("""COMPUTED_VALUE"""),"Female")</f>
        <v>Female</v>
      </c>
      <c r="E454" s="1" t="str">
        <f ca="1">IFERROR(__xludf.DUMMYFUNCTION("""COMPUTED_VALUE"""),"People who have changed the world for better")</f>
        <v>People who have changed the world for better</v>
      </c>
      <c r="F454" s="1" t="str">
        <f ca="1">IFERROR(__xludf.DUMMYFUNCTION("""COMPUTED_VALUE"""),"No I would not be pursuing Higher Education outside of India")</f>
        <v>No I would not be pursuing Higher Education outside of India</v>
      </c>
      <c r="G454" s="1" t="str">
        <f ca="1">IFERROR(__xludf.DUMMYFUNCTION("""COMPUTED_VALUE"""),"Will work for 3 years or more")</f>
        <v>Will work for 3 years or more</v>
      </c>
      <c r="H454" s="1" t="str">
        <f ca="1">IFERROR(__xludf.DUMMYFUNCTION("""COMPUTED_VALUE"""),"No")</f>
        <v>No</v>
      </c>
      <c r="I454" s="1" t="str">
        <f ca="1">IFERROR(__xludf.DUMMYFUNCTION("""COMPUTED_VALUE"""),"Will NOT work for them")</f>
        <v>Will NOT work for them</v>
      </c>
      <c r="J454" s="1">
        <f ca="1">IFERROR(__xludf.DUMMYFUNCTION("""COMPUTED_VALUE"""),8)</f>
        <v>8</v>
      </c>
      <c r="K454" s="1" t="str">
        <f ca="1">IFERROR(__xludf.DUMMYFUNCTION("""COMPUTED_VALUE"""),"Hybrid Working Environment with more than 15 days a month at office")</f>
        <v>Hybrid Working Environment with more than 15 days a month at office</v>
      </c>
      <c r="L4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5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54" s="1" t="str">
        <f ca="1">IFERROR(__xludf.DUMMYFUNCTION("""COMPUTED_VALUE"""),"Teaching in any of the institutes/colleges/online or offline, Business Operations in any organization, Work as a freelancer and do my thing my way, Entrepreneur or Start Up")</f>
        <v>Teaching in any of the institutes/colleges/online or offline, Business Operations in any organization, Work as a freelancer and do my thing my way, Entrepreneur or Start Up</v>
      </c>
      <c r="O454" s="1" t="str">
        <f ca="1">IFERROR(__xludf.DUMMYFUNCTION("""COMPUTED_VALUE"""),"Manager who clearly describes what she/he needs")</f>
        <v>Manager who clearly describes what she/he needs</v>
      </c>
      <c r="P454" s="1" t="str">
        <f ca="1">IFERROR(__xludf.DUMMYFUNCTION("""COMPUTED_VALUE"""),"Work with 5 to 6 people in my team")</f>
        <v>Work with 5 to 6 people in my team</v>
      </c>
      <c r="Q454" s="1" t="str">
        <f ca="1">IFERROR(__xludf.DUMMYFUNCTION("""COMPUTED_VALUE"""),"Yes, I Understand this is gonna happen everywhere")</f>
        <v>Yes, I Understand this is gonna happen everywhere</v>
      </c>
      <c r="R454" s="1" t="str">
        <f ca="1">IFERROR(__xludf.DUMMYFUNCTION("""COMPUTED_VALUE"""),"This will be hard to do, but if it is the right company I would try")</f>
        <v>This will be hard to do, but if it is the right company I would try</v>
      </c>
      <c r="S454" s="1"/>
    </row>
    <row r="455" spans="1:19" ht="12.5" x14ac:dyDescent="0.25">
      <c r="A455" s="2">
        <f ca="1">IFERROR(__xludf.DUMMYFUNCTION("""COMPUTED_VALUE"""),45021.4838892476)</f>
        <v>45021.483889247596</v>
      </c>
      <c r="B455" s="1" t="str">
        <f ca="1">IFERROR(__xludf.DUMMYFUNCTION("""COMPUTED_VALUE"""),"India")</f>
        <v>India</v>
      </c>
      <c r="C455" s="1">
        <f ca="1">IFERROR(__xludf.DUMMYFUNCTION("""COMPUTED_VALUE"""),560092)</f>
        <v>560092</v>
      </c>
      <c r="D455" s="1" t="str">
        <f ca="1">IFERROR(__xludf.DUMMYFUNCTION("""COMPUTED_VALUE"""),"Male")</f>
        <v>Male</v>
      </c>
      <c r="E455" s="1" t="str">
        <f ca="1">IFERROR(__xludf.DUMMYFUNCTION("""COMPUTED_VALUE"""),"People who have changed the world for better")</f>
        <v>People who have changed the world for better</v>
      </c>
      <c r="F455" s="1" t="str">
        <f ca="1">IFERROR(__xludf.DUMMYFUNCTION("""COMPUTED_VALUE"""),"Yes, I will earn and do that")</f>
        <v>Yes, I will earn and do that</v>
      </c>
      <c r="G455" s="1" t="str">
        <f ca="1">IFERROR(__xludf.DUMMYFUNCTION("""COMPUTED_VALUE"""),"This will be hard to do, but if it is the right company I would try")</f>
        <v>This will be hard to do, but if it is the right company I would try</v>
      </c>
      <c r="H455" s="1" t="str">
        <f ca="1">IFERROR(__xludf.DUMMYFUNCTION("""COMPUTED_VALUE"""),"No")</f>
        <v>No</v>
      </c>
      <c r="I455" s="1" t="str">
        <f ca="1">IFERROR(__xludf.DUMMYFUNCTION("""COMPUTED_VALUE"""),"Will NOT work for them")</f>
        <v>Will NOT work for them</v>
      </c>
      <c r="J455" s="1">
        <f ca="1">IFERROR(__xludf.DUMMYFUNCTION("""COMPUTED_VALUE"""),5)</f>
        <v>5</v>
      </c>
      <c r="K455" s="1" t="str">
        <f ca="1">IFERROR(__xludf.DUMMYFUNCTION("""COMPUTED_VALUE"""),"Hybrid Working Environment with less than 3 days a month at office")</f>
        <v>Hybrid Working Environment with less than 3 days a month at office</v>
      </c>
      <c r="L4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5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455" s="1" t="str">
        <f ca="1">IFERROR(__xludf.DUMMYFUNCTION("""COMPUTED_VALUE"""),"Business Operations in any organization, Entrepreneur or Start Up, An Artificial Intelligence Specialist / Talking to Robots, Manufacturing / Oil and Gas/ Construction / Hard Physical Work related")</f>
        <v>Business Operations in any organization, Entrepreneur or Start Up, An Artificial Intelligence Specialist / Talking to Robots, Manufacturing / Oil and Gas/ Construction / Hard Physical Work related</v>
      </c>
      <c r="O455" s="1" t="str">
        <f ca="1">IFERROR(__xludf.DUMMYFUNCTION("""COMPUTED_VALUE"""),"Manager who sets goal and helps me achieve it")</f>
        <v>Manager who sets goal and helps me achieve it</v>
      </c>
      <c r="P455" s="1" t="str">
        <f ca="1">IFERROR(__xludf.DUMMYFUNCTION("""COMPUTED_VALUE"""),"Work with more than 10 people in my team")</f>
        <v>Work with more than 10 people in my team</v>
      </c>
      <c r="Q455" s="1" t="str">
        <f ca="1">IFERROR(__xludf.DUMMYFUNCTION("""COMPUTED_VALUE"""),"Yes")</f>
        <v>Yes</v>
      </c>
      <c r="R455" s="1" t="str">
        <f ca="1">IFERROR(__xludf.DUMMYFUNCTION("""COMPUTED_VALUE"""),"This will be hard to do, but if it is the right company I would try")</f>
        <v>This will be hard to do, but if it is the right company I would try</v>
      </c>
      <c r="S455" s="1"/>
    </row>
    <row r="456" spans="1:19" ht="12.5" x14ac:dyDescent="0.25">
      <c r="A456" s="2">
        <f ca="1">IFERROR(__xludf.DUMMYFUNCTION("""COMPUTED_VALUE"""),45021.4841858796)</f>
        <v>45021.484185879599</v>
      </c>
      <c r="B456" s="1" t="str">
        <f ca="1">IFERROR(__xludf.DUMMYFUNCTION("""COMPUTED_VALUE"""),"India")</f>
        <v>India</v>
      </c>
      <c r="C456" s="1">
        <f ca="1">IFERROR(__xludf.DUMMYFUNCTION("""COMPUTED_VALUE"""),500036)</f>
        <v>500036</v>
      </c>
      <c r="D456" s="1" t="str">
        <f ca="1">IFERROR(__xludf.DUMMYFUNCTION("""COMPUTED_VALUE"""),"Female")</f>
        <v>Female</v>
      </c>
      <c r="E456" s="1" t="str">
        <f ca="1">IFERROR(__xludf.DUMMYFUNCTION("""COMPUTED_VALUE"""),"Influencers who had successful careers")</f>
        <v>Influencers who had successful careers</v>
      </c>
      <c r="F456" s="1" t="str">
        <f ca="1">IFERROR(__xludf.DUMMYFUNCTION("""COMPUTED_VALUE"""),"Yes, I will earn and do that")</f>
        <v>Yes, I will earn and do that</v>
      </c>
      <c r="G456" s="1" t="str">
        <f ca="1">IFERROR(__xludf.DUMMYFUNCTION("""COMPUTED_VALUE"""),"Will work for 3 years or more")</f>
        <v>Will work for 3 years or more</v>
      </c>
      <c r="H456" s="1" t="str">
        <f ca="1">IFERROR(__xludf.DUMMYFUNCTION("""COMPUTED_VALUE"""),"Yes")</f>
        <v>Yes</v>
      </c>
      <c r="I456" s="1" t="str">
        <f ca="1">IFERROR(__xludf.DUMMYFUNCTION("""COMPUTED_VALUE"""),"Will NOT work for them")</f>
        <v>Will NOT work for them</v>
      </c>
      <c r="J456" s="1">
        <f ca="1">IFERROR(__xludf.DUMMYFUNCTION("""COMPUTED_VALUE"""),2)</f>
        <v>2</v>
      </c>
      <c r="K456" s="1" t="str">
        <f ca="1">IFERROR(__xludf.DUMMYFUNCTION("""COMPUTED_VALUE"""),"Fully Remote with Options to travel as and when needed")</f>
        <v>Fully Remote with Options to travel as and when needed</v>
      </c>
      <c r="L456" s="1" t="str">
        <f ca="1">IFERROR(__xludf.DUMMYFUNCTION("""COMPUTED_VALUE"""),"Employer who appreciates learning and enables that environment")</f>
        <v>Employer who appreciates learning and enables that environment</v>
      </c>
      <c r="M45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456" s="1" t="str">
        <f ca="1">IFERROR(__xludf.DUMMYFUNCTION("""COMPUTED_VALUE"""),"Design and Creative strategy in any company, Design and Develop amazing software, Become a content Creator in some platform, An Artificial Intelligence Specialist / Talking to Robots")</f>
        <v>Design and Creative strategy in any company, Design and Develop amazing software, Become a content Creator in some platform, An Artificial Intelligence Specialist / Talking to Robots</v>
      </c>
      <c r="O456" s="1" t="str">
        <f ca="1">IFERROR(__xludf.DUMMYFUNCTION("""COMPUTED_VALUE"""),"Manager who sets targets and expects me to achieve it")</f>
        <v>Manager who sets targets and expects me to achieve it</v>
      </c>
      <c r="P456" s="1" t="str">
        <f ca="1">IFERROR(__xludf.DUMMYFUNCTION("""COMPUTED_VALUE"""),"Work with 2 to 3 people in my team")</f>
        <v>Work with 2 to 3 people in my team</v>
      </c>
      <c r="Q456" s="1" t="str">
        <f ca="1">IFERROR(__xludf.DUMMYFUNCTION("""COMPUTED_VALUE"""),"No")</f>
        <v>No</v>
      </c>
      <c r="R456" s="1" t="str">
        <f ca="1">IFERROR(__xludf.DUMMYFUNCTION("""COMPUTED_VALUE"""),"This will be hard to do, but if it is the right company I would try")</f>
        <v>This will be hard to do, but if it is the right company I would try</v>
      </c>
      <c r="S456" s="1"/>
    </row>
    <row r="457" spans="1:19" ht="12.5" x14ac:dyDescent="0.25">
      <c r="A457" s="2">
        <f ca="1">IFERROR(__xludf.DUMMYFUNCTION("""COMPUTED_VALUE"""),45021.4848845949)</f>
        <v>45021.484884594902</v>
      </c>
      <c r="B457" s="1" t="str">
        <f ca="1">IFERROR(__xludf.DUMMYFUNCTION("""COMPUTED_VALUE"""),"India")</f>
        <v>India</v>
      </c>
      <c r="C457" s="1">
        <f ca="1">IFERROR(__xludf.DUMMYFUNCTION("""COMPUTED_VALUE"""),603210)</f>
        <v>603210</v>
      </c>
      <c r="D457" s="1" t="str">
        <f ca="1">IFERROR(__xludf.DUMMYFUNCTION("""COMPUTED_VALUE"""),"Male")</f>
        <v>Male</v>
      </c>
      <c r="E457" s="1" t="str">
        <f ca="1">IFERROR(__xludf.DUMMYFUNCTION("""COMPUTED_VALUE"""),"People who have changed the world for better")</f>
        <v>People who have changed the world for better</v>
      </c>
      <c r="F457" s="1" t="str">
        <f ca="1">IFERROR(__xludf.DUMMYFUNCTION("""COMPUTED_VALUE"""),"Yes, I will earn and do that")</f>
        <v>Yes, I will earn and do that</v>
      </c>
      <c r="G457" s="1" t="str">
        <f ca="1">IFERROR(__xludf.DUMMYFUNCTION("""COMPUTED_VALUE"""),"This will be hard to do, but if it is the right company I would try")</f>
        <v>This will be hard to do, but if it is the right company I would try</v>
      </c>
      <c r="H457" s="1" t="str">
        <f ca="1">IFERROR(__xludf.DUMMYFUNCTION("""COMPUTED_VALUE"""),"Yes")</f>
        <v>Yes</v>
      </c>
      <c r="I457" s="1" t="str">
        <f ca="1">IFERROR(__xludf.DUMMYFUNCTION("""COMPUTED_VALUE"""),"Will NOT work for them")</f>
        <v>Will NOT work for them</v>
      </c>
      <c r="J457" s="1">
        <f ca="1">IFERROR(__xludf.DUMMYFUNCTION("""COMPUTED_VALUE"""),3)</f>
        <v>3</v>
      </c>
      <c r="K457" s="1" t="str">
        <f ca="1">IFERROR(__xludf.DUMMYFUNCTION("""COMPUTED_VALUE"""),"Hybrid Working Environment with less than 3 days a month at office")</f>
        <v>Hybrid Working Environment with less than 3 days a month at office</v>
      </c>
      <c r="L4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57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457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457" s="1" t="str">
        <f ca="1">IFERROR(__xludf.DUMMYFUNCTION("""COMPUTED_VALUE"""),"Manager who clearly describes what she/he needs")</f>
        <v>Manager who clearly describes what she/he needs</v>
      </c>
      <c r="P457" s="1" t="str">
        <f ca="1">IFERROR(__xludf.DUMMYFUNCTION("""COMPUTED_VALUE"""),"Work with more than 10 people in my team")</f>
        <v>Work with more than 10 people in my team</v>
      </c>
      <c r="Q457" s="1" t="str">
        <f ca="1">IFERROR(__xludf.DUMMYFUNCTION("""COMPUTED_VALUE"""),"Yes, I Understand this is gonna happen everywhere")</f>
        <v>Yes, I Understand this is gonna happen everywhere</v>
      </c>
      <c r="R457" s="1" t="str">
        <f ca="1">IFERROR(__xludf.DUMMYFUNCTION("""COMPUTED_VALUE"""),"No way")</f>
        <v>No way</v>
      </c>
      <c r="S457" s="1"/>
    </row>
    <row r="458" spans="1:19" ht="12.5" x14ac:dyDescent="0.25">
      <c r="A458" s="2">
        <f ca="1">IFERROR(__xludf.DUMMYFUNCTION("""COMPUTED_VALUE"""),45021.485380243)</f>
        <v>45021.485380243001</v>
      </c>
      <c r="B458" s="1" t="str">
        <f ca="1">IFERROR(__xludf.DUMMYFUNCTION("""COMPUTED_VALUE"""),"India")</f>
        <v>India</v>
      </c>
      <c r="C458" s="1">
        <f ca="1">IFERROR(__xludf.DUMMYFUNCTION("""COMPUTED_VALUE"""),500079)</f>
        <v>500079</v>
      </c>
      <c r="D458" s="1" t="str">
        <f ca="1">IFERROR(__xludf.DUMMYFUNCTION("""COMPUTED_VALUE"""),"Male")</f>
        <v>Male</v>
      </c>
      <c r="E458" s="1" t="str">
        <f ca="1">IFERROR(__xludf.DUMMYFUNCTION("""COMPUTED_VALUE"""),"People who have changed the world for better")</f>
        <v>People who have changed the world for better</v>
      </c>
      <c r="F458" s="1" t="str">
        <f ca="1">IFERROR(__xludf.DUMMYFUNCTION("""COMPUTED_VALUE"""),"No, But if someone could bare the cost I will")</f>
        <v>No, But if someone could bare the cost I will</v>
      </c>
      <c r="G458" s="1" t="str">
        <f ca="1">IFERROR(__xludf.DUMMYFUNCTION("""COMPUTED_VALUE"""),"Will work for 3 years or more")</f>
        <v>Will work for 3 years or more</v>
      </c>
      <c r="H458" s="1" t="str">
        <f ca="1">IFERROR(__xludf.DUMMYFUNCTION("""COMPUTED_VALUE"""),"No")</f>
        <v>No</v>
      </c>
      <c r="I458" s="1" t="str">
        <f ca="1">IFERROR(__xludf.DUMMYFUNCTION("""COMPUTED_VALUE"""),"Will NOT work for them")</f>
        <v>Will NOT work for them</v>
      </c>
      <c r="J458" s="1">
        <f ca="1">IFERROR(__xludf.DUMMYFUNCTION("""COMPUTED_VALUE"""),5)</f>
        <v>5</v>
      </c>
      <c r="K458" s="1" t="str">
        <f ca="1">IFERROR(__xludf.DUMMYFUNCTION("""COMPUTED_VALUE"""),"Hybrid Working Environment with less than 3 days a month at office")</f>
        <v>Hybrid Working Environment with less than 3 days a month at office</v>
      </c>
      <c r="L4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5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58" s="1" t="str">
        <f ca="1">IFERROR(__xludf.DUMMYFUNCTION("""COMPUTED_VALUE"""),"Design and Creative strategy in any company, Design and Develop amazing software, Look deeply into Data and generate insights, Manufacturing / Oil and Gas/ Construction / Hard Physical Work related")</f>
        <v>Design and Creative strategy in any company, Design and Develop amazing software, Look deeply into Data and generate insights, Manufacturing / Oil and Gas/ Construction / Hard Physical Work related</v>
      </c>
      <c r="O458" s="1" t="str">
        <f ca="1">IFERROR(__xludf.DUMMYFUNCTION("""COMPUTED_VALUE"""),"Manager who clearly describes what she/he needs")</f>
        <v>Manager who clearly describes what she/he needs</v>
      </c>
      <c r="P458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458" s="1" t="str">
        <f ca="1">IFERROR(__xludf.DUMMYFUNCTION("""COMPUTED_VALUE"""),"Yes, I Understand this is gonna happen everywhere")</f>
        <v>Yes, I Understand this is gonna happen everywhere</v>
      </c>
      <c r="R458" s="1" t="str">
        <f ca="1">IFERROR(__xludf.DUMMYFUNCTION("""COMPUTED_VALUE"""),"This will be hard to do, but if it is the right company I would try")</f>
        <v>This will be hard to do, but if it is the right company I would try</v>
      </c>
      <c r="S458" s="1"/>
    </row>
    <row r="459" spans="1:19" ht="12.5" x14ac:dyDescent="0.25">
      <c r="A459" s="2">
        <f ca="1">IFERROR(__xludf.DUMMYFUNCTION("""COMPUTED_VALUE"""),45021.4857254629)</f>
        <v>45021.485725462902</v>
      </c>
      <c r="B459" s="1" t="str">
        <f ca="1">IFERROR(__xludf.DUMMYFUNCTION("""COMPUTED_VALUE"""),"India")</f>
        <v>India</v>
      </c>
      <c r="C459" s="1">
        <f ca="1">IFERROR(__xludf.DUMMYFUNCTION("""COMPUTED_VALUE"""),501510)</f>
        <v>501510</v>
      </c>
      <c r="D459" s="1" t="str">
        <f ca="1">IFERROR(__xludf.DUMMYFUNCTION("""COMPUTED_VALUE"""),"Male")</f>
        <v>Male</v>
      </c>
      <c r="E459" s="1" t="str">
        <f ca="1">IFERROR(__xludf.DUMMYFUNCTION("""COMPUTED_VALUE"""),"My Parents")</f>
        <v>My Parents</v>
      </c>
      <c r="F459" s="1" t="str">
        <f ca="1">IFERROR(__xludf.DUMMYFUNCTION("""COMPUTED_VALUE"""),"No, But if someone could bare the cost I will")</f>
        <v>No, But if someone could bare the cost I will</v>
      </c>
      <c r="G459" s="1" t="str">
        <f ca="1">IFERROR(__xludf.DUMMYFUNCTION("""COMPUTED_VALUE"""),"Will work for 3 years or more")</f>
        <v>Will work for 3 years or more</v>
      </c>
      <c r="H459" s="1" t="str">
        <f ca="1">IFERROR(__xludf.DUMMYFUNCTION("""COMPUTED_VALUE"""),"No")</f>
        <v>No</v>
      </c>
      <c r="I459" s="1" t="str">
        <f ca="1">IFERROR(__xludf.DUMMYFUNCTION("""COMPUTED_VALUE"""),"Will NOT work for them")</f>
        <v>Will NOT work for them</v>
      </c>
      <c r="J459" s="1">
        <f ca="1">IFERROR(__xludf.DUMMYFUNCTION("""COMPUTED_VALUE"""),5)</f>
        <v>5</v>
      </c>
      <c r="K459" s="1" t="str">
        <f ca="1">IFERROR(__xludf.DUMMYFUNCTION("""COMPUTED_VALUE"""),"Hybrid Working Environment with more than 15 days a month at office")</f>
        <v>Hybrid Working Environment with more than 15 days a month at office</v>
      </c>
      <c r="L459" s="1" t="str">
        <f ca="1">IFERROR(__xludf.DUMMYFUNCTION("""COMPUTED_VALUE"""),"Employer who rewards learning and enables that environment")</f>
        <v>Employer who rewards learning and enables that environment</v>
      </c>
      <c r="M45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59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459" s="1" t="str">
        <f ca="1">IFERROR(__xludf.DUMMYFUNCTION("""COMPUTED_VALUE"""),"Manager who sets goal and helps me achieve it")</f>
        <v>Manager who sets goal and helps me achieve it</v>
      </c>
      <c r="P459" s="1" t="str">
        <f ca="1">IFERROR(__xludf.DUMMYFUNCTION("""COMPUTED_VALUE"""),"Work with 2 to 3 people in my team")</f>
        <v>Work with 2 to 3 people in my team</v>
      </c>
      <c r="Q459" s="1" t="str">
        <f ca="1">IFERROR(__xludf.DUMMYFUNCTION("""COMPUTED_VALUE"""),"Yes, I Understand this is gonna happen everywhere")</f>
        <v>Yes, I Understand this is gonna happen everywhere</v>
      </c>
      <c r="R459" s="1" t="str">
        <f ca="1">IFERROR(__xludf.DUMMYFUNCTION("""COMPUTED_VALUE"""),"Will work for 7 years or more")</f>
        <v>Will work for 7 years or more</v>
      </c>
      <c r="S459" s="1"/>
    </row>
    <row r="460" spans="1:19" ht="12.5" x14ac:dyDescent="0.25">
      <c r="A460" s="2">
        <f ca="1">IFERROR(__xludf.DUMMYFUNCTION("""COMPUTED_VALUE"""),45021.4866372685)</f>
        <v>45021.486637268499</v>
      </c>
      <c r="B460" s="1" t="str">
        <f ca="1">IFERROR(__xludf.DUMMYFUNCTION("""COMPUTED_VALUE"""),"India")</f>
        <v>India</v>
      </c>
      <c r="C460" s="1">
        <f ca="1">IFERROR(__xludf.DUMMYFUNCTION("""COMPUTED_VALUE"""),641017)</f>
        <v>641017</v>
      </c>
      <c r="D460" s="1" t="str">
        <f ca="1">IFERROR(__xludf.DUMMYFUNCTION("""COMPUTED_VALUE"""),"Female")</f>
        <v>Female</v>
      </c>
      <c r="E460" s="1" t="str">
        <f ca="1">IFERROR(__xludf.DUMMYFUNCTION("""COMPUTED_VALUE"""),"Social Media like LinkedIn")</f>
        <v>Social Media like LinkedIn</v>
      </c>
      <c r="F460" s="1" t="str">
        <f ca="1">IFERROR(__xludf.DUMMYFUNCTION("""COMPUTED_VALUE"""),"No I would not be pursuing Higher Education outside of India")</f>
        <v>No I would not be pursuing Higher Education outside of India</v>
      </c>
      <c r="G460" s="1" t="str">
        <f ca="1">IFERROR(__xludf.DUMMYFUNCTION("""COMPUTED_VALUE"""),"This will be hard to do, but if it is the right company I would try")</f>
        <v>This will be hard to do, but if it is the right company I would try</v>
      </c>
      <c r="H460" s="1" t="str">
        <f ca="1">IFERROR(__xludf.DUMMYFUNCTION("""COMPUTED_VALUE"""),"No")</f>
        <v>No</v>
      </c>
      <c r="I460" s="1" t="str">
        <f ca="1">IFERROR(__xludf.DUMMYFUNCTION("""COMPUTED_VALUE"""),"Will NOT work for them")</f>
        <v>Will NOT work for them</v>
      </c>
      <c r="J460" s="1">
        <f ca="1">IFERROR(__xludf.DUMMYFUNCTION("""COMPUTED_VALUE"""),3)</f>
        <v>3</v>
      </c>
      <c r="K460" s="1" t="str">
        <f ca="1">IFERROR(__xludf.DUMMYFUNCTION("""COMPUTED_VALUE"""),"Hybrid Working Environment with more than 15 days a month at office")</f>
        <v>Hybrid Working Environment with more than 15 days a month at office</v>
      </c>
      <c r="L460" s="1" t="str">
        <f ca="1">IFERROR(__xludf.DUMMYFUNCTION("""COMPUTED_VALUE"""),"Employer who appreciates learning and enables that environment")</f>
        <v>Employer who appreciates learning and enables that environment</v>
      </c>
      <c r="M46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460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460" s="1" t="str">
        <f ca="1">IFERROR(__xludf.DUMMYFUNCTION("""COMPUTED_VALUE"""),"Manager who explains what is expected, sets a goal and helps achieve it")</f>
        <v>Manager who explains what is expected, sets a goal and helps achieve it</v>
      </c>
      <c r="P460" s="1" t="str">
        <f ca="1">IFERROR(__xludf.DUMMYFUNCTION("""COMPUTED_VALUE"""),"Work with 7 to 10 or more people in my team")</f>
        <v>Work with 7 to 10 or more people in my team</v>
      </c>
      <c r="Q460" s="1" t="str">
        <f ca="1">IFERROR(__xludf.DUMMYFUNCTION("""COMPUTED_VALUE"""),"No")</f>
        <v>No</v>
      </c>
      <c r="R460" s="1" t="str">
        <f ca="1">IFERROR(__xludf.DUMMYFUNCTION("""COMPUTED_VALUE"""),"This will be hard to do, but if it is the right company I would try")</f>
        <v>This will be hard to do, but if it is the right company I would try</v>
      </c>
      <c r="S460" s="1"/>
    </row>
    <row r="461" spans="1:19" ht="12.5" x14ac:dyDescent="0.25">
      <c r="A461" s="2">
        <f ca="1">IFERROR(__xludf.DUMMYFUNCTION("""COMPUTED_VALUE"""),45021.486660405)</f>
        <v>45021.486660404997</v>
      </c>
      <c r="B461" s="1" t="str">
        <f ca="1">IFERROR(__xludf.DUMMYFUNCTION("""COMPUTED_VALUE"""),"India")</f>
        <v>India</v>
      </c>
      <c r="C461" s="1">
        <f ca="1">IFERROR(__xludf.DUMMYFUNCTION("""COMPUTED_VALUE"""),400043)</f>
        <v>400043</v>
      </c>
      <c r="D461" s="1" t="str">
        <f ca="1">IFERROR(__xludf.DUMMYFUNCTION("""COMPUTED_VALUE"""),"Female")</f>
        <v>Female</v>
      </c>
      <c r="E461" s="1" t="str">
        <f ca="1">IFERROR(__xludf.DUMMYFUNCTION("""COMPUTED_VALUE"""),"Influencers who had successful careers")</f>
        <v>Influencers who had successful careers</v>
      </c>
      <c r="F461" s="1" t="str">
        <f ca="1">IFERROR(__xludf.DUMMYFUNCTION("""COMPUTED_VALUE"""),"Yes, I will earn and do that")</f>
        <v>Yes, I will earn and do that</v>
      </c>
      <c r="G461" s="1" t="str">
        <f ca="1">IFERROR(__xludf.DUMMYFUNCTION("""COMPUTED_VALUE"""),"No way")</f>
        <v>No way</v>
      </c>
      <c r="H461" s="1" t="str">
        <f ca="1">IFERROR(__xludf.DUMMYFUNCTION("""COMPUTED_VALUE"""),"No")</f>
        <v>No</v>
      </c>
      <c r="I461" s="1" t="str">
        <f ca="1">IFERROR(__xludf.DUMMYFUNCTION("""COMPUTED_VALUE"""),"Will NOT work for them")</f>
        <v>Will NOT work for them</v>
      </c>
      <c r="J461" s="1">
        <f ca="1">IFERROR(__xludf.DUMMYFUNCTION("""COMPUTED_VALUE"""),7)</f>
        <v>7</v>
      </c>
      <c r="K461" s="1" t="str">
        <f ca="1">IFERROR(__xludf.DUMMYFUNCTION("""COMPUTED_VALUE"""),"Fully Remote with Options to travel as and when needed")</f>
        <v>Fully Remote with Options to travel as and when needed</v>
      </c>
      <c r="L4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61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461" s="1" t="str">
        <f ca="1">IFERROR(__xludf.DUMMYFUNCTION("""COMPUTED_VALUE"""),"Build and develop a Team, Work as a freelancer and do my thing my way, Entrepreneur or Start Up, An Artificial Intelligence Specialist / Talking to Robots")</f>
        <v>Build and develop a Team, Work as a freelancer and do my thing my way, Entrepreneur or Start Up, An Artificial Intelligence Specialist / Talking to Robots</v>
      </c>
      <c r="O461" s="1" t="str">
        <f ca="1">IFERROR(__xludf.DUMMYFUNCTION("""COMPUTED_VALUE"""),"Manager who explains what is expected, sets a goal and helps achieve it")</f>
        <v>Manager who explains what is expected, sets a goal and helps achieve it</v>
      </c>
      <c r="P461" s="1" t="str">
        <f ca="1">IFERROR(__xludf.DUMMYFUNCTION("""COMPUTED_VALUE"""),"Work alone, Work with 2 to 3 people in my team")</f>
        <v>Work alone, Work with 2 to 3 people in my team</v>
      </c>
      <c r="Q461" s="1" t="str">
        <f ca="1">IFERROR(__xludf.DUMMYFUNCTION("""COMPUTED_VALUE"""),"Yes, I Understand this is gonna happen everywhere")</f>
        <v>Yes, I Understand this is gonna happen everywhere</v>
      </c>
      <c r="R461" s="1" t="str">
        <f ca="1">IFERROR(__xludf.DUMMYFUNCTION("""COMPUTED_VALUE"""),"No way")</f>
        <v>No way</v>
      </c>
      <c r="S461" s="1"/>
    </row>
    <row r="462" spans="1:19" ht="12.5" x14ac:dyDescent="0.25">
      <c r="A462" s="2">
        <f ca="1">IFERROR(__xludf.DUMMYFUNCTION("""COMPUTED_VALUE"""),45021.4872615277)</f>
        <v>45021.487261527698</v>
      </c>
      <c r="B462" s="1" t="str">
        <f ca="1">IFERROR(__xludf.DUMMYFUNCTION("""COMPUTED_VALUE"""),"India")</f>
        <v>India</v>
      </c>
      <c r="C462" s="1">
        <f ca="1">IFERROR(__xludf.DUMMYFUNCTION("""COMPUTED_VALUE"""),71)</f>
        <v>71</v>
      </c>
      <c r="D462" s="1" t="str">
        <f ca="1">IFERROR(__xludf.DUMMYFUNCTION("""COMPUTED_VALUE"""),"Male")</f>
        <v>Male</v>
      </c>
      <c r="E462" s="1" t="str">
        <f ca="1">IFERROR(__xludf.DUMMYFUNCTION("""COMPUTED_VALUE"""),"People who have changed the world for better")</f>
        <v>People who have changed the world for better</v>
      </c>
      <c r="F462" s="1" t="str">
        <f ca="1">IFERROR(__xludf.DUMMYFUNCTION("""COMPUTED_VALUE"""),"No I would not be pursuing Higher Education outside of India")</f>
        <v>No I would not be pursuing Higher Education outside of India</v>
      </c>
      <c r="G462" s="1" t="str">
        <f ca="1">IFERROR(__xludf.DUMMYFUNCTION("""COMPUTED_VALUE"""),"No way")</f>
        <v>No way</v>
      </c>
      <c r="H462" s="1" t="str">
        <f ca="1">IFERROR(__xludf.DUMMYFUNCTION("""COMPUTED_VALUE"""),"No")</f>
        <v>No</v>
      </c>
      <c r="I462" s="1" t="str">
        <f ca="1">IFERROR(__xludf.DUMMYFUNCTION("""COMPUTED_VALUE"""),"Will NOT work for them")</f>
        <v>Will NOT work for them</v>
      </c>
      <c r="J462" s="1">
        <f ca="1">IFERROR(__xludf.DUMMYFUNCTION("""COMPUTED_VALUE"""),1)</f>
        <v>1</v>
      </c>
      <c r="K462" s="1" t="str">
        <f ca="1">IFERROR(__xludf.DUMMYFUNCTION("""COMPUTED_VALUE"""),"Fully Remote with Options to travel as and when needed")</f>
        <v>Fully Remote with Options to travel as and when needed</v>
      </c>
      <c r="L462" s="1" t="str">
        <f ca="1">IFERROR(__xludf.DUMMYFUNCTION("""COMPUTED_VALUE"""),"Employer who appreciates learning and enables that environment")</f>
        <v>Employer who appreciates learning and enables that environment</v>
      </c>
      <c r="M46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62" s="1" t="str">
        <f ca="1">IFERROR(__xludf.DUMMYFUNCTION("""COMPUTED_VALUE"""),"Build and develop a Team, Become a content Creator in some platform, Entrepreneur or Start Up, I Want to sell things/Sales")</f>
        <v>Build and develop a Team, Become a content Creator in some platform, Entrepreneur or Start Up, I Want to sell things/Sales</v>
      </c>
      <c r="O462" s="1" t="str">
        <f ca="1">IFERROR(__xludf.DUMMYFUNCTION("""COMPUTED_VALUE"""),"Manager who sets unrealistic targets")</f>
        <v>Manager who sets unrealistic targets</v>
      </c>
      <c r="P462" s="1" t="str">
        <f ca="1">IFERROR(__xludf.DUMMYFUNCTION("""COMPUTED_VALUE"""),"Work with 2 to 3 people in my team")</f>
        <v>Work with 2 to 3 people in my team</v>
      </c>
      <c r="Q462" s="1" t="str">
        <f ca="1">IFERROR(__xludf.DUMMYFUNCTION("""COMPUTED_VALUE"""),"No")</f>
        <v>No</v>
      </c>
      <c r="R462" s="1" t="str">
        <f ca="1">IFERROR(__xludf.DUMMYFUNCTION("""COMPUTED_VALUE"""),"No way")</f>
        <v>No way</v>
      </c>
      <c r="S462" s="1"/>
    </row>
    <row r="463" spans="1:19" ht="12.5" x14ac:dyDescent="0.25">
      <c r="A463" s="2">
        <f ca="1">IFERROR(__xludf.DUMMYFUNCTION("""COMPUTED_VALUE"""),45021.4881047569)</f>
        <v>45021.4881047569</v>
      </c>
      <c r="B463" s="1" t="str">
        <f ca="1">IFERROR(__xludf.DUMMYFUNCTION("""COMPUTED_VALUE"""),"India")</f>
        <v>India</v>
      </c>
      <c r="C463" s="1">
        <f ca="1">IFERROR(__xludf.DUMMYFUNCTION("""COMPUTED_VALUE"""),602105)</f>
        <v>602105</v>
      </c>
      <c r="D463" s="1" t="str">
        <f ca="1">IFERROR(__xludf.DUMMYFUNCTION("""COMPUTED_VALUE"""),"Male")</f>
        <v>Male</v>
      </c>
      <c r="E463" s="1" t="str">
        <f ca="1">IFERROR(__xludf.DUMMYFUNCTION("""COMPUTED_VALUE"""),"People from my circle, but not family members")</f>
        <v>People from my circle, but not family members</v>
      </c>
      <c r="F463" s="1" t="str">
        <f ca="1">IFERROR(__xludf.DUMMYFUNCTION("""COMPUTED_VALUE"""),"No I would not be pursuing Higher Education outside of India")</f>
        <v>No I would not be pursuing Higher Education outside of India</v>
      </c>
      <c r="G463" s="1" t="str">
        <f ca="1">IFERROR(__xludf.DUMMYFUNCTION("""COMPUTED_VALUE"""),"Will work for 3 years or more")</f>
        <v>Will work for 3 years or more</v>
      </c>
      <c r="H463" s="1" t="str">
        <f ca="1">IFERROR(__xludf.DUMMYFUNCTION("""COMPUTED_VALUE"""),"Yes")</f>
        <v>Yes</v>
      </c>
      <c r="I463" s="1" t="str">
        <f ca="1">IFERROR(__xludf.DUMMYFUNCTION("""COMPUTED_VALUE"""),"Will work for them")</f>
        <v>Will work for them</v>
      </c>
      <c r="J463" s="1">
        <f ca="1">IFERROR(__xludf.DUMMYFUNCTION("""COMPUTED_VALUE"""),8)</f>
        <v>8</v>
      </c>
      <c r="K463" s="1" t="str">
        <f ca="1">IFERROR(__xludf.DUMMYFUNCTION("""COMPUTED_VALUE"""),"Fully Remote with Options to travel as and when needed")</f>
        <v>Fully Remote with Options to travel as and when needed</v>
      </c>
      <c r="L463" s="1" t="str">
        <f ca="1">IFERROR(__xludf.DUMMYFUNCTION("""COMPUTED_VALUE"""),"Employer who appreciates learning and enables that environment")</f>
        <v>Employer who appreciates learning and enables that environment</v>
      </c>
      <c r="M46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63" s="1" t="str">
        <f ca="1">IFERROR(__xludf.DUMMYFUNCTION("""COMPUTED_VALUE"""),"Design and Creative strategy in any company, Entrepreneur or Start Up, An Artificial Intelligence Specialist / Talking to Robots, Manufacturing / Oil and Gas/ Construction / Hard Physical Work related")</f>
        <v>Design and Creative strategy in any company, Entrepreneur or Start Up, An Artificial Intelligence Specialist / Talking to Robots, Manufacturing / Oil and Gas/ Construction / Hard Physical Work related</v>
      </c>
      <c r="O463" s="1" t="str">
        <f ca="1">IFERROR(__xludf.DUMMYFUNCTION("""COMPUTED_VALUE"""),"Manager who clearly describes what she/he needs")</f>
        <v>Manager who clearly describes what she/he needs</v>
      </c>
      <c r="P463" s="1" t="str">
        <f ca="1">IFERROR(__xludf.DUMMYFUNCTION("""COMPUTED_VALUE"""),"Work with more than 10 people in my team")</f>
        <v>Work with more than 10 people in my team</v>
      </c>
      <c r="Q463" s="1" t="str">
        <f ca="1">IFERROR(__xludf.DUMMYFUNCTION("""COMPUTED_VALUE"""),"No")</f>
        <v>No</v>
      </c>
      <c r="R463" s="1" t="str">
        <f ca="1">IFERROR(__xludf.DUMMYFUNCTION("""COMPUTED_VALUE"""),"Will work for 7 years or more")</f>
        <v>Will work for 7 years or more</v>
      </c>
      <c r="S463" s="1"/>
    </row>
    <row r="464" spans="1:19" ht="12.5" x14ac:dyDescent="0.25">
      <c r="A464" s="2">
        <f ca="1">IFERROR(__xludf.DUMMYFUNCTION("""COMPUTED_VALUE"""),45021.4882826504)</f>
        <v>45021.488282650404</v>
      </c>
      <c r="B464" s="1" t="str">
        <f ca="1">IFERROR(__xludf.DUMMYFUNCTION("""COMPUTED_VALUE"""),"India")</f>
        <v>India</v>
      </c>
      <c r="C464" s="1">
        <f ca="1">IFERROR(__xludf.DUMMYFUNCTION("""COMPUTED_VALUE"""),600056)</f>
        <v>600056</v>
      </c>
      <c r="D464" s="1" t="str">
        <f ca="1">IFERROR(__xludf.DUMMYFUNCTION("""COMPUTED_VALUE"""),"Male")</f>
        <v>Male</v>
      </c>
      <c r="E464" s="1" t="str">
        <f ca="1">IFERROR(__xludf.DUMMYFUNCTION("""COMPUTED_VALUE"""),"My Parents")</f>
        <v>My Parents</v>
      </c>
      <c r="F464" s="1" t="str">
        <f ca="1">IFERROR(__xludf.DUMMYFUNCTION("""COMPUTED_VALUE"""),"No I would not be pursuing Higher Education outside of India")</f>
        <v>No I would not be pursuing Higher Education outside of India</v>
      </c>
      <c r="G464" s="1" t="str">
        <f ca="1">IFERROR(__xludf.DUMMYFUNCTION("""COMPUTED_VALUE"""),"Will work for 3 years or more")</f>
        <v>Will work for 3 years or more</v>
      </c>
      <c r="H464" s="1" t="str">
        <f ca="1">IFERROR(__xludf.DUMMYFUNCTION("""COMPUTED_VALUE"""),"Yes")</f>
        <v>Yes</v>
      </c>
      <c r="I464" s="1" t="str">
        <f ca="1">IFERROR(__xludf.DUMMYFUNCTION("""COMPUTED_VALUE"""),"Will work for them")</f>
        <v>Will work for them</v>
      </c>
      <c r="J464" s="1">
        <f ca="1">IFERROR(__xludf.DUMMYFUNCTION("""COMPUTED_VALUE"""),3)</f>
        <v>3</v>
      </c>
      <c r="K464" s="1" t="str">
        <f ca="1">IFERROR(__xludf.DUMMYFUNCTION("""COMPUTED_VALUE"""),"Every Day Office Environment")</f>
        <v>Every Day Office Environment</v>
      </c>
      <c r="L464" s="1" t="str">
        <f ca="1">IFERROR(__xludf.DUMMYFUNCTION("""COMPUTED_VALUE"""),"Employer who appreciates learning and enables that environment")</f>
        <v>Employer who appreciates learning and enables that environment</v>
      </c>
      <c r="M46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64" s="1" t="str">
        <f ca="1">IFERROR(__xludf.DUMMYFUNCTION("""COMPUTED_VALUE"""),"Design and Creative strategy in any company, Manage and drive End-to-End Projects or Products, Build and develop a Team, Manufacturing / Oil and Gas/ Construction / Hard Physical Work related")</f>
        <v>Design and Creative strategy in any company, Manage and drive End-to-End Projects or Products, Build and develop a Team, Manufacturing / Oil and Gas/ Construction / Hard Physical Work related</v>
      </c>
      <c r="O464" s="1" t="str">
        <f ca="1">IFERROR(__xludf.DUMMYFUNCTION("""COMPUTED_VALUE"""),"Manager who clearly describes what she/he needs")</f>
        <v>Manager who clearly describes what she/he needs</v>
      </c>
      <c r="P464" s="1" t="str">
        <f ca="1">IFERROR(__xludf.DUMMYFUNCTION("""COMPUTED_VALUE"""),"Work alone")</f>
        <v>Work alone</v>
      </c>
      <c r="Q464" s="1" t="str">
        <f ca="1">IFERROR(__xludf.DUMMYFUNCTION("""COMPUTED_VALUE"""),"No")</f>
        <v>No</v>
      </c>
      <c r="R464" s="1" t="str">
        <f ca="1">IFERROR(__xludf.DUMMYFUNCTION("""COMPUTED_VALUE"""),"Will work for 7 years or more")</f>
        <v>Will work for 7 years or more</v>
      </c>
      <c r="S464" s="1"/>
    </row>
    <row r="465" spans="1:19" ht="12.5" x14ac:dyDescent="0.25">
      <c r="A465" s="2">
        <f ca="1">IFERROR(__xludf.DUMMYFUNCTION("""COMPUTED_VALUE"""),45021.4884419559)</f>
        <v>45021.488441955997</v>
      </c>
      <c r="B465" s="1" t="str">
        <f ca="1">IFERROR(__xludf.DUMMYFUNCTION("""COMPUTED_VALUE"""),"India")</f>
        <v>India</v>
      </c>
      <c r="C465" s="1">
        <f ca="1">IFERROR(__xludf.DUMMYFUNCTION("""COMPUTED_VALUE"""),682027)</f>
        <v>682027</v>
      </c>
      <c r="D465" s="1" t="str">
        <f ca="1">IFERROR(__xludf.DUMMYFUNCTION("""COMPUTED_VALUE"""),"Male")</f>
        <v>Male</v>
      </c>
      <c r="E465" s="1" t="str">
        <f ca="1">IFERROR(__xludf.DUMMYFUNCTION("""COMPUTED_VALUE"""),"Influencers who had successful careers")</f>
        <v>Influencers who had successful careers</v>
      </c>
      <c r="F465" s="1" t="str">
        <f ca="1">IFERROR(__xludf.DUMMYFUNCTION("""COMPUTED_VALUE"""),"No, But if someone could bare the cost I will")</f>
        <v>No, But if someone could bare the cost I will</v>
      </c>
      <c r="G465" s="1" t="str">
        <f ca="1">IFERROR(__xludf.DUMMYFUNCTION("""COMPUTED_VALUE"""),"This will be hard to do, but if it is the right company I would try")</f>
        <v>This will be hard to do, but if it is the right company I would try</v>
      </c>
      <c r="H465" s="1" t="str">
        <f ca="1">IFERROR(__xludf.DUMMYFUNCTION("""COMPUTED_VALUE"""),"No")</f>
        <v>No</v>
      </c>
      <c r="I465" s="1" t="str">
        <f ca="1">IFERROR(__xludf.DUMMYFUNCTION("""COMPUTED_VALUE"""),"Will NOT work for them")</f>
        <v>Will NOT work for them</v>
      </c>
      <c r="J465" s="1">
        <f ca="1">IFERROR(__xludf.DUMMYFUNCTION("""COMPUTED_VALUE"""),7)</f>
        <v>7</v>
      </c>
      <c r="K465" s="1" t="str">
        <f ca="1">IFERROR(__xludf.DUMMYFUNCTION("""COMPUTED_VALUE"""),"Fully Remote with Options to travel as and when needed")</f>
        <v>Fully Remote with Options to travel as and when needed</v>
      </c>
      <c r="L4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6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465" s="1" t="str">
        <f ca="1">IFERROR(__xludf.DUMMYFUNCTION("""COMPUTED_VALUE"""),"Design and Creative strategy in any company, Manage and drive End-to-End Projects or Products, Design and Develop amazing software, Work as a freelancer and do my thing my way")</f>
        <v>Design and Creative strategy in any company, Manage and drive End-to-End Projects or Products, Design and Develop amazing software, Work as a freelancer and do my thing my way</v>
      </c>
      <c r="O465" s="1" t="str">
        <f ca="1">IFERROR(__xludf.DUMMYFUNCTION("""COMPUTED_VALUE"""),"Manager who explains what is expected, sets a goal and helps achieve it")</f>
        <v>Manager who explains what is expected, sets a goal and helps achieve it</v>
      </c>
      <c r="P465" s="1" t="str">
        <f ca="1">IFERROR(__xludf.DUMMYFUNCTION("""COMPUTED_VALUE"""),"Work with 5 to 6 people in my team")</f>
        <v>Work with 5 to 6 people in my team</v>
      </c>
      <c r="Q465" s="1" t="str">
        <f ca="1">IFERROR(__xludf.DUMMYFUNCTION("""COMPUTED_VALUE"""),"No")</f>
        <v>No</v>
      </c>
      <c r="R465" s="1" t="str">
        <f ca="1">IFERROR(__xludf.DUMMYFUNCTION("""COMPUTED_VALUE"""),"No way")</f>
        <v>No way</v>
      </c>
      <c r="S465" s="1"/>
    </row>
    <row r="466" spans="1:19" ht="12.5" x14ac:dyDescent="0.25">
      <c r="A466" s="2">
        <f ca="1">IFERROR(__xludf.DUMMYFUNCTION("""COMPUTED_VALUE"""),45021.4898414004)</f>
        <v>45021.489841400398</v>
      </c>
      <c r="B466" s="1" t="str">
        <f ca="1">IFERROR(__xludf.DUMMYFUNCTION("""COMPUTED_VALUE"""),"India")</f>
        <v>India</v>
      </c>
      <c r="C466" s="1">
        <f ca="1">IFERROR(__xludf.DUMMYFUNCTION("""COMPUTED_VALUE"""),442902)</f>
        <v>442902</v>
      </c>
      <c r="D466" s="1" t="str">
        <f ca="1">IFERROR(__xludf.DUMMYFUNCTION("""COMPUTED_VALUE"""),"Female")</f>
        <v>Female</v>
      </c>
      <c r="E466" s="1" t="str">
        <f ca="1">IFERROR(__xludf.DUMMYFUNCTION("""COMPUTED_VALUE"""),"My Parents")</f>
        <v>My Parents</v>
      </c>
      <c r="F466" s="1" t="str">
        <f ca="1">IFERROR(__xludf.DUMMYFUNCTION("""COMPUTED_VALUE"""),"No, But if someone could bare the cost I will")</f>
        <v>No, But if someone could bare the cost I will</v>
      </c>
      <c r="G466" s="1" t="str">
        <f ca="1">IFERROR(__xludf.DUMMYFUNCTION("""COMPUTED_VALUE"""),"This will be hard to do, but if it is the right company I would try")</f>
        <v>This will be hard to do, but if it is the right company I would try</v>
      </c>
      <c r="H466" s="1" t="str">
        <f ca="1">IFERROR(__xludf.DUMMYFUNCTION("""COMPUTED_VALUE"""),"No")</f>
        <v>No</v>
      </c>
      <c r="I466" s="1" t="str">
        <f ca="1">IFERROR(__xludf.DUMMYFUNCTION("""COMPUTED_VALUE"""),"Will NOT work for them")</f>
        <v>Will NOT work for them</v>
      </c>
      <c r="J466" s="1">
        <f ca="1">IFERROR(__xludf.DUMMYFUNCTION("""COMPUTED_VALUE"""),4)</f>
        <v>4</v>
      </c>
      <c r="K466" s="1" t="str">
        <f ca="1">IFERROR(__xludf.DUMMYFUNCTION("""COMPUTED_VALUE"""),"Hybrid Working Environment with more than 15 days a month at office")</f>
        <v>Hybrid Working Environment with more than 15 days a month at office</v>
      </c>
      <c r="L4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6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66" s="1" t="str">
        <f ca="1">IFERROR(__xludf.DUMMYFUNCTION("""COMPUTED_VALUE"""),"Design and Creative strategy in any company, Manage and drive End-to-End Projects or Products, Build and develop a Team, Work as a freelancer and do my thing my way")</f>
        <v>Design and Creative strategy in any company, Manage and drive End-to-End Projects or Products, Build and develop a Team, Work as a freelancer and do my thing my way</v>
      </c>
      <c r="O466" s="1" t="str">
        <f ca="1">IFERROR(__xludf.DUMMYFUNCTION("""COMPUTED_VALUE"""),"Manager who explains what is expected, sets a goal and helps achieve it")</f>
        <v>Manager who explains what is expected, sets a goal and helps achieve it</v>
      </c>
      <c r="P466" s="1" t="str">
        <f ca="1">IFERROR(__xludf.DUMMYFUNCTION("""COMPUTED_VALUE"""),"Work with 2 to 3 people in my team")</f>
        <v>Work with 2 to 3 people in my team</v>
      </c>
      <c r="Q466" s="1" t="str">
        <f ca="1">IFERROR(__xludf.DUMMYFUNCTION("""COMPUTED_VALUE"""),"Yes, I Understand this is gonna happen everywhere")</f>
        <v>Yes, I Understand this is gonna happen everywhere</v>
      </c>
      <c r="R466" s="1" t="str">
        <f ca="1">IFERROR(__xludf.DUMMYFUNCTION("""COMPUTED_VALUE"""),"This will be hard to do, but if it is the right company I would try")</f>
        <v>This will be hard to do, but if it is the right company I would try</v>
      </c>
      <c r="S466" s="1"/>
    </row>
    <row r="467" spans="1:19" ht="12.5" x14ac:dyDescent="0.25">
      <c r="A467" s="2">
        <f ca="1">IFERROR(__xludf.DUMMYFUNCTION("""COMPUTED_VALUE"""),45021.4908876851)</f>
        <v>45021.490887685097</v>
      </c>
      <c r="B467" s="1" t="str">
        <f ca="1">IFERROR(__xludf.DUMMYFUNCTION("""COMPUTED_VALUE"""),"India")</f>
        <v>India</v>
      </c>
      <c r="C467" s="1">
        <f ca="1">IFERROR(__xludf.DUMMYFUNCTION("""COMPUTED_VALUE"""),500078)</f>
        <v>500078</v>
      </c>
      <c r="D467" s="1" t="str">
        <f ca="1">IFERROR(__xludf.DUMMYFUNCTION("""COMPUTED_VALUE"""),"Female")</f>
        <v>Female</v>
      </c>
      <c r="E467" s="1" t="str">
        <f ca="1">IFERROR(__xludf.DUMMYFUNCTION("""COMPUTED_VALUE"""),"Influencers who had successful careers")</f>
        <v>Influencers who had successful careers</v>
      </c>
      <c r="F467" s="1" t="str">
        <f ca="1">IFERROR(__xludf.DUMMYFUNCTION("""COMPUTED_VALUE"""),"Yes, I will earn and do that")</f>
        <v>Yes, I will earn and do that</v>
      </c>
      <c r="G467" s="1" t="str">
        <f ca="1">IFERROR(__xludf.DUMMYFUNCTION("""COMPUTED_VALUE"""),"This will be hard to do, but if it is the right company I would try")</f>
        <v>This will be hard to do, but if it is the right company I would try</v>
      </c>
      <c r="H467" s="1" t="str">
        <f ca="1">IFERROR(__xludf.DUMMYFUNCTION("""COMPUTED_VALUE"""),"Yes")</f>
        <v>Yes</v>
      </c>
      <c r="I467" s="1" t="str">
        <f ca="1">IFERROR(__xludf.DUMMYFUNCTION("""COMPUTED_VALUE"""),"Will work for them")</f>
        <v>Will work for them</v>
      </c>
      <c r="J467" s="1">
        <f ca="1">IFERROR(__xludf.DUMMYFUNCTION("""COMPUTED_VALUE"""),8)</f>
        <v>8</v>
      </c>
      <c r="K467" s="1" t="str">
        <f ca="1">IFERROR(__xludf.DUMMYFUNCTION("""COMPUTED_VALUE"""),"Every Day Office Environment")</f>
        <v>Every Day Office Environment</v>
      </c>
      <c r="L467" s="1" t="str">
        <f ca="1">IFERROR(__xludf.DUMMYFUNCTION("""COMPUTED_VALUE"""),"Employer who appreciates learning and enables that environment")</f>
        <v>Employer who appreciates learning and enables that environment</v>
      </c>
      <c r="M467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467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467" s="1" t="str">
        <f ca="1">IFERROR(__xludf.DUMMYFUNCTION("""COMPUTED_VALUE"""),"Manager who sets goal and helps me achieve it")</f>
        <v>Manager who sets goal and helps me achieve it</v>
      </c>
      <c r="P467" s="1" t="str">
        <f ca="1">IFERROR(__xludf.DUMMYFUNCTION("""COMPUTED_VALUE"""),"Work with 7 to 10 or more people in my team")</f>
        <v>Work with 7 to 10 or more people in my team</v>
      </c>
      <c r="Q467" s="1" t="str">
        <f ca="1">IFERROR(__xludf.DUMMYFUNCTION("""COMPUTED_VALUE"""),"I have NO other choice")</f>
        <v>I have NO other choice</v>
      </c>
      <c r="R467" s="1" t="str">
        <f ca="1">IFERROR(__xludf.DUMMYFUNCTION("""COMPUTED_VALUE"""),"This will be hard to do, but if it is the right company I would try")</f>
        <v>This will be hard to do, but if it is the right company I would try</v>
      </c>
      <c r="S467" s="1"/>
    </row>
    <row r="468" spans="1:19" ht="12.5" x14ac:dyDescent="0.25">
      <c r="A468" s="2">
        <f ca="1">IFERROR(__xludf.DUMMYFUNCTION("""COMPUTED_VALUE"""),45021.4927)</f>
        <v>45021.492700000003</v>
      </c>
      <c r="B468" s="1" t="str">
        <f ca="1">IFERROR(__xludf.DUMMYFUNCTION("""COMPUTED_VALUE"""),"India")</f>
        <v>India</v>
      </c>
      <c r="C468" s="1">
        <f ca="1">IFERROR(__xludf.DUMMYFUNCTION("""COMPUTED_VALUE"""),500035)</f>
        <v>500035</v>
      </c>
      <c r="D468" s="1" t="str">
        <f ca="1">IFERROR(__xludf.DUMMYFUNCTION("""COMPUTED_VALUE"""),"Female")</f>
        <v>Female</v>
      </c>
      <c r="E468" s="1" t="str">
        <f ca="1">IFERROR(__xludf.DUMMYFUNCTION("""COMPUTED_VALUE"""),"My Parents")</f>
        <v>My Parents</v>
      </c>
      <c r="F468" s="1" t="str">
        <f ca="1">IFERROR(__xludf.DUMMYFUNCTION("""COMPUTED_VALUE"""),"No, But if someone could bare the cost I will")</f>
        <v>No, But if someone could bare the cost I will</v>
      </c>
      <c r="G468" s="1" t="str">
        <f ca="1">IFERROR(__xludf.DUMMYFUNCTION("""COMPUTED_VALUE"""),"Will work for 3 years or more")</f>
        <v>Will work for 3 years or more</v>
      </c>
      <c r="H468" s="1" t="str">
        <f ca="1">IFERROR(__xludf.DUMMYFUNCTION("""COMPUTED_VALUE"""),"No")</f>
        <v>No</v>
      </c>
      <c r="I468" s="1" t="str">
        <f ca="1">IFERROR(__xludf.DUMMYFUNCTION("""COMPUTED_VALUE"""),"Will NOT work for them")</f>
        <v>Will NOT work for them</v>
      </c>
      <c r="J468" s="1">
        <f ca="1">IFERROR(__xludf.DUMMYFUNCTION("""COMPUTED_VALUE"""),5)</f>
        <v>5</v>
      </c>
      <c r="K468" s="1" t="str">
        <f ca="1">IFERROR(__xludf.DUMMYFUNCTION("""COMPUTED_VALUE"""),"Hybrid Working Environment with more than 15 days a month at office")</f>
        <v>Hybrid Working Environment with more than 15 days a month at office</v>
      </c>
      <c r="L4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6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468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468" s="1" t="str">
        <f ca="1">IFERROR(__xludf.DUMMYFUNCTION("""COMPUTED_VALUE"""),"Manager who explains what is expected, sets a goal and helps achieve it")</f>
        <v>Manager who explains what is expected, sets a goal and helps achieve it</v>
      </c>
      <c r="P46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468" s="1" t="str">
        <f ca="1">IFERROR(__xludf.DUMMYFUNCTION("""COMPUTED_VALUE"""),"Yes, I Understand this is gonna happen everywhere")</f>
        <v>Yes, I Understand this is gonna happen everywhere</v>
      </c>
      <c r="R468" s="1" t="str">
        <f ca="1">IFERROR(__xludf.DUMMYFUNCTION("""COMPUTED_VALUE"""),"This will be hard to do, but if it is the right company I would try")</f>
        <v>This will be hard to do, but if it is the right company I would try</v>
      </c>
      <c r="S468" s="1"/>
    </row>
    <row r="469" spans="1:19" ht="12.5" x14ac:dyDescent="0.25">
      <c r="A469" s="2">
        <f ca="1">IFERROR(__xludf.DUMMYFUNCTION("""COMPUTED_VALUE"""),45021.4932447222)</f>
        <v>45021.493244722202</v>
      </c>
      <c r="B469" s="1" t="str">
        <f ca="1">IFERROR(__xludf.DUMMYFUNCTION("""COMPUTED_VALUE"""),"India")</f>
        <v>India</v>
      </c>
      <c r="C469" s="1">
        <f ca="1">IFERROR(__xludf.DUMMYFUNCTION("""COMPUTED_VALUE"""),500070)</f>
        <v>500070</v>
      </c>
      <c r="D469" s="1" t="str">
        <f ca="1">IFERROR(__xludf.DUMMYFUNCTION("""COMPUTED_VALUE"""),"Female")</f>
        <v>Female</v>
      </c>
      <c r="E469" s="1" t="str">
        <f ca="1">IFERROR(__xludf.DUMMYFUNCTION("""COMPUTED_VALUE"""),"My Parents")</f>
        <v>My Parents</v>
      </c>
      <c r="F469" s="1" t="str">
        <f ca="1">IFERROR(__xludf.DUMMYFUNCTION("""COMPUTED_VALUE"""),"Yes, I will earn and do that")</f>
        <v>Yes, I will earn and do that</v>
      </c>
      <c r="G469" s="1" t="str">
        <f ca="1">IFERROR(__xludf.DUMMYFUNCTION("""COMPUTED_VALUE"""),"This will be hard to do, but if it is the right company I would try")</f>
        <v>This will be hard to do, but if it is the right company I would try</v>
      </c>
      <c r="H469" s="1" t="str">
        <f ca="1">IFERROR(__xludf.DUMMYFUNCTION("""COMPUTED_VALUE"""),"Yes")</f>
        <v>Yes</v>
      </c>
      <c r="I469" s="1" t="str">
        <f ca="1">IFERROR(__xludf.DUMMYFUNCTION("""COMPUTED_VALUE"""),"Will NOT work for them")</f>
        <v>Will NOT work for them</v>
      </c>
      <c r="J469" s="1">
        <f ca="1">IFERROR(__xludf.DUMMYFUNCTION("""COMPUTED_VALUE"""),5)</f>
        <v>5</v>
      </c>
      <c r="K469" s="1" t="str">
        <f ca="1">IFERROR(__xludf.DUMMYFUNCTION("""COMPUTED_VALUE"""),"Hybrid Working Environment with more than 15 days a month at office")</f>
        <v>Hybrid Working Environment with more than 15 days a month at office</v>
      </c>
      <c r="L469" s="1" t="str">
        <f ca="1">IFERROR(__xludf.DUMMYFUNCTION("""COMPUTED_VALUE"""),"Employer who appreciates learning and enables that environment")</f>
        <v>Employer who appreciates learning and enables that environment</v>
      </c>
      <c r="M469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469" s="1" t="str">
        <f ca="1">IFERROR(__xludf.DUMMYFUNCTION("""COMPUTED_VALUE"""),"Design and Creative strategy in any company, Design and Develop amazing software, Entrepreneur or Start Up, I Want to sell things/Sales")</f>
        <v>Design and Creative strategy in any company, Design and Develop amazing software, Entrepreneur or Start Up, I Want to sell things/Sales</v>
      </c>
      <c r="O469" s="1" t="str">
        <f ca="1">IFERROR(__xludf.DUMMYFUNCTION("""COMPUTED_VALUE"""),"Manager who explains what is expected, sets a goal and helps achieve it")</f>
        <v>Manager who explains what is expected, sets a goal and helps achieve it</v>
      </c>
      <c r="P469" s="1" t="str">
        <f ca="1">IFERROR(__xludf.DUMMYFUNCTION("""COMPUTED_VALUE"""),"Work with 2 to 3 people in my team, Work with 5 to 6 people in my team")</f>
        <v>Work with 2 to 3 people in my team, Work with 5 to 6 people in my team</v>
      </c>
      <c r="Q469" s="1" t="str">
        <f ca="1">IFERROR(__xludf.DUMMYFUNCTION("""COMPUTED_VALUE"""),"Yes, I Understand this is gonna happen everywhere")</f>
        <v>Yes, I Understand this is gonna happen everywhere</v>
      </c>
      <c r="R469" s="1" t="str">
        <f ca="1">IFERROR(__xludf.DUMMYFUNCTION("""COMPUTED_VALUE"""),"No way")</f>
        <v>No way</v>
      </c>
      <c r="S469" s="1"/>
    </row>
    <row r="470" spans="1:19" ht="12.5" x14ac:dyDescent="0.25">
      <c r="A470" s="2">
        <f ca="1">IFERROR(__xludf.DUMMYFUNCTION("""COMPUTED_VALUE"""),45021.4947570949)</f>
        <v>45021.494757094901</v>
      </c>
      <c r="B470" s="1" t="str">
        <f ca="1">IFERROR(__xludf.DUMMYFUNCTION("""COMPUTED_VALUE"""),"India")</f>
        <v>India</v>
      </c>
      <c r="C470" s="1">
        <f ca="1">IFERROR(__xludf.DUMMYFUNCTION("""COMPUTED_VALUE"""),500070)</f>
        <v>500070</v>
      </c>
      <c r="D470" s="1" t="str">
        <f ca="1">IFERROR(__xludf.DUMMYFUNCTION("""COMPUTED_VALUE"""),"Female")</f>
        <v>Female</v>
      </c>
      <c r="E470" s="1" t="str">
        <f ca="1">IFERROR(__xludf.DUMMYFUNCTION("""COMPUTED_VALUE"""),"My Parents")</f>
        <v>My Parents</v>
      </c>
      <c r="F470" s="1" t="str">
        <f ca="1">IFERROR(__xludf.DUMMYFUNCTION("""COMPUTED_VALUE"""),"No I would not be pursuing Higher Education outside of India")</f>
        <v>No I would not be pursuing Higher Education outside of India</v>
      </c>
      <c r="G470" s="1" t="str">
        <f ca="1">IFERROR(__xludf.DUMMYFUNCTION("""COMPUTED_VALUE"""),"This will be hard to do, but if it is the right company I would try")</f>
        <v>This will be hard to do, but if it is the right company I would try</v>
      </c>
      <c r="H470" s="1" t="str">
        <f ca="1">IFERROR(__xludf.DUMMYFUNCTION("""COMPUTED_VALUE"""),"No")</f>
        <v>No</v>
      </c>
      <c r="I470" s="1" t="str">
        <f ca="1">IFERROR(__xludf.DUMMYFUNCTION("""COMPUTED_VALUE"""),"Will NOT work for them")</f>
        <v>Will NOT work for them</v>
      </c>
      <c r="J470" s="1">
        <f ca="1">IFERROR(__xludf.DUMMYFUNCTION("""COMPUTED_VALUE"""),6)</f>
        <v>6</v>
      </c>
      <c r="K470" s="1" t="str">
        <f ca="1">IFERROR(__xludf.DUMMYFUNCTION("""COMPUTED_VALUE"""),"Fully Remote with No option to visit offices")</f>
        <v>Fully Remote with No option to visit offices</v>
      </c>
      <c r="L470" s="1" t="str">
        <f ca="1">IFERROR(__xludf.DUMMYFUNCTION("""COMPUTED_VALUE"""),"Employer who appreciates learning and enables that environment")</f>
        <v>Employer who appreciates learning and enables that environment</v>
      </c>
      <c r="M47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70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470" s="1" t="str">
        <f ca="1">IFERROR(__xludf.DUMMYFUNCTION("""COMPUTED_VALUE"""),"Manager who explains what is expected, sets a goal and helps achieve it")</f>
        <v>Manager who explains what is expected, sets a goal and helps achieve it</v>
      </c>
      <c r="P470" s="1" t="str">
        <f ca="1">IFERROR(__xludf.DUMMYFUNCTION("""COMPUTED_VALUE"""),"Work with 5 to 6 people in my team")</f>
        <v>Work with 5 to 6 people in my team</v>
      </c>
      <c r="Q470" s="1" t="str">
        <f ca="1">IFERROR(__xludf.DUMMYFUNCTION("""COMPUTED_VALUE"""),"Yes, I Understand this is gonna happen everywhere")</f>
        <v>Yes, I Understand this is gonna happen everywhere</v>
      </c>
      <c r="R470" s="1" t="str">
        <f ca="1">IFERROR(__xludf.DUMMYFUNCTION("""COMPUTED_VALUE"""),"This will be hard to do, but if it is the right company I would try")</f>
        <v>This will be hard to do, but if it is the right company I would try</v>
      </c>
      <c r="S470" s="1"/>
    </row>
    <row r="471" spans="1:19" ht="12.5" x14ac:dyDescent="0.25">
      <c r="A471" s="2">
        <f ca="1">IFERROR(__xludf.DUMMYFUNCTION("""COMPUTED_VALUE"""),45021.4947659375)</f>
        <v>45021.494765937503</v>
      </c>
      <c r="B471" s="1" t="str">
        <f ca="1">IFERROR(__xludf.DUMMYFUNCTION("""COMPUTED_VALUE"""),"India")</f>
        <v>India</v>
      </c>
      <c r="C471" s="1">
        <f ca="1">IFERROR(__xludf.DUMMYFUNCTION("""COMPUTED_VALUE"""),500070)</f>
        <v>500070</v>
      </c>
      <c r="D471" s="1" t="str">
        <f ca="1">IFERROR(__xludf.DUMMYFUNCTION("""COMPUTED_VALUE"""),"Female")</f>
        <v>Female</v>
      </c>
      <c r="E471" s="1" t="str">
        <f ca="1">IFERROR(__xludf.DUMMYFUNCTION("""COMPUTED_VALUE"""),"My Parents")</f>
        <v>My Parents</v>
      </c>
      <c r="F471" s="1" t="str">
        <f ca="1">IFERROR(__xludf.DUMMYFUNCTION("""COMPUTED_VALUE"""),"No I would not be pursuing Higher Education outside of India")</f>
        <v>No I would not be pursuing Higher Education outside of India</v>
      </c>
      <c r="G471" s="1" t="str">
        <f ca="1">IFERROR(__xludf.DUMMYFUNCTION("""COMPUTED_VALUE"""),"This will be hard to do, but if it is the right company I would try")</f>
        <v>This will be hard to do, but if it is the right company I would try</v>
      </c>
      <c r="H471" s="1" t="str">
        <f ca="1">IFERROR(__xludf.DUMMYFUNCTION("""COMPUTED_VALUE"""),"No")</f>
        <v>No</v>
      </c>
      <c r="I471" s="1" t="str">
        <f ca="1">IFERROR(__xludf.DUMMYFUNCTION("""COMPUTED_VALUE"""),"Will NOT work for them")</f>
        <v>Will NOT work for them</v>
      </c>
      <c r="J471" s="1">
        <f ca="1">IFERROR(__xludf.DUMMYFUNCTION("""COMPUTED_VALUE"""),6)</f>
        <v>6</v>
      </c>
      <c r="K471" s="1" t="str">
        <f ca="1">IFERROR(__xludf.DUMMYFUNCTION("""COMPUTED_VALUE"""),"Fully Remote with No option to visit offices")</f>
        <v>Fully Remote with No option to visit offices</v>
      </c>
      <c r="L471" s="1" t="str">
        <f ca="1">IFERROR(__xludf.DUMMYFUNCTION("""COMPUTED_VALUE"""),"Employer who appreciates learning and enables that environment")</f>
        <v>Employer who appreciates learning and enables that environment</v>
      </c>
      <c r="M47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71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471" s="1" t="str">
        <f ca="1">IFERROR(__xludf.DUMMYFUNCTION("""COMPUTED_VALUE"""),"Manager who explains what is expected, sets a goal and helps achieve it")</f>
        <v>Manager who explains what is expected, sets a goal and helps achieve it</v>
      </c>
      <c r="P471" s="1" t="str">
        <f ca="1">IFERROR(__xludf.DUMMYFUNCTION("""COMPUTED_VALUE"""),"Work with 5 to 6 people in my team")</f>
        <v>Work with 5 to 6 people in my team</v>
      </c>
      <c r="Q471" s="1" t="str">
        <f ca="1">IFERROR(__xludf.DUMMYFUNCTION("""COMPUTED_VALUE"""),"Yes, I Understand this is gonna happen everywhere")</f>
        <v>Yes, I Understand this is gonna happen everywhere</v>
      </c>
      <c r="R471" s="1" t="str">
        <f ca="1">IFERROR(__xludf.DUMMYFUNCTION("""COMPUTED_VALUE"""),"This will be hard to do, but if it is the right company I would try")</f>
        <v>This will be hard to do, but if it is the right company I would try</v>
      </c>
      <c r="S471" s="1"/>
    </row>
    <row r="472" spans="1:19" ht="12.5" x14ac:dyDescent="0.25">
      <c r="A472" s="2">
        <f ca="1">IFERROR(__xludf.DUMMYFUNCTION("""COMPUTED_VALUE"""),45021.4955930439)</f>
        <v>45021.495593043903</v>
      </c>
      <c r="B472" s="1" t="str">
        <f ca="1">IFERROR(__xludf.DUMMYFUNCTION("""COMPUTED_VALUE"""),"India")</f>
        <v>India</v>
      </c>
      <c r="C472" s="1">
        <f ca="1">IFERROR(__xludf.DUMMYFUNCTION("""COMPUTED_VALUE"""),624601)</f>
        <v>624601</v>
      </c>
      <c r="D472" s="1" t="str">
        <f ca="1">IFERROR(__xludf.DUMMYFUNCTION("""COMPUTED_VALUE"""),"Male")</f>
        <v>Male</v>
      </c>
      <c r="E472" s="1" t="str">
        <f ca="1">IFERROR(__xludf.DUMMYFUNCTION("""COMPUTED_VALUE"""),"People from my circle, but not family members")</f>
        <v>People from my circle, but not family members</v>
      </c>
      <c r="F472" s="1" t="str">
        <f ca="1">IFERROR(__xludf.DUMMYFUNCTION("""COMPUTED_VALUE"""),"No, But if someone could bare the cost I will")</f>
        <v>No, But if someone could bare the cost I will</v>
      </c>
      <c r="G472" s="1" t="str">
        <f ca="1">IFERROR(__xludf.DUMMYFUNCTION("""COMPUTED_VALUE"""),"Will work for 3 years or more")</f>
        <v>Will work for 3 years or more</v>
      </c>
      <c r="H472" s="1" t="str">
        <f ca="1">IFERROR(__xludf.DUMMYFUNCTION("""COMPUTED_VALUE"""),"Yes")</f>
        <v>Yes</v>
      </c>
      <c r="I472" s="1" t="str">
        <f ca="1">IFERROR(__xludf.DUMMYFUNCTION("""COMPUTED_VALUE"""),"Will work for them")</f>
        <v>Will work for them</v>
      </c>
      <c r="J472" s="1">
        <f ca="1">IFERROR(__xludf.DUMMYFUNCTION("""COMPUTED_VALUE"""),6)</f>
        <v>6</v>
      </c>
      <c r="K472" s="1" t="str">
        <f ca="1">IFERROR(__xludf.DUMMYFUNCTION("""COMPUTED_VALUE"""),"Fully Remote with No option to visit offices")</f>
        <v>Fully Remote with No option to visit offices</v>
      </c>
      <c r="L472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47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472" s="1" t="str">
        <f ca="1">IFERROR(__xludf.DUMMYFUNCTION("""COMPUTED_VALUE"""),"Business Operations in any organization, Manage and drive End-to-End Projects or Products, Work in a BPO setup for some well known client, An Artificial Intelligence Specialist / Talking to Robots")</f>
        <v>Business Operations in any organization, Manage and drive End-to-End Projects or Products, Work in a BPO setup for some well known client, An Artificial Intelligence Specialist / Talking to Robots</v>
      </c>
      <c r="O472" s="1" t="str">
        <f ca="1">IFERROR(__xludf.DUMMYFUNCTION("""COMPUTED_VALUE"""),"Manager who clearly describes what she/he needs")</f>
        <v>Manager who clearly describes what she/he needs</v>
      </c>
      <c r="P472" s="1" t="str">
        <f ca="1">IFERROR(__xludf.DUMMYFUNCTION("""COMPUTED_VALUE"""),"Work alone, Work with 2 to 3 people in my team")</f>
        <v>Work alone, Work with 2 to 3 people in my team</v>
      </c>
      <c r="Q472" s="1" t="str">
        <f ca="1">IFERROR(__xludf.DUMMYFUNCTION("""COMPUTED_VALUE"""),"No")</f>
        <v>No</v>
      </c>
      <c r="R472" s="1" t="str">
        <f ca="1">IFERROR(__xludf.DUMMYFUNCTION("""COMPUTED_VALUE"""),"This will be hard to do, but if it is the right company I would try")</f>
        <v>This will be hard to do, but if it is the right company I would try</v>
      </c>
      <c r="S472" s="1"/>
    </row>
    <row r="473" spans="1:19" ht="12.5" x14ac:dyDescent="0.25">
      <c r="A473" s="2">
        <f ca="1">IFERROR(__xludf.DUMMYFUNCTION("""COMPUTED_VALUE"""),45021.4959984259)</f>
        <v>45021.495998425897</v>
      </c>
      <c r="B473" s="1" t="str">
        <f ca="1">IFERROR(__xludf.DUMMYFUNCTION("""COMPUTED_VALUE"""),"India")</f>
        <v>India</v>
      </c>
      <c r="C473" s="1">
        <f ca="1">IFERROR(__xludf.DUMMYFUNCTION("""COMPUTED_VALUE"""),516003)</f>
        <v>516003</v>
      </c>
      <c r="D473" s="1" t="str">
        <f ca="1">IFERROR(__xludf.DUMMYFUNCTION("""COMPUTED_VALUE"""),"Female")</f>
        <v>Female</v>
      </c>
      <c r="E473" s="1" t="str">
        <f ca="1">IFERROR(__xludf.DUMMYFUNCTION("""COMPUTED_VALUE"""),"My Parents")</f>
        <v>My Parents</v>
      </c>
      <c r="F473" s="1" t="str">
        <f ca="1">IFERROR(__xludf.DUMMYFUNCTION("""COMPUTED_VALUE"""),"No I would not be pursuing Higher Education outside of India")</f>
        <v>No I would not be pursuing Higher Education outside of India</v>
      </c>
      <c r="G473" s="1" t="str">
        <f ca="1">IFERROR(__xludf.DUMMYFUNCTION("""COMPUTED_VALUE"""),"Will work for 3 years or more")</f>
        <v>Will work for 3 years or more</v>
      </c>
      <c r="H473" s="1" t="str">
        <f ca="1">IFERROR(__xludf.DUMMYFUNCTION("""COMPUTED_VALUE"""),"Yes")</f>
        <v>Yes</v>
      </c>
      <c r="I473" s="1" t="str">
        <f ca="1">IFERROR(__xludf.DUMMYFUNCTION("""COMPUTED_VALUE"""),"Will work for them")</f>
        <v>Will work for them</v>
      </c>
      <c r="J473" s="1">
        <f ca="1">IFERROR(__xludf.DUMMYFUNCTION("""COMPUTED_VALUE"""),4)</f>
        <v>4</v>
      </c>
      <c r="K473" s="1" t="str">
        <f ca="1">IFERROR(__xludf.DUMMYFUNCTION("""COMPUTED_VALUE"""),"Hybrid Working Environment with less than 3 days a month at office")</f>
        <v>Hybrid Working Environment with less than 3 days a month at office</v>
      </c>
      <c r="L4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73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473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473" s="1" t="str">
        <f ca="1">IFERROR(__xludf.DUMMYFUNCTION("""COMPUTED_VALUE"""),"Manager who sets targets and expects me to achieve it")</f>
        <v>Manager who sets targets and expects me to achieve it</v>
      </c>
      <c r="P473" s="1" t="str">
        <f ca="1">IFERROR(__xludf.DUMMYFUNCTION("""COMPUTED_VALUE"""),"Work with 2 to 3 people in my team")</f>
        <v>Work with 2 to 3 people in my team</v>
      </c>
      <c r="Q473" s="1" t="str">
        <f ca="1">IFERROR(__xludf.DUMMYFUNCTION("""COMPUTED_VALUE"""),"Yes, I Understand this is gonna happen everywhere")</f>
        <v>Yes, I Understand this is gonna happen everywhere</v>
      </c>
      <c r="R473" s="1" t="str">
        <f ca="1">IFERROR(__xludf.DUMMYFUNCTION("""COMPUTED_VALUE"""),"No way")</f>
        <v>No way</v>
      </c>
      <c r="S473" s="1"/>
    </row>
    <row r="474" spans="1:19" ht="12.5" x14ac:dyDescent="0.25">
      <c r="A474" s="2">
        <f ca="1">IFERROR(__xludf.DUMMYFUNCTION("""COMPUTED_VALUE"""),45021.4973548611)</f>
        <v>45021.497354861101</v>
      </c>
      <c r="B474" s="1" t="str">
        <f ca="1">IFERROR(__xludf.DUMMYFUNCTION("""COMPUTED_VALUE"""),"India")</f>
        <v>India</v>
      </c>
      <c r="C474" s="1">
        <f ca="1">IFERROR(__xludf.DUMMYFUNCTION("""COMPUTED_VALUE"""),500080)</f>
        <v>500080</v>
      </c>
      <c r="D474" s="1" t="str">
        <f ca="1">IFERROR(__xludf.DUMMYFUNCTION("""COMPUTED_VALUE"""),"Male")</f>
        <v>Male</v>
      </c>
      <c r="E474" s="1" t="str">
        <f ca="1">IFERROR(__xludf.DUMMYFUNCTION("""COMPUTED_VALUE"""),"People who have changed the world for better")</f>
        <v>People who have changed the world for better</v>
      </c>
      <c r="F474" s="1" t="str">
        <f ca="1">IFERROR(__xludf.DUMMYFUNCTION("""COMPUTED_VALUE"""),"Yes, I will earn and do that")</f>
        <v>Yes, I will earn and do that</v>
      </c>
      <c r="G474" s="1" t="str">
        <f ca="1">IFERROR(__xludf.DUMMYFUNCTION("""COMPUTED_VALUE"""),"Will work for 3 years or more")</f>
        <v>Will work for 3 years or more</v>
      </c>
      <c r="H474" s="1" t="str">
        <f ca="1">IFERROR(__xludf.DUMMYFUNCTION("""COMPUTED_VALUE"""),"No")</f>
        <v>No</v>
      </c>
      <c r="I474" s="1" t="str">
        <f ca="1">IFERROR(__xludf.DUMMYFUNCTION("""COMPUTED_VALUE"""),"Will NOT work for them")</f>
        <v>Will NOT work for them</v>
      </c>
      <c r="J474" s="1">
        <f ca="1">IFERROR(__xludf.DUMMYFUNCTION("""COMPUTED_VALUE"""),5)</f>
        <v>5</v>
      </c>
      <c r="K474" s="1" t="str">
        <f ca="1">IFERROR(__xludf.DUMMYFUNCTION("""COMPUTED_VALUE"""),"Hybrid Working Environment with more than 15 days a month at office")</f>
        <v>Hybrid Working Environment with more than 15 days a month at office</v>
      </c>
      <c r="L474" s="1" t="str">
        <f ca="1">IFERROR(__xludf.DUMMYFUNCTION("""COMPUTED_VALUE"""),"Employer who rewards learning and enables that environment")</f>
        <v>Employer who rewards learning and enables that environment</v>
      </c>
      <c r="M47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474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474" s="1" t="str">
        <f ca="1">IFERROR(__xludf.DUMMYFUNCTION("""COMPUTED_VALUE"""),"Manager who explains what is expected, sets a goal and helps achieve it")</f>
        <v>Manager who explains what is expected, sets a goal and helps achieve it</v>
      </c>
      <c r="P474" s="1" t="str">
        <f ca="1">IFERROR(__xludf.DUMMYFUNCTION("""COMPUTED_VALUE"""),"Work with 7 to 10 or more people in my team")</f>
        <v>Work with 7 to 10 or more people in my team</v>
      </c>
      <c r="Q474" s="1" t="str">
        <f ca="1">IFERROR(__xludf.DUMMYFUNCTION("""COMPUTED_VALUE"""),"Yes")</f>
        <v>Yes</v>
      </c>
      <c r="R474" s="1" t="str">
        <f ca="1">IFERROR(__xludf.DUMMYFUNCTION("""COMPUTED_VALUE"""),"This will be hard to do, but if it is the right company I would try")</f>
        <v>This will be hard to do, but if it is the right company I would try</v>
      </c>
      <c r="S474" s="1"/>
    </row>
    <row r="475" spans="1:19" ht="12.5" x14ac:dyDescent="0.25">
      <c r="A475" s="2">
        <f ca="1">IFERROR(__xludf.DUMMYFUNCTION("""COMPUTED_VALUE"""),45021.4978105555)</f>
        <v>45021.497810555498</v>
      </c>
      <c r="B475" s="1" t="str">
        <f ca="1">IFERROR(__xludf.DUMMYFUNCTION("""COMPUTED_VALUE"""),"India")</f>
        <v>India</v>
      </c>
      <c r="C475" s="1">
        <f ca="1">IFERROR(__xludf.DUMMYFUNCTION("""COMPUTED_VALUE"""),516003)</f>
        <v>516003</v>
      </c>
      <c r="D475" s="1" t="str">
        <f ca="1">IFERROR(__xludf.DUMMYFUNCTION("""COMPUTED_VALUE"""),"Female")</f>
        <v>Female</v>
      </c>
      <c r="E475" s="1" t="str">
        <f ca="1">IFERROR(__xludf.DUMMYFUNCTION("""COMPUTED_VALUE"""),"My Parents")</f>
        <v>My Parents</v>
      </c>
      <c r="F475" s="1" t="str">
        <f ca="1">IFERROR(__xludf.DUMMYFUNCTION("""COMPUTED_VALUE"""),"Yes, I will earn and do that")</f>
        <v>Yes, I will earn and do that</v>
      </c>
      <c r="G475" s="1" t="str">
        <f ca="1">IFERROR(__xludf.DUMMYFUNCTION("""COMPUTED_VALUE"""),"Will work for 3 years or more")</f>
        <v>Will work for 3 years or more</v>
      </c>
      <c r="H475" s="1" t="str">
        <f ca="1">IFERROR(__xludf.DUMMYFUNCTION("""COMPUTED_VALUE"""),"Yes")</f>
        <v>Yes</v>
      </c>
      <c r="I475" s="1" t="str">
        <f ca="1">IFERROR(__xludf.DUMMYFUNCTION("""COMPUTED_VALUE"""),"Will NOT work for them")</f>
        <v>Will NOT work for them</v>
      </c>
      <c r="J475" s="1">
        <f ca="1">IFERROR(__xludf.DUMMYFUNCTION("""COMPUTED_VALUE"""),2)</f>
        <v>2</v>
      </c>
      <c r="K475" s="1" t="str">
        <f ca="1">IFERROR(__xludf.DUMMYFUNCTION("""COMPUTED_VALUE"""),"Every Day Office Environment")</f>
        <v>Every Day Office Environment</v>
      </c>
      <c r="L475" s="1" t="str">
        <f ca="1">IFERROR(__xludf.DUMMYFUNCTION("""COMPUTED_VALUE"""),"Employer who rewards learning and enables that environment")</f>
        <v>Employer who rewards learning and enables that environment</v>
      </c>
      <c r="M47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475" s="1" t="str">
        <f ca="1">IFERROR(__xludf.DUMMYFUNCTION("""COMPUTED_VALUE"""),"Design and Creative strategy in any company, Business Operations in any organization, Build and develop a Team, An Artificial Intelligence Specialist / Talking to Robots")</f>
        <v>Design and Creative strategy in any company, Business Operations in any organization, Build and develop a Team, An Artificial Intelligence Specialist / Talking to Robots</v>
      </c>
      <c r="O475" s="1" t="str">
        <f ca="1">IFERROR(__xludf.DUMMYFUNCTION("""COMPUTED_VALUE"""),"Manager who sets targets and expects me to achieve it")</f>
        <v>Manager who sets targets and expects me to achieve it</v>
      </c>
      <c r="P475" s="1" t="str">
        <f ca="1">IFERROR(__xludf.DUMMYFUNCTION("""COMPUTED_VALUE"""),"Work with 5 to 6 people in my team")</f>
        <v>Work with 5 to 6 people in my team</v>
      </c>
      <c r="Q475" s="1" t="str">
        <f ca="1">IFERROR(__xludf.DUMMYFUNCTION("""COMPUTED_VALUE"""),"Yes")</f>
        <v>Yes</v>
      </c>
      <c r="R475" s="1" t="str">
        <f ca="1">IFERROR(__xludf.DUMMYFUNCTION("""COMPUTED_VALUE"""),"Will work for 7 years or more")</f>
        <v>Will work for 7 years or more</v>
      </c>
      <c r="S475" s="1"/>
    </row>
    <row r="476" spans="1:19" ht="12.5" x14ac:dyDescent="0.25">
      <c r="A476" s="2">
        <f ca="1">IFERROR(__xludf.DUMMYFUNCTION("""COMPUTED_VALUE"""),45021.5008572222)</f>
        <v>45021.5008572222</v>
      </c>
      <c r="B476" s="1" t="str">
        <f ca="1">IFERROR(__xludf.DUMMYFUNCTION("""COMPUTED_VALUE"""),"India")</f>
        <v>India</v>
      </c>
      <c r="C476" s="1">
        <f ca="1">IFERROR(__xludf.DUMMYFUNCTION("""COMPUTED_VALUE"""),500037)</f>
        <v>500037</v>
      </c>
      <c r="D476" s="1" t="str">
        <f ca="1">IFERROR(__xludf.DUMMYFUNCTION("""COMPUTED_VALUE"""),"Female")</f>
        <v>Female</v>
      </c>
      <c r="E476" s="1" t="str">
        <f ca="1">IFERROR(__xludf.DUMMYFUNCTION("""COMPUTED_VALUE"""),"My Parents")</f>
        <v>My Parents</v>
      </c>
      <c r="F476" s="1" t="str">
        <f ca="1">IFERROR(__xludf.DUMMYFUNCTION("""COMPUTED_VALUE"""),"No I would not be pursuing Higher Education outside of India")</f>
        <v>No I would not be pursuing Higher Education outside of India</v>
      </c>
      <c r="G476" s="1" t="str">
        <f ca="1">IFERROR(__xludf.DUMMYFUNCTION("""COMPUTED_VALUE"""),"Will work for 3 years or more")</f>
        <v>Will work for 3 years or more</v>
      </c>
      <c r="H476" s="1" t="str">
        <f ca="1">IFERROR(__xludf.DUMMYFUNCTION("""COMPUTED_VALUE"""),"Yes")</f>
        <v>Yes</v>
      </c>
      <c r="I476" s="1" t="str">
        <f ca="1">IFERROR(__xludf.DUMMYFUNCTION("""COMPUTED_VALUE"""),"Will NOT work for them")</f>
        <v>Will NOT work for them</v>
      </c>
      <c r="J476" s="1">
        <f ca="1">IFERROR(__xludf.DUMMYFUNCTION("""COMPUTED_VALUE"""),5)</f>
        <v>5</v>
      </c>
      <c r="K476" s="1" t="str">
        <f ca="1">IFERROR(__xludf.DUMMYFUNCTION("""COMPUTED_VALUE"""),"Every Day Office Environment")</f>
        <v>Every Day Office Environment</v>
      </c>
      <c r="L476" s="1" t="str">
        <f ca="1">IFERROR(__xludf.DUMMYFUNCTION("""COMPUTED_VALUE"""),"Employer who appreciates learning and enables that environment")</f>
        <v>Employer who appreciates learning and enables that environment</v>
      </c>
      <c r="M4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76" s="1" t="str">
        <f ca="1">IFERROR(__xludf.DUMMYFUNCTION("""COMPUTED_VALUE"""),"Design and Creative strategy in any company, Business Operations in any organization, Design and Develop amazing software, Work in a BPO setup for some well known client")</f>
        <v>Design and Creative strategy in any company, Business Operations in any organization, Design and Develop amazing software, Work in a BPO setup for some well known client</v>
      </c>
      <c r="O476" s="1" t="str">
        <f ca="1">IFERROR(__xludf.DUMMYFUNCTION("""COMPUTED_VALUE"""),"Manager who clearly describes what she/he needs")</f>
        <v>Manager who clearly describes what she/he needs</v>
      </c>
      <c r="P476" s="1" t="str">
        <f ca="1">IFERROR(__xludf.DUMMYFUNCTION("""COMPUTED_VALUE"""),"Work with 2 to 3 people in my team, Work with 5 to 6 people in my team")</f>
        <v>Work with 2 to 3 people in my team, Work with 5 to 6 people in my team</v>
      </c>
      <c r="Q476" s="1" t="str">
        <f ca="1">IFERROR(__xludf.DUMMYFUNCTION("""COMPUTED_VALUE"""),"No")</f>
        <v>No</v>
      </c>
      <c r="R476" s="1" t="str">
        <f ca="1">IFERROR(__xludf.DUMMYFUNCTION("""COMPUTED_VALUE"""),"Will work for 7 years or more")</f>
        <v>Will work for 7 years or more</v>
      </c>
      <c r="S476" s="1"/>
    </row>
    <row r="477" spans="1:19" ht="12.5" x14ac:dyDescent="0.25">
      <c r="A477" s="2">
        <f ca="1">IFERROR(__xludf.DUMMYFUNCTION("""COMPUTED_VALUE"""),45021.5012235878)</f>
        <v>45021.501223587897</v>
      </c>
      <c r="B477" s="1" t="str">
        <f ca="1">IFERROR(__xludf.DUMMYFUNCTION("""COMPUTED_VALUE"""),"India")</f>
        <v>India</v>
      </c>
      <c r="C477" s="1">
        <f ca="1">IFERROR(__xludf.DUMMYFUNCTION("""COMPUTED_VALUE"""),560064)</f>
        <v>560064</v>
      </c>
      <c r="D477" s="1" t="str">
        <f ca="1">IFERROR(__xludf.DUMMYFUNCTION("""COMPUTED_VALUE"""),"Male")</f>
        <v>Male</v>
      </c>
      <c r="E477" s="1" t="str">
        <f ca="1">IFERROR(__xludf.DUMMYFUNCTION("""COMPUTED_VALUE"""),"My Parents")</f>
        <v>My Parents</v>
      </c>
      <c r="F477" s="1" t="str">
        <f ca="1">IFERROR(__xludf.DUMMYFUNCTION("""COMPUTED_VALUE"""),"Yes, I will earn and do that")</f>
        <v>Yes, I will earn and do that</v>
      </c>
      <c r="G477" s="1" t="str">
        <f ca="1">IFERROR(__xludf.DUMMYFUNCTION("""COMPUTED_VALUE"""),"Will work for 3 years or more")</f>
        <v>Will work for 3 years or more</v>
      </c>
      <c r="H477" s="1" t="str">
        <f ca="1">IFERROR(__xludf.DUMMYFUNCTION("""COMPUTED_VALUE"""),"Yes")</f>
        <v>Yes</v>
      </c>
      <c r="I477" s="1" t="str">
        <f ca="1">IFERROR(__xludf.DUMMYFUNCTION("""COMPUTED_VALUE"""),"Will work for them")</f>
        <v>Will work for them</v>
      </c>
      <c r="J477" s="1">
        <f ca="1">IFERROR(__xludf.DUMMYFUNCTION("""COMPUTED_VALUE"""),8)</f>
        <v>8</v>
      </c>
      <c r="K477" s="1" t="str">
        <f ca="1">IFERROR(__xludf.DUMMYFUNCTION("""COMPUTED_VALUE"""),"Hybrid Working Environment with more than 15 days a month at office")</f>
        <v>Hybrid Working Environment with more than 15 days a month at office</v>
      </c>
      <c r="L477" s="1" t="str">
        <f ca="1">IFERROR(__xludf.DUMMYFUNCTION("""COMPUTED_VALUE"""),"Employer who rewards learning and enables that environment")</f>
        <v>Employer who rewards learning and enables that environment</v>
      </c>
      <c r="M47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477" s="1" t="str">
        <f ca="1">IFERROR(__xludf.DUMMYFUNCTION("""COMPUTED_VALUE"""),"Manage and drive End-to-End Projects or Products, Design and Develop amazing software, Look deeply into Data and generate insights, Entrepreneur or Start Up")</f>
        <v>Manage and drive End-to-End Projects or Products, Design and Develop amazing software, Look deeply into Data and generate insights, Entrepreneur or Start Up</v>
      </c>
      <c r="O477" s="1" t="str">
        <f ca="1">IFERROR(__xludf.DUMMYFUNCTION("""COMPUTED_VALUE"""),"Manager who explains what is expected, sets a goal and helps achieve it")</f>
        <v>Manager who explains what is expected, sets a goal and helps achieve it</v>
      </c>
      <c r="P477" s="1" t="str">
        <f ca="1">IFERROR(__xludf.DUMMYFUNCTION("""COMPUTED_VALUE"""),"Work with 2 to 3 people in my team")</f>
        <v>Work with 2 to 3 people in my team</v>
      </c>
      <c r="Q477" s="1" t="str">
        <f ca="1">IFERROR(__xludf.DUMMYFUNCTION("""COMPUTED_VALUE"""),"Yes, I Understand this is gonna happen everywhere")</f>
        <v>Yes, I Understand this is gonna happen everywhere</v>
      </c>
      <c r="R477" s="1" t="str">
        <f ca="1">IFERROR(__xludf.DUMMYFUNCTION("""COMPUTED_VALUE"""),"This will be hard to do, but if it is the right company I would try")</f>
        <v>This will be hard to do, but if it is the right company I would try</v>
      </c>
      <c r="S477" s="1"/>
    </row>
    <row r="478" spans="1:19" ht="12.5" x14ac:dyDescent="0.25">
      <c r="A478" s="2">
        <f ca="1">IFERROR(__xludf.DUMMYFUNCTION("""COMPUTED_VALUE"""),45021.5058153009)</f>
        <v>45021.505815300901</v>
      </c>
      <c r="B478" s="1" t="str">
        <f ca="1">IFERROR(__xludf.DUMMYFUNCTION("""COMPUTED_VALUE"""),"India")</f>
        <v>India</v>
      </c>
      <c r="C478" s="1">
        <f ca="1">IFERROR(__xludf.DUMMYFUNCTION("""COMPUTED_VALUE"""),600014)</f>
        <v>600014</v>
      </c>
      <c r="D478" s="1" t="str">
        <f ca="1">IFERROR(__xludf.DUMMYFUNCTION("""COMPUTED_VALUE"""),"Male")</f>
        <v>Male</v>
      </c>
      <c r="E478" s="1" t="str">
        <f ca="1">IFERROR(__xludf.DUMMYFUNCTION("""COMPUTED_VALUE"""),"My Parents")</f>
        <v>My Parents</v>
      </c>
      <c r="F478" s="1" t="str">
        <f ca="1">IFERROR(__xludf.DUMMYFUNCTION("""COMPUTED_VALUE"""),"Yes, I will earn and do that")</f>
        <v>Yes, I will earn and do that</v>
      </c>
      <c r="G478" s="1" t="str">
        <f ca="1">IFERROR(__xludf.DUMMYFUNCTION("""COMPUTED_VALUE"""),"This will be hard to do, but if it is the right company I would try")</f>
        <v>This will be hard to do, but if it is the right company I would try</v>
      </c>
      <c r="H478" s="1" t="str">
        <f ca="1">IFERROR(__xludf.DUMMYFUNCTION("""COMPUTED_VALUE"""),"Yes")</f>
        <v>Yes</v>
      </c>
      <c r="I478" s="1" t="str">
        <f ca="1">IFERROR(__xludf.DUMMYFUNCTION("""COMPUTED_VALUE"""),"Will work for them")</f>
        <v>Will work for them</v>
      </c>
      <c r="J478" s="1">
        <f ca="1">IFERROR(__xludf.DUMMYFUNCTION("""COMPUTED_VALUE"""),7)</f>
        <v>7</v>
      </c>
      <c r="K478" s="1" t="str">
        <f ca="1">IFERROR(__xludf.DUMMYFUNCTION("""COMPUTED_VALUE"""),"Fully Remote with Options to travel as and when needed")</f>
        <v>Fully Remote with Options to travel as and when needed</v>
      </c>
      <c r="L478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478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478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478" s="1" t="str">
        <f ca="1">IFERROR(__xludf.DUMMYFUNCTION("""COMPUTED_VALUE"""),"Manager who sets unrealistic targets")</f>
        <v>Manager who sets unrealistic targets</v>
      </c>
      <c r="P478" s="1" t="str">
        <f ca="1">IFERROR(__xludf.DUMMYFUNCTION("""COMPUTED_VALUE"""),"Work with 2 to 3 people in my team")</f>
        <v>Work with 2 to 3 people in my team</v>
      </c>
      <c r="Q478" s="1" t="str">
        <f ca="1">IFERROR(__xludf.DUMMYFUNCTION("""COMPUTED_VALUE"""),"Yes")</f>
        <v>Yes</v>
      </c>
      <c r="R478" s="1" t="str">
        <f ca="1">IFERROR(__xludf.DUMMYFUNCTION("""COMPUTED_VALUE"""),"Will work for 7 years or more")</f>
        <v>Will work for 7 years or more</v>
      </c>
      <c r="S478" s="1"/>
    </row>
    <row r="479" spans="1:19" ht="12.5" x14ac:dyDescent="0.25">
      <c r="A479" s="2">
        <f ca="1">IFERROR(__xludf.DUMMYFUNCTION("""COMPUTED_VALUE"""),45021.5093094676)</f>
        <v>45021.509309467598</v>
      </c>
      <c r="B479" s="1" t="str">
        <f ca="1">IFERROR(__xludf.DUMMYFUNCTION("""COMPUTED_VALUE"""),"India")</f>
        <v>India</v>
      </c>
      <c r="C479" s="1">
        <f ca="1">IFERROR(__xludf.DUMMYFUNCTION("""COMPUTED_VALUE"""),560064)</f>
        <v>560064</v>
      </c>
      <c r="D479" s="1" t="str">
        <f ca="1">IFERROR(__xludf.DUMMYFUNCTION("""COMPUTED_VALUE"""),"Male")</f>
        <v>Male</v>
      </c>
      <c r="E479" s="1" t="str">
        <f ca="1">IFERROR(__xludf.DUMMYFUNCTION("""COMPUTED_VALUE"""),"My Parents")</f>
        <v>My Parents</v>
      </c>
      <c r="F479" s="1" t="str">
        <f ca="1">IFERROR(__xludf.DUMMYFUNCTION("""COMPUTED_VALUE"""),"Yes, I will earn and do that")</f>
        <v>Yes, I will earn and do that</v>
      </c>
      <c r="G479" s="1" t="str">
        <f ca="1">IFERROR(__xludf.DUMMYFUNCTION("""COMPUTED_VALUE"""),"This will be hard to do, but if it is the right company I would try")</f>
        <v>This will be hard to do, but if it is the right company I would try</v>
      </c>
      <c r="H479" s="1" t="str">
        <f ca="1">IFERROR(__xludf.DUMMYFUNCTION("""COMPUTED_VALUE"""),"No")</f>
        <v>No</v>
      </c>
      <c r="I479" s="1" t="str">
        <f ca="1">IFERROR(__xludf.DUMMYFUNCTION("""COMPUTED_VALUE"""),"Will work for them")</f>
        <v>Will work for them</v>
      </c>
      <c r="J479" s="1">
        <f ca="1">IFERROR(__xludf.DUMMYFUNCTION("""COMPUTED_VALUE"""),8)</f>
        <v>8</v>
      </c>
      <c r="K479" s="1" t="str">
        <f ca="1">IFERROR(__xludf.DUMMYFUNCTION("""COMPUTED_VALUE"""),"Hybrid Working Environment with more than 15 days a month at office")</f>
        <v>Hybrid Working Environment with more than 15 days a month at office</v>
      </c>
      <c r="L4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7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479" s="1" t="str">
        <f ca="1">IFERROR(__xludf.DUMMYFUNCTION("""COMPUTED_VALUE"""),"Manage and drive End-to-End Projects or Products, Design and Develop amazing software, Look deeply into Data and generate insights, An Artificial Intelligence Specialist / Talking to Robots")</f>
        <v>Manage and drive End-to-End Projects or Products, Design and Develop amazing software, Look deeply into Data and generate insights, An Artificial Intelligence Specialist / Talking to Robots</v>
      </c>
      <c r="O479" s="1" t="str">
        <f ca="1">IFERROR(__xludf.DUMMYFUNCTION("""COMPUTED_VALUE"""),"Manager who sets targets and expects me to achieve it")</f>
        <v>Manager who sets targets and expects me to achieve it</v>
      </c>
      <c r="P479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479" s="1" t="str">
        <f ca="1">IFERROR(__xludf.DUMMYFUNCTION("""COMPUTED_VALUE"""),"Yes, I Understand this is gonna happen everywhere")</f>
        <v>Yes, I Understand this is gonna happen everywhere</v>
      </c>
      <c r="R479" s="1" t="str">
        <f ca="1">IFERROR(__xludf.DUMMYFUNCTION("""COMPUTED_VALUE"""),"No way")</f>
        <v>No way</v>
      </c>
      <c r="S479" s="1"/>
    </row>
    <row r="480" spans="1:19" ht="12.5" x14ac:dyDescent="0.25">
      <c r="A480" s="2">
        <f ca="1">IFERROR(__xludf.DUMMYFUNCTION("""COMPUTED_VALUE"""),45021.509843368)</f>
        <v>45021.509843368003</v>
      </c>
      <c r="B480" s="1" t="str">
        <f ca="1">IFERROR(__xludf.DUMMYFUNCTION("""COMPUTED_VALUE"""),"India")</f>
        <v>India</v>
      </c>
      <c r="C480" s="1">
        <f ca="1">IFERROR(__xludf.DUMMYFUNCTION("""COMPUTED_VALUE"""),516003)</f>
        <v>516003</v>
      </c>
      <c r="D480" s="1" t="str">
        <f ca="1">IFERROR(__xludf.DUMMYFUNCTION("""COMPUTED_VALUE"""),"Male")</f>
        <v>Male</v>
      </c>
      <c r="E480" s="1" t="str">
        <f ca="1">IFERROR(__xludf.DUMMYFUNCTION("""COMPUTED_VALUE"""),"Influencers who had successful careers")</f>
        <v>Influencers who had successful careers</v>
      </c>
      <c r="F480" s="1" t="str">
        <f ca="1">IFERROR(__xludf.DUMMYFUNCTION("""COMPUTED_VALUE"""),"Yes, I will earn and do that")</f>
        <v>Yes, I will earn and do that</v>
      </c>
      <c r="G480" s="1" t="str">
        <f ca="1">IFERROR(__xludf.DUMMYFUNCTION("""COMPUTED_VALUE"""),"Will work for 3 years or more")</f>
        <v>Will work for 3 years or more</v>
      </c>
      <c r="H480" s="1" t="str">
        <f ca="1">IFERROR(__xludf.DUMMYFUNCTION("""COMPUTED_VALUE"""),"Yes")</f>
        <v>Yes</v>
      </c>
      <c r="I480" s="1" t="str">
        <f ca="1">IFERROR(__xludf.DUMMYFUNCTION("""COMPUTED_VALUE"""),"Will work for them")</f>
        <v>Will work for them</v>
      </c>
      <c r="J480" s="1">
        <f ca="1">IFERROR(__xludf.DUMMYFUNCTION("""COMPUTED_VALUE"""),2)</f>
        <v>2</v>
      </c>
      <c r="K480" s="1" t="str">
        <f ca="1">IFERROR(__xludf.DUMMYFUNCTION("""COMPUTED_VALUE"""),"Every Day Office Environment")</f>
        <v>Every Day Office Environment</v>
      </c>
      <c r="L480" s="1" t="str">
        <f ca="1">IFERROR(__xludf.DUMMYFUNCTION("""COMPUTED_VALUE"""),"Employer who appreciates learning and enables that environment")</f>
        <v>Employer who appreciates learning and enables that environment</v>
      </c>
      <c r="M48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480" s="1" t="str">
        <f ca="1">IFERROR(__xludf.DUMMYFUNCTION("""COMPUTED_VALUE"""),"Teaching in any of the institutes/colleges/online or offline, Build and develop a Team, Become a content Creator in some platform, Entrepreneur or Start Up")</f>
        <v>Teaching in any of the institutes/colleges/online or offline, Build and develop a Team, Become a content Creator in some platform, Entrepreneur or Start Up</v>
      </c>
      <c r="O480" s="1" t="str">
        <f ca="1">IFERROR(__xludf.DUMMYFUNCTION("""COMPUTED_VALUE"""),"Manager who sets goal and helps me achieve it")</f>
        <v>Manager who sets goal and helps me achieve it</v>
      </c>
      <c r="P480" s="1" t="str">
        <f ca="1">IFERROR(__xludf.DUMMYFUNCTION("""COMPUTED_VALUE"""),"Work with 2 to 3 people in my team")</f>
        <v>Work with 2 to 3 people in my team</v>
      </c>
      <c r="Q480" s="1" t="str">
        <f ca="1">IFERROR(__xludf.DUMMYFUNCTION("""COMPUTED_VALUE"""),"Yes")</f>
        <v>Yes</v>
      </c>
      <c r="R480" s="1" t="str">
        <f ca="1">IFERROR(__xludf.DUMMYFUNCTION("""COMPUTED_VALUE"""),"This will be hard to do, but if it is the right company I would try")</f>
        <v>This will be hard to do, but if it is the right company I would try</v>
      </c>
      <c r="S480" s="1"/>
    </row>
    <row r="481" spans="1:19" ht="12.5" x14ac:dyDescent="0.25">
      <c r="A481" s="2">
        <f ca="1">IFERROR(__xludf.DUMMYFUNCTION("""COMPUTED_VALUE"""),45021.5109430902)</f>
        <v>45021.510943090201</v>
      </c>
      <c r="B481" s="1" t="str">
        <f ca="1">IFERROR(__xludf.DUMMYFUNCTION("""COMPUTED_VALUE"""),"India")</f>
        <v>India</v>
      </c>
      <c r="C481" s="1">
        <f ca="1">IFERROR(__xludf.DUMMYFUNCTION("""COMPUTED_VALUE"""),500070)</f>
        <v>500070</v>
      </c>
      <c r="D481" s="1" t="str">
        <f ca="1">IFERROR(__xludf.DUMMYFUNCTION("""COMPUTED_VALUE"""),"Female")</f>
        <v>Female</v>
      </c>
      <c r="E481" s="1" t="str">
        <f ca="1">IFERROR(__xludf.DUMMYFUNCTION("""COMPUTED_VALUE"""),"My Parents")</f>
        <v>My Parents</v>
      </c>
      <c r="F481" s="1" t="str">
        <f ca="1">IFERROR(__xludf.DUMMYFUNCTION("""COMPUTED_VALUE"""),"Yes, I will earn and do that")</f>
        <v>Yes, I will earn and do that</v>
      </c>
      <c r="G481" s="1" t="str">
        <f ca="1">IFERROR(__xludf.DUMMYFUNCTION("""COMPUTED_VALUE"""),"This will be hard to do, but if it is the right company I would try")</f>
        <v>This will be hard to do, but if it is the right company I would try</v>
      </c>
      <c r="H481" s="1" t="str">
        <f ca="1">IFERROR(__xludf.DUMMYFUNCTION("""COMPUTED_VALUE"""),"No")</f>
        <v>No</v>
      </c>
      <c r="I481" s="1" t="str">
        <f ca="1">IFERROR(__xludf.DUMMYFUNCTION("""COMPUTED_VALUE"""),"Will NOT work for them")</f>
        <v>Will NOT work for them</v>
      </c>
      <c r="J481" s="1">
        <f ca="1">IFERROR(__xludf.DUMMYFUNCTION("""COMPUTED_VALUE"""),5)</f>
        <v>5</v>
      </c>
      <c r="K481" s="1" t="str">
        <f ca="1">IFERROR(__xludf.DUMMYFUNCTION("""COMPUTED_VALUE"""),"Fully Remote with Options to travel as and when needed")</f>
        <v>Fully Remote with Options to travel as and when needed</v>
      </c>
      <c r="L481" s="1" t="str">
        <f ca="1">IFERROR(__xludf.DUMMYFUNCTION("""COMPUTED_VALUE"""),"Employer who appreciates learning and enables that environment")</f>
        <v>Employer who appreciates learning and enables that environment</v>
      </c>
      <c r="M48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81" s="1" t="str">
        <f ca="1">IFERROR(__xludf.DUMMYFUNCTION("""COMPUTED_VALUE"""),"Manage and drive End-to-End Projects or Products, Build and develop a Team, Work as a freelancer and do my thing my way, An Artificial Intelligence Specialist / Talking to Robots")</f>
        <v>Manage and drive End-to-End Projects or Products, Build and develop a Team, Work as a freelancer and do my thing my way, An Artificial Intelligence Specialist / Talking to Robots</v>
      </c>
      <c r="O481" s="1" t="str">
        <f ca="1">IFERROR(__xludf.DUMMYFUNCTION("""COMPUTED_VALUE"""),"Manager who explains what is expected, sets a goal and helps achieve it")</f>
        <v>Manager who explains what is expected, sets a goal and helps achieve it</v>
      </c>
      <c r="P481" s="1" t="str">
        <f ca="1">IFERROR(__xludf.DUMMYFUNCTION("""COMPUTED_VALUE"""),"Work with 2 to 3 people in my team, Work with 5 to 6 people in my team")</f>
        <v>Work with 2 to 3 people in my team, Work with 5 to 6 people in my team</v>
      </c>
      <c r="Q481" s="1" t="str">
        <f ca="1">IFERROR(__xludf.DUMMYFUNCTION("""COMPUTED_VALUE"""),"Yes, I Understand this is gonna happen everywhere")</f>
        <v>Yes, I Understand this is gonna happen everywhere</v>
      </c>
      <c r="R481" s="1" t="str">
        <f ca="1">IFERROR(__xludf.DUMMYFUNCTION("""COMPUTED_VALUE"""),"This will be hard to do, but if it is the right company I would try")</f>
        <v>This will be hard to do, but if it is the right company I would try</v>
      </c>
      <c r="S481" s="1"/>
    </row>
    <row r="482" spans="1:19" ht="12.5" x14ac:dyDescent="0.25">
      <c r="A482" s="2">
        <f ca="1">IFERROR(__xludf.DUMMYFUNCTION("""COMPUTED_VALUE"""),45021.5132451157)</f>
        <v>45021.513245115697</v>
      </c>
      <c r="B482" s="1" t="str">
        <f ca="1">IFERROR(__xludf.DUMMYFUNCTION("""COMPUTED_VALUE"""),"India")</f>
        <v>India</v>
      </c>
      <c r="C482" s="1">
        <f ca="1">IFERROR(__xludf.DUMMYFUNCTION("""COMPUTED_VALUE"""),400067)</f>
        <v>400067</v>
      </c>
      <c r="D482" s="1" t="str">
        <f ca="1">IFERROR(__xludf.DUMMYFUNCTION("""COMPUTED_VALUE"""),"Male")</f>
        <v>Male</v>
      </c>
      <c r="E482" s="1" t="str">
        <f ca="1">IFERROR(__xludf.DUMMYFUNCTION("""COMPUTED_VALUE"""),"My Parents")</f>
        <v>My Parents</v>
      </c>
      <c r="F482" s="1" t="str">
        <f ca="1">IFERROR(__xludf.DUMMYFUNCTION("""COMPUTED_VALUE"""),"No I would not be pursuing Higher Education outside of India")</f>
        <v>No I would not be pursuing Higher Education outside of India</v>
      </c>
      <c r="G482" s="1" t="str">
        <f ca="1">IFERROR(__xludf.DUMMYFUNCTION("""COMPUTED_VALUE"""),"This will be hard to do, but if it is the right company I would try")</f>
        <v>This will be hard to do, but if it is the right company I would try</v>
      </c>
      <c r="H482" s="1" t="str">
        <f ca="1">IFERROR(__xludf.DUMMYFUNCTION("""COMPUTED_VALUE"""),"No")</f>
        <v>No</v>
      </c>
      <c r="I482" s="1" t="str">
        <f ca="1">IFERROR(__xludf.DUMMYFUNCTION("""COMPUTED_VALUE"""),"Will NOT work for them")</f>
        <v>Will NOT work for them</v>
      </c>
      <c r="J482" s="1">
        <f ca="1">IFERROR(__xludf.DUMMYFUNCTION("""COMPUTED_VALUE"""),10)</f>
        <v>10</v>
      </c>
      <c r="K482" s="1" t="str">
        <f ca="1">IFERROR(__xludf.DUMMYFUNCTION("""COMPUTED_VALUE"""),"Hybrid Working Environment with more than 15 days a month at office")</f>
        <v>Hybrid Working Environment with more than 15 days a month at office</v>
      </c>
      <c r="L482" s="1" t="str">
        <f ca="1">IFERROR(__xludf.DUMMYFUNCTION("""COMPUTED_VALUE"""),"Employer who rewards learning and enables that environment")</f>
        <v>Employer who rewards learning and enables that environment</v>
      </c>
      <c r="M48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482" s="1" t="str">
        <f ca="1">IFERROR(__xludf.DUMMYFUNCTION("""COMPUTED_VALUE"""),"Look deeply into Data and generate insights, Work as a freelancer and do my thing my way, Entrepreneur or Start Up, Manufacturing / Oil and Gas/ Construction / Hard Physical Work related")</f>
        <v>Look deeply into Data and generate insights, Work as a freelancer and do my thing my way, Entrepreneur or Start Up, Manufacturing / Oil and Gas/ Construction / Hard Physical Work related</v>
      </c>
      <c r="O482" s="1" t="str">
        <f ca="1">IFERROR(__xludf.DUMMYFUNCTION("""COMPUTED_VALUE"""),"Manager who explains what is expected, sets a goal and helps achieve it")</f>
        <v>Manager who explains what is expected, sets a goal and helps achieve it</v>
      </c>
      <c r="P48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482" s="1" t="str">
        <f ca="1">IFERROR(__xludf.DUMMYFUNCTION("""COMPUTED_VALUE"""),"Yes, I Understand this is gonna happen everywhere")</f>
        <v>Yes, I Understand this is gonna happen everywhere</v>
      </c>
      <c r="R482" s="1" t="str">
        <f ca="1">IFERROR(__xludf.DUMMYFUNCTION("""COMPUTED_VALUE"""),"This will be hard to do, but if it is the right company I would try")</f>
        <v>This will be hard to do, but if it is the right company I would try</v>
      </c>
      <c r="S482" s="1"/>
    </row>
    <row r="483" spans="1:19" ht="12.5" x14ac:dyDescent="0.25">
      <c r="A483" s="2">
        <f ca="1">IFERROR(__xludf.DUMMYFUNCTION("""COMPUTED_VALUE"""),45021.5150029282)</f>
        <v>45021.515002928201</v>
      </c>
      <c r="B483" s="1" t="str">
        <f ca="1">IFERROR(__xludf.DUMMYFUNCTION("""COMPUTED_VALUE"""),"India")</f>
        <v>India</v>
      </c>
      <c r="C483" s="1">
        <f ca="1">IFERROR(__xludf.DUMMYFUNCTION("""COMPUTED_VALUE"""),50090)</f>
        <v>50090</v>
      </c>
      <c r="D483" s="1" t="str">
        <f ca="1">IFERROR(__xludf.DUMMYFUNCTION("""COMPUTED_VALUE"""),"Female")</f>
        <v>Female</v>
      </c>
      <c r="E483" s="1" t="str">
        <f ca="1">IFERROR(__xludf.DUMMYFUNCTION("""COMPUTED_VALUE"""),"People from my circle, but not family members")</f>
        <v>People from my circle, but not family members</v>
      </c>
      <c r="F483" s="1" t="str">
        <f ca="1">IFERROR(__xludf.DUMMYFUNCTION("""COMPUTED_VALUE"""),"Yes, I will earn and do that")</f>
        <v>Yes, I will earn and do that</v>
      </c>
      <c r="G483" s="1" t="str">
        <f ca="1">IFERROR(__xludf.DUMMYFUNCTION("""COMPUTED_VALUE"""),"This will be hard to do, but if it is the right company I would try")</f>
        <v>This will be hard to do, but if it is the right company I would try</v>
      </c>
      <c r="H483" s="1" t="str">
        <f ca="1">IFERROR(__xludf.DUMMYFUNCTION("""COMPUTED_VALUE"""),"Yes")</f>
        <v>Yes</v>
      </c>
      <c r="I483" s="1" t="str">
        <f ca="1">IFERROR(__xludf.DUMMYFUNCTION("""COMPUTED_VALUE"""),"Will work for them")</f>
        <v>Will work for them</v>
      </c>
      <c r="J483" s="1">
        <f ca="1">IFERROR(__xludf.DUMMYFUNCTION("""COMPUTED_VALUE"""),7)</f>
        <v>7</v>
      </c>
      <c r="K483" s="1" t="str">
        <f ca="1">IFERROR(__xludf.DUMMYFUNCTION("""COMPUTED_VALUE"""),"Hybrid Working Environment with less than 3 days a month at office")</f>
        <v>Hybrid Working Environment with less than 3 days a month at office</v>
      </c>
      <c r="L4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8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83" s="1" t="str">
        <f ca="1">IFERROR(__xludf.DUMMYFUNCTION("""COMPUTED_VALUE"""),"Design and Creative strategy in any company, Business Operations in any organization, Manage and drive End-to-End Projects or Products, Work as a freelancer and do my thing my way")</f>
        <v>Design and Creative strategy in any company, Business Operations in any organization, Manage and drive End-to-End Projects or Products, Work as a freelancer and do my thing my way</v>
      </c>
      <c r="O483" s="1" t="str">
        <f ca="1">IFERROR(__xludf.DUMMYFUNCTION("""COMPUTED_VALUE"""),"Manager who sets targets and expects me to achieve it")</f>
        <v>Manager who sets targets and expects me to achieve it</v>
      </c>
      <c r="P483" s="1" t="str">
        <f ca="1">IFERROR(__xludf.DUMMYFUNCTION("""COMPUTED_VALUE"""),"Work with 5 to 6 people in my team")</f>
        <v>Work with 5 to 6 people in my team</v>
      </c>
      <c r="Q483" s="1" t="str">
        <f ca="1">IFERROR(__xludf.DUMMYFUNCTION("""COMPUTED_VALUE"""),"No")</f>
        <v>No</v>
      </c>
      <c r="R483" s="1" t="str">
        <f ca="1">IFERROR(__xludf.DUMMYFUNCTION("""COMPUTED_VALUE"""),"Will work for 7 years or more")</f>
        <v>Will work for 7 years or more</v>
      </c>
      <c r="S483" s="1"/>
    </row>
    <row r="484" spans="1:19" ht="12.5" x14ac:dyDescent="0.25">
      <c r="A484" s="2">
        <f ca="1">IFERROR(__xludf.DUMMYFUNCTION("""COMPUTED_VALUE"""),45021.5174107407)</f>
        <v>45021.5174107407</v>
      </c>
      <c r="B484" s="1" t="str">
        <f ca="1">IFERROR(__xludf.DUMMYFUNCTION("""COMPUTED_VALUE"""),"India")</f>
        <v>India</v>
      </c>
      <c r="C484" s="1">
        <f ca="1">IFERROR(__xludf.DUMMYFUNCTION("""COMPUTED_VALUE"""),500045)</f>
        <v>500045</v>
      </c>
      <c r="D484" s="1" t="str">
        <f ca="1">IFERROR(__xludf.DUMMYFUNCTION("""COMPUTED_VALUE"""),"Female")</f>
        <v>Female</v>
      </c>
      <c r="E484" s="1" t="str">
        <f ca="1">IFERROR(__xludf.DUMMYFUNCTION("""COMPUTED_VALUE"""),"Influencers who had successful careers")</f>
        <v>Influencers who had successful careers</v>
      </c>
      <c r="F484" s="1" t="str">
        <f ca="1">IFERROR(__xludf.DUMMYFUNCTION("""COMPUTED_VALUE"""),"No, But if someone could bare the cost I will")</f>
        <v>No, But if someone could bare the cost I will</v>
      </c>
      <c r="G484" s="1" t="str">
        <f ca="1">IFERROR(__xludf.DUMMYFUNCTION("""COMPUTED_VALUE"""),"This will be hard to do, but if it is the right company I would try")</f>
        <v>This will be hard to do, but if it is the right company I would try</v>
      </c>
      <c r="H484" s="1" t="str">
        <f ca="1">IFERROR(__xludf.DUMMYFUNCTION("""COMPUTED_VALUE"""),"Yes")</f>
        <v>Yes</v>
      </c>
      <c r="I484" s="1" t="str">
        <f ca="1">IFERROR(__xludf.DUMMYFUNCTION("""COMPUTED_VALUE"""),"Will NOT work for them")</f>
        <v>Will NOT work for them</v>
      </c>
      <c r="J484" s="1">
        <f ca="1">IFERROR(__xludf.DUMMYFUNCTION("""COMPUTED_VALUE"""),6)</f>
        <v>6</v>
      </c>
      <c r="K484" s="1" t="str">
        <f ca="1">IFERROR(__xludf.DUMMYFUNCTION("""COMPUTED_VALUE"""),"Fully Remote with Options to travel as and when needed")</f>
        <v>Fully Remote with Options to travel as and when needed</v>
      </c>
      <c r="L484" s="1" t="str">
        <f ca="1">IFERROR(__xludf.DUMMYFUNCTION("""COMPUTED_VALUE"""),"Employer who appreciates learning and enables that environment")</f>
        <v>Employer who appreciates learning and enables that environment</v>
      </c>
      <c r="M48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84" s="1" t="str">
        <f ca="1">IFERROR(__xludf.DUMMYFUNCTION("""COMPUTED_VALUE"""),"Design and Creative strategy in any company, Design and Develop amazing software, Look deeply into Data and generate insights, Work as a freelancer and do my thing my way")</f>
        <v>Design and Creative strategy in any company, Design and Develop amazing software, Look deeply into Data and generate insights, Work as a freelancer and do my thing my way</v>
      </c>
      <c r="O484" s="1" t="str">
        <f ca="1">IFERROR(__xludf.DUMMYFUNCTION("""COMPUTED_VALUE"""),"Manager who sets goal and helps me achieve it")</f>
        <v>Manager who sets goal and helps me achieve it</v>
      </c>
      <c r="P48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484" s="1" t="str">
        <f ca="1">IFERROR(__xludf.DUMMYFUNCTION("""COMPUTED_VALUE"""),"Yes, I Understand this is gonna happen everywhere")</f>
        <v>Yes, I Understand this is gonna happen everywhere</v>
      </c>
      <c r="R484" s="1" t="str">
        <f ca="1">IFERROR(__xludf.DUMMYFUNCTION("""COMPUTED_VALUE"""),"This will be hard to do, but if it is the right company I would try")</f>
        <v>This will be hard to do, but if it is the right company I would try</v>
      </c>
      <c r="S484" s="1"/>
    </row>
    <row r="485" spans="1:19" ht="12.5" x14ac:dyDescent="0.25">
      <c r="A485" s="2">
        <f ca="1">IFERROR(__xludf.DUMMYFUNCTION("""COMPUTED_VALUE"""),45021.5186577429)</f>
        <v>45021.518657742999</v>
      </c>
      <c r="B485" s="1" t="str">
        <f ca="1">IFERROR(__xludf.DUMMYFUNCTION("""COMPUTED_VALUE"""),"India")</f>
        <v>India</v>
      </c>
      <c r="C485" s="1">
        <f ca="1">IFERROR(__xludf.DUMMYFUNCTION("""COMPUTED_VALUE"""),400037)</f>
        <v>400037</v>
      </c>
      <c r="D485" s="1" t="str">
        <f ca="1">IFERROR(__xludf.DUMMYFUNCTION("""COMPUTED_VALUE"""),"Male")</f>
        <v>Male</v>
      </c>
      <c r="E485" s="1" t="str">
        <f ca="1">IFERROR(__xludf.DUMMYFUNCTION("""COMPUTED_VALUE"""),"Influencers who had successful careers")</f>
        <v>Influencers who had successful careers</v>
      </c>
      <c r="F485" s="1" t="str">
        <f ca="1">IFERROR(__xludf.DUMMYFUNCTION("""COMPUTED_VALUE"""),"No, But if someone could bare the cost I will")</f>
        <v>No, But if someone could bare the cost I will</v>
      </c>
      <c r="G485" s="1" t="str">
        <f ca="1">IFERROR(__xludf.DUMMYFUNCTION("""COMPUTED_VALUE"""),"No way")</f>
        <v>No way</v>
      </c>
      <c r="H485" s="1" t="str">
        <f ca="1">IFERROR(__xludf.DUMMYFUNCTION("""COMPUTED_VALUE"""),"No")</f>
        <v>No</v>
      </c>
      <c r="I485" s="1" t="str">
        <f ca="1">IFERROR(__xludf.DUMMYFUNCTION("""COMPUTED_VALUE"""),"Will NOT work for them")</f>
        <v>Will NOT work for them</v>
      </c>
      <c r="J485" s="1">
        <f ca="1">IFERROR(__xludf.DUMMYFUNCTION("""COMPUTED_VALUE"""),3)</f>
        <v>3</v>
      </c>
      <c r="K485" s="1" t="str">
        <f ca="1">IFERROR(__xludf.DUMMYFUNCTION("""COMPUTED_VALUE"""),"Fully Remote with Options to travel as and when needed")</f>
        <v>Fully Remote with Options to travel as and when needed</v>
      </c>
      <c r="L4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8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485" s="1" t="str">
        <f ca="1">IFERROR(__xludf.DUMMYFUNCTION("""COMPUTED_VALUE"""),"Teaching in any of the institutes/colleges/online or offline, Manage and drive End-to-End Projects or Products, Build and develop a Team, Look deeply into Data and generate insights")</f>
        <v>Teaching in any of the institutes/colleges/online or offline, Manage and drive End-to-End Projects or Products, Build and develop a Team, Look deeply into Data and generate insights</v>
      </c>
      <c r="O485" s="1" t="str">
        <f ca="1">IFERROR(__xludf.DUMMYFUNCTION("""COMPUTED_VALUE"""),"Manager who explains what is expected, sets a goal and helps achieve it")</f>
        <v>Manager who explains what is expected, sets a goal and helps achieve it</v>
      </c>
      <c r="P485" s="1" t="str">
        <f ca="1">IFERROR(__xludf.DUMMYFUNCTION("""COMPUTED_VALUE"""),"Work with 2 to 3 people in my team, Work with 5 to 6 people in my team, Work with more than 10 people in my team")</f>
        <v>Work with 2 to 3 people in my team, Work with 5 to 6 people in my team, Work with more than 10 people in my team</v>
      </c>
      <c r="Q485" s="1" t="str">
        <f ca="1">IFERROR(__xludf.DUMMYFUNCTION("""COMPUTED_VALUE"""),"Yes, I Understand this is gonna happen everywhere")</f>
        <v>Yes, I Understand this is gonna happen everywhere</v>
      </c>
      <c r="R485" s="1" t="str">
        <f ca="1">IFERROR(__xludf.DUMMYFUNCTION("""COMPUTED_VALUE"""),"No way")</f>
        <v>No way</v>
      </c>
      <c r="S485" s="1"/>
    </row>
    <row r="486" spans="1:19" ht="12.5" x14ac:dyDescent="0.25">
      <c r="A486" s="2">
        <f ca="1">IFERROR(__xludf.DUMMYFUNCTION("""COMPUTED_VALUE"""),45021.5186981481)</f>
        <v>45021.518698148102</v>
      </c>
      <c r="B486" s="1" t="str">
        <f ca="1">IFERROR(__xludf.DUMMYFUNCTION("""COMPUTED_VALUE"""),"India")</f>
        <v>India</v>
      </c>
      <c r="C486" s="1">
        <f ca="1">IFERROR(__xludf.DUMMYFUNCTION("""COMPUTED_VALUE"""),500052)</f>
        <v>500052</v>
      </c>
      <c r="D486" s="1" t="str">
        <f ca="1">IFERROR(__xludf.DUMMYFUNCTION("""COMPUTED_VALUE"""),"Female")</f>
        <v>Female</v>
      </c>
      <c r="E486" s="1" t="str">
        <f ca="1">IFERROR(__xludf.DUMMYFUNCTION("""COMPUTED_VALUE"""),"My Parents")</f>
        <v>My Parents</v>
      </c>
      <c r="F486" s="1" t="str">
        <f ca="1">IFERROR(__xludf.DUMMYFUNCTION("""COMPUTED_VALUE"""),"No I would not be pursuing Higher Education outside of India")</f>
        <v>No I would not be pursuing Higher Education outside of India</v>
      </c>
      <c r="G486" s="1" t="str">
        <f ca="1">IFERROR(__xludf.DUMMYFUNCTION("""COMPUTED_VALUE"""),"Will work for 3 years or more")</f>
        <v>Will work for 3 years or more</v>
      </c>
      <c r="H486" s="1" t="str">
        <f ca="1">IFERROR(__xludf.DUMMYFUNCTION("""COMPUTED_VALUE"""),"No")</f>
        <v>No</v>
      </c>
      <c r="I486" s="1" t="str">
        <f ca="1">IFERROR(__xludf.DUMMYFUNCTION("""COMPUTED_VALUE"""),"Will NOT work for them")</f>
        <v>Will NOT work for them</v>
      </c>
      <c r="J486" s="1">
        <f ca="1">IFERROR(__xludf.DUMMYFUNCTION("""COMPUTED_VALUE"""),1)</f>
        <v>1</v>
      </c>
      <c r="K486" s="1" t="str">
        <f ca="1">IFERROR(__xludf.DUMMYFUNCTION("""COMPUTED_VALUE"""),"Fully Remote with Options to travel as and when needed")</f>
        <v>Fully Remote with Options to travel as and when needed</v>
      </c>
      <c r="L4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8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486" s="1" t="str">
        <f ca="1">IFERROR(__xludf.DUMMYFUNCTION("""COMPUTED_VALUE"""),"Design and Creative strategy in any company, Build and develop a Team, Look deeply into Data and generate insights, An Artificial Intelligence Specialist / Talking to Robots")</f>
        <v>Design and Creative strategy in any company, Build and develop a Team, Look deeply into Data and generate insights, An Artificial Intelligence Specialist / Talking to Robots</v>
      </c>
      <c r="O486" s="1" t="str">
        <f ca="1">IFERROR(__xludf.DUMMYFUNCTION("""COMPUTED_VALUE"""),"Manager who sets targets and expects me to achieve it")</f>
        <v>Manager who sets targets and expects me to achieve it</v>
      </c>
      <c r="P486" s="1" t="str">
        <f ca="1">IFERROR(__xludf.DUMMYFUNCTION("""COMPUTED_VALUE"""),"Work with 5 to 6 people in my team")</f>
        <v>Work with 5 to 6 people in my team</v>
      </c>
      <c r="Q486" s="1" t="str">
        <f ca="1">IFERROR(__xludf.DUMMYFUNCTION("""COMPUTED_VALUE"""),"No")</f>
        <v>No</v>
      </c>
      <c r="R486" s="1" t="str">
        <f ca="1">IFERROR(__xludf.DUMMYFUNCTION("""COMPUTED_VALUE"""),"No way")</f>
        <v>No way</v>
      </c>
      <c r="S486" s="1"/>
    </row>
    <row r="487" spans="1:19" ht="12.5" x14ac:dyDescent="0.25">
      <c r="A487" s="2">
        <f ca="1">IFERROR(__xludf.DUMMYFUNCTION("""COMPUTED_VALUE"""),45021.5199579051)</f>
        <v>45021.519957905097</v>
      </c>
      <c r="B487" s="1" t="str">
        <f ca="1">IFERROR(__xludf.DUMMYFUNCTION("""COMPUTED_VALUE"""),"India")</f>
        <v>India</v>
      </c>
      <c r="C487" s="1">
        <f ca="1">IFERROR(__xludf.DUMMYFUNCTION("""COMPUTED_VALUE"""),500090)</f>
        <v>500090</v>
      </c>
      <c r="D487" s="1" t="str">
        <f ca="1">IFERROR(__xludf.DUMMYFUNCTION("""COMPUTED_VALUE"""),"Female")</f>
        <v>Female</v>
      </c>
      <c r="E487" s="1" t="str">
        <f ca="1">IFERROR(__xludf.DUMMYFUNCTION("""COMPUTED_VALUE"""),"People who have changed the world for better")</f>
        <v>People who have changed the world for better</v>
      </c>
      <c r="F487" s="1" t="str">
        <f ca="1">IFERROR(__xludf.DUMMYFUNCTION("""COMPUTED_VALUE"""),"No, But if someone could bare the cost I will")</f>
        <v>No, But if someone could bare the cost I will</v>
      </c>
      <c r="G487" s="1" t="str">
        <f ca="1">IFERROR(__xludf.DUMMYFUNCTION("""COMPUTED_VALUE"""),"This will be hard to do, but if it is the right company I would try")</f>
        <v>This will be hard to do, but if it is the right company I would try</v>
      </c>
      <c r="H487" s="1" t="str">
        <f ca="1">IFERROR(__xludf.DUMMYFUNCTION("""COMPUTED_VALUE"""),"No")</f>
        <v>No</v>
      </c>
      <c r="I487" s="1" t="str">
        <f ca="1">IFERROR(__xludf.DUMMYFUNCTION("""COMPUTED_VALUE"""),"Will NOT work for them")</f>
        <v>Will NOT work for them</v>
      </c>
      <c r="J487" s="1">
        <f ca="1">IFERROR(__xludf.DUMMYFUNCTION("""COMPUTED_VALUE"""),1)</f>
        <v>1</v>
      </c>
      <c r="K487" s="1" t="str">
        <f ca="1">IFERROR(__xludf.DUMMYFUNCTION("""COMPUTED_VALUE"""),"Hybrid Working Environment with more than 15 days a month at office")</f>
        <v>Hybrid Working Environment with more than 15 days a month at office</v>
      </c>
      <c r="L4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8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87" s="1" t="str">
        <f ca="1">IFERROR(__xludf.DUMMYFUNCTION("""COMPUTED_VALUE"""),"Business Operations in any organization, Entrepreneur or Start Up, I Want to sell things/Sales, Manufacturing / Oil and Gas/ Construction / Hard Physical Work related")</f>
        <v>Business Operations in any organization, Entrepreneur or Start Up, I Want to sell things/Sales, Manufacturing / Oil and Gas/ Construction / Hard Physical Work related</v>
      </c>
      <c r="O487" s="1" t="str">
        <f ca="1">IFERROR(__xludf.DUMMYFUNCTION("""COMPUTED_VALUE"""),"Manager who explains what is expected, sets a goal and helps achieve it")</f>
        <v>Manager who explains what is expected, sets a goal and helps achieve it</v>
      </c>
      <c r="P487" s="1" t="str">
        <f ca="1">IFERROR(__xludf.DUMMYFUNCTION("""COMPUTED_VALUE"""),"Work with 5 to 6 people in my team")</f>
        <v>Work with 5 to 6 people in my team</v>
      </c>
      <c r="Q487" s="1" t="str">
        <f ca="1">IFERROR(__xludf.DUMMYFUNCTION("""COMPUTED_VALUE"""),"Yes, I Understand this is gonna happen everywhere")</f>
        <v>Yes, I Understand this is gonna happen everywhere</v>
      </c>
      <c r="R487" s="1" t="str">
        <f ca="1">IFERROR(__xludf.DUMMYFUNCTION("""COMPUTED_VALUE"""),"No way")</f>
        <v>No way</v>
      </c>
      <c r="S487" s="1"/>
    </row>
    <row r="488" spans="1:19" ht="12.5" x14ac:dyDescent="0.25">
      <c r="A488" s="2">
        <f ca="1">IFERROR(__xludf.DUMMYFUNCTION("""COMPUTED_VALUE"""),45021.5216522222)</f>
        <v>45021.521652222204</v>
      </c>
      <c r="B488" s="1" t="str">
        <f ca="1">IFERROR(__xludf.DUMMYFUNCTION("""COMPUTED_VALUE"""),"India")</f>
        <v>India</v>
      </c>
      <c r="C488" s="1">
        <f ca="1">IFERROR(__xludf.DUMMYFUNCTION("""COMPUTED_VALUE"""),400077)</f>
        <v>400077</v>
      </c>
      <c r="D488" s="1" t="str">
        <f ca="1">IFERROR(__xludf.DUMMYFUNCTION("""COMPUTED_VALUE"""),"Male")</f>
        <v>Male</v>
      </c>
      <c r="E488" s="1" t="str">
        <f ca="1">IFERROR(__xludf.DUMMYFUNCTION("""COMPUTED_VALUE"""),"My Parents")</f>
        <v>My Parents</v>
      </c>
      <c r="F488" s="1" t="str">
        <f ca="1">IFERROR(__xludf.DUMMYFUNCTION("""COMPUTED_VALUE"""),"No I would not be pursuing Higher Education outside of India")</f>
        <v>No I would not be pursuing Higher Education outside of India</v>
      </c>
      <c r="G488" s="1" t="str">
        <f ca="1">IFERROR(__xludf.DUMMYFUNCTION("""COMPUTED_VALUE"""),"This will be hard to do, but if it is the right company I would try")</f>
        <v>This will be hard to do, but if it is the right company I would try</v>
      </c>
      <c r="H488" s="1" t="str">
        <f ca="1">IFERROR(__xludf.DUMMYFUNCTION("""COMPUTED_VALUE"""),"No")</f>
        <v>No</v>
      </c>
      <c r="I488" s="1" t="str">
        <f ca="1">IFERROR(__xludf.DUMMYFUNCTION("""COMPUTED_VALUE"""),"Will NOT work for them")</f>
        <v>Will NOT work for them</v>
      </c>
      <c r="J488" s="1">
        <f ca="1">IFERROR(__xludf.DUMMYFUNCTION("""COMPUTED_VALUE"""),5)</f>
        <v>5</v>
      </c>
      <c r="K488" s="1" t="str">
        <f ca="1">IFERROR(__xludf.DUMMYFUNCTION("""COMPUTED_VALUE"""),"Every Day Office Environment")</f>
        <v>Every Day Office Environment</v>
      </c>
      <c r="L4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88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488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488" s="1" t="str">
        <f ca="1">IFERROR(__xludf.DUMMYFUNCTION("""COMPUTED_VALUE"""),"Manager who sets goal and helps me achieve it")</f>
        <v>Manager who sets goal and helps me achieve it</v>
      </c>
      <c r="P488" s="1" t="str">
        <f ca="1">IFERROR(__xludf.DUMMYFUNCTION("""COMPUTED_VALUE"""),"Work with 2 to 3 people in my team")</f>
        <v>Work with 2 to 3 people in my team</v>
      </c>
      <c r="Q488" s="1" t="str">
        <f ca="1">IFERROR(__xludf.DUMMYFUNCTION("""COMPUTED_VALUE"""),"Yes")</f>
        <v>Yes</v>
      </c>
      <c r="R488" s="1" t="str">
        <f ca="1">IFERROR(__xludf.DUMMYFUNCTION("""COMPUTED_VALUE"""),"No way")</f>
        <v>No way</v>
      </c>
      <c r="S488" s="1"/>
    </row>
    <row r="489" spans="1:19" ht="12.5" x14ac:dyDescent="0.25">
      <c r="A489" s="2">
        <f ca="1">IFERROR(__xludf.DUMMYFUNCTION("""COMPUTED_VALUE"""),45021.522170787)</f>
        <v>45021.522170787001</v>
      </c>
      <c r="B489" s="1" t="str">
        <f ca="1">IFERROR(__xludf.DUMMYFUNCTION("""COMPUTED_VALUE"""),"India")</f>
        <v>India</v>
      </c>
      <c r="C489" s="1">
        <f ca="1">IFERROR(__xludf.DUMMYFUNCTION("""COMPUTED_VALUE"""),600123)</f>
        <v>600123</v>
      </c>
      <c r="D489" s="1" t="str">
        <f ca="1">IFERROR(__xludf.DUMMYFUNCTION("""COMPUTED_VALUE"""),"Male")</f>
        <v>Male</v>
      </c>
      <c r="E489" s="1" t="str">
        <f ca="1">IFERROR(__xludf.DUMMYFUNCTION("""COMPUTED_VALUE"""),"People from my circle, but not family members")</f>
        <v>People from my circle, but not family members</v>
      </c>
      <c r="F489" s="1" t="str">
        <f ca="1">IFERROR(__xludf.DUMMYFUNCTION("""COMPUTED_VALUE"""),"No I would not be pursuing Higher Education outside of India")</f>
        <v>No I would not be pursuing Higher Education outside of India</v>
      </c>
      <c r="G489" s="1" t="str">
        <f ca="1">IFERROR(__xludf.DUMMYFUNCTION("""COMPUTED_VALUE"""),"Will work for 3 years or more")</f>
        <v>Will work for 3 years or more</v>
      </c>
      <c r="H489" s="1" t="str">
        <f ca="1">IFERROR(__xludf.DUMMYFUNCTION("""COMPUTED_VALUE"""),"Yes")</f>
        <v>Yes</v>
      </c>
      <c r="I489" s="1" t="str">
        <f ca="1">IFERROR(__xludf.DUMMYFUNCTION("""COMPUTED_VALUE"""),"Will work for them")</f>
        <v>Will work for them</v>
      </c>
      <c r="J489" s="1">
        <f ca="1">IFERROR(__xludf.DUMMYFUNCTION("""COMPUTED_VALUE"""),7)</f>
        <v>7</v>
      </c>
      <c r="K489" s="1" t="str">
        <f ca="1">IFERROR(__xludf.DUMMYFUNCTION("""COMPUTED_VALUE"""),"Every Day Office Environment")</f>
        <v>Every Day Office Environment</v>
      </c>
      <c r="L4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8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489" s="1" t="str">
        <f ca="1">IFERROR(__xludf.DUMMYFUNCTION("""COMPUTED_VALUE"""),"Build and develop a Team, Work as a freelancer and do my thing my way, Entrepreneur or Start Up, I Want to sell things/Sales")</f>
        <v>Build and develop a Team, Work as a freelancer and do my thing my way, Entrepreneur or Start Up, I Want to sell things/Sales</v>
      </c>
      <c r="O489" s="1" t="str">
        <f ca="1">IFERROR(__xludf.DUMMYFUNCTION("""COMPUTED_VALUE"""),"Manager who sets targets and expects me to achieve it")</f>
        <v>Manager who sets targets and expects me to achieve it</v>
      </c>
      <c r="P489" s="1" t="str">
        <f ca="1">IFERROR(__xludf.DUMMYFUNCTION("""COMPUTED_VALUE"""),"Work alone")</f>
        <v>Work alone</v>
      </c>
      <c r="Q489" s="1" t="str">
        <f ca="1">IFERROR(__xludf.DUMMYFUNCTION("""COMPUTED_VALUE"""),"Yes")</f>
        <v>Yes</v>
      </c>
      <c r="R489" s="1" t="str">
        <f ca="1">IFERROR(__xludf.DUMMYFUNCTION("""COMPUTED_VALUE"""),"Will work for 7 years or more")</f>
        <v>Will work for 7 years or more</v>
      </c>
      <c r="S489" s="1"/>
    </row>
    <row r="490" spans="1:19" ht="12.5" x14ac:dyDescent="0.25">
      <c r="A490" s="2">
        <f ca="1">IFERROR(__xludf.DUMMYFUNCTION("""COMPUTED_VALUE"""),45021.5238048263)</f>
        <v>45021.523804826298</v>
      </c>
      <c r="B490" s="1" t="str">
        <f ca="1">IFERROR(__xludf.DUMMYFUNCTION("""COMPUTED_VALUE"""),"India")</f>
        <v>India</v>
      </c>
      <c r="C490" s="1">
        <f ca="1">IFERROR(__xludf.DUMMYFUNCTION("""COMPUTED_VALUE"""),500070)</f>
        <v>500070</v>
      </c>
      <c r="D490" s="1" t="str">
        <f ca="1">IFERROR(__xludf.DUMMYFUNCTION("""COMPUTED_VALUE"""),"Female")</f>
        <v>Female</v>
      </c>
      <c r="E490" s="1" t="str">
        <f ca="1">IFERROR(__xludf.DUMMYFUNCTION("""COMPUTED_VALUE"""),"Influencers who had successful careers")</f>
        <v>Influencers who had successful careers</v>
      </c>
      <c r="F490" s="1" t="str">
        <f ca="1">IFERROR(__xludf.DUMMYFUNCTION("""COMPUTED_VALUE"""),"No I would not be pursuing Higher Education outside of India")</f>
        <v>No I would not be pursuing Higher Education outside of India</v>
      </c>
      <c r="G490" s="1" t="str">
        <f ca="1">IFERROR(__xludf.DUMMYFUNCTION("""COMPUTED_VALUE"""),"This will be hard to do, but if it is the right company I would try")</f>
        <v>This will be hard to do, but if it is the right company I would try</v>
      </c>
      <c r="H490" s="1" t="str">
        <f ca="1">IFERROR(__xludf.DUMMYFUNCTION("""COMPUTED_VALUE"""),"Yes")</f>
        <v>Yes</v>
      </c>
      <c r="I490" s="1" t="str">
        <f ca="1">IFERROR(__xludf.DUMMYFUNCTION("""COMPUTED_VALUE"""),"Will work for them")</f>
        <v>Will work for them</v>
      </c>
      <c r="J490" s="1">
        <f ca="1">IFERROR(__xludf.DUMMYFUNCTION("""COMPUTED_VALUE"""),9)</f>
        <v>9</v>
      </c>
      <c r="K490" s="1" t="str">
        <f ca="1">IFERROR(__xludf.DUMMYFUNCTION("""COMPUTED_VALUE"""),"Fully Remote with No option to visit offices")</f>
        <v>Fully Remote with No option to visit offices</v>
      </c>
      <c r="L490" s="1" t="str">
        <f ca="1">IFERROR(__xludf.DUMMYFUNCTION("""COMPUTED_VALUE"""),"Employer who rewards learning and enables that environment")</f>
        <v>Employer who rewards learning and enables that environment</v>
      </c>
      <c r="M49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490" s="1" t="str">
        <f ca="1">IFERROR(__xludf.DUMMYFUNCTION("""COMPUTED_VALUE"""),"Design and Creative strategy in any company, Teaching in any of the institutes/colleges/online or offline, Business Operations in any organization, Design and Develop amazing software")</f>
        <v>Design and Creative strategy in any company, Teaching in any of the institutes/colleges/online or offline, Business Operations in any organization, Design and Develop amazing software</v>
      </c>
      <c r="O490" s="1" t="str">
        <f ca="1">IFERROR(__xludf.DUMMYFUNCTION("""COMPUTED_VALUE"""),"Manager who clearly describes what she/he needs")</f>
        <v>Manager who clearly describes what she/he needs</v>
      </c>
      <c r="P490" s="1" t="str">
        <f ca="1">IFERROR(__xludf.DUMMYFUNCTION("""COMPUTED_VALUE"""),"Work with 5 to 6 people in my team")</f>
        <v>Work with 5 to 6 people in my team</v>
      </c>
      <c r="Q490" s="1" t="str">
        <f ca="1">IFERROR(__xludf.DUMMYFUNCTION("""COMPUTED_VALUE"""),"Yes")</f>
        <v>Yes</v>
      </c>
      <c r="R490" s="1" t="str">
        <f ca="1">IFERROR(__xludf.DUMMYFUNCTION("""COMPUTED_VALUE"""),"This will be hard to do, but if it is the right company I would try")</f>
        <v>This will be hard to do, but if it is the right company I would try</v>
      </c>
      <c r="S490" s="1"/>
    </row>
    <row r="491" spans="1:19" ht="12.5" x14ac:dyDescent="0.25">
      <c r="A491" s="2">
        <f ca="1">IFERROR(__xludf.DUMMYFUNCTION("""COMPUTED_VALUE"""),45021.5240334953)</f>
        <v>45021.524033495298</v>
      </c>
      <c r="B491" s="1" t="str">
        <f ca="1">IFERROR(__xludf.DUMMYFUNCTION("""COMPUTED_VALUE"""),"India")</f>
        <v>India</v>
      </c>
      <c r="C491" s="1">
        <f ca="1">IFERROR(__xludf.DUMMYFUNCTION("""COMPUTED_VALUE"""),580031)</f>
        <v>580031</v>
      </c>
      <c r="D491" s="1" t="str">
        <f ca="1">IFERROR(__xludf.DUMMYFUNCTION("""COMPUTED_VALUE"""),"Male")</f>
        <v>Male</v>
      </c>
      <c r="E491" s="1" t="str">
        <f ca="1">IFERROR(__xludf.DUMMYFUNCTION("""COMPUTED_VALUE"""),"My Parents")</f>
        <v>My Parents</v>
      </c>
      <c r="F491" s="1" t="str">
        <f ca="1">IFERROR(__xludf.DUMMYFUNCTION("""COMPUTED_VALUE"""),"No I would not be pursuing Higher Education outside of India")</f>
        <v>No I would not be pursuing Higher Education outside of India</v>
      </c>
      <c r="G491" s="1" t="str">
        <f ca="1">IFERROR(__xludf.DUMMYFUNCTION("""COMPUTED_VALUE"""),"This will be hard to do, but if it is the right company I would try")</f>
        <v>This will be hard to do, but if it is the right company I would try</v>
      </c>
      <c r="H491" s="1" t="str">
        <f ca="1">IFERROR(__xludf.DUMMYFUNCTION("""COMPUTED_VALUE"""),"Yes")</f>
        <v>Yes</v>
      </c>
      <c r="I491" s="1" t="str">
        <f ca="1">IFERROR(__xludf.DUMMYFUNCTION("""COMPUTED_VALUE"""),"Will work for them")</f>
        <v>Will work for them</v>
      </c>
      <c r="J491" s="1">
        <f ca="1">IFERROR(__xludf.DUMMYFUNCTION("""COMPUTED_VALUE"""),5)</f>
        <v>5</v>
      </c>
      <c r="K491" s="1" t="str">
        <f ca="1">IFERROR(__xludf.DUMMYFUNCTION("""COMPUTED_VALUE"""),"Hybrid Working Environment with less than 3 days a month at office")</f>
        <v>Hybrid Working Environment with less than 3 days a month at office</v>
      </c>
      <c r="L4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9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491" s="1" t="str">
        <f ca="1">IFERROR(__xludf.DUMMYFUNCTION("""COMPUTED_VALUE"""),"Teaching in any of the institutes/colleges/online or offline, Manage and drive End-to-End Projects or Products, Design and Develop amazing software, Work as a freelancer and do my thing my way")</f>
        <v>Teaching in any of the institutes/colleges/online or offline, Manage and drive End-to-End Projects or Products, Design and Develop amazing software, Work as a freelancer and do my thing my way</v>
      </c>
      <c r="O491" s="1" t="str">
        <f ca="1">IFERROR(__xludf.DUMMYFUNCTION("""COMPUTED_VALUE"""),"Manager who explains what is expected, sets a goal and helps achieve it")</f>
        <v>Manager who explains what is expected, sets a goal and helps achieve it</v>
      </c>
      <c r="P491" s="1" t="str">
        <f ca="1">IFERROR(__xludf.DUMMYFUNCTION("""COMPUTED_VALUE"""),"Work with 2 to 3 people in my team")</f>
        <v>Work with 2 to 3 people in my team</v>
      </c>
      <c r="Q491" s="1" t="str">
        <f ca="1">IFERROR(__xludf.DUMMYFUNCTION("""COMPUTED_VALUE"""),"Yes, I Understand this is gonna happen everywhere")</f>
        <v>Yes, I Understand this is gonna happen everywhere</v>
      </c>
      <c r="R491" s="1" t="str">
        <f ca="1">IFERROR(__xludf.DUMMYFUNCTION("""COMPUTED_VALUE"""),"No way")</f>
        <v>No way</v>
      </c>
      <c r="S491" s="1"/>
    </row>
    <row r="492" spans="1:19" ht="12.5" x14ac:dyDescent="0.25">
      <c r="A492" s="2">
        <f ca="1">IFERROR(__xludf.DUMMYFUNCTION("""COMPUTED_VALUE"""),45021.5275958333)</f>
        <v>45021.5275958333</v>
      </c>
      <c r="B492" s="1" t="str">
        <f ca="1">IFERROR(__xludf.DUMMYFUNCTION("""COMPUTED_VALUE"""),"India")</f>
        <v>India</v>
      </c>
      <c r="C492" s="1">
        <f ca="1">IFERROR(__xludf.DUMMYFUNCTION("""COMPUTED_VALUE"""),400067)</f>
        <v>400067</v>
      </c>
      <c r="D492" s="1" t="str">
        <f ca="1">IFERROR(__xludf.DUMMYFUNCTION("""COMPUTED_VALUE"""),"Female")</f>
        <v>Female</v>
      </c>
      <c r="E492" s="1" t="str">
        <f ca="1">IFERROR(__xludf.DUMMYFUNCTION("""COMPUTED_VALUE"""),"My Parents")</f>
        <v>My Parents</v>
      </c>
      <c r="F492" s="1" t="str">
        <f ca="1">IFERROR(__xludf.DUMMYFUNCTION("""COMPUTED_VALUE"""),"No I would not be pursuing Higher Education outside of India")</f>
        <v>No I would not be pursuing Higher Education outside of India</v>
      </c>
      <c r="G492" s="1" t="str">
        <f ca="1">IFERROR(__xludf.DUMMYFUNCTION("""COMPUTED_VALUE"""),"This will be hard to do, but if it is the right company I would try")</f>
        <v>This will be hard to do, but if it is the right company I would try</v>
      </c>
      <c r="H492" s="1" t="str">
        <f ca="1">IFERROR(__xludf.DUMMYFUNCTION("""COMPUTED_VALUE"""),"No")</f>
        <v>No</v>
      </c>
      <c r="I492" s="1" t="str">
        <f ca="1">IFERROR(__xludf.DUMMYFUNCTION("""COMPUTED_VALUE"""),"Will NOT work for them")</f>
        <v>Will NOT work for them</v>
      </c>
      <c r="J492" s="1">
        <f ca="1">IFERROR(__xludf.DUMMYFUNCTION("""COMPUTED_VALUE"""),7)</f>
        <v>7</v>
      </c>
      <c r="K492" s="1" t="str">
        <f ca="1">IFERROR(__xludf.DUMMYFUNCTION("""COMPUTED_VALUE"""),"Hybrid Working Environment with less than 3 days a month at office")</f>
        <v>Hybrid Working Environment with less than 3 days a month at office</v>
      </c>
      <c r="L4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9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92" s="1" t="str">
        <f ca="1">IFERROR(__xludf.DUMMYFUNCTION("""COMPUTED_VALUE"""),"Teaching in any of the institutes/colleges/online or offline, Business Operations in any organization, Look deeply into Data and generate insights, Work in a BPO setup for some well known client")</f>
        <v>Teaching in any of the institutes/colleges/online or offline, Business Operations in any organization, Look deeply into Data and generate insights, Work in a BPO setup for some well known client</v>
      </c>
      <c r="O492" s="1" t="str">
        <f ca="1">IFERROR(__xludf.DUMMYFUNCTION("""COMPUTED_VALUE"""),"Manager who explains what is expected, sets a goal and helps achieve it")</f>
        <v>Manager who explains what is expected, sets a goal and helps achieve it</v>
      </c>
      <c r="P49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492" s="1" t="str">
        <f ca="1">IFERROR(__xludf.DUMMYFUNCTION("""COMPUTED_VALUE"""),"Yes, I Understand this is gonna happen everywhere")</f>
        <v>Yes, I Understand this is gonna happen everywhere</v>
      </c>
      <c r="R492" s="1" t="str">
        <f ca="1">IFERROR(__xludf.DUMMYFUNCTION("""COMPUTED_VALUE"""),"No way")</f>
        <v>No way</v>
      </c>
      <c r="S492" s="1"/>
    </row>
    <row r="493" spans="1:19" ht="12.5" x14ac:dyDescent="0.25">
      <c r="A493" s="2">
        <f ca="1">IFERROR(__xludf.DUMMYFUNCTION("""COMPUTED_VALUE"""),45021.5285830787)</f>
        <v>45021.528583078703</v>
      </c>
      <c r="B493" s="1" t="str">
        <f ca="1">IFERROR(__xludf.DUMMYFUNCTION("""COMPUTED_VALUE"""),"India")</f>
        <v>India</v>
      </c>
      <c r="C493" s="1">
        <f ca="1">IFERROR(__xludf.DUMMYFUNCTION("""COMPUTED_VALUE"""),560018)</f>
        <v>560018</v>
      </c>
      <c r="D493" s="1" t="str">
        <f ca="1">IFERROR(__xludf.DUMMYFUNCTION("""COMPUTED_VALUE"""),"Female")</f>
        <v>Female</v>
      </c>
      <c r="E493" s="1" t="str">
        <f ca="1">IFERROR(__xludf.DUMMYFUNCTION("""COMPUTED_VALUE"""),"My Parents")</f>
        <v>My Parents</v>
      </c>
      <c r="F493" s="1" t="str">
        <f ca="1">IFERROR(__xludf.DUMMYFUNCTION("""COMPUTED_VALUE"""),"No, But if someone could bare the cost I will")</f>
        <v>No, But if someone could bare the cost I will</v>
      </c>
      <c r="G493" s="1" t="str">
        <f ca="1">IFERROR(__xludf.DUMMYFUNCTION("""COMPUTED_VALUE"""),"This will be hard to do, but if it is the right company I would try")</f>
        <v>This will be hard to do, but if it is the right company I would try</v>
      </c>
      <c r="H493" s="1" t="str">
        <f ca="1">IFERROR(__xludf.DUMMYFUNCTION("""COMPUTED_VALUE"""),"No")</f>
        <v>No</v>
      </c>
      <c r="I493" s="1" t="str">
        <f ca="1">IFERROR(__xludf.DUMMYFUNCTION("""COMPUTED_VALUE"""),"Will work for them")</f>
        <v>Will work for them</v>
      </c>
      <c r="J493" s="1">
        <f ca="1">IFERROR(__xludf.DUMMYFUNCTION("""COMPUTED_VALUE"""),7)</f>
        <v>7</v>
      </c>
      <c r="K493" s="1" t="str">
        <f ca="1">IFERROR(__xludf.DUMMYFUNCTION("""COMPUTED_VALUE"""),"Hybrid Working Environment with more than 15 days a month at office")</f>
        <v>Hybrid Working Environment with more than 15 days a month at office</v>
      </c>
      <c r="L4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9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493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493" s="1" t="str">
        <f ca="1">IFERROR(__xludf.DUMMYFUNCTION("""COMPUTED_VALUE"""),"Manager who sets targets and expects me to achieve it")</f>
        <v>Manager who sets targets and expects me to achieve it</v>
      </c>
      <c r="P493" s="1" t="str">
        <f ca="1">IFERROR(__xludf.DUMMYFUNCTION("""COMPUTED_VALUE"""),"Work with 7 to 10 or more people in my team")</f>
        <v>Work with 7 to 10 or more people in my team</v>
      </c>
      <c r="Q493" s="1" t="str">
        <f ca="1">IFERROR(__xludf.DUMMYFUNCTION("""COMPUTED_VALUE"""),"Yes, I Understand this is gonna happen everywhere")</f>
        <v>Yes, I Understand this is gonna happen everywhere</v>
      </c>
      <c r="R493" s="1" t="str">
        <f ca="1">IFERROR(__xludf.DUMMYFUNCTION("""COMPUTED_VALUE"""),"This will be hard to do, but if it is the right company I would try")</f>
        <v>This will be hard to do, but if it is the right company I would try</v>
      </c>
      <c r="S493" s="1"/>
    </row>
    <row r="494" spans="1:19" ht="12.5" x14ac:dyDescent="0.25">
      <c r="A494" s="2">
        <f ca="1">IFERROR(__xludf.DUMMYFUNCTION("""COMPUTED_VALUE"""),45021.533145949)</f>
        <v>45021.533145948997</v>
      </c>
      <c r="B494" s="1" t="str">
        <f ca="1">IFERROR(__xludf.DUMMYFUNCTION("""COMPUTED_VALUE"""),"India")</f>
        <v>India</v>
      </c>
      <c r="C494" s="1">
        <f ca="1">IFERROR(__xludf.DUMMYFUNCTION("""COMPUTED_VALUE"""),641011)</f>
        <v>641011</v>
      </c>
      <c r="D494" s="1" t="str">
        <f ca="1">IFERROR(__xludf.DUMMYFUNCTION("""COMPUTED_VALUE"""),"Male")</f>
        <v>Male</v>
      </c>
      <c r="E494" s="1" t="str">
        <f ca="1">IFERROR(__xludf.DUMMYFUNCTION("""COMPUTED_VALUE"""),"My Parents")</f>
        <v>My Parents</v>
      </c>
      <c r="F494" s="1" t="str">
        <f ca="1">IFERROR(__xludf.DUMMYFUNCTION("""COMPUTED_VALUE"""),"No, But if someone could bare the cost I will")</f>
        <v>No, But if someone could bare the cost I will</v>
      </c>
      <c r="G494" s="1" t="str">
        <f ca="1">IFERROR(__xludf.DUMMYFUNCTION("""COMPUTED_VALUE"""),"Will work for 3 years or more")</f>
        <v>Will work for 3 years or more</v>
      </c>
      <c r="H494" s="1" t="str">
        <f ca="1">IFERROR(__xludf.DUMMYFUNCTION("""COMPUTED_VALUE"""),"Yes")</f>
        <v>Yes</v>
      </c>
      <c r="I494" s="1" t="str">
        <f ca="1">IFERROR(__xludf.DUMMYFUNCTION("""COMPUTED_VALUE"""),"Will work for them")</f>
        <v>Will work for them</v>
      </c>
      <c r="J494" s="1">
        <f ca="1">IFERROR(__xludf.DUMMYFUNCTION("""COMPUTED_VALUE"""),7)</f>
        <v>7</v>
      </c>
      <c r="K494" s="1" t="str">
        <f ca="1">IFERROR(__xludf.DUMMYFUNCTION("""COMPUTED_VALUE"""),"Hybrid Working Environment with less than 3 days a month at office")</f>
        <v>Hybrid Working Environment with less than 3 days a month at office</v>
      </c>
      <c r="L494" s="1" t="str">
        <f ca="1">IFERROR(__xludf.DUMMYFUNCTION("""COMPUTED_VALUE"""),"Employer who appreciates learning and enables that environment")</f>
        <v>Employer who appreciates learning and enables that environment</v>
      </c>
      <c r="M494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494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494" s="1" t="str">
        <f ca="1">IFERROR(__xludf.DUMMYFUNCTION("""COMPUTED_VALUE"""),"Manager who clearly describes what she/he needs")</f>
        <v>Manager who clearly describes what she/he needs</v>
      </c>
      <c r="P494" s="1" t="str">
        <f ca="1">IFERROR(__xludf.DUMMYFUNCTION("""COMPUTED_VALUE"""),"Work with 2 to 3 people in my team")</f>
        <v>Work with 2 to 3 people in my team</v>
      </c>
      <c r="Q494" s="1" t="str">
        <f ca="1">IFERROR(__xludf.DUMMYFUNCTION("""COMPUTED_VALUE"""),"Yes")</f>
        <v>Yes</v>
      </c>
      <c r="R494" s="1" t="str">
        <f ca="1">IFERROR(__xludf.DUMMYFUNCTION("""COMPUTED_VALUE"""),"Will work for 7 years or more")</f>
        <v>Will work for 7 years or more</v>
      </c>
      <c r="S494" s="1"/>
    </row>
    <row r="495" spans="1:19" ht="12.5" x14ac:dyDescent="0.25">
      <c r="A495" s="2">
        <f ca="1">IFERROR(__xludf.DUMMYFUNCTION("""COMPUTED_VALUE"""),45021.5339742013)</f>
        <v>45021.533974201302</v>
      </c>
      <c r="B495" s="1" t="str">
        <f ca="1">IFERROR(__xludf.DUMMYFUNCTION("""COMPUTED_VALUE"""),"India")</f>
        <v>India</v>
      </c>
      <c r="C495" s="1">
        <f ca="1">IFERROR(__xludf.DUMMYFUNCTION("""COMPUTED_VALUE"""),500085)</f>
        <v>500085</v>
      </c>
      <c r="D495" s="1" t="str">
        <f ca="1">IFERROR(__xludf.DUMMYFUNCTION("""COMPUTED_VALUE"""),"Female")</f>
        <v>Female</v>
      </c>
      <c r="E495" s="1" t="str">
        <f ca="1">IFERROR(__xludf.DUMMYFUNCTION("""COMPUTED_VALUE"""),"My Parents")</f>
        <v>My Parents</v>
      </c>
      <c r="F495" s="1" t="str">
        <f ca="1">IFERROR(__xludf.DUMMYFUNCTION("""COMPUTED_VALUE"""),"Yes, I will earn and do that")</f>
        <v>Yes, I will earn and do that</v>
      </c>
      <c r="G495" s="1" t="str">
        <f ca="1">IFERROR(__xludf.DUMMYFUNCTION("""COMPUTED_VALUE"""),"This will be hard to do, but if it is the right company I would try")</f>
        <v>This will be hard to do, but if it is the right company I would try</v>
      </c>
      <c r="H495" s="1" t="str">
        <f ca="1">IFERROR(__xludf.DUMMYFUNCTION("""COMPUTED_VALUE"""),"No")</f>
        <v>No</v>
      </c>
      <c r="I495" s="1" t="str">
        <f ca="1">IFERROR(__xludf.DUMMYFUNCTION("""COMPUTED_VALUE"""),"Will NOT work for them")</f>
        <v>Will NOT work for them</v>
      </c>
      <c r="J495" s="1">
        <f ca="1">IFERROR(__xludf.DUMMYFUNCTION("""COMPUTED_VALUE"""),1)</f>
        <v>1</v>
      </c>
      <c r="K495" s="1" t="str">
        <f ca="1">IFERROR(__xludf.DUMMYFUNCTION("""COMPUTED_VALUE"""),"Fully Remote with Options to travel as and when needed")</f>
        <v>Fully Remote with Options to travel as and when needed</v>
      </c>
      <c r="L495" s="1" t="str">
        <f ca="1">IFERROR(__xludf.DUMMYFUNCTION("""COMPUTED_VALUE"""),"Employer who appreciates learning and enables that environment")</f>
        <v>Employer who appreciates learning and enables that environment</v>
      </c>
      <c r="M49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495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495" s="1" t="str">
        <f ca="1">IFERROR(__xludf.DUMMYFUNCTION("""COMPUTED_VALUE"""),"Manager who sets goal and helps me achieve it")</f>
        <v>Manager who sets goal and helps me achieve it</v>
      </c>
      <c r="P495" s="1" t="str">
        <f ca="1">IFERROR(__xludf.DUMMYFUNCTION("""COMPUTED_VALUE"""),"Work with 2 to 3 people in my team")</f>
        <v>Work with 2 to 3 people in my team</v>
      </c>
      <c r="Q495" s="1" t="str">
        <f ca="1">IFERROR(__xludf.DUMMYFUNCTION("""COMPUTED_VALUE"""),"I have NO other choice")</f>
        <v>I have NO other choice</v>
      </c>
      <c r="R495" s="1" t="str">
        <f ca="1">IFERROR(__xludf.DUMMYFUNCTION("""COMPUTED_VALUE"""),"This will be hard to do, but if it is the right company I would try")</f>
        <v>This will be hard to do, but if it is the right company I would try</v>
      </c>
      <c r="S495" s="1"/>
    </row>
    <row r="496" spans="1:19" ht="12.5" x14ac:dyDescent="0.25">
      <c r="A496" s="2">
        <f ca="1">IFERROR(__xludf.DUMMYFUNCTION("""COMPUTED_VALUE"""),45021.5366809606)</f>
        <v>45021.536680960598</v>
      </c>
      <c r="B496" s="1" t="str">
        <f ca="1">IFERROR(__xludf.DUMMYFUNCTION("""COMPUTED_VALUE"""),"India")</f>
        <v>India</v>
      </c>
      <c r="C496" s="1">
        <f ca="1">IFERROR(__xludf.DUMMYFUNCTION("""COMPUTED_VALUE"""),121012)</f>
        <v>121012</v>
      </c>
      <c r="D496" s="1" t="str">
        <f ca="1">IFERROR(__xludf.DUMMYFUNCTION("""COMPUTED_VALUE"""),"Female")</f>
        <v>Female</v>
      </c>
      <c r="E496" s="1" t="str">
        <f ca="1">IFERROR(__xludf.DUMMYFUNCTION("""COMPUTED_VALUE"""),"Influencers who had successful careers")</f>
        <v>Influencers who had successful careers</v>
      </c>
      <c r="F496" s="1" t="str">
        <f ca="1">IFERROR(__xludf.DUMMYFUNCTION("""COMPUTED_VALUE"""),"Yes, I will earn and do that")</f>
        <v>Yes, I will earn and do that</v>
      </c>
      <c r="G496" s="1" t="str">
        <f ca="1">IFERROR(__xludf.DUMMYFUNCTION("""COMPUTED_VALUE"""),"This will be hard to do, but if it is the right company I would try")</f>
        <v>This will be hard to do, but if it is the right company I would try</v>
      </c>
      <c r="H496" s="1" t="str">
        <f ca="1">IFERROR(__xludf.DUMMYFUNCTION("""COMPUTED_VALUE"""),"No")</f>
        <v>No</v>
      </c>
      <c r="I496" s="1" t="str">
        <f ca="1">IFERROR(__xludf.DUMMYFUNCTION("""COMPUTED_VALUE"""),"Will NOT work for them")</f>
        <v>Will NOT work for them</v>
      </c>
      <c r="J496" s="1">
        <f ca="1">IFERROR(__xludf.DUMMYFUNCTION("""COMPUTED_VALUE"""),3)</f>
        <v>3</v>
      </c>
      <c r="K496" s="1" t="str">
        <f ca="1">IFERROR(__xludf.DUMMYFUNCTION("""COMPUTED_VALUE"""),"Hybrid Working Environment with more than 15 days a month at office")</f>
        <v>Hybrid Working Environment with more than 15 days a month at office</v>
      </c>
      <c r="L4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9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496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496" s="1" t="str">
        <f ca="1">IFERROR(__xludf.DUMMYFUNCTION("""COMPUTED_VALUE"""),"Manager who explains what is expected, sets a goal and helps achieve it")</f>
        <v>Manager who explains what is expected, sets a goal and helps achieve it</v>
      </c>
      <c r="P496" s="1" t="str">
        <f ca="1">IFERROR(__xludf.DUMMYFUNCTION("""COMPUTED_VALUE"""),"Work with 5 to 6 people in my team")</f>
        <v>Work with 5 to 6 people in my team</v>
      </c>
      <c r="Q496" s="1" t="str">
        <f ca="1">IFERROR(__xludf.DUMMYFUNCTION("""COMPUTED_VALUE"""),"No")</f>
        <v>No</v>
      </c>
      <c r="R496" s="1" t="str">
        <f ca="1">IFERROR(__xludf.DUMMYFUNCTION("""COMPUTED_VALUE"""),"This will be hard to do, but if it is the right company I would try")</f>
        <v>This will be hard to do, but if it is the right company I would try</v>
      </c>
      <c r="S496" s="1"/>
    </row>
    <row r="497" spans="1:19" ht="12.5" x14ac:dyDescent="0.25">
      <c r="A497" s="2">
        <f ca="1">IFERROR(__xludf.DUMMYFUNCTION("""COMPUTED_VALUE"""),45021.5373294444)</f>
        <v>45021.5373294444</v>
      </c>
      <c r="B497" s="1" t="str">
        <f ca="1">IFERROR(__xludf.DUMMYFUNCTION("""COMPUTED_VALUE"""),"India")</f>
        <v>India</v>
      </c>
      <c r="C497" s="1">
        <f ca="1">IFERROR(__xludf.DUMMYFUNCTION("""COMPUTED_VALUE"""),400097)</f>
        <v>400097</v>
      </c>
      <c r="D497" s="1" t="str">
        <f ca="1">IFERROR(__xludf.DUMMYFUNCTION("""COMPUTED_VALUE"""),"Male")</f>
        <v>Male</v>
      </c>
      <c r="E497" s="1" t="str">
        <f ca="1">IFERROR(__xludf.DUMMYFUNCTION("""COMPUTED_VALUE"""),"My Parents")</f>
        <v>My Parents</v>
      </c>
      <c r="F497" s="1" t="str">
        <f ca="1">IFERROR(__xludf.DUMMYFUNCTION("""COMPUTED_VALUE"""),"No, But if someone could bare the cost I will")</f>
        <v>No, But if someone could bare the cost I will</v>
      </c>
      <c r="G497" s="1" t="str">
        <f ca="1">IFERROR(__xludf.DUMMYFUNCTION("""COMPUTED_VALUE"""),"Will work for 3 years or more")</f>
        <v>Will work for 3 years or more</v>
      </c>
      <c r="H497" s="1" t="str">
        <f ca="1">IFERROR(__xludf.DUMMYFUNCTION("""COMPUTED_VALUE"""),"Yes")</f>
        <v>Yes</v>
      </c>
      <c r="I497" s="1" t="str">
        <f ca="1">IFERROR(__xludf.DUMMYFUNCTION("""COMPUTED_VALUE"""),"Will NOT work for them")</f>
        <v>Will NOT work for them</v>
      </c>
      <c r="J497" s="1">
        <f ca="1">IFERROR(__xludf.DUMMYFUNCTION("""COMPUTED_VALUE"""),8)</f>
        <v>8</v>
      </c>
      <c r="K497" s="1" t="str">
        <f ca="1">IFERROR(__xludf.DUMMYFUNCTION("""COMPUTED_VALUE"""),"Fully Remote with Options to travel as and when needed")</f>
        <v>Fully Remote with Options to travel as and when needed</v>
      </c>
      <c r="L4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9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497" s="1" t="str">
        <f ca="1">IFERROR(__xludf.DUMMYFUNCTION("""COMPUTED_VALUE"""),"Manage and drive End-to-End Projects or Products, Build and develop a Team, Look deeply into Data and generate insights, Entrepreneur or Start Up")</f>
        <v>Manage and drive End-to-End Projects or Products, Build and develop a Team, Look deeply into Data and generate insights, Entrepreneur or Start Up</v>
      </c>
      <c r="O497" s="1" t="str">
        <f ca="1">IFERROR(__xludf.DUMMYFUNCTION("""COMPUTED_VALUE"""),"Manager who explains what is expected, sets a goal and helps achieve it")</f>
        <v>Manager who explains what is expected, sets a goal and helps achieve it</v>
      </c>
      <c r="P497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497" s="1" t="str">
        <f ca="1">IFERROR(__xludf.DUMMYFUNCTION("""COMPUTED_VALUE"""),"Yes, I Understand this is gonna happen everywhere")</f>
        <v>Yes, I Understand this is gonna happen everywhere</v>
      </c>
      <c r="R497" s="1" t="str">
        <f ca="1">IFERROR(__xludf.DUMMYFUNCTION("""COMPUTED_VALUE"""),"This will be hard to do, but if it is the right company I would try")</f>
        <v>This will be hard to do, but if it is the right company I would try</v>
      </c>
      <c r="S497" s="1"/>
    </row>
    <row r="498" spans="1:19" ht="12.5" x14ac:dyDescent="0.25">
      <c r="A498" s="2">
        <f ca="1">IFERROR(__xludf.DUMMYFUNCTION("""COMPUTED_VALUE"""),45021.5405184259)</f>
        <v>45021.5405184259</v>
      </c>
      <c r="B498" s="1" t="str">
        <f ca="1">IFERROR(__xludf.DUMMYFUNCTION("""COMPUTED_VALUE"""),"India")</f>
        <v>India</v>
      </c>
      <c r="C498" s="1">
        <f ca="1">IFERROR(__xludf.DUMMYFUNCTION("""COMPUTED_VALUE"""),201306)</f>
        <v>201306</v>
      </c>
      <c r="D498" s="1" t="str">
        <f ca="1">IFERROR(__xludf.DUMMYFUNCTION("""COMPUTED_VALUE"""),"Male")</f>
        <v>Male</v>
      </c>
      <c r="E498" s="1" t="str">
        <f ca="1">IFERROR(__xludf.DUMMYFUNCTION("""COMPUTED_VALUE"""),"My Parents")</f>
        <v>My Parents</v>
      </c>
      <c r="F498" s="1" t="str">
        <f ca="1">IFERROR(__xludf.DUMMYFUNCTION("""COMPUTED_VALUE"""),"No I would not be pursuing Higher Education outside of India")</f>
        <v>No I would not be pursuing Higher Education outside of India</v>
      </c>
      <c r="G498" s="1" t="str">
        <f ca="1">IFERROR(__xludf.DUMMYFUNCTION("""COMPUTED_VALUE"""),"This will be hard to do, but if it is the right company I would try")</f>
        <v>This will be hard to do, but if it is the right company I would try</v>
      </c>
      <c r="H498" s="1" t="str">
        <f ca="1">IFERROR(__xludf.DUMMYFUNCTION("""COMPUTED_VALUE"""),"No")</f>
        <v>No</v>
      </c>
      <c r="I498" s="1" t="str">
        <f ca="1">IFERROR(__xludf.DUMMYFUNCTION("""COMPUTED_VALUE"""),"Will NOT work for them")</f>
        <v>Will NOT work for them</v>
      </c>
      <c r="J498" s="1">
        <f ca="1">IFERROR(__xludf.DUMMYFUNCTION("""COMPUTED_VALUE"""),5)</f>
        <v>5</v>
      </c>
      <c r="K498" s="1" t="str">
        <f ca="1">IFERROR(__xludf.DUMMYFUNCTION("""COMPUTED_VALUE"""),"Fully Remote with Options to travel as and when needed")</f>
        <v>Fully Remote with Options to travel as and when needed</v>
      </c>
      <c r="L498" s="1" t="str">
        <f ca="1">IFERROR(__xludf.DUMMYFUNCTION("""COMPUTED_VALUE"""),"Employer who appreciates learning and enables that environment")</f>
        <v>Employer who appreciates learning and enables that environment</v>
      </c>
      <c r="M498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498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498" s="1" t="str">
        <f ca="1">IFERROR(__xludf.DUMMYFUNCTION("""COMPUTED_VALUE"""),"Manager who clearly describes what she/he needs")</f>
        <v>Manager who clearly describes what she/he needs</v>
      </c>
      <c r="P498" s="1" t="str">
        <f ca="1">IFERROR(__xludf.DUMMYFUNCTION("""COMPUTED_VALUE"""),"Work alone")</f>
        <v>Work alone</v>
      </c>
      <c r="Q498" s="1" t="str">
        <f ca="1">IFERROR(__xludf.DUMMYFUNCTION("""COMPUTED_VALUE"""),"Yes, I Understand this is gonna happen everywhere")</f>
        <v>Yes, I Understand this is gonna happen everywhere</v>
      </c>
      <c r="R498" s="1" t="str">
        <f ca="1">IFERROR(__xludf.DUMMYFUNCTION("""COMPUTED_VALUE"""),"No way")</f>
        <v>No way</v>
      </c>
      <c r="S498" s="1"/>
    </row>
    <row r="499" spans="1:19" ht="12.5" x14ac:dyDescent="0.25">
      <c r="A499" s="2">
        <f ca="1">IFERROR(__xludf.DUMMYFUNCTION("""COMPUTED_VALUE"""),45021.5412948842)</f>
        <v>45021.541294884199</v>
      </c>
      <c r="B499" s="1" t="str">
        <f ca="1">IFERROR(__xludf.DUMMYFUNCTION("""COMPUTED_VALUE"""),"India")</f>
        <v>India</v>
      </c>
      <c r="C499" s="1">
        <f ca="1">IFERROR(__xludf.DUMMYFUNCTION("""COMPUTED_VALUE"""),501023)</f>
        <v>501023</v>
      </c>
      <c r="D499" s="1" t="str">
        <f ca="1">IFERROR(__xludf.DUMMYFUNCTION("""COMPUTED_VALUE"""),"Female")</f>
        <v>Female</v>
      </c>
      <c r="E499" s="1" t="str">
        <f ca="1">IFERROR(__xludf.DUMMYFUNCTION("""COMPUTED_VALUE"""),"People who have changed the world for better")</f>
        <v>People who have changed the world for better</v>
      </c>
      <c r="F499" s="1" t="str">
        <f ca="1">IFERROR(__xludf.DUMMYFUNCTION("""COMPUTED_VALUE"""),"Yes, I will earn and do that")</f>
        <v>Yes, I will earn and do that</v>
      </c>
      <c r="G499" s="1" t="str">
        <f ca="1">IFERROR(__xludf.DUMMYFUNCTION("""COMPUTED_VALUE"""),"Will work for 3 years or more")</f>
        <v>Will work for 3 years or more</v>
      </c>
      <c r="H499" s="1" t="str">
        <f ca="1">IFERROR(__xludf.DUMMYFUNCTION("""COMPUTED_VALUE"""),"No")</f>
        <v>No</v>
      </c>
      <c r="I499" s="1" t="str">
        <f ca="1">IFERROR(__xludf.DUMMYFUNCTION("""COMPUTED_VALUE"""),"Will NOT work for them")</f>
        <v>Will NOT work for them</v>
      </c>
      <c r="J499" s="1">
        <f ca="1">IFERROR(__xludf.DUMMYFUNCTION("""COMPUTED_VALUE"""),7)</f>
        <v>7</v>
      </c>
      <c r="K499" s="1" t="str">
        <f ca="1">IFERROR(__xludf.DUMMYFUNCTION("""COMPUTED_VALUE"""),"Hybrid Working Environment with more than 15 days a month at office")</f>
        <v>Hybrid Working Environment with more than 15 days a month at office</v>
      </c>
      <c r="L4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49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499" s="1" t="str">
        <f ca="1">IFERROR(__xludf.DUMMYFUNCTION("""COMPUTED_VALUE"""),"Design and Creative strategy in any company, Design and Develop amazing software, Work in a BPO setup for some well known client, Become a content Creator in some platform")</f>
        <v>Design and Creative strategy in any company, Design and Develop amazing software, Work in a BPO setup for some well known client, Become a content Creator in some platform</v>
      </c>
      <c r="O499" s="1" t="str">
        <f ca="1">IFERROR(__xludf.DUMMYFUNCTION("""COMPUTED_VALUE"""),"Manager who sets goal and helps me achieve it")</f>
        <v>Manager who sets goal and helps me achieve it</v>
      </c>
      <c r="P499" s="1" t="str">
        <f ca="1">IFERROR(__xludf.DUMMYFUNCTION("""COMPUTED_VALUE"""),"Work with 5 to 6 people in my team")</f>
        <v>Work with 5 to 6 people in my team</v>
      </c>
      <c r="Q499" s="1" t="str">
        <f ca="1">IFERROR(__xludf.DUMMYFUNCTION("""COMPUTED_VALUE"""),"Yes, I Understand this is gonna happen everywhere")</f>
        <v>Yes, I Understand this is gonna happen everywhere</v>
      </c>
      <c r="R499" s="1" t="str">
        <f ca="1">IFERROR(__xludf.DUMMYFUNCTION("""COMPUTED_VALUE"""),"This will be hard to do, but if it is the right company I would try")</f>
        <v>This will be hard to do, but if it is the right company I would try</v>
      </c>
      <c r="S499" s="1"/>
    </row>
    <row r="500" spans="1:19" ht="12.5" x14ac:dyDescent="0.25">
      <c r="A500" s="2">
        <f ca="1">IFERROR(__xludf.DUMMYFUNCTION("""COMPUTED_VALUE"""),45021.5425700115)</f>
        <v>45021.542570011501</v>
      </c>
      <c r="B500" s="1" t="str">
        <f ca="1">IFERROR(__xludf.DUMMYFUNCTION("""COMPUTED_VALUE"""),"India")</f>
        <v>India</v>
      </c>
      <c r="C500" s="1">
        <f ca="1">IFERROR(__xludf.DUMMYFUNCTION("""COMPUTED_VALUE"""),400067)</f>
        <v>400067</v>
      </c>
      <c r="D500" s="1" t="str">
        <f ca="1">IFERROR(__xludf.DUMMYFUNCTION("""COMPUTED_VALUE"""),"Male")</f>
        <v>Male</v>
      </c>
      <c r="E500" s="1" t="str">
        <f ca="1">IFERROR(__xludf.DUMMYFUNCTION("""COMPUTED_VALUE"""),"Influencers who had successful careers")</f>
        <v>Influencers who had successful careers</v>
      </c>
      <c r="F500" s="1" t="str">
        <f ca="1">IFERROR(__xludf.DUMMYFUNCTION("""COMPUTED_VALUE"""),"No I would not be pursuing Higher Education outside of India")</f>
        <v>No I would not be pursuing Higher Education outside of India</v>
      </c>
      <c r="G500" s="1" t="str">
        <f ca="1">IFERROR(__xludf.DUMMYFUNCTION("""COMPUTED_VALUE"""),"This will be hard to do, but if it is the right company I would try")</f>
        <v>This will be hard to do, but if it is the right company I would try</v>
      </c>
      <c r="H500" s="1" t="str">
        <f ca="1">IFERROR(__xludf.DUMMYFUNCTION("""COMPUTED_VALUE"""),"No")</f>
        <v>No</v>
      </c>
      <c r="I500" s="1" t="str">
        <f ca="1">IFERROR(__xludf.DUMMYFUNCTION("""COMPUTED_VALUE"""),"Will NOT work for them")</f>
        <v>Will NOT work for them</v>
      </c>
      <c r="J500" s="1">
        <f ca="1">IFERROR(__xludf.DUMMYFUNCTION("""COMPUTED_VALUE"""),7)</f>
        <v>7</v>
      </c>
      <c r="K500" s="1" t="str">
        <f ca="1">IFERROR(__xludf.DUMMYFUNCTION("""COMPUTED_VALUE"""),"Hybrid Working Environment with more than 15 days a month at office")</f>
        <v>Hybrid Working Environment with more than 15 days a month at office</v>
      </c>
      <c r="L5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00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500" s="1" t="str">
        <f ca="1">IFERROR(__xludf.DUMMYFUNCTION("""COMPUTED_VALUE"""),"Teaching in any of the institutes/colleges/online or offline, Design and Develop amazing software, Work as a freelancer and do my thing my way, Entrepreneur or Start Up")</f>
        <v>Teaching in any of the institutes/colleges/online or offline, Design and Develop amazing software, Work as a freelancer and do my thing my way, Entrepreneur or Start Up</v>
      </c>
      <c r="O500" s="1" t="str">
        <f ca="1">IFERROR(__xludf.DUMMYFUNCTION("""COMPUTED_VALUE"""),"Manager who explains what is expected, sets a goal and helps achieve it")</f>
        <v>Manager who explains what is expected, sets a goal and helps achieve it</v>
      </c>
      <c r="P500" s="1" t="str">
        <f ca="1">IFERROR(__xludf.DUMMYFUNCTION("""COMPUTED_VALUE"""),"Work with 7 to 10 or more people in my team")</f>
        <v>Work with 7 to 10 or more people in my team</v>
      </c>
      <c r="Q500" s="1" t="str">
        <f ca="1">IFERROR(__xludf.DUMMYFUNCTION("""COMPUTED_VALUE"""),"Yes")</f>
        <v>Yes</v>
      </c>
      <c r="R500" s="1" t="str">
        <f ca="1">IFERROR(__xludf.DUMMYFUNCTION("""COMPUTED_VALUE"""),"This will be hard to do, but if it is the right company I would try")</f>
        <v>This will be hard to do, but if it is the right company I would try</v>
      </c>
      <c r="S500" s="1"/>
    </row>
    <row r="501" spans="1:19" ht="12.5" x14ac:dyDescent="0.25">
      <c r="A501" s="2">
        <f ca="1">IFERROR(__xludf.DUMMYFUNCTION("""COMPUTED_VALUE"""),45021.5449826736)</f>
        <v>45021.5449826736</v>
      </c>
      <c r="B501" s="1" t="str">
        <f ca="1">IFERROR(__xludf.DUMMYFUNCTION("""COMPUTED_VALUE"""),"India")</f>
        <v>India</v>
      </c>
      <c r="C501" s="1">
        <f ca="1">IFERROR(__xludf.DUMMYFUNCTION("""COMPUTED_VALUE"""),500090)</f>
        <v>500090</v>
      </c>
      <c r="D501" s="1" t="str">
        <f ca="1">IFERROR(__xludf.DUMMYFUNCTION("""COMPUTED_VALUE"""),"Female")</f>
        <v>Female</v>
      </c>
      <c r="E501" s="1" t="str">
        <f ca="1">IFERROR(__xludf.DUMMYFUNCTION("""COMPUTED_VALUE"""),"Influencers who had successful careers")</f>
        <v>Influencers who had successful careers</v>
      </c>
      <c r="F501" s="1" t="str">
        <f ca="1">IFERROR(__xludf.DUMMYFUNCTION("""COMPUTED_VALUE"""),"Yes, I will earn and do that")</f>
        <v>Yes, I will earn and do that</v>
      </c>
      <c r="G501" s="1" t="str">
        <f ca="1">IFERROR(__xludf.DUMMYFUNCTION("""COMPUTED_VALUE"""),"Will work for 3 years or more")</f>
        <v>Will work for 3 years or more</v>
      </c>
      <c r="H501" s="1" t="str">
        <f ca="1">IFERROR(__xludf.DUMMYFUNCTION("""COMPUTED_VALUE"""),"No")</f>
        <v>No</v>
      </c>
      <c r="I501" s="1" t="str">
        <f ca="1">IFERROR(__xludf.DUMMYFUNCTION("""COMPUTED_VALUE"""),"Will NOT work for them")</f>
        <v>Will NOT work for them</v>
      </c>
      <c r="J501" s="1">
        <f ca="1">IFERROR(__xludf.DUMMYFUNCTION("""COMPUTED_VALUE"""),4)</f>
        <v>4</v>
      </c>
      <c r="K501" s="1" t="str">
        <f ca="1">IFERROR(__xludf.DUMMYFUNCTION("""COMPUTED_VALUE"""),"Every Day Office Environment")</f>
        <v>Every Day Office Environment</v>
      </c>
      <c r="L5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0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01" s="1" t="str">
        <f ca="1">IFERROR(__xludf.DUMMYFUNCTION("""COMPUTED_VALUE"""),"Business Operations in any organization, Build and develop a Team, Design and Develop amazing software, Entrepreneur or Start Up")</f>
        <v>Business Operations in any organization, Build and develop a Team, Design and Develop amazing software, Entrepreneur or Start Up</v>
      </c>
      <c r="O501" s="1" t="str">
        <f ca="1">IFERROR(__xludf.DUMMYFUNCTION("""COMPUTED_VALUE"""),"Manager who explains what is expected, sets a goal and helps achieve it")</f>
        <v>Manager who explains what is expected, sets a goal and helps achieve it</v>
      </c>
      <c r="P501" s="1" t="str">
        <f ca="1">IFERROR(__xludf.DUMMYFUNCTION("""COMPUTED_VALUE"""),"Work with more than 10 people in my team")</f>
        <v>Work with more than 10 people in my team</v>
      </c>
      <c r="Q501" s="1" t="str">
        <f ca="1">IFERROR(__xludf.DUMMYFUNCTION("""COMPUTED_VALUE"""),"Yes, I Understand this is gonna happen everywhere")</f>
        <v>Yes, I Understand this is gonna happen everywhere</v>
      </c>
      <c r="R501" s="1" t="str">
        <f ca="1">IFERROR(__xludf.DUMMYFUNCTION("""COMPUTED_VALUE"""),"This will be hard to do, but if it is the right company I would try")</f>
        <v>This will be hard to do, but if it is the right company I would try</v>
      </c>
      <c r="S501" s="1"/>
    </row>
    <row r="502" spans="1:19" ht="12.5" x14ac:dyDescent="0.25">
      <c r="A502" s="2">
        <f ca="1">IFERROR(__xludf.DUMMYFUNCTION("""COMPUTED_VALUE"""),45021.5467826273)</f>
        <v>45021.546782627302</v>
      </c>
      <c r="B502" s="1" t="str">
        <f ca="1">IFERROR(__xludf.DUMMYFUNCTION("""COMPUTED_VALUE"""),"India")</f>
        <v>India</v>
      </c>
      <c r="C502" s="1">
        <f ca="1">IFERROR(__xludf.DUMMYFUNCTION("""COMPUTED_VALUE"""),500048)</f>
        <v>500048</v>
      </c>
      <c r="D502" s="1" t="str">
        <f ca="1">IFERROR(__xludf.DUMMYFUNCTION("""COMPUTED_VALUE"""),"Female")</f>
        <v>Female</v>
      </c>
      <c r="E502" s="1" t="str">
        <f ca="1">IFERROR(__xludf.DUMMYFUNCTION("""COMPUTED_VALUE"""),"My Parents")</f>
        <v>My Parents</v>
      </c>
      <c r="F502" s="1" t="str">
        <f ca="1">IFERROR(__xludf.DUMMYFUNCTION("""COMPUTED_VALUE"""),"Yes, I will earn and do that")</f>
        <v>Yes, I will earn and do that</v>
      </c>
      <c r="G502" s="1" t="str">
        <f ca="1">IFERROR(__xludf.DUMMYFUNCTION("""COMPUTED_VALUE"""),"This will be hard to do, but if it is the right company I would try")</f>
        <v>This will be hard to do, but if it is the right company I would try</v>
      </c>
      <c r="H502" s="1" t="str">
        <f ca="1">IFERROR(__xludf.DUMMYFUNCTION("""COMPUTED_VALUE"""),"No")</f>
        <v>No</v>
      </c>
      <c r="I502" s="1" t="str">
        <f ca="1">IFERROR(__xludf.DUMMYFUNCTION("""COMPUTED_VALUE"""),"Will NOT work for them")</f>
        <v>Will NOT work for them</v>
      </c>
      <c r="J502" s="1">
        <f ca="1">IFERROR(__xludf.DUMMYFUNCTION("""COMPUTED_VALUE"""),7)</f>
        <v>7</v>
      </c>
      <c r="K502" s="1" t="str">
        <f ca="1">IFERROR(__xludf.DUMMYFUNCTION("""COMPUTED_VALUE"""),"Fully Remote with Options to travel as and when needed")</f>
        <v>Fully Remote with Options to travel as and when needed</v>
      </c>
      <c r="L5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0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02" s="1" t="str">
        <f ca="1">IFERROR(__xludf.DUMMYFUNCTION("""COMPUTED_VALUE"""),"Business Operations in any organization, Look deeply into Data and generate insights, An Artificial Intelligence Specialist / Talking to Robots, Manufacturing / Oil and Gas/ Construction / Hard Physical Work related")</f>
        <v>Business Operations in any organization, Look deeply into Data and generate insights, An Artificial Intelligence Specialist / Talking to Robots, Manufacturing / Oil and Gas/ Construction / Hard Physical Work related</v>
      </c>
      <c r="O502" s="1" t="str">
        <f ca="1">IFERROR(__xludf.DUMMYFUNCTION("""COMPUTED_VALUE"""),"Manager who explains what is expected, sets a goal and helps achieve it")</f>
        <v>Manager who explains what is expected, sets a goal and helps achieve it</v>
      </c>
      <c r="P502" s="1" t="str">
        <f ca="1">IFERROR(__xludf.DUMMYFUNCTION("""COMPUTED_VALUE"""),"Work with 2 to 3 people in my team, Work with 5 to 6 people in my team")</f>
        <v>Work with 2 to 3 people in my team, Work with 5 to 6 people in my team</v>
      </c>
      <c r="Q502" s="1" t="str">
        <f ca="1">IFERROR(__xludf.DUMMYFUNCTION("""COMPUTED_VALUE"""),"Yes")</f>
        <v>Yes</v>
      </c>
      <c r="R502" s="1" t="str">
        <f ca="1">IFERROR(__xludf.DUMMYFUNCTION("""COMPUTED_VALUE"""),"This will be hard to do, but if it is the right company I would try")</f>
        <v>This will be hard to do, but if it is the right company I would try</v>
      </c>
      <c r="S502" s="1"/>
    </row>
    <row r="503" spans="1:19" ht="12.5" x14ac:dyDescent="0.25">
      <c r="A503" s="2">
        <f ca="1">IFERROR(__xludf.DUMMYFUNCTION("""COMPUTED_VALUE"""),45021.5468664814)</f>
        <v>45021.546866481403</v>
      </c>
      <c r="B503" s="1" t="str">
        <f ca="1">IFERROR(__xludf.DUMMYFUNCTION("""COMPUTED_VALUE"""),"India")</f>
        <v>India</v>
      </c>
      <c r="C503" s="1">
        <f ca="1">IFERROR(__xludf.DUMMYFUNCTION("""COMPUTED_VALUE"""),110077)</f>
        <v>110077</v>
      </c>
      <c r="D503" s="1" t="str">
        <f ca="1">IFERROR(__xludf.DUMMYFUNCTION("""COMPUTED_VALUE"""),"Female")</f>
        <v>Female</v>
      </c>
      <c r="E503" s="1" t="str">
        <f ca="1">IFERROR(__xludf.DUMMYFUNCTION("""COMPUTED_VALUE"""),"My Parents")</f>
        <v>My Parents</v>
      </c>
      <c r="F503" s="1" t="str">
        <f ca="1">IFERROR(__xludf.DUMMYFUNCTION("""COMPUTED_VALUE"""),"No I would not be pursuing Higher Education outside of India")</f>
        <v>No I would not be pursuing Higher Education outside of India</v>
      </c>
      <c r="G503" s="1" t="str">
        <f ca="1">IFERROR(__xludf.DUMMYFUNCTION("""COMPUTED_VALUE"""),"Will work for 3 years or more")</f>
        <v>Will work for 3 years or more</v>
      </c>
      <c r="H503" s="1" t="str">
        <f ca="1">IFERROR(__xludf.DUMMYFUNCTION("""COMPUTED_VALUE"""),"Yes")</f>
        <v>Yes</v>
      </c>
      <c r="I503" s="1" t="str">
        <f ca="1">IFERROR(__xludf.DUMMYFUNCTION("""COMPUTED_VALUE"""),"Will NOT work for them")</f>
        <v>Will NOT work for them</v>
      </c>
      <c r="J503" s="1">
        <f ca="1">IFERROR(__xludf.DUMMYFUNCTION("""COMPUTED_VALUE"""),5)</f>
        <v>5</v>
      </c>
      <c r="K503" s="1" t="str">
        <f ca="1">IFERROR(__xludf.DUMMYFUNCTION("""COMPUTED_VALUE"""),"Every Day Office Environment")</f>
        <v>Every Day Office Environment</v>
      </c>
      <c r="L503" s="1" t="str">
        <f ca="1">IFERROR(__xludf.DUMMYFUNCTION("""COMPUTED_VALUE"""),"Employer who appreciates learning and enables that environment")</f>
        <v>Employer who appreciates learning and enables that environment</v>
      </c>
      <c r="M50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03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503" s="1" t="str">
        <f ca="1">IFERROR(__xludf.DUMMYFUNCTION("""COMPUTED_VALUE"""),"Manager who sets goal and helps me achieve it")</f>
        <v>Manager who sets goal and helps me achieve it</v>
      </c>
      <c r="P503" s="1" t="str">
        <f ca="1">IFERROR(__xludf.DUMMYFUNCTION("""COMPUTED_VALUE"""),"Work with 2 to 3 people in my team")</f>
        <v>Work with 2 to 3 people in my team</v>
      </c>
      <c r="Q503" s="1" t="str">
        <f ca="1">IFERROR(__xludf.DUMMYFUNCTION("""COMPUTED_VALUE"""),"No")</f>
        <v>No</v>
      </c>
      <c r="R503" s="1" t="str">
        <f ca="1">IFERROR(__xludf.DUMMYFUNCTION("""COMPUTED_VALUE"""),"Will work for 7 years or more")</f>
        <v>Will work for 7 years or more</v>
      </c>
      <c r="S503" s="1"/>
    </row>
    <row r="504" spans="1:19" ht="12.5" x14ac:dyDescent="0.25">
      <c r="A504" s="2">
        <f ca="1">IFERROR(__xludf.DUMMYFUNCTION("""COMPUTED_VALUE"""),45021.5502395833)</f>
        <v>45021.550239583303</v>
      </c>
      <c r="B504" s="1" t="str">
        <f ca="1">IFERROR(__xludf.DUMMYFUNCTION("""COMPUTED_VALUE"""),"India")</f>
        <v>India</v>
      </c>
      <c r="C504" s="1">
        <f ca="1">IFERROR(__xludf.DUMMYFUNCTION("""COMPUTED_VALUE"""),209305)</f>
        <v>209305</v>
      </c>
      <c r="D504" s="1" t="str">
        <f ca="1">IFERROR(__xludf.DUMMYFUNCTION("""COMPUTED_VALUE"""),"Male")</f>
        <v>Male</v>
      </c>
      <c r="E504" s="1" t="str">
        <f ca="1">IFERROR(__xludf.DUMMYFUNCTION("""COMPUTED_VALUE"""),"Social Media like LinkedIn")</f>
        <v>Social Media like LinkedIn</v>
      </c>
      <c r="F504" s="1" t="str">
        <f ca="1">IFERROR(__xludf.DUMMYFUNCTION("""COMPUTED_VALUE"""),"Yes, I will earn and do that")</f>
        <v>Yes, I will earn and do that</v>
      </c>
      <c r="G504" s="1" t="str">
        <f ca="1">IFERROR(__xludf.DUMMYFUNCTION("""COMPUTED_VALUE"""),"This will be hard to do, but if it is the right company I would try")</f>
        <v>This will be hard to do, but if it is the right company I would try</v>
      </c>
      <c r="H504" s="1" t="str">
        <f ca="1">IFERROR(__xludf.DUMMYFUNCTION("""COMPUTED_VALUE"""),"Yes")</f>
        <v>Yes</v>
      </c>
      <c r="I504" s="1" t="str">
        <f ca="1">IFERROR(__xludf.DUMMYFUNCTION("""COMPUTED_VALUE"""),"Will work for them")</f>
        <v>Will work for them</v>
      </c>
      <c r="J504" s="1">
        <f ca="1">IFERROR(__xludf.DUMMYFUNCTION("""COMPUTED_VALUE"""),9)</f>
        <v>9</v>
      </c>
      <c r="K504" s="1" t="str">
        <f ca="1">IFERROR(__xludf.DUMMYFUNCTION("""COMPUTED_VALUE"""),"Fully Remote with Options to travel as and when needed")</f>
        <v>Fully Remote with Options to travel as and when needed</v>
      </c>
      <c r="L5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04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504" s="1" t="str">
        <f ca="1">IFERROR(__xludf.DUMMYFUNCTION("""COMPUTED_VALUE"""),"Build and develop a Team, Design and Develop amazing software, Look deeply into Data and generate insights, Work as a freelancer and do my thing my way")</f>
        <v>Build and develop a Team, Design and Develop amazing software, Look deeply into Data and generate insights, Work as a freelancer and do my thing my way</v>
      </c>
      <c r="O504" s="1" t="str">
        <f ca="1">IFERROR(__xludf.DUMMYFUNCTION("""COMPUTED_VALUE"""),"Manager who sets targets and expects me to achieve it")</f>
        <v>Manager who sets targets and expects me to achieve it</v>
      </c>
      <c r="P504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504" s="1" t="str">
        <f ca="1">IFERROR(__xludf.DUMMYFUNCTION("""COMPUTED_VALUE"""),"No")</f>
        <v>No</v>
      </c>
      <c r="R504" s="1" t="str">
        <f ca="1">IFERROR(__xludf.DUMMYFUNCTION("""COMPUTED_VALUE"""),"This will be hard to do, but if it is the right company I would try")</f>
        <v>This will be hard to do, but if it is the right company I would try</v>
      </c>
      <c r="S504" s="1"/>
    </row>
    <row r="505" spans="1:19" ht="12.5" x14ac:dyDescent="0.25">
      <c r="A505" s="2">
        <f ca="1">IFERROR(__xludf.DUMMYFUNCTION("""COMPUTED_VALUE"""),45021.5505609953)</f>
        <v>45021.550560995303</v>
      </c>
      <c r="B505" s="1" t="str">
        <f ca="1">IFERROR(__xludf.DUMMYFUNCTION("""COMPUTED_VALUE"""),"India")</f>
        <v>India</v>
      </c>
      <c r="C505" s="1">
        <f ca="1">IFERROR(__xludf.DUMMYFUNCTION("""COMPUTED_VALUE"""),400067)</f>
        <v>400067</v>
      </c>
      <c r="D505" s="1" t="str">
        <f ca="1">IFERROR(__xludf.DUMMYFUNCTION("""COMPUTED_VALUE"""),"Male")</f>
        <v>Male</v>
      </c>
      <c r="E505" s="1" t="str">
        <f ca="1">IFERROR(__xludf.DUMMYFUNCTION("""COMPUTED_VALUE"""),"People who have changed the world for better")</f>
        <v>People who have changed the world for better</v>
      </c>
      <c r="F505" s="1" t="str">
        <f ca="1">IFERROR(__xludf.DUMMYFUNCTION("""COMPUTED_VALUE"""),"Yes, I will earn and do that")</f>
        <v>Yes, I will earn and do that</v>
      </c>
      <c r="G505" s="1" t="str">
        <f ca="1">IFERROR(__xludf.DUMMYFUNCTION("""COMPUTED_VALUE"""),"This will be hard to do, but if it is the right company I would try")</f>
        <v>This will be hard to do, but if it is the right company I would try</v>
      </c>
      <c r="H505" s="1" t="str">
        <f ca="1">IFERROR(__xludf.DUMMYFUNCTION("""COMPUTED_VALUE"""),"No")</f>
        <v>No</v>
      </c>
      <c r="I505" s="1" t="str">
        <f ca="1">IFERROR(__xludf.DUMMYFUNCTION("""COMPUTED_VALUE"""),"Will NOT work for them")</f>
        <v>Will NOT work for them</v>
      </c>
      <c r="J505" s="1">
        <f ca="1">IFERROR(__xludf.DUMMYFUNCTION("""COMPUTED_VALUE"""),3)</f>
        <v>3</v>
      </c>
      <c r="K505" s="1" t="str">
        <f ca="1">IFERROR(__xludf.DUMMYFUNCTION("""COMPUTED_VALUE"""),"Fully Remote with Options to travel as and when needed")</f>
        <v>Fully Remote with Options to travel as and when needed</v>
      </c>
      <c r="L505" s="1" t="str">
        <f ca="1">IFERROR(__xludf.DUMMYFUNCTION("""COMPUTED_VALUE"""),"Employer who rewards learning and enables that environment")</f>
        <v>Employer who rewards learning and enables that environment</v>
      </c>
      <c r="M50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505" s="1" t="str">
        <f ca="1">IFERROR(__xludf.DUMMYFUNCTION("""COMPUTED_VALUE"""),"Teaching in any of the institutes/colleges/online or offline, Build and develop a Team, Become a content Creator in some platform, Entrepreneur or Start Up")</f>
        <v>Teaching in any of the institutes/colleges/online or offline, Build and develop a Team, Become a content Creator in some platform, Entrepreneur or Start Up</v>
      </c>
      <c r="O505" s="1" t="str">
        <f ca="1">IFERROR(__xludf.DUMMYFUNCTION("""COMPUTED_VALUE"""),"Manager who sets goal and helps me achieve it")</f>
        <v>Manager who sets goal and helps me achieve it</v>
      </c>
      <c r="P505" s="1" t="str">
        <f ca="1">IFERROR(__xludf.DUMMYFUNCTION("""COMPUTED_VALUE"""),"Work with 5 to 6 people in my team")</f>
        <v>Work with 5 to 6 people in my team</v>
      </c>
      <c r="Q505" s="1" t="str">
        <f ca="1">IFERROR(__xludf.DUMMYFUNCTION("""COMPUTED_VALUE"""),"Yes, I Understand this is gonna happen everywhere")</f>
        <v>Yes, I Understand this is gonna happen everywhere</v>
      </c>
      <c r="R505" s="1" t="str">
        <f ca="1">IFERROR(__xludf.DUMMYFUNCTION("""COMPUTED_VALUE"""),"This will be hard to do, but if it is the right company I would try")</f>
        <v>This will be hard to do, but if it is the right company I would try</v>
      </c>
      <c r="S505" s="1"/>
    </row>
    <row r="506" spans="1:19" ht="12.5" x14ac:dyDescent="0.25">
      <c r="A506" s="2">
        <f ca="1">IFERROR(__xludf.DUMMYFUNCTION("""COMPUTED_VALUE"""),45021.5517604398)</f>
        <v>45021.551760439797</v>
      </c>
      <c r="B506" s="1" t="str">
        <f ca="1">IFERROR(__xludf.DUMMYFUNCTION("""COMPUTED_VALUE"""),"India")</f>
        <v>India</v>
      </c>
      <c r="C506" s="1">
        <f ca="1">IFERROR(__xludf.DUMMYFUNCTION("""COMPUTED_VALUE"""),249407)</f>
        <v>249407</v>
      </c>
      <c r="D506" s="1" t="str">
        <f ca="1">IFERROR(__xludf.DUMMYFUNCTION("""COMPUTED_VALUE"""),"Male")</f>
        <v>Male</v>
      </c>
      <c r="E506" s="1" t="str">
        <f ca="1">IFERROR(__xludf.DUMMYFUNCTION("""COMPUTED_VALUE"""),"People who have changed the world for better")</f>
        <v>People who have changed the world for better</v>
      </c>
      <c r="F506" s="1" t="str">
        <f ca="1">IFERROR(__xludf.DUMMYFUNCTION("""COMPUTED_VALUE"""),"No, But if someone could bare the cost I will")</f>
        <v>No, But if someone could bare the cost I will</v>
      </c>
      <c r="G506" s="1" t="str">
        <f ca="1">IFERROR(__xludf.DUMMYFUNCTION("""COMPUTED_VALUE"""),"This will be hard to do, but if it is the right company I would try")</f>
        <v>This will be hard to do, but if it is the right company I would try</v>
      </c>
      <c r="H506" s="1" t="str">
        <f ca="1">IFERROR(__xludf.DUMMYFUNCTION("""COMPUTED_VALUE"""),"No")</f>
        <v>No</v>
      </c>
      <c r="I506" s="1" t="str">
        <f ca="1">IFERROR(__xludf.DUMMYFUNCTION("""COMPUTED_VALUE"""),"Will NOT work for them")</f>
        <v>Will NOT work for them</v>
      </c>
      <c r="J506" s="1">
        <f ca="1">IFERROR(__xludf.DUMMYFUNCTION("""COMPUTED_VALUE"""),1)</f>
        <v>1</v>
      </c>
      <c r="K506" s="1" t="str">
        <f ca="1">IFERROR(__xludf.DUMMYFUNCTION("""COMPUTED_VALUE"""),"Fully Remote with Options to travel as and when needed")</f>
        <v>Fully Remote with Options to travel as and when needed</v>
      </c>
      <c r="L5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0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06" s="1" t="str">
        <f ca="1">IFERROR(__xludf.DUMMYFUNCTION("""COMPUTED_VALUE"""),"Design and Creative strategy in any company, Teaching in any of the institutes/colleges/online or offline, Manage and drive End-to-End Projects or Products, Entrepreneur or Start Up")</f>
        <v>Design and Creative strategy in any company, Teaching in any of the institutes/colleges/online or offline, Manage and drive End-to-End Projects or Products, Entrepreneur or Start Up</v>
      </c>
      <c r="O506" s="1" t="str">
        <f ca="1">IFERROR(__xludf.DUMMYFUNCTION("""COMPUTED_VALUE"""),"Manager who sets targets and expects me to achieve it")</f>
        <v>Manager who sets targets and expects me to achieve it</v>
      </c>
      <c r="P506" s="1" t="str">
        <f ca="1">IFERROR(__xludf.DUMMYFUNCTION("""COMPUTED_VALUE"""),"Work with more than 10 people in my team")</f>
        <v>Work with more than 10 people in my team</v>
      </c>
      <c r="Q506" s="1" t="str">
        <f ca="1">IFERROR(__xludf.DUMMYFUNCTION("""COMPUTED_VALUE"""),"Yes, I Understand this is gonna happen everywhere")</f>
        <v>Yes, I Understand this is gonna happen everywhere</v>
      </c>
      <c r="R506" s="1" t="str">
        <f ca="1">IFERROR(__xludf.DUMMYFUNCTION("""COMPUTED_VALUE"""),"No way")</f>
        <v>No way</v>
      </c>
      <c r="S506" s="1"/>
    </row>
    <row r="507" spans="1:19" ht="12.5" x14ac:dyDescent="0.25">
      <c r="A507" s="2">
        <f ca="1">IFERROR(__xludf.DUMMYFUNCTION("""COMPUTED_VALUE"""),45021.5536518981)</f>
        <v>45021.553651898103</v>
      </c>
      <c r="B507" s="1" t="str">
        <f ca="1">IFERROR(__xludf.DUMMYFUNCTION("""COMPUTED_VALUE"""),"India")</f>
        <v>India</v>
      </c>
      <c r="C507" s="1">
        <f ca="1">IFERROR(__xludf.DUMMYFUNCTION("""COMPUTED_VALUE"""),500060)</f>
        <v>500060</v>
      </c>
      <c r="D507" s="1" t="str">
        <f ca="1">IFERROR(__xludf.DUMMYFUNCTION("""COMPUTED_VALUE"""),"Male")</f>
        <v>Male</v>
      </c>
      <c r="E507" s="1" t="str">
        <f ca="1">IFERROR(__xludf.DUMMYFUNCTION("""COMPUTED_VALUE"""),"Influencers who had successful careers")</f>
        <v>Influencers who had successful careers</v>
      </c>
      <c r="F507" s="1" t="str">
        <f ca="1">IFERROR(__xludf.DUMMYFUNCTION("""COMPUTED_VALUE"""),"Yes, I will earn and do that")</f>
        <v>Yes, I will earn and do that</v>
      </c>
      <c r="G507" s="1" t="str">
        <f ca="1">IFERROR(__xludf.DUMMYFUNCTION("""COMPUTED_VALUE"""),"Will work for 3 years or more")</f>
        <v>Will work for 3 years or more</v>
      </c>
      <c r="H507" s="1" t="str">
        <f ca="1">IFERROR(__xludf.DUMMYFUNCTION("""COMPUTED_VALUE"""),"No")</f>
        <v>No</v>
      </c>
      <c r="I507" s="1" t="str">
        <f ca="1">IFERROR(__xludf.DUMMYFUNCTION("""COMPUTED_VALUE"""),"Will NOT work for them")</f>
        <v>Will NOT work for them</v>
      </c>
      <c r="J507" s="1">
        <f ca="1">IFERROR(__xludf.DUMMYFUNCTION("""COMPUTED_VALUE"""),5)</f>
        <v>5</v>
      </c>
      <c r="K507" s="1" t="str">
        <f ca="1">IFERROR(__xludf.DUMMYFUNCTION("""COMPUTED_VALUE"""),"Hybrid Working Environment with less than 3 days a month at office")</f>
        <v>Hybrid Working Environment with less than 3 days a month at office</v>
      </c>
      <c r="L5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0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07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507" s="1" t="str">
        <f ca="1">IFERROR(__xludf.DUMMYFUNCTION("""COMPUTED_VALUE"""),"Manager who explains what is expected, sets a goal and helps achieve it")</f>
        <v>Manager who explains what is expected, sets a goal and helps achieve it</v>
      </c>
      <c r="P50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507" s="1" t="str">
        <f ca="1">IFERROR(__xludf.DUMMYFUNCTION("""COMPUTED_VALUE"""),"Yes")</f>
        <v>Yes</v>
      </c>
      <c r="R507" s="1" t="str">
        <f ca="1">IFERROR(__xludf.DUMMYFUNCTION("""COMPUTED_VALUE"""),"This will be hard to do, but if it is the right company I would try")</f>
        <v>This will be hard to do, but if it is the right company I would try</v>
      </c>
      <c r="S507" s="1"/>
    </row>
    <row r="508" spans="1:19" ht="12.5" x14ac:dyDescent="0.25">
      <c r="A508" s="2">
        <f ca="1">IFERROR(__xludf.DUMMYFUNCTION("""COMPUTED_VALUE"""),45021.5548445486)</f>
        <v>45021.554844548598</v>
      </c>
      <c r="B508" s="1" t="str">
        <f ca="1">IFERROR(__xludf.DUMMYFUNCTION("""COMPUTED_VALUE"""),"India")</f>
        <v>India</v>
      </c>
      <c r="C508" s="1">
        <f ca="1">IFERROR(__xludf.DUMMYFUNCTION("""COMPUTED_VALUE"""),500019)</f>
        <v>500019</v>
      </c>
      <c r="D508" s="1" t="str">
        <f ca="1">IFERROR(__xludf.DUMMYFUNCTION("""COMPUTED_VALUE"""),"Female")</f>
        <v>Female</v>
      </c>
      <c r="E508" s="1" t="str">
        <f ca="1">IFERROR(__xludf.DUMMYFUNCTION("""COMPUTED_VALUE"""),"My Parents")</f>
        <v>My Parents</v>
      </c>
      <c r="F508" s="1" t="str">
        <f ca="1">IFERROR(__xludf.DUMMYFUNCTION("""COMPUTED_VALUE"""),"Yes, I will earn and do that")</f>
        <v>Yes, I will earn and do that</v>
      </c>
      <c r="G508" s="1" t="str">
        <f ca="1">IFERROR(__xludf.DUMMYFUNCTION("""COMPUTED_VALUE"""),"This will be hard to do, but if it is the right company I would try")</f>
        <v>This will be hard to do, but if it is the right company I would try</v>
      </c>
      <c r="H508" s="1" t="str">
        <f ca="1">IFERROR(__xludf.DUMMYFUNCTION("""COMPUTED_VALUE"""),"No")</f>
        <v>No</v>
      </c>
      <c r="I508" s="1" t="str">
        <f ca="1">IFERROR(__xludf.DUMMYFUNCTION("""COMPUTED_VALUE"""),"Will NOT work for them")</f>
        <v>Will NOT work for them</v>
      </c>
      <c r="J508" s="1">
        <f ca="1">IFERROR(__xludf.DUMMYFUNCTION("""COMPUTED_VALUE"""),5)</f>
        <v>5</v>
      </c>
      <c r="K508" s="1" t="str">
        <f ca="1">IFERROR(__xludf.DUMMYFUNCTION("""COMPUTED_VALUE"""),"Hybrid Working Environment with more than 15 days a month at office")</f>
        <v>Hybrid Working Environment with more than 15 days a month at office</v>
      </c>
      <c r="L508" s="1" t="str">
        <f ca="1">IFERROR(__xludf.DUMMYFUNCTION("""COMPUTED_VALUE"""),"Employer who appreciates learning and enables that environment")</f>
        <v>Employer who appreciates learning and enables that environment</v>
      </c>
      <c r="M50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508" s="1" t="str">
        <f ca="1">IFERROR(__xludf.DUMMYFUNCTION("""COMPUTED_VALUE"""),"Design and Develop amazing software, Look deeply into Data and generate insights, Work as a freelancer and do my thing my way, An Artificial Intelligence Specialist / Talking to Robots")</f>
        <v>Design and Develop amazing software, Look deeply into Data and generate insights, Work as a freelancer and do my thing my way, An Artificial Intelligence Specialist / Talking to Robots</v>
      </c>
      <c r="O508" s="1" t="str">
        <f ca="1">IFERROR(__xludf.DUMMYFUNCTION("""COMPUTED_VALUE"""),"Manager who explains what is expected, sets a goal and helps achieve it")</f>
        <v>Manager who explains what is expected, sets a goal and helps achieve it</v>
      </c>
      <c r="P50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508" s="1" t="str">
        <f ca="1">IFERROR(__xludf.DUMMYFUNCTION("""COMPUTED_VALUE"""),"Yes, I Understand this is gonna happen everywhere")</f>
        <v>Yes, I Understand this is gonna happen everywhere</v>
      </c>
      <c r="R508" s="1" t="str">
        <f ca="1">IFERROR(__xludf.DUMMYFUNCTION("""COMPUTED_VALUE"""),"This will be hard to do, but if it is the right company I would try")</f>
        <v>This will be hard to do, but if it is the right company I would try</v>
      </c>
      <c r="S508" s="1"/>
    </row>
    <row r="509" spans="1:19" ht="12.5" x14ac:dyDescent="0.25">
      <c r="A509" s="2">
        <f ca="1">IFERROR(__xludf.DUMMYFUNCTION("""COMPUTED_VALUE"""),45021.5572697453)</f>
        <v>45021.557269745303</v>
      </c>
      <c r="B509" s="1" t="str">
        <f ca="1">IFERROR(__xludf.DUMMYFUNCTION("""COMPUTED_VALUE"""),"India")</f>
        <v>India</v>
      </c>
      <c r="C509" s="1">
        <f ca="1">IFERROR(__xludf.DUMMYFUNCTION("""COMPUTED_VALUE"""),509375)</f>
        <v>509375</v>
      </c>
      <c r="D509" s="1" t="str">
        <f ca="1">IFERROR(__xludf.DUMMYFUNCTION("""COMPUTED_VALUE"""),"Female")</f>
        <v>Female</v>
      </c>
      <c r="E509" s="1" t="str">
        <f ca="1">IFERROR(__xludf.DUMMYFUNCTION("""COMPUTED_VALUE"""),"Influencers who had successful careers")</f>
        <v>Influencers who had successful careers</v>
      </c>
      <c r="F509" s="1" t="str">
        <f ca="1">IFERROR(__xludf.DUMMYFUNCTION("""COMPUTED_VALUE"""),"No I would not be pursuing Higher Education outside of India")</f>
        <v>No I would not be pursuing Higher Education outside of India</v>
      </c>
      <c r="G509" s="1" t="str">
        <f ca="1">IFERROR(__xludf.DUMMYFUNCTION("""COMPUTED_VALUE"""),"This will be hard to do, but if it is the right company I would try")</f>
        <v>This will be hard to do, but if it is the right company I would try</v>
      </c>
      <c r="H509" s="1" t="str">
        <f ca="1">IFERROR(__xludf.DUMMYFUNCTION("""COMPUTED_VALUE"""),"Yes")</f>
        <v>Yes</v>
      </c>
      <c r="I509" s="1" t="str">
        <f ca="1">IFERROR(__xludf.DUMMYFUNCTION("""COMPUTED_VALUE"""),"Will NOT work for them")</f>
        <v>Will NOT work for them</v>
      </c>
      <c r="J509" s="1">
        <f ca="1">IFERROR(__xludf.DUMMYFUNCTION("""COMPUTED_VALUE"""),6)</f>
        <v>6</v>
      </c>
      <c r="K509" s="1" t="str">
        <f ca="1">IFERROR(__xludf.DUMMYFUNCTION("""COMPUTED_VALUE"""),"Fully Remote with Options to travel as and when needed")</f>
        <v>Fully Remote with Options to travel as and when needed</v>
      </c>
      <c r="L509" s="1" t="str">
        <f ca="1">IFERROR(__xludf.DUMMYFUNCTION("""COMPUTED_VALUE"""),"Employer who appreciates learning and enables that environment")</f>
        <v>Employer who appreciates learning and enables that environment</v>
      </c>
      <c r="M50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509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509" s="1" t="str">
        <f ca="1">IFERROR(__xludf.DUMMYFUNCTION("""COMPUTED_VALUE"""),"Manager who explains what is expected, sets a goal and helps achieve it")</f>
        <v>Manager who explains what is expected, sets a goal and helps achieve it</v>
      </c>
      <c r="P509" s="1" t="str">
        <f ca="1">IFERROR(__xludf.DUMMYFUNCTION("""COMPUTED_VALUE"""),"Work with 5 to 6 people in my team")</f>
        <v>Work with 5 to 6 people in my team</v>
      </c>
      <c r="Q509" s="1" t="str">
        <f ca="1">IFERROR(__xludf.DUMMYFUNCTION("""COMPUTED_VALUE"""),"No")</f>
        <v>No</v>
      </c>
      <c r="R509" s="1" t="str">
        <f ca="1">IFERROR(__xludf.DUMMYFUNCTION("""COMPUTED_VALUE"""),"No way")</f>
        <v>No way</v>
      </c>
      <c r="S509" s="1"/>
    </row>
    <row r="510" spans="1:19" ht="12.5" x14ac:dyDescent="0.25">
      <c r="A510" s="2">
        <f ca="1">IFERROR(__xludf.DUMMYFUNCTION("""COMPUTED_VALUE"""),45021.5612691087)</f>
        <v>45021.561269108701</v>
      </c>
      <c r="B510" s="1" t="str">
        <f ca="1">IFERROR(__xludf.DUMMYFUNCTION("""COMPUTED_VALUE"""),"India")</f>
        <v>India</v>
      </c>
      <c r="C510" s="1">
        <f ca="1">IFERROR(__xludf.DUMMYFUNCTION("""COMPUTED_VALUE"""),641659)</f>
        <v>641659</v>
      </c>
      <c r="D510" s="1" t="str">
        <f ca="1">IFERROR(__xludf.DUMMYFUNCTION("""COMPUTED_VALUE"""),"Male")</f>
        <v>Male</v>
      </c>
      <c r="E510" s="1" t="str">
        <f ca="1">IFERROR(__xludf.DUMMYFUNCTION("""COMPUTED_VALUE"""),"Social Media like LinkedIn")</f>
        <v>Social Media like LinkedIn</v>
      </c>
      <c r="F510" s="1" t="str">
        <f ca="1">IFERROR(__xludf.DUMMYFUNCTION("""COMPUTED_VALUE"""),"No I would not be pursuing Higher Education outside of India")</f>
        <v>No I would not be pursuing Higher Education outside of India</v>
      </c>
      <c r="G510" s="1" t="str">
        <f ca="1">IFERROR(__xludf.DUMMYFUNCTION("""COMPUTED_VALUE"""),"This will be hard to do, but if it is the right company I would try")</f>
        <v>This will be hard to do, but if it is the right company I would try</v>
      </c>
      <c r="H510" s="1" t="str">
        <f ca="1">IFERROR(__xludf.DUMMYFUNCTION("""COMPUTED_VALUE"""),"No")</f>
        <v>No</v>
      </c>
      <c r="I510" s="1" t="str">
        <f ca="1">IFERROR(__xludf.DUMMYFUNCTION("""COMPUTED_VALUE"""),"Will NOT work for them")</f>
        <v>Will NOT work for them</v>
      </c>
      <c r="J510" s="1">
        <f ca="1">IFERROR(__xludf.DUMMYFUNCTION("""COMPUTED_VALUE"""),7)</f>
        <v>7</v>
      </c>
      <c r="K510" s="1" t="str">
        <f ca="1">IFERROR(__xludf.DUMMYFUNCTION("""COMPUTED_VALUE"""),"Fully Remote with Options to travel as and when needed")</f>
        <v>Fully Remote with Options to travel as and when needed</v>
      </c>
      <c r="L5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10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510" s="1" t="str">
        <f ca="1">IFERROR(__xludf.DUMMYFUNCTION("""COMPUTED_VALUE"""),"Work as a freelancer and do my thing my way, Become a content Creator in some platform, Entrepreneur or Start Up, I Want to sell things/Sales")</f>
        <v>Work as a freelancer and do my thing my way, Become a content Creator in some platform, Entrepreneur or Start Up, I Want to sell things/Sales</v>
      </c>
      <c r="O510" s="1" t="str">
        <f ca="1">IFERROR(__xludf.DUMMYFUNCTION("""COMPUTED_VALUE"""),"Manager who explains what is expected, sets a goal and helps achieve it")</f>
        <v>Manager who explains what is expected, sets a goal and helps achieve it</v>
      </c>
      <c r="P51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510" s="1" t="str">
        <f ca="1">IFERROR(__xludf.DUMMYFUNCTION("""COMPUTED_VALUE"""),"Yes, I Understand this is gonna happen everywhere")</f>
        <v>Yes, I Understand this is gonna happen everywhere</v>
      </c>
      <c r="R510" s="1" t="str">
        <f ca="1">IFERROR(__xludf.DUMMYFUNCTION("""COMPUTED_VALUE"""),"No way")</f>
        <v>No way</v>
      </c>
      <c r="S510" s="1"/>
    </row>
    <row r="511" spans="1:19" ht="12.5" x14ac:dyDescent="0.25">
      <c r="A511" s="2">
        <f ca="1">IFERROR(__xludf.DUMMYFUNCTION("""COMPUTED_VALUE"""),45021.5650900115)</f>
        <v>45021.5650900115</v>
      </c>
      <c r="B511" s="1" t="str">
        <f ca="1">IFERROR(__xludf.DUMMYFUNCTION("""COMPUTED_VALUE"""),"India")</f>
        <v>India</v>
      </c>
      <c r="C511" s="1">
        <f ca="1">IFERROR(__xludf.DUMMYFUNCTION("""COMPUTED_VALUE"""),50006)</f>
        <v>50006</v>
      </c>
      <c r="D511" s="1" t="str">
        <f ca="1">IFERROR(__xludf.DUMMYFUNCTION("""COMPUTED_VALUE"""),"Male")</f>
        <v>Male</v>
      </c>
      <c r="E511" s="1" t="str">
        <f ca="1">IFERROR(__xludf.DUMMYFUNCTION("""COMPUTED_VALUE"""),"Social Media like LinkedIn")</f>
        <v>Social Media like LinkedIn</v>
      </c>
      <c r="F511" s="1" t="str">
        <f ca="1">IFERROR(__xludf.DUMMYFUNCTION("""COMPUTED_VALUE"""),"No, But if someone could bare the cost I will")</f>
        <v>No, But if someone could bare the cost I will</v>
      </c>
      <c r="G511" s="1" t="str">
        <f ca="1">IFERROR(__xludf.DUMMYFUNCTION("""COMPUTED_VALUE"""),"Will work for 3 years or more")</f>
        <v>Will work for 3 years or more</v>
      </c>
      <c r="H511" s="1" t="str">
        <f ca="1">IFERROR(__xludf.DUMMYFUNCTION("""COMPUTED_VALUE"""),"Yes")</f>
        <v>Yes</v>
      </c>
      <c r="I511" s="1" t="str">
        <f ca="1">IFERROR(__xludf.DUMMYFUNCTION("""COMPUTED_VALUE"""),"Will work for them")</f>
        <v>Will work for them</v>
      </c>
      <c r="J511" s="1">
        <f ca="1">IFERROR(__xludf.DUMMYFUNCTION("""COMPUTED_VALUE"""),4)</f>
        <v>4</v>
      </c>
      <c r="K511" s="1" t="str">
        <f ca="1">IFERROR(__xludf.DUMMYFUNCTION("""COMPUTED_VALUE"""),"Hybrid Working Environment with less than 3 days a month at office")</f>
        <v>Hybrid Working Environment with less than 3 days a month at office</v>
      </c>
      <c r="L511" s="1" t="str">
        <f ca="1">IFERROR(__xludf.DUMMYFUNCTION("""COMPUTED_VALUE"""),"Employer who rewards learning and enables that environment")</f>
        <v>Employer who rewards learning and enables that environment</v>
      </c>
      <c r="M51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511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511" s="1" t="str">
        <f ca="1">IFERROR(__xludf.DUMMYFUNCTION("""COMPUTED_VALUE"""),"Manager who sets targets and expects me to achieve it")</f>
        <v>Manager who sets targets and expects me to achieve it</v>
      </c>
      <c r="P511" s="1" t="str">
        <f ca="1">IFERROR(__xludf.DUMMYFUNCTION("""COMPUTED_VALUE"""),"Work with 5 to 6 people in my team")</f>
        <v>Work with 5 to 6 people in my team</v>
      </c>
      <c r="Q511" s="1" t="str">
        <f ca="1">IFERROR(__xludf.DUMMYFUNCTION("""COMPUTED_VALUE"""),"Yes")</f>
        <v>Yes</v>
      </c>
      <c r="R511" s="1" t="str">
        <f ca="1">IFERROR(__xludf.DUMMYFUNCTION("""COMPUTED_VALUE"""),"No way")</f>
        <v>No way</v>
      </c>
      <c r="S511" s="1"/>
    </row>
    <row r="512" spans="1:19" ht="12.5" x14ac:dyDescent="0.25">
      <c r="A512" s="2">
        <f ca="1">IFERROR(__xludf.DUMMYFUNCTION("""COMPUTED_VALUE"""),45021.5662572338)</f>
        <v>45021.566257233797</v>
      </c>
      <c r="B512" s="1" t="str">
        <f ca="1">IFERROR(__xludf.DUMMYFUNCTION("""COMPUTED_VALUE"""),"India")</f>
        <v>India</v>
      </c>
      <c r="C512" s="1">
        <f ca="1">IFERROR(__xludf.DUMMYFUNCTION("""COMPUTED_VALUE"""),110059)</f>
        <v>110059</v>
      </c>
      <c r="D512" s="1" t="str">
        <f ca="1">IFERROR(__xludf.DUMMYFUNCTION("""COMPUTED_VALUE"""),"Female")</f>
        <v>Female</v>
      </c>
      <c r="E512" s="1" t="str">
        <f ca="1">IFERROR(__xludf.DUMMYFUNCTION("""COMPUTED_VALUE"""),"My Parents")</f>
        <v>My Parents</v>
      </c>
      <c r="F512" s="1" t="str">
        <f ca="1">IFERROR(__xludf.DUMMYFUNCTION("""COMPUTED_VALUE"""),"No I would not be pursuing Higher Education outside of India")</f>
        <v>No I would not be pursuing Higher Education outside of India</v>
      </c>
      <c r="G512" s="1" t="str">
        <f ca="1">IFERROR(__xludf.DUMMYFUNCTION("""COMPUTED_VALUE"""),"Will work for 3 years or more")</f>
        <v>Will work for 3 years or more</v>
      </c>
      <c r="H512" s="1" t="str">
        <f ca="1">IFERROR(__xludf.DUMMYFUNCTION("""COMPUTED_VALUE"""),"Yes")</f>
        <v>Yes</v>
      </c>
      <c r="I512" s="1" t="str">
        <f ca="1">IFERROR(__xludf.DUMMYFUNCTION("""COMPUTED_VALUE"""),"Will NOT work for them")</f>
        <v>Will NOT work for them</v>
      </c>
      <c r="J512" s="1">
        <f ca="1">IFERROR(__xludf.DUMMYFUNCTION("""COMPUTED_VALUE"""),6)</f>
        <v>6</v>
      </c>
      <c r="K512" s="1" t="str">
        <f ca="1">IFERROR(__xludf.DUMMYFUNCTION("""COMPUTED_VALUE"""),"Fully Remote with Options to travel as and when needed")</f>
        <v>Fully Remote with Options to travel as and when needed</v>
      </c>
      <c r="L5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12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512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512" s="1" t="str">
        <f ca="1">IFERROR(__xludf.DUMMYFUNCTION("""COMPUTED_VALUE"""),"Manager who explains what is expected, sets a goal and helps achieve it")</f>
        <v>Manager who explains what is expected, sets a goal and helps achieve it</v>
      </c>
      <c r="P512" s="1" t="str">
        <f ca="1">IFERROR(__xludf.DUMMYFUNCTION("""COMPUTED_VALUE"""),"Work with 2 to 3 people in my team")</f>
        <v>Work with 2 to 3 people in my team</v>
      </c>
      <c r="Q512" s="1" t="str">
        <f ca="1">IFERROR(__xludf.DUMMYFUNCTION("""COMPUTED_VALUE"""),"Yes, I Understand this is gonna happen everywhere")</f>
        <v>Yes, I Understand this is gonna happen everywhere</v>
      </c>
      <c r="R512" s="1" t="str">
        <f ca="1">IFERROR(__xludf.DUMMYFUNCTION("""COMPUTED_VALUE"""),"This will be hard to do, but if it is the right company I would try")</f>
        <v>This will be hard to do, but if it is the right company I would try</v>
      </c>
      <c r="S512" s="1"/>
    </row>
    <row r="513" spans="1:19" ht="12.5" x14ac:dyDescent="0.25">
      <c r="A513" s="2">
        <f ca="1">IFERROR(__xludf.DUMMYFUNCTION("""COMPUTED_VALUE"""),45021.5675880092)</f>
        <v>45021.567588009202</v>
      </c>
      <c r="B513" s="1" t="str">
        <f ca="1">IFERROR(__xludf.DUMMYFUNCTION("""COMPUTED_VALUE"""),"India")</f>
        <v>India</v>
      </c>
      <c r="C513" s="1">
        <f ca="1">IFERROR(__xludf.DUMMYFUNCTION("""COMPUTED_VALUE"""),201009)</f>
        <v>201009</v>
      </c>
      <c r="D513" s="1" t="str">
        <f ca="1">IFERROR(__xludf.DUMMYFUNCTION("""COMPUTED_VALUE"""),"Male")</f>
        <v>Male</v>
      </c>
      <c r="E513" s="1" t="str">
        <f ca="1">IFERROR(__xludf.DUMMYFUNCTION("""COMPUTED_VALUE"""),"People who have changed the world for better")</f>
        <v>People who have changed the world for better</v>
      </c>
      <c r="F513" s="1" t="str">
        <f ca="1">IFERROR(__xludf.DUMMYFUNCTION("""COMPUTED_VALUE"""),"Yes, I will earn and do that")</f>
        <v>Yes, I will earn and do that</v>
      </c>
      <c r="G513" s="1" t="str">
        <f ca="1">IFERROR(__xludf.DUMMYFUNCTION("""COMPUTED_VALUE"""),"Will work for 3 years or more")</f>
        <v>Will work for 3 years or more</v>
      </c>
      <c r="H513" s="1" t="str">
        <f ca="1">IFERROR(__xludf.DUMMYFUNCTION("""COMPUTED_VALUE"""),"Yes")</f>
        <v>Yes</v>
      </c>
      <c r="I513" s="1" t="str">
        <f ca="1">IFERROR(__xludf.DUMMYFUNCTION("""COMPUTED_VALUE"""),"Will work for them")</f>
        <v>Will work for them</v>
      </c>
      <c r="J513" s="1">
        <f ca="1">IFERROR(__xludf.DUMMYFUNCTION("""COMPUTED_VALUE"""),9)</f>
        <v>9</v>
      </c>
      <c r="K513" s="1" t="str">
        <f ca="1">IFERROR(__xludf.DUMMYFUNCTION("""COMPUTED_VALUE"""),"Hybrid Working Environment with more than 15 days a month at office")</f>
        <v>Hybrid Working Environment with more than 15 days a month at office</v>
      </c>
      <c r="L5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13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513" s="1" t="str">
        <f ca="1">IFERROR(__xludf.DUMMYFUNCTION("""COMPUTED_VALUE"""),"Manage and drive End-to-End Projects or Products, Design and Develop amazing software, Entrepreneur or Start Up, An Artificial Intelligence Specialist / Talking to Robots")</f>
        <v>Manage and drive End-to-End Projects or Products, Design and Develop amazing software, Entrepreneur or Start Up, An Artificial Intelligence Specialist / Talking to Robots</v>
      </c>
      <c r="O513" s="1" t="str">
        <f ca="1">IFERROR(__xludf.DUMMYFUNCTION("""COMPUTED_VALUE"""),"Manager who explains what is expected, sets a goal and helps achieve it")</f>
        <v>Manager who explains what is expected, sets a goal and helps achieve it</v>
      </c>
      <c r="P513" s="1" t="str">
        <f ca="1">IFERROR(__xludf.DUMMYFUNCTION("""COMPUTED_VALUE"""),"Work alone, Work with 2 to 3 people in my team, Work with more than 10 people in my team")</f>
        <v>Work alone, Work with 2 to 3 people in my team, Work with more than 10 people in my team</v>
      </c>
      <c r="Q513" s="1" t="str">
        <f ca="1">IFERROR(__xludf.DUMMYFUNCTION("""COMPUTED_VALUE"""),"Yes, I Understand this is gonna happen everywhere")</f>
        <v>Yes, I Understand this is gonna happen everywhere</v>
      </c>
      <c r="R513" s="1" t="str">
        <f ca="1">IFERROR(__xludf.DUMMYFUNCTION("""COMPUTED_VALUE"""),"This will be hard to do, but if it is the right company I would try")</f>
        <v>This will be hard to do, but if it is the right company I would try</v>
      </c>
      <c r="S513" s="1"/>
    </row>
    <row r="514" spans="1:19" ht="12.5" x14ac:dyDescent="0.25">
      <c r="A514" s="2">
        <f ca="1">IFERROR(__xludf.DUMMYFUNCTION("""COMPUTED_VALUE"""),45021.5700628935)</f>
        <v>45021.570062893501</v>
      </c>
      <c r="B514" s="1" t="str">
        <f ca="1">IFERROR(__xludf.DUMMYFUNCTION("""COMPUTED_VALUE"""),"India")</f>
        <v>India</v>
      </c>
      <c r="C514" s="1">
        <f ca="1">IFERROR(__xludf.DUMMYFUNCTION("""COMPUTED_VALUE"""),517101)</f>
        <v>517101</v>
      </c>
      <c r="D514" s="1" t="str">
        <f ca="1">IFERROR(__xludf.DUMMYFUNCTION("""COMPUTED_VALUE"""),"Male")</f>
        <v>Male</v>
      </c>
      <c r="E514" s="1" t="str">
        <f ca="1">IFERROR(__xludf.DUMMYFUNCTION("""COMPUTED_VALUE"""),"Social Media like LinkedIn")</f>
        <v>Social Media like LinkedIn</v>
      </c>
      <c r="F514" s="1" t="str">
        <f ca="1">IFERROR(__xludf.DUMMYFUNCTION("""COMPUTED_VALUE"""),"No I would not be pursuing Higher Education outside of India")</f>
        <v>No I would not be pursuing Higher Education outside of India</v>
      </c>
      <c r="G514" s="1" t="str">
        <f ca="1">IFERROR(__xludf.DUMMYFUNCTION("""COMPUTED_VALUE"""),"This will be hard to do, but if it is the right company I would try")</f>
        <v>This will be hard to do, but if it is the right company I would try</v>
      </c>
      <c r="H514" s="1" t="str">
        <f ca="1">IFERROR(__xludf.DUMMYFUNCTION("""COMPUTED_VALUE"""),"No")</f>
        <v>No</v>
      </c>
      <c r="I514" s="1" t="str">
        <f ca="1">IFERROR(__xludf.DUMMYFUNCTION("""COMPUTED_VALUE"""),"Will NOT work for them")</f>
        <v>Will NOT work for them</v>
      </c>
      <c r="J514" s="1">
        <f ca="1">IFERROR(__xludf.DUMMYFUNCTION("""COMPUTED_VALUE"""),2)</f>
        <v>2</v>
      </c>
      <c r="K514" s="1" t="str">
        <f ca="1">IFERROR(__xludf.DUMMYFUNCTION("""COMPUTED_VALUE"""),"Hybrid Working Environment with more than 15 days a month at office")</f>
        <v>Hybrid Working Environment with more than 15 days a month at office</v>
      </c>
      <c r="L5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1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14" s="1" t="str">
        <f ca="1">IFERROR(__xludf.DUMMYFUNCTION("""COMPUTED_VALUE"""),"Design and Creative strategy in any company, Build and develop a Team, Look deeply into Data and generate insights, Entrepreneur or Start Up")</f>
        <v>Design and Creative strategy in any company, Build and develop a Team, Look deeply into Data and generate insights, Entrepreneur or Start Up</v>
      </c>
      <c r="O514" s="1" t="str">
        <f ca="1">IFERROR(__xludf.DUMMYFUNCTION("""COMPUTED_VALUE"""),"Manager who explains what is expected, sets a goal and helps achieve it")</f>
        <v>Manager who explains what is expected, sets a goal and helps achieve it</v>
      </c>
      <c r="P51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514" s="1" t="str">
        <f ca="1">IFERROR(__xludf.DUMMYFUNCTION("""COMPUTED_VALUE"""),"Yes")</f>
        <v>Yes</v>
      </c>
      <c r="R514" s="1" t="str">
        <f ca="1">IFERROR(__xludf.DUMMYFUNCTION("""COMPUTED_VALUE"""),"This will be hard to do, but if it is the right company I would try")</f>
        <v>This will be hard to do, but if it is the right company I would try</v>
      </c>
      <c r="S514" s="1"/>
    </row>
    <row r="515" spans="1:19" ht="12.5" x14ac:dyDescent="0.25">
      <c r="A515" s="2">
        <f ca="1">IFERROR(__xludf.DUMMYFUNCTION("""COMPUTED_VALUE"""),45021.5699186689)</f>
        <v>45021.569918668902</v>
      </c>
      <c r="B515" s="1" t="str">
        <f ca="1">IFERROR(__xludf.DUMMYFUNCTION("""COMPUTED_VALUE"""),"India")</f>
        <v>India</v>
      </c>
      <c r="C515" s="1">
        <f ca="1">IFERROR(__xludf.DUMMYFUNCTION("""COMPUTED_VALUE"""),679101)</f>
        <v>679101</v>
      </c>
      <c r="D515" s="1" t="str">
        <f ca="1">IFERROR(__xludf.DUMMYFUNCTION("""COMPUTED_VALUE"""),"Male")</f>
        <v>Male</v>
      </c>
      <c r="E515" s="1" t="str">
        <f ca="1">IFERROR(__xludf.DUMMYFUNCTION("""COMPUTED_VALUE"""),"People who have changed the world for better")</f>
        <v>People who have changed the world for better</v>
      </c>
      <c r="F515" s="1" t="str">
        <f ca="1">IFERROR(__xludf.DUMMYFUNCTION("""COMPUTED_VALUE"""),"Yes, I will earn and do that")</f>
        <v>Yes, I will earn and do that</v>
      </c>
      <c r="G515" s="1" t="str">
        <f ca="1">IFERROR(__xludf.DUMMYFUNCTION("""COMPUTED_VALUE"""),"This will be hard to do, but if it is the right company I would try")</f>
        <v>This will be hard to do, but if it is the right company I would try</v>
      </c>
      <c r="H515" s="1" t="str">
        <f ca="1">IFERROR(__xludf.DUMMYFUNCTION("""COMPUTED_VALUE"""),"No")</f>
        <v>No</v>
      </c>
      <c r="I515" s="1" t="str">
        <f ca="1">IFERROR(__xludf.DUMMYFUNCTION("""COMPUTED_VALUE"""),"Will NOT work for them")</f>
        <v>Will NOT work for them</v>
      </c>
      <c r="J515" s="1">
        <f ca="1">IFERROR(__xludf.DUMMYFUNCTION("""COMPUTED_VALUE"""),9)</f>
        <v>9</v>
      </c>
      <c r="K515" s="1" t="str">
        <f ca="1">IFERROR(__xludf.DUMMYFUNCTION("""COMPUTED_VALUE"""),"Hybrid Working Environment with more than 15 days a month at office")</f>
        <v>Hybrid Working Environment with more than 15 days a month at office</v>
      </c>
      <c r="L5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1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15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515" s="1" t="str">
        <f ca="1">IFERROR(__xludf.DUMMYFUNCTION("""COMPUTED_VALUE"""),"Manager who explains what is expected, sets a goal and helps achieve it")</f>
        <v>Manager who explains what is expected, sets a goal and helps achieve it</v>
      </c>
      <c r="P515" s="1" t="str">
        <f ca="1">IFERROR(__xludf.DUMMYFUNCTION("""COMPUTED_VALUE"""),"Work with 5 to 6 people in my team")</f>
        <v>Work with 5 to 6 people in my team</v>
      </c>
      <c r="Q515" s="1" t="str">
        <f ca="1">IFERROR(__xludf.DUMMYFUNCTION("""COMPUTED_VALUE"""),"Yes, I Understand this is gonna happen everywhere")</f>
        <v>Yes, I Understand this is gonna happen everywhere</v>
      </c>
      <c r="R515" s="1" t="str">
        <f ca="1">IFERROR(__xludf.DUMMYFUNCTION("""COMPUTED_VALUE"""),"This will be hard to do, but if it is the right company I would try")</f>
        <v>This will be hard to do, but if it is the right company I would try</v>
      </c>
      <c r="S515" s="1"/>
    </row>
    <row r="516" spans="1:19" ht="12.5" x14ac:dyDescent="0.25">
      <c r="A516" s="2">
        <f ca="1">IFERROR(__xludf.DUMMYFUNCTION("""COMPUTED_VALUE"""),45021.5745660879)</f>
        <v>45021.574566087897</v>
      </c>
      <c r="B516" s="1" t="str">
        <f ca="1">IFERROR(__xludf.DUMMYFUNCTION("""COMPUTED_VALUE"""),"India")</f>
        <v>India</v>
      </c>
      <c r="C516" s="1">
        <f ca="1">IFERROR(__xludf.DUMMYFUNCTION("""COMPUTED_VALUE"""),517501)</f>
        <v>517501</v>
      </c>
      <c r="D516" s="1" t="str">
        <f ca="1">IFERROR(__xludf.DUMMYFUNCTION("""COMPUTED_VALUE"""),"Female")</f>
        <v>Female</v>
      </c>
      <c r="E516" s="1" t="str">
        <f ca="1">IFERROR(__xludf.DUMMYFUNCTION("""COMPUTED_VALUE"""),"People who have changed the world for better")</f>
        <v>People who have changed the world for better</v>
      </c>
      <c r="F516" s="1" t="str">
        <f ca="1">IFERROR(__xludf.DUMMYFUNCTION("""COMPUTED_VALUE"""),"No, But if someone could bare the cost I will")</f>
        <v>No, But if someone could bare the cost I will</v>
      </c>
      <c r="G516" s="1" t="str">
        <f ca="1">IFERROR(__xludf.DUMMYFUNCTION("""COMPUTED_VALUE"""),"This will be hard to do, but if it is the right company I would try")</f>
        <v>This will be hard to do, but if it is the right company I would try</v>
      </c>
      <c r="H516" s="1" t="str">
        <f ca="1">IFERROR(__xludf.DUMMYFUNCTION("""COMPUTED_VALUE"""),"No")</f>
        <v>No</v>
      </c>
      <c r="I516" s="1" t="str">
        <f ca="1">IFERROR(__xludf.DUMMYFUNCTION("""COMPUTED_VALUE"""),"Will NOT work for them")</f>
        <v>Will NOT work for them</v>
      </c>
      <c r="J516" s="1">
        <f ca="1">IFERROR(__xludf.DUMMYFUNCTION("""COMPUTED_VALUE"""),1)</f>
        <v>1</v>
      </c>
      <c r="K516" s="1" t="str">
        <f ca="1">IFERROR(__xludf.DUMMYFUNCTION("""COMPUTED_VALUE"""),"Hybrid Working Environment with less than 3 days a month at office")</f>
        <v>Hybrid Working Environment with less than 3 days a month at office</v>
      </c>
      <c r="L5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1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16" s="1" t="str">
        <f ca="1">IFERROR(__xludf.DUMMYFUNCTION("""COMPUTED_VALUE"""),"Manage and drive End-to-End Projects or Products, Design and Develop amazing software, Look deeply into Data and generate insights, An Artificial Intelligence Specialist / Talking to Robots")</f>
        <v>Manage and drive End-to-End Projects or Products, Design and Develop amazing software, Look deeply into Data and generate insights, An Artificial Intelligence Specialist / Talking to Robots</v>
      </c>
      <c r="O516" s="1" t="str">
        <f ca="1">IFERROR(__xludf.DUMMYFUNCTION("""COMPUTED_VALUE"""),"Manager who explains what is expected, sets a goal and helps achieve it")</f>
        <v>Manager who explains what is expected, sets a goal and helps achieve it</v>
      </c>
      <c r="P516" s="1" t="str">
        <f ca="1">IFERROR(__xludf.DUMMYFUNCTION("""COMPUTED_VALUE"""),"Work with 5 to 6 people in my team")</f>
        <v>Work with 5 to 6 people in my team</v>
      </c>
      <c r="Q516" s="1" t="str">
        <f ca="1">IFERROR(__xludf.DUMMYFUNCTION("""COMPUTED_VALUE"""),"Yes, I Understand this is gonna happen everywhere")</f>
        <v>Yes, I Understand this is gonna happen everywhere</v>
      </c>
      <c r="R516" s="1" t="str">
        <f ca="1">IFERROR(__xludf.DUMMYFUNCTION("""COMPUTED_VALUE"""),"This will be hard to do, but if it is the right company I would try")</f>
        <v>This will be hard to do, but if it is the right company I would try</v>
      </c>
      <c r="S516" s="1"/>
    </row>
    <row r="517" spans="1:19" ht="12.5" x14ac:dyDescent="0.25">
      <c r="A517" s="2">
        <f ca="1">IFERROR(__xludf.DUMMYFUNCTION("""COMPUTED_VALUE"""),45021.5825291666)</f>
        <v>45021.582529166597</v>
      </c>
      <c r="B517" s="1" t="str">
        <f ca="1">IFERROR(__xludf.DUMMYFUNCTION("""COMPUTED_VALUE"""),"India")</f>
        <v>India</v>
      </c>
      <c r="C517" s="1">
        <f ca="1">IFERROR(__xludf.DUMMYFUNCTION("""COMPUTED_VALUE"""),517501)</f>
        <v>517501</v>
      </c>
      <c r="D517" s="1" t="str">
        <f ca="1">IFERROR(__xludf.DUMMYFUNCTION("""COMPUTED_VALUE"""),"Male")</f>
        <v>Male</v>
      </c>
      <c r="E517" s="1" t="str">
        <f ca="1">IFERROR(__xludf.DUMMYFUNCTION("""COMPUTED_VALUE"""),"My Parents")</f>
        <v>My Parents</v>
      </c>
      <c r="F517" s="1" t="str">
        <f ca="1">IFERROR(__xludf.DUMMYFUNCTION("""COMPUTED_VALUE"""),"No I would not be pursuing Higher Education outside of India")</f>
        <v>No I would not be pursuing Higher Education outside of India</v>
      </c>
      <c r="G517" s="1" t="str">
        <f ca="1">IFERROR(__xludf.DUMMYFUNCTION("""COMPUTED_VALUE"""),"Will work for 3 years or more")</f>
        <v>Will work for 3 years or more</v>
      </c>
      <c r="H517" s="1" t="str">
        <f ca="1">IFERROR(__xludf.DUMMYFUNCTION("""COMPUTED_VALUE"""),"Yes")</f>
        <v>Yes</v>
      </c>
      <c r="I517" s="1" t="str">
        <f ca="1">IFERROR(__xludf.DUMMYFUNCTION("""COMPUTED_VALUE"""),"Will work for them")</f>
        <v>Will work for them</v>
      </c>
      <c r="J517" s="1">
        <f ca="1">IFERROR(__xludf.DUMMYFUNCTION("""COMPUTED_VALUE"""),10)</f>
        <v>10</v>
      </c>
      <c r="K517" s="1" t="str">
        <f ca="1">IFERROR(__xludf.DUMMYFUNCTION("""COMPUTED_VALUE"""),"Every Day Office Environment")</f>
        <v>Every Day Office Environment</v>
      </c>
      <c r="L5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1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17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517" s="1" t="str">
        <f ca="1">IFERROR(__xludf.DUMMYFUNCTION("""COMPUTED_VALUE"""),"Manager who sets goal and helps me achieve it")</f>
        <v>Manager who sets goal and helps me achieve it</v>
      </c>
      <c r="P51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517" s="1" t="str">
        <f ca="1">IFERROR(__xludf.DUMMYFUNCTION("""COMPUTED_VALUE"""),"No")</f>
        <v>No</v>
      </c>
      <c r="R517" s="1" t="str">
        <f ca="1">IFERROR(__xludf.DUMMYFUNCTION("""COMPUTED_VALUE"""),"Will work for 7 years or more")</f>
        <v>Will work for 7 years or more</v>
      </c>
      <c r="S517" s="1"/>
    </row>
    <row r="518" spans="1:19" ht="12.5" x14ac:dyDescent="0.25">
      <c r="A518" s="2">
        <f ca="1">IFERROR(__xludf.DUMMYFUNCTION("""COMPUTED_VALUE"""),45021.5832041203)</f>
        <v>45021.583204120303</v>
      </c>
      <c r="B518" s="1" t="str">
        <f ca="1">IFERROR(__xludf.DUMMYFUNCTION("""COMPUTED_VALUE"""),"India")</f>
        <v>India</v>
      </c>
      <c r="C518" s="1" t="str">
        <f ca="1">IFERROR(__xludf.DUMMYFUNCTION("""COMPUTED_VALUE"""),"Bts ")</f>
        <v xml:space="preserve">Bts </v>
      </c>
      <c r="D518" s="1" t="str">
        <f ca="1">IFERROR(__xludf.DUMMYFUNCTION("""COMPUTED_VALUE"""),"Female")</f>
        <v>Female</v>
      </c>
      <c r="E518" s="1" t="str">
        <f ca="1">IFERROR(__xludf.DUMMYFUNCTION("""COMPUTED_VALUE"""),"Influencers who had successful careers")</f>
        <v>Influencers who had successful careers</v>
      </c>
      <c r="F518" s="1" t="str">
        <f ca="1">IFERROR(__xludf.DUMMYFUNCTION("""COMPUTED_VALUE"""),"Yes, I will earn and do that")</f>
        <v>Yes, I will earn and do that</v>
      </c>
      <c r="G518" s="1" t="str">
        <f ca="1">IFERROR(__xludf.DUMMYFUNCTION("""COMPUTED_VALUE"""),"This will be hard to do, but if it is the right company I would try")</f>
        <v>This will be hard to do, but if it is the right company I would try</v>
      </c>
      <c r="H518" s="1" t="str">
        <f ca="1">IFERROR(__xludf.DUMMYFUNCTION("""COMPUTED_VALUE"""),"No")</f>
        <v>No</v>
      </c>
      <c r="I518" s="1" t="str">
        <f ca="1">IFERROR(__xludf.DUMMYFUNCTION("""COMPUTED_VALUE"""),"Will work for them")</f>
        <v>Will work for them</v>
      </c>
      <c r="J518" s="1">
        <f ca="1">IFERROR(__xludf.DUMMYFUNCTION("""COMPUTED_VALUE"""),6)</f>
        <v>6</v>
      </c>
      <c r="K518" s="1" t="str">
        <f ca="1">IFERROR(__xludf.DUMMYFUNCTION("""COMPUTED_VALUE"""),"Fully Remote with Options to travel as and when needed")</f>
        <v>Fully Remote with Options to travel as and when needed</v>
      </c>
      <c r="L518" s="1" t="str">
        <f ca="1">IFERROR(__xludf.DUMMYFUNCTION("""COMPUTED_VALUE"""),"Employer who appreciates learning and enables that environment")</f>
        <v>Employer who appreciates learning and enables that environment</v>
      </c>
      <c r="M518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518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518" s="1" t="str">
        <f ca="1">IFERROR(__xludf.DUMMYFUNCTION("""COMPUTED_VALUE"""),"Manager who sets goal and helps me achieve it")</f>
        <v>Manager who sets goal and helps me achieve it</v>
      </c>
      <c r="P518" s="1" t="str">
        <f ca="1">IFERROR(__xludf.DUMMYFUNCTION("""COMPUTED_VALUE"""),"Work with 2 to 3 people in my team, Work with 5 to 6 people in my team")</f>
        <v>Work with 2 to 3 people in my team, Work with 5 to 6 people in my team</v>
      </c>
      <c r="Q518" s="1" t="str">
        <f ca="1">IFERROR(__xludf.DUMMYFUNCTION("""COMPUTED_VALUE"""),"I have NO other choice")</f>
        <v>I have NO other choice</v>
      </c>
      <c r="R518" s="1" t="str">
        <f ca="1">IFERROR(__xludf.DUMMYFUNCTION("""COMPUTED_VALUE"""),"No way")</f>
        <v>No way</v>
      </c>
      <c r="S518" s="1"/>
    </row>
    <row r="519" spans="1:19" ht="12.5" x14ac:dyDescent="0.25">
      <c r="A519" s="2">
        <f ca="1">IFERROR(__xludf.DUMMYFUNCTION("""COMPUTED_VALUE"""),45021.592912581)</f>
        <v>45021.592912581</v>
      </c>
      <c r="B519" s="1" t="str">
        <f ca="1">IFERROR(__xludf.DUMMYFUNCTION("""COMPUTED_VALUE"""),"India")</f>
        <v>India</v>
      </c>
      <c r="C519" s="1">
        <f ca="1">IFERROR(__xludf.DUMMYFUNCTION("""COMPUTED_VALUE"""),518563)</f>
        <v>518563</v>
      </c>
      <c r="D519" s="1" t="str">
        <f ca="1">IFERROR(__xludf.DUMMYFUNCTION("""COMPUTED_VALUE"""),"Male")</f>
        <v>Male</v>
      </c>
      <c r="E519" s="1" t="str">
        <f ca="1">IFERROR(__xludf.DUMMYFUNCTION("""COMPUTED_VALUE"""),"People from my circle, but not family members")</f>
        <v>People from my circle, but not family members</v>
      </c>
      <c r="F519" s="1" t="str">
        <f ca="1">IFERROR(__xludf.DUMMYFUNCTION("""COMPUTED_VALUE"""),"No I would not be pursuing Higher Education outside of India")</f>
        <v>No I would not be pursuing Higher Education outside of India</v>
      </c>
      <c r="G519" s="1" t="str">
        <f ca="1">IFERROR(__xludf.DUMMYFUNCTION("""COMPUTED_VALUE"""),"This will be hard to do, but if it is the right company I would try")</f>
        <v>This will be hard to do, but if it is the right company I would try</v>
      </c>
      <c r="H519" s="1" t="str">
        <f ca="1">IFERROR(__xludf.DUMMYFUNCTION("""COMPUTED_VALUE"""),"No")</f>
        <v>No</v>
      </c>
      <c r="I519" s="1" t="str">
        <f ca="1">IFERROR(__xludf.DUMMYFUNCTION("""COMPUTED_VALUE"""),"Will NOT work for them")</f>
        <v>Will NOT work for them</v>
      </c>
      <c r="J519" s="1">
        <f ca="1">IFERROR(__xludf.DUMMYFUNCTION("""COMPUTED_VALUE"""),5)</f>
        <v>5</v>
      </c>
      <c r="K519" s="1" t="str">
        <f ca="1">IFERROR(__xludf.DUMMYFUNCTION("""COMPUTED_VALUE"""),"Fully Remote with Options to travel as and when needed")</f>
        <v>Fully Remote with Options to travel as and when needed</v>
      </c>
      <c r="L519" s="1" t="str">
        <f ca="1">IFERROR(__xludf.DUMMYFUNCTION("""COMPUTED_VALUE"""),"Employer who rewards learning and enables that environment")</f>
        <v>Employer who rewards learning and enables that environment</v>
      </c>
      <c r="M51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19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519" s="1" t="str">
        <f ca="1">IFERROR(__xludf.DUMMYFUNCTION("""COMPUTED_VALUE"""),"Manager who explains what is expected, sets a goal and helps achieve it")</f>
        <v>Manager who explains what is expected, sets a goal and helps achieve it</v>
      </c>
      <c r="P519" s="1" t="str">
        <f ca="1">IFERROR(__xludf.DUMMYFUNCTION("""COMPUTED_VALUE"""),"Work with 2 to 3 people in my team")</f>
        <v>Work with 2 to 3 people in my team</v>
      </c>
      <c r="Q519" s="1" t="str">
        <f ca="1">IFERROR(__xludf.DUMMYFUNCTION("""COMPUTED_VALUE"""),"No")</f>
        <v>No</v>
      </c>
      <c r="R519" s="1" t="str">
        <f ca="1">IFERROR(__xludf.DUMMYFUNCTION("""COMPUTED_VALUE"""),"No way")</f>
        <v>No way</v>
      </c>
      <c r="S519" s="1"/>
    </row>
    <row r="520" spans="1:19" ht="12.5" x14ac:dyDescent="0.25">
      <c r="A520" s="2">
        <f ca="1">IFERROR(__xludf.DUMMYFUNCTION("""COMPUTED_VALUE"""),45021.5931179051)</f>
        <v>45021.593117905097</v>
      </c>
      <c r="B520" s="1" t="str">
        <f ca="1">IFERROR(__xludf.DUMMYFUNCTION("""COMPUTED_VALUE"""),"India")</f>
        <v>India</v>
      </c>
      <c r="C520" s="1">
        <f ca="1">IFERROR(__xludf.DUMMYFUNCTION("""COMPUTED_VALUE"""),600092)</f>
        <v>600092</v>
      </c>
      <c r="D520" s="1" t="str">
        <f ca="1">IFERROR(__xludf.DUMMYFUNCTION("""COMPUTED_VALUE"""),"Male")</f>
        <v>Male</v>
      </c>
      <c r="E520" s="1" t="str">
        <f ca="1">IFERROR(__xludf.DUMMYFUNCTION("""COMPUTED_VALUE"""),"Influencers who had successful careers")</f>
        <v>Influencers who had successful careers</v>
      </c>
      <c r="F520" s="1" t="str">
        <f ca="1">IFERROR(__xludf.DUMMYFUNCTION("""COMPUTED_VALUE"""),"No, But if someone could bare the cost I will")</f>
        <v>No, But if someone could bare the cost I will</v>
      </c>
      <c r="G520" s="1" t="str">
        <f ca="1">IFERROR(__xludf.DUMMYFUNCTION("""COMPUTED_VALUE"""),"Will work for 3 years or more")</f>
        <v>Will work for 3 years or more</v>
      </c>
      <c r="H520" s="1" t="str">
        <f ca="1">IFERROR(__xludf.DUMMYFUNCTION("""COMPUTED_VALUE"""),"No")</f>
        <v>No</v>
      </c>
      <c r="I520" s="1" t="str">
        <f ca="1">IFERROR(__xludf.DUMMYFUNCTION("""COMPUTED_VALUE"""),"Will NOT work for them")</f>
        <v>Will NOT work for them</v>
      </c>
      <c r="J520" s="1">
        <f ca="1">IFERROR(__xludf.DUMMYFUNCTION("""COMPUTED_VALUE"""),6)</f>
        <v>6</v>
      </c>
      <c r="K520" s="1" t="str">
        <f ca="1">IFERROR(__xludf.DUMMYFUNCTION("""COMPUTED_VALUE"""),"Every Day Office Environment")</f>
        <v>Every Day Office Environment</v>
      </c>
      <c r="L520" s="1" t="str">
        <f ca="1">IFERROR(__xludf.DUMMYFUNCTION("""COMPUTED_VALUE"""),"Employer who appreciates learning and enables that environment")</f>
        <v>Employer who appreciates learning and enables that environment</v>
      </c>
      <c r="M52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520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520" s="1" t="str">
        <f ca="1">IFERROR(__xludf.DUMMYFUNCTION("""COMPUTED_VALUE"""),"Manager who clearly describes what she/he needs")</f>
        <v>Manager who clearly describes what she/he needs</v>
      </c>
      <c r="P520" s="1" t="str">
        <f ca="1">IFERROR(__xludf.DUMMYFUNCTION("""COMPUTED_VALUE"""),"Work with 7 to 10 or more people in my team")</f>
        <v>Work with 7 to 10 or more people in my team</v>
      </c>
      <c r="Q520" s="1" t="str">
        <f ca="1">IFERROR(__xludf.DUMMYFUNCTION("""COMPUTED_VALUE"""),"No")</f>
        <v>No</v>
      </c>
      <c r="R520" s="1" t="str">
        <f ca="1">IFERROR(__xludf.DUMMYFUNCTION("""COMPUTED_VALUE"""),"No way")</f>
        <v>No way</v>
      </c>
      <c r="S520" s="1"/>
    </row>
    <row r="521" spans="1:19" ht="12.5" x14ac:dyDescent="0.25">
      <c r="A521" s="2">
        <f ca="1">IFERROR(__xludf.DUMMYFUNCTION("""COMPUTED_VALUE"""),45021.5980847685)</f>
        <v>45021.598084768499</v>
      </c>
      <c r="B521" s="1" t="str">
        <f ca="1">IFERROR(__xludf.DUMMYFUNCTION("""COMPUTED_VALUE"""),"India")</f>
        <v>India</v>
      </c>
      <c r="C521" s="1">
        <f ca="1">IFERROR(__xludf.DUMMYFUNCTION("""COMPUTED_VALUE"""),600056)</f>
        <v>600056</v>
      </c>
      <c r="D521" s="1" t="str">
        <f ca="1">IFERROR(__xludf.DUMMYFUNCTION("""COMPUTED_VALUE"""),"Male")</f>
        <v>Male</v>
      </c>
      <c r="E521" s="1" t="str">
        <f ca="1">IFERROR(__xludf.DUMMYFUNCTION("""COMPUTED_VALUE"""),"My Parents")</f>
        <v>My Parents</v>
      </c>
      <c r="F521" s="1" t="str">
        <f ca="1">IFERROR(__xludf.DUMMYFUNCTION("""COMPUTED_VALUE"""),"No I would not be pursuing Higher Education outside of India")</f>
        <v>No I would not be pursuing Higher Education outside of India</v>
      </c>
      <c r="G521" s="1" t="str">
        <f ca="1">IFERROR(__xludf.DUMMYFUNCTION("""COMPUTED_VALUE"""),"Will work for 3 years or more")</f>
        <v>Will work for 3 years or more</v>
      </c>
      <c r="H521" s="1" t="str">
        <f ca="1">IFERROR(__xludf.DUMMYFUNCTION("""COMPUTED_VALUE"""),"Yes")</f>
        <v>Yes</v>
      </c>
      <c r="I521" s="1" t="str">
        <f ca="1">IFERROR(__xludf.DUMMYFUNCTION("""COMPUTED_VALUE"""),"Will work for them")</f>
        <v>Will work for them</v>
      </c>
      <c r="J521" s="1">
        <f ca="1">IFERROR(__xludf.DUMMYFUNCTION("""COMPUTED_VALUE"""),6)</f>
        <v>6</v>
      </c>
      <c r="K521" s="1" t="str">
        <f ca="1">IFERROR(__xludf.DUMMYFUNCTION("""COMPUTED_VALUE"""),"Hybrid Working Environment with more than 15 days a month at office")</f>
        <v>Hybrid Working Environment with more than 15 days a month at office</v>
      </c>
      <c r="L5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2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521" s="1" t="str">
        <f ca="1">IFERROR(__xludf.DUMMYFUNCTION("""COMPUTED_VALUE"""),"Build and develop a Team, Look deeply into Data and generate insights, Entrepreneur or Start Up, Manufacturing / Oil and Gas/ Construction / Hard Physical Work related")</f>
        <v>Build and develop a Team, Look deeply into Data and generate insights, Entrepreneur or Start Up, Manufacturing / Oil and Gas/ Construction / Hard Physical Work related</v>
      </c>
      <c r="O521" s="1" t="str">
        <f ca="1">IFERROR(__xludf.DUMMYFUNCTION("""COMPUTED_VALUE"""),"Manager who sets goal and helps me achieve it")</f>
        <v>Manager who sets goal and helps me achieve it</v>
      </c>
      <c r="P521" s="1" t="str">
        <f ca="1">IFERROR(__xludf.DUMMYFUNCTION("""COMPUTED_VALUE"""),"Work alone")</f>
        <v>Work alone</v>
      </c>
      <c r="Q521" s="1" t="str">
        <f ca="1">IFERROR(__xludf.DUMMYFUNCTION("""COMPUTED_VALUE"""),"No")</f>
        <v>No</v>
      </c>
      <c r="R521" s="1" t="str">
        <f ca="1">IFERROR(__xludf.DUMMYFUNCTION("""COMPUTED_VALUE"""),"Will work for 7 years or more")</f>
        <v>Will work for 7 years or more</v>
      </c>
      <c r="S521" s="1"/>
    </row>
    <row r="522" spans="1:19" ht="12.5" x14ac:dyDescent="0.25">
      <c r="A522" s="2">
        <f ca="1">IFERROR(__xludf.DUMMYFUNCTION("""COMPUTED_VALUE"""),45021.601288449)</f>
        <v>45021.601288448997</v>
      </c>
      <c r="B522" s="1" t="str">
        <f ca="1">IFERROR(__xludf.DUMMYFUNCTION("""COMPUTED_VALUE"""),"India")</f>
        <v>India</v>
      </c>
      <c r="C522" s="1">
        <f ca="1">IFERROR(__xludf.DUMMYFUNCTION("""COMPUTED_VALUE"""),453331)</f>
        <v>453331</v>
      </c>
      <c r="D522" s="1" t="str">
        <f ca="1">IFERROR(__xludf.DUMMYFUNCTION("""COMPUTED_VALUE"""),"Female")</f>
        <v>Female</v>
      </c>
      <c r="E522" s="1" t="str">
        <f ca="1">IFERROR(__xludf.DUMMYFUNCTION("""COMPUTED_VALUE"""),"Social Media like LinkedIn")</f>
        <v>Social Media like LinkedIn</v>
      </c>
      <c r="F522" s="1" t="str">
        <f ca="1">IFERROR(__xludf.DUMMYFUNCTION("""COMPUTED_VALUE"""),"No, But if someone could bare the cost I will")</f>
        <v>No, But if someone could bare the cost I will</v>
      </c>
      <c r="G522" s="1" t="str">
        <f ca="1">IFERROR(__xludf.DUMMYFUNCTION("""COMPUTED_VALUE"""),"No way")</f>
        <v>No way</v>
      </c>
      <c r="H522" s="1" t="str">
        <f ca="1">IFERROR(__xludf.DUMMYFUNCTION("""COMPUTED_VALUE"""),"No")</f>
        <v>No</v>
      </c>
      <c r="I522" s="1" t="str">
        <f ca="1">IFERROR(__xludf.DUMMYFUNCTION("""COMPUTED_VALUE"""),"Will NOT work for them")</f>
        <v>Will NOT work for them</v>
      </c>
      <c r="J522" s="1">
        <f ca="1">IFERROR(__xludf.DUMMYFUNCTION("""COMPUTED_VALUE"""),7)</f>
        <v>7</v>
      </c>
      <c r="K522" s="1" t="str">
        <f ca="1">IFERROR(__xludf.DUMMYFUNCTION("""COMPUTED_VALUE"""),"Fully Remote with Options to travel as and when needed")</f>
        <v>Fully Remote with Options to travel as and when needed</v>
      </c>
      <c r="L522" s="1" t="str">
        <f ca="1">IFERROR(__xludf.DUMMYFUNCTION("""COMPUTED_VALUE"""),"Employer who rewards learning and enables that environment")</f>
        <v>Employer who rewards learning and enables that environment</v>
      </c>
      <c r="M52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22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522" s="1" t="str">
        <f ca="1">IFERROR(__xludf.DUMMYFUNCTION("""COMPUTED_VALUE"""),"Manager who explains what is expected, sets a goal and helps achieve it")</f>
        <v>Manager who explains what is expected, sets a goal and helps achieve it</v>
      </c>
      <c r="P522" s="1" t="str">
        <f ca="1">IFERROR(__xludf.DUMMYFUNCTION("""COMPUTED_VALUE"""),"Work alone, Work with 2 to 3 people in my team")</f>
        <v>Work alone, Work with 2 to 3 people in my team</v>
      </c>
      <c r="Q522" s="1" t="str">
        <f ca="1">IFERROR(__xludf.DUMMYFUNCTION("""COMPUTED_VALUE"""),"I have NO other choice")</f>
        <v>I have NO other choice</v>
      </c>
      <c r="R522" s="1" t="str">
        <f ca="1">IFERROR(__xludf.DUMMYFUNCTION("""COMPUTED_VALUE"""),"No way")</f>
        <v>No way</v>
      </c>
      <c r="S522" s="1"/>
    </row>
    <row r="523" spans="1:19" ht="12.5" x14ac:dyDescent="0.25">
      <c r="A523" s="2">
        <f ca="1">IFERROR(__xludf.DUMMYFUNCTION("""COMPUTED_VALUE"""),45021.6088619328)</f>
        <v>45021.6088619328</v>
      </c>
      <c r="B523" s="1" t="str">
        <f ca="1">IFERROR(__xludf.DUMMYFUNCTION("""COMPUTED_VALUE"""),"India")</f>
        <v>India</v>
      </c>
      <c r="C523" s="1">
        <f ca="1">IFERROR(__xludf.DUMMYFUNCTION("""COMPUTED_VALUE"""),600127)</f>
        <v>600127</v>
      </c>
      <c r="D523" s="1" t="str">
        <f ca="1">IFERROR(__xludf.DUMMYFUNCTION("""COMPUTED_VALUE"""),"Female")</f>
        <v>Female</v>
      </c>
      <c r="E523" s="1" t="str">
        <f ca="1">IFERROR(__xludf.DUMMYFUNCTION("""COMPUTED_VALUE"""),"People from my circle, but not family members")</f>
        <v>People from my circle, but not family members</v>
      </c>
      <c r="F523" s="1" t="str">
        <f ca="1">IFERROR(__xludf.DUMMYFUNCTION("""COMPUTED_VALUE"""),"No, But if someone could bare the cost I will")</f>
        <v>No, But if someone could bare the cost I will</v>
      </c>
      <c r="G523" s="1" t="str">
        <f ca="1">IFERROR(__xludf.DUMMYFUNCTION("""COMPUTED_VALUE"""),"Will work for 3 years or more")</f>
        <v>Will work for 3 years or more</v>
      </c>
      <c r="H523" s="1" t="str">
        <f ca="1">IFERROR(__xludf.DUMMYFUNCTION("""COMPUTED_VALUE"""),"No")</f>
        <v>No</v>
      </c>
      <c r="I523" s="1" t="str">
        <f ca="1">IFERROR(__xludf.DUMMYFUNCTION("""COMPUTED_VALUE"""),"Will NOT work for them")</f>
        <v>Will NOT work for them</v>
      </c>
      <c r="J523" s="1">
        <f ca="1">IFERROR(__xludf.DUMMYFUNCTION("""COMPUTED_VALUE"""),8)</f>
        <v>8</v>
      </c>
      <c r="K523" s="1" t="str">
        <f ca="1">IFERROR(__xludf.DUMMYFUNCTION("""COMPUTED_VALUE"""),"Hybrid Working Environment with more than 15 days a month at office")</f>
        <v>Hybrid Working Environment with more than 15 days a month at office</v>
      </c>
      <c r="L5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2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523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523" s="1" t="str">
        <f ca="1">IFERROR(__xludf.DUMMYFUNCTION("""COMPUTED_VALUE"""),"Manager who explains what is expected, sets a goal and helps achieve it")</f>
        <v>Manager who explains what is expected, sets a goal and helps achieve it</v>
      </c>
      <c r="P523" s="1" t="str">
        <f ca="1">IFERROR(__xludf.DUMMYFUNCTION("""COMPUTED_VALUE"""),"Work with 5 to 6 people in my team")</f>
        <v>Work with 5 to 6 people in my team</v>
      </c>
      <c r="Q523" s="1" t="str">
        <f ca="1">IFERROR(__xludf.DUMMYFUNCTION("""COMPUTED_VALUE"""),"Yes, I Understand this is gonna happen everywhere")</f>
        <v>Yes, I Understand this is gonna happen everywhere</v>
      </c>
      <c r="R523" s="1" t="str">
        <f ca="1">IFERROR(__xludf.DUMMYFUNCTION("""COMPUTED_VALUE"""),"Will work for 7 years or more")</f>
        <v>Will work for 7 years or more</v>
      </c>
      <c r="S523" s="1"/>
    </row>
    <row r="524" spans="1:19" ht="12.5" x14ac:dyDescent="0.25">
      <c r="A524" s="2">
        <f ca="1">IFERROR(__xludf.DUMMYFUNCTION("""COMPUTED_VALUE"""),45021.6133955787)</f>
        <v>45021.613395578701</v>
      </c>
      <c r="B524" s="1" t="str">
        <f ca="1">IFERROR(__xludf.DUMMYFUNCTION("""COMPUTED_VALUE"""),"India")</f>
        <v>India</v>
      </c>
      <c r="C524" s="1">
        <f ca="1">IFERROR(__xludf.DUMMYFUNCTION("""COMPUTED_VALUE"""),560034)</f>
        <v>560034</v>
      </c>
      <c r="D524" s="1" t="str">
        <f ca="1">IFERROR(__xludf.DUMMYFUNCTION("""COMPUTED_VALUE"""),"Male")</f>
        <v>Male</v>
      </c>
      <c r="E524" s="1" t="str">
        <f ca="1">IFERROR(__xludf.DUMMYFUNCTION("""COMPUTED_VALUE"""),"People from my circle, but not family members")</f>
        <v>People from my circle, but not family members</v>
      </c>
      <c r="F524" s="1" t="str">
        <f ca="1">IFERROR(__xludf.DUMMYFUNCTION("""COMPUTED_VALUE"""),"No, But if someone could bare the cost I will")</f>
        <v>No, But if someone could bare the cost I will</v>
      </c>
      <c r="G524" s="1" t="str">
        <f ca="1">IFERROR(__xludf.DUMMYFUNCTION("""COMPUTED_VALUE"""),"This will be hard to do, but if it is the right company I would try")</f>
        <v>This will be hard to do, but if it is the right company I would try</v>
      </c>
      <c r="H524" s="1" t="str">
        <f ca="1">IFERROR(__xludf.DUMMYFUNCTION("""COMPUTED_VALUE"""),"No")</f>
        <v>No</v>
      </c>
      <c r="I524" s="1" t="str">
        <f ca="1">IFERROR(__xludf.DUMMYFUNCTION("""COMPUTED_VALUE"""),"Will work for them")</f>
        <v>Will work for them</v>
      </c>
      <c r="J524" s="1">
        <f ca="1">IFERROR(__xludf.DUMMYFUNCTION("""COMPUTED_VALUE"""),5)</f>
        <v>5</v>
      </c>
      <c r="K524" s="1" t="str">
        <f ca="1">IFERROR(__xludf.DUMMYFUNCTION("""COMPUTED_VALUE"""),"Every Day Office Environment")</f>
        <v>Every Day Office Environment</v>
      </c>
      <c r="L5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2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52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524" s="1" t="str">
        <f ca="1">IFERROR(__xludf.DUMMYFUNCTION("""COMPUTED_VALUE"""),"Manager who explains what is expected, sets a goal and helps achieve it")</f>
        <v>Manager who explains what is expected, sets a goal and helps achieve it</v>
      </c>
      <c r="P524" s="1" t="str">
        <f ca="1">IFERROR(__xludf.DUMMYFUNCTION("""COMPUTED_VALUE"""),"Work with 2 to 3 people in my team")</f>
        <v>Work with 2 to 3 people in my team</v>
      </c>
      <c r="Q524" s="1" t="str">
        <f ca="1">IFERROR(__xludf.DUMMYFUNCTION("""COMPUTED_VALUE"""),"Yes, I Understand this is gonna happen everywhere")</f>
        <v>Yes, I Understand this is gonna happen everywhere</v>
      </c>
      <c r="R524" s="1" t="str">
        <f ca="1">IFERROR(__xludf.DUMMYFUNCTION("""COMPUTED_VALUE"""),"No way")</f>
        <v>No way</v>
      </c>
      <c r="S524" s="1"/>
    </row>
    <row r="525" spans="1:19" ht="12.5" x14ac:dyDescent="0.25">
      <c r="A525" s="2">
        <f ca="1">IFERROR(__xludf.DUMMYFUNCTION("""COMPUTED_VALUE"""),45021.6146762847)</f>
        <v>45021.614676284698</v>
      </c>
      <c r="B525" s="1" t="str">
        <f ca="1">IFERROR(__xludf.DUMMYFUNCTION("""COMPUTED_VALUE"""),"India")</f>
        <v>India</v>
      </c>
      <c r="C525" s="1">
        <f ca="1">IFERROR(__xludf.DUMMYFUNCTION("""COMPUTED_VALUE"""),470002)</f>
        <v>470002</v>
      </c>
      <c r="D525" s="1" t="str">
        <f ca="1">IFERROR(__xludf.DUMMYFUNCTION("""COMPUTED_VALUE"""),"Male")</f>
        <v>Male</v>
      </c>
      <c r="E525" s="1" t="str">
        <f ca="1">IFERROR(__xludf.DUMMYFUNCTION("""COMPUTED_VALUE"""),"My Parents")</f>
        <v>My Parents</v>
      </c>
      <c r="F525" s="1" t="str">
        <f ca="1">IFERROR(__xludf.DUMMYFUNCTION("""COMPUTED_VALUE"""),"Yes, I will earn and do that")</f>
        <v>Yes, I will earn and do that</v>
      </c>
      <c r="G525" s="1" t="str">
        <f ca="1">IFERROR(__xludf.DUMMYFUNCTION("""COMPUTED_VALUE"""),"This will be hard to do, but if it is the right company I would try")</f>
        <v>This will be hard to do, but if it is the right company I would try</v>
      </c>
      <c r="H525" s="1" t="str">
        <f ca="1">IFERROR(__xludf.DUMMYFUNCTION("""COMPUTED_VALUE"""),"No")</f>
        <v>No</v>
      </c>
      <c r="I525" s="1" t="str">
        <f ca="1">IFERROR(__xludf.DUMMYFUNCTION("""COMPUTED_VALUE"""),"Will NOT work for them")</f>
        <v>Will NOT work for them</v>
      </c>
      <c r="J525" s="1">
        <f ca="1">IFERROR(__xludf.DUMMYFUNCTION("""COMPUTED_VALUE"""),7)</f>
        <v>7</v>
      </c>
      <c r="K525" s="1" t="str">
        <f ca="1">IFERROR(__xludf.DUMMYFUNCTION("""COMPUTED_VALUE"""),"Hybrid Working Environment with more than 15 days a month at office")</f>
        <v>Hybrid Working Environment with more than 15 days a month at office</v>
      </c>
      <c r="L5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2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25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525" s="1" t="str">
        <f ca="1">IFERROR(__xludf.DUMMYFUNCTION("""COMPUTED_VALUE"""),"Manager who explains what is expected, sets a goal and helps achieve it")</f>
        <v>Manager who explains what is expected, sets a goal and helps achieve it</v>
      </c>
      <c r="P525" s="1" t="str">
        <f ca="1">IFERROR(__xludf.DUMMYFUNCTION("""COMPUTED_VALUE"""),"Work with 2 to 3 people in my team")</f>
        <v>Work with 2 to 3 people in my team</v>
      </c>
      <c r="Q525" s="1" t="str">
        <f ca="1">IFERROR(__xludf.DUMMYFUNCTION("""COMPUTED_VALUE"""),"Yes, I Understand this is gonna happen everywhere")</f>
        <v>Yes, I Understand this is gonna happen everywhere</v>
      </c>
      <c r="R525" s="1" t="str">
        <f ca="1">IFERROR(__xludf.DUMMYFUNCTION("""COMPUTED_VALUE"""),"No way")</f>
        <v>No way</v>
      </c>
      <c r="S525" s="1"/>
    </row>
    <row r="526" spans="1:19" ht="12.5" x14ac:dyDescent="0.25">
      <c r="A526" s="2">
        <f ca="1">IFERROR(__xludf.DUMMYFUNCTION("""COMPUTED_VALUE"""),45021.6176571759)</f>
        <v>45021.617657175899</v>
      </c>
      <c r="B526" s="1" t="str">
        <f ca="1">IFERROR(__xludf.DUMMYFUNCTION("""COMPUTED_VALUE"""),"India")</f>
        <v>India</v>
      </c>
      <c r="C526" s="1">
        <f ca="1">IFERROR(__xludf.DUMMYFUNCTION("""COMPUTED_VALUE"""),560100)</f>
        <v>560100</v>
      </c>
      <c r="D526" s="1" t="str">
        <f ca="1">IFERROR(__xludf.DUMMYFUNCTION("""COMPUTED_VALUE"""),"Female")</f>
        <v>Female</v>
      </c>
      <c r="E526" s="1" t="str">
        <f ca="1">IFERROR(__xludf.DUMMYFUNCTION("""COMPUTED_VALUE"""),"People from my circle, but not family members")</f>
        <v>People from my circle, but not family members</v>
      </c>
      <c r="F526" s="1" t="str">
        <f ca="1">IFERROR(__xludf.DUMMYFUNCTION("""COMPUTED_VALUE"""),"No, But if someone could bare the cost I will")</f>
        <v>No, But if someone could bare the cost I will</v>
      </c>
      <c r="G526" s="1" t="str">
        <f ca="1">IFERROR(__xludf.DUMMYFUNCTION("""COMPUTED_VALUE"""),"This will be hard to do, but if it is the right company I would try")</f>
        <v>This will be hard to do, but if it is the right company I would try</v>
      </c>
      <c r="H526" s="1" t="str">
        <f ca="1">IFERROR(__xludf.DUMMYFUNCTION("""COMPUTED_VALUE"""),"No")</f>
        <v>No</v>
      </c>
      <c r="I526" s="1" t="str">
        <f ca="1">IFERROR(__xludf.DUMMYFUNCTION("""COMPUTED_VALUE"""),"Will NOT work for them")</f>
        <v>Will NOT work for them</v>
      </c>
      <c r="J526" s="1">
        <f ca="1">IFERROR(__xludf.DUMMYFUNCTION("""COMPUTED_VALUE"""),7)</f>
        <v>7</v>
      </c>
      <c r="K526" s="1" t="str">
        <f ca="1">IFERROR(__xludf.DUMMYFUNCTION("""COMPUTED_VALUE"""),"Every Day Office Environment")</f>
        <v>Every Day Office Environment</v>
      </c>
      <c r="L526" s="1" t="str">
        <f ca="1">IFERROR(__xludf.DUMMYFUNCTION("""COMPUTED_VALUE"""),"Employer who appreciates learning and enables that environment")</f>
        <v>Employer who appreciates learning and enables that environment</v>
      </c>
      <c r="M52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526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526" s="1" t="str">
        <f ca="1">IFERROR(__xludf.DUMMYFUNCTION("""COMPUTED_VALUE"""),"Manager who explains what is expected, sets a goal and helps achieve it")</f>
        <v>Manager who explains what is expected, sets a goal and helps achieve it</v>
      </c>
      <c r="P526" s="1" t="str">
        <f ca="1">IFERROR(__xludf.DUMMYFUNCTION("""COMPUTED_VALUE"""),"Work with 2 to 3 people in my team")</f>
        <v>Work with 2 to 3 people in my team</v>
      </c>
      <c r="Q526" s="1" t="str">
        <f ca="1">IFERROR(__xludf.DUMMYFUNCTION("""COMPUTED_VALUE"""),"Yes, I Understand this is gonna happen everywhere")</f>
        <v>Yes, I Understand this is gonna happen everywhere</v>
      </c>
      <c r="R526" s="1" t="str">
        <f ca="1">IFERROR(__xludf.DUMMYFUNCTION("""COMPUTED_VALUE"""),"This will be hard to do, but if it is the right company I would try")</f>
        <v>This will be hard to do, but if it is the right company I would try</v>
      </c>
      <c r="S526" s="1"/>
    </row>
    <row r="527" spans="1:19" ht="12.5" x14ac:dyDescent="0.25">
      <c r="A527" s="2">
        <f ca="1">IFERROR(__xludf.DUMMYFUNCTION("""COMPUTED_VALUE"""),45021.6184615856)</f>
        <v>45021.618461585596</v>
      </c>
      <c r="B527" s="1" t="str">
        <f ca="1">IFERROR(__xludf.DUMMYFUNCTION("""COMPUTED_VALUE"""),"India")</f>
        <v>India</v>
      </c>
      <c r="C527" s="1">
        <f ca="1">IFERROR(__xludf.DUMMYFUNCTION("""COMPUTED_VALUE"""),560078)</f>
        <v>560078</v>
      </c>
      <c r="D527" s="1" t="str">
        <f ca="1">IFERROR(__xludf.DUMMYFUNCTION("""COMPUTED_VALUE"""),"Male")</f>
        <v>Male</v>
      </c>
      <c r="E527" s="1" t="str">
        <f ca="1">IFERROR(__xludf.DUMMYFUNCTION("""COMPUTED_VALUE"""),"Social Media like LinkedIn")</f>
        <v>Social Media like LinkedIn</v>
      </c>
      <c r="F527" s="1" t="str">
        <f ca="1">IFERROR(__xludf.DUMMYFUNCTION("""COMPUTED_VALUE"""),"No, But if someone could bare the cost I will")</f>
        <v>No, But if someone could bare the cost I will</v>
      </c>
      <c r="G527" s="1" t="str">
        <f ca="1">IFERROR(__xludf.DUMMYFUNCTION("""COMPUTED_VALUE"""),"This will be hard to do, but if it is the right company I would try")</f>
        <v>This will be hard to do, but if it is the right company I would try</v>
      </c>
      <c r="H527" s="1" t="str">
        <f ca="1">IFERROR(__xludf.DUMMYFUNCTION("""COMPUTED_VALUE"""),"No")</f>
        <v>No</v>
      </c>
      <c r="I527" s="1" t="str">
        <f ca="1">IFERROR(__xludf.DUMMYFUNCTION("""COMPUTED_VALUE"""),"Will NOT work for them")</f>
        <v>Will NOT work for them</v>
      </c>
      <c r="J527" s="1">
        <f ca="1">IFERROR(__xludf.DUMMYFUNCTION("""COMPUTED_VALUE"""),7)</f>
        <v>7</v>
      </c>
      <c r="K527" s="1" t="str">
        <f ca="1">IFERROR(__xludf.DUMMYFUNCTION("""COMPUTED_VALUE"""),"Hybrid Working Environment with less than 3 days a month at office")</f>
        <v>Hybrid Working Environment with less than 3 days a month at office</v>
      </c>
      <c r="L5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2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527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527" s="1" t="str">
        <f ca="1">IFERROR(__xludf.DUMMYFUNCTION("""COMPUTED_VALUE"""),"Manager who explains what is expected, sets a goal and helps achieve it")</f>
        <v>Manager who explains what is expected, sets a goal and helps achieve it</v>
      </c>
      <c r="P527" s="1" t="str">
        <f ca="1">IFERROR(__xludf.DUMMYFUNCTION("""COMPUTED_VALUE"""),"Work with 2 to 3 people in my team")</f>
        <v>Work with 2 to 3 people in my team</v>
      </c>
      <c r="Q527" s="1" t="str">
        <f ca="1">IFERROR(__xludf.DUMMYFUNCTION("""COMPUTED_VALUE"""),"No")</f>
        <v>No</v>
      </c>
      <c r="R527" s="1" t="str">
        <f ca="1">IFERROR(__xludf.DUMMYFUNCTION("""COMPUTED_VALUE"""),"This will be hard to do, but if it is the right company I would try")</f>
        <v>This will be hard to do, but if it is the right company I would try</v>
      </c>
      <c r="S527" s="1"/>
    </row>
    <row r="528" spans="1:19" ht="12.5" x14ac:dyDescent="0.25">
      <c r="A528" s="2">
        <f ca="1">IFERROR(__xludf.DUMMYFUNCTION("""COMPUTED_VALUE"""),45021.6192261458)</f>
        <v>45021.619226145798</v>
      </c>
      <c r="B528" s="1" t="str">
        <f ca="1">IFERROR(__xludf.DUMMYFUNCTION("""COMPUTED_VALUE"""),"Others")</f>
        <v>Others</v>
      </c>
      <c r="C528" s="1">
        <f ca="1">IFERROR(__xludf.DUMMYFUNCTION("""COMPUTED_VALUE"""),122001)</f>
        <v>122001</v>
      </c>
      <c r="D528" s="1" t="str">
        <f ca="1">IFERROR(__xludf.DUMMYFUNCTION("""COMPUTED_VALUE"""),"Male")</f>
        <v>Male</v>
      </c>
      <c r="E528" s="1" t="str">
        <f ca="1">IFERROR(__xludf.DUMMYFUNCTION("""COMPUTED_VALUE"""),"People who have changed the world for better")</f>
        <v>People who have changed the world for better</v>
      </c>
      <c r="F528" s="1" t="str">
        <f ca="1">IFERROR(__xludf.DUMMYFUNCTION("""COMPUTED_VALUE"""),"No, But if someone could bare the cost I will")</f>
        <v>No, But if someone could bare the cost I will</v>
      </c>
      <c r="G528" s="1" t="str">
        <f ca="1">IFERROR(__xludf.DUMMYFUNCTION("""COMPUTED_VALUE"""),"This will be hard to do, but if it is the right company I would try")</f>
        <v>This will be hard to do, but if it is the right company I would try</v>
      </c>
      <c r="H528" s="1" t="str">
        <f ca="1">IFERROR(__xludf.DUMMYFUNCTION("""COMPUTED_VALUE"""),"No")</f>
        <v>No</v>
      </c>
      <c r="I528" s="1" t="str">
        <f ca="1">IFERROR(__xludf.DUMMYFUNCTION("""COMPUTED_VALUE"""),"Will NOT work for them")</f>
        <v>Will NOT work for them</v>
      </c>
      <c r="J528" s="1">
        <f ca="1">IFERROR(__xludf.DUMMYFUNCTION("""COMPUTED_VALUE"""),8)</f>
        <v>8</v>
      </c>
      <c r="K528" s="1" t="str">
        <f ca="1">IFERROR(__xludf.DUMMYFUNCTION("""COMPUTED_VALUE"""),"Fully Remote with Options to travel as and when needed")</f>
        <v>Fully Remote with Options to travel as and when needed</v>
      </c>
      <c r="L5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28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528" s="1" t="str">
        <f ca="1">IFERROR(__xludf.DUMMYFUNCTION("""COMPUTED_VALUE"""),"Design and Creative strategy in any company, Business Operations in any organization, Work as a freelancer and do my thing my way, Become a content Creator in some platform")</f>
        <v>Design and Creative strategy in any company, Business Operations in any organization, Work as a freelancer and do my thing my way, Become a content Creator in some platform</v>
      </c>
      <c r="O528" s="1" t="str">
        <f ca="1">IFERROR(__xludf.DUMMYFUNCTION("""COMPUTED_VALUE"""),"Manager who explains what is expected, sets a goal and helps achieve it")</f>
        <v>Manager who explains what is expected, sets a goal and helps achieve it</v>
      </c>
      <c r="P528" s="1" t="str">
        <f ca="1">IFERROR(__xludf.DUMMYFUNCTION("""COMPUTED_VALUE"""),"Work alone")</f>
        <v>Work alone</v>
      </c>
      <c r="Q528" s="1" t="str">
        <f ca="1">IFERROR(__xludf.DUMMYFUNCTION("""COMPUTED_VALUE"""),"Yes, I Understand this is gonna happen everywhere")</f>
        <v>Yes, I Understand this is gonna happen everywhere</v>
      </c>
      <c r="R528" s="1" t="str">
        <f ca="1">IFERROR(__xludf.DUMMYFUNCTION("""COMPUTED_VALUE"""),"This will be hard to do, but if it is the right company I would try")</f>
        <v>This will be hard to do, but if it is the right company I would try</v>
      </c>
      <c r="S528" s="1"/>
    </row>
    <row r="529" spans="1:19" ht="12.5" x14ac:dyDescent="0.25">
      <c r="A529" s="2">
        <f ca="1">IFERROR(__xludf.DUMMYFUNCTION("""COMPUTED_VALUE"""),45021.6237193171)</f>
        <v>45021.623719317096</v>
      </c>
      <c r="B529" s="1" t="str">
        <f ca="1">IFERROR(__xludf.DUMMYFUNCTION("""COMPUTED_VALUE"""),"India")</f>
        <v>India</v>
      </c>
      <c r="C529" s="1">
        <f ca="1">IFERROR(__xludf.DUMMYFUNCTION("""COMPUTED_VALUE"""),400053)</f>
        <v>400053</v>
      </c>
      <c r="D529" s="1" t="str">
        <f ca="1">IFERROR(__xludf.DUMMYFUNCTION("""COMPUTED_VALUE"""),"Male")</f>
        <v>Male</v>
      </c>
      <c r="E529" s="1" t="str">
        <f ca="1">IFERROR(__xludf.DUMMYFUNCTION("""COMPUTED_VALUE"""),"My Parents")</f>
        <v>My Parents</v>
      </c>
      <c r="F529" s="1" t="str">
        <f ca="1">IFERROR(__xludf.DUMMYFUNCTION("""COMPUTED_VALUE"""),"No I would not be pursuing Higher Education outside of India")</f>
        <v>No I would not be pursuing Higher Education outside of India</v>
      </c>
      <c r="G529" s="1" t="str">
        <f ca="1">IFERROR(__xludf.DUMMYFUNCTION("""COMPUTED_VALUE"""),"This will be hard to do, but if it is the right company I would try")</f>
        <v>This will be hard to do, but if it is the right company I would try</v>
      </c>
      <c r="H529" s="1" t="str">
        <f ca="1">IFERROR(__xludf.DUMMYFUNCTION("""COMPUTED_VALUE"""),"No")</f>
        <v>No</v>
      </c>
      <c r="I529" s="1" t="str">
        <f ca="1">IFERROR(__xludf.DUMMYFUNCTION("""COMPUTED_VALUE"""),"Will NOT work for them")</f>
        <v>Will NOT work for them</v>
      </c>
      <c r="J529" s="1">
        <f ca="1">IFERROR(__xludf.DUMMYFUNCTION("""COMPUTED_VALUE"""),5)</f>
        <v>5</v>
      </c>
      <c r="K529" s="1" t="str">
        <f ca="1">IFERROR(__xludf.DUMMYFUNCTION("""COMPUTED_VALUE"""),"Hybrid Working Environment with more than 15 days a month at office")</f>
        <v>Hybrid Working Environment with more than 15 days a month at office</v>
      </c>
      <c r="L5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2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29" s="1" t="str">
        <f ca="1">IFERROR(__xludf.DUMMYFUNCTION("""COMPUTED_VALUE"""),"Teaching in any of the institutes/colleges/online or offline, Business Operations in any organization, Manage and drive End-to-End Projects or Products, Look deeply into Data and generate insights")</f>
        <v>Teaching in any of the institutes/colleges/online or offline, Business Operations in any organization, Manage and drive End-to-End Projects or Products, Look deeply into Data and generate insights</v>
      </c>
      <c r="O529" s="1" t="str">
        <f ca="1">IFERROR(__xludf.DUMMYFUNCTION("""COMPUTED_VALUE"""),"Manager who explains what is expected, sets a goal and helps achieve it")</f>
        <v>Manager who explains what is expected, sets a goal and helps achieve it</v>
      </c>
      <c r="P529" s="1" t="str">
        <f ca="1">IFERROR(__xludf.DUMMYFUNCTION("""COMPUTED_VALUE"""),"Work with 5 to 6 people in my team")</f>
        <v>Work with 5 to 6 people in my team</v>
      </c>
      <c r="Q529" s="1" t="str">
        <f ca="1">IFERROR(__xludf.DUMMYFUNCTION("""COMPUTED_VALUE"""),"No")</f>
        <v>No</v>
      </c>
      <c r="R529" s="1" t="str">
        <f ca="1">IFERROR(__xludf.DUMMYFUNCTION("""COMPUTED_VALUE"""),"This will be hard to do, but if it is the right company I would try")</f>
        <v>This will be hard to do, but if it is the right company I would try</v>
      </c>
      <c r="S529" s="1"/>
    </row>
    <row r="530" spans="1:19" ht="12.5" x14ac:dyDescent="0.25">
      <c r="A530" s="2">
        <f ca="1">IFERROR(__xludf.DUMMYFUNCTION("""COMPUTED_VALUE"""),45021.6308313426)</f>
        <v>45021.630831342598</v>
      </c>
      <c r="B530" s="1" t="str">
        <f ca="1">IFERROR(__xludf.DUMMYFUNCTION("""COMPUTED_VALUE"""),"India")</f>
        <v>India</v>
      </c>
      <c r="C530" s="1">
        <f ca="1">IFERROR(__xludf.DUMMYFUNCTION("""COMPUTED_VALUE"""),517502)</f>
        <v>517502</v>
      </c>
      <c r="D530" s="1" t="str">
        <f ca="1">IFERROR(__xludf.DUMMYFUNCTION("""COMPUTED_VALUE"""),"Male")</f>
        <v>Male</v>
      </c>
      <c r="E530" s="1" t="str">
        <f ca="1">IFERROR(__xludf.DUMMYFUNCTION("""COMPUTED_VALUE"""),"My Parents")</f>
        <v>My Parents</v>
      </c>
      <c r="F530" s="1" t="str">
        <f ca="1">IFERROR(__xludf.DUMMYFUNCTION("""COMPUTED_VALUE"""),"No I would not be pursuing Higher Education outside of India")</f>
        <v>No I would not be pursuing Higher Education outside of India</v>
      </c>
      <c r="G530" s="1" t="str">
        <f ca="1">IFERROR(__xludf.DUMMYFUNCTION("""COMPUTED_VALUE"""),"This will be hard to do, but if it is the right company I would try")</f>
        <v>This will be hard to do, but if it is the right company I would try</v>
      </c>
      <c r="H530" s="1" t="str">
        <f ca="1">IFERROR(__xludf.DUMMYFUNCTION("""COMPUTED_VALUE"""),"Yes")</f>
        <v>Yes</v>
      </c>
      <c r="I530" s="1" t="str">
        <f ca="1">IFERROR(__xludf.DUMMYFUNCTION("""COMPUTED_VALUE"""),"Will work for them")</f>
        <v>Will work for them</v>
      </c>
      <c r="J530" s="1">
        <f ca="1">IFERROR(__xludf.DUMMYFUNCTION("""COMPUTED_VALUE"""),3)</f>
        <v>3</v>
      </c>
      <c r="K530" s="1" t="str">
        <f ca="1">IFERROR(__xludf.DUMMYFUNCTION("""COMPUTED_VALUE"""),"Every Day Office Environment")</f>
        <v>Every Day Office Environment</v>
      </c>
      <c r="L53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530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530" s="1" t="str">
        <f ca="1">IFERROR(__xludf.DUMMYFUNCTION("""COMPUTED_VALUE"""),"Business Operations in any organization, Entrepreneur or Start Up, I Want to sell things/Sales, An Artificial Intelligence Specialist / Talking to Robots")</f>
        <v>Business Operations in any organization, Entrepreneur or Start Up, I Want to sell things/Sales, An Artificial Intelligence Specialist / Talking to Robots</v>
      </c>
      <c r="O530" s="1" t="str">
        <f ca="1">IFERROR(__xludf.DUMMYFUNCTION("""COMPUTED_VALUE"""),"Manager who explains what is expected, sets a goal and helps achieve it")</f>
        <v>Manager who explains what is expected, sets a goal and helps achieve it</v>
      </c>
      <c r="P530" s="1" t="str">
        <f ca="1">IFERROR(__xludf.DUMMYFUNCTION("""COMPUTED_VALUE"""),"Work with 7 to 10 or more people in my team")</f>
        <v>Work with 7 to 10 or more people in my team</v>
      </c>
      <c r="Q530" s="1" t="str">
        <f ca="1">IFERROR(__xludf.DUMMYFUNCTION("""COMPUTED_VALUE"""),"Yes")</f>
        <v>Yes</v>
      </c>
      <c r="R530" s="1" t="str">
        <f ca="1">IFERROR(__xludf.DUMMYFUNCTION("""COMPUTED_VALUE"""),"No way")</f>
        <v>No way</v>
      </c>
      <c r="S530" s="1"/>
    </row>
    <row r="531" spans="1:19" ht="12.5" x14ac:dyDescent="0.25">
      <c r="A531" s="2">
        <f ca="1">IFERROR(__xludf.DUMMYFUNCTION("""COMPUTED_VALUE"""),45021.6385231712)</f>
        <v>45021.638523171197</v>
      </c>
      <c r="B531" s="1" t="str">
        <f ca="1">IFERROR(__xludf.DUMMYFUNCTION("""COMPUTED_VALUE"""),"India")</f>
        <v>India</v>
      </c>
      <c r="C531" s="1">
        <f ca="1">IFERROR(__xludf.DUMMYFUNCTION("""COMPUTED_VALUE"""),452013)</f>
        <v>452013</v>
      </c>
      <c r="D531" s="1" t="str">
        <f ca="1">IFERROR(__xludf.DUMMYFUNCTION("""COMPUTED_VALUE"""),"Male")</f>
        <v>Male</v>
      </c>
      <c r="E531" s="1" t="str">
        <f ca="1">IFERROR(__xludf.DUMMYFUNCTION("""COMPUTED_VALUE"""),"My Parents")</f>
        <v>My Parents</v>
      </c>
      <c r="F531" s="1" t="str">
        <f ca="1">IFERROR(__xludf.DUMMYFUNCTION("""COMPUTED_VALUE"""),"Yes, I will earn and do that")</f>
        <v>Yes, I will earn and do that</v>
      </c>
      <c r="G531" s="1" t="str">
        <f ca="1">IFERROR(__xludf.DUMMYFUNCTION("""COMPUTED_VALUE"""),"This will be hard to do, but if it is the right company I would try")</f>
        <v>This will be hard to do, but if it is the right company I would try</v>
      </c>
      <c r="H531" s="1" t="str">
        <f ca="1">IFERROR(__xludf.DUMMYFUNCTION("""COMPUTED_VALUE"""),"No")</f>
        <v>No</v>
      </c>
      <c r="I531" s="1" t="str">
        <f ca="1">IFERROR(__xludf.DUMMYFUNCTION("""COMPUTED_VALUE"""),"Will NOT work for them")</f>
        <v>Will NOT work for them</v>
      </c>
      <c r="J531" s="1">
        <f ca="1">IFERROR(__xludf.DUMMYFUNCTION("""COMPUTED_VALUE"""),6)</f>
        <v>6</v>
      </c>
      <c r="K531" s="1" t="str">
        <f ca="1">IFERROR(__xludf.DUMMYFUNCTION("""COMPUTED_VALUE"""),"Every Day Office Environment")</f>
        <v>Every Day Office Environment</v>
      </c>
      <c r="L531" s="1" t="str">
        <f ca="1">IFERROR(__xludf.DUMMYFUNCTION("""COMPUTED_VALUE"""),"Employer who appreciates learning and enables that environment")</f>
        <v>Employer who appreciates learning and enables that environment</v>
      </c>
      <c r="M53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531" s="1" t="str">
        <f ca="1">IFERROR(__xludf.DUMMYFUNCTION("""COMPUTED_VALUE"""),"Manage and drive End-to-End Projects or Products, Build and develop a Team, Entrepreneur or Start Up, Manufacturing / Oil and Gas/ Construction / Hard Physical Work related")</f>
        <v>Manage and drive End-to-End Projects or Products, Build and develop a Team, Entrepreneur or Start Up, Manufacturing / Oil and Gas/ Construction / Hard Physical Work related</v>
      </c>
      <c r="O531" s="1" t="str">
        <f ca="1">IFERROR(__xludf.DUMMYFUNCTION("""COMPUTED_VALUE"""),"Manager who explains what is expected, sets a goal and helps achieve it")</f>
        <v>Manager who explains what is expected, sets a goal and helps achieve it</v>
      </c>
      <c r="P531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531" s="1" t="str">
        <f ca="1">IFERROR(__xludf.DUMMYFUNCTION("""COMPUTED_VALUE"""),"I have NO other choice")</f>
        <v>I have NO other choice</v>
      </c>
      <c r="R531" s="1" t="str">
        <f ca="1">IFERROR(__xludf.DUMMYFUNCTION("""COMPUTED_VALUE"""),"This will be hard to do, but if it is the right company I would try")</f>
        <v>This will be hard to do, but if it is the right company I would try</v>
      </c>
      <c r="S531" s="1"/>
    </row>
    <row r="532" spans="1:19" ht="12.5" x14ac:dyDescent="0.25">
      <c r="A532" s="2">
        <f ca="1">IFERROR(__xludf.DUMMYFUNCTION("""COMPUTED_VALUE"""),45021.6395241782)</f>
        <v>45021.639524178201</v>
      </c>
      <c r="B532" s="1" t="str">
        <f ca="1">IFERROR(__xludf.DUMMYFUNCTION("""COMPUTED_VALUE"""),"India")</f>
        <v>India</v>
      </c>
      <c r="C532" s="1">
        <f ca="1">IFERROR(__xludf.DUMMYFUNCTION("""COMPUTED_VALUE"""),364001)</f>
        <v>364001</v>
      </c>
      <c r="D532" s="1" t="str">
        <f ca="1">IFERROR(__xludf.DUMMYFUNCTION("""COMPUTED_VALUE"""),"Male")</f>
        <v>Male</v>
      </c>
      <c r="E532" s="1" t="str">
        <f ca="1">IFERROR(__xludf.DUMMYFUNCTION("""COMPUTED_VALUE"""),"People who have changed the world for better")</f>
        <v>People who have changed the world for better</v>
      </c>
      <c r="F532" s="1" t="str">
        <f ca="1">IFERROR(__xludf.DUMMYFUNCTION("""COMPUTED_VALUE"""),"Yes, I will earn and do that")</f>
        <v>Yes, I will earn and do that</v>
      </c>
      <c r="G532" s="1" t="str">
        <f ca="1">IFERROR(__xludf.DUMMYFUNCTION("""COMPUTED_VALUE"""),"No way")</f>
        <v>No way</v>
      </c>
      <c r="H532" s="1" t="str">
        <f ca="1">IFERROR(__xludf.DUMMYFUNCTION("""COMPUTED_VALUE"""),"No")</f>
        <v>No</v>
      </c>
      <c r="I532" s="1" t="str">
        <f ca="1">IFERROR(__xludf.DUMMYFUNCTION("""COMPUTED_VALUE"""),"Will NOT work for them")</f>
        <v>Will NOT work for them</v>
      </c>
      <c r="J532" s="1">
        <f ca="1">IFERROR(__xludf.DUMMYFUNCTION("""COMPUTED_VALUE"""),1)</f>
        <v>1</v>
      </c>
      <c r="K532" s="1" t="str">
        <f ca="1">IFERROR(__xludf.DUMMYFUNCTION("""COMPUTED_VALUE"""),"Fully Remote with Options to travel as and when needed")</f>
        <v>Fully Remote with Options to travel as and when needed</v>
      </c>
      <c r="L5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3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32" s="1" t="str">
        <f ca="1">IFERROR(__xludf.DUMMYFUNCTION("""COMPUTED_VALUE"""),"Design and Creative strategy in any company, Teaching in any of the institutes/colleges/online or offline, Work as a freelancer and do my thing my way, I Want to sell things/Sales")</f>
        <v>Design and Creative strategy in any company, Teaching in any of the institutes/colleges/online or offline, Work as a freelancer and do my thing my way, I Want to sell things/Sales</v>
      </c>
      <c r="O532" s="1" t="str">
        <f ca="1">IFERROR(__xludf.DUMMYFUNCTION("""COMPUTED_VALUE"""),"Manager who sets goal and helps me achieve it")</f>
        <v>Manager who sets goal and helps me achieve it</v>
      </c>
      <c r="P532" s="1" t="str">
        <f ca="1">IFERROR(__xludf.DUMMYFUNCTION("""COMPUTED_VALUE"""),"Work with 2 to 3 people in my team")</f>
        <v>Work with 2 to 3 people in my team</v>
      </c>
      <c r="Q532" s="1" t="str">
        <f ca="1">IFERROR(__xludf.DUMMYFUNCTION("""COMPUTED_VALUE"""),"No")</f>
        <v>No</v>
      </c>
      <c r="R532" s="1" t="str">
        <f ca="1">IFERROR(__xludf.DUMMYFUNCTION("""COMPUTED_VALUE"""),"No way")</f>
        <v>No way</v>
      </c>
      <c r="S532" s="1"/>
    </row>
    <row r="533" spans="1:19" ht="12.5" x14ac:dyDescent="0.25">
      <c r="A533" s="2">
        <f ca="1">IFERROR(__xludf.DUMMYFUNCTION("""COMPUTED_VALUE"""),45021.6421212962)</f>
        <v>45021.642121296201</v>
      </c>
      <c r="B533" s="1" t="str">
        <f ca="1">IFERROR(__xludf.DUMMYFUNCTION("""COMPUTED_VALUE"""),"India")</f>
        <v>India</v>
      </c>
      <c r="C533" s="1">
        <f ca="1">IFERROR(__xludf.DUMMYFUNCTION("""COMPUTED_VALUE"""),382340)</f>
        <v>382340</v>
      </c>
      <c r="D533" s="1" t="str">
        <f ca="1">IFERROR(__xludf.DUMMYFUNCTION("""COMPUTED_VALUE"""),"Female")</f>
        <v>Female</v>
      </c>
      <c r="E533" s="1" t="str">
        <f ca="1">IFERROR(__xludf.DUMMYFUNCTION("""COMPUTED_VALUE"""),"Influencers who had successful careers")</f>
        <v>Influencers who had successful careers</v>
      </c>
      <c r="F533" s="1" t="str">
        <f ca="1">IFERROR(__xludf.DUMMYFUNCTION("""COMPUTED_VALUE"""),"Yes, I will earn and do that")</f>
        <v>Yes, I will earn and do that</v>
      </c>
      <c r="G533" s="1" t="str">
        <f ca="1">IFERROR(__xludf.DUMMYFUNCTION("""COMPUTED_VALUE"""),"This will be hard to do, but if it is the right company I would try")</f>
        <v>This will be hard to do, but if it is the right company I would try</v>
      </c>
      <c r="H533" s="1" t="str">
        <f ca="1">IFERROR(__xludf.DUMMYFUNCTION("""COMPUTED_VALUE"""),"No")</f>
        <v>No</v>
      </c>
      <c r="I533" s="1" t="str">
        <f ca="1">IFERROR(__xludf.DUMMYFUNCTION("""COMPUTED_VALUE"""),"Will NOT work for them")</f>
        <v>Will NOT work for them</v>
      </c>
      <c r="J533" s="1">
        <f ca="1">IFERROR(__xludf.DUMMYFUNCTION("""COMPUTED_VALUE"""),5)</f>
        <v>5</v>
      </c>
      <c r="K533" s="1" t="str">
        <f ca="1">IFERROR(__xludf.DUMMYFUNCTION("""COMPUTED_VALUE"""),"Fully Remote with Options to travel as and when needed")</f>
        <v>Fully Remote with Options to travel as and when needed</v>
      </c>
      <c r="L533" s="1" t="str">
        <f ca="1">IFERROR(__xludf.DUMMYFUNCTION("""COMPUTED_VALUE"""),"Employer who appreciates learning and enables that environment")</f>
        <v>Employer who appreciates learning and enables that environment</v>
      </c>
      <c r="M53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33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533" s="1" t="str">
        <f ca="1">IFERROR(__xludf.DUMMYFUNCTION("""COMPUTED_VALUE"""),"Manager who explains what is expected, sets a goal and helps achieve it")</f>
        <v>Manager who explains what is expected, sets a goal and helps achieve it</v>
      </c>
      <c r="P533" s="1" t="str">
        <f ca="1">IFERROR(__xludf.DUMMYFUNCTION("""COMPUTED_VALUE"""),"Work with more than 10 people in my team")</f>
        <v>Work with more than 10 people in my team</v>
      </c>
      <c r="Q533" s="1" t="str">
        <f ca="1">IFERROR(__xludf.DUMMYFUNCTION("""COMPUTED_VALUE"""),"Yes, I Understand this is gonna happen everywhere")</f>
        <v>Yes, I Understand this is gonna happen everywhere</v>
      </c>
      <c r="R533" s="1" t="str">
        <f ca="1">IFERROR(__xludf.DUMMYFUNCTION("""COMPUTED_VALUE"""),"This will be hard to do, but if it is the right company I would try")</f>
        <v>This will be hard to do, but if it is the right company I would try</v>
      </c>
      <c r="S533" s="1"/>
    </row>
    <row r="534" spans="1:19" ht="12.5" x14ac:dyDescent="0.25">
      <c r="A534" s="2">
        <f ca="1">IFERROR(__xludf.DUMMYFUNCTION("""COMPUTED_VALUE"""),45021.644386956)</f>
        <v>45021.644386956003</v>
      </c>
      <c r="B534" s="1" t="str">
        <f ca="1">IFERROR(__xludf.DUMMYFUNCTION("""COMPUTED_VALUE"""),"India")</f>
        <v>India</v>
      </c>
      <c r="C534" s="1">
        <f ca="1">IFERROR(__xludf.DUMMYFUNCTION("""COMPUTED_VALUE"""),831015)</f>
        <v>831015</v>
      </c>
      <c r="D534" s="1" t="str">
        <f ca="1">IFERROR(__xludf.DUMMYFUNCTION("""COMPUTED_VALUE"""),"Female")</f>
        <v>Female</v>
      </c>
      <c r="E534" s="1" t="str">
        <f ca="1">IFERROR(__xludf.DUMMYFUNCTION("""COMPUTED_VALUE"""),"Social Media like LinkedIn")</f>
        <v>Social Media like LinkedIn</v>
      </c>
      <c r="F534" s="1" t="str">
        <f ca="1">IFERROR(__xludf.DUMMYFUNCTION("""COMPUTED_VALUE"""),"No, But if someone could bare the cost I will")</f>
        <v>No, But if someone could bare the cost I will</v>
      </c>
      <c r="G534" s="1" t="str">
        <f ca="1">IFERROR(__xludf.DUMMYFUNCTION("""COMPUTED_VALUE"""),"This will be hard to do, but if it is the right company I would try")</f>
        <v>This will be hard to do, but if it is the right company I would try</v>
      </c>
      <c r="H534" s="1" t="str">
        <f ca="1">IFERROR(__xludf.DUMMYFUNCTION("""COMPUTED_VALUE"""),"No")</f>
        <v>No</v>
      </c>
      <c r="I534" s="1" t="str">
        <f ca="1">IFERROR(__xludf.DUMMYFUNCTION("""COMPUTED_VALUE"""),"Will work for them")</f>
        <v>Will work for them</v>
      </c>
      <c r="J534" s="1">
        <f ca="1">IFERROR(__xludf.DUMMYFUNCTION("""COMPUTED_VALUE"""),9)</f>
        <v>9</v>
      </c>
      <c r="K534" s="1" t="str">
        <f ca="1">IFERROR(__xludf.DUMMYFUNCTION("""COMPUTED_VALUE"""),"Fully Remote with Options to travel as and when needed")</f>
        <v>Fully Remote with Options to travel as and when needed</v>
      </c>
      <c r="L534" s="1" t="str">
        <f ca="1">IFERROR(__xludf.DUMMYFUNCTION("""COMPUTED_VALUE"""),"Employer who rewards learning and enables that environment")</f>
        <v>Employer who rewards learning and enables that environment</v>
      </c>
      <c r="M534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534" s="1" t="str">
        <f ca="1">IFERROR(__xludf.DUMMYFUNCTION("""COMPUTED_VALUE"""),"Design and Creative strategy in any company, Business Operations in any organization, Build and develop a Team, Become a content Creator in some platform")</f>
        <v>Design and Creative strategy in any company, Business Operations in any organization, Build and develop a Team, Become a content Creator in some platform</v>
      </c>
      <c r="O534" s="1" t="str">
        <f ca="1">IFERROR(__xludf.DUMMYFUNCTION("""COMPUTED_VALUE"""),"Manager who clearly describes what she/he needs")</f>
        <v>Manager who clearly describes what she/he needs</v>
      </c>
      <c r="P534" s="1" t="str">
        <f ca="1">IFERROR(__xludf.DUMMYFUNCTION("""COMPUTED_VALUE"""),"Work with 5 to 6 people in my team")</f>
        <v>Work with 5 to 6 people in my team</v>
      </c>
      <c r="Q534" s="1" t="str">
        <f ca="1">IFERROR(__xludf.DUMMYFUNCTION("""COMPUTED_VALUE"""),"No")</f>
        <v>No</v>
      </c>
      <c r="R534" s="1" t="str">
        <f ca="1">IFERROR(__xludf.DUMMYFUNCTION("""COMPUTED_VALUE"""),"This will be hard to do, but if it is the right company I would try")</f>
        <v>This will be hard to do, but if it is the right company I would try</v>
      </c>
      <c r="S534" s="1"/>
    </row>
    <row r="535" spans="1:19" ht="12.5" x14ac:dyDescent="0.25">
      <c r="A535" s="2">
        <f ca="1">IFERROR(__xludf.DUMMYFUNCTION("""COMPUTED_VALUE"""),45021.6459387963)</f>
        <v>45021.645938796297</v>
      </c>
      <c r="B535" s="1" t="str">
        <f ca="1">IFERROR(__xludf.DUMMYFUNCTION("""COMPUTED_VALUE"""),"India")</f>
        <v>India</v>
      </c>
      <c r="C535" s="1">
        <f ca="1">IFERROR(__xludf.DUMMYFUNCTION("""COMPUTED_VALUE"""),422003)</f>
        <v>422003</v>
      </c>
      <c r="D535" s="1" t="str">
        <f ca="1">IFERROR(__xludf.DUMMYFUNCTION("""COMPUTED_VALUE"""),"Male")</f>
        <v>Male</v>
      </c>
      <c r="E535" s="1" t="str">
        <f ca="1">IFERROR(__xludf.DUMMYFUNCTION("""COMPUTED_VALUE"""),"People who have changed the world for better")</f>
        <v>People who have changed the world for better</v>
      </c>
      <c r="F535" s="1" t="str">
        <f ca="1">IFERROR(__xludf.DUMMYFUNCTION("""COMPUTED_VALUE"""),"No I would not be pursuing Higher Education outside of India")</f>
        <v>No I would not be pursuing Higher Education outside of India</v>
      </c>
      <c r="G535" s="1" t="str">
        <f ca="1">IFERROR(__xludf.DUMMYFUNCTION("""COMPUTED_VALUE"""),"This will be hard to do, but if it is the right company I would try")</f>
        <v>This will be hard to do, but if it is the right company I would try</v>
      </c>
      <c r="H535" s="1" t="str">
        <f ca="1">IFERROR(__xludf.DUMMYFUNCTION("""COMPUTED_VALUE"""),"No")</f>
        <v>No</v>
      </c>
      <c r="I535" s="1" t="str">
        <f ca="1">IFERROR(__xludf.DUMMYFUNCTION("""COMPUTED_VALUE"""),"Will NOT work for them")</f>
        <v>Will NOT work for them</v>
      </c>
      <c r="J535" s="1">
        <f ca="1">IFERROR(__xludf.DUMMYFUNCTION("""COMPUTED_VALUE"""),5)</f>
        <v>5</v>
      </c>
      <c r="K535" s="1" t="str">
        <f ca="1">IFERROR(__xludf.DUMMYFUNCTION("""COMPUTED_VALUE"""),"Every Day Office Environment")</f>
        <v>Every Day Office Environment</v>
      </c>
      <c r="L535" s="1" t="str">
        <f ca="1">IFERROR(__xludf.DUMMYFUNCTION("""COMPUTED_VALUE"""),"Employer who appreciates learning and enables that environment")</f>
        <v>Employer who appreciates learning and enables that environment</v>
      </c>
      <c r="M53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35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535" s="1" t="str">
        <f ca="1">IFERROR(__xludf.DUMMYFUNCTION("""COMPUTED_VALUE"""),"Manager who explains what is expected, sets a goal and helps achieve it")</f>
        <v>Manager who explains what is expected, sets a goal and helps achieve it</v>
      </c>
      <c r="P535" s="1" t="str">
        <f ca="1">IFERROR(__xludf.DUMMYFUNCTION("""COMPUTED_VALUE"""),"Work with 2 to 3 people in my team")</f>
        <v>Work with 2 to 3 people in my team</v>
      </c>
      <c r="Q535" s="1" t="str">
        <f ca="1">IFERROR(__xludf.DUMMYFUNCTION("""COMPUTED_VALUE"""),"No")</f>
        <v>No</v>
      </c>
      <c r="R535" s="1" t="str">
        <f ca="1">IFERROR(__xludf.DUMMYFUNCTION("""COMPUTED_VALUE"""),"This will be hard to do, but if it is the right company I would try")</f>
        <v>This will be hard to do, but if it is the right company I would try</v>
      </c>
      <c r="S535" s="1"/>
    </row>
    <row r="536" spans="1:19" ht="12.5" x14ac:dyDescent="0.25">
      <c r="A536" s="2">
        <f ca="1">IFERROR(__xludf.DUMMYFUNCTION("""COMPUTED_VALUE"""),45021.6475687615)</f>
        <v>45021.647568761502</v>
      </c>
      <c r="B536" s="1" t="str">
        <f ca="1">IFERROR(__xludf.DUMMYFUNCTION("""COMPUTED_VALUE"""),"India")</f>
        <v>India</v>
      </c>
      <c r="C536" s="1">
        <f ca="1">IFERROR(__xludf.DUMMYFUNCTION("""COMPUTED_VALUE"""),517501)</f>
        <v>517501</v>
      </c>
      <c r="D536" s="1" t="str">
        <f ca="1">IFERROR(__xludf.DUMMYFUNCTION("""COMPUTED_VALUE"""),"Male")</f>
        <v>Male</v>
      </c>
      <c r="E536" s="1" t="str">
        <f ca="1">IFERROR(__xludf.DUMMYFUNCTION("""COMPUTED_VALUE"""),"My Parents")</f>
        <v>My Parents</v>
      </c>
      <c r="F536" s="1" t="str">
        <f ca="1">IFERROR(__xludf.DUMMYFUNCTION("""COMPUTED_VALUE"""),"Yes, I will earn and do that")</f>
        <v>Yes, I will earn and do that</v>
      </c>
      <c r="G536" s="1" t="str">
        <f ca="1">IFERROR(__xludf.DUMMYFUNCTION("""COMPUTED_VALUE"""),"Will work for 3 years or more")</f>
        <v>Will work for 3 years or more</v>
      </c>
      <c r="H536" s="1" t="str">
        <f ca="1">IFERROR(__xludf.DUMMYFUNCTION("""COMPUTED_VALUE"""),"No")</f>
        <v>No</v>
      </c>
      <c r="I536" s="1" t="str">
        <f ca="1">IFERROR(__xludf.DUMMYFUNCTION("""COMPUTED_VALUE"""),"Will NOT work for them")</f>
        <v>Will NOT work for them</v>
      </c>
      <c r="J536" s="1">
        <f ca="1">IFERROR(__xludf.DUMMYFUNCTION("""COMPUTED_VALUE"""),7)</f>
        <v>7</v>
      </c>
      <c r="K536" s="1" t="str">
        <f ca="1">IFERROR(__xludf.DUMMYFUNCTION("""COMPUTED_VALUE"""),"Every Day Office Environment")</f>
        <v>Every Day Office Environment</v>
      </c>
      <c r="L5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3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36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536" s="1" t="str">
        <f ca="1">IFERROR(__xludf.DUMMYFUNCTION("""COMPUTED_VALUE"""),"Manager who explains what is expected, sets a goal and helps achieve it")</f>
        <v>Manager who explains what is expected, sets a goal and helps achieve it</v>
      </c>
      <c r="P536" s="1" t="str">
        <f ca="1">IFERROR(__xludf.DUMMYFUNCTION("""COMPUTED_VALUE"""),"Work with 5 to 6 people in my team")</f>
        <v>Work with 5 to 6 people in my team</v>
      </c>
      <c r="Q536" s="1" t="str">
        <f ca="1">IFERROR(__xludf.DUMMYFUNCTION("""COMPUTED_VALUE"""),"Yes, I Understand this is gonna happen everywhere")</f>
        <v>Yes, I Understand this is gonna happen everywhere</v>
      </c>
      <c r="R536" s="1" t="str">
        <f ca="1">IFERROR(__xludf.DUMMYFUNCTION("""COMPUTED_VALUE"""),"No way")</f>
        <v>No way</v>
      </c>
      <c r="S536" s="1"/>
    </row>
    <row r="537" spans="1:19" ht="12.5" x14ac:dyDescent="0.25">
      <c r="A537" s="2">
        <f ca="1">IFERROR(__xludf.DUMMYFUNCTION("""COMPUTED_VALUE"""),45021.6498344791)</f>
        <v>45021.649834479103</v>
      </c>
      <c r="B537" s="1" t="str">
        <f ca="1">IFERROR(__xludf.DUMMYFUNCTION("""COMPUTED_VALUE"""),"India")</f>
        <v>India</v>
      </c>
      <c r="C537" s="1">
        <f ca="1">IFERROR(__xludf.DUMMYFUNCTION("""COMPUTED_VALUE"""),831015)</f>
        <v>831015</v>
      </c>
      <c r="D537" s="1" t="str">
        <f ca="1">IFERROR(__xludf.DUMMYFUNCTION("""COMPUTED_VALUE"""),"Male")</f>
        <v>Male</v>
      </c>
      <c r="E537" s="1" t="str">
        <f ca="1">IFERROR(__xludf.DUMMYFUNCTION("""COMPUTED_VALUE"""),"Influencers who had successful careers")</f>
        <v>Influencers who had successful careers</v>
      </c>
      <c r="F537" s="1" t="str">
        <f ca="1">IFERROR(__xludf.DUMMYFUNCTION("""COMPUTED_VALUE"""),"Yes, I will earn and do that")</f>
        <v>Yes, I will earn and do that</v>
      </c>
      <c r="G537" s="1" t="str">
        <f ca="1">IFERROR(__xludf.DUMMYFUNCTION("""COMPUTED_VALUE"""),"Will work for 3 years or more")</f>
        <v>Will work for 3 years or more</v>
      </c>
      <c r="H537" s="1" t="str">
        <f ca="1">IFERROR(__xludf.DUMMYFUNCTION("""COMPUTED_VALUE"""),"Yes")</f>
        <v>Yes</v>
      </c>
      <c r="I537" s="1" t="str">
        <f ca="1">IFERROR(__xludf.DUMMYFUNCTION("""COMPUTED_VALUE"""),"Will work for them")</f>
        <v>Will work for them</v>
      </c>
      <c r="J537" s="1">
        <f ca="1">IFERROR(__xludf.DUMMYFUNCTION("""COMPUTED_VALUE"""),10)</f>
        <v>10</v>
      </c>
      <c r="K537" s="1" t="str">
        <f ca="1">IFERROR(__xludf.DUMMYFUNCTION("""COMPUTED_VALUE"""),"Fully Remote with Options to travel as and when needed")</f>
        <v>Fully Remote with Options to travel as and when needed</v>
      </c>
      <c r="L537" s="1" t="str">
        <f ca="1">IFERROR(__xludf.DUMMYFUNCTION("""COMPUTED_VALUE"""),"Employer who appreciates learning and enables that environment")</f>
        <v>Employer who appreciates learning and enables that environment</v>
      </c>
      <c r="M53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37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537" s="1" t="str">
        <f ca="1">IFERROR(__xludf.DUMMYFUNCTION("""COMPUTED_VALUE"""),"Manager who explains what is expected, sets a goal and helps achieve it")</f>
        <v>Manager who explains what is expected, sets a goal and helps achieve it</v>
      </c>
      <c r="P537" s="1" t="str">
        <f ca="1">IFERROR(__xludf.DUMMYFUNCTION("""COMPUTED_VALUE"""),"Work with 7 to 10 or more people in my team")</f>
        <v>Work with 7 to 10 or more people in my team</v>
      </c>
      <c r="Q537" s="1" t="str">
        <f ca="1">IFERROR(__xludf.DUMMYFUNCTION("""COMPUTED_VALUE"""),"Yes")</f>
        <v>Yes</v>
      </c>
      <c r="R537" s="1" t="str">
        <f ca="1">IFERROR(__xludf.DUMMYFUNCTION("""COMPUTED_VALUE"""),"This will be hard to do, but if it is the right company I would try")</f>
        <v>This will be hard to do, but if it is the right company I would try</v>
      </c>
      <c r="S537" s="1"/>
    </row>
    <row r="538" spans="1:19" ht="12.5" x14ac:dyDescent="0.25">
      <c r="A538" s="2">
        <f ca="1">IFERROR(__xludf.DUMMYFUNCTION("""COMPUTED_VALUE"""),45021.6538080208)</f>
        <v>45021.653808020797</v>
      </c>
      <c r="B538" s="1" t="str">
        <f ca="1">IFERROR(__xludf.DUMMYFUNCTION("""COMPUTED_VALUE"""),"India")</f>
        <v>India</v>
      </c>
      <c r="C538" s="1">
        <f ca="1">IFERROR(__xludf.DUMMYFUNCTION("""COMPUTED_VALUE"""),831006)</f>
        <v>831006</v>
      </c>
      <c r="D538" s="1" t="str">
        <f ca="1">IFERROR(__xludf.DUMMYFUNCTION("""COMPUTED_VALUE"""),"Female")</f>
        <v>Female</v>
      </c>
      <c r="E538" s="1" t="str">
        <f ca="1">IFERROR(__xludf.DUMMYFUNCTION("""COMPUTED_VALUE"""),"My Parents")</f>
        <v>My Parents</v>
      </c>
      <c r="F538" s="1" t="str">
        <f ca="1">IFERROR(__xludf.DUMMYFUNCTION("""COMPUTED_VALUE"""),"Yes, I will earn and do that")</f>
        <v>Yes, I will earn and do that</v>
      </c>
      <c r="G538" s="1" t="str">
        <f ca="1">IFERROR(__xludf.DUMMYFUNCTION("""COMPUTED_VALUE"""),"This will be hard to do, but if it is the right company I would try")</f>
        <v>This will be hard to do, but if it is the right company I would try</v>
      </c>
      <c r="H538" s="1" t="str">
        <f ca="1">IFERROR(__xludf.DUMMYFUNCTION("""COMPUTED_VALUE"""),"Yes")</f>
        <v>Yes</v>
      </c>
      <c r="I538" s="1" t="str">
        <f ca="1">IFERROR(__xludf.DUMMYFUNCTION("""COMPUTED_VALUE"""),"Will work for them")</f>
        <v>Will work for them</v>
      </c>
      <c r="J538" s="1">
        <f ca="1">IFERROR(__xludf.DUMMYFUNCTION("""COMPUTED_VALUE"""),2)</f>
        <v>2</v>
      </c>
      <c r="K538" s="1" t="str">
        <f ca="1">IFERROR(__xludf.DUMMYFUNCTION("""COMPUTED_VALUE"""),"Fully Remote with Options to travel as and when needed")</f>
        <v>Fully Remote with Options to travel as and when needed</v>
      </c>
      <c r="L5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3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38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538" s="1" t="str">
        <f ca="1">IFERROR(__xludf.DUMMYFUNCTION("""COMPUTED_VALUE"""),"Manager who clearly describes what she/he needs")</f>
        <v>Manager who clearly describes what she/he needs</v>
      </c>
      <c r="P538" s="1" t="str">
        <f ca="1">IFERROR(__xludf.DUMMYFUNCTION("""COMPUTED_VALUE"""),"Work with 2 to 3 people in my team")</f>
        <v>Work with 2 to 3 people in my team</v>
      </c>
      <c r="Q538" s="1" t="str">
        <f ca="1">IFERROR(__xludf.DUMMYFUNCTION("""COMPUTED_VALUE"""),"Yes, I Understand this is gonna happen everywhere")</f>
        <v>Yes, I Understand this is gonna happen everywhere</v>
      </c>
      <c r="R538" s="1" t="str">
        <f ca="1">IFERROR(__xludf.DUMMYFUNCTION("""COMPUTED_VALUE"""),"This will be hard to do, but if it is the right company I would try")</f>
        <v>This will be hard to do, but if it is the right company I would try</v>
      </c>
      <c r="S538" s="1"/>
    </row>
    <row r="539" spans="1:19" ht="12.5" x14ac:dyDescent="0.25">
      <c r="A539" s="2">
        <f ca="1">IFERROR(__xludf.DUMMYFUNCTION("""COMPUTED_VALUE"""),45021.6540724189)</f>
        <v>45021.654072418904</v>
      </c>
      <c r="B539" s="1" t="str">
        <f ca="1">IFERROR(__xludf.DUMMYFUNCTION("""COMPUTED_VALUE"""),"India")</f>
        <v>India</v>
      </c>
      <c r="C539" s="1">
        <f ca="1">IFERROR(__xludf.DUMMYFUNCTION("""COMPUTED_VALUE"""),832110)</f>
        <v>832110</v>
      </c>
      <c r="D539" s="1" t="str">
        <f ca="1">IFERROR(__xludf.DUMMYFUNCTION("""COMPUTED_VALUE"""),"Male")</f>
        <v>Male</v>
      </c>
      <c r="E539" s="1" t="str">
        <f ca="1">IFERROR(__xludf.DUMMYFUNCTION("""COMPUTED_VALUE"""),"My Parents")</f>
        <v>My Parents</v>
      </c>
      <c r="F539" s="1" t="str">
        <f ca="1">IFERROR(__xludf.DUMMYFUNCTION("""COMPUTED_VALUE"""),"No I would not be pursuing Higher Education outside of India")</f>
        <v>No I would not be pursuing Higher Education outside of India</v>
      </c>
      <c r="G539" s="1" t="str">
        <f ca="1">IFERROR(__xludf.DUMMYFUNCTION("""COMPUTED_VALUE"""),"This will be hard to do, but if it is the right company I would try")</f>
        <v>This will be hard to do, but if it is the right company I would try</v>
      </c>
      <c r="H539" s="1" t="str">
        <f ca="1">IFERROR(__xludf.DUMMYFUNCTION("""COMPUTED_VALUE"""),"No")</f>
        <v>No</v>
      </c>
      <c r="I539" s="1" t="str">
        <f ca="1">IFERROR(__xludf.DUMMYFUNCTION("""COMPUTED_VALUE"""),"Will NOT work for them")</f>
        <v>Will NOT work for them</v>
      </c>
      <c r="J539" s="1">
        <f ca="1">IFERROR(__xludf.DUMMYFUNCTION("""COMPUTED_VALUE"""),10)</f>
        <v>10</v>
      </c>
      <c r="K539" s="1" t="str">
        <f ca="1">IFERROR(__xludf.DUMMYFUNCTION("""COMPUTED_VALUE"""),"Hybrid Working Environment with more than 15 days a month at office")</f>
        <v>Hybrid Working Environment with more than 15 days a month at office</v>
      </c>
      <c r="L5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3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39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539" s="1" t="str">
        <f ca="1">IFERROR(__xludf.DUMMYFUNCTION("""COMPUTED_VALUE"""),"Manager who clearly describes what she/he needs")</f>
        <v>Manager who clearly describes what she/he needs</v>
      </c>
      <c r="P539" s="1" t="str">
        <f ca="1">IFERROR(__xludf.DUMMYFUNCTION("""COMPUTED_VALUE"""),"Work alone")</f>
        <v>Work alone</v>
      </c>
      <c r="Q539" s="1" t="str">
        <f ca="1">IFERROR(__xludf.DUMMYFUNCTION("""COMPUTED_VALUE"""),"Yes, I Understand this is gonna happen everywhere")</f>
        <v>Yes, I Understand this is gonna happen everywhere</v>
      </c>
      <c r="R539" s="1" t="str">
        <f ca="1">IFERROR(__xludf.DUMMYFUNCTION("""COMPUTED_VALUE"""),"No way")</f>
        <v>No way</v>
      </c>
      <c r="S539" s="1"/>
    </row>
    <row r="540" spans="1:19" ht="12.5" x14ac:dyDescent="0.25">
      <c r="A540" s="2">
        <f ca="1">IFERROR(__xludf.DUMMYFUNCTION("""COMPUTED_VALUE"""),45021.6543216203)</f>
        <v>45021.654321620299</v>
      </c>
      <c r="B540" s="1" t="str">
        <f ca="1">IFERROR(__xludf.DUMMYFUNCTION("""COMPUTED_VALUE"""),"India")</f>
        <v>India</v>
      </c>
      <c r="C540" s="1">
        <f ca="1">IFERROR(__xludf.DUMMYFUNCTION("""COMPUTED_VALUE"""),831016)</f>
        <v>831016</v>
      </c>
      <c r="D540" s="1" t="str">
        <f ca="1">IFERROR(__xludf.DUMMYFUNCTION("""COMPUTED_VALUE"""),"Male")</f>
        <v>Male</v>
      </c>
      <c r="E540" s="1" t="str">
        <f ca="1">IFERROR(__xludf.DUMMYFUNCTION("""COMPUTED_VALUE"""),"People from my circle, but not family members")</f>
        <v>People from my circle, but not family members</v>
      </c>
      <c r="F540" s="1" t="str">
        <f ca="1">IFERROR(__xludf.DUMMYFUNCTION("""COMPUTED_VALUE"""),"Yes, I will earn and do that")</f>
        <v>Yes, I will earn and do that</v>
      </c>
      <c r="G540" s="1" t="str">
        <f ca="1">IFERROR(__xludf.DUMMYFUNCTION("""COMPUTED_VALUE"""),"No way")</f>
        <v>No way</v>
      </c>
      <c r="H540" s="1" t="str">
        <f ca="1">IFERROR(__xludf.DUMMYFUNCTION("""COMPUTED_VALUE"""),"No")</f>
        <v>No</v>
      </c>
      <c r="I540" s="1" t="str">
        <f ca="1">IFERROR(__xludf.DUMMYFUNCTION("""COMPUTED_VALUE"""),"Will work for them")</f>
        <v>Will work for them</v>
      </c>
      <c r="J540" s="1">
        <f ca="1">IFERROR(__xludf.DUMMYFUNCTION("""COMPUTED_VALUE"""),8)</f>
        <v>8</v>
      </c>
      <c r="K540" s="1" t="str">
        <f ca="1">IFERROR(__xludf.DUMMYFUNCTION("""COMPUTED_VALUE"""),"Hybrid Working Environment with more than 15 days a month at office")</f>
        <v>Hybrid Working Environment with more than 15 days a month at office</v>
      </c>
      <c r="L54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540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540" s="1" t="str">
        <f ca="1">IFERROR(__xludf.DUMMYFUNCTION("""COMPUTED_VALUE"""),"Manage and drive End-to-End Projects or Products, Design and Develop amazing software, Work in a BPO setup for some well known client, I Want to sell things/Sales")</f>
        <v>Manage and drive End-to-End Projects or Products, Design and Develop amazing software, Work in a BPO setup for some well known client, I Want to sell things/Sales</v>
      </c>
      <c r="O540" s="1" t="str">
        <f ca="1">IFERROR(__xludf.DUMMYFUNCTION("""COMPUTED_VALUE"""),"Manager who sets goal and helps me achieve it")</f>
        <v>Manager who sets goal and helps me achieve it</v>
      </c>
      <c r="P540" s="1" t="str">
        <f ca="1">IFERROR(__xludf.DUMMYFUNCTION("""COMPUTED_VALUE"""),"Work with 5 to 6 people in my team")</f>
        <v>Work with 5 to 6 people in my team</v>
      </c>
      <c r="Q540" s="1" t="str">
        <f ca="1">IFERROR(__xludf.DUMMYFUNCTION("""COMPUTED_VALUE"""),"No")</f>
        <v>No</v>
      </c>
      <c r="R540" s="1" t="str">
        <f ca="1">IFERROR(__xludf.DUMMYFUNCTION("""COMPUTED_VALUE"""),"No way")</f>
        <v>No way</v>
      </c>
      <c r="S540" s="1"/>
    </row>
    <row r="541" spans="1:19" ht="12.5" x14ac:dyDescent="0.25">
      <c r="A541" s="2">
        <f ca="1">IFERROR(__xludf.DUMMYFUNCTION("""COMPUTED_VALUE"""),45021.6567556828)</f>
        <v>45021.656755682801</v>
      </c>
      <c r="B541" s="1" t="str">
        <f ca="1">IFERROR(__xludf.DUMMYFUNCTION("""COMPUTED_VALUE"""),"India")</f>
        <v>India</v>
      </c>
      <c r="C541" s="1">
        <f ca="1">IFERROR(__xludf.DUMMYFUNCTION("""COMPUTED_VALUE"""),831001)</f>
        <v>831001</v>
      </c>
      <c r="D541" s="1" t="str">
        <f ca="1">IFERROR(__xludf.DUMMYFUNCTION("""COMPUTED_VALUE"""),"Female")</f>
        <v>Female</v>
      </c>
      <c r="E541" s="1" t="str">
        <f ca="1">IFERROR(__xludf.DUMMYFUNCTION("""COMPUTED_VALUE"""),"My Parents")</f>
        <v>My Parents</v>
      </c>
      <c r="F541" s="1" t="str">
        <f ca="1">IFERROR(__xludf.DUMMYFUNCTION("""COMPUTED_VALUE"""),"Yes, I will earn and do that")</f>
        <v>Yes, I will earn and do that</v>
      </c>
      <c r="G541" s="1" t="str">
        <f ca="1">IFERROR(__xludf.DUMMYFUNCTION("""COMPUTED_VALUE"""),"Will work for 3 years or more")</f>
        <v>Will work for 3 years or more</v>
      </c>
      <c r="H541" s="1" t="str">
        <f ca="1">IFERROR(__xludf.DUMMYFUNCTION("""COMPUTED_VALUE"""),"Yes")</f>
        <v>Yes</v>
      </c>
      <c r="I541" s="1" t="str">
        <f ca="1">IFERROR(__xludf.DUMMYFUNCTION("""COMPUTED_VALUE"""),"Will NOT work for them")</f>
        <v>Will NOT work for them</v>
      </c>
      <c r="J541" s="1">
        <f ca="1">IFERROR(__xludf.DUMMYFUNCTION("""COMPUTED_VALUE"""),3)</f>
        <v>3</v>
      </c>
      <c r="K541" s="1" t="str">
        <f ca="1">IFERROR(__xludf.DUMMYFUNCTION("""COMPUTED_VALUE"""),"Fully Remote with Options to travel as and when needed")</f>
        <v>Fully Remote with Options to travel as and when needed</v>
      </c>
      <c r="L541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541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541" s="1" t="str">
        <f ca="1">IFERROR(__xludf.DUMMYFUNCTION("""COMPUTED_VALUE"""),"Design and Creative strategy in any company, Manage and drive End-to-End Projects or Products, Build and develop a Team, Work in a BPO setup for some well known client")</f>
        <v>Design and Creative strategy in any company, Manage and drive End-to-End Projects or Products, Build and develop a Team, Work in a BPO setup for some well known client</v>
      </c>
      <c r="O541" s="1" t="str">
        <f ca="1">IFERROR(__xludf.DUMMYFUNCTION("""COMPUTED_VALUE"""),"Manager who sets unrealistic targets")</f>
        <v>Manager who sets unrealistic targets</v>
      </c>
      <c r="P541" s="1" t="str">
        <f ca="1">IFERROR(__xludf.DUMMYFUNCTION("""COMPUTED_VALUE"""),"Work with 2 to 3 people in my team, Work with 7 to 10 or more people in my team, Work with more than 10 people in my team")</f>
        <v>Work with 2 to 3 people in my team, Work with 7 to 10 or more people in my team, Work with more than 10 people in my team</v>
      </c>
      <c r="Q541" s="1" t="str">
        <f ca="1">IFERROR(__xludf.DUMMYFUNCTION("""COMPUTED_VALUE"""),"Yes, I Understand this is gonna happen everywhere")</f>
        <v>Yes, I Understand this is gonna happen everywhere</v>
      </c>
      <c r="R541" s="1" t="str">
        <f ca="1">IFERROR(__xludf.DUMMYFUNCTION("""COMPUTED_VALUE"""),"This will be hard to do, but if it is the right company I would try")</f>
        <v>This will be hard to do, but if it is the right company I would try</v>
      </c>
      <c r="S541" s="1"/>
    </row>
    <row r="542" spans="1:19" ht="12.5" x14ac:dyDescent="0.25">
      <c r="A542" s="2">
        <f ca="1">IFERROR(__xludf.DUMMYFUNCTION("""COMPUTED_VALUE"""),45021.6569752893)</f>
        <v>45021.656975289297</v>
      </c>
      <c r="B542" s="1" t="str">
        <f ca="1">IFERROR(__xludf.DUMMYFUNCTION("""COMPUTED_VALUE"""),"India")</f>
        <v>India</v>
      </c>
      <c r="C542" s="1">
        <f ca="1">IFERROR(__xludf.DUMMYFUNCTION("""COMPUTED_VALUE"""),831001)</f>
        <v>831001</v>
      </c>
      <c r="D542" s="1" t="str">
        <f ca="1">IFERROR(__xludf.DUMMYFUNCTION("""COMPUTED_VALUE"""),"Female")</f>
        <v>Female</v>
      </c>
      <c r="E542" s="1" t="str">
        <f ca="1">IFERROR(__xludf.DUMMYFUNCTION("""COMPUTED_VALUE"""),"People from my circle, but not family members")</f>
        <v>People from my circle, but not family members</v>
      </c>
      <c r="F542" s="1" t="str">
        <f ca="1">IFERROR(__xludf.DUMMYFUNCTION("""COMPUTED_VALUE"""),"Yes, I will earn and do that")</f>
        <v>Yes, I will earn and do that</v>
      </c>
      <c r="G542" s="1" t="str">
        <f ca="1">IFERROR(__xludf.DUMMYFUNCTION("""COMPUTED_VALUE"""),"This will be hard to do, but if it is the right company I would try")</f>
        <v>This will be hard to do, but if it is the right company I would try</v>
      </c>
      <c r="H542" s="1" t="str">
        <f ca="1">IFERROR(__xludf.DUMMYFUNCTION("""COMPUTED_VALUE"""),"No")</f>
        <v>No</v>
      </c>
      <c r="I542" s="1" t="str">
        <f ca="1">IFERROR(__xludf.DUMMYFUNCTION("""COMPUTED_VALUE"""),"Will NOT work for them")</f>
        <v>Will NOT work for them</v>
      </c>
      <c r="J542" s="1">
        <f ca="1">IFERROR(__xludf.DUMMYFUNCTION("""COMPUTED_VALUE"""),4)</f>
        <v>4</v>
      </c>
      <c r="K542" s="1" t="str">
        <f ca="1">IFERROR(__xludf.DUMMYFUNCTION("""COMPUTED_VALUE"""),"Fully Remote with Options to travel as and when needed")</f>
        <v>Fully Remote with Options to travel as and when needed</v>
      </c>
      <c r="L542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542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542" s="1" t="str">
        <f ca="1">IFERROR(__xludf.DUMMYFUNCTION("""COMPUTED_VALUE"""),"Build and develop a Team, Design and Develop amazing software, Look deeply into Data and generate insights, Manufacturing / Oil and Gas/ Construction / Hard Physical Work related")</f>
        <v>Build and develop a Team, Design and Develop amazing software, Look deeply into Data and generate insights, Manufacturing / Oil and Gas/ Construction / Hard Physical Work related</v>
      </c>
      <c r="O542" s="1" t="str">
        <f ca="1">IFERROR(__xludf.DUMMYFUNCTION("""COMPUTED_VALUE"""),"Manager who sets targets and expects me to achieve it")</f>
        <v>Manager who sets targets and expects me to achieve it</v>
      </c>
      <c r="P542" s="1" t="str">
        <f ca="1">IFERROR(__xludf.DUMMYFUNCTION("""COMPUTED_VALUE"""),"Work alone")</f>
        <v>Work alone</v>
      </c>
      <c r="Q542" s="1" t="str">
        <f ca="1">IFERROR(__xludf.DUMMYFUNCTION("""COMPUTED_VALUE"""),"Yes, I Understand this is gonna happen everywhere")</f>
        <v>Yes, I Understand this is gonna happen everywhere</v>
      </c>
      <c r="R542" s="1" t="str">
        <f ca="1">IFERROR(__xludf.DUMMYFUNCTION("""COMPUTED_VALUE"""),"This will be hard to do, but if it is the right company I would try")</f>
        <v>This will be hard to do, but if it is the right company I would try</v>
      </c>
      <c r="S542" s="1"/>
    </row>
    <row r="543" spans="1:19" ht="12.5" x14ac:dyDescent="0.25">
      <c r="A543" s="2">
        <f ca="1">IFERROR(__xludf.DUMMYFUNCTION("""COMPUTED_VALUE"""),45021.6570107407)</f>
        <v>45021.657010740702</v>
      </c>
      <c r="B543" s="1" t="str">
        <f ca="1">IFERROR(__xludf.DUMMYFUNCTION("""COMPUTED_VALUE"""),"India")</f>
        <v>India</v>
      </c>
      <c r="C543" s="1">
        <f ca="1">IFERROR(__xludf.DUMMYFUNCTION("""COMPUTED_VALUE"""),442902)</f>
        <v>442902</v>
      </c>
      <c r="D543" s="1" t="str">
        <f ca="1">IFERROR(__xludf.DUMMYFUNCTION("""COMPUTED_VALUE"""),"Male")</f>
        <v>Male</v>
      </c>
      <c r="E543" s="1" t="str">
        <f ca="1">IFERROR(__xludf.DUMMYFUNCTION("""COMPUTED_VALUE"""),"Influencers who had successful careers")</f>
        <v>Influencers who had successful careers</v>
      </c>
      <c r="F543" s="1" t="str">
        <f ca="1">IFERROR(__xludf.DUMMYFUNCTION("""COMPUTED_VALUE"""),"Yes, I will earn and do that")</f>
        <v>Yes, I will earn and do that</v>
      </c>
      <c r="G543" s="1" t="str">
        <f ca="1">IFERROR(__xludf.DUMMYFUNCTION("""COMPUTED_VALUE"""),"This will be hard to do, but if it is the right company I would try")</f>
        <v>This will be hard to do, but if it is the right company I would try</v>
      </c>
      <c r="H543" s="1" t="str">
        <f ca="1">IFERROR(__xludf.DUMMYFUNCTION("""COMPUTED_VALUE"""),"No")</f>
        <v>No</v>
      </c>
      <c r="I543" s="1" t="str">
        <f ca="1">IFERROR(__xludf.DUMMYFUNCTION("""COMPUTED_VALUE"""),"Will NOT work for them")</f>
        <v>Will NOT work for them</v>
      </c>
      <c r="J543" s="1">
        <f ca="1">IFERROR(__xludf.DUMMYFUNCTION("""COMPUTED_VALUE"""),2)</f>
        <v>2</v>
      </c>
      <c r="K543" s="1" t="str">
        <f ca="1">IFERROR(__xludf.DUMMYFUNCTION("""COMPUTED_VALUE"""),"Fully Remote with Options to travel as and when needed")</f>
        <v>Fully Remote with Options to travel as and when needed</v>
      </c>
      <c r="L5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4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43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543" s="1" t="str">
        <f ca="1">IFERROR(__xludf.DUMMYFUNCTION("""COMPUTED_VALUE"""),"Manager who sets goal and helps me achieve it")</f>
        <v>Manager who sets goal and helps me achieve it</v>
      </c>
      <c r="P543" s="1" t="str">
        <f ca="1">IFERROR(__xludf.DUMMYFUNCTION("""COMPUTED_VALUE"""),"Work with 2 to 3 people in my team")</f>
        <v>Work with 2 to 3 people in my team</v>
      </c>
      <c r="Q543" s="1" t="str">
        <f ca="1">IFERROR(__xludf.DUMMYFUNCTION("""COMPUTED_VALUE"""),"Yes, I Understand this is gonna happen everywhere")</f>
        <v>Yes, I Understand this is gonna happen everywhere</v>
      </c>
      <c r="R543" s="1" t="str">
        <f ca="1">IFERROR(__xludf.DUMMYFUNCTION("""COMPUTED_VALUE"""),"This will be hard to do, but if it is the right company I would try")</f>
        <v>This will be hard to do, but if it is the right company I would try</v>
      </c>
      <c r="S543" s="1"/>
    </row>
    <row r="544" spans="1:19" ht="12.5" x14ac:dyDescent="0.25">
      <c r="A544" s="2">
        <f ca="1">IFERROR(__xludf.DUMMYFUNCTION("""COMPUTED_VALUE"""),45021.6614889236)</f>
        <v>45021.661488923601</v>
      </c>
      <c r="B544" s="1" t="str">
        <f ca="1">IFERROR(__xludf.DUMMYFUNCTION("""COMPUTED_VALUE"""),"Others")</f>
        <v>Others</v>
      </c>
      <c r="C544" s="1">
        <f ca="1">IFERROR(__xludf.DUMMYFUNCTION("""COMPUTED_VALUE"""),414)</f>
        <v>414</v>
      </c>
      <c r="D544" s="1" t="str">
        <f ca="1">IFERROR(__xludf.DUMMYFUNCTION("""COMPUTED_VALUE"""),"Male")</f>
        <v>Male</v>
      </c>
      <c r="E544" s="1" t="str">
        <f ca="1">IFERROR(__xludf.DUMMYFUNCTION("""COMPUTED_VALUE"""),"People who have changed the world for better")</f>
        <v>People who have changed the world for better</v>
      </c>
      <c r="F544" s="1" t="str">
        <f ca="1">IFERROR(__xludf.DUMMYFUNCTION("""COMPUTED_VALUE"""),"Yes, I will earn and do that")</f>
        <v>Yes, I will earn and do that</v>
      </c>
      <c r="G544" s="1" t="str">
        <f ca="1">IFERROR(__xludf.DUMMYFUNCTION("""COMPUTED_VALUE"""),"This will be hard to do, but if it is the right company I would try")</f>
        <v>This will be hard to do, but if it is the right company I would try</v>
      </c>
      <c r="H544" s="1" t="str">
        <f ca="1">IFERROR(__xludf.DUMMYFUNCTION("""COMPUTED_VALUE"""),"No")</f>
        <v>No</v>
      </c>
      <c r="I544" s="1" t="str">
        <f ca="1">IFERROR(__xludf.DUMMYFUNCTION("""COMPUTED_VALUE"""),"Will NOT work for them")</f>
        <v>Will NOT work for them</v>
      </c>
      <c r="J544" s="1">
        <f ca="1">IFERROR(__xludf.DUMMYFUNCTION("""COMPUTED_VALUE"""),5)</f>
        <v>5</v>
      </c>
      <c r="K544" s="1" t="str">
        <f ca="1">IFERROR(__xludf.DUMMYFUNCTION("""COMPUTED_VALUE"""),"Fully Remote with Options to travel as and when needed")</f>
        <v>Fully Remote with Options to travel as and when needed</v>
      </c>
      <c r="L5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44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544" s="1" t="str">
        <f ca="1">IFERROR(__xludf.DUMMYFUNCTION("""COMPUTED_VALUE"""),"Manage and drive End-to-End Projects or Products, Build and develop a Team, Work as a freelancer and do my thing my way, Entrepreneur or Start Up")</f>
        <v>Manage and drive End-to-End Projects or Products, Build and develop a Team, Work as a freelancer and do my thing my way, Entrepreneur or Start Up</v>
      </c>
      <c r="O544" s="1" t="str">
        <f ca="1">IFERROR(__xludf.DUMMYFUNCTION("""COMPUTED_VALUE"""),"Manager who explains what is expected, sets a goal and helps achieve it")</f>
        <v>Manager who explains what is expected, sets a goal and helps achieve it</v>
      </c>
      <c r="P544" s="1" t="str">
        <f ca="1">IFERROR(__xludf.DUMMYFUNCTION("""COMPUTED_VALUE"""),"Work alone")</f>
        <v>Work alone</v>
      </c>
      <c r="Q544" s="1" t="str">
        <f ca="1">IFERROR(__xludf.DUMMYFUNCTION("""COMPUTED_VALUE"""),"Yes, I Understand this is gonna happen everywhere")</f>
        <v>Yes, I Understand this is gonna happen everywhere</v>
      </c>
      <c r="R544" s="1" t="str">
        <f ca="1">IFERROR(__xludf.DUMMYFUNCTION("""COMPUTED_VALUE"""),"This will be hard to do, but if it is the right company I would try")</f>
        <v>This will be hard to do, but if it is the right company I would try</v>
      </c>
      <c r="S544" s="1"/>
    </row>
    <row r="545" spans="1:19" ht="12.5" x14ac:dyDescent="0.25">
      <c r="A545" s="2">
        <f ca="1">IFERROR(__xludf.DUMMYFUNCTION("""COMPUTED_VALUE"""),45021.6619242361)</f>
        <v>45021.661924236098</v>
      </c>
      <c r="B545" s="1" t="str">
        <f ca="1">IFERROR(__xludf.DUMMYFUNCTION("""COMPUTED_VALUE"""),"India")</f>
        <v>India</v>
      </c>
      <c r="C545" s="1">
        <f ca="1">IFERROR(__xludf.DUMMYFUNCTION("""COMPUTED_VALUE"""),452001)</f>
        <v>452001</v>
      </c>
      <c r="D545" s="1" t="str">
        <f ca="1">IFERROR(__xludf.DUMMYFUNCTION("""COMPUTED_VALUE"""),"Male")</f>
        <v>Male</v>
      </c>
      <c r="E545" s="1" t="str">
        <f ca="1">IFERROR(__xludf.DUMMYFUNCTION("""COMPUTED_VALUE"""),"My Parents")</f>
        <v>My Parents</v>
      </c>
      <c r="F545" s="1" t="str">
        <f ca="1">IFERROR(__xludf.DUMMYFUNCTION("""COMPUTED_VALUE"""),"Yes, I will earn and do that")</f>
        <v>Yes, I will earn and do that</v>
      </c>
      <c r="G545" s="1" t="str">
        <f ca="1">IFERROR(__xludf.DUMMYFUNCTION("""COMPUTED_VALUE"""),"This will be hard to do, but if it is the right company I would try")</f>
        <v>This will be hard to do, but if it is the right company I would try</v>
      </c>
      <c r="H545" s="1" t="str">
        <f ca="1">IFERROR(__xludf.DUMMYFUNCTION("""COMPUTED_VALUE"""),"No")</f>
        <v>No</v>
      </c>
      <c r="I545" s="1" t="str">
        <f ca="1">IFERROR(__xludf.DUMMYFUNCTION("""COMPUTED_VALUE"""),"Will work for them")</f>
        <v>Will work for them</v>
      </c>
      <c r="J545" s="1">
        <f ca="1">IFERROR(__xludf.DUMMYFUNCTION("""COMPUTED_VALUE"""),8)</f>
        <v>8</v>
      </c>
      <c r="K545" s="1" t="str">
        <f ca="1">IFERROR(__xludf.DUMMYFUNCTION("""COMPUTED_VALUE"""),"Every Day Office Environment")</f>
        <v>Every Day Office Environment</v>
      </c>
      <c r="L5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4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45" s="1" t="str">
        <f ca="1">IFERROR(__xludf.DUMMYFUNCTION("""COMPUTED_VALUE"""),"Business Operations in any organization, Build and develop a Team, Work as a freelancer and do my thing my way, Become a content Creator in some platform")</f>
        <v>Business Operations in any organization, Build and develop a Team, Work as a freelancer and do my thing my way, Become a content Creator in some platform</v>
      </c>
      <c r="O545" s="1" t="str">
        <f ca="1">IFERROR(__xludf.DUMMYFUNCTION("""COMPUTED_VALUE"""),"Manager who sets goal and helps me achieve it")</f>
        <v>Manager who sets goal and helps me achieve it</v>
      </c>
      <c r="P545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545" s="1" t="str">
        <f ca="1">IFERROR(__xludf.DUMMYFUNCTION("""COMPUTED_VALUE"""),"Yes, I Understand this is gonna happen everywhere")</f>
        <v>Yes, I Understand this is gonna happen everywhere</v>
      </c>
      <c r="R545" s="1" t="str">
        <f ca="1">IFERROR(__xludf.DUMMYFUNCTION("""COMPUTED_VALUE"""),"No way")</f>
        <v>No way</v>
      </c>
      <c r="S545" s="1"/>
    </row>
    <row r="546" spans="1:19" ht="12.5" x14ac:dyDescent="0.25">
      <c r="A546" s="2">
        <f ca="1">IFERROR(__xludf.DUMMYFUNCTION("""COMPUTED_VALUE"""),45021.6631004861)</f>
        <v>45021.663100486097</v>
      </c>
      <c r="B546" s="1" t="str">
        <f ca="1">IFERROR(__xludf.DUMMYFUNCTION("""COMPUTED_VALUE"""),"India")</f>
        <v>India</v>
      </c>
      <c r="C546" s="1">
        <f ca="1">IFERROR(__xludf.DUMMYFUNCTION("""COMPUTED_VALUE"""),382424)</f>
        <v>382424</v>
      </c>
      <c r="D546" s="1" t="str">
        <f ca="1">IFERROR(__xludf.DUMMYFUNCTION("""COMPUTED_VALUE"""),"Female")</f>
        <v>Female</v>
      </c>
      <c r="E546" s="1" t="str">
        <f ca="1">IFERROR(__xludf.DUMMYFUNCTION("""COMPUTED_VALUE"""),"People from my circle, but not family members")</f>
        <v>People from my circle, but not family members</v>
      </c>
      <c r="F546" s="1" t="str">
        <f ca="1">IFERROR(__xludf.DUMMYFUNCTION("""COMPUTED_VALUE"""),"No I would not be pursuing Higher Education outside of India")</f>
        <v>No I would not be pursuing Higher Education outside of India</v>
      </c>
      <c r="G546" s="1" t="str">
        <f ca="1">IFERROR(__xludf.DUMMYFUNCTION("""COMPUTED_VALUE"""),"This will be hard to do, but if it is the right company I would try")</f>
        <v>This will be hard to do, but if it is the right company I would try</v>
      </c>
      <c r="H546" s="1" t="str">
        <f ca="1">IFERROR(__xludf.DUMMYFUNCTION("""COMPUTED_VALUE"""),"No")</f>
        <v>No</v>
      </c>
      <c r="I546" s="1" t="str">
        <f ca="1">IFERROR(__xludf.DUMMYFUNCTION("""COMPUTED_VALUE"""),"Will NOT work for them")</f>
        <v>Will NOT work for them</v>
      </c>
      <c r="J546" s="1">
        <f ca="1">IFERROR(__xludf.DUMMYFUNCTION("""COMPUTED_VALUE"""),2)</f>
        <v>2</v>
      </c>
      <c r="K546" s="1" t="str">
        <f ca="1">IFERROR(__xludf.DUMMYFUNCTION("""COMPUTED_VALUE"""),"Fully Remote with Options to travel as and when needed")</f>
        <v>Fully Remote with Options to travel as and when needed</v>
      </c>
      <c r="L5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4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546" s="1" t="str">
        <f ca="1">IFERROR(__xludf.DUMMYFUNCTION("""COMPUTED_VALUE"""),"Manage and drive End-to-End Projects or Products, Work as a freelancer and do my thing my way, Become a content Creator in some platform, Entrepreneur or Start Up")</f>
        <v>Manage and drive End-to-End Projects or Products, Work as a freelancer and do my thing my way, Become a content Creator in some platform, Entrepreneur or Start Up</v>
      </c>
      <c r="O546" s="1" t="str">
        <f ca="1">IFERROR(__xludf.DUMMYFUNCTION("""COMPUTED_VALUE"""),"Manager who explains what is expected, sets a goal and helps achieve it")</f>
        <v>Manager who explains what is expected, sets a goal and helps achieve it</v>
      </c>
      <c r="P546" s="1" t="str">
        <f ca="1">IFERROR(__xludf.DUMMYFUNCTION("""COMPUTED_VALUE"""),"Work with 5 to 6 people in my team")</f>
        <v>Work with 5 to 6 people in my team</v>
      </c>
      <c r="Q546" s="1" t="str">
        <f ca="1">IFERROR(__xludf.DUMMYFUNCTION("""COMPUTED_VALUE"""),"No")</f>
        <v>No</v>
      </c>
      <c r="R546" s="1" t="str">
        <f ca="1">IFERROR(__xludf.DUMMYFUNCTION("""COMPUTED_VALUE"""),"No way")</f>
        <v>No way</v>
      </c>
      <c r="S546" s="1"/>
    </row>
    <row r="547" spans="1:19" ht="12.5" x14ac:dyDescent="0.25">
      <c r="A547" s="2">
        <f ca="1">IFERROR(__xludf.DUMMYFUNCTION("""COMPUTED_VALUE"""),45021.6676732523)</f>
        <v>45021.667673252297</v>
      </c>
      <c r="B547" s="1" t="str">
        <f ca="1">IFERROR(__xludf.DUMMYFUNCTION("""COMPUTED_VALUE"""),"India")</f>
        <v>India</v>
      </c>
      <c r="C547" s="1">
        <f ca="1">IFERROR(__xludf.DUMMYFUNCTION("""COMPUTED_VALUE"""),452012)</f>
        <v>452012</v>
      </c>
      <c r="D547" s="1" t="str">
        <f ca="1">IFERROR(__xludf.DUMMYFUNCTION("""COMPUTED_VALUE"""),"Female")</f>
        <v>Female</v>
      </c>
      <c r="E547" s="1" t="str">
        <f ca="1">IFERROR(__xludf.DUMMYFUNCTION("""COMPUTED_VALUE"""),"Influencers who had successful careers")</f>
        <v>Influencers who had successful careers</v>
      </c>
      <c r="F547" s="1" t="str">
        <f ca="1">IFERROR(__xludf.DUMMYFUNCTION("""COMPUTED_VALUE"""),"Yes, I will earn and do that")</f>
        <v>Yes, I will earn and do that</v>
      </c>
      <c r="G547" s="1" t="str">
        <f ca="1">IFERROR(__xludf.DUMMYFUNCTION("""COMPUTED_VALUE"""),"This will be hard to do, but if it is the right company I would try")</f>
        <v>This will be hard to do, but if it is the right company I would try</v>
      </c>
      <c r="H547" s="1" t="str">
        <f ca="1">IFERROR(__xludf.DUMMYFUNCTION("""COMPUTED_VALUE"""),"No")</f>
        <v>No</v>
      </c>
      <c r="I547" s="1" t="str">
        <f ca="1">IFERROR(__xludf.DUMMYFUNCTION("""COMPUTED_VALUE"""),"Will work for them")</f>
        <v>Will work for them</v>
      </c>
      <c r="J547" s="1">
        <f ca="1">IFERROR(__xludf.DUMMYFUNCTION("""COMPUTED_VALUE"""),6)</f>
        <v>6</v>
      </c>
      <c r="K547" s="1" t="str">
        <f ca="1">IFERROR(__xludf.DUMMYFUNCTION("""COMPUTED_VALUE"""),"Every Day Office Environment")</f>
        <v>Every Day Office Environment</v>
      </c>
      <c r="L5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47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547" s="1" t="str">
        <f ca="1">IFERROR(__xludf.DUMMYFUNCTION("""COMPUTED_VALUE"""),"Design and Creative strategy in any company, Build and develop a Team, Design and Develop amazing software, Work as a freelancer and do my thing my way")</f>
        <v>Design and Creative strategy in any company, Build and develop a Team, Design and Develop amazing software, Work as a freelancer and do my thing my way</v>
      </c>
      <c r="O547" s="1" t="str">
        <f ca="1">IFERROR(__xludf.DUMMYFUNCTION("""COMPUTED_VALUE"""),"Manager who explains what is expected, sets a goal and helps achieve it")</f>
        <v>Manager who explains what is expected, sets a goal and helps achieve it</v>
      </c>
      <c r="P547" s="1" t="str">
        <f ca="1">IFERROR(__xludf.DUMMYFUNCTION("""COMPUTED_VALUE"""),"Work with 2 to 3 people in my team, Work with 5 to 6 people in my team")</f>
        <v>Work with 2 to 3 people in my team, Work with 5 to 6 people in my team</v>
      </c>
      <c r="Q547" s="1" t="str">
        <f ca="1">IFERROR(__xludf.DUMMYFUNCTION("""COMPUTED_VALUE"""),"No")</f>
        <v>No</v>
      </c>
      <c r="R547" s="1" t="str">
        <f ca="1">IFERROR(__xludf.DUMMYFUNCTION("""COMPUTED_VALUE"""),"This will be hard to do, but if it is the right company I would try")</f>
        <v>This will be hard to do, but if it is the right company I would try</v>
      </c>
      <c r="S547" s="1"/>
    </row>
    <row r="548" spans="1:19" ht="12.5" x14ac:dyDescent="0.25">
      <c r="A548" s="2">
        <f ca="1">IFERROR(__xludf.DUMMYFUNCTION("""COMPUTED_VALUE"""),45021.6687823148)</f>
        <v>45021.668782314802</v>
      </c>
      <c r="B548" s="1" t="str">
        <f ca="1">IFERROR(__xludf.DUMMYFUNCTION("""COMPUTED_VALUE"""),"India")</f>
        <v>India</v>
      </c>
      <c r="C548" s="1">
        <f ca="1">IFERROR(__xludf.DUMMYFUNCTION("""COMPUTED_VALUE"""),621216)</f>
        <v>621216</v>
      </c>
      <c r="D548" s="1" t="str">
        <f ca="1">IFERROR(__xludf.DUMMYFUNCTION("""COMPUTED_VALUE"""),"Male")</f>
        <v>Male</v>
      </c>
      <c r="E548" s="1" t="str">
        <f ca="1">IFERROR(__xludf.DUMMYFUNCTION("""COMPUTED_VALUE"""),"My Parents")</f>
        <v>My Parents</v>
      </c>
      <c r="F548" s="1" t="str">
        <f ca="1">IFERROR(__xludf.DUMMYFUNCTION("""COMPUTED_VALUE"""),"No I would not be pursuing Higher Education outside of India")</f>
        <v>No I would not be pursuing Higher Education outside of India</v>
      </c>
      <c r="G548" s="1" t="str">
        <f ca="1">IFERROR(__xludf.DUMMYFUNCTION("""COMPUTED_VALUE"""),"Will work for 3 years or more")</f>
        <v>Will work for 3 years or more</v>
      </c>
      <c r="H548" s="1" t="str">
        <f ca="1">IFERROR(__xludf.DUMMYFUNCTION("""COMPUTED_VALUE"""),"Yes")</f>
        <v>Yes</v>
      </c>
      <c r="I548" s="1" t="str">
        <f ca="1">IFERROR(__xludf.DUMMYFUNCTION("""COMPUTED_VALUE"""),"Will NOT work for them")</f>
        <v>Will NOT work for them</v>
      </c>
      <c r="J548" s="1">
        <f ca="1">IFERROR(__xludf.DUMMYFUNCTION("""COMPUTED_VALUE"""),1)</f>
        <v>1</v>
      </c>
      <c r="K548" s="1" t="str">
        <f ca="1">IFERROR(__xludf.DUMMYFUNCTION("""COMPUTED_VALUE"""),"Hybrid Working Environment with less than 3 days a month at office")</f>
        <v>Hybrid Working Environment with less than 3 days a month at office</v>
      </c>
      <c r="L548" s="1" t="str">
        <f ca="1">IFERROR(__xludf.DUMMYFUNCTION("""COMPUTED_VALUE"""),"Employer who rewards learning and enables that environment")</f>
        <v>Employer who rewards learning and enables that environment</v>
      </c>
      <c r="M548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548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548" s="1" t="str">
        <f ca="1">IFERROR(__xludf.DUMMYFUNCTION("""COMPUTED_VALUE"""),"Manager who clearly describes what she/he needs")</f>
        <v>Manager who clearly describes what she/he needs</v>
      </c>
      <c r="P548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548" s="1" t="str">
        <f ca="1">IFERROR(__xludf.DUMMYFUNCTION("""COMPUTED_VALUE"""),"Yes")</f>
        <v>Yes</v>
      </c>
      <c r="R548" s="1" t="str">
        <f ca="1">IFERROR(__xludf.DUMMYFUNCTION("""COMPUTED_VALUE"""),"No way")</f>
        <v>No way</v>
      </c>
      <c r="S548" s="1"/>
    </row>
    <row r="549" spans="1:19" ht="12.5" x14ac:dyDescent="0.25">
      <c r="A549" s="2">
        <f ca="1">IFERROR(__xludf.DUMMYFUNCTION("""COMPUTED_VALUE"""),45021.6718008217)</f>
        <v>45021.671800821699</v>
      </c>
      <c r="B549" s="1" t="str">
        <f ca="1">IFERROR(__xludf.DUMMYFUNCTION("""COMPUTED_VALUE"""),"India")</f>
        <v>India</v>
      </c>
      <c r="C549" s="1">
        <f ca="1">IFERROR(__xludf.DUMMYFUNCTION("""COMPUTED_VALUE"""),620003)</f>
        <v>620003</v>
      </c>
      <c r="D549" s="1" t="str">
        <f ca="1">IFERROR(__xludf.DUMMYFUNCTION("""COMPUTED_VALUE"""),"Male")</f>
        <v>Male</v>
      </c>
      <c r="E549" s="1" t="str">
        <f ca="1">IFERROR(__xludf.DUMMYFUNCTION("""COMPUTED_VALUE"""),"My Parents")</f>
        <v>My Parents</v>
      </c>
      <c r="F549" s="1" t="str">
        <f ca="1">IFERROR(__xludf.DUMMYFUNCTION("""COMPUTED_VALUE"""),"No, But if someone could bare the cost I will")</f>
        <v>No, But if someone could bare the cost I will</v>
      </c>
      <c r="G549" s="1" t="str">
        <f ca="1">IFERROR(__xludf.DUMMYFUNCTION("""COMPUTED_VALUE"""),"This will be hard to do, but if it is the right company I would try")</f>
        <v>This will be hard to do, but if it is the right company I would try</v>
      </c>
      <c r="H549" s="1" t="str">
        <f ca="1">IFERROR(__xludf.DUMMYFUNCTION("""COMPUTED_VALUE"""),"Yes")</f>
        <v>Yes</v>
      </c>
      <c r="I549" s="1" t="str">
        <f ca="1">IFERROR(__xludf.DUMMYFUNCTION("""COMPUTED_VALUE"""),"Will work for them")</f>
        <v>Will work for them</v>
      </c>
      <c r="J549" s="1">
        <f ca="1">IFERROR(__xludf.DUMMYFUNCTION("""COMPUTED_VALUE"""),5)</f>
        <v>5</v>
      </c>
      <c r="K549" s="1" t="str">
        <f ca="1">IFERROR(__xludf.DUMMYFUNCTION("""COMPUTED_VALUE"""),"Every Day Office Environment")</f>
        <v>Every Day Office Environment</v>
      </c>
      <c r="L549" s="1" t="str">
        <f ca="1">IFERROR(__xludf.DUMMYFUNCTION("""COMPUTED_VALUE"""),"Employer who appreciates learning and enables that environment")</f>
        <v>Employer who appreciates learning and enables that environment</v>
      </c>
      <c r="M54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49" s="1" t="str">
        <f ca="1">IFERROR(__xludf.DUMMYFUNCTION("""COMPUTED_VALUE"""),"Design and Creative strategy in any company, Teaching in any of the institutes/colleges/online or offline, Business Operations in any organization, I Want to sell things/Sales")</f>
        <v>Design and Creative strategy in any company, Teaching in any of the institutes/colleges/online or offline, Business Operations in any organization, I Want to sell things/Sales</v>
      </c>
      <c r="O549" s="1" t="str">
        <f ca="1">IFERROR(__xludf.DUMMYFUNCTION("""COMPUTED_VALUE"""),"Manager who clearly describes what she/he needs")</f>
        <v>Manager who clearly describes what she/he needs</v>
      </c>
      <c r="P549" s="1" t="str">
        <f ca="1">IFERROR(__xludf.DUMMYFUNCTION("""COMPUTED_VALUE"""),"Work with 2 to 3 people in my team, Work with 7 to 10 or more people in my team, Work with more than 10 people in my team")</f>
        <v>Work with 2 to 3 people in my team, Work with 7 to 10 or more people in my team, Work with more than 10 people in my team</v>
      </c>
      <c r="Q549" s="1" t="str">
        <f ca="1">IFERROR(__xludf.DUMMYFUNCTION("""COMPUTED_VALUE"""),"Yes, I Understand this is gonna happen everywhere")</f>
        <v>Yes, I Understand this is gonna happen everywhere</v>
      </c>
      <c r="R549" s="1" t="str">
        <f ca="1">IFERROR(__xludf.DUMMYFUNCTION("""COMPUTED_VALUE"""),"This will be hard to do, but if it is the right company I would try")</f>
        <v>This will be hard to do, but if it is the right company I would try</v>
      </c>
      <c r="S549" s="1"/>
    </row>
    <row r="550" spans="1:19" ht="12.5" x14ac:dyDescent="0.25">
      <c r="A550" s="2">
        <f ca="1">IFERROR(__xludf.DUMMYFUNCTION("""COMPUTED_VALUE"""),45021.6726077662)</f>
        <v>45021.672607766202</v>
      </c>
      <c r="B550" s="1" t="str">
        <f ca="1">IFERROR(__xludf.DUMMYFUNCTION("""COMPUTED_VALUE"""),"India")</f>
        <v>India</v>
      </c>
      <c r="C550" s="1">
        <f ca="1">IFERROR(__xludf.DUMMYFUNCTION("""COMPUTED_VALUE"""),625009)</f>
        <v>625009</v>
      </c>
      <c r="D550" s="1" t="str">
        <f ca="1">IFERROR(__xludf.DUMMYFUNCTION("""COMPUTED_VALUE"""),"Male")</f>
        <v>Male</v>
      </c>
      <c r="E550" s="1" t="str">
        <f ca="1">IFERROR(__xludf.DUMMYFUNCTION("""COMPUTED_VALUE"""),"Social Media like LinkedIn")</f>
        <v>Social Media like LinkedIn</v>
      </c>
      <c r="F550" s="1" t="str">
        <f ca="1">IFERROR(__xludf.DUMMYFUNCTION("""COMPUTED_VALUE"""),"No I would not be pursuing Higher Education outside of India")</f>
        <v>No I would not be pursuing Higher Education outside of India</v>
      </c>
      <c r="G550" s="1" t="str">
        <f ca="1">IFERROR(__xludf.DUMMYFUNCTION("""COMPUTED_VALUE"""),"Will work for 3 years or more")</f>
        <v>Will work for 3 years or more</v>
      </c>
      <c r="H550" s="1" t="str">
        <f ca="1">IFERROR(__xludf.DUMMYFUNCTION("""COMPUTED_VALUE"""),"No")</f>
        <v>No</v>
      </c>
      <c r="I550" s="1" t="str">
        <f ca="1">IFERROR(__xludf.DUMMYFUNCTION("""COMPUTED_VALUE"""),"Will NOT work for them")</f>
        <v>Will NOT work for them</v>
      </c>
      <c r="J550" s="1">
        <f ca="1">IFERROR(__xludf.DUMMYFUNCTION("""COMPUTED_VALUE"""),6)</f>
        <v>6</v>
      </c>
      <c r="K550" s="1" t="str">
        <f ca="1">IFERROR(__xludf.DUMMYFUNCTION("""COMPUTED_VALUE"""),"Fully Remote with Options to travel as and when needed")</f>
        <v>Fully Remote with Options to travel as and when needed</v>
      </c>
      <c r="L550" s="1" t="str">
        <f ca="1">IFERROR(__xludf.DUMMYFUNCTION("""COMPUTED_VALUE"""),"Employer who appreciates learning and enables that environment")</f>
        <v>Employer who appreciates learning and enables that environment</v>
      </c>
      <c r="M55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50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550" s="1" t="str">
        <f ca="1">IFERROR(__xludf.DUMMYFUNCTION("""COMPUTED_VALUE"""),"Manager who explains what is expected, sets a goal and helps achieve it")</f>
        <v>Manager who explains what is expected, sets a goal and helps achieve it</v>
      </c>
      <c r="P55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550" s="1" t="str">
        <f ca="1">IFERROR(__xludf.DUMMYFUNCTION("""COMPUTED_VALUE"""),"Yes, I Understand this is gonna happen everywhere")</f>
        <v>Yes, I Understand this is gonna happen everywhere</v>
      </c>
      <c r="R550" s="1" t="str">
        <f ca="1">IFERROR(__xludf.DUMMYFUNCTION("""COMPUTED_VALUE"""),"This will be hard to do, but if it is the right company I would try")</f>
        <v>This will be hard to do, but if it is the right company I would try</v>
      </c>
      <c r="S550" s="1"/>
    </row>
    <row r="551" spans="1:19" ht="12.5" x14ac:dyDescent="0.25">
      <c r="A551" s="2">
        <f ca="1">IFERROR(__xludf.DUMMYFUNCTION("""COMPUTED_VALUE"""),45021.6729792939)</f>
        <v>45021.6729792939</v>
      </c>
      <c r="B551" s="1" t="str">
        <f ca="1">IFERROR(__xludf.DUMMYFUNCTION("""COMPUTED_VALUE"""),"India")</f>
        <v>India</v>
      </c>
      <c r="C551" s="1">
        <f ca="1">IFERROR(__xludf.DUMMYFUNCTION("""COMPUTED_VALUE"""),452001)</f>
        <v>452001</v>
      </c>
      <c r="D551" s="1" t="str">
        <f ca="1">IFERROR(__xludf.DUMMYFUNCTION("""COMPUTED_VALUE"""),"Male")</f>
        <v>Male</v>
      </c>
      <c r="E551" s="1" t="str">
        <f ca="1">IFERROR(__xludf.DUMMYFUNCTION("""COMPUTED_VALUE"""),"People from my circle, but not family members")</f>
        <v>People from my circle, but not family members</v>
      </c>
      <c r="F551" s="1" t="str">
        <f ca="1">IFERROR(__xludf.DUMMYFUNCTION("""COMPUTED_VALUE"""),"No I would not be pursuing Higher Education outside of India")</f>
        <v>No I would not be pursuing Higher Education outside of India</v>
      </c>
      <c r="G551" s="1" t="str">
        <f ca="1">IFERROR(__xludf.DUMMYFUNCTION("""COMPUTED_VALUE"""),"Will work for 3 years or more")</f>
        <v>Will work for 3 years or more</v>
      </c>
      <c r="H551" s="1" t="str">
        <f ca="1">IFERROR(__xludf.DUMMYFUNCTION("""COMPUTED_VALUE"""),"Yes")</f>
        <v>Yes</v>
      </c>
      <c r="I551" s="1" t="str">
        <f ca="1">IFERROR(__xludf.DUMMYFUNCTION("""COMPUTED_VALUE"""),"Will work for them")</f>
        <v>Will work for them</v>
      </c>
      <c r="J551" s="1">
        <f ca="1">IFERROR(__xludf.DUMMYFUNCTION("""COMPUTED_VALUE"""),8)</f>
        <v>8</v>
      </c>
      <c r="K551" s="1" t="str">
        <f ca="1">IFERROR(__xludf.DUMMYFUNCTION("""COMPUTED_VALUE"""),"Every Day Office Environment")</f>
        <v>Every Day Office Environment</v>
      </c>
      <c r="L5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5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51" s="1" t="str">
        <f ca="1">IFERROR(__xludf.DUMMYFUNCTION("""COMPUTED_VALUE"""),"Business Operations in any organization, Build and develop a Team, Entrepreneur or Start Up, Manufacturing / Oil and Gas/ Construction / Hard Physical Work related")</f>
        <v>Business Operations in any organization, Build and develop a Team, Entrepreneur or Start Up, Manufacturing / Oil and Gas/ Construction / Hard Physical Work related</v>
      </c>
      <c r="O551" s="1" t="str">
        <f ca="1">IFERROR(__xludf.DUMMYFUNCTION("""COMPUTED_VALUE"""),"Manager who clearly describes what she/he needs")</f>
        <v>Manager who clearly describes what she/he needs</v>
      </c>
      <c r="P551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551" s="1" t="str">
        <f ca="1">IFERROR(__xludf.DUMMYFUNCTION("""COMPUTED_VALUE"""),"Yes, I Understand this is gonna happen everywhere")</f>
        <v>Yes, I Understand this is gonna happen everywhere</v>
      </c>
      <c r="R551" s="1" t="str">
        <f ca="1">IFERROR(__xludf.DUMMYFUNCTION("""COMPUTED_VALUE"""),"Will work for 7 years or more")</f>
        <v>Will work for 7 years or more</v>
      </c>
      <c r="S551" s="1"/>
    </row>
    <row r="552" spans="1:19" ht="12.5" x14ac:dyDescent="0.25">
      <c r="A552" s="2">
        <f ca="1">IFERROR(__xludf.DUMMYFUNCTION("""COMPUTED_VALUE"""),45021.6757973495)</f>
        <v>45021.675797349497</v>
      </c>
      <c r="B552" s="1" t="str">
        <f ca="1">IFERROR(__xludf.DUMMYFUNCTION("""COMPUTED_VALUE"""),"India")</f>
        <v>India</v>
      </c>
      <c r="C552" s="1">
        <f ca="1">IFERROR(__xludf.DUMMYFUNCTION("""COMPUTED_VALUE"""),670561)</f>
        <v>670561</v>
      </c>
      <c r="D552" s="1" t="str">
        <f ca="1">IFERROR(__xludf.DUMMYFUNCTION("""COMPUTED_VALUE"""),"Female")</f>
        <v>Female</v>
      </c>
      <c r="E552" s="1" t="str">
        <f ca="1">IFERROR(__xludf.DUMMYFUNCTION("""COMPUTED_VALUE"""),"Social Media like LinkedIn")</f>
        <v>Social Media like LinkedIn</v>
      </c>
      <c r="F552" s="1" t="str">
        <f ca="1">IFERROR(__xludf.DUMMYFUNCTION("""COMPUTED_VALUE"""),"No, But if someone could bare the cost I will")</f>
        <v>No, But if someone could bare the cost I will</v>
      </c>
      <c r="G552" s="1" t="str">
        <f ca="1">IFERROR(__xludf.DUMMYFUNCTION("""COMPUTED_VALUE"""),"This will be hard to do, but if it is the right company I would try")</f>
        <v>This will be hard to do, but if it is the right company I would try</v>
      </c>
      <c r="H552" s="1" t="str">
        <f ca="1">IFERROR(__xludf.DUMMYFUNCTION("""COMPUTED_VALUE"""),"No")</f>
        <v>No</v>
      </c>
      <c r="I552" s="1" t="str">
        <f ca="1">IFERROR(__xludf.DUMMYFUNCTION("""COMPUTED_VALUE"""),"Will work for them")</f>
        <v>Will work for them</v>
      </c>
      <c r="J552" s="1">
        <f ca="1">IFERROR(__xludf.DUMMYFUNCTION("""COMPUTED_VALUE"""),5)</f>
        <v>5</v>
      </c>
      <c r="K552" s="1" t="str">
        <f ca="1">IFERROR(__xludf.DUMMYFUNCTION("""COMPUTED_VALUE"""),"Fully Remote with No option to visit offices")</f>
        <v>Fully Remote with No option to visit offices</v>
      </c>
      <c r="L552" s="1" t="str">
        <f ca="1">IFERROR(__xludf.DUMMYFUNCTION("""COMPUTED_VALUE"""),"Employer who rewards learning and enables that environment")</f>
        <v>Employer who rewards learning and enables that environment</v>
      </c>
      <c r="M55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552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552" s="1" t="str">
        <f ca="1">IFERROR(__xludf.DUMMYFUNCTION("""COMPUTED_VALUE"""),"Manager who explains what is expected, sets a goal and helps achieve it")</f>
        <v>Manager who explains what is expected, sets a goal and helps achieve it</v>
      </c>
      <c r="P55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552" s="1" t="str">
        <f ca="1">IFERROR(__xludf.DUMMYFUNCTION("""COMPUTED_VALUE"""),"Yes, I Understand this is gonna happen everywhere")</f>
        <v>Yes, I Understand this is gonna happen everywhere</v>
      </c>
      <c r="R552" s="1" t="str">
        <f ca="1">IFERROR(__xludf.DUMMYFUNCTION("""COMPUTED_VALUE"""),"This will be hard to do, but if it is the right company I would try")</f>
        <v>This will be hard to do, but if it is the right company I would try</v>
      </c>
      <c r="S552" s="1"/>
    </row>
    <row r="553" spans="1:19" ht="12.5" x14ac:dyDescent="0.25">
      <c r="A553" s="2">
        <f ca="1">IFERROR(__xludf.DUMMYFUNCTION("""COMPUTED_VALUE"""),45021.6844062384)</f>
        <v>45021.684406238397</v>
      </c>
      <c r="B553" s="1" t="str">
        <f ca="1">IFERROR(__xludf.DUMMYFUNCTION("""COMPUTED_VALUE"""),"India")</f>
        <v>India</v>
      </c>
      <c r="C553" s="1">
        <f ca="1">IFERROR(__xludf.DUMMYFUNCTION("""COMPUTED_VALUE"""),600044)</f>
        <v>600044</v>
      </c>
      <c r="D553" s="1" t="str">
        <f ca="1">IFERROR(__xludf.DUMMYFUNCTION("""COMPUTED_VALUE"""),"Male")</f>
        <v>Male</v>
      </c>
      <c r="E553" s="1" t="str">
        <f ca="1">IFERROR(__xludf.DUMMYFUNCTION("""COMPUTED_VALUE"""),"People from my circle, but not family members")</f>
        <v>People from my circle, but not family members</v>
      </c>
      <c r="F553" s="1" t="str">
        <f ca="1">IFERROR(__xludf.DUMMYFUNCTION("""COMPUTED_VALUE"""),"Yes, I will earn and do that")</f>
        <v>Yes, I will earn and do that</v>
      </c>
      <c r="G553" s="1" t="str">
        <f ca="1">IFERROR(__xludf.DUMMYFUNCTION("""COMPUTED_VALUE"""),"Will work for 3 years or more")</f>
        <v>Will work for 3 years or more</v>
      </c>
      <c r="H553" s="1" t="str">
        <f ca="1">IFERROR(__xludf.DUMMYFUNCTION("""COMPUTED_VALUE"""),"No")</f>
        <v>No</v>
      </c>
      <c r="I553" s="1" t="str">
        <f ca="1">IFERROR(__xludf.DUMMYFUNCTION("""COMPUTED_VALUE"""),"Will NOT work for them")</f>
        <v>Will NOT work for them</v>
      </c>
      <c r="J553" s="1">
        <f ca="1">IFERROR(__xludf.DUMMYFUNCTION("""COMPUTED_VALUE"""),10)</f>
        <v>10</v>
      </c>
      <c r="K553" s="1" t="str">
        <f ca="1">IFERROR(__xludf.DUMMYFUNCTION("""COMPUTED_VALUE"""),"Every Day Office Environment")</f>
        <v>Every Day Office Environment</v>
      </c>
      <c r="L553" s="1" t="str">
        <f ca="1">IFERROR(__xludf.DUMMYFUNCTION("""COMPUTED_VALUE"""),"Employer who appreciates learning and enables that environment")</f>
        <v>Employer who appreciates learning and enables that environment</v>
      </c>
      <c r="M553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553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553" s="1" t="str">
        <f ca="1">IFERROR(__xludf.DUMMYFUNCTION("""COMPUTED_VALUE"""),"Manager who explains what is expected, sets a goal and helps achieve it")</f>
        <v>Manager who explains what is expected, sets a goal and helps achieve it</v>
      </c>
      <c r="P553" s="1" t="str">
        <f ca="1">IFERROR(__xludf.DUMMYFUNCTION("""COMPUTED_VALUE"""),"Work with more than 10 people in my team")</f>
        <v>Work with more than 10 people in my team</v>
      </c>
      <c r="Q553" s="1" t="str">
        <f ca="1">IFERROR(__xludf.DUMMYFUNCTION("""COMPUTED_VALUE"""),"Yes, I Understand this is gonna happen everywhere")</f>
        <v>Yes, I Understand this is gonna happen everywhere</v>
      </c>
      <c r="R553" s="1" t="str">
        <f ca="1">IFERROR(__xludf.DUMMYFUNCTION("""COMPUTED_VALUE"""),"This will be hard to do, but if it is the right company I would try")</f>
        <v>This will be hard to do, but if it is the right company I would try</v>
      </c>
      <c r="S553" s="1"/>
    </row>
    <row r="554" spans="1:19" ht="12.5" x14ac:dyDescent="0.25">
      <c r="A554" s="2">
        <f ca="1">IFERROR(__xludf.DUMMYFUNCTION("""COMPUTED_VALUE"""),45021.6903958333)</f>
        <v>45021.690395833299</v>
      </c>
      <c r="B554" s="1" t="str">
        <f ca="1">IFERROR(__xludf.DUMMYFUNCTION("""COMPUTED_VALUE"""),"India")</f>
        <v>India</v>
      </c>
      <c r="C554" s="1">
        <f ca="1">IFERROR(__xludf.DUMMYFUNCTION("""COMPUTED_VALUE"""),485001)</f>
        <v>485001</v>
      </c>
      <c r="D554" s="1" t="str">
        <f ca="1">IFERROR(__xludf.DUMMYFUNCTION("""COMPUTED_VALUE"""),"Male")</f>
        <v>Male</v>
      </c>
      <c r="E554" s="1" t="str">
        <f ca="1">IFERROR(__xludf.DUMMYFUNCTION("""COMPUTED_VALUE"""),"People from my circle, but not family members")</f>
        <v>People from my circle, but not family members</v>
      </c>
      <c r="F554" s="1" t="str">
        <f ca="1">IFERROR(__xludf.DUMMYFUNCTION("""COMPUTED_VALUE"""),"No, But if someone could bare the cost I will")</f>
        <v>No, But if someone could bare the cost I will</v>
      </c>
      <c r="G554" s="1" t="str">
        <f ca="1">IFERROR(__xludf.DUMMYFUNCTION("""COMPUTED_VALUE"""),"This will be hard to do, but if it is the right company I would try")</f>
        <v>This will be hard to do, but if it is the right company I would try</v>
      </c>
      <c r="H554" s="1" t="str">
        <f ca="1">IFERROR(__xludf.DUMMYFUNCTION("""COMPUTED_VALUE"""),"No")</f>
        <v>No</v>
      </c>
      <c r="I554" s="1" t="str">
        <f ca="1">IFERROR(__xludf.DUMMYFUNCTION("""COMPUTED_VALUE"""),"Will NOT work for them")</f>
        <v>Will NOT work for them</v>
      </c>
      <c r="J554" s="1">
        <f ca="1">IFERROR(__xludf.DUMMYFUNCTION("""COMPUTED_VALUE"""),1)</f>
        <v>1</v>
      </c>
      <c r="K554" s="1" t="str">
        <f ca="1">IFERROR(__xludf.DUMMYFUNCTION("""COMPUTED_VALUE"""),"Fully Remote with Options to travel as and when needed")</f>
        <v>Fully Remote with Options to travel as and when needed</v>
      </c>
      <c r="L554" s="1" t="str">
        <f ca="1">IFERROR(__xludf.DUMMYFUNCTION("""COMPUTED_VALUE"""),"Employer who appreciates learning and enables that environment")</f>
        <v>Employer who appreciates learning and enables that environment</v>
      </c>
      <c r="M55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54" s="1" t="str">
        <f ca="1">IFERROR(__xludf.DUMMYFUNCTION("""COMPUTED_VALUE"""),"Design and Creative strategy in any company, Teaching in any of the institutes/colleges/online or offline, Work as a freelancer and do my thing my way, Become a content Creator in some platform")</f>
        <v>Design and Creative strategy in any company, Teaching in any of the institutes/colleges/online or offline, Work as a freelancer and do my thing my way, Become a content Creator in some platform</v>
      </c>
      <c r="O554" s="1" t="str">
        <f ca="1">IFERROR(__xludf.DUMMYFUNCTION("""COMPUTED_VALUE"""),"Manager who explains what is expected, sets a goal and helps achieve it")</f>
        <v>Manager who explains what is expected, sets a goal and helps achieve it</v>
      </c>
      <c r="P554" s="1" t="str">
        <f ca="1">IFERROR(__xludf.DUMMYFUNCTION("""COMPUTED_VALUE"""),"Work with 2 to 3 people in my team")</f>
        <v>Work with 2 to 3 people in my team</v>
      </c>
      <c r="Q554" s="1" t="str">
        <f ca="1">IFERROR(__xludf.DUMMYFUNCTION("""COMPUTED_VALUE"""),"No")</f>
        <v>No</v>
      </c>
      <c r="R554" s="1" t="str">
        <f ca="1">IFERROR(__xludf.DUMMYFUNCTION("""COMPUTED_VALUE"""),"No way")</f>
        <v>No way</v>
      </c>
      <c r="S554" s="1"/>
    </row>
    <row r="555" spans="1:19" ht="12.5" x14ac:dyDescent="0.25">
      <c r="A555" s="2">
        <f ca="1">IFERROR(__xludf.DUMMYFUNCTION("""COMPUTED_VALUE"""),45021.69402478)</f>
        <v>45021.694024780001</v>
      </c>
      <c r="B555" s="1" t="str">
        <f ca="1">IFERROR(__xludf.DUMMYFUNCTION("""COMPUTED_VALUE"""),"India")</f>
        <v>India</v>
      </c>
      <c r="C555" s="1">
        <f ca="1">IFERROR(__xludf.DUMMYFUNCTION("""COMPUTED_VALUE"""),635109)</f>
        <v>635109</v>
      </c>
      <c r="D555" s="1" t="str">
        <f ca="1">IFERROR(__xludf.DUMMYFUNCTION("""COMPUTED_VALUE"""),"Male")</f>
        <v>Male</v>
      </c>
      <c r="E555" s="1" t="str">
        <f ca="1">IFERROR(__xludf.DUMMYFUNCTION("""COMPUTED_VALUE"""),"Social Media like LinkedIn")</f>
        <v>Social Media like LinkedIn</v>
      </c>
      <c r="F555" s="1" t="str">
        <f ca="1">IFERROR(__xludf.DUMMYFUNCTION("""COMPUTED_VALUE"""),"Yes, I will earn and do that")</f>
        <v>Yes, I will earn and do that</v>
      </c>
      <c r="G555" s="1" t="str">
        <f ca="1">IFERROR(__xludf.DUMMYFUNCTION("""COMPUTED_VALUE"""),"This will be hard to do, but if it is the right company I would try")</f>
        <v>This will be hard to do, but if it is the right company I would try</v>
      </c>
      <c r="H555" s="1" t="str">
        <f ca="1">IFERROR(__xludf.DUMMYFUNCTION("""COMPUTED_VALUE"""),"Yes")</f>
        <v>Yes</v>
      </c>
      <c r="I555" s="1" t="str">
        <f ca="1">IFERROR(__xludf.DUMMYFUNCTION("""COMPUTED_VALUE"""),"Will work for them")</f>
        <v>Will work for them</v>
      </c>
      <c r="J555" s="1">
        <f ca="1">IFERROR(__xludf.DUMMYFUNCTION("""COMPUTED_VALUE"""),9)</f>
        <v>9</v>
      </c>
      <c r="K555" s="1" t="str">
        <f ca="1">IFERROR(__xludf.DUMMYFUNCTION("""COMPUTED_VALUE"""),"Every Day Office Environment")</f>
        <v>Every Day Office Environment</v>
      </c>
      <c r="L5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5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555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555" s="1" t="str">
        <f ca="1">IFERROR(__xludf.DUMMYFUNCTION("""COMPUTED_VALUE"""),"Manager who sets goal and helps me achieve it")</f>
        <v>Manager who sets goal and helps me achieve it</v>
      </c>
      <c r="P555" s="1" t="str">
        <f ca="1">IFERROR(__xludf.DUMMYFUNCTION("""COMPUTED_VALUE"""),"Work with 7 to 10 or more people in my team")</f>
        <v>Work with 7 to 10 or more people in my team</v>
      </c>
      <c r="Q555" s="1" t="str">
        <f ca="1">IFERROR(__xludf.DUMMYFUNCTION("""COMPUTED_VALUE"""),"Yes, I Understand this is gonna happen everywhere")</f>
        <v>Yes, I Understand this is gonna happen everywhere</v>
      </c>
      <c r="R555" s="1" t="str">
        <f ca="1">IFERROR(__xludf.DUMMYFUNCTION("""COMPUTED_VALUE"""),"No way")</f>
        <v>No way</v>
      </c>
      <c r="S555" s="1"/>
    </row>
    <row r="556" spans="1:19" ht="12.5" x14ac:dyDescent="0.25">
      <c r="A556" s="2">
        <f ca="1">IFERROR(__xludf.DUMMYFUNCTION("""COMPUTED_VALUE"""),45021.6975800925)</f>
        <v>45021.697580092499</v>
      </c>
      <c r="B556" s="1" t="str">
        <f ca="1">IFERROR(__xludf.DUMMYFUNCTION("""COMPUTED_VALUE"""),"India")</f>
        <v>India</v>
      </c>
      <c r="C556" s="1">
        <f ca="1">IFERROR(__xludf.DUMMYFUNCTION("""COMPUTED_VALUE"""),360001)</f>
        <v>360001</v>
      </c>
      <c r="D556" s="1" t="str">
        <f ca="1">IFERROR(__xludf.DUMMYFUNCTION("""COMPUTED_VALUE"""),"Male")</f>
        <v>Male</v>
      </c>
      <c r="E556" s="1" t="str">
        <f ca="1">IFERROR(__xludf.DUMMYFUNCTION("""COMPUTED_VALUE"""),"My Parents")</f>
        <v>My Parents</v>
      </c>
      <c r="F556" s="1" t="str">
        <f ca="1">IFERROR(__xludf.DUMMYFUNCTION("""COMPUTED_VALUE"""),"Yes, I will earn and do that")</f>
        <v>Yes, I will earn and do that</v>
      </c>
      <c r="G556" s="1" t="str">
        <f ca="1">IFERROR(__xludf.DUMMYFUNCTION("""COMPUTED_VALUE"""),"This will be hard to do, but if it is the right company I would try")</f>
        <v>This will be hard to do, but if it is the right company I would try</v>
      </c>
      <c r="H556" s="1" t="str">
        <f ca="1">IFERROR(__xludf.DUMMYFUNCTION("""COMPUTED_VALUE"""),"No")</f>
        <v>No</v>
      </c>
      <c r="I556" s="1" t="str">
        <f ca="1">IFERROR(__xludf.DUMMYFUNCTION("""COMPUTED_VALUE"""),"Will NOT work for them")</f>
        <v>Will NOT work for them</v>
      </c>
      <c r="J556" s="1">
        <f ca="1">IFERROR(__xludf.DUMMYFUNCTION("""COMPUTED_VALUE"""),1)</f>
        <v>1</v>
      </c>
      <c r="K556" s="1" t="str">
        <f ca="1">IFERROR(__xludf.DUMMYFUNCTION("""COMPUTED_VALUE"""),"Every Day Office Environment")</f>
        <v>Every Day Office Environment</v>
      </c>
      <c r="L5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5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56" s="1" t="str">
        <f ca="1">IFERROR(__xludf.DUMMYFUNCTION("""COMPUTED_VALUE"""),"Business Operations in any organization, Manage and drive End-to-End Projects or Products, Build and develop a Team, Manufacturing / Oil and Gas/ Construction / Hard Physical Work related")</f>
        <v>Business Operations in any organization, Manage and drive End-to-End Projects or Products, Build and develop a Team, Manufacturing / Oil and Gas/ Construction / Hard Physical Work related</v>
      </c>
      <c r="O556" s="1" t="str">
        <f ca="1">IFERROR(__xludf.DUMMYFUNCTION("""COMPUTED_VALUE"""),"Manager who clearly describes what she/he needs")</f>
        <v>Manager who clearly describes what she/he needs</v>
      </c>
      <c r="P556" s="1" t="str">
        <f ca="1">IFERROR(__xludf.DUMMYFUNCTION("""COMPUTED_VALUE"""),"Work with 7 to 10 or more people in my team")</f>
        <v>Work with 7 to 10 or more people in my team</v>
      </c>
      <c r="Q556" s="1" t="str">
        <f ca="1">IFERROR(__xludf.DUMMYFUNCTION("""COMPUTED_VALUE"""),"No")</f>
        <v>No</v>
      </c>
      <c r="R556" s="1" t="str">
        <f ca="1">IFERROR(__xludf.DUMMYFUNCTION("""COMPUTED_VALUE"""),"No way")</f>
        <v>No way</v>
      </c>
      <c r="S556" s="1"/>
    </row>
    <row r="557" spans="1:19" ht="12.5" x14ac:dyDescent="0.25">
      <c r="A557" s="2">
        <f ca="1">IFERROR(__xludf.DUMMYFUNCTION("""COMPUTED_VALUE"""),45021.7025141203)</f>
        <v>45021.702514120298</v>
      </c>
      <c r="B557" s="1" t="str">
        <f ca="1">IFERROR(__xludf.DUMMYFUNCTION("""COMPUTED_VALUE"""),"India")</f>
        <v>India</v>
      </c>
      <c r="C557" s="1">
        <f ca="1">IFERROR(__xludf.DUMMYFUNCTION("""COMPUTED_VALUE"""),620008)</f>
        <v>620008</v>
      </c>
      <c r="D557" s="1" t="str">
        <f ca="1">IFERROR(__xludf.DUMMYFUNCTION("""COMPUTED_VALUE"""),"Female")</f>
        <v>Female</v>
      </c>
      <c r="E557" s="1" t="str">
        <f ca="1">IFERROR(__xludf.DUMMYFUNCTION("""COMPUTED_VALUE"""),"My Parents")</f>
        <v>My Parents</v>
      </c>
      <c r="F557" s="1" t="str">
        <f ca="1">IFERROR(__xludf.DUMMYFUNCTION("""COMPUTED_VALUE"""),"Yes, I will earn and do that")</f>
        <v>Yes, I will earn and do that</v>
      </c>
      <c r="G557" s="1" t="str">
        <f ca="1">IFERROR(__xludf.DUMMYFUNCTION("""COMPUTED_VALUE"""),"This will be hard to do, but if it is the right company I would try")</f>
        <v>This will be hard to do, but if it is the right company I would try</v>
      </c>
      <c r="H557" s="1" t="str">
        <f ca="1">IFERROR(__xludf.DUMMYFUNCTION("""COMPUTED_VALUE"""),"Yes")</f>
        <v>Yes</v>
      </c>
      <c r="I557" s="1" t="str">
        <f ca="1">IFERROR(__xludf.DUMMYFUNCTION("""COMPUTED_VALUE"""),"Will NOT work for them")</f>
        <v>Will NOT work for them</v>
      </c>
      <c r="J557" s="1">
        <f ca="1">IFERROR(__xludf.DUMMYFUNCTION("""COMPUTED_VALUE"""),1)</f>
        <v>1</v>
      </c>
      <c r="K557" s="1" t="str">
        <f ca="1">IFERROR(__xludf.DUMMYFUNCTION("""COMPUTED_VALUE"""),"Hybrid Working Environment with less than 3 days a month at office")</f>
        <v>Hybrid Working Environment with less than 3 days a month at office</v>
      </c>
      <c r="L557" s="1" t="str">
        <f ca="1">IFERROR(__xludf.DUMMYFUNCTION("""COMPUTED_VALUE"""),"Employer who appreciates learning and enables that environment")</f>
        <v>Employer who appreciates learning and enables that environment</v>
      </c>
      <c r="M557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557" s="1" t="str">
        <f ca="1">IFERROR(__xludf.DUMMYFUNCTION("""COMPUTED_VALUE"""),"Teaching in any of the institutes/colleges/online or offline, Build and develop a Team, Entrepreneur or Start Up, An Artificial Intelligence Specialist / Talking to Robots")</f>
        <v>Teaching in any of the institutes/colleges/online or offline, Build and develop a Team, Entrepreneur or Start Up, An Artificial Intelligence Specialist / Talking to Robots</v>
      </c>
      <c r="O557" s="1" t="str">
        <f ca="1">IFERROR(__xludf.DUMMYFUNCTION("""COMPUTED_VALUE"""),"Manager who sets goal and helps me achieve it")</f>
        <v>Manager who sets goal and helps me achieve it</v>
      </c>
      <c r="P557" s="1" t="str">
        <f ca="1">IFERROR(__xludf.DUMMYFUNCTION("""COMPUTED_VALUE"""),"Work with 2 to 3 people in my team, Work with 5 to 6 people in my team")</f>
        <v>Work with 2 to 3 people in my team, Work with 5 to 6 people in my team</v>
      </c>
      <c r="Q557" s="1" t="str">
        <f ca="1">IFERROR(__xludf.DUMMYFUNCTION("""COMPUTED_VALUE"""),"Yes, I Understand this is gonna happen everywhere")</f>
        <v>Yes, I Understand this is gonna happen everywhere</v>
      </c>
      <c r="R557" s="1" t="str">
        <f ca="1">IFERROR(__xludf.DUMMYFUNCTION("""COMPUTED_VALUE"""),"This will be hard to do, but if it is the right company I would try")</f>
        <v>This will be hard to do, but if it is the right company I would try</v>
      </c>
      <c r="S557" s="1"/>
    </row>
    <row r="558" spans="1:19" ht="12.5" x14ac:dyDescent="0.25">
      <c r="A558" s="2">
        <f ca="1">IFERROR(__xludf.DUMMYFUNCTION("""COMPUTED_VALUE"""),45021.7040934259)</f>
        <v>45021.704093425898</v>
      </c>
      <c r="B558" s="1" t="str">
        <f ca="1">IFERROR(__xludf.DUMMYFUNCTION("""COMPUTED_VALUE"""),"India")</f>
        <v>India</v>
      </c>
      <c r="C558" s="1">
        <f ca="1">IFERROR(__xludf.DUMMYFUNCTION("""COMPUTED_VALUE"""),122001)</f>
        <v>122001</v>
      </c>
      <c r="D558" s="1" t="str">
        <f ca="1">IFERROR(__xludf.DUMMYFUNCTION("""COMPUTED_VALUE"""),"Male")</f>
        <v>Male</v>
      </c>
      <c r="E558" s="1" t="str">
        <f ca="1">IFERROR(__xludf.DUMMYFUNCTION("""COMPUTED_VALUE"""),"My Parents")</f>
        <v>My Parents</v>
      </c>
      <c r="F558" s="1" t="str">
        <f ca="1">IFERROR(__xludf.DUMMYFUNCTION("""COMPUTED_VALUE"""),"Yes, I will earn and do that")</f>
        <v>Yes, I will earn and do that</v>
      </c>
      <c r="G558" s="1" t="str">
        <f ca="1">IFERROR(__xludf.DUMMYFUNCTION("""COMPUTED_VALUE"""),"Will work for 3 years or more")</f>
        <v>Will work for 3 years or more</v>
      </c>
      <c r="H558" s="1" t="str">
        <f ca="1">IFERROR(__xludf.DUMMYFUNCTION("""COMPUTED_VALUE"""),"No")</f>
        <v>No</v>
      </c>
      <c r="I558" s="1" t="str">
        <f ca="1">IFERROR(__xludf.DUMMYFUNCTION("""COMPUTED_VALUE"""),"Will NOT work for them")</f>
        <v>Will NOT work for them</v>
      </c>
      <c r="J558" s="1">
        <f ca="1">IFERROR(__xludf.DUMMYFUNCTION("""COMPUTED_VALUE"""),5)</f>
        <v>5</v>
      </c>
      <c r="K558" s="1" t="str">
        <f ca="1">IFERROR(__xludf.DUMMYFUNCTION("""COMPUTED_VALUE"""),"Hybrid Working Environment with more than 15 days a month at office")</f>
        <v>Hybrid Working Environment with more than 15 days a month at office</v>
      </c>
      <c r="L5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5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558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558" s="1" t="str">
        <f ca="1">IFERROR(__xludf.DUMMYFUNCTION("""COMPUTED_VALUE"""),"Manager who explains what is expected, sets a goal and helps achieve it")</f>
        <v>Manager who explains what is expected, sets a goal and helps achieve it</v>
      </c>
      <c r="P558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558" s="1" t="str">
        <f ca="1">IFERROR(__xludf.DUMMYFUNCTION("""COMPUTED_VALUE"""),"Yes, I Understand this is gonna happen everywhere")</f>
        <v>Yes, I Understand this is gonna happen everywhere</v>
      </c>
      <c r="R558" s="1" t="str">
        <f ca="1">IFERROR(__xludf.DUMMYFUNCTION("""COMPUTED_VALUE"""),"Will work for 7 years or more")</f>
        <v>Will work for 7 years or more</v>
      </c>
      <c r="S558" s="1"/>
    </row>
    <row r="559" spans="1:19" ht="12.5" x14ac:dyDescent="0.25">
      <c r="A559" s="2">
        <f ca="1">IFERROR(__xludf.DUMMYFUNCTION("""COMPUTED_VALUE"""),45021.7049069907)</f>
        <v>45021.704906990701</v>
      </c>
      <c r="B559" s="1" t="str">
        <f ca="1">IFERROR(__xludf.DUMMYFUNCTION("""COMPUTED_VALUE"""),"India")</f>
        <v>India</v>
      </c>
      <c r="C559" s="1">
        <f ca="1">IFERROR(__xludf.DUMMYFUNCTION("""COMPUTED_VALUE"""),626108)</f>
        <v>626108</v>
      </c>
      <c r="D559" s="1" t="str">
        <f ca="1">IFERROR(__xludf.DUMMYFUNCTION("""COMPUTED_VALUE"""),"Male")</f>
        <v>Male</v>
      </c>
      <c r="E559" s="1" t="str">
        <f ca="1">IFERROR(__xludf.DUMMYFUNCTION("""COMPUTED_VALUE"""),"People from my circle, but not family members")</f>
        <v>People from my circle, but not family members</v>
      </c>
      <c r="F559" s="1" t="str">
        <f ca="1">IFERROR(__xludf.DUMMYFUNCTION("""COMPUTED_VALUE"""),"No I would not be pursuing Higher Education outside of India")</f>
        <v>No I would not be pursuing Higher Education outside of India</v>
      </c>
      <c r="G559" s="1" t="str">
        <f ca="1">IFERROR(__xludf.DUMMYFUNCTION("""COMPUTED_VALUE"""),"Will work for 3 years or more")</f>
        <v>Will work for 3 years or more</v>
      </c>
      <c r="H559" s="1" t="str">
        <f ca="1">IFERROR(__xludf.DUMMYFUNCTION("""COMPUTED_VALUE"""),"No")</f>
        <v>No</v>
      </c>
      <c r="I559" s="1" t="str">
        <f ca="1">IFERROR(__xludf.DUMMYFUNCTION("""COMPUTED_VALUE"""),"Will NOT work for them")</f>
        <v>Will NOT work for them</v>
      </c>
      <c r="J559" s="1">
        <f ca="1">IFERROR(__xludf.DUMMYFUNCTION("""COMPUTED_VALUE"""),10)</f>
        <v>10</v>
      </c>
      <c r="K559" s="1" t="str">
        <f ca="1">IFERROR(__xludf.DUMMYFUNCTION("""COMPUTED_VALUE"""),"Hybrid Working Environment with less than 3 days a month at office")</f>
        <v>Hybrid Working Environment with less than 3 days a month at office</v>
      </c>
      <c r="L559" s="1" t="str">
        <f ca="1">IFERROR(__xludf.DUMMYFUNCTION("""COMPUTED_VALUE"""),"Employer who appreciates learning and enables that environment")</f>
        <v>Employer who appreciates learning and enables that environment</v>
      </c>
      <c r="M55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559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559" s="1" t="str">
        <f ca="1">IFERROR(__xludf.DUMMYFUNCTION("""COMPUTED_VALUE"""),"Manager who sets goal and helps me achieve it")</f>
        <v>Manager who sets goal and helps me achieve it</v>
      </c>
      <c r="P559" s="1" t="str">
        <f ca="1">IFERROR(__xludf.DUMMYFUNCTION("""COMPUTED_VALUE"""),"Work with 2 to 3 people in my team")</f>
        <v>Work with 2 to 3 people in my team</v>
      </c>
      <c r="Q559" s="1" t="str">
        <f ca="1">IFERROR(__xludf.DUMMYFUNCTION("""COMPUTED_VALUE"""),"Yes, I Understand this is gonna happen everywhere")</f>
        <v>Yes, I Understand this is gonna happen everywhere</v>
      </c>
      <c r="R559" s="1" t="str">
        <f ca="1">IFERROR(__xludf.DUMMYFUNCTION("""COMPUTED_VALUE"""),"No way")</f>
        <v>No way</v>
      </c>
      <c r="S559" s="1"/>
    </row>
    <row r="560" spans="1:19" ht="12.5" x14ac:dyDescent="0.25">
      <c r="A560" s="2">
        <f ca="1">IFERROR(__xludf.DUMMYFUNCTION("""COMPUTED_VALUE"""),45021.7057106481)</f>
        <v>45021.705710648101</v>
      </c>
      <c r="B560" s="1" t="str">
        <f ca="1">IFERROR(__xludf.DUMMYFUNCTION("""COMPUTED_VALUE"""),"India")</f>
        <v>India</v>
      </c>
      <c r="C560" s="1">
        <f ca="1">IFERROR(__xludf.DUMMYFUNCTION("""COMPUTED_VALUE"""),641004)</f>
        <v>641004</v>
      </c>
      <c r="D560" s="1" t="str">
        <f ca="1">IFERROR(__xludf.DUMMYFUNCTION("""COMPUTED_VALUE"""),"Male")</f>
        <v>Male</v>
      </c>
      <c r="E560" s="1" t="str">
        <f ca="1">IFERROR(__xludf.DUMMYFUNCTION("""COMPUTED_VALUE"""),"Influencers who had successful careers")</f>
        <v>Influencers who had successful careers</v>
      </c>
      <c r="F560" s="1" t="str">
        <f ca="1">IFERROR(__xludf.DUMMYFUNCTION("""COMPUTED_VALUE"""),"Yes, I will earn and do that")</f>
        <v>Yes, I will earn and do that</v>
      </c>
      <c r="G560" s="1" t="str">
        <f ca="1">IFERROR(__xludf.DUMMYFUNCTION("""COMPUTED_VALUE"""),"This will be hard to do, but if it is the right company I would try")</f>
        <v>This will be hard to do, but if it is the right company I would try</v>
      </c>
      <c r="H560" s="1" t="str">
        <f ca="1">IFERROR(__xludf.DUMMYFUNCTION("""COMPUTED_VALUE"""),"No")</f>
        <v>No</v>
      </c>
      <c r="I560" s="1" t="str">
        <f ca="1">IFERROR(__xludf.DUMMYFUNCTION("""COMPUTED_VALUE"""),"Will NOT work for them")</f>
        <v>Will NOT work for them</v>
      </c>
      <c r="J560" s="1">
        <f ca="1">IFERROR(__xludf.DUMMYFUNCTION("""COMPUTED_VALUE"""),3)</f>
        <v>3</v>
      </c>
      <c r="K560" s="1" t="str">
        <f ca="1">IFERROR(__xludf.DUMMYFUNCTION("""COMPUTED_VALUE"""),"Hybrid Working Environment with less than 3 days a month at office")</f>
        <v>Hybrid Working Environment with less than 3 days a month at office</v>
      </c>
      <c r="L560" s="1" t="str">
        <f ca="1">IFERROR(__xludf.DUMMYFUNCTION("""COMPUTED_VALUE"""),"Employer who appreciates learning and enables that environment")</f>
        <v>Employer who appreciates learning and enables that environment</v>
      </c>
      <c r="M56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560" s="1" t="str">
        <f ca="1">IFERROR(__xludf.DUMMYFUNCTION("""COMPUTED_VALUE"""),"Design and Creative strategy in any company, Business Operations in any organization, Entrepreneur or Start Up, I Want to sell things/Sales")</f>
        <v>Design and Creative strategy in any company, Business Operations in any organization, Entrepreneur or Start Up, I Want to sell things/Sales</v>
      </c>
      <c r="O560" s="1" t="str">
        <f ca="1">IFERROR(__xludf.DUMMYFUNCTION("""COMPUTED_VALUE"""),"Manager who clearly describes what she/he needs")</f>
        <v>Manager who clearly describes what she/he needs</v>
      </c>
      <c r="P560" s="1" t="str">
        <f ca="1">IFERROR(__xludf.DUMMYFUNCTION("""COMPUTED_VALUE"""),"Work with more than 10 people in my team")</f>
        <v>Work with more than 10 people in my team</v>
      </c>
      <c r="Q560" s="1" t="str">
        <f ca="1">IFERROR(__xludf.DUMMYFUNCTION("""COMPUTED_VALUE"""),"I have NO other choice")</f>
        <v>I have NO other choice</v>
      </c>
      <c r="R560" s="1" t="str">
        <f ca="1">IFERROR(__xludf.DUMMYFUNCTION("""COMPUTED_VALUE"""),"This will be hard to do, but if it is the right company I would try")</f>
        <v>This will be hard to do, but if it is the right company I would try</v>
      </c>
      <c r="S560" s="1"/>
    </row>
    <row r="561" spans="1:19" ht="12.5" x14ac:dyDescent="0.25">
      <c r="A561" s="2">
        <f ca="1">IFERROR(__xludf.DUMMYFUNCTION("""COMPUTED_VALUE"""),45021.7071620717)</f>
        <v>45021.707162071703</v>
      </c>
      <c r="B561" s="1" t="str">
        <f ca="1">IFERROR(__xludf.DUMMYFUNCTION("""COMPUTED_VALUE"""),"India")</f>
        <v>India</v>
      </c>
      <c r="C561" s="1">
        <f ca="1">IFERROR(__xludf.DUMMYFUNCTION("""COMPUTED_VALUE"""),110059)</f>
        <v>110059</v>
      </c>
      <c r="D561" s="1" t="str">
        <f ca="1">IFERROR(__xludf.DUMMYFUNCTION("""COMPUTED_VALUE"""),"Male")</f>
        <v>Male</v>
      </c>
      <c r="E561" s="1" t="str">
        <f ca="1">IFERROR(__xludf.DUMMYFUNCTION("""COMPUTED_VALUE"""),"People from my circle, but not family members")</f>
        <v>People from my circle, but not family members</v>
      </c>
      <c r="F561" s="1" t="str">
        <f ca="1">IFERROR(__xludf.DUMMYFUNCTION("""COMPUTED_VALUE"""),"No I would not be pursuing Higher Education outside of India")</f>
        <v>No I would not be pursuing Higher Education outside of India</v>
      </c>
      <c r="G561" s="1" t="str">
        <f ca="1">IFERROR(__xludf.DUMMYFUNCTION("""COMPUTED_VALUE"""),"This will be hard to do, but if it is the right company I would try")</f>
        <v>This will be hard to do, but if it is the right company I would try</v>
      </c>
      <c r="H561" s="1" t="str">
        <f ca="1">IFERROR(__xludf.DUMMYFUNCTION("""COMPUTED_VALUE"""),"No")</f>
        <v>No</v>
      </c>
      <c r="I561" s="1" t="str">
        <f ca="1">IFERROR(__xludf.DUMMYFUNCTION("""COMPUTED_VALUE"""),"Will NOT work for them")</f>
        <v>Will NOT work for them</v>
      </c>
      <c r="J561" s="1">
        <f ca="1">IFERROR(__xludf.DUMMYFUNCTION("""COMPUTED_VALUE"""),2)</f>
        <v>2</v>
      </c>
      <c r="K561" s="1" t="str">
        <f ca="1">IFERROR(__xludf.DUMMYFUNCTION("""COMPUTED_VALUE"""),"Hybrid Working Environment with more than 15 days a month at office")</f>
        <v>Hybrid Working Environment with more than 15 days a month at office</v>
      </c>
      <c r="L5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6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61" s="1" t="str">
        <f ca="1">IFERROR(__xludf.DUMMYFUNCTION("""COMPUTED_VALUE"""),"Design and Creative strategy in any company, Look deeply into Data and generate insights, Work as a freelancer and do my thing my way, An Artificial Intelligence Specialist / Talking to Robots")</f>
        <v>Design and Creative strategy in any company, Look deeply into Data and generate insights, Work as a freelancer and do my thing my way, An Artificial Intelligence Specialist / Talking to Robots</v>
      </c>
      <c r="O561" s="1" t="str">
        <f ca="1">IFERROR(__xludf.DUMMYFUNCTION("""COMPUTED_VALUE"""),"Manager who sets goal and helps me achieve it")</f>
        <v>Manager who sets goal and helps me achieve it</v>
      </c>
      <c r="P561" s="1" t="str">
        <f ca="1">IFERROR(__xludf.DUMMYFUNCTION("""COMPUTED_VALUE"""),"Work alone")</f>
        <v>Work alone</v>
      </c>
      <c r="Q561" s="1" t="str">
        <f ca="1">IFERROR(__xludf.DUMMYFUNCTION("""COMPUTED_VALUE"""),"I have NO other choice")</f>
        <v>I have NO other choice</v>
      </c>
      <c r="R561" s="1" t="str">
        <f ca="1">IFERROR(__xludf.DUMMYFUNCTION("""COMPUTED_VALUE"""),"No way")</f>
        <v>No way</v>
      </c>
      <c r="S561" s="1"/>
    </row>
    <row r="562" spans="1:19" ht="12.5" x14ac:dyDescent="0.25">
      <c r="A562" s="2">
        <f ca="1">IFERROR(__xludf.DUMMYFUNCTION("""COMPUTED_VALUE"""),45021.7094640162)</f>
        <v>45021.709464016203</v>
      </c>
      <c r="B562" s="1" t="str">
        <f ca="1">IFERROR(__xludf.DUMMYFUNCTION("""COMPUTED_VALUE"""),"India")</f>
        <v>India</v>
      </c>
      <c r="C562" s="1">
        <f ca="1">IFERROR(__xludf.DUMMYFUNCTION("""COMPUTED_VALUE"""),380007)</f>
        <v>380007</v>
      </c>
      <c r="D562" s="1" t="str">
        <f ca="1">IFERROR(__xludf.DUMMYFUNCTION("""COMPUTED_VALUE"""),"Female")</f>
        <v>Female</v>
      </c>
      <c r="E562" s="1" t="str">
        <f ca="1">IFERROR(__xludf.DUMMYFUNCTION("""COMPUTED_VALUE"""),"People who have changed the world for better")</f>
        <v>People who have changed the world for better</v>
      </c>
      <c r="F562" s="1" t="str">
        <f ca="1">IFERROR(__xludf.DUMMYFUNCTION("""COMPUTED_VALUE"""),"No I would not be pursuing Higher Education outside of India")</f>
        <v>No I would not be pursuing Higher Education outside of India</v>
      </c>
      <c r="G562" s="1" t="str">
        <f ca="1">IFERROR(__xludf.DUMMYFUNCTION("""COMPUTED_VALUE"""),"This will be hard to do, but if it is the right company I would try")</f>
        <v>This will be hard to do, but if it is the right company I would try</v>
      </c>
      <c r="H562" s="1" t="str">
        <f ca="1">IFERROR(__xludf.DUMMYFUNCTION("""COMPUTED_VALUE"""),"No")</f>
        <v>No</v>
      </c>
      <c r="I562" s="1" t="str">
        <f ca="1">IFERROR(__xludf.DUMMYFUNCTION("""COMPUTED_VALUE"""),"Will NOT work for them")</f>
        <v>Will NOT work for them</v>
      </c>
      <c r="J562" s="1">
        <f ca="1">IFERROR(__xludf.DUMMYFUNCTION("""COMPUTED_VALUE"""),2)</f>
        <v>2</v>
      </c>
      <c r="K562" s="1" t="str">
        <f ca="1">IFERROR(__xludf.DUMMYFUNCTION("""COMPUTED_VALUE"""),"Fully Remote with Options to travel as and when needed")</f>
        <v>Fully Remote with Options to travel as and when needed</v>
      </c>
      <c r="L5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6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562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562" s="1" t="str">
        <f ca="1">IFERROR(__xludf.DUMMYFUNCTION("""COMPUTED_VALUE"""),"Manager who clearly describes what she/he needs")</f>
        <v>Manager who clearly describes what she/he needs</v>
      </c>
      <c r="P562" s="1" t="str">
        <f ca="1">IFERROR(__xludf.DUMMYFUNCTION("""COMPUTED_VALUE"""),"Work with more than 10 people in my team")</f>
        <v>Work with more than 10 people in my team</v>
      </c>
      <c r="Q562" s="1" t="str">
        <f ca="1">IFERROR(__xludf.DUMMYFUNCTION("""COMPUTED_VALUE"""),"No")</f>
        <v>No</v>
      </c>
      <c r="R562" s="1" t="str">
        <f ca="1">IFERROR(__xludf.DUMMYFUNCTION("""COMPUTED_VALUE"""),"This will be hard to do, but if it is the right company I would try")</f>
        <v>This will be hard to do, but if it is the right company I would try</v>
      </c>
      <c r="S562" s="1"/>
    </row>
    <row r="563" spans="1:19" ht="12.5" x14ac:dyDescent="0.25">
      <c r="A563" s="2">
        <f ca="1">IFERROR(__xludf.DUMMYFUNCTION("""COMPUTED_VALUE"""),45021.7108700694)</f>
        <v>45021.710870069401</v>
      </c>
      <c r="B563" s="1" t="str">
        <f ca="1">IFERROR(__xludf.DUMMYFUNCTION("""COMPUTED_VALUE"""),"India")</f>
        <v>India</v>
      </c>
      <c r="C563" s="1">
        <f ca="1">IFERROR(__xludf.DUMMYFUNCTION("""COMPUTED_VALUE"""),631101)</f>
        <v>631101</v>
      </c>
      <c r="D563" s="1" t="str">
        <f ca="1">IFERROR(__xludf.DUMMYFUNCTION("""COMPUTED_VALUE"""),"Male")</f>
        <v>Male</v>
      </c>
      <c r="E563" s="1" t="str">
        <f ca="1">IFERROR(__xludf.DUMMYFUNCTION("""COMPUTED_VALUE"""),"People who have changed the world for better")</f>
        <v>People who have changed the world for better</v>
      </c>
      <c r="F563" s="1" t="str">
        <f ca="1">IFERROR(__xludf.DUMMYFUNCTION("""COMPUTED_VALUE"""),"Yes, I will earn and do that")</f>
        <v>Yes, I will earn and do that</v>
      </c>
      <c r="G563" s="1" t="str">
        <f ca="1">IFERROR(__xludf.DUMMYFUNCTION("""COMPUTED_VALUE"""),"Will work for 3 years or more")</f>
        <v>Will work for 3 years or more</v>
      </c>
      <c r="H563" s="1" t="str">
        <f ca="1">IFERROR(__xludf.DUMMYFUNCTION("""COMPUTED_VALUE"""),"No")</f>
        <v>No</v>
      </c>
      <c r="I563" s="1" t="str">
        <f ca="1">IFERROR(__xludf.DUMMYFUNCTION("""COMPUTED_VALUE"""),"Will NOT work for them")</f>
        <v>Will NOT work for them</v>
      </c>
      <c r="J563" s="1">
        <f ca="1">IFERROR(__xludf.DUMMYFUNCTION("""COMPUTED_VALUE"""),5)</f>
        <v>5</v>
      </c>
      <c r="K563" s="1" t="str">
        <f ca="1">IFERROR(__xludf.DUMMYFUNCTION("""COMPUTED_VALUE"""),"Hybrid Working Environment with less than 3 days a month at office")</f>
        <v>Hybrid Working Environment with less than 3 days a month at office</v>
      </c>
      <c r="L563" s="1" t="str">
        <f ca="1">IFERROR(__xludf.DUMMYFUNCTION("""COMPUTED_VALUE"""),"Employer who rewards learning and enables that environment")</f>
        <v>Employer who rewards learning and enables that environment</v>
      </c>
      <c r="M563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563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563" s="1" t="str">
        <f ca="1">IFERROR(__xludf.DUMMYFUNCTION("""COMPUTED_VALUE"""),"Manager who explains what is expected, sets a goal and helps achieve it")</f>
        <v>Manager who explains what is expected, sets a goal and helps achieve it</v>
      </c>
      <c r="P563" s="1" t="str">
        <f ca="1">IFERROR(__xludf.DUMMYFUNCTION("""COMPUTED_VALUE"""),"Work alone, Work with more than 10 people in my team")</f>
        <v>Work alone, Work with more than 10 people in my team</v>
      </c>
      <c r="Q563" s="1" t="str">
        <f ca="1">IFERROR(__xludf.DUMMYFUNCTION("""COMPUTED_VALUE"""),"No")</f>
        <v>No</v>
      </c>
      <c r="R563" s="1" t="str">
        <f ca="1">IFERROR(__xludf.DUMMYFUNCTION("""COMPUTED_VALUE"""),"This will be hard to do, but if it is the right company I would try")</f>
        <v>This will be hard to do, but if it is the right company I would try</v>
      </c>
      <c r="S563" s="1"/>
    </row>
    <row r="564" spans="1:19" ht="12.5" x14ac:dyDescent="0.25">
      <c r="A564" s="2">
        <f ca="1">IFERROR(__xludf.DUMMYFUNCTION("""COMPUTED_VALUE"""),45021.7109147916)</f>
        <v>45021.710914791598</v>
      </c>
      <c r="B564" s="1" t="str">
        <f ca="1">IFERROR(__xludf.DUMMYFUNCTION("""COMPUTED_VALUE"""),"India")</f>
        <v>India</v>
      </c>
      <c r="C564" s="1">
        <f ca="1">IFERROR(__xludf.DUMMYFUNCTION("""COMPUTED_VALUE"""),626136)</f>
        <v>626136</v>
      </c>
      <c r="D564" s="1" t="str">
        <f ca="1">IFERROR(__xludf.DUMMYFUNCTION("""COMPUTED_VALUE"""),"Male")</f>
        <v>Male</v>
      </c>
      <c r="E564" s="1" t="str">
        <f ca="1">IFERROR(__xludf.DUMMYFUNCTION("""COMPUTED_VALUE"""),"People from my circle, but not family members")</f>
        <v>People from my circle, but not family members</v>
      </c>
      <c r="F564" s="1" t="str">
        <f ca="1">IFERROR(__xludf.DUMMYFUNCTION("""COMPUTED_VALUE"""),"No I would not be pursuing Higher Education outside of India")</f>
        <v>No I would not be pursuing Higher Education outside of India</v>
      </c>
      <c r="G564" s="1" t="str">
        <f ca="1">IFERROR(__xludf.DUMMYFUNCTION("""COMPUTED_VALUE"""),"This will be hard to do, but if it is the right company I would try")</f>
        <v>This will be hard to do, but if it is the right company I would try</v>
      </c>
      <c r="H564" s="1" t="str">
        <f ca="1">IFERROR(__xludf.DUMMYFUNCTION("""COMPUTED_VALUE"""),"Yes")</f>
        <v>Yes</v>
      </c>
      <c r="I564" s="1" t="str">
        <f ca="1">IFERROR(__xludf.DUMMYFUNCTION("""COMPUTED_VALUE"""),"Will work for them")</f>
        <v>Will work for them</v>
      </c>
      <c r="J564" s="1">
        <f ca="1">IFERROR(__xludf.DUMMYFUNCTION("""COMPUTED_VALUE"""),7)</f>
        <v>7</v>
      </c>
      <c r="K564" s="1" t="str">
        <f ca="1">IFERROR(__xludf.DUMMYFUNCTION("""COMPUTED_VALUE"""),"Fully Remote with Options to travel as and when needed")</f>
        <v>Fully Remote with Options to travel as and when needed</v>
      </c>
      <c r="L5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6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564" s="1" t="str">
        <f ca="1">IFERROR(__xludf.DUMMYFUNCTION("""COMPUTED_VALUE"""),"Teaching in any of the institutes/colleges/online or offline, Design and Develop amazing software, Look deeply into Data and generate insights, An Artificial Intelligence Specialist / Talking to Robots")</f>
        <v>Teaching in any of the institutes/colleges/online or offline, Design and Develop amazing software, Look deeply into Data and generate insights, An Artificial Intelligence Specialist / Talking to Robots</v>
      </c>
      <c r="O564" s="1" t="str">
        <f ca="1">IFERROR(__xludf.DUMMYFUNCTION("""COMPUTED_VALUE"""),"Manager who sets goal and helps me achieve it")</f>
        <v>Manager who sets goal and helps me achieve it</v>
      </c>
      <c r="P564" s="1" t="str">
        <f ca="1">IFERROR(__xludf.DUMMYFUNCTION("""COMPUTED_VALUE"""),"Work with 5 to 6 people in my team")</f>
        <v>Work with 5 to 6 people in my team</v>
      </c>
      <c r="Q564" s="1" t="str">
        <f ca="1">IFERROR(__xludf.DUMMYFUNCTION("""COMPUTED_VALUE"""),"Yes, I Understand this is gonna happen everywhere")</f>
        <v>Yes, I Understand this is gonna happen everywhere</v>
      </c>
      <c r="R564" s="1" t="str">
        <f ca="1">IFERROR(__xludf.DUMMYFUNCTION("""COMPUTED_VALUE"""),"No way")</f>
        <v>No way</v>
      </c>
      <c r="S564" s="1"/>
    </row>
    <row r="565" spans="1:19" ht="12.5" x14ac:dyDescent="0.25">
      <c r="A565" s="2">
        <f ca="1">IFERROR(__xludf.DUMMYFUNCTION("""COMPUTED_VALUE"""),45021.7128589351)</f>
        <v>45021.712858935098</v>
      </c>
      <c r="B565" s="1" t="str">
        <f ca="1">IFERROR(__xludf.DUMMYFUNCTION("""COMPUTED_VALUE"""),"India")</f>
        <v>India</v>
      </c>
      <c r="C565" s="1">
        <f ca="1">IFERROR(__xludf.DUMMYFUNCTION("""COMPUTED_VALUE"""),530024)</f>
        <v>530024</v>
      </c>
      <c r="D565" s="1" t="str">
        <f ca="1">IFERROR(__xludf.DUMMYFUNCTION("""COMPUTED_VALUE"""),"Male")</f>
        <v>Male</v>
      </c>
      <c r="E565" s="1" t="str">
        <f ca="1">IFERROR(__xludf.DUMMYFUNCTION("""COMPUTED_VALUE"""),"My Parents")</f>
        <v>My Parents</v>
      </c>
      <c r="F565" s="1" t="str">
        <f ca="1">IFERROR(__xludf.DUMMYFUNCTION("""COMPUTED_VALUE"""),"No, But if someone could bare the cost I will")</f>
        <v>No, But if someone could bare the cost I will</v>
      </c>
      <c r="G565" s="1" t="str">
        <f ca="1">IFERROR(__xludf.DUMMYFUNCTION("""COMPUTED_VALUE"""),"Will work for 3 years or more")</f>
        <v>Will work for 3 years or more</v>
      </c>
      <c r="H565" s="1" t="str">
        <f ca="1">IFERROR(__xludf.DUMMYFUNCTION("""COMPUTED_VALUE"""),"No")</f>
        <v>No</v>
      </c>
      <c r="I565" s="1" t="str">
        <f ca="1">IFERROR(__xludf.DUMMYFUNCTION("""COMPUTED_VALUE"""),"Will NOT work for them")</f>
        <v>Will NOT work for them</v>
      </c>
      <c r="J565" s="1">
        <f ca="1">IFERROR(__xludf.DUMMYFUNCTION("""COMPUTED_VALUE"""),7)</f>
        <v>7</v>
      </c>
      <c r="K565" s="1" t="str">
        <f ca="1">IFERROR(__xludf.DUMMYFUNCTION("""COMPUTED_VALUE"""),"Fully Remote with Options to travel as and when needed")</f>
        <v>Fully Remote with Options to travel as and when needed</v>
      </c>
      <c r="L5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6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65" s="1" t="str">
        <f ca="1">IFERROR(__xludf.DUMMYFUNCTION("""COMPUTED_VALUE"""),"Manage and drive End-to-End Projects or Products, Design and Develop amazing software, Entrepreneur or Start Up, An Artificial Intelligence Specialist / Talking to Robots")</f>
        <v>Manage and drive End-to-End Projects or Products, Design and Develop amazing software, Entrepreneur or Start Up, An Artificial Intelligence Specialist / Talking to Robots</v>
      </c>
      <c r="O565" s="1" t="str">
        <f ca="1">IFERROR(__xludf.DUMMYFUNCTION("""COMPUTED_VALUE"""),"Manager who explains what is expected, sets a goal and helps achieve it")</f>
        <v>Manager who explains what is expected, sets a goal and helps achieve it</v>
      </c>
      <c r="P565" s="1" t="str">
        <f ca="1">IFERROR(__xludf.DUMMYFUNCTION("""COMPUTED_VALUE"""),"Work with 5 to 6 people in my team")</f>
        <v>Work with 5 to 6 people in my team</v>
      </c>
      <c r="Q565" s="1" t="str">
        <f ca="1">IFERROR(__xludf.DUMMYFUNCTION("""COMPUTED_VALUE"""),"I have NO other choice")</f>
        <v>I have NO other choice</v>
      </c>
      <c r="R565" s="1" t="str">
        <f ca="1">IFERROR(__xludf.DUMMYFUNCTION("""COMPUTED_VALUE"""),"This will be hard to do, but if it is the right company I would try")</f>
        <v>This will be hard to do, but if it is the right company I would try</v>
      </c>
      <c r="S565" s="1"/>
    </row>
    <row r="566" spans="1:19" ht="12.5" x14ac:dyDescent="0.25">
      <c r="A566" s="2">
        <f ca="1">IFERROR(__xludf.DUMMYFUNCTION("""COMPUTED_VALUE"""),45021.7132454398)</f>
        <v>45021.713245439802</v>
      </c>
      <c r="B566" s="1" t="str">
        <f ca="1">IFERROR(__xludf.DUMMYFUNCTION("""COMPUTED_VALUE"""),"India")</f>
        <v>India</v>
      </c>
      <c r="C566" s="1">
        <f ca="1">IFERROR(__xludf.DUMMYFUNCTION("""COMPUTED_VALUE"""),606601)</f>
        <v>606601</v>
      </c>
      <c r="D566" s="1" t="str">
        <f ca="1">IFERROR(__xludf.DUMMYFUNCTION("""COMPUTED_VALUE"""),"Male")</f>
        <v>Male</v>
      </c>
      <c r="E566" s="1" t="str">
        <f ca="1">IFERROR(__xludf.DUMMYFUNCTION("""COMPUTED_VALUE"""),"My Parents")</f>
        <v>My Parents</v>
      </c>
      <c r="F566" s="1" t="str">
        <f ca="1">IFERROR(__xludf.DUMMYFUNCTION("""COMPUTED_VALUE"""),"Yes, I will earn and do that")</f>
        <v>Yes, I will earn and do that</v>
      </c>
      <c r="G566" s="1" t="str">
        <f ca="1">IFERROR(__xludf.DUMMYFUNCTION("""COMPUTED_VALUE"""),"Will work for 3 years or more")</f>
        <v>Will work for 3 years or more</v>
      </c>
      <c r="H566" s="1" t="str">
        <f ca="1">IFERROR(__xludf.DUMMYFUNCTION("""COMPUTED_VALUE"""),"Yes")</f>
        <v>Yes</v>
      </c>
      <c r="I566" s="1" t="str">
        <f ca="1">IFERROR(__xludf.DUMMYFUNCTION("""COMPUTED_VALUE"""),"Will work for them")</f>
        <v>Will work for them</v>
      </c>
      <c r="J566" s="1">
        <f ca="1">IFERROR(__xludf.DUMMYFUNCTION("""COMPUTED_VALUE"""),10)</f>
        <v>10</v>
      </c>
      <c r="K566" s="1" t="str">
        <f ca="1">IFERROR(__xludf.DUMMYFUNCTION("""COMPUTED_VALUE"""),"Fully Remote with Options to travel as and when needed")</f>
        <v>Fully Remote with Options to travel as and when needed</v>
      </c>
      <c r="L5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6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66" s="1" t="str">
        <f ca="1">IFERROR(__xludf.DUMMYFUNCTION("""COMPUTED_VALUE"""),"Business Operations in any organization, Build and develop a Team, Entrepreneur or Start Up, Manufacturing / Oil and Gas/ Construction / Hard Physical Work related")</f>
        <v>Business Operations in any organization, Build and develop a Team, Entrepreneur or Start Up, Manufacturing / Oil and Gas/ Construction / Hard Physical Work related</v>
      </c>
      <c r="O566" s="1" t="str">
        <f ca="1">IFERROR(__xludf.DUMMYFUNCTION("""COMPUTED_VALUE"""),"Manager who explains what is expected, sets a goal and helps achieve it")</f>
        <v>Manager who explains what is expected, sets a goal and helps achieve it</v>
      </c>
      <c r="P566" s="1" t="str">
        <f ca="1">IFERROR(__xludf.DUMMYFUNCTION("""COMPUTED_VALUE"""),"Work with more than 10 people in my team")</f>
        <v>Work with more than 10 people in my team</v>
      </c>
      <c r="Q566" s="1" t="str">
        <f ca="1">IFERROR(__xludf.DUMMYFUNCTION("""COMPUTED_VALUE"""),"Yes, I Understand this is gonna happen everywhere")</f>
        <v>Yes, I Understand this is gonna happen everywhere</v>
      </c>
      <c r="R566" s="1" t="str">
        <f ca="1">IFERROR(__xludf.DUMMYFUNCTION("""COMPUTED_VALUE"""),"No way")</f>
        <v>No way</v>
      </c>
      <c r="S566" s="1"/>
    </row>
    <row r="567" spans="1:19" ht="12.5" x14ac:dyDescent="0.25">
      <c r="A567" s="2">
        <f ca="1">IFERROR(__xludf.DUMMYFUNCTION("""COMPUTED_VALUE"""),45021.7138070023)</f>
        <v>45021.713807002299</v>
      </c>
      <c r="B567" s="1" t="str">
        <f ca="1">IFERROR(__xludf.DUMMYFUNCTION("""COMPUTED_VALUE"""),"India")</f>
        <v>India</v>
      </c>
      <c r="C567" s="1">
        <f ca="1">IFERROR(__xludf.DUMMYFUNCTION("""COMPUTED_VALUE"""),522006)</f>
        <v>522006</v>
      </c>
      <c r="D567" s="1" t="str">
        <f ca="1">IFERROR(__xludf.DUMMYFUNCTION("""COMPUTED_VALUE"""),"Male")</f>
        <v>Male</v>
      </c>
      <c r="E567" s="1" t="str">
        <f ca="1">IFERROR(__xludf.DUMMYFUNCTION("""COMPUTED_VALUE"""),"My Parents")</f>
        <v>My Parents</v>
      </c>
      <c r="F567" s="1" t="str">
        <f ca="1">IFERROR(__xludf.DUMMYFUNCTION("""COMPUTED_VALUE"""),"No I would not be pursuing Higher Education outside of India")</f>
        <v>No I would not be pursuing Higher Education outside of India</v>
      </c>
      <c r="G567" s="1" t="str">
        <f ca="1">IFERROR(__xludf.DUMMYFUNCTION("""COMPUTED_VALUE"""),"This will be hard to do, but if it is the right company I would try")</f>
        <v>This will be hard to do, but if it is the right company I would try</v>
      </c>
      <c r="H567" s="1" t="str">
        <f ca="1">IFERROR(__xludf.DUMMYFUNCTION("""COMPUTED_VALUE"""),"No")</f>
        <v>No</v>
      </c>
      <c r="I567" s="1" t="str">
        <f ca="1">IFERROR(__xludf.DUMMYFUNCTION("""COMPUTED_VALUE"""),"Will NOT work for them")</f>
        <v>Will NOT work for them</v>
      </c>
      <c r="J567" s="1">
        <f ca="1">IFERROR(__xludf.DUMMYFUNCTION("""COMPUTED_VALUE"""),1)</f>
        <v>1</v>
      </c>
      <c r="K567" s="1" t="str">
        <f ca="1">IFERROR(__xludf.DUMMYFUNCTION("""COMPUTED_VALUE"""),"Every Day Office Environment")</f>
        <v>Every Day Office Environment</v>
      </c>
      <c r="L567" s="1" t="str">
        <f ca="1">IFERROR(__xludf.DUMMYFUNCTION("""COMPUTED_VALUE"""),"Employer who appreciates learning and enables that environment")</f>
        <v>Employer who appreciates learning and enables that environment</v>
      </c>
      <c r="M56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567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567" s="1" t="str">
        <f ca="1">IFERROR(__xludf.DUMMYFUNCTION("""COMPUTED_VALUE"""),"Manager who sets goal and helps me achieve it")</f>
        <v>Manager who sets goal and helps me achieve it</v>
      </c>
      <c r="P567" s="1" t="str">
        <f ca="1">IFERROR(__xludf.DUMMYFUNCTION("""COMPUTED_VALUE"""),"Work alone, Work with 2 to 3 people in my team")</f>
        <v>Work alone, Work with 2 to 3 people in my team</v>
      </c>
      <c r="Q567" s="1" t="str">
        <f ca="1">IFERROR(__xludf.DUMMYFUNCTION("""COMPUTED_VALUE"""),"No")</f>
        <v>No</v>
      </c>
      <c r="R567" s="1" t="str">
        <f ca="1">IFERROR(__xludf.DUMMYFUNCTION("""COMPUTED_VALUE"""),"This will be hard to do, but if it is the right company I would try")</f>
        <v>This will be hard to do, but if it is the right company I would try</v>
      </c>
      <c r="S567" s="1"/>
    </row>
    <row r="568" spans="1:19" ht="12.5" x14ac:dyDescent="0.25">
      <c r="A568" s="2">
        <f ca="1">IFERROR(__xludf.DUMMYFUNCTION("""COMPUTED_VALUE"""),45021.7144720023)</f>
        <v>45021.714472002299</v>
      </c>
      <c r="B568" s="1" t="str">
        <f ca="1">IFERROR(__xludf.DUMMYFUNCTION("""COMPUTED_VALUE"""),"India")</f>
        <v>India</v>
      </c>
      <c r="C568" s="1">
        <f ca="1">IFERROR(__xludf.DUMMYFUNCTION("""COMPUTED_VALUE"""),523301)</f>
        <v>523301</v>
      </c>
      <c r="D568" s="1" t="str">
        <f ca="1">IFERROR(__xludf.DUMMYFUNCTION("""COMPUTED_VALUE"""),"Female")</f>
        <v>Female</v>
      </c>
      <c r="E568" s="1" t="str">
        <f ca="1">IFERROR(__xludf.DUMMYFUNCTION("""COMPUTED_VALUE"""),"My Parents")</f>
        <v>My Parents</v>
      </c>
      <c r="F568" s="1" t="str">
        <f ca="1">IFERROR(__xludf.DUMMYFUNCTION("""COMPUTED_VALUE"""),"Yes, I will earn and do that")</f>
        <v>Yes, I will earn and do that</v>
      </c>
      <c r="G568" s="1" t="str">
        <f ca="1">IFERROR(__xludf.DUMMYFUNCTION("""COMPUTED_VALUE"""),"Will work for 3 years or more")</f>
        <v>Will work for 3 years or more</v>
      </c>
      <c r="H568" s="1" t="str">
        <f ca="1">IFERROR(__xludf.DUMMYFUNCTION("""COMPUTED_VALUE"""),"Yes")</f>
        <v>Yes</v>
      </c>
      <c r="I568" s="1" t="str">
        <f ca="1">IFERROR(__xludf.DUMMYFUNCTION("""COMPUTED_VALUE"""),"Will work for them")</f>
        <v>Will work for them</v>
      </c>
      <c r="J568" s="1">
        <f ca="1">IFERROR(__xludf.DUMMYFUNCTION("""COMPUTED_VALUE"""),6)</f>
        <v>6</v>
      </c>
      <c r="K568" s="1" t="str">
        <f ca="1">IFERROR(__xludf.DUMMYFUNCTION("""COMPUTED_VALUE"""),"Hybrid Working Environment with less than 3 days a month at office")</f>
        <v>Hybrid Working Environment with less than 3 days a month at office</v>
      </c>
      <c r="L5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68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568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568" s="1" t="str">
        <f ca="1">IFERROR(__xludf.DUMMYFUNCTION("""COMPUTED_VALUE"""),"Manager who clearly describes what she/he needs")</f>
        <v>Manager who clearly describes what she/he needs</v>
      </c>
      <c r="P568" s="1" t="str">
        <f ca="1">IFERROR(__xludf.DUMMYFUNCTION("""COMPUTED_VALUE"""),"Work alone, Work with 2 to 3 people in my team")</f>
        <v>Work alone, Work with 2 to 3 people in my team</v>
      </c>
      <c r="Q568" s="1" t="str">
        <f ca="1">IFERROR(__xludf.DUMMYFUNCTION("""COMPUTED_VALUE"""),"Yes")</f>
        <v>Yes</v>
      </c>
      <c r="R568" s="1" t="str">
        <f ca="1">IFERROR(__xludf.DUMMYFUNCTION("""COMPUTED_VALUE"""),"Will work for 7 years or more")</f>
        <v>Will work for 7 years or more</v>
      </c>
      <c r="S568" s="1"/>
    </row>
    <row r="569" spans="1:19" ht="12.5" x14ac:dyDescent="0.25">
      <c r="A569" s="2">
        <f ca="1">IFERROR(__xludf.DUMMYFUNCTION("""COMPUTED_VALUE"""),45021.7145800347)</f>
        <v>45021.714580034699</v>
      </c>
      <c r="B569" s="1" t="str">
        <f ca="1">IFERROR(__xludf.DUMMYFUNCTION("""COMPUTED_VALUE"""),"India")</f>
        <v>India</v>
      </c>
      <c r="C569" s="1">
        <f ca="1">IFERROR(__xludf.DUMMYFUNCTION("""COMPUTED_VALUE"""),500089)</f>
        <v>500089</v>
      </c>
      <c r="D569" s="1" t="str">
        <f ca="1">IFERROR(__xludf.DUMMYFUNCTION("""COMPUTED_VALUE"""),"Female")</f>
        <v>Female</v>
      </c>
      <c r="E569" s="1" t="str">
        <f ca="1">IFERROR(__xludf.DUMMYFUNCTION("""COMPUTED_VALUE"""),"My Parents")</f>
        <v>My Parents</v>
      </c>
      <c r="F569" s="1" t="str">
        <f ca="1">IFERROR(__xludf.DUMMYFUNCTION("""COMPUTED_VALUE"""),"Yes, I will earn and do that")</f>
        <v>Yes, I will earn and do that</v>
      </c>
      <c r="G569" s="1" t="str">
        <f ca="1">IFERROR(__xludf.DUMMYFUNCTION("""COMPUTED_VALUE"""),"This will be hard to do, but if it is the right company I would try")</f>
        <v>This will be hard to do, but if it is the right company I would try</v>
      </c>
      <c r="H569" s="1" t="str">
        <f ca="1">IFERROR(__xludf.DUMMYFUNCTION("""COMPUTED_VALUE"""),"Yes")</f>
        <v>Yes</v>
      </c>
      <c r="I569" s="1" t="str">
        <f ca="1">IFERROR(__xludf.DUMMYFUNCTION("""COMPUTED_VALUE"""),"Will work for them")</f>
        <v>Will work for them</v>
      </c>
      <c r="J569" s="1">
        <f ca="1">IFERROR(__xludf.DUMMYFUNCTION("""COMPUTED_VALUE"""),10)</f>
        <v>10</v>
      </c>
      <c r="K569" s="1" t="str">
        <f ca="1">IFERROR(__xludf.DUMMYFUNCTION("""COMPUTED_VALUE"""),"Hybrid Working Environment with less than 3 days a month at office")</f>
        <v>Hybrid Working Environment with less than 3 days a month at office</v>
      </c>
      <c r="L569" s="1" t="str">
        <f ca="1">IFERROR(__xludf.DUMMYFUNCTION("""COMPUTED_VALUE"""),"Employer who appreciates learning and enables that environment")</f>
        <v>Employer who appreciates learning and enables that environment</v>
      </c>
      <c r="M56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69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569" s="1" t="str">
        <f ca="1">IFERROR(__xludf.DUMMYFUNCTION("""COMPUTED_VALUE"""),"Manager who clearly describes what she/he needs")</f>
        <v>Manager who clearly describes what she/he needs</v>
      </c>
      <c r="P569" s="1" t="str">
        <f ca="1">IFERROR(__xludf.DUMMYFUNCTION("""COMPUTED_VALUE"""),"Work with 2 to 3 people in my team")</f>
        <v>Work with 2 to 3 people in my team</v>
      </c>
      <c r="Q569" s="1" t="str">
        <f ca="1">IFERROR(__xludf.DUMMYFUNCTION("""COMPUTED_VALUE"""),"Yes, I Understand this is gonna happen everywhere")</f>
        <v>Yes, I Understand this is gonna happen everywhere</v>
      </c>
      <c r="R569" s="1" t="str">
        <f ca="1">IFERROR(__xludf.DUMMYFUNCTION("""COMPUTED_VALUE"""),"This will be hard to do, but if it is the right company I would try")</f>
        <v>This will be hard to do, but if it is the right company I would try</v>
      </c>
      <c r="S569" s="1"/>
    </row>
    <row r="570" spans="1:19" ht="12.5" x14ac:dyDescent="0.25">
      <c r="A570" s="2">
        <f ca="1">IFERROR(__xludf.DUMMYFUNCTION("""COMPUTED_VALUE"""),45021.7151480439)</f>
        <v>45021.715148043899</v>
      </c>
      <c r="B570" s="1" t="str">
        <f ca="1">IFERROR(__xludf.DUMMYFUNCTION("""COMPUTED_VALUE"""),"India")</f>
        <v>India</v>
      </c>
      <c r="C570" s="1">
        <f ca="1">IFERROR(__xludf.DUMMYFUNCTION("""COMPUTED_VALUE"""),517583)</f>
        <v>517583</v>
      </c>
      <c r="D570" s="1" t="str">
        <f ca="1">IFERROR(__xludf.DUMMYFUNCTION("""COMPUTED_VALUE"""),"Male")</f>
        <v>Male</v>
      </c>
      <c r="E570" s="1" t="str">
        <f ca="1">IFERROR(__xludf.DUMMYFUNCTION("""COMPUTED_VALUE"""),"People who have changed the world for better")</f>
        <v>People who have changed the world for better</v>
      </c>
      <c r="F570" s="1" t="str">
        <f ca="1">IFERROR(__xludf.DUMMYFUNCTION("""COMPUTED_VALUE"""),"No, But if someone could bare the cost I will")</f>
        <v>No, But if someone could bare the cost I will</v>
      </c>
      <c r="G570" s="1" t="str">
        <f ca="1">IFERROR(__xludf.DUMMYFUNCTION("""COMPUTED_VALUE"""),"Will work for 3 years or more")</f>
        <v>Will work for 3 years or more</v>
      </c>
      <c r="H570" s="1" t="str">
        <f ca="1">IFERROR(__xludf.DUMMYFUNCTION("""COMPUTED_VALUE"""),"No")</f>
        <v>No</v>
      </c>
      <c r="I570" s="1" t="str">
        <f ca="1">IFERROR(__xludf.DUMMYFUNCTION("""COMPUTED_VALUE"""),"Will NOT work for them")</f>
        <v>Will NOT work for them</v>
      </c>
      <c r="J570" s="1">
        <f ca="1">IFERROR(__xludf.DUMMYFUNCTION("""COMPUTED_VALUE"""),2)</f>
        <v>2</v>
      </c>
      <c r="K570" s="1" t="str">
        <f ca="1">IFERROR(__xludf.DUMMYFUNCTION("""COMPUTED_VALUE"""),"Every Day Office Environment")</f>
        <v>Every Day Office Environment</v>
      </c>
      <c r="L5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7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70" s="1" t="str">
        <f ca="1">IFERROR(__xludf.DUMMYFUNCTION("""COMPUTED_VALUE"""),"Design and Creative strategy in any company, Manage and drive End-to-End Projects or Products, Entrepreneur or Start Up, An Artificial Intelligence Specialist / Talking to Robots")</f>
        <v>Design and Creative strategy in any company, Manage and drive End-to-End Projects or Products, Entrepreneur or Start Up, An Artificial Intelligence Specialist / Talking to Robots</v>
      </c>
      <c r="O570" s="1" t="str">
        <f ca="1">IFERROR(__xludf.DUMMYFUNCTION("""COMPUTED_VALUE"""),"Manager who clearly describes what she/he needs")</f>
        <v>Manager who clearly describes what she/he needs</v>
      </c>
      <c r="P570" s="1" t="str">
        <f ca="1">IFERROR(__xludf.DUMMYFUNCTION("""COMPUTED_VALUE"""),"Work with 5 to 6 people in my team")</f>
        <v>Work with 5 to 6 people in my team</v>
      </c>
      <c r="Q570" s="1" t="str">
        <f ca="1">IFERROR(__xludf.DUMMYFUNCTION("""COMPUTED_VALUE"""),"No")</f>
        <v>No</v>
      </c>
      <c r="R570" s="1" t="str">
        <f ca="1">IFERROR(__xludf.DUMMYFUNCTION("""COMPUTED_VALUE"""),"This will be hard to do, but if it is the right company I would try")</f>
        <v>This will be hard to do, but if it is the right company I would try</v>
      </c>
      <c r="S570" s="1"/>
    </row>
    <row r="571" spans="1:19" ht="12.5" x14ac:dyDescent="0.25">
      <c r="A571" s="2">
        <f ca="1">IFERROR(__xludf.DUMMYFUNCTION("""COMPUTED_VALUE"""),45021.7153943634)</f>
        <v>45021.715394363397</v>
      </c>
      <c r="B571" s="1" t="str">
        <f ca="1">IFERROR(__xludf.DUMMYFUNCTION("""COMPUTED_VALUE"""),"India")</f>
        <v>India</v>
      </c>
      <c r="C571" s="1">
        <f ca="1">IFERROR(__xludf.DUMMYFUNCTION("""COMPUTED_VALUE"""),530024)</f>
        <v>530024</v>
      </c>
      <c r="D571" s="1" t="str">
        <f ca="1">IFERROR(__xludf.DUMMYFUNCTION("""COMPUTED_VALUE"""),"Male")</f>
        <v>Male</v>
      </c>
      <c r="E571" s="1" t="str">
        <f ca="1">IFERROR(__xludf.DUMMYFUNCTION("""COMPUTED_VALUE"""),"Influencers who had successful careers")</f>
        <v>Influencers who had successful careers</v>
      </c>
      <c r="F571" s="1" t="str">
        <f ca="1">IFERROR(__xludf.DUMMYFUNCTION("""COMPUTED_VALUE"""),"No I would not be pursuing Higher Education outside of India")</f>
        <v>No I would not be pursuing Higher Education outside of India</v>
      </c>
      <c r="G571" s="1" t="str">
        <f ca="1">IFERROR(__xludf.DUMMYFUNCTION("""COMPUTED_VALUE"""),"This will be hard to do, but if it is the right company I would try")</f>
        <v>This will be hard to do, but if it is the right company I would try</v>
      </c>
      <c r="H571" s="1" t="str">
        <f ca="1">IFERROR(__xludf.DUMMYFUNCTION("""COMPUTED_VALUE"""),"Yes")</f>
        <v>Yes</v>
      </c>
      <c r="I571" s="1" t="str">
        <f ca="1">IFERROR(__xludf.DUMMYFUNCTION("""COMPUTED_VALUE"""),"Will work for them")</f>
        <v>Will work for them</v>
      </c>
      <c r="J571" s="1">
        <f ca="1">IFERROR(__xludf.DUMMYFUNCTION("""COMPUTED_VALUE"""),8)</f>
        <v>8</v>
      </c>
      <c r="K571" s="1" t="str">
        <f ca="1">IFERROR(__xludf.DUMMYFUNCTION("""COMPUTED_VALUE"""),"Fully Remote with Options to travel as and when needed")</f>
        <v>Fully Remote with Options to travel as and when needed</v>
      </c>
      <c r="L571" s="1" t="str">
        <f ca="1">IFERROR(__xludf.DUMMYFUNCTION("""COMPUTED_VALUE"""),"Employer who appreciates learning and enables that environment")</f>
        <v>Employer who appreciates learning and enables that environment</v>
      </c>
      <c r="M57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71" s="1" t="str">
        <f ca="1">IFERROR(__xludf.DUMMYFUNCTION("""COMPUTED_VALUE"""),"Business Operations in any organization, Manage and drive End-to-End Projects or Products, Design and Develop amazing software, Look deeply into Data and generate insights")</f>
        <v>Business Operations in any organization, Manage and drive End-to-End Projects or Products, Design and Develop amazing software, Look deeply into Data and generate insights</v>
      </c>
      <c r="O571" s="1" t="str">
        <f ca="1">IFERROR(__xludf.DUMMYFUNCTION("""COMPUTED_VALUE"""),"Manager who sets goal and helps me achieve it")</f>
        <v>Manager who sets goal and helps me achieve it</v>
      </c>
      <c r="P571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571" s="1" t="str">
        <f ca="1">IFERROR(__xludf.DUMMYFUNCTION("""COMPUTED_VALUE"""),"Yes, I Understand this is gonna happen everywhere")</f>
        <v>Yes, I Understand this is gonna happen everywhere</v>
      </c>
      <c r="R571" s="1" t="str">
        <f ca="1">IFERROR(__xludf.DUMMYFUNCTION("""COMPUTED_VALUE"""),"No way")</f>
        <v>No way</v>
      </c>
      <c r="S571" s="1"/>
    </row>
    <row r="572" spans="1:19" ht="12.5" x14ac:dyDescent="0.25">
      <c r="A572" s="2">
        <f ca="1">IFERROR(__xludf.DUMMYFUNCTION("""COMPUTED_VALUE"""),45021.71648875)</f>
        <v>45021.716488749997</v>
      </c>
      <c r="B572" s="1" t="str">
        <f ca="1">IFERROR(__xludf.DUMMYFUNCTION("""COMPUTED_VALUE"""),"India")</f>
        <v>India</v>
      </c>
      <c r="C572" s="1">
        <f ca="1">IFERROR(__xludf.DUMMYFUNCTION("""COMPUTED_VALUE"""),641015)</f>
        <v>641015</v>
      </c>
      <c r="D572" s="1" t="str">
        <f ca="1">IFERROR(__xludf.DUMMYFUNCTION("""COMPUTED_VALUE"""),"Male")</f>
        <v>Male</v>
      </c>
      <c r="E572" s="1" t="str">
        <f ca="1">IFERROR(__xludf.DUMMYFUNCTION("""COMPUTED_VALUE"""),"Social Media like LinkedIn")</f>
        <v>Social Media like LinkedIn</v>
      </c>
      <c r="F572" s="1" t="str">
        <f ca="1">IFERROR(__xludf.DUMMYFUNCTION("""COMPUTED_VALUE"""),"Yes, I will earn and do that")</f>
        <v>Yes, I will earn and do that</v>
      </c>
      <c r="G572" s="1" t="str">
        <f ca="1">IFERROR(__xludf.DUMMYFUNCTION("""COMPUTED_VALUE"""),"This will be hard to do, but if it is the right company I would try")</f>
        <v>This will be hard to do, but if it is the right company I would try</v>
      </c>
      <c r="H572" s="1" t="str">
        <f ca="1">IFERROR(__xludf.DUMMYFUNCTION("""COMPUTED_VALUE"""),"No")</f>
        <v>No</v>
      </c>
      <c r="I572" s="1" t="str">
        <f ca="1">IFERROR(__xludf.DUMMYFUNCTION("""COMPUTED_VALUE"""),"Will NOT work for them")</f>
        <v>Will NOT work for them</v>
      </c>
      <c r="J572" s="1">
        <f ca="1">IFERROR(__xludf.DUMMYFUNCTION("""COMPUTED_VALUE"""),1)</f>
        <v>1</v>
      </c>
      <c r="K572" s="1" t="str">
        <f ca="1">IFERROR(__xludf.DUMMYFUNCTION("""COMPUTED_VALUE"""),"Hybrid Working Environment with less than 3 days a month at office")</f>
        <v>Hybrid Working Environment with less than 3 days a month at office</v>
      </c>
      <c r="L5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7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572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572" s="1" t="str">
        <f ca="1">IFERROR(__xludf.DUMMYFUNCTION("""COMPUTED_VALUE"""),"Manager who explains what is expected, sets a goal and helps achieve it")</f>
        <v>Manager who explains what is expected, sets a goal and helps achieve it</v>
      </c>
      <c r="P572" s="1" t="str">
        <f ca="1">IFERROR(__xludf.DUMMYFUNCTION("""COMPUTED_VALUE"""),"Work alone, Work with 5 to 6 people in my team")</f>
        <v>Work alone, Work with 5 to 6 people in my team</v>
      </c>
      <c r="Q572" s="1" t="str">
        <f ca="1">IFERROR(__xludf.DUMMYFUNCTION("""COMPUTED_VALUE"""),"No")</f>
        <v>No</v>
      </c>
      <c r="R572" s="1" t="str">
        <f ca="1">IFERROR(__xludf.DUMMYFUNCTION("""COMPUTED_VALUE"""),"This will be hard to do, but if it is the right company I would try")</f>
        <v>This will be hard to do, but if it is the right company I would try</v>
      </c>
      <c r="S572" s="1"/>
    </row>
    <row r="573" spans="1:19" ht="12.5" x14ac:dyDescent="0.25">
      <c r="A573" s="2">
        <f ca="1">IFERROR(__xludf.DUMMYFUNCTION("""COMPUTED_VALUE"""),45021.7165048263)</f>
        <v>45021.716504826298</v>
      </c>
      <c r="B573" s="1" t="str">
        <f ca="1">IFERROR(__xludf.DUMMYFUNCTION("""COMPUTED_VALUE"""),"India")</f>
        <v>India</v>
      </c>
      <c r="C573" s="1">
        <f ca="1">IFERROR(__xludf.DUMMYFUNCTION("""COMPUTED_VALUE"""),603203)</f>
        <v>603203</v>
      </c>
      <c r="D573" s="1" t="str">
        <f ca="1">IFERROR(__xludf.DUMMYFUNCTION("""COMPUTED_VALUE"""),"Male")</f>
        <v>Male</v>
      </c>
      <c r="E573" s="1" t="str">
        <f ca="1">IFERROR(__xludf.DUMMYFUNCTION("""COMPUTED_VALUE"""),"Influencers who had successful careers")</f>
        <v>Influencers who had successful careers</v>
      </c>
      <c r="F573" s="1" t="str">
        <f ca="1">IFERROR(__xludf.DUMMYFUNCTION("""COMPUTED_VALUE"""),"Yes, I will earn and do that")</f>
        <v>Yes, I will earn and do that</v>
      </c>
      <c r="G573" s="1" t="str">
        <f ca="1">IFERROR(__xludf.DUMMYFUNCTION("""COMPUTED_VALUE"""),"Will work for 3 years or more")</f>
        <v>Will work for 3 years or more</v>
      </c>
      <c r="H573" s="1" t="str">
        <f ca="1">IFERROR(__xludf.DUMMYFUNCTION("""COMPUTED_VALUE"""),"Yes")</f>
        <v>Yes</v>
      </c>
      <c r="I573" s="1" t="str">
        <f ca="1">IFERROR(__xludf.DUMMYFUNCTION("""COMPUTED_VALUE"""),"Will NOT work for them")</f>
        <v>Will NOT work for them</v>
      </c>
      <c r="J573" s="1">
        <f ca="1">IFERROR(__xludf.DUMMYFUNCTION("""COMPUTED_VALUE"""),4)</f>
        <v>4</v>
      </c>
      <c r="K573" s="1" t="str">
        <f ca="1">IFERROR(__xludf.DUMMYFUNCTION("""COMPUTED_VALUE"""),"Hybrid Working Environment with less than 3 days a month at office")</f>
        <v>Hybrid Working Environment with less than 3 days a month at office</v>
      </c>
      <c r="L573" s="1" t="str">
        <f ca="1">IFERROR(__xludf.DUMMYFUNCTION("""COMPUTED_VALUE"""),"Employer who appreciates learning and enables that environment")</f>
        <v>Employer who appreciates learning and enables that environment</v>
      </c>
      <c r="M57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573" s="1" t="str">
        <f ca="1">IFERROR(__xludf.DUMMYFUNCTION("""COMPUTED_VALUE"""),"Business Operations in any organization, Design and Develop amazing software, Look deeply into Data and generate insights, An Artificial Intelligence Specialist / Talking to Robots")</f>
        <v>Business Operations in any organization, Design and Develop amazing software, Look deeply into Data and generate insights, An Artificial Intelligence Specialist / Talking to Robots</v>
      </c>
      <c r="O573" s="1" t="str">
        <f ca="1">IFERROR(__xludf.DUMMYFUNCTION("""COMPUTED_VALUE"""),"Manager who sets goal and helps me achieve it")</f>
        <v>Manager who sets goal and helps me achieve it</v>
      </c>
      <c r="P573" s="1" t="str">
        <f ca="1">IFERROR(__xludf.DUMMYFUNCTION("""COMPUTED_VALUE"""),"Work with more than 10 people in my team")</f>
        <v>Work with more than 10 people in my team</v>
      </c>
      <c r="Q573" s="1" t="str">
        <f ca="1">IFERROR(__xludf.DUMMYFUNCTION("""COMPUTED_VALUE"""),"Yes, I Understand this is gonna happen everywhere")</f>
        <v>Yes, I Understand this is gonna happen everywhere</v>
      </c>
      <c r="R573" s="1" t="str">
        <f ca="1">IFERROR(__xludf.DUMMYFUNCTION("""COMPUTED_VALUE"""),"This will be hard to do, but if it is the right company I would try")</f>
        <v>This will be hard to do, but if it is the right company I would try</v>
      </c>
      <c r="S573" s="1"/>
    </row>
    <row r="574" spans="1:19" ht="12.5" x14ac:dyDescent="0.25">
      <c r="A574" s="2">
        <f ca="1">IFERROR(__xludf.DUMMYFUNCTION("""COMPUTED_VALUE"""),45021.7175000694)</f>
        <v>45021.717500069397</v>
      </c>
      <c r="B574" s="1" t="str">
        <f ca="1">IFERROR(__xludf.DUMMYFUNCTION("""COMPUTED_VALUE"""),"India")</f>
        <v>India</v>
      </c>
      <c r="C574" s="1">
        <f ca="1">IFERROR(__xludf.DUMMYFUNCTION("""COMPUTED_VALUE"""),630562)</f>
        <v>630562</v>
      </c>
      <c r="D574" s="1" t="str">
        <f ca="1">IFERROR(__xludf.DUMMYFUNCTION("""COMPUTED_VALUE"""),"Male")</f>
        <v>Male</v>
      </c>
      <c r="E574" s="1" t="str">
        <f ca="1">IFERROR(__xludf.DUMMYFUNCTION("""COMPUTED_VALUE"""),"Influencers who had successful careers")</f>
        <v>Influencers who had successful careers</v>
      </c>
      <c r="F574" s="1" t="str">
        <f ca="1">IFERROR(__xludf.DUMMYFUNCTION("""COMPUTED_VALUE"""),"Yes, I will earn and do that")</f>
        <v>Yes, I will earn and do that</v>
      </c>
      <c r="G574" s="1" t="str">
        <f ca="1">IFERROR(__xludf.DUMMYFUNCTION("""COMPUTED_VALUE"""),"This will be hard to do, but if it is the right company I would try")</f>
        <v>This will be hard to do, but if it is the right company I would try</v>
      </c>
      <c r="H574" s="1" t="str">
        <f ca="1">IFERROR(__xludf.DUMMYFUNCTION("""COMPUTED_VALUE"""),"No")</f>
        <v>No</v>
      </c>
      <c r="I574" s="1" t="str">
        <f ca="1">IFERROR(__xludf.DUMMYFUNCTION("""COMPUTED_VALUE"""),"Will NOT work for them")</f>
        <v>Will NOT work for them</v>
      </c>
      <c r="J574" s="1">
        <f ca="1">IFERROR(__xludf.DUMMYFUNCTION("""COMPUTED_VALUE"""),5)</f>
        <v>5</v>
      </c>
      <c r="K574" s="1" t="str">
        <f ca="1">IFERROR(__xludf.DUMMYFUNCTION("""COMPUTED_VALUE"""),"Every Day Office Environment")</f>
        <v>Every Day Office Environment</v>
      </c>
      <c r="L5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7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74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574" s="1" t="str">
        <f ca="1">IFERROR(__xludf.DUMMYFUNCTION("""COMPUTED_VALUE"""),"Manager who clearly describes what she/he needs")</f>
        <v>Manager who clearly describes what she/he needs</v>
      </c>
      <c r="P57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574" s="1" t="str">
        <f ca="1">IFERROR(__xludf.DUMMYFUNCTION("""COMPUTED_VALUE"""),"Yes, I Understand this is gonna happen everywhere")</f>
        <v>Yes, I Understand this is gonna happen everywhere</v>
      </c>
      <c r="R574" s="1" t="str">
        <f ca="1">IFERROR(__xludf.DUMMYFUNCTION("""COMPUTED_VALUE"""),"This will be hard to do, but if it is the right company I would try")</f>
        <v>This will be hard to do, but if it is the right company I would try</v>
      </c>
      <c r="S574" s="1"/>
    </row>
    <row r="575" spans="1:19" ht="12.5" x14ac:dyDescent="0.25">
      <c r="A575" s="2">
        <f ca="1">IFERROR(__xludf.DUMMYFUNCTION("""COMPUTED_VALUE"""),45021.7184726388)</f>
        <v>45021.7184726388</v>
      </c>
      <c r="B575" s="1" t="str">
        <f ca="1">IFERROR(__xludf.DUMMYFUNCTION("""COMPUTED_VALUE"""),"India")</f>
        <v>India</v>
      </c>
      <c r="C575" s="1">
        <f ca="1">IFERROR(__xludf.DUMMYFUNCTION("""COMPUTED_VALUE"""),577204)</f>
        <v>577204</v>
      </c>
      <c r="D575" s="1" t="str">
        <f ca="1">IFERROR(__xludf.DUMMYFUNCTION("""COMPUTED_VALUE"""),"Female")</f>
        <v>Female</v>
      </c>
      <c r="E575" s="1" t="str">
        <f ca="1">IFERROR(__xludf.DUMMYFUNCTION("""COMPUTED_VALUE"""),"People from my circle, but not family members")</f>
        <v>People from my circle, but not family members</v>
      </c>
      <c r="F575" s="1" t="str">
        <f ca="1">IFERROR(__xludf.DUMMYFUNCTION("""COMPUTED_VALUE"""),"Yes, I will earn and do that")</f>
        <v>Yes, I will earn and do that</v>
      </c>
      <c r="G575" s="1" t="str">
        <f ca="1">IFERROR(__xludf.DUMMYFUNCTION("""COMPUTED_VALUE"""),"This will be hard to do, but if it is the right company I would try")</f>
        <v>This will be hard to do, but if it is the right company I would try</v>
      </c>
      <c r="H575" s="1" t="str">
        <f ca="1">IFERROR(__xludf.DUMMYFUNCTION("""COMPUTED_VALUE"""),"No")</f>
        <v>No</v>
      </c>
      <c r="I575" s="1" t="str">
        <f ca="1">IFERROR(__xludf.DUMMYFUNCTION("""COMPUTED_VALUE"""),"Will NOT work for them")</f>
        <v>Will NOT work for them</v>
      </c>
      <c r="J575" s="1">
        <f ca="1">IFERROR(__xludf.DUMMYFUNCTION("""COMPUTED_VALUE"""),4)</f>
        <v>4</v>
      </c>
      <c r="K575" s="1" t="str">
        <f ca="1">IFERROR(__xludf.DUMMYFUNCTION("""COMPUTED_VALUE"""),"Fully Remote with Options to travel as and when needed")</f>
        <v>Fully Remote with Options to travel as and when needed</v>
      </c>
      <c r="L575" s="1" t="str">
        <f ca="1">IFERROR(__xludf.DUMMYFUNCTION("""COMPUTED_VALUE"""),"Employer who appreciates learning and enables that environment")</f>
        <v>Employer who appreciates learning and enables that environment</v>
      </c>
      <c r="M575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575" s="1" t="str">
        <f ca="1">IFERROR(__xludf.DUMMYFUNCTION("""COMPUTED_VALUE"""),"Business Operations in any organization, Design and Develop amazing software, Look deeply into Data and generate insights, An Artificial Intelligence Specialist / Talking to Robots")</f>
        <v>Business Operations in any organization, Design and Develop amazing software, Look deeply into Data and generate insights, An Artificial Intelligence Specialist / Talking to Robots</v>
      </c>
      <c r="O575" s="1" t="str">
        <f ca="1">IFERROR(__xludf.DUMMYFUNCTION("""COMPUTED_VALUE"""),"Manager who explains what is expected, sets a goal and helps achieve it")</f>
        <v>Manager who explains what is expected, sets a goal and helps achieve it</v>
      </c>
      <c r="P575" s="1" t="str">
        <f ca="1">IFERROR(__xludf.DUMMYFUNCTION("""COMPUTED_VALUE"""),"Work alone, Work with 2 to 3 people in my team")</f>
        <v>Work alone, Work with 2 to 3 people in my team</v>
      </c>
      <c r="Q575" s="1" t="str">
        <f ca="1">IFERROR(__xludf.DUMMYFUNCTION("""COMPUTED_VALUE"""),"Yes, I Understand this is gonna happen everywhere")</f>
        <v>Yes, I Understand this is gonna happen everywhere</v>
      </c>
      <c r="R575" s="1" t="str">
        <f ca="1">IFERROR(__xludf.DUMMYFUNCTION("""COMPUTED_VALUE"""),"No way")</f>
        <v>No way</v>
      </c>
      <c r="S575" s="1"/>
    </row>
    <row r="576" spans="1:19" ht="12.5" x14ac:dyDescent="0.25">
      <c r="A576" s="2">
        <f ca="1">IFERROR(__xludf.DUMMYFUNCTION("""COMPUTED_VALUE"""),45021.7204536226)</f>
        <v>45021.720453622598</v>
      </c>
      <c r="B576" s="1" t="str">
        <f ca="1">IFERROR(__xludf.DUMMYFUNCTION("""COMPUTED_VALUE"""),"India")</f>
        <v>India</v>
      </c>
      <c r="C576" s="1">
        <f ca="1">IFERROR(__xludf.DUMMYFUNCTION("""COMPUTED_VALUE"""),442902)</f>
        <v>442902</v>
      </c>
      <c r="D576" s="1" t="str">
        <f ca="1">IFERROR(__xludf.DUMMYFUNCTION("""COMPUTED_VALUE"""),"Male")</f>
        <v>Male</v>
      </c>
      <c r="E576" s="1" t="str">
        <f ca="1">IFERROR(__xludf.DUMMYFUNCTION("""COMPUTED_VALUE"""),"Influencers who had successful careers")</f>
        <v>Influencers who had successful careers</v>
      </c>
      <c r="F576" s="1" t="str">
        <f ca="1">IFERROR(__xludf.DUMMYFUNCTION("""COMPUTED_VALUE"""),"No I would not be pursuing Higher Education outside of India")</f>
        <v>No I would not be pursuing Higher Education outside of India</v>
      </c>
      <c r="G576" s="1" t="str">
        <f ca="1">IFERROR(__xludf.DUMMYFUNCTION("""COMPUTED_VALUE"""),"This will be hard to do, but if it is the right company I would try")</f>
        <v>This will be hard to do, but if it is the right company I would try</v>
      </c>
      <c r="H576" s="1" t="str">
        <f ca="1">IFERROR(__xludf.DUMMYFUNCTION("""COMPUTED_VALUE"""),"Yes")</f>
        <v>Yes</v>
      </c>
      <c r="I576" s="1" t="str">
        <f ca="1">IFERROR(__xludf.DUMMYFUNCTION("""COMPUTED_VALUE"""),"Will work for them")</f>
        <v>Will work for them</v>
      </c>
      <c r="J576" s="1">
        <f ca="1">IFERROR(__xludf.DUMMYFUNCTION("""COMPUTED_VALUE"""),8)</f>
        <v>8</v>
      </c>
      <c r="K576" s="1" t="str">
        <f ca="1">IFERROR(__xludf.DUMMYFUNCTION("""COMPUTED_VALUE"""),"Fully Remote with Options to travel as and when needed")</f>
        <v>Fully Remote with Options to travel as and when needed</v>
      </c>
      <c r="L5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76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576" s="1" t="str">
        <f ca="1">IFERROR(__xludf.DUMMYFUNCTION("""COMPUTED_VALUE"""),"Teaching in any of the institutes/colleges/online or offline, Business Operations in any organization, Become a content Creator in some platform, I Want to sell things/Sales")</f>
        <v>Teaching in any of the institutes/colleges/online or offline, Business Operations in any organization, Become a content Creator in some platform, I Want to sell things/Sales</v>
      </c>
      <c r="O576" s="1" t="str">
        <f ca="1">IFERROR(__xludf.DUMMYFUNCTION("""COMPUTED_VALUE"""),"Manager who explains what is expected, sets a goal and helps achieve it")</f>
        <v>Manager who explains what is expected, sets a goal and helps achieve it</v>
      </c>
      <c r="P576" s="1" t="str">
        <f ca="1">IFERROR(__xludf.DUMMYFUNCTION("""COMPUTED_VALUE"""),"Work with 5 to 6 people in my team")</f>
        <v>Work with 5 to 6 people in my team</v>
      </c>
      <c r="Q576" s="1" t="str">
        <f ca="1">IFERROR(__xludf.DUMMYFUNCTION("""COMPUTED_VALUE"""),"Yes, I Understand this is gonna happen everywhere")</f>
        <v>Yes, I Understand this is gonna happen everywhere</v>
      </c>
      <c r="R576" s="1" t="str">
        <f ca="1">IFERROR(__xludf.DUMMYFUNCTION("""COMPUTED_VALUE"""),"This will be hard to do, but if it is the right company I would try")</f>
        <v>This will be hard to do, but if it is the right company I would try</v>
      </c>
      <c r="S576" s="1"/>
    </row>
    <row r="577" spans="1:19" ht="12.5" x14ac:dyDescent="0.25">
      <c r="A577" s="2">
        <f ca="1">IFERROR(__xludf.DUMMYFUNCTION("""COMPUTED_VALUE"""),45021.7208820138)</f>
        <v>45021.720882013797</v>
      </c>
      <c r="B577" s="1" t="str">
        <f ca="1">IFERROR(__xludf.DUMMYFUNCTION("""COMPUTED_VALUE"""),"India")</f>
        <v>India</v>
      </c>
      <c r="C577" s="1">
        <f ca="1">IFERROR(__xludf.DUMMYFUNCTION("""COMPUTED_VALUE"""),641005)</f>
        <v>641005</v>
      </c>
      <c r="D577" s="1" t="str">
        <f ca="1">IFERROR(__xludf.DUMMYFUNCTION("""COMPUTED_VALUE"""),"Transgender")</f>
        <v>Transgender</v>
      </c>
      <c r="E577" s="1" t="str">
        <f ca="1">IFERROR(__xludf.DUMMYFUNCTION("""COMPUTED_VALUE"""),"People who have changed the world for better")</f>
        <v>People who have changed the world for better</v>
      </c>
      <c r="F577" s="1" t="str">
        <f ca="1">IFERROR(__xludf.DUMMYFUNCTION("""COMPUTED_VALUE"""),"Yes, I will earn and do that")</f>
        <v>Yes, I will earn and do that</v>
      </c>
      <c r="G577" s="1" t="str">
        <f ca="1">IFERROR(__xludf.DUMMYFUNCTION("""COMPUTED_VALUE"""),"This will be hard to do, but if it is the right company I would try")</f>
        <v>This will be hard to do, but if it is the right company I would try</v>
      </c>
      <c r="H577" s="1" t="str">
        <f ca="1">IFERROR(__xludf.DUMMYFUNCTION("""COMPUTED_VALUE"""),"No")</f>
        <v>No</v>
      </c>
      <c r="I577" s="1" t="str">
        <f ca="1">IFERROR(__xludf.DUMMYFUNCTION("""COMPUTED_VALUE"""),"Will NOT work for them")</f>
        <v>Will NOT work for them</v>
      </c>
      <c r="J577" s="1">
        <f ca="1">IFERROR(__xludf.DUMMYFUNCTION("""COMPUTED_VALUE"""),1)</f>
        <v>1</v>
      </c>
      <c r="K577" s="1" t="str">
        <f ca="1">IFERROR(__xludf.DUMMYFUNCTION("""COMPUTED_VALUE"""),"Every Day Office Environment")</f>
        <v>Every Day Office Environment</v>
      </c>
      <c r="L5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7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77" s="1" t="str">
        <f ca="1">IFERROR(__xludf.DUMMYFUNCTION("""COMPUTED_VALUE"""),"Design and Creative strategy in any company, Build and develop a Team, Look deeply into Data and generate insights, Entrepreneur or Start Up")</f>
        <v>Design and Creative strategy in any company, Build and develop a Team, Look deeply into Data and generate insights, Entrepreneur or Start Up</v>
      </c>
      <c r="O577" s="1" t="str">
        <f ca="1">IFERROR(__xludf.DUMMYFUNCTION("""COMPUTED_VALUE"""),"Manager who clearly describes what she/he needs")</f>
        <v>Manager who clearly describes what she/he needs</v>
      </c>
      <c r="P577" s="1" t="str">
        <f ca="1">IFERROR(__xludf.DUMMYFUNCTION("""COMPUTED_VALUE"""),"Work with 2 to 3 people in my team, Work with 5 to 6 people in my team")</f>
        <v>Work with 2 to 3 people in my team, Work with 5 to 6 people in my team</v>
      </c>
      <c r="Q577" s="1" t="str">
        <f ca="1">IFERROR(__xludf.DUMMYFUNCTION("""COMPUTED_VALUE"""),"Yes")</f>
        <v>Yes</v>
      </c>
      <c r="R577" s="1" t="str">
        <f ca="1">IFERROR(__xludf.DUMMYFUNCTION("""COMPUTED_VALUE"""),"This will be hard to do, but if it is the right company I would try")</f>
        <v>This will be hard to do, but if it is the right company I would try</v>
      </c>
      <c r="S577" s="1"/>
    </row>
    <row r="578" spans="1:19" ht="12.5" x14ac:dyDescent="0.25">
      <c r="A578" s="2">
        <f ca="1">IFERROR(__xludf.DUMMYFUNCTION("""COMPUTED_VALUE"""),45021.7213224074)</f>
        <v>45021.7213224074</v>
      </c>
      <c r="B578" s="1" t="str">
        <f ca="1">IFERROR(__xludf.DUMMYFUNCTION("""COMPUTED_VALUE"""),"India")</f>
        <v>India</v>
      </c>
      <c r="C578" s="1">
        <f ca="1">IFERROR(__xludf.DUMMYFUNCTION("""COMPUTED_VALUE"""),641062)</f>
        <v>641062</v>
      </c>
      <c r="D578" s="1" t="str">
        <f ca="1">IFERROR(__xludf.DUMMYFUNCTION("""COMPUTED_VALUE"""),"Male")</f>
        <v>Male</v>
      </c>
      <c r="E578" s="1" t="str">
        <f ca="1">IFERROR(__xludf.DUMMYFUNCTION("""COMPUTED_VALUE"""),"Social Media like LinkedIn")</f>
        <v>Social Media like LinkedIn</v>
      </c>
      <c r="F578" s="1" t="str">
        <f ca="1">IFERROR(__xludf.DUMMYFUNCTION("""COMPUTED_VALUE"""),"No, But if someone could bare the cost I will")</f>
        <v>No, But if someone could bare the cost I will</v>
      </c>
      <c r="G578" s="1" t="str">
        <f ca="1">IFERROR(__xludf.DUMMYFUNCTION("""COMPUTED_VALUE"""),"This will be hard to do, but if it is the right company I would try")</f>
        <v>This will be hard to do, but if it is the right company I would try</v>
      </c>
      <c r="H578" s="1" t="str">
        <f ca="1">IFERROR(__xludf.DUMMYFUNCTION("""COMPUTED_VALUE"""),"No")</f>
        <v>No</v>
      </c>
      <c r="I578" s="1" t="str">
        <f ca="1">IFERROR(__xludf.DUMMYFUNCTION("""COMPUTED_VALUE"""),"Will NOT work for them")</f>
        <v>Will NOT work for them</v>
      </c>
      <c r="J578" s="1">
        <f ca="1">IFERROR(__xludf.DUMMYFUNCTION("""COMPUTED_VALUE"""),1)</f>
        <v>1</v>
      </c>
      <c r="K578" s="1" t="str">
        <f ca="1">IFERROR(__xludf.DUMMYFUNCTION("""COMPUTED_VALUE"""),"Fully Remote with Options to travel as and when needed")</f>
        <v>Fully Remote with Options to travel as and when needed</v>
      </c>
      <c r="L5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7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78" s="1" t="str">
        <f ca="1">IFERROR(__xludf.DUMMYFUNCTION("""COMPUTED_VALUE"""),"Business Operations in any organization, Work as a freelancer and do my thing my way, Entrepreneur or Start Up, Manufacturing / Oil and Gas/ Construction / Hard Physical Work related")</f>
        <v>Business Operations in any organization, Work as a freelancer and do my thing my way, Entrepreneur or Start Up, Manufacturing / Oil and Gas/ Construction / Hard Physical Work related</v>
      </c>
      <c r="O578" s="1" t="str">
        <f ca="1">IFERROR(__xludf.DUMMYFUNCTION("""COMPUTED_VALUE"""),"Manager who explains what is expected, sets a goal and helps achieve it")</f>
        <v>Manager who explains what is expected, sets a goal and helps achieve it</v>
      </c>
      <c r="P578" s="1" t="str">
        <f ca="1">IFERROR(__xludf.DUMMYFUNCTION("""COMPUTED_VALUE"""),"Work with 2 to 3 people in my team")</f>
        <v>Work with 2 to 3 people in my team</v>
      </c>
      <c r="Q578" s="1" t="str">
        <f ca="1">IFERROR(__xludf.DUMMYFUNCTION("""COMPUTED_VALUE"""),"Yes, I Understand this is gonna happen everywhere")</f>
        <v>Yes, I Understand this is gonna happen everywhere</v>
      </c>
      <c r="R578" s="1" t="str">
        <f ca="1">IFERROR(__xludf.DUMMYFUNCTION("""COMPUTED_VALUE"""),"This will be hard to do, but if it is the right company I would try")</f>
        <v>This will be hard to do, but if it is the right company I would try</v>
      </c>
      <c r="S578" s="1"/>
    </row>
    <row r="579" spans="1:19" ht="12.5" x14ac:dyDescent="0.25">
      <c r="A579" s="2">
        <f ca="1">IFERROR(__xludf.DUMMYFUNCTION("""COMPUTED_VALUE"""),45021.7261956018)</f>
        <v>45021.726195601797</v>
      </c>
      <c r="B579" s="1" t="str">
        <f ca="1">IFERROR(__xludf.DUMMYFUNCTION("""COMPUTED_VALUE"""),"India")</f>
        <v>India</v>
      </c>
      <c r="C579" s="1">
        <f ca="1">IFERROR(__xludf.DUMMYFUNCTION("""COMPUTED_VALUE"""),400097)</f>
        <v>400097</v>
      </c>
      <c r="D579" s="1" t="str">
        <f ca="1">IFERROR(__xludf.DUMMYFUNCTION("""COMPUTED_VALUE"""),"Male")</f>
        <v>Male</v>
      </c>
      <c r="E579" s="1" t="str">
        <f ca="1">IFERROR(__xludf.DUMMYFUNCTION("""COMPUTED_VALUE"""),"My Parents")</f>
        <v>My Parents</v>
      </c>
      <c r="F579" s="1" t="str">
        <f ca="1">IFERROR(__xludf.DUMMYFUNCTION("""COMPUTED_VALUE"""),"No, But if someone could bare the cost I will")</f>
        <v>No, But if someone could bare the cost I will</v>
      </c>
      <c r="G579" s="1" t="str">
        <f ca="1">IFERROR(__xludf.DUMMYFUNCTION("""COMPUTED_VALUE"""),"This will be hard to do, but if it is the right company I would try")</f>
        <v>This will be hard to do, but if it is the right company I would try</v>
      </c>
      <c r="H579" s="1" t="str">
        <f ca="1">IFERROR(__xludf.DUMMYFUNCTION("""COMPUTED_VALUE"""),"No")</f>
        <v>No</v>
      </c>
      <c r="I579" s="1" t="str">
        <f ca="1">IFERROR(__xludf.DUMMYFUNCTION("""COMPUTED_VALUE"""),"Will NOT work for them")</f>
        <v>Will NOT work for them</v>
      </c>
      <c r="J579" s="1">
        <f ca="1">IFERROR(__xludf.DUMMYFUNCTION("""COMPUTED_VALUE"""),3)</f>
        <v>3</v>
      </c>
      <c r="K579" s="1" t="str">
        <f ca="1">IFERROR(__xludf.DUMMYFUNCTION("""COMPUTED_VALUE"""),"Fully Remote with Options to travel as and when needed")</f>
        <v>Fully Remote with Options to travel as and when needed</v>
      </c>
      <c r="L579" s="1" t="str">
        <f ca="1">IFERROR(__xludf.DUMMYFUNCTION("""COMPUTED_VALUE"""),"Employer who appreciates learning and enables that environment")</f>
        <v>Employer who appreciates learning and enables that environment</v>
      </c>
      <c r="M57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579" s="1" t="str">
        <f ca="1">IFERROR(__xludf.DUMMYFUNCTION("""COMPUTED_VALUE"""),"Business Operations in any organization, Build and develop a Team, Design and Develop amazing software, Look deeply into Data and generate insights")</f>
        <v>Business Operations in any organization, Build and develop a Team, Design and Develop amazing software, Look deeply into Data and generate insights</v>
      </c>
      <c r="O579" s="1" t="str">
        <f ca="1">IFERROR(__xludf.DUMMYFUNCTION("""COMPUTED_VALUE"""),"Manager who clearly describes what she/he needs")</f>
        <v>Manager who clearly describes what she/he needs</v>
      </c>
      <c r="P579" s="1" t="str">
        <f ca="1">IFERROR(__xludf.DUMMYFUNCTION("""COMPUTED_VALUE"""),"Work with 7 to 10 or more people in my team")</f>
        <v>Work with 7 to 10 or more people in my team</v>
      </c>
      <c r="Q579" s="1" t="str">
        <f ca="1">IFERROR(__xludf.DUMMYFUNCTION("""COMPUTED_VALUE"""),"No")</f>
        <v>No</v>
      </c>
      <c r="R579" s="1" t="str">
        <f ca="1">IFERROR(__xludf.DUMMYFUNCTION("""COMPUTED_VALUE"""),"This will be hard to do, but if it is the right company I would try")</f>
        <v>This will be hard to do, but if it is the right company I would try</v>
      </c>
      <c r="S579" s="1"/>
    </row>
    <row r="580" spans="1:19" ht="12.5" x14ac:dyDescent="0.25">
      <c r="A580" s="2">
        <f ca="1">IFERROR(__xludf.DUMMYFUNCTION("""COMPUTED_VALUE"""),45021.726447199)</f>
        <v>45021.726447198998</v>
      </c>
      <c r="B580" s="1" t="str">
        <f ca="1">IFERROR(__xludf.DUMMYFUNCTION("""COMPUTED_VALUE"""),"India")</f>
        <v>India</v>
      </c>
      <c r="C580" s="1">
        <f ca="1">IFERROR(__xludf.DUMMYFUNCTION("""COMPUTED_VALUE"""),442902)</f>
        <v>442902</v>
      </c>
      <c r="D580" s="1" t="str">
        <f ca="1">IFERROR(__xludf.DUMMYFUNCTION("""COMPUTED_VALUE"""),"Female")</f>
        <v>Female</v>
      </c>
      <c r="E580" s="1" t="str">
        <f ca="1">IFERROR(__xludf.DUMMYFUNCTION("""COMPUTED_VALUE"""),"My Parents")</f>
        <v>My Parents</v>
      </c>
      <c r="F580" s="1" t="str">
        <f ca="1">IFERROR(__xludf.DUMMYFUNCTION("""COMPUTED_VALUE"""),"No, But if someone could bare the cost I will")</f>
        <v>No, But if someone could bare the cost I will</v>
      </c>
      <c r="G580" s="1" t="str">
        <f ca="1">IFERROR(__xludf.DUMMYFUNCTION("""COMPUTED_VALUE"""),"This will be hard to do, but if it is the right company I would try")</f>
        <v>This will be hard to do, but if it is the right company I would try</v>
      </c>
      <c r="H580" s="1" t="str">
        <f ca="1">IFERROR(__xludf.DUMMYFUNCTION("""COMPUTED_VALUE"""),"No")</f>
        <v>No</v>
      </c>
      <c r="I580" s="1" t="str">
        <f ca="1">IFERROR(__xludf.DUMMYFUNCTION("""COMPUTED_VALUE"""),"Will NOT work for them")</f>
        <v>Will NOT work for them</v>
      </c>
      <c r="J580" s="1">
        <f ca="1">IFERROR(__xludf.DUMMYFUNCTION("""COMPUTED_VALUE"""),1)</f>
        <v>1</v>
      </c>
      <c r="K580" s="1" t="str">
        <f ca="1">IFERROR(__xludf.DUMMYFUNCTION("""COMPUTED_VALUE"""),"Every Day Office Environment")</f>
        <v>Every Day Office Environment</v>
      </c>
      <c r="L580" s="1" t="str">
        <f ca="1">IFERROR(__xludf.DUMMYFUNCTION("""COMPUTED_VALUE"""),"Employer who appreciates learning and enables that environment")</f>
        <v>Employer who appreciates learning and enables that environment</v>
      </c>
      <c r="M58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580" s="1" t="str">
        <f ca="1">IFERROR(__xludf.DUMMYFUNCTION("""COMPUTED_VALUE"""),"Design and Creative strategy in any company, Teaching in any of the institutes/colleges/online or offline, Build and develop a Team, Entrepreneur or Start Up")</f>
        <v>Design and Creative strategy in any company, Teaching in any of the institutes/colleges/online or offline, Build and develop a Team, Entrepreneur or Start Up</v>
      </c>
      <c r="O580" s="1" t="str">
        <f ca="1">IFERROR(__xludf.DUMMYFUNCTION("""COMPUTED_VALUE"""),"Manager who explains what is expected, sets a goal and helps achieve it")</f>
        <v>Manager who explains what is expected, sets a goal and helps achieve it</v>
      </c>
      <c r="P580" s="1" t="str">
        <f ca="1">IFERROR(__xludf.DUMMYFUNCTION("""COMPUTED_VALUE"""),"Work with 2 to 3 people in my team")</f>
        <v>Work with 2 to 3 people in my team</v>
      </c>
      <c r="Q580" s="1" t="str">
        <f ca="1">IFERROR(__xludf.DUMMYFUNCTION("""COMPUTED_VALUE"""),"No")</f>
        <v>No</v>
      </c>
      <c r="R580" s="1" t="str">
        <f ca="1">IFERROR(__xludf.DUMMYFUNCTION("""COMPUTED_VALUE"""),"This will be hard to do, but if it is the right company I would try")</f>
        <v>This will be hard to do, but if it is the right company I would try</v>
      </c>
      <c r="S580" s="1"/>
    </row>
    <row r="581" spans="1:19" ht="12.5" x14ac:dyDescent="0.25">
      <c r="A581" s="2">
        <f ca="1">IFERROR(__xludf.DUMMYFUNCTION("""COMPUTED_VALUE"""),45021.7270385763)</f>
        <v>45021.727038576297</v>
      </c>
      <c r="B581" s="1" t="str">
        <f ca="1">IFERROR(__xludf.DUMMYFUNCTION("""COMPUTED_VALUE"""),"India")</f>
        <v>India</v>
      </c>
      <c r="C581" s="1">
        <f ca="1">IFERROR(__xludf.DUMMYFUNCTION("""COMPUTED_VALUE"""),621218)</f>
        <v>621218</v>
      </c>
      <c r="D581" s="1" t="str">
        <f ca="1">IFERROR(__xludf.DUMMYFUNCTION("""COMPUTED_VALUE"""),"Female")</f>
        <v>Female</v>
      </c>
      <c r="E581" s="1" t="str">
        <f ca="1">IFERROR(__xludf.DUMMYFUNCTION("""COMPUTED_VALUE"""),"My Parents")</f>
        <v>My Parents</v>
      </c>
      <c r="F581" s="1" t="str">
        <f ca="1">IFERROR(__xludf.DUMMYFUNCTION("""COMPUTED_VALUE"""),"No, But if someone could bare the cost I will")</f>
        <v>No, But if someone could bare the cost I will</v>
      </c>
      <c r="G581" s="1" t="str">
        <f ca="1">IFERROR(__xludf.DUMMYFUNCTION("""COMPUTED_VALUE"""),"This will be hard to do, but if it is the right company I would try")</f>
        <v>This will be hard to do, but if it is the right company I would try</v>
      </c>
      <c r="H581" s="1" t="str">
        <f ca="1">IFERROR(__xludf.DUMMYFUNCTION("""COMPUTED_VALUE"""),"No")</f>
        <v>No</v>
      </c>
      <c r="I581" s="1" t="str">
        <f ca="1">IFERROR(__xludf.DUMMYFUNCTION("""COMPUTED_VALUE"""),"Will NOT work for them")</f>
        <v>Will NOT work for them</v>
      </c>
      <c r="J581" s="1">
        <f ca="1">IFERROR(__xludf.DUMMYFUNCTION("""COMPUTED_VALUE"""),2)</f>
        <v>2</v>
      </c>
      <c r="K581" s="1" t="str">
        <f ca="1">IFERROR(__xludf.DUMMYFUNCTION("""COMPUTED_VALUE"""),"Every Day Office Environment")</f>
        <v>Every Day Office Environment</v>
      </c>
      <c r="L581" s="1" t="str">
        <f ca="1">IFERROR(__xludf.DUMMYFUNCTION("""COMPUTED_VALUE"""),"Employer who appreciates learning and enables that environment")</f>
        <v>Employer who appreciates learning and enables that environment</v>
      </c>
      <c r="M58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581" s="1" t="str">
        <f ca="1">IFERROR(__xludf.DUMMYFUNCTION("""COMPUTED_VALUE"""),"Design and Creative strategy in any company, Build and develop a Team, Design and Develop amazing software, Work as a freelancer and do my thing my way")</f>
        <v>Design and Creative strategy in any company, Build and develop a Team, Design and Develop amazing software, Work as a freelancer and do my thing my way</v>
      </c>
      <c r="O581" s="1" t="str">
        <f ca="1">IFERROR(__xludf.DUMMYFUNCTION("""COMPUTED_VALUE"""),"Manager who explains what is expected, sets a goal and helps achieve it")</f>
        <v>Manager who explains what is expected, sets a goal and helps achieve it</v>
      </c>
      <c r="P581" s="1" t="str">
        <f ca="1">IFERROR(__xludf.DUMMYFUNCTION("""COMPUTED_VALUE"""),"Work alone, Work with 2 to 3 people in my team")</f>
        <v>Work alone, Work with 2 to 3 people in my team</v>
      </c>
      <c r="Q581" s="1" t="str">
        <f ca="1">IFERROR(__xludf.DUMMYFUNCTION("""COMPUTED_VALUE"""),"No")</f>
        <v>No</v>
      </c>
      <c r="R581" s="1" t="str">
        <f ca="1">IFERROR(__xludf.DUMMYFUNCTION("""COMPUTED_VALUE"""),"This will be hard to do, but if it is the right company I would try")</f>
        <v>This will be hard to do, but if it is the right company I would try</v>
      </c>
      <c r="S581" s="1"/>
    </row>
    <row r="582" spans="1:19" ht="12.5" x14ac:dyDescent="0.25">
      <c r="A582" s="2">
        <f ca="1">IFERROR(__xludf.DUMMYFUNCTION("""COMPUTED_VALUE"""),45021.728146956)</f>
        <v>45021.728146955997</v>
      </c>
      <c r="B582" s="1" t="str">
        <f ca="1">IFERROR(__xludf.DUMMYFUNCTION("""COMPUTED_VALUE"""),"India")</f>
        <v>India</v>
      </c>
      <c r="C582" s="1">
        <f ca="1">IFERROR(__xludf.DUMMYFUNCTION("""COMPUTED_VALUE"""),560100)</f>
        <v>560100</v>
      </c>
      <c r="D582" s="1" t="str">
        <f ca="1">IFERROR(__xludf.DUMMYFUNCTION("""COMPUTED_VALUE"""),"Female")</f>
        <v>Female</v>
      </c>
      <c r="E582" s="1" t="str">
        <f ca="1">IFERROR(__xludf.DUMMYFUNCTION("""COMPUTED_VALUE"""),"People from my circle, but not family members")</f>
        <v>People from my circle, but not family members</v>
      </c>
      <c r="F582" s="1" t="str">
        <f ca="1">IFERROR(__xludf.DUMMYFUNCTION("""COMPUTED_VALUE"""),"No I would not be pursuing Higher Education outside of India")</f>
        <v>No I would not be pursuing Higher Education outside of India</v>
      </c>
      <c r="G582" s="1" t="str">
        <f ca="1">IFERROR(__xludf.DUMMYFUNCTION("""COMPUTED_VALUE"""),"This will be hard to do, but if it is the right company I would try")</f>
        <v>This will be hard to do, but if it is the right company I would try</v>
      </c>
      <c r="H582" s="1" t="str">
        <f ca="1">IFERROR(__xludf.DUMMYFUNCTION("""COMPUTED_VALUE"""),"No")</f>
        <v>No</v>
      </c>
      <c r="I582" s="1" t="str">
        <f ca="1">IFERROR(__xludf.DUMMYFUNCTION("""COMPUTED_VALUE"""),"Will NOT work for them")</f>
        <v>Will NOT work for them</v>
      </c>
      <c r="J582" s="1">
        <f ca="1">IFERROR(__xludf.DUMMYFUNCTION("""COMPUTED_VALUE"""),5)</f>
        <v>5</v>
      </c>
      <c r="K582" s="1" t="str">
        <f ca="1">IFERROR(__xludf.DUMMYFUNCTION("""COMPUTED_VALUE"""),"Hybrid Working Environment with more than 15 days a month at office")</f>
        <v>Hybrid Working Environment with more than 15 days a month at office</v>
      </c>
      <c r="L582" s="1" t="str">
        <f ca="1">IFERROR(__xludf.DUMMYFUNCTION("""COMPUTED_VALUE"""),"Employer who appreciates learning and enables that environment")</f>
        <v>Employer who appreciates learning and enables that environment</v>
      </c>
      <c r="M58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82" s="1" t="str">
        <f ca="1">IFERROR(__xludf.DUMMYFUNCTION("""COMPUTED_VALUE"""),"Business Operations in any organization, Manage and drive End-to-End Projects or Products, Build and develop a Team, Work in a BPO setup for some well known client")</f>
        <v>Business Operations in any organization, Manage and drive End-to-End Projects or Products, Build and develop a Team, Work in a BPO setup for some well known client</v>
      </c>
      <c r="O582" s="1" t="str">
        <f ca="1">IFERROR(__xludf.DUMMYFUNCTION("""COMPUTED_VALUE"""),"Manager who explains what is expected, sets a goal and helps achieve it")</f>
        <v>Manager who explains what is expected, sets a goal and helps achieve it</v>
      </c>
      <c r="P582" s="1" t="str">
        <f ca="1">IFERROR(__xludf.DUMMYFUNCTION("""COMPUTED_VALUE"""),"Work with more than 10 people in my team")</f>
        <v>Work with more than 10 people in my team</v>
      </c>
      <c r="Q582" s="1" t="str">
        <f ca="1">IFERROR(__xludf.DUMMYFUNCTION("""COMPUTED_VALUE"""),"No")</f>
        <v>No</v>
      </c>
      <c r="R582" s="1" t="str">
        <f ca="1">IFERROR(__xludf.DUMMYFUNCTION("""COMPUTED_VALUE"""),"No way")</f>
        <v>No way</v>
      </c>
      <c r="S582" s="1"/>
    </row>
    <row r="583" spans="1:19" ht="12.5" x14ac:dyDescent="0.25">
      <c r="A583" s="2">
        <f ca="1">IFERROR(__xludf.DUMMYFUNCTION("""COMPUTED_VALUE"""),45021.7310782175)</f>
        <v>45021.731078217497</v>
      </c>
      <c r="B583" s="1" t="str">
        <f ca="1">IFERROR(__xludf.DUMMYFUNCTION("""COMPUTED_VALUE"""),"India")</f>
        <v>India</v>
      </c>
      <c r="C583" s="1">
        <f ca="1">IFERROR(__xludf.DUMMYFUNCTION("""COMPUTED_VALUE"""),364001)</f>
        <v>364001</v>
      </c>
      <c r="D583" s="1" t="str">
        <f ca="1">IFERROR(__xludf.DUMMYFUNCTION("""COMPUTED_VALUE"""),"Female")</f>
        <v>Female</v>
      </c>
      <c r="E583" s="1" t="str">
        <f ca="1">IFERROR(__xludf.DUMMYFUNCTION("""COMPUTED_VALUE"""),"People who have changed the world for better")</f>
        <v>People who have changed the world for better</v>
      </c>
      <c r="F583" s="1" t="str">
        <f ca="1">IFERROR(__xludf.DUMMYFUNCTION("""COMPUTED_VALUE"""),"Yes, I will earn and do that")</f>
        <v>Yes, I will earn and do that</v>
      </c>
      <c r="G583" s="1" t="str">
        <f ca="1">IFERROR(__xludf.DUMMYFUNCTION("""COMPUTED_VALUE"""),"This will be hard to do, but if it is the right company I would try")</f>
        <v>This will be hard to do, but if it is the right company I would try</v>
      </c>
      <c r="H583" s="1" t="str">
        <f ca="1">IFERROR(__xludf.DUMMYFUNCTION("""COMPUTED_VALUE"""),"No")</f>
        <v>No</v>
      </c>
      <c r="I583" s="1" t="str">
        <f ca="1">IFERROR(__xludf.DUMMYFUNCTION("""COMPUTED_VALUE"""),"Will NOT work for them")</f>
        <v>Will NOT work for them</v>
      </c>
      <c r="J583" s="1">
        <f ca="1">IFERROR(__xludf.DUMMYFUNCTION("""COMPUTED_VALUE"""),3)</f>
        <v>3</v>
      </c>
      <c r="K583" s="1" t="str">
        <f ca="1">IFERROR(__xludf.DUMMYFUNCTION("""COMPUTED_VALUE"""),"Every Day Office Environment")</f>
        <v>Every Day Office Environment</v>
      </c>
      <c r="L583" s="1" t="str">
        <f ca="1">IFERROR(__xludf.DUMMYFUNCTION("""COMPUTED_VALUE"""),"Employer who appreciates learning and enables that environment")</f>
        <v>Employer who appreciates learning and enables that environment</v>
      </c>
      <c r="M58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83" s="1" t="str">
        <f ca="1">IFERROR(__xludf.DUMMYFUNCTION("""COMPUTED_VALUE"""),"Design and Creative strategy in any company, Manage and drive End-to-End Projects or Products, Build and develop a Team, Work as a freelancer and do my thing my way")</f>
        <v>Design and Creative strategy in any company, Manage and drive End-to-End Projects or Products, Build and develop a Team, Work as a freelancer and do my thing my way</v>
      </c>
      <c r="O583" s="1" t="str">
        <f ca="1">IFERROR(__xludf.DUMMYFUNCTION("""COMPUTED_VALUE"""),"Manager who explains what is expected, sets a goal and helps achieve it")</f>
        <v>Manager who explains what is expected, sets a goal and helps achieve it</v>
      </c>
      <c r="P583" s="1" t="str">
        <f ca="1">IFERROR(__xludf.DUMMYFUNCTION("""COMPUTED_VALUE"""),"Work with more than 10 people in my team")</f>
        <v>Work with more than 10 people in my team</v>
      </c>
      <c r="Q583" s="1" t="str">
        <f ca="1">IFERROR(__xludf.DUMMYFUNCTION("""COMPUTED_VALUE"""),"Yes, I Understand this is gonna happen everywhere")</f>
        <v>Yes, I Understand this is gonna happen everywhere</v>
      </c>
      <c r="R583" s="1" t="str">
        <f ca="1">IFERROR(__xludf.DUMMYFUNCTION("""COMPUTED_VALUE"""),"This will be hard to do, but if it is the right company I would try")</f>
        <v>This will be hard to do, but if it is the right company I would try</v>
      </c>
      <c r="S583" s="1"/>
    </row>
    <row r="584" spans="1:19" ht="12.5" x14ac:dyDescent="0.25">
      <c r="A584" s="2">
        <f ca="1">IFERROR(__xludf.DUMMYFUNCTION("""COMPUTED_VALUE"""),45021.7322719213)</f>
        <v>45021.732271921297</v>
      </c>
      <c r="B584" s="1" t="str">
        <f ca="1">IFERROR(__xludf.DUMMYFUNCTION("""COMPUTED_VALUE"""),"India")</f>
        <v>India</v>
      </c>
      <c r="C584" s="1">
        <f ca="1">IFERROR(__xludf.DUMMYFUNCTION("""COMPUTED_VALUE"""),442501)</f>
        <v>442501</v>
      </c>
      <c r="D584" s="1" t="str">
        <f ca="1">IFERROR(__xludf.DUMMYFUNCTION("""COMPUTED_VALUE"""),"Female")</f>
        <v>Female</v>
      </c>
      <c r="E584" s="1" t="str">
        <f ca="1">IFERROR(__xludf.DUMMYFUNCTION("""COMPUTED_VALUE"""),"People who have changed the world for better")</f>
        <v>People who have changed the world for better</v>
      </c>
      <c r="F584" s="1" t="str">
        <f ca="1">IFERROR(__xludf.DUMMYFUNCTION("""COMPUTED_VALUE"""),"Yes, I will earn and do that")</f>
        <v>Yes, I will earn and do that</v>
      </c>
      <c r="G584" s="1" t="str">
        <f ca="1">IFERROR(__xludf.DUMMYFUNCTION("""COMPUTED_VALUE"""),"This will be hard to do, but if it is the right company I would try")</f>
        <v>This will be hard to do, but if it is the right company I would try</v>
      </c>
      <c r="H584" s="1" t="str">
        <f ca="1">IFERROR(__xludf.DUMMYFUNCTION("""COMPUTED_VALUE"""),"Yes")</f>
        <v>Yes</v>
      </c>
      <c r="I584" s="1" t="str">
        <f ca="1">IFERROR(__xludf.DUMMYFUNCTION("""COMPUTED_VALUE"""),"Will work for them")</f>
        <v>Will work for them</v>
      </c>
      <c r="J584" s="1">
        <f ca="1">IFERROR(__xludf.DUMMYFUNCTION("""COMPUTED_VALUE"""),3)</f>
        <v>3</v>
      </c>
      <c r="K584" s="1" t="str">
        <f ca="1">IFERROR(__xludf.DUMMYFUNCTION("""COMPUTED_VALUE"""),"Every Day Office Environment")</f>
        <v>Every Day Office Environment</v>
      </c>
      <c r="L5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84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584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584" s="1" t="str">
        <f ca="1">IFERROR(__xludf.DUMMYFUNCTION("""COMPUTED_VALUE"""),"Manager who sets targets and expects me to achieve it")</f>
        <v>Manager who sets targets and expects me to achieve it</v>
      </c>
      <c r="P584" s="1" t="str">
        <f ca="1">IFERROR(__xludf.DUMMYFUNCTION("""COMPUTED_VALUE"""),"Work with 5 to 6 people in my team")</f>
        <v>Work with 5 to 6 people in my team</v>
      </c>
      <c r="Q584" s="1" t="str">
        <f ca="1">IFERROR(__xludf.DUMMYFUNCTION("""COMPUTED_VALUE"""),"No")</f>
        <v>No</v>
      </c>
      <c r="R584" s="1" t="str">
        <f ca="1">IFERROR(__xludf.DUMMYFUNCTION("""COMPUTED_VALUE"""),"This will be hard to do, but if it is the right company I would try")</f>
        <v>This will be hard to do, but if it is the right company I would try</v>
      </c>
      <c r="S584" s="1"/>
    </row>
    <row r="585" spans="1:19" ht="12.5" x14ac:dyDescent="0.25">
      <c r="A585" s="2">
        <f ca="1">IFERROR(__xludf.DUMMYFUNCTION("""COMPUTED_VALUE"""),45021.7329140277)</f>
        <v>45021.7329140277</v>
      </c>
      <c r="B585" s="1" t="str">
        <f ca="1">IFERROR(__xludf.DUMMYFUNCTION("""COMPUTED_VALUE"""),"India")</f>
        <v>India</v>
      </c>
      <c r="C585" s="1">
        <f ca="1">IFERROR(__xludf.DUMMYFUNCTION("""COMPUTED_VALUE"""),500083)</f>
        <v>500083</v>
      </c>
      <c r="D585" s="1" t="str">
        <f ca="1">IFERROR(__xludf.DUMMYFUNCTION("""COMPUTED_VALUE"""),"Male")</f>
        <v>Male</v>
      </c>
      <c r="E585" s="1" t="str">
        <f ca="1">IFERROR(__xludf.DUMMYFUNCTION("""COMPUTED_VALUE"""),"My Parents")</f>
        <v>My Parents</v>
      </c>
      <c r="F585" s="1" t="str">
        <f ca="1">IFERROR(__xludf.DUMMYFUNCTION("""COMPUTED_VALUE"""),"Yes, I will earn and do that")</f>
        <v>Yes, I will earn and do that</v>
      </c>
      <c r="G585" s="1" t="str">
        <f ca="1">IFERROR(__xludf.DUMMYFUNCTION("""COMPUTED_VALUE"""),"This will be hard to do, but if it is the right company I would try")</f>
        <v>This will be hard to do, but if it is the right company I would try</v>
      </c>
      <c r="H585" s="1" t="str">
        <f ca="1">IFERROR(__xludf.DUMMYFUNCTION("""COMPUTED_VALUE"""),"No")</f>
        <v>No</v>
      </c>
      <c r="I585" s="1" t="str">
        <f ca="1">IFERROR(__xludf.DUMMYFUNCTION("""COMPUTED_VALUE"""),"Will NOT work for them")</f>
        <v>Will NOT work for them</v>
      </c>
      <c r="J585" s="1">
        <f ca="1">IFERROR(__xludf.DUMMYFUNCTION("""COMPUTED_VALUE"""),5)</f>
        <v>5</v>
      </c>
      <c r="K585" s="1" t="str">
        <f ca="1">IFERROR(__xludf.DUMMYFUNCTION("""COMPUTED_VALUE"""),"Hybrid Working Environment with less than 3 days a month at office")</f>
        <v>Hybrid Working Environment with less than 3 days a month at office</v>
      </c>
      <c r="L5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8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585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585" s="1" t="str">
        <f ca="1">IFERROR(__xludf.DUMMYFUNCTION("""COMPUTED_VALUE"""),"Manager who explains what is expected, sets a goal and helps achieve it")</f>
        <v>Manager who explains what is expected, sets a goal and helps achieve it</v>
      </c>
      <c r="P585" s="1" t="str">
        <f ca="1">IFERROR(__xludf.DUMMYFUNCTION("""COMPUTED_VALUE"""),"Work alone")</f>
        <v>Work alone</v>
      </c>
      <c r="Q585" s="1" t="str">
        <f ca="1">IFERROR(__xludf.DUMMYFUNCTION("""COMPUTED_VALUE"""),"Yes")</f>
        <v>Yes</v>
      </c>
      <c r="R585" s="1" t="str">
        <f ca="1">IFERROR(__xludf.DUMMYFUNCTION("""COMPUTED_VALUE"""),"This will be hard to do, but if it is the right company I would try")</f>
        <v>This will be hard to do, but if it is the right company I would try</v>
      </c>
      <c r="S585" s="1"/>
    </row>
    <row r="586" spans="1:19" ht="12.5" x14ac:dyDescent="0.25">
      <c r="A586" s="2">
        <f ca="1">IFERROR(__xludf.DUMMYFUNCTION("""COMPUTED_VALUE"""),45021.7332319675)</f>
        <v>45021.733231967497</v>
      </c>
      <c r="B586" s="1" t="str">
        <f ca="1">IFERROR(__xludf.DUMMYFUNCTION("""COMPUTED_VALUE"""),"India")</f>
        <v>India</v>
      </c>
      <c r="C586" s="1">
        <f ca="1">IFERROR(__xludf.DUMMYFUNCTION("""COMPUTED_VALUE"""),670301)</f>
        <v>670301</v>
      </c>
      <c r="D586" s="1" t="str">
        <f ca="1">IFERROR(__xludf.DUMMYFUNCTION("""COMPUTED_VALUE"""),"Male")</f>
        <v>Male</v>
      </c>
      <c r="E586" s="1" t="str">
        <f ca="1">IFERROR(__xludf.DUMMYFUNCTION("""COMPUTED_VALUE"""),"My Parents")</f>
        <v>My Parents</v>
      </c>
      <c r="F586" s="1" t="str">
        <f ca="1">IFERROR(__xludf.DUMMYFUNCTION("""COMPUTED_VALUE"""),"Yes, I will earn and do that")</f>
        <v>Yes, I will earn and do that</v>
      </c>
      <c r="G586" s="1" t="str">
        <f ca="1">IFERROR(__xludf.DUMMYFUNCTION("""COMPUTED_VALUE"""),"This will be hard to do, but if it is the right company I would try")</f>
        <v>This will be hard to do, but if it is the right company I would try</v>
      </c>
      <c r="H586" s="1" t="str">
        <f ca="1">IFERROR(__xludf.DUMMYFUNCTION("""COMPUTED_VALUE"""),"No")</f>
        <v>No</v>
      </c>
      <c r="I586" s="1" t="str">
        <f ca="1">IFERROR(__xludf.DUMMYFUNCTION("""COMPUTED_VALUE"""),"Will NOT work for them")</f>
        <v>Will NOT work for them</v>
      </c>
      <c r="J586" s="1">
        <f ca="1">IFERROR(__xludf.DUMMYFUNCTION("""COMPUTED_VALUE"""),5)</f>
        <v>5</v>
      </c>
      <c r="K586" s="1" t="str">
        <f ca="1">IFERROR(__xludf.DUMMYFUNCTION("""COMPUTED_VALUE"""),"Every Day Office Environment")</f>
        <v>Every Day Office Environment</v>
      </c>
      <c r="L586" s="1" t="str">
        <f ca="1">IFERROR(__xludf.DUMMYFUNCTION("""COMPUTED_VALUE"""),"Employer who appreciates learning and enables that environment")</f>
        <v>Employer who appreciates learning and enables that environment</v>
      </c>
      <c r="M58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586" s="1" t="str">
        <f ca="1">IFERROR(__xludf.DUMMYFUNCTION("""COMPUTED_VALUE"""),"Design and Creative strategy in any company, Design and Develop amazing software, Work as a freelancer and do my thing my way, Become a content Creator in some platform")</f>
        <v>Design and Creative strategy in any company, Design and Develop amazing software, Work as a freelancer and do my thing my way, Become a content Creator in some platform</v>
      </c>
      <c r="O586" s="1" t="str">
        <f ca="1">IFERROR(__xludf.DUMMYFUNCTION("""COMPUTED_VALUE"""),"Manager who explains what is expected, sets a goal and helps achieve it")</f>
        <v>Manager who explains what is expected, sets a goal and helps achieve it</v>
      </c>
      <c r="P586" s="1" t="str">
        <f ca="1">IFERROR(__xludf.DUMMYFUNCTION("""COMPUTED_VALUE"""),"Work alone")</f>
        <v>Work alone</v>
      </c>
      <c r="Q586" s="1" t="str">
        <f ca="1">IFERROR(__xludf.DUMMYFUNCTION("""COMPUTED_VALUE"""),"No")</f>
        <v>No</v>
      </c>
      <c r="R586" s="1" t="str">
        <f ca="1">IFERROR(__xludf.DUMMYFUNCTION("""COMPUTED_VALUE"""),"No way")</f>
        <v>No way</v>
      </c>
      <c r="S586" s="1"/>
    </row>
    <row r="587" spans="1:19" ht="12.5" x14ac:dyDescent="0.25">
      <c r="A587" s="2">
        <f ca="1">IFERROR(__xludf.DUMMYFUNCTION("""COMPUTED_VALUE"""),45021.7356464004)</f>
        <v>45021.735646400397</v>
      </c>
      <c r="B587" s="1" t="str">
        <f ca="1">IFERROR(__xludf.DUMMYFUNCTION("""COMPUTED_VALUE"""),"India")</f>
        <v>India</v>
      </c>
      <c r="C587" s="1">
        <f ca="1">IFERROR(__xludf.DUMMYFUNCTION("""COMPUTED_VALUE"""),400607)</f>
        <v>400607</v>
      </c>
      <c r="D587" s="1" t="str">
        <f ca="1">IFERROR(__xludf.DUMMYFUNCTION("""COMPUTED_VALUE"""),"Male")</f>
        <v>Male</v>
      </c>
      <c r="E587" s="1" t="str">
        <f ca="1">IFERROR(__xludf.DUMMYFUNCTION("""COMPUTED_VALUE"""),"People who have changed the world for better")</f>
        <v>People who have changed the world for better</v>
      </c>
      <c r="F587" s="1" t="str">
        <f ca="1">IFERROR(__xludf.DUMMYFUNCTION("""COMPUTED_VALUE"""),"No I would not be pursuing Higher Education outside of India")</f>
        <v>No I would not be pursuing Higher Education outside of India</v>
      </c>
      <c r="G587" s="1" t="str">
        <f ca="1">IFERROR(__xludf.DUMMYFUNCTION("""COMPUTED_VALUE"""),"This will be hard to do, but if it is the right company I would try")</f>
        <v>This will be hard to do, but if it is the right company I would try</v>
      </c>
      <c r="H587" s="1" t="str">
        <f ca="1">IFERROR(__xludf.DUMMYFUNCTION("""COMPUTED_VALUE"""),"No")</f>
        <v>No</v>
      </c>
      <c r="I587" s="1" t="str">
        <f ca="1">IFERROR(__xludf.DUMMYFUNCTION("""COMPUTED_VALUE"""),"Will NOT work for them")</f>
        <v>Will NOT work for them</v>
      </c>
      <c r="J587" s="1">
        <f ca="1">IFERROR(__xludf.DUMMYFUNCTION("""COMPUTED_VALUE"""),5)</f>
        <v>5</v>
      </c>
      <c r="K587" s="1" t="str">
        <f ca="1">IFERROR(__xludf.DUMMYFUNCTION("""COMPUTED_VALUE"""),"Hybrid Working Environment with more than 15 days a month at office")</f>
        <v>Hybrid Working Environment with more than 15 days a month at office</v>
      </c>
      <c r="L587" s="1" t="str">
        <f ca="1">IFERROR(__xludf.DUMMYFUNCTION("""COMPUTED_VALUE"""),"Employer who appreciates learning and enables that environment")</f>
        <v>Employer who appreciates learning and enables that environment</v>
      </c>
      <c r="M58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87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587" s="1" t="str">
        <f ca="1">IFERROR(__xludf.DUMMYFUNCTION("""COMPUTED_VALUE"""),"Manager who explains what is expected, sets a goal and helps achieve it")</f>
        <v>Manager who explains what is expected, sets a goal and helps achieve it</v>
      </c>
      <c r="P587" s="1" t="str">
        <f ca="1">IFERROR(__xludf.DUMMYFUNCTION("""COMPUTED_VALUE"""),"Work with 2 to 3 people in my team")</f>
        <v>Work with 2 to 3 people in my team</v>
      </c>
      <c r="Q587" s="1" t="str">
        <f ca="1">IFERROR(__xludf.DUMMYFUNCTION("""COMPUTED_VALUE"""),"Yes, I Understand this is gonna happen everywhere")</f>
        <v>Yes, I Understand this is gonna happen everywhere</v>
      </c>
      <c r="R587" s="1" t="str">
        <f ca="1">IFERROR(__xludf.DUMMYFUNCTION("""COMPUTED_VALUE"""),"No way")</f>
        <v>No way</v>
      </c>
      <c r="S587" s="1"/>
    </row>
    <row r="588" spans="1:19" ht="12.5" x14ac:dyDescent="0.25">
      <c r="A588" s="2">
        <f ca="1">IFERROR(__xludf.DUMMYFUNCTION("""COMPUTED_VALUE"""),45021.7361705671)</f>
        <v>45021.736170567099</v>
      </c>
      <c r="B588" s="1" t="str">
        <f ca="1">IFERROR(__xludf.DUMMYFUNCTION("""COMPUTED_VALUE"""),"India")</f>
        <v>India</v>
      </c>
      <c r="C588" s="1">
        <f ca="1">IFERROR(__xludf.DUMMYFUNCTION("""COMPUTED_VALUE"""),632515)</f>
        <v>632515</v>
      </c>
      <c r="D588" s="1" t="str">
        <f ca="1">IFERROR(__xludf.DUMMYFUNCTION("""COMPUTED_VALUE"""),"Male")</f>
        <v>Male</v>
      </c>
      <c r="E588" s="1" t="str">
        <f ca="1">IFERROR(__xludf.DUMMYFUNCTION("""COMPUTED_VALUE"""),"Social Media like LinkedIn")</f>
        <v>Social Media like LinkedIn</v>
      </c>
      <c r="F588" s="1" t="str">
        <f ca="1">IFERROR(__xludf.DUMMYFUNCTION("""COMPUTED_VALUE"""),"No I would not be pursuing Higher Education outside of India")</f>
        <v>No I would not be pursuing Higher Education outside of India</v>
      </c>
      <c r="G588" s="1" t="str">
        <f ca="1">IFERROR(__xludf.DUMMYFUNCTION("""COMPUTED_VALUE"""),"This will be hard to do, but if it is the right company I would try")</f>
        <v>This will be hard to do, but if it is the right company I would try</v>
      </c>
      <c r="H588" s="1" t="str">
        <f ca="1">IFERROR(__xludf.DUMMYFUNCTION("""COMPUTED_VALUE"""),"No")</f>
        <v>No</v>
      </c>
      <c r="I588" s="1" t="str">
        <f ca="1">IFERROR(__xludf.DUMMYFUNCTION("""COMPUTED_VALUE"""),"Will NOT work for them")</f>
        <v>Will NOT work for them</v>
      </c>
      <c r="J588" s="1">
        <f ca="1">IFERROR(__xludf.DUMMYFUNCTION("""COMPUTED_VALUE"""),5)</f>
        <v>5</v>
      </c>
      <c r="K588" s="1" t="str">
        <f ca="1">IFERROR(__xludf.DUMMYFUNCTION("""COMPUTED_VALUE"""),"Fully Remote with Options to travel as and when needed")</f>
        <v>Fully Remote with Options to travel as and when needed</v>
      </c>
      <c r="L588" s="1" t="str">
        <f ca="1">IFERROR(__xludf.DUMMYFUNCTION("""COMPUTED_VALUE"""),"Employer who rewards learning and enables that environment")</f>
        <v>Employer who rewards learning and enables that environment</v>
      </c>
      <c r="M58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588" s="1" t="str">
        <f ca="1">IFERROR(__xludf.DUMMYFUNCTION("""COMPUTED_VALUE"""),"Manage and drive End-to-End Projects or Products, Build and develop a Team, Look deeply into Data and generate insights, Work as a freelancer and do my thing my way")</f>
        <v>Manage and drive End-to-End Projects or Products, Build and develop a Team, Look deeply into Data and generate insights, Work as a freelancer and do my thing my way</v>
      </c>
      <c r="O588" s="1" t="str">
        <f ca="1">IFERROR(__xludf.DUMMYFUNCTION("""COMPUTED_VALUE"""),"Manager who explains what is expected, sets a goal and helps achieve it")</f>
        <v>Manager who explains what is expected, sets a goal and helps achieve it</v>
      </c>
      <c r="P58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588" s="1" t="str">
        <f ca="1">IFERROR(__xludf.DUMMYFUNCTION("""COMPUTED_VALUE"""),"Yes")</f>
        <v>Yes</v>
      </c>
      <c r="R588" s="1" t="str">
        <f ca="1">IFERROR(__xludf.DUMMYFUNCTION("""COMPUTED_VALUE"""),"This will be hard to do, but if it is the right company I would try")</f>
        <v>This will be hard to do, but if it is the right company I would try</v>
      </c>
      <c r="S588" s="1"/>
    </row>
    <row r="589" spans="1:19" ht="12.5" x14ac:dyDescent="0.25">
      <c r="A589" s="2">
        <f ca="1">IFERROR(__xludf.DUMMYFUNCTION("""COMPUTED_VALUE"""),45021.7368515625)</f>
        <v>45021.736851562498</v>
      </c>
      <c r="B589" s="1" t="str">
        <f ca="1">IFERROR(__xludf.DUMMYFUNCTION("""COMPUTED_VALUE"""),"India")</f>
        <v>India</v>
      </c>
      <c r="C589" s="1">
        <f ca="1">IFERROR(__xludf.DUMMYFUNCTION("""COMPUTED_VALUE"""),516329)</f>
        <v>516329</v>
      </c>
      <c r="D589" s="1" t="str">
        <f ca="1">IFERROR(__xludf.DUMMYFUNCTION("""COMPUTED_VALUE"""),"Female")</f>
        <v>Female</v>
      </c>
      <c r="E589" s="1" t="str">
        <f ca="1">IFERROR(__xludf.DUMMYFUNCTION("""COMPUTED_VALUE"""),"My Parents")</f>
        <v>My Parents</v>
      </c>
      <c r="F589" s="1" t="str">
        <f ca="1">IFERROR(__xludf.DUMMYFUNCTION("""COMPUTED_VALUE"""),"No, But if someone could bare the cost I will")</f>
        <v>No, But if someone could bare the cost I will</v>
      </c>
      <c r="G589" s="1" t="str">
        <f ca="1">IFERROR(__xludf.DUMMYFUNCTION("""COMPUTED_VALUE"""),"Will work for 3 years or more")</f>
        <v>Will work for 3 years or more</v>
      </c>
      <c r="H589" s="1" t="str">
        <f ca="1">IFERROR(__xludf.DUMMYFUNCTION("""COMPUTED_VALUE"""),"No")</f>
        <v>No</v>
      </c>
      <c r="I589" s="1" t="str">
        <f ca="1">IFERROR(__xludf.DUMMYFUNCTION("""COMPUTED_VALUE"""),"Will work for them")</f>
        <v>Will work for them</v>
      </c>
      <c r="J589" s="1">
        <f ca="1">IFERROR(__xludf.DUMMYFUNCTION("""COMPUTED_VALUE"""),7)</f>
        <v>7</v>
      </c>
      <c r="K589" s="1" t="str">
        <f ca="1">IFERROR(__xludf.DUMMYFUNCTION("""COMPUTED_VALUE"""),"Fully Remote with Options to travel as and when needed")</f>
        <v>Fully Remote with Options to travel as and when needed</v>
      </c>
      <c r="L5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8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589" s="1" t="str">
        <f ca="1">IFERROR(__xludf.DUMMYFUNCTION("""COMPUTED_VALUE"""),"Business Operations in any organization, Work in a BPO setup for some well known client, An Artificial Intelligence Specialist / Talking to Robots, Manufacturing / Oil and Gas/ Construction / Hard Physical Work related")</f>
        <v>Business Operations in any organization, Work in a BPO setup for some well known client, An Artificial Intelligence Specialist / Talking to Robots, Manufacturing / Oil and Gas/ Construction / Hard Physical Work related</v>
      </c>
      <c r="O589" s="1" t="str">
        <f ca="1">IFERROR(__xludf.DUMMYFUNCTION("""COMPUTED_VALUE"""),"Manager who explains what is expected, sets a goal and helps achieve it")</f>
        <v>Manager who explains what is expected, sets a goal and helps achieve it</v>
      </c>
      <c r="P589" s="1" t="str">
        <f ca="1">IFERROR(__xludf.DUMMYFUNCTION("""COMPUTED_VALUE"""),"Work with 2 to 3 people in my team, Work with 5 to 6 people in my team")</f>
        <v>Work with 2 to 3 people in my team, Work with 5 to 6 people in my team</v>
      </c>
      <c r="Q589" s="1" t="str">
        <f ca="1">IFERROR(__xludf.DUMMYFUNCTION("""COMPUTED_VALUE"""),"Yes")</f>
        <v>Yes</v>
      </c>
      <c r="R589" s="1" t="str">
        <f ca="1">IFERROR(__xludf.DUMMYFUNCTION("""COMPUTED_VALUE"""),"Will work for 7 years or more")</f>
        <v>Will work for 7 years or more</v>
      </c>
      <c r="S589" s="1"/>
    </row>
    <row r="590" spans="1:19" ht="12.5" x14ac:dyDescent="0.25">
      <c r="A590" s="2">
        <f ca="1">IFERROR(__xludf.DUMMYFUNCTION("""COMPUTED_VALUE"""),45021.7383626967)</f>
        <v>45021.738362696698</v>
      </c>
      <c r="B590" s="1" t="str">
        <f ca="1">IFERROR(__xludf.DUMMYFUNCTION("""COMPUTED_VALUE"""),"India")</f>
        <v>India</v>
      </c>
      <c r="C590" s="1">
        <f ca="1">IFERROR(__xludf.DUMMYFUNCTION("""COMPUTED_VALUE"""),620001)</f>
        <v>620001</v>
      </c>
      <c r="D590" s="1" t="str">
        <f ca="1">IFERROR(__xludf.DUMMYFUNCTION("""COMPUTED_VALUE"""),"Female")</f>
        <v>Female</v>
      </c>
      <c r="E590" s="1" t="str">
        <f ca="1">IFERROR(__xludf.DUMMYFUNCTION("""COMPUTED_VALUE"""),"People from my circle, but not family members")</f>
        <v>People from my circle, but not family members</v>
      </c>
      <c r="F590" s="1" t="str">
        <f ca="1">IFERROR(__xludf.DUMMYFUNCTION("""COMPUTED_VALUE"""),"No, But if someone could bare the cost I will")</f>
        <v>No, But if someone could bare the cost I will</v>
      </c>
      <c r="G590" s="1" t="str">
        <f ca="1">IFERROR(__xludf.DUMMYFUNCTION("""COMPUTED_VALUE"""),"Will work for 3 years or more")</f>
        <v>Will work for 3 years or more</v>
      </c>
      <c r="H590" s="1" t="str">
        <f ca="1">IFERROR(__xludf.DUMMYFUNCTION("""COMPUTED_VALUE"""),"No")</f>
        <v>No</v>
      </c>
      <c r="I590" s="1" t="str">
        <f ca="1">IFERROR(__xludf.DUMMYFUNCTION("""COMPUTED_VALUE"""),"Will NOT work for them")</f>
        <v>Will NOT work for them</v>
      </c>
      <c r="J590" s="1">
        <f ca="1">IFERROR(__xludf.DUMMYFUNCTION("""COMPUTED_VALUE"""),6)</f>
        <v>6</v>
      </c>
      <c r="K590" s="1" t="str">
        <f ca="1">IFERROR(__xludf.DUMMYFUNCTION("""COMPUTED_VALUE"""),"Fully Remote with Options to travel as and when needed")</f>
        <v>Fully Remote with Options to travel as and when needed</v>
      </c>
      <c r="L5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9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590" s="1" t="str">
        <f ca="1">IFERROR(__xludf.DUMMYFUNCTION("""COMPUTED_VALUE"""),"Become a content Creator in some platform, I Want to sell things/Sales, An Artificial Intelligence Specialist / Talking to Robots, Manufacturing / Oil and Gas/ Construction / Hard Physical Work related")</f>
        <v>Become a content Creator in some platform, I Want to sell things/Sales, An Artificial Intelligence Specialist / Talking to Robots, Manufacturing / Oil and Gas/ Construction / Hard Physical Work related</v>
      </c>
      <c r="O590" s="1" t="str">
        <f ca="1">IFERROR(__xludf.DUMMYFUNCTION("""COMPUTED_VALUE"""),"Manager who explains what is expected, sets a goal and helps achieve it")</f>
        <v>Manager who explains what is expected, sets a goal and helps achieve it</v>
      </c>
      <c r="P590" s="1" t="str">
        <f ca="1">IFERROR(__xludf.DUMMYFUNCTION("""COMPUTED_VALUE"""),"Work with 5 to 6 people in my team")</f>
        <v>Work with 5 to 6 people in my team</v>
      </c>
      <c r="Q590" s="1" t="str">
        <f ca="1">IFERROR(__xludf.DUMMYFUNCTION("""COMPUTED_VALUE"""),"Yes, I Understand this is gonna happen everywhere")</f>
        <v>Yes, I Understand this is gonna happen everywhere</v>
      </c>
      <c r="R590" s="1" t="str">
        <f ca="1">IFERROR(__xludf.DUMMYFUNCTION("""COMPUTED_VALUE"""),"This will be hard to do, but if it is the right company I would try")</f>
        <v>This will be hard to do, but if it is the right company I would try</v>
      </c>
      <c r="S590" s="1"/>
    </row>
    <row r="591" spans="1:19" ht="12.5" x14ac:dyDescent="0.25">
      <c r="A591" s="2">
        <f ca="1">IFERROR(__xludf.DUMMYFUNCTION("""COMPUTED_VALUE"""),45021.7388023495)</f>
        <v>45021.7388023495</v>
      </c>
      <c r="B591" s="1" t="str">
        <f ca="1">IFERROR(__xludf.DUMMYFUNCTION("""COMPUTED_VALUE"""),"India")</f>
        <v>India</v>
      </c>
      <c r="C591" s="1">
        <f ca="1">IFERROR(__xludf.DUMMYFUNCTION("""COMPUTED_VALUE"""),600116)</f>
        <v>600116</v>
      </c>
      <c r="D591" s="1" t="str">
        <f ca="1">IFERROR(__xludf.DUMMYFUNCTION("""COMPUTED_VALUE"""),"Male")</f>
        <v>Male</v>
      </c>
      <c r="E591" s="1" t="str">
        <f ca="1">IFERROR(__xludf.DUMMYFUNCTION("""COMPUTED_VALUE"""),"People from my circle, but not family members")</f>
        <v>People from my circle, but not family members</v>
      </c>
      <c r="F591" s="1" t="str">
        <f ca="1">IFERROR(__xludf.DUMMYFUNCTION("""COMPUTED_VALUE"""),"No I would not be pursuing Higher Education outside of India")</f>
        <v>No I would not be pursuing Higher Education outside of India</v>
      </c>
      <c r="G591" s="1" t="str">
        <f ca="1">IFERROR(__xludf.DUMMYFUNCTION("""COMPUTED_VALUE"""),"Will work for 3 years or more")</f>
        <v>Will work for 3 years or more</v>
      </c>
      <c r="H591" s="1" t="str">
        <f ca="1">IFERROR(__xludf.DUMMYFUNCTION("""COMPUTED_VALUE"""),"No")</f>
        <v>No</v>
      </c>
      <c r="I591" s="1" t="str">
        <f ca="1">IFERROR(__xludf.DUMMYFUNCTION("""COMPUTED_VALUE"""),"Will work for them")</f>
        <v>Will work for them</v>
      </c>
      <c r="J591" s="1">
        <f ca="1">IFERROR(__xludf.DUMMYFUNCTION("""COMPUTED_VALUE"""),4)</f>
        <v>4</v>
      </c>
      <c r="K591" s="1" t="str">
        <f ca="1">IFERROR(__xludf.DUMMYFUNCTION("""COMPUTED_VALUE"""),"Hybrid Working Environment with more than 15 days a month at office")</f>
        <v>Hybrid Working Environment with more than 15 days a month at office</v>
      </c>
      <c r="L591" s="1" t="str">
        <f ca="1">IFERROR(__xludf.DUMMYFUNCTION("""COMPUTED_VALUE"""),"Employer who appreciates learning and enables that environment")</f>
        <v>Employer who appreciates learning and enables that environment</v>
      </c>
      <c r="M591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591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591" s="1" t="str">
        <f ca="1">IFERROR(__xludf.DUMMYFUNCTION("""COMPUTED_VALUE"""),"Manager who explains what is expected, sets a goal and helps achieve it")</f>
        <v>Manager who explains what is expected, sets a goal and helps achieve it</v>
      </c>
      <c r="P591" s="1" t="str">
        <f ca="1">IFERROR(__xludf.DUMMYFUNCTION("""COMPUTED_VALUE"""),"Work with more than 10 people in my team")</f>
        <v>Work with more than 10 people in my team</v>
      </c>
      <c r="Q591" s="1" t="str">
        <f ca="1">IFERROR(__xludf.DUMMYFUNCTION("""COMPUTED_VALUE"""),"No")</f>
        <v>No</v>
      </c>
      <c r="R591" s="1" t="str">
        <f ca="1">IFERROR(__xludf.DUMMYFUNCTION("""COMPUTED_VALUE"""),"Will work for 7 years or more")</f>
        <v>Will work for 7 years or more</v>
      </c>
      <c r="S591" s="1"/>
    </row>
    <row r="592" spans="1:19" ht="12.5" x14ac:dyDescent="0.25">
      <c r="A592" s="2">
        <f ca="1">IFERROR(__xludf.DUMMYFUNCTION("""COMPUTED_VALUE"""),45021.7391414699)</f>
        <v>45021.739141469901</v>
      </c>
      <c r="B592" s="1" t="str">
        <f ca="1">IFERROR(__xludf.DUMMYFUNCTION("""COMPUTED_VALUE"""),"India")</f>
        <v>India</v>
      </c>
      <c r="C592" s="1">
        <f ca="1">IFERROR(__xludf.DUMMYFUNCTION("""COMPUTED_VALUE"""),560016)</f>
        <v>560016</v>
      </c>
      <c r="D592" s="1" t="str">
        <f ca="1">IFERROR(__xludf.DUMMYFUNCTION("""COMPUTED_VALUE"""),"Male")</f>
        <v>Male</v>
      </c>
      <c r="E592" s="1" t="str">
        <f ca="1">IFERROR(__xludf.DUMMYFUNCTION("""COMPUTED_VALUE"""),"People from my circle, but not family members")</f>
        <v>People from my circle, but not family members</v>
      </c>
      <c r="F592" s="1" t="str">
        <f ca="1">IFERROR(__xludf.DUMMYFUNCTION("""COMPUTED_VALUE"""),"Yes, I will earn and do that")</f>
        <v>Yes, I will earn and do that</v>
      </c>
      <c r="G592" s="1" t="str">
        <f ca="1">IFERROR(__xludf.DUMMYFUNCTION("""COMPUTED_VALUE"""),"This will be hard to do, but if it is the right company I would try")</f>
        <v>This will be hard to do, but if it is the right company I would try</v>
      </c>
      <c r="H592" s="1" t="str">
        <f ca="1">IFERROR(__xludf.DUMMYFUNCTION("""COMPUTED_VALUE"""),"Yes")</f>
        <v>Yes</v>
      </c>
      <c r="I592" s="1" t="str">
        <f ca="1">IFERROR(__xludf.DUMMYFUNCTION("""COMPUTED_VALUE"""),"Will NOT work for them")</f>
        <v>Will NOT work for them</v>
      </c>
      <c r="J592" s="1">
        <f ca="1">IFERROR(__xludf.DUMMYFUNCTION("""COMPUTED_VALUE"""),8)</f>
        <v>8</v>
      </c>
      <c r="K592" s="1" t="str">
        <f ca="1">IFERROR(__xludf.DUMMYFUNCTION("""COMPUTED_VALUE"""),"Hybrid Working Environment with more than 15 days a month at office")</f>
        <v>Hybrid Working Environment with more than 15 days a month at office</v>
      </c>
      <c r="L5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9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592" s="1" t="str">
        <f ca="1">IFERROR(__xludf.DUMMYFUNCTION("""COMPUTED_VALUE"""),"Business Operations in any organization, Manage and drive End-to-End Projects or Products, Entrepreneur or Start Up, I Want to sell things/Sales")</f>
        <v>Business Operations in any organization, Manage and drive End-to-End Projects or Products, Entrepreneur or Start Up, I Want to sell things/Sales</v>
      </c>
      <c r="O592" s="1" t="str">
        <f ca="1">IFERROR(__xludf.DUMMYFUNCTION("""COMPUTED_VALUE"""),"Manager who explains what is expected, sets a goal and helps achieve it")</f>
        <v>Manager who explains what is expected, sets a goal and helps achieve it</v>
      </c>
      <c r="P592" s="1" t="str">
        <f ca="1">IFERROR(__xludf.DUMMYFUNCTION("""COMPUTED_VALUE"""),"Work with 5 to 6 people in my team")</f>
        <v>Work with 5 to 6 people in my team</v>
      </c>
      <c r="Q592" s="1" t="str">
        <f ca="1">IFERROR(__xludf.DUMMYFUNCTION("""COMPUTED_VALUE"""),"Yes, I Understand this is gonna happen everywhere")</f>
        <v>Yes, I Understand this is gonna happen everywhere</v>
      </c>
      <c r="R592" s="1" t="str">
        <f ca="1">IFERROR(__xludf.DUMMYFUNCTION("""COMPUTED_VALUE"""),"This will be hard to do, but if it is the right company I would try")</f>
        <v>This will be hard to do, but if it is the right company I would try</v>
      </c>
      <c r="S592" s="1"/>
    </row>
    <row r="593" spans="1:19" ht="12.5" x14ac:dyDescent="0.25">
      <c r="A593" s="2">
        <f ca="1">IFERROR(__xludf.DUMMYFUNCTION("""COMPUTED_VALUE"""),45021.7392594444)</f>
        <v>45021.739259444403</v>
      </c>
      <c r="B593" s="1" t="str">
        <f ca="1">IFERROR(__xludf.DUMMYFUNCTION("""COMPUTED_VALUE"""),"India")</f>
        <v>India</v>
      </c>
      <c r="C593" s="1">
        <f ca="1">IFERROR(__xludf.DUMMYFUNCTION("""COMPUTED_VALUE"""),641062)</f>
        <v>641062</v>
      </c>
      <c r="D593" s="1" t="str">
        <f ca="1">IFERROR(__xludf.DUMMYFUNCTION("""COMPUTED_VALUE"""),"Male")</f>
        <v>Male</v>
      </c>
      <c r="E593" s="1" t="str">
        <f ca="1">IFERROR(__xludf.DUMMYFUNCTION("""COMPUTED_VALUE"""),"Influencers who had successful careers")</f>
        <v>Influencers who had successful careers</v>
      </c>
      <c r="F593" s="1" t="str">
        <f ca="1">IFERROR(__xludf.DUMMYFUNCTION("""COMPUTED_VALUE"""),"No, But if someone could bare the cost I will")</f>
        <v>No, But if someone could bare the cost I will</v>
      </c>
      <c r="G593" s="1" t="str">
        <f ca="1">IFERROR(__xludf.DUMMYFUNCTION("""COMPUTED_VALUE"""),"This will be hard to do, but if it is the right company I would try")</f>
        <v>This will be hard to do, but if it is the right company I would try</v>
      </c>
      <c r="H593" s="1" t="str">
        <f ca="1">IFERROR(__xludf.DUMMYFUNCTION("""COMPUTED_VALUE"""),"No")</f>
        <v>No</v>
      </c>
      <c r="I593" s="1" t="str">
        <f ca="1">IFERROR(__xludf.DUMMYFUNCTION("""COMPUTED_VALUE"""),"Will NOT work for them")</f>
        <v>Will NOT work for them</v>
      </c>
      <c r="J593" s="1">
        <f ca="1">IFERROR(__xludf.DUMMYFUNCTION("""COMPUTED_VALUE"""),1)</f>
        <v>1</v>
      </c>
      <c r="K593" s="1" t="str">
        <f ca="1">IFERROR(__xludf.DUMMYFUNCTION("""COMPUTED_VALUE"""),"Hybrid Working Environment with less than 3 days a month at office")</f>
        <v>Hybrid Working Environment with less than 3 days a month at office</v>
      </c>
      <c r="L5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9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93" s="1" t="str">
        <f ca="1">IFERROR(__xludf.DUMMYFUNCTION("""COMPUTED_VALUE"""),"Design and Creative strategy in any company, Work as a freelancer and do my thing my way, Become a content Creator in some platform, I Want to sell things/Sales")</f>
        <v>Design and Creative strategy in any company, Work as a freelancer and do my thing my way, Become a content Creator in some platform, I Want to sell things/Sales</v>
      </c>
      <c r="O593" s="1" t="str">
        <f ca="1">IFERROR(__xludf.DUMMYFUNCTION("""COMPUTED_VALUE"""),"Manager who explains what is expected, sets a goal and helps achieve it")</f>
        <v>Manager who explains what is expected, sets a goal and helps achieve it</v>
      </c>
      <c r="P593" s="1" t="str">
        <f ca="1">IFERROR(__xludf.DUMMYFUNCTION("""COMPUTED_VALUE"""),"Work with 2 to 3 people in my team")</f>
        <v>Work with 2 to 3 people in my team</v>
      </c>
      <c r="Q593" s="1" t="str">
        <f ca="1">IFERROR(__xludf.DUMMYFUNCTION("""COMPUTED_VALUE"""),"Yes, I Understand this is gonna happen everywhere")</f>
        <v>Yes, I Understand this is gonna happen everywhere</v>
      </c>
      <c r="R593" s="1" t="str">
        <f ca="1">IFERROR(__xludf.DUMMYFUNCTION("""COMPUTED_VALUE"""),"This will be hard to do, but if it is the right company I would try")</f>
        <v>This will be hard to do, but if it is the right company I would try</v>
      </c>
      <c r="S593" s="1"/>
    </row>
    <row r="594" spans="1:19" ht="12.5" x14ac:dyDescent="0.25">
      <c r="A594" s="2">
        <f ca="1">IFERROR(__xludf.DUMMYFUNCTION("""COMPUTED_VALUE"""),45021.7427980671)</f>
        <v>45021.742798067098</v>
      </c>
      <c r="B594" s="1" t="str">
        <f ca="1">IFERROR(__xludf.DUMMYFUNCTION("""COMPUTED_VALUE"""),"India")</f>
        <v>India</v>
      </c>
      <c r="C594" s="1">
        <f ca="1">IFERROR(__xludf.DUMMYFUNCTION("""COMPUTED_VALUE"""),793002)</f>
        <v>793002</v>
      </c>
      <c r="D594" s="1" t="str">
        <f ca="1">IFERROR(__xludf.DUMMYFUNCTION("""COMPUTED_VALUE"""),"Male")</f>
        <v>Male</v>
      </c>
      <c r="E594" s="1" t="str">
        <f ca="1">IFERROR(__xludf.DUMMYFUNCTION("""COMPUTED_VALUE"""),"People from my circle, but not family members")</f>
        <v>People from my circle, but not family members</v>
      </c>
      <c r="F594" s="1" t="str">
        <f ca="1">IFERROR(__xludf.DUMMYFUNCTION("""COMPUTED_VALUE"""),"No I would not be pursuing Higher Education outside of India")</f>
        <v>No I would not be pursuing Higher Education outside of India</v>
      </c>
      <c r="G594" s="1" t="str">
        <f ca="1">IFERROR(__xludf.DUMMYFUNCTION("""COMPUTED_VALUE"""),"This will be hard to do, but if it is the right company I would try")</f>
        <v>This will be hard to do, but if it is the right company I would try</v>
      </c>
      <c r="H594" s="1" t="str">
        <f ca="1">IFERROR(__xludf.DUMMYFUNCTION("""COMPUTED_VALUE"""),"Yes")</f>
        <v>Yes</v>
      </c>
      <c r="I594" s="1" t="str">
        <f ca="1">IFERROR(__xludf.DUMMYFUNCTION("""COMPUTED_VALUE"""),"Will NOT work for them")</f>
        <v>Will NOT work for them</v>
      </c>
      <c r="J594" s="1">
        <f ca="1">IFERROR(__xludf.DUMMYFUNCTION("""COMPUTED_VALUE"""),4)</f>
        <v>4</v>
      </c>
      <c r="K594" s="1" t="str">
        <f ca="1">IFERROR(__xludf.DUMMYFUNCTION("""COMPUTED_VALUE"""),"Fully Remote with Options to travel as and when needed")</f>
        <v>Fully Remote with Options to travel as and when needed</v>
      </c>
      <c r="L5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9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94" s="1" t="str">
        <f ca="1">IFERROR(__xludf.DUMMYFUNCTION("""COMPUTED_VALUE"""),"Manage and drive End-to-End Projects or Products, Look deeply into Data and generate insights, Work as a freelancer and do my thing my way, Become a content Creator in some platform")</f>
        <v>Manage and drive End-to-End Projects or Products, Look deeply into Data and generate insights, Work as a freelancer and do my thing my way, Become a content Creator in some platform</v>
      </c>
      <c r="O594" s="1" t="str">
        <f ca="1">IFERROR(__xludf.DUMMYFUNCTION("""COMPUTED_VALUE"""),"Manager who explains what is expected, sets a goal and helps achieve it")</f>
        <v>Manager who explains what is expected, sets a goal and helps achieve it</v>
      </c>
      <c r="P59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594" s="1" t="str">
        <f ca="1">IFERROR(__xludf.DUMMYFUNCTION("""COMPUTED_VALUE"""),"No")</f>
        <v>No</v>
      </c>
      <c r="R594" s="1" t="str">
        <f ca="1">IFERROR(__xludf.DUMMYFUNCTION("""COMPUTED_VALUE"""),"No way")</f>
        <v>No way</v>
      </c>
      <c r="S594" s="1"/>
    </row>
    <row r="595" spans="1:19" ht="12.5" x14ac:dyDescent="0.25">
      <c r="A595" s="2">
        <f ca="1">IFERROR(__xludf.DUMMYFUNCTION("""COMPUTED_VALUE"""),45021.745111493)</f>
        <v>45021.745111493001</v>
      </c>
      <c r="B595" s="1" t="str">
        <f ca="1">IFERROR(__xludf.DUMMYFUNCTION("""COMPUTED_VALUE"""),"India")</f>
        <v>India</v>
      </c>
      <c r="C595" s="1">
        <f ca="1">IFERROR(__xludf.DUMMYFUNCTION("""COMPUTED_VALUE"""),122022)</f>
        <v>122022</v>
      </c>
      <c r="D595" s="1" t="str">
        <f ca="1">IFERROR(__xludf.DUMMYFUNCTION("""COMPUTED_VALUE"""),"Male")</f>
        <v>Male</v>
      </c>
      <c r="E595" s="1" t="str">
        <f ca="1">IFERROR(__xludf.DUMMYFUNCTION("""COMPUTED_VALUE"""),"People from my circle, but not family members")</f>
        <v>People from my circle, but not family members</v>
      </c>
      <c r="F595" s="1" t="str">
        <f ca="1">IFERROR(__xludf.DUMMYFUNCTION("""COMPUTED_VALUE"""),"No I would not be pursuing Higher Education outside of India")</f>
        <v>No I would not be pursuing Higher Education outside of India</v>
      </c>
      <c r="G595" s="1" t="str">
        <f ca="1">IFERROR(__xludf.DUMMYFUNCTION("""COMPUTED_VALUE"""),"Will work for 3 years or more")</f>
        <v>Will work for 3 years or more</v>
      </c>
      <c r="H595" s="1" t="str">
        <f ca="1">IFERROR(__xludf.DUMMYFUNCTION("""COMPUTED_VALUE"""),"No")</f>
        <v>No</v>
      </c>
      <c r="I595" s="1" t="str">
        <f ca="1">IFERROR(__xludf.DUMMYFUNCTION("""COMPUTED_VALUE"""),"Will NOT work for them")</f>
        <v>Will NOT work for them</v>
      </c>
      <c r="J595" s="1">
        <f ca="1">IFERROR(__xludf.DUMMYFUNCTION("""COMPUTED_VALUE"""),10)</f>
        <v>10</v>
      </c>
      <c r="K595" s="1" t="str">
        <f ca="1">IFERROR(__xludf.DUMMYFUNCTION("""COMPUTED_VALUE"""),"Hybrid Working Environment with less than 3 days a month at office")</f>
        <v>Hybrid Working Environment with less than 3 days a month at office</v>
      </c>
      <c r="L5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9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595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595" s="1" t="str">
        <f ca="1">IFERROR(__xludf.DUMMYFUNCTION("""COMPUTED_VALUE"""),"Manager who clearly describes what she/he needs")</f>
        <v>Manager who clearly describes what she/he needs</v>
      </c>
      <c r="P595" s="1" t="str">
        <f ca="1">IFERROR(__xludf.DUMMYFUNCTION("""COMPUTED_VALUE"""),"Work with more than 10 people in my team")</f>
        <v>Work with more than 10 people in my team</v>
      </c>
      <c r="Q595" s="1" t="str">
        <f ca="1">IFERROR(__xludf.DUMMYFUNCTION("""COMPUTED_VALUE"""),"No")</f>
        <v>No</v>
      </c>
      <c r="R595" s="1" t="str">
        <f ca="1">IFERROR(__xludf.DUMMYFUNCTION("""COMPUTED_VALUE"""),"This will be hard to do, but if it is the right company I would try")</f>
        <v>This will be hard to do, but if it is the right company I would try</v>
      </c>
      <c r="S595" s="1"/>
    </row>
    <row r="596" spans="1:19" ht="12.5" x14ac:dyDescent="0.25">
      <c r="A596" s="2">
        <f ca="1">IFERROR(__xludf.DUMMYFUNCTION("""COMPUTED_VALUE"""),45021.7468318865)</f>
        <v>45021.746831886499</v>
      </c>
      <c r="B596" s="1" t="str">
        <f ca="1">IFERROR(__xludf.DUMMYFUNCTION("""COMPUTED_VALUE"""),"India")</f>
        <v>India</v>
      </c>
      <c r="C596" s="1">
        <f ca="1">IFERROR(__xludf.DUMMYFUNCTION("""COMPUTED_VALUE"""),110059)</f>
        <v>110059</v>
      </c>
      <c r="D596" s="1" t="str">
        <f ca="1">IFERROR(__xludf.DUMMYFUNCTION("""COMPUTED_VALUE"""),"Male")</f>
        <v>Male</v>
      </c>
      <c r="E596" s="1" t="str">
        <f ca="1">IFERROR(__xludf.DUMMYFUNCTION("""COMPUTED_VALUE"""),"People who have changed the world for better")</f>
        <v>People who have changed the world for better</v>
      </c>
      <c r="F596" s="1" t="str">
        <f ca="1">IFERROR(__xludf.DUMMYFUNCTION("""COMPUTED_VALUE"""),"No I would not be pursuing Higher Education outside of India")</f>
        <v>No I would not be pursuing Higher Education outside of India</v>
      </c>
      <c r="G596" s="1" t="str">
        <f ca="1">IFERROR(__xludf.DUMMYFUNCTION("""COMPUTED_VALUE"""),"This will be hard to do, but if it is the right company I would try")</f>
        <v>This will be hard to do, but if it is the right company I would try</v>
      </c>
      <c r="H596" s="1" t="str">
        <f ca="1">IFERROR(__xludf.DUMMYFUNCTION("""COMPUTED_VALUE"""),"No")</f>
        <v>No</v>
      </c>
      <c r="I596" s="1" t="str">
        <f ca="1">IFERROR(__xludf.DUMMYFUNCTION("""COMPUTED_VALUE"""),"Will NOT work for them")</f>
        <v>Will NOT work for them</v>
      </c>
      <c r="J596" s="1">
        <f ca="1">IFERROR(__xludf.DUMMYFUNCTION("""COMPUTED_VALUE"""),2)</f>
        <v>2</v>
      </c>
      <c r="K596" s="1" t="str">
        <f ca="1">IFERROR(__xludf.DUMMYFUNCTION("""COMPUTED_VALUE"""),"Fully Remote with Options to travel as and when needed")</f>
        <v>Fully Remote with Options to travel as and when needed</v>
      </c>
      <c r="L5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9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596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596" s="1" t="str">
        <f ca="1">IFERROR(__xludf.DUMMYFUNCTION("""COMPUTED_VALUE"""),"Manager who explains what is expected, sets a goal and helps achieve it")</f>
        <v>Manager who explains what is expected, sets a goal and helps achieve it</v>
      </c>
      <c r="P596" s="1" t="str">
        <f ca="1">IFERROR(__xludf.DUMMYFUNCTION("""COMPUTED_VALUE"""),"Work with 5 to 6 people in my team")</f>
        <v>Work with 5 to 6 people in my team</v>
      </c>
      <c r="Q596" s="1" t="str">
        <f ca="1">IFERROR(__xludf.DUMMYFUNCTION("""COMPUTED_VALUE"""),"Yes, I Understand this is gonna happen everywhere")</f>
        <v>Yes, I Understand this is gonna happen everywhere</v>
      </c>
      <c r="R596" s="1" t="str">
        <f ca="1">IFERROR(__xludf.DUMMYFUNCTION("""COMPUTED_VALUE"""),"No way")</f>
        <v>No way</v>
      </c>
      <c r="S596" s="1"/>
    </row>
    <row r="597" spans="1:19" ht="12.5" x14ac:dyDescent="0.25">
      <c r="A597" s="2">
        <f ca="1">IFERROR(__xludf.DUMMYFUNCTION("""COMPUTED_VALUE"""),45021.7473158912)</f>
        <v>45021.747315891203</v>
      </c>
      <c r="B597" s="1" t="str">
        <f ca="1">IFERROR(__xludf.DUMMYFUNCTION("""COMPUTED_VALUE"""),"India")</f>
        <v>India</v>
      </c>
      <c r="C597" s="1">
        <f ca="1">IFERROR(__xludf.DUMMYFUNCTION("""COMPUTED_VALUE"""),620002)</f>
        <v>620002</v>
      </c>
      <c r="D597" s="1" t="str">
        <f ca="1">IFERROR(__xludf.DUMMYFUNCTION("""COMPUTED_VALUE"""),"Male")</f>
        <v>Male</v>
      </c>
      <c r="E597" s="1" t="str">
        <f ca="1">IFERROR(__xludf.DUMMYFUNCTION("""COMPUTED_VALUE"""),"Influencers who had successful careers")</f>
        <v>Influencers who had successful careers</v>
      </c>
      <c r="F597" s="1" t="str">
        <f ca="1">IFERROR(__xludf.DUMMYFUNCTION("""COMPUTED_VALUE"""),"No I would not be pursuing Higher Education outside of India")</f>
        <v>No I would not be pursuing Higher Education outside of India</v>
      </c>
      <c r="G597" s="1" t="str">
        <f ca="1">IFERROR(__xludf.DUMMYFUNCTION("""COMPUTED_VALUE"""),"This will be hard to do, but if it is the right company I would try")</f>
        <v>This will be hard to do, but if it is the right company I would try</v>
      </c>
      <c r="H597" s="1" t="str">
        <f ca="1">IFERROR(__xludf.DUMMYFUNCTION("""COMPUTED_VALUE"""),"Yes")</f>
        <v>Yes</v>
      </c>
      <c r="I597" s="1" t="str">
        <f ca="1">IFERROR(__xludf.DUMMYFUNCTION("""COMPUTED_VALUE"""),"Will NOT work for them")</f>
        <v>Will NOT work for them</v>
      </c>
      <c r="J597" s="1">
        <f ca="1">IFERROR(__xludf.DUMMYFUNCTION("""COMPUTED_VALUE"""),5)</f>
        <v>5</v>
      </c>
      <c r="K597" s="1" t="str">
        <f ca="1">IFERROR(__xludf.DUMMYFUNCTION("""COMPUTED_VALUE"""),"Hybrid Working Environment with less than 3 days a month at office")</f>
        <v>Hybrid Working Environment with less than 3 days a month at office</v>
      </c>
      <c r="L5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9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97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597" s="1" t="str">
        <f ca="1">IFERROR(__xludf.DUMMYFUNCTION("""COMPUTED_VALUE"""),"Manager who sets goal and helps me achieve it")</f>
        <v>Manager who sets goal and helps me achieve it</v>
      </c>
      <c r="P597" s="1" t="str">
        <f ca="1">IFERROR(__xludf.DUMMYFUNCTION("""COMPUTED_VALUE"""),"Work with 7 to 10 or more people in my team")</f>
        <v>Work with 7 to 10 or more people in my team</v>
      </c>
      <c r="Q597" s="1" t="str">
        <f ca="1">IFERROR(__xludf.DUMMYFUNCTION("""COMPUTED_VALUE"""),"Yes, I Understand this is gonna happen everywhere")</f>
        <v>Yes, I Understand this is gonna happen everywhere</v>
      </c>
      <c r="R597" s="1" t="str">
        <f ca="1">IFERROR(__xludf.DUMMYFUNCTION("""COMPUTED_VALUE"""),"This will be hard to do, but if it is the right company I would try")</f>
        <v>This will be hard to do, but if it is the right company I would try</v>
      </c>
      <c r="S597" s="1"/>
    </row>
    <row r="598" spans="1:19" ht="12.5" x14ac:dyDescent="0.25">
      <c r="A598" s="2">
        <f ca="1">IFERROR(__xludf.DUMMYFUNCTION("""COMPUTED_VALUE"""),45021.7484475347)</f>
        <v>45021.748447534701</v>
      </c>
      <c r="B598" s="1" t="str">
        <f ca="1">IFERROR(__xludf.DUMMYFUNCTION("""COMPUTED_VALUE"""),"India")</f>
        <v>India</v>
      </c>
      <c r="C598" s="1">
        <f ca="1">IFERROR(__xludf.DUMMYFUNCTION("""COMPUTED_VALUE"""),641028)</f>
        <v>641028</v>
      </c>
      <c r="D598" s="1" t="str">
        <f ca="1">IFERROR(__xludf.DUMMYFUNCTION("""COMPUTED_VALUE"""),"Male")</f>
        <v>Male</v>
      </c>
      <c r="E598" s="1" t="str">
        <f ca="1">IFERROR(__xludf.DUMMYFUNCTION("""COMPUTED_VALUE"""),"People from my circle, but not family members")</f>
        <v>People from my circle, but not family members</v>
      </c>
      <c r="F598" s="1" t="str">
        <f ca="1">IFERROR(__xludf.DUMMYFUNCTION("""COMPUTED_VALUE"""),"No I would not be pursuing Higher Education outside of India")</f>
        <v>No I would not be pursuing Higher Education outside of India</v>
      </c>
      <c r="G598" s="1" t="str">
        <f ca="1">IFERROR(__xludf.DUMMYFUNCTION("""COMPUTED_VALUE"""),"This will be hard to do, but if it is the right company I would try")</f>
        <v>This will be hard to do, but if it is the right company I would try</v>
      </c>
      <c r="H598" s="1" t="str">
        <f ca="1">IFERROR(__xludf.DUMMYFUNCTION("""COMPUTED_VALUE"""),"No")</f>
        <v>No</v>
      </c>
      <c r="I598" s="1" t="str">
        <f ca="1">IFERROR(__xludf.DUMMYFUNCTION("""COMPUTED_VALUE"""),"Will NOT work for them")</f>
        <v>Will NOT work for them</v>
      </c>
      <c r="J598" s="1">
        <f ca="1">IFERROR(__xludf.DUMMYFUNCTION("""COMPUTED_VALUE"""),3)</f>
        <v>3</v>
      </c>
      <c r="K598" s="1" t="str">
        <f ca="1">IFERROR(__xludf.DUMMYFUNCTION("""COMPUTED_VALUE"""),"Hybrid Working Environment with more than 15 days a month at office")</f>
        <v>Hybrid Working Environment with more than 15 days a month at office</v>
      </c>
      <c r="L5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59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598" s="1" t="str">
        <f ca="1">IFERROR(__xludf.DUMMYFUNCTION("""COMPUTED_VALUE"""),"Manage and drive End-to-End Projects or Products, Build and develop a Team, Work as a freelancer and do my thing my way, Entrepreneur or Start Up")</f>
        <v>Manage and drive End-to-End Projects or Products, Build and develop a Team, Work as a freelancer and do my thing my way, Entrepreneur or Start Up</v>
      </c>
      <c r="O598" s="1" t="str">
        <f ca="1">IFERROR(__xludf.DUMMYFUNCTION("""COMPUTED_VALUE"""),"Manager who clearly describes what she/he needs")</f>
        <v>Manager who clearly describes what she/he needs</v>
      </c>
      <c r="P598" s="1" t="str">
        <f ca="1">IFERROR(__xludf.DUMMYFUNCTION("""COMPUTED_VALUE"""),"Work with 7 to 10 or more people in my team")</f>
        <v>Work with 7 to 10 or more people in my team</v>
      </c>
      <c r="Q598" s="1" t="str">
        <f ca="1">IFERROR(__xludf.DUMMYFUNCTION("""COMPUTED_VALUE"""),"Yes, I Understand this is gonna happen everywhere")</f>
        <v>Yes, I Understand this is gonna happen everywhere</v>
      </c>
      <c r="R598" s="1" t="str">
        <f ca="1">IFERROR(__xludf.DUMMYFUNCTION("""COMPUTED_VALUE"""),"No way")</f>
        <v>No way</v>
      </c>
      <c r="S598" s="1"/>
    </row>
    <row r="599" spans="1:19" ht="12.5" x14ac:dyDescent="0.25">
      <c r="A599" s="2">
        <f ca="1">IFERROR(__xludf.DUMMYFUNCTION("""COMPUTED_VALUE"""),45021.7488695601)</f>
        <v>45021.748869560099</v>
      </c>
      <c r="B599" s="1" t="str">
        <f ca="1">IFERROR(__xludf.DUMMYFUNCTION("""COMPUTED_VALUE"""),"India")</f>
        <v>India</v>
      </c>
      <c r="C599" s="1">
        <f ca="1">IFERROR(__xludf.DUMMYFUNCTION("""COMPUTED_VALUE"""),632515)</f>
        <v>632515</v>
      </c>
      <c r="D599" s="1" t="str">
        <f ca="1">IFERROR(__xludf.DUMMYFUNCTION("""COMPUTED_VALUE"""),"Male")</f>
        <v>Male</v>
      </c>
      <c r="E599" s="1" t="str">
        <f ca="1">IFERROR(__xludf.DUMMYFUNCTION("""COMPUTED_VALUE"""),"My Parents")</f>
        <v>My Parents</v>
      </c>
      <c r="F599" s="1" t="str">
        <f ca="1">IFERROR(__xludf.DUMMYFUNCTION("""COMPUTED_VALUE"""),"Yes, I will earn and do that")</f>
        <v>Yes, I will earn and do that</v>
      </c>
      <c r="G599" s="1" t="str">
        <f ca="1">IFERROR(__xludf.DUMMYFUNCTION("""COMPUTED_VALUE"""),"No way")</f>
        <v>No way</v>
      </c>
      <c r="H599" s="1" t="str">
        <f ca="1">IFERROR(__xludf.DUMMYFUNCTION("""COMPUTED_VALUE"""),"No")</f>
        <v>No</v>
      </c>
      <c r="I599" s="1" t="str">
        <f ca="1">IFERROR(__xludf.DUMMYFUNCTION("""COMPUTED_VALUE"""),"Will NOT work for them")</f>
        <v>Will NOT work for them</v>
      </c>
      <c r="J599" s="1">
        <f ca="1">IFERROR(__xludf.DUMMYFUNCTION("""COMPUTED_VALUE"""),4)</f>
        <v>4</v>
      </c>
      <c r="K599" s="1" t="str">
        <f ca="1">IFERROR(__xludf.DUMMYFUNCTION("""COMPUTED_VALUE"""),"Hybrid Working Environment with less than 3 days a month at office")</f>
        <v>Hybrid Working Environment with less than 3 days a month at office</v>
      </c>
      <c r="L599" s="1" t="str">
        <f ca="1">IFERROR(__xludf.DUMMYFUNCTION("""COMPUTED_VALUE"""),"Employer who rewards learning and enables that environment")</f>
        <v>Employer who rewards learning and enables that environment</v>
      </c>
      <c r="M59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599" s="1" t="str">
        <f ca="1">IFERROR(__xludf.DUMMYFUNCTION("""COMPUTED_VALUE"""),"Design and Creative strategy in any company, Business Operations in any organization, Design and Develop amazing software, Become a content Creator in some platform")</f>
        <v>Design and Creative strategy in any company, Business Operations in any organization, Design and Develop amazing software, Become a content Creator in some platform</v>
      </c>
      <c r="O599" s="1" t="str">
        <f ca="1">IFERROR(__xludf.DUMMYFUNCTION("""COMPUTED_VALUE"""),"Manager who sets goal and helps me achieve it")</f>
        <v>Manager who sets goal and helps me achieve it</v>
      </c>
      <c r="P599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599" s="1" t="str">
        <f ca="1">IFERROR(__xludf.DUMMYFUNCTION("""COMPUTED_VALUE"""),"No")</f>
        <v>No</v>
      </c>
      <c r="R599" s="1" t="str">
        <f ca="1">IFERROR(__xludf.DUMMYFUNCTION("""COMPUTED_VALUE"""),"No way")</f>
        <v>No way</v>
      </c>
      <c r="S599" s="1"/>
    </row>
    <row r="600" spans="1:19" ht="12.5" x14ac:dyDescent="0.25">
      <c r="A600" s="2">
        <f ca="1">IFERROR(__xludf.DUMMYFUNCTION("""COMPUTED_VALUE"""),45021.752834375)</f>
        <v>45021.752834375002</v>
      </c>
      <c r="B600" s="1" t="str">
        <f ca="1">IFERROR(__xludf.DUMMYFUNCTION("""COMPUTED_VALUE"""),"India")</f>
        <v>India</v>
      </c>
      <c r="C600" s="1">
        <f ca="1">IFERROR(__xludf.DUMMYFUNCTION("""COMPUTED_VALUE"""),620017)</f>
        <v>620017</v>
      </c>
      <c r="D600" s="1" t="str">
        <f ca="1">IFERROR(__xludf.DUMMYFUNCTION("""COMPUTED_VALUE"""),"Female")</f>
        <v>Female</v>
      </c>
      <c r="E600" s="1" t="str">
        <f ca="1">IFERROR(__xludf.DUMMYFUNCTION("""COMPUTED_VALUE"""),"People who have changed the world for better")</f>
        <v>People who have changed the world for better</v>
      </c>
      <c r="F600" s="1" t="str">
        <f ca="1">IFERROR(__xludf.DUMMYFUNCTION("""COMPUTED_VALUE"""),"Yes, I will earn and do that")</f>
        <v>Yes, I will earn and do that</v>
      </c>
      <c r="G600" s="1" t="str">
        <f ca="1">IFERROR(__xludf.DUMMYFUNCTION("""COMPUTED_VALUE"""),"This will be hard to do, but if it is the right company I would try")</f>
        <v>This will be hard to do, but if it is the right company I would try</v>
      </c>
      <c r="H600" s="1" t="str">
        <f ca="1">IFERROR(__xludf.DUMMYFUNCTION("""COMPUTED_VALUE"""),"No")</f>
        <v>No</v>
      </c>
      <c r="I600" s="1" t="str">
        <f ca="1">IFERROR(__xludf.DUMMYFUNCTION("""COMPUTED_VALUE"""),"Will NOT work for them")</f>
        <v>Will NOT work for them</v>
      </c>
      <c r="J600" s="1">
        <f ca="1">IFERROR(__xludf.DUMMYFUNCTION("""COMPUTED_VALUE"""),6)</f>
        <v>6</v>
      </c>
      <c r="K600" s="1" t="str">
        <f ca="1">IFERROR(__xludf.DUMMYFUNCTION("""COMPUTED_VALUE"""),"Hybrid Working Environment with more than 15 days a month at office")</f>
        <v>Hybrid Working Environment with more than 15 days a month at office</v>
      </c>
      <c r="L600" s="1" t="str">
        <f ca="1">IFERROR(__xludf.DUMMYFUNCTION("""COMPUTED_VALUE"""),"Employer who appreciates learning and enables that environment")</f>
        <v>Employer who appreciates learning and enables that environment</v>
      </c>
      <c r="M60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00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600" s="1" t="str">
        <f ca="1">IFERROR(__xludf.DUMMYFUNCTION("""COMPUTED_VALUE"""),"Manager who sets targets and expects me to achieve it")</f>
        <v>Manager who sets targets and expects me to achieve it</v>
      </c>
      <c r="P60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600" s="1" t="str">
        <f ca="1">IFERROR(__xludf.DUMMYFUNCTION("""COMPUTED_VALUE"""),"Yes, I Understand this is gonna happen everywhere")</f>
        <v>Yes, I Understand this is gonna happen everywhere</v>
      </c>
      <c r="R600" s="1" t="str">
        <f ca="1">IFERROR(__xludf.DUMMYFUNCTION("""COMPUTED_VALUE"""),"This will be hard to do, but if it is the right company I would try")</f>
        <v>This will be hard to do, but if it is the right company I would try</v>
      </c>
      <c r="S600" s="1"/>
    </row>
    <row r="601" spans="1:19" ht="12.5" x14ac:dyDescent="0.25">
      <c r="A601" s="2">
        <f ca="1">IFERROR(__xludf.DUMMYFUNCTION("""COMPUTED_VALUE"""),45021.7534119097)</f>
        <v>45021.753411909704</v>
      </c>
      <c r="B601" s="1" t="str">
        <f ca="1">IFERROR(__xludf.DUMMYFUNCTION("""COMPUTED_VALUE"""),"India")</f>
        <v>India</v>
      </c>
      <c r="C601" s="1">
        <f ca="1">IFERROR(__xludf.DUMMYFUNCTION("""COMPUTED_VALUE"""),574106)</f>
        <v>574106</v>
      </c>
      <c r="D601" s="1" t="str">
        <f ca="1">IFERROR(__xludf.DUMMYFUNCTION("""COMPUTED_VALUE"""),"Female")</f>
        <v>Female</v>
      </c>
      <c r="E601" s="1" t="str">
        <f ca="1">IFERROR(__xludf.DUMMYFUNCTION("""COMPUTED_VALUE"""),"Social Media like LinkedIn")</f>
        <v>Social Media like LinkedIn</v>
      </c>
      <c r="F601" s="1" t="str">
        <f ca="1">IFERROR(__xludf.DUMMYFUNCTION("""COMPUTED_VALUE"""),"Yes, I will earn and do that")</f>
        <v>Yes, I will earn and do that</v>
      </c>
      <c r="G601" s="1" t="str">
        <f ca="1">IFERROR(__xludf.DUMMYFUNCTION("""COMPUTED_VALUE"""),"Will work for 3 years or more")</f>
        <v>Will work for 3 years or more</v>
      </c>
      <c r="H601" s="1" t="str">
        <f ca="1">IFERROR(__xludf.DUMMYFUNCTION("""COMPUTED_VALUE"""),"Yes")</f>
        <v>Yes</v>
      </c>
      <c r="I601" s="1" t="str">
        <f ca="1">IFERROR(__xludf.DUMMYFUNCTION("""COMPUTED_VALUE"""),"Will work for them")</f>
        <v>Will work for them</v>
      </c>
      <c r="J601" s="1">
        <f ca="1">IFERROR(__xludf.DUMMYFUNCTION("""COMPUTED_VALUE"""),7)</f>
        <v>7</v>
      </c>
      <c r="K601" s="1" t="str">
        <f ca="1">IFERROR(__xludf.DUMMYFUNCTION("""COMPUTED_VALUE"""),"Fully Remote with Options to travel as and when needed")</f>
        <v>Fully Remote with Options to travel as and when needed</v>
      </c>
      <c r="L6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0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601" s="1" t="str">
        <f ca="1">IFERROR(__xludf.DUMMYFUNCTION("""COMPUTED_VALUE"""),"Build and develop a Team, Work in a BPO setup for some well known client, Work as a freelancer and do my thing my way, An Artificial Intelligence Specialist / Talking to Robots")</f>
        <v>Build and develop a Team, Work in a BPO setup for some well known client, Work as a freelancer and do my thing my way, An Artificial Intelligence Specialist / Talking to Robots</v>
      </c>
      <c r="O601" s="1" t="str">
        <f ca="1">IFERROR(__xludf.DUMMYFUNCTION("""COMPUTED_VALUE"""),"Manager who explains what is expected, sets a goal and helps achieve it")</f>
        <v>Manager who explains what is expected, sets a goal and helps achieve it</v>
      </c>
      <c r="P601" s="1" t="str">
        <f ca="1">IFERROR(__xludf.DUMMYFUNCTION("""COMPUTED_VALUE"""),"Work with 2 to 3 people in my team")</f>
        <v>Work with 2 to 3 people in my team</v>
      </c>
      <c r="Q601" s="1" t="str">
        <f ca="1">IFERROR(__xludf.DUMMYFUNCTION("""COMPUTED_VALUE"""),"I have NO other choice")</f>
        <v>I have NO other choice</v>
      </c>
      <c r="R601" s="1" t="str">
        <f ca="1">IFERROR(__xludf.DUMMYFUNCTION("""COMPUTED_VALUE"""),"This will be hard to do, but if it is the right company I would try")</f>
        <v>This will be hard to do, but if it is the right company I would try</v>
      </c>
      <c r="S601" s="1"/>
    </row>
    <row r="602" spans="1:19" ht="12.5" x14ac:dyDescent="0.25">
      <c r="A602" s="2">
        <f ca="1">IFERROR(__xludf.DUMMYFUNCTION("""COMPUTED_VALUE"""),45021.7537363425)</f>
        <v>45021.7537363425</v>
      </c>
      <c r="B602" s="1" t="str">
        <f ca="1">IFERROR(__xludf.DUMMYFUNCTION("""COMPUTED_VALUE"""),"India")</f>
        <v>India</v>
      </c>
      <c r="C602" s="1">
        <f ca="1">IFERROR(__xludf.DUMMYFUNCTION("""COMPUTED_VALUE"""),752050)</f>
        <v>752050</v>
      </c>
      <c r="D602" s="1" t="str">
        <f ca="1">IFERROR(__xludf.DUMMYFUNCTION("""COMPUTED_VALUE"""),"Male")</f>
        <v>Male</v>
      </c>
      <c r="E602" s="1" t="str">
        <f ca="1">IFERROR(__xludf.DUMMYFUNCTION("""COMPUTED_VALUE"""),"People from my circle, but not family members")</f>
        <v>People from my circle, but not family members</v>
      </c>
      <c r="F602" s="1" t="str">
        <f ca="1">IFERROR(__xludf.DUMMYFUNCTION("""COMPUTED_VALUE"""),"No I would not be pursuing Higher Education outside of India")</f>
        <v>No I would not be pursuing Higher Education outside of India</v>
      </c>
      <c r="G602" s="1" t="str">
        <f ca="1">IFERROR(__xludf.DUMMYFUNCTION("""COMPUTED_VALUE"""),"This will be hard to do, but if it is the right company I would try")</f>
        <v>This will be hard to do, but if it is the right company I would try</v>
      </c>
      <c r="H602" s="1" t="str">
        <f ca="1">IFERROR(__xludf.DUMMYFUNCTION("""COMPUTED_VALUE"""),"No")</f>
        <v>No</v>
      </c>
      <c r="I602" s="1" t="str">
        <f ca="1">IFERROR(__xludf.DUMMYFUNCTION("""COMPUTED_VALUE"""),"Will NOT work for them")</f>
        <v>Will NOT work for them</v>
      </c>
      <c r="J602" s="1">
        <f ca="1">IFERROR(__xludf.DUMMYFUNCTION("""COMPUTED_VALUE"""),8)</f>
        <v>8</v>
      </c>
      <c r="K602" s="1" t="str">
        <f ca="1">IFERROR(__xludf.DUMMYFUNCTION("""COMPUTED_VALUE"""),"Fully Remote with Options to travel as and when needed")</f>
        <v>Fully Remote with Options to travel as and when needed</v>
      </c>
      <c r="L602" s="1" t="str">
        <f ca="1">IFERROR(__xludf.DUMMYFUNCTION("""COMPUTED_VALUE"""),"Employer who rewards learning and enables that environment")</f>
        <v>Employer who rewards learning and enables that environment</v>
      </c>
      <c r="M60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02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602" s="1" t="str">
        <f ca="1">IFERROR(__xludf.DUMMYFUNCTION("""COMPUTED_VALUE"""),"Manager who sets targets and expects me to achieve it")</f>
        <v>Manager who sets targets and expects me to achieve it</v>
      </c>
      <c r="P602" s="1" t="str">
        <f ca="1">IFERROR(__xludf.DUMMYFUNCTION("""COMPUTED_VALUE"""),"Work with 5 to 6 people in my team")</f>
        <v>Work with 5 to 6 people in my team</v>
      </c>
      <c r="Q602" s="1" t="str">
        <f ca="1">IFERROR(__xludf.DUMMYFUNCTION("""COMPUTED_VALUE"""),"Yes, I Understand this is gonna happen everywhere")</f>
        <v>Yes, I Understand this is gonna happen everywhere</v>
      </c>
      <c r="R602" s="1" t="str">
        <f ca="1">IFERROR(__xludf.DUMMYFUNCTION("""COMPUTED_VALUE"""),"This will be hard to do, but if it is the right company I would try")</f>
        <v>This will be hard to do, but if it is the right company I would try</v>
      </c>
      <c r="S602" s="1"/>
    </row>
    <row r="603" spans="1:19" ht="12.5" x14ac:dyDescent="0.25">
      <c r="A603" s="2">
        <f ca="1">IFERROR(__xludf.DUMMYFUNCTION("""COMPUTED_VALUE"""),45021.755916655)</f>
        <v>45021.755916654998</v>
      </c>
      <c r="B603" s="1" t="str">
        <f ca="1">IFERROR(__xludf.DUMMYFUNCTION("""COMPUTED_VALUE"""),"India")</f>
        <v>India</v>
      </c>
      <c r="C603" s="1">
        <f ca="1">IFERROR(__xludf.DUMMYFUNCTION("""COMPUTED_VALUE"""),781015)</f>
        <v>781015</v>
      </c>
      <c r="D603" s="1" t="str">
        <f ca="1">IFERROR(__xludf.DUMMYFUNCTION("""COMPUTED_VALUE"""),"Male")</f>
        <v>Male</v>
      </c>
      <c r="E603" s="1" t="str">
        <f ca="1">IFERROR(__xludf.DUMMYFUNCTION("""COMPUTED_VALUE"""),"My Parents")</f>
        <v>My Parents</v>
      </c>
      <c r="F603" s="1" t="str">
        <f ca="1">IFERROR(__xludf.DUMMYFUNCTION("""COMPUTED_VALUE"""),"Yes, I will earn and do that")</f>
        <v>Yes, I will earn and do that</v>
      </c>
      <c r="G603" s="1" t="str">
        <f ca="1">IFERROR(__xludf.DUMMYFUNCTION("""COMPUTED_VALUE"""),"Will work for 3 years or more")</f>
        <v>Will work for 3 years or more</v>
      </c>
      <c r="H603" s="1" t="str">
        <f ca="1">IFERROR(__xludf.DUMMYFUNCTION("""COMPUTED_VALUE"""),"Yes")</f>
        <v>Yes</v>
      </c>
      <c r="I603" s="1" t="str">
        <f ca="1">IFERROR(__xludf.DUMMYFUNCTION("""COMPUTED_VALUE"""),"Will work for them")</f>
        <v>Will work for them</v>
      </c>
      <c r="J603" s="1">
        <f ca="1">IFERROR(__xludf.DUMMYFUNCTION("""COMPUTED_VALUE"""),1)</f>
        <v>1</v>
      </c>
      <c r="K603" s="1" t="str">
        <f ca="1">IFERROR(__xludf.DUMMYFUNCTION("""COMPUTED_VALUE"""),"Every Day Office Environment")</f>
        <v>Every Day Office Environment</v>
      </c>
      <c r="L603" s="1" t="str">
        <f ca="1">IFERROR(__xludf.DUMMYFUNCTION("""COMPUTED_VALUE"""),"Employer who appreciates learning and enables that environment")</f>
        <v>Employer who appreciates learning and enables that environment</v>
      </c>
      <c r="M603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603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603" s="1" t="str">
        <f ca="1">IFERROR(__xludf.DUMMYFUNCTION("""COMPUTED_VALUE"""),"Manager who sets targets and expects me to achieve it")</f>
        <v>Manager who sets targets and expects me to achieve it</v>
      </c>
      <c r="P603" s="1" t="str">
        <f ca="1">IFERROR(__xludf.DUMMYFUNCTION("""COMPUTED_VALUE"""),"Work with 7 to 10 or more people in my team")</f>
        <v>Work with 7 to 10 or more people in my team</v>
      </c>
      <c r="Q603" s="1" t="str">
        <f ca="1">IFERROR(__xludf.DUMMYFUNCTION("""COMPUTED_VALUE"""),"Yes")</f>
        <v>Yes</v>
      </c>
      <c r="R603" s="1" t="str">
        <f ca="1">IFERROR(__xludf.DUMMYFUNCTION("""COMPUTED_VALUE"""),"Will work for 7 years or more")</f>
        <v>Will work for 7 years or more</v>
      </c>
      <c r="S603" s="1"/>
    </row>
    <row r="604" spans="1:19" ht="12.5" x14ac:dyDescent="0.25">
      <c r="A604" s="2">
        <f ca="1">IFERROR(__xludf.DUMMYFUNCTION("""COMPUTED_VALUE"""),45021.7694280092)</f>
        <v>45021.769428009196</v>
      </c>
      <c r="B604" s="1" t="str">
        <f ca="1">IFERROR(__xludf.DUMMYFUNCTION("""COMPUTED_VALUE"""),"India")</f>
        <v>India</v>
      </c>
      <c r="C604" s="1">
        <f ca="1">IFERROR(__xludf.DUMMYFUNCTION("""COMPUTED_VALUE"""),380008)</f>
        <v>380008</v>
      </c>
      <c r="D604" s="1" t="str">
        <f ca="1">IFERROR(__xludf.DUMMYFUNCTION("""COMPUTED_VALUE"""),"Male")</f>
        <v>Male</v>
      </c>
      <c r="E604" s="1" t="str">
        <f ca="1">IFERROR(__xludf.DUMMYFUNCTION("""COMPUTED_VALUE"""),"Influencers who had successful careers")</f>
        <v>Influencers who had successful careers</v>
      </c>
      <c r="F604" s="1" t="str">
        <f ca="1">IFERROR(__xludf.DUMMYFUNCTION("""COMPUTED_VALUE"""),"Yes, I will earn and do that")</f>
        <v>Yes, I will earn and do that</v>
      </c>
      <c r="G604" s="1" t="str">
        <f ca="1">IFERROR(__xludf.DUMMYFUNCTION("""COMPUTED_VALUE"""),"Will work for 3 years or more")</f>
        <v>Will work for 3 years or more</v>
      </c>
      <c r="H604" s="1" t="str">
        <f ca="1">IFERROR(__xludf.DUMMYFUNCTION("""COMPUTED_VALUE"""),"No")</f>
        <v>No</v>
      </c>
      <c r="I604" s="1" t="str">
        <f ca="1">IFERROR(__xludf.DUMMYFUNCTION("""COMPUTED_VALUE"""),"Will NOT work for them")</f>
        <v>Will NOT work for them</v>
      </c>
      <c r="J604" s="1">
        <f ca="1">IFERROR(__xludf.DUMMYFUNCTION("""COMPUTED_VALUE"""),6)</f>
        <v>6</v>
      </c>
      <c r="K604" s="1" t="str">
        <f ca="1">IFERROR(__xludf.DUMMYFUNCTION("""COMPUTED_VALUE"""),"Hybrid Working Environment with less than 3 days a month at office")</f>
        <v>Hybrid Working Environment with less than 3 days a month at office</v>
      </c>
      <c r="L6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0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604" s="1" t="str">
        <f ca="1">IFERROR(__xludf.DUMMYFUNCTION("""COMPUTED_VALUE"""),"Business Operations in any organization, Look deeply into Data and generate insights, An Artificial Intelligence Specialist / Talking to Robots, Manufacturing / Oil and Gas/ Construction / Hard Physical Work related")</f>
        <v>Business Operations in any organization, Look deeply into Data and generate insights, An Artificial Intelligence Specialist / Talking to Robots, Manufacturing / Oil and Gas/ Construction / Hard Physical Work related</v>
      </c>
      <c r="O604" s="1" t="str">
        <f ca="1">IFERROR(__xludf.DUMMYFUNCTION("""COMPUTED_VALUE"""),"Manager who sets goal and helps me achieve it")</f>
        <v>Manager who sets goal and helps me achieve it</v>
      </c>
      <c r="P604" s="1" t="str">
        <f ca="1">IFERROR(__xludf.DUMMYFUNCTION("""COMPUTED_VALUE"""),"Work with 2 to 3 people in my team")</f>
        <v>Work with 2 to 3 people in my team</v>
      </c>
      <c r="Q604" s="1" t="str">
        <f ca="1">IFERROR(__xludf.DUMMYFUNCTION("""COMPUTED_VALUE"""),"Yes, I Understand this is gonna happen everywhere")</f>
        <v>Yes, I Understand this is gonna happen everywhere</v>
      </c>
      <c r="R604" s="1" t="str">
        <f ca="1">IFERROR(__xludf.DUMMYFUNCTION("""COMPUTED_VALUE"""),"This will be hard to do, but if it is the right company I would try")</f>
        <v>This will be hard to do, but if it is the right company I would try</v>
      </c>
      <c r="S604" s="1"/>
    </row>
    <row r="605" spans="1:19" ht="12.5" x14ac:dyDescent="0.25">
      <c r="A605" s="2">
        <f ca="1">IFERROR(__xludf.DUMMYFUNCTION("""COMPUTED_VALUE"""),45021.7727641435)</f>
        <v>45021.772764143498</v>
      </c>
      <c r="B605" s="1" t="str">
        <f ca="1">IFERROR(__xludf.DUMMYFUNCTION("""COMPUTED_VALUE"""),"India")</f>
        <v>India</v>
      </c>
      <c r="C605" s="1">
        <f ca="1">IFERROR(__xludf.DUMMYFUNCTION("""COMPUTED_VALUE"""),600073)</f>
        <v>600073</v>
      </c>
      <c r="D605" s="1" t="str">
        <f ca="1">IFERROR(__xludf.DUMMYFUNCTION("""COMPUTED_VALUE"""),"Male")</f>
        <v>Male</v>
      </c>
      <c r="E605" s="1" t="str">
        <f ca="1">IFERROR(__xludf.DUMMYFUNCTION("""COMPUTED_VALUE"""),"People who have changed the world for better")</f>
        <v>People who have changed the world for better</v>
      </c>
      <c r="F605" s="1" t="str">
        <f ca="1">IFERROR(__xludf.DUMMYFUNCTION("""COMPUTED_VALUE"""),"No, But if someone could bare the cost I will")</f>
        <v>No, But if someone could bare the cost I will</v>
      </c>
      <c r="G605" s="1" t="str">
        <f ca="1">IFERROR(__xludf.DUMMYFUNCTION("""COMPUTED_VALUE"""),"This will be hard to do, but if it is the right company I would try")</f>
        <v>This will be hard to do, but if it is the right company I would try</v>
      </c>
      <c r="H605" s="1" t="str">
        <f ca="1">IFERROR(__xludf.DUMMYFUNCTION("""COMPUTED_VALUE"""),"No")</f>
        <v>No</v>
      </c>
      <c r="I605" s="1" t="str">
        <f ca="1">IFERROR(__xludf.DUMMYFUNCTION("""COMPUTED_VALUE"""),"Will NOT work for them")</f>
        <v>Will NOT work for them</v>
      </c>
      <c r="J605" s="1">
        <f ca="1">IFERROR(__xludf.DUMMYFUNCTION("""COMPUTED_VALUE"""),3)</f>
        <v>3</v>
      </c>
      <c r="K605" s="1" t="str">
        <f ca="1">IFERROR(__xludf.DUMMYFUNCTION("""COMPUTED_VALUE"""),"Fully Remote with Options to travel as and when needed")</f>
        <v>Fully Remote with Options to travel as and when needed</v>
      </c>
      <c r="L605" s="1" t="str">
        <f ca="1">IFERROR(__xludf.DUMMYFUNCTION("""COMPUTED_VALUE"""),"Employer who rewards learning and enables that environment")</f>
        <v>Employer who rewards learning and enables that environment</v>
      </c>
      <c r="M60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605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605" s="1" t="str">
        <f ca="1">IFERROR(__xludf.DUMMYFUNCTION("""COMPUTED_VALUE"""),"Manager who sets goal and helps me achieve it")</f>
        <v>Manager who sets goal and helps me achieve it</v>
      </c>
      <c r="P605" s="1" t="str">
        <f ca="1">IFERROR(__xludf.DUMMYFUNCTION("""COMPUTED_VALUE"""),"Work with 7 to 10 or more people in my team")</f>
        <v>Work with 7 to 10 or more people in my team</v>
      </c>
      <c r="Q605" s="1" t="str">
        <f ca="1">IFERROR(__xludf.DUMMYFUNCTION("""COMPUTED_VALUE"""),"Yes, I Understand this is gonna happen everywhere")</f>
        <v>Yes, I Understand this is gonna happen everywhere</v>
      </c>
      <c r="R605" s="1" t="str">
        <f ca="1">IFERROR(__xludf.DUMMYFUNCTION("""COMPUTED_VALUE"""),"This will be hard to do, but if it is the right company I would try")</f>
        <v>This will be hard to do, but if it is the right company I would try</v>
      </c>
      <c r="S605" s="1"/>
    </row>
    <row r="606" spans="1:19" ht="12.5" x14ac:dyDescent="0.25">
      <c r="A606" s="2">
        <f ca="1">IFERROR(__xludf.DUMMYFUNCTION("""COMPUTED_VALUE"""),45021.7807502546)</f>
        <v>45021.780750254598</v>
      </c>
      <c r="B606" s="1" t="str">
        <f ca="1">IFERROR(__xludf.DUMMYFUNCTION("""COMPUTED_VALUE"""),"India")</f>
        <v>India</v>
      </c>
      <c r="C606" s="1">
        <f ca="1">IFERROR(__xludf.DUMMYFUNCTION("""COMPUTED_VALUE"""),620001)</f>
        <v>620001</v>
      </c>
      <c r="D606" s="1" t="str">
        <f ca="1">IFERROR(__xludf.DUMMYFUNCTION("""COMPUTED_VALUE"""),"Male")</f>
        <v>Male</v>
      </c>
      <c r="E606" s="1" t="str">
        <f ca="1">IFERROR(__xludf.DUMMYFUNCTION("""COMPUTED_VALUE"""),"Influencers who had successful careers")</f>
        <v>Influencers who had successful careers</v>
      </c>
      <c r="F606" s="1" t="str">
        <f ca="1">IFERROR(__xludf.DUMMYFUNCTION("""COMPUTED_VALUE"""),"Yes, I will earn and do that")</f>
        <v>Yes, I will earn and do that</v>
      </c>
      <c r="G606" s="1" t="str">
        <f ca="1">IFERROR(__xludf.DUMMYFUNCTION("""COMPUTED_VALUE"""),"Will work for 3 years or more")</f>
        <v>Will work for 3 years or more</v>
      </c>
      <c r="H606" s="1" t="str">
        <f ca="1">IFERROR(__xludf.DUMMYFUNCTION("""COMPUTED_VALUE"""),"No")</f>
        <v>No</v>
      </c>
      <c r="I606" s="1" t="str">
        <f ca="1">IFERROR(__xludf.DUMMYFUNCTION("""COMPUTED_VALUE"""),"Will NOT work for them")</f>
        <v>Will NOT work for them</v>
      </c>
      <c r="J606" s="1">
        <f ca="1">IFERROR(__xludf.DUMMYFUNCTION("""COMPUTED_VALUE"""),10)</f>
        <v>10</v>
      </c>
      <c r="K606" s="1" t="str">
        <f ca="1">IFERROR(__xludf.DUMMYFUNCTION("""COMPUTED_VALUE"""),"Every Day Office Environment")</f>
        <v>Every Day Office Environment</v>
      </c>
      <c r="L606" s="1" t="str">
        <f ca="1">IFERROR(__xludf.DUMMYFUNCTION("""COMPUTED_VALUE"""),"Employer who appreciates learning and enables that environment")</f>
        <v>Employer who appreciates learning and enables that environment</v>
      </c>
      <c r="M60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06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606" s="1" t="str">
        <f ca="1">IFERROR(__xludf.DUMMYFUNCTION("""COMPUTED_VALUE"""),"Manager who clearly describes what she/he needs")</f>
        <v>Manager who clearly describes what she/he needs</v>
      </c>
      <c r="P606" s="1" t="str">
        <f ca="1">IFERROR(__xludf.DUMMYFUNCTION("""COMPUTED_VALUE"""),"Work with 5 to 6 people in my team")</f>
        <v>Work with 5 to 6 people in my team</v>
      </c>
      <c r="Q606" s="1" t="str">
        <f ca="1">IFERROR(__xludf.DUMMYFUNCTION("""COMPUTED_VALUE"""),"Yes, I Understand this is gonna happen everywhere")</f>
        <v>Yes, I Understand this is gonna happen everywhere</v>
      </c>
      <c r="R606" s="1" t="str">
        <f ca="1">IFERROR(__xludf.DUMMYFUNCTION("""COMPUTED_VALUE"""),"This will be hard to do, but if it is the right company I would try")</f>
        <v>This will be hard to do, but if it is the right company I would try</v>
      </c>
      <c r="S606" s="1"/>
    </row>
    <row r="607" spans="1:19" ht="12.5" x14ac:dyDescent="0.25">
      <c r="A607" s="2">
        <f ca="1">IFERROR(__xludf.DUMMYFUNCTION("""COMPUTED_VALUE"""),45021.7841285995)</f>
        <v>45021.784128599502</v>
      </c>
      <c r="B607" s="1" t="str">
        <f ca="1">IFERROR(__xludf.DUMMYFUNCTION("""COMPUTED_VALUE"""),"India")</f>
        <v>India</v>
      </c>
      <c r="C607" s="1">
        <f ca="1">IFERROR(__xludf.DUMMYFUNCTION("""COMPUTED_VALUE"""),401202)</f>
        <v>401202</v>
      </c>
      <c r="D607" s="1" t="str">
        <f ca="1">IFERROR(__xludf.DUMMYFUNCTION("""COMPUTED_VALUE"""),"Male")</f>
        <v>Male</v>
      </c>
      <c r="E607" s="1" t="str">
        <f ca="1">IFERROR(__xludf.DUMMYFUNCTION("""COMPUTED_VALUE"""),"Influencers who had successful careers")</f>
        <v>Influencers who had successful careers</v>
      </c>
      <c r="F607" s="1" t="str">
        <f ca="1">IFERROR(__xludf.DUMMYFUNCTION("""COMPUTED_VALUE"""),"Yes, I will earn and do that")</f>
        <v>Yes, I will earn and do that</v>
      </c>
      <c r="G607" s="1" t="str">
        <f ca="1">IFERROR(__xludf.DUMMYFUNCTION("""COMPUTED_VALUE"""),"This will be hard to do, but if it is the right company I would try")</f>
        <v>This will be hard to do, but if it is the right company I would try</v>
      </c>
      <c r="H607" s="1" t="str">
        <f ca="1">IFERROR(__xludf.DUMMYFUNCTION("""COMPUTED_VALUE"""),"Yes")</f>
        <v>Yes</v>
      </c>
      <c r="I607" s="1" t="str">
        <f ca="1">IFERROR(__xludf.DUMMYFUNCTION("""COMPUTED_VALUE"""),"Will work for them")</f>
        <v>Will work for them</v>
      </c>
      <c r="J607" s="1">
        <f ca="1">IFERROR(__xludf.DUMMYFUNCTION("""COMPUTED_VALUE"""),7)</f>
        <v>7</v>
      </c>
      <c r="K607" s="1" t="str">
        <f ca="1">IFERROR(__xludf.DUMMYFUNCTION("""COMPUTED_VALUE"""),"Every Day Office Environment")</f>
        <v>Every Day Office Environment</v>
      </c>
      <c r="L6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0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07" s="1" t="str">
        <f ca="1">IFERROR(__xludf.DUMMYFUNCTION("""COMPUTED_VALUE"""),"Teaching in any of the institutes/colleges/online or offline, Work as a freelancer and do my thing my way, An Artificial Intelligence Specialist / Talking to Robots, Manufacturing / Oil and Gas/ Construction / Hard Physical Work related")</f>
        <v>Teaching in any of the institutes/colleges/online or offline, Work as a freelancer and do my thing my way, An Artificial Intelligence Specialist / Talking to Robots, Manufacturing / Oil and Gas/ Construction / Hard Physical Work related</v>
      </c>
      <c r="O607" s="1" t="str">
        <f ca="1">IFERROR(__xludf.DUMMYFUNCTION("""COMPUTED_VALUE"""),"Manager who explains what is expected, sets a goal and helps achieve it")</f>
        <v>Manager who explains what is expected, sets a goal and helps achieve it</v>
      </c>
      <c r="P607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607" s="1" t="str">
        <f ca="1">IFERROR(__xludf.DUMMYFUNCTION("""COMPUTED_VALUE"""),"Yes, I Understand this is gonna happen everywhere")</f>
        <v>Yes, I Understand this is gonna happen everywhere</v>
      </c>
      <c r="R607" s="1" t="str">
        <f ca="1">IFERROR(__xludf.DUMMYFUNCTION("""COMPUTED_VALUE"""),"This will be hard to do, but if it is the right company I would try")</f>
        <v>This will be hard to do, but if it is the right company I would try</v>
      </c>
      <c r="S607" s="1"/>
    </row>
    <row r="608" spans="1:19" ht="12.5" x14ac:dyDescent="0.25">
      <c r="A608" s="2">
        <f ca="1">IFERROR(__xludf.DUMMYFUNCTION("""COMPUTED_VALUE"""),45021.7882577777)</f>
        <v>45021.788257777698</v>
      </c>
      <c r="B608" s="1" t="str">
        <f ca="1">IFERROR(__xludf.DUMMYFUNCTION("""COMPUTED_VALUE"""),"India")</f>
        <v>India</v>
      </c>
      <c r="C608" s="1">
        <f ca="1">IFERROR(__xludf.DUMMYFUNCTION("""COMPUTED_VALUE"""),620102)</f>
        <v>620102</v>
      </c>
      <c r="D608" s="1" t="str">
        <f ca="1">IFERROR(__xludf.DUMMYFUNCTION("""COMPUTED_VALUE"""),"Female")</f>
        <v>Female</v>
      </c>
      <c r="E608" s="1" t="str">
        <f ca="1">IFERROR(__xludf.DUMMYFUNCTION("""COMPUTED_VALUE"""),"My Parents")</f>
        <v>My Parents</v>
      </c>
      <c r="F608" s="1" t="str">
        <f ca="1">IFERROR(__xludf.DUMMYFUNCTION("""COMPUTED_VALUE"""),"Yes, I will earn and do that")</f>
        <v>Yes, I will earn and do that</v>
      </c>
      <c r="G608" s="1" t="str">
        <f ca="1">IFERROR(__xludf.DUMMYFUNCTION("""COMPUTED_VALUE"""),"This will be hard to do, but if it is the right company I would try")</f>
        <v>This will be hard to do, but if it is the right company I would try</v>
      </c>
      <c r="H608" s="1" t="str">
        <f ca="1">IFERROR(__xludf.DUMMYFUNCTION("""COMPUTED_VALUE"""),"No")</f>
        <v>No</v>
      </c>
      <c r="I608" s="1" t="str">
        <f ca="1">IFERROR(__xludf.DUMMYFUNCTION("""COMPUTED_VALUE"""),"Will NOT work for them")</f>
        <v>Will NOT work for them</v>
      </c>
      <c r="J608" s="1">
        <f ca="1">IFERROR(__xludf.DUMMYFUNCTION("""COMPUTED_VALUE"""),3)</f>
        <v>3</v>
      </c>
      <c r="K608" s="1" t="str">
        <f ca="1">IFERROR(__xludf.DUMMYFUNCTION("""COMPUTED_VALUE"""),"Every Day Office Environment")</f>
        <v>Every Day Office Environment</v>
      </c>
      <c r="L608" s="1" t="str">
        <f ca="1">IFERROR(__xludf.DUMMYFUNCTION("""COMPUTED_VALUE"""),"Employer who rewards learning and enables that environment")</f>
        <v>Employer who rewards learning and enables that environment</v>
      </c>
      <c r="M60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08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608" s="1" t="str">
        <f ca="1">IFERROR(__xludf.DUMMYFUNCTION("""COMPUTED_VALUE"""),"Manager who sets goal and helps me achieve it")</f>
        <v>Manager who sets goal and helps me achieve it</v>
      </c>
      <c r="P608" s="1" t="str">
        <f ca="1">IFERROR(__xludf.DUMMYFUNCTION("""COMPUTED_VALUE"""),"Work with 5 to 6 people in my team")</f>
        <v>Work with 5 to 6 people in my team</v>
      </c>
      <c r="Q608" s="1" t="str">
        <f ca="1">IFERROR(__xludf.DUMMYFUNCTION("""COMPUTED_VALUE"""),"No")</f>
        <v>No</v>
      </c>
      <c r="R608" s="1" t="str">
        <f ca="1">IFERROR(__xludf.DUMMYFUNCTION("""COMPUTED_VALUE"""),"This will be hard to do, but if it is the right company I would try")</f>
        <v>This will be hard to do, but if it is the right company I would try</v>
      </c>
      <c r="S608" s="1"/>
    </row>
    <row r="609" spans="1:19" ht="12.5" x14ac:dyDescent="0.25">
      <c r="A609" s="2">
        <f ca="1">IFERROR(__xludf.DUMMYFUNCTION("""COMPUTED_VALUE"""),45021.7921780439)</f>
        <v>45021.792178043899</v>
      </c>
      <c r="B609" s="1" t="str">
        <f ca="1">IFERROR(__xludf.DUMMYFUNCTION("""COMPUTED_VALUE"""),"India")</f>
        <v>India</v>
      </c>
      <c r="C609" s="1">
        <f ca="1">IFERROR(__xludf.DUMMYFUNCTION("""COMPUTED_VALUE"""),560037)</f>
        <v>560037</v>
      </c>
      <c r="D609" s="1" t="str">
        <f ca="1">IFERROR(__xludf.DUMMYFUNCTION("""COMPUTED_VALUE"""),"Male")</f>
        <v>Male</v>
      </c>
      <c r="E609" s="1" t="str">
        <f ca="1">IFERROR(__xludf.DUMMYFUNCTION("""COMPUTED_VALUE"""),"My Parents")</f>
        <v>My Parents</v>
      </c>
      <c r="F609" s="1" t="str">
        <f ca="1">IFERROR(__xludf.DUMMYFUNCTION("""COMPUTED_VALUE"""),"Yes, I will earn and do that")</f>
        <v>Yes, I will earn and do that</v>
      </c>
      <c r="G609" s="1" t="str">
        <f ca="1">IFERROR(__xludf.DUMMYFUNCTION("""COMPUTED_VALUE"""),"This will be hard to do, but if it is the right company I would try")</f>
        <v>This will be hard to do, but if it is the right company I would try</v>
      </c>
      <c r="H609" s="1" t="str">
        <f ca="1">IFERROR(__xludf.DUMMYFUNCTION("""COMPUTED_VALUE"""),"No")</f>
        <v>No</v>
      </c>
      <c r="I609" s="1" t="str">
        <f ca="1">IFERROR(__xludf.DUMMYFUNCTION("""COMPUTED_VALUE"""),"Will NOT work for them")</f>
        <v>Will NOT work for them</v>
      </c>
      <c r="J609" s="1">
        <f ca="1">IFERROR(__xludf.DUMMYFUNCTION("""COMPUTED_VALUE"""),1)</f>
        <v>1</v>
      </c>
      <c r="K609" s="1" t="str">
        <f ca="1">IFERROR(__xludf.DUMMYFUNCTION("""COMPUTED_VALUE"""),"Hybrid Working Environment with more than 15 days a month at office")</f>
        <v>Hybrid Working Environment with more than 15 days a month at office</v>
      </c>
      <c r="L609" s="1" t="str">
        <f ca="1">IFERROR(__xludf.DUMMYFUNCTION("""COMPUTED_VALUE"""),"Employer who appreciates learning and enables that environment")</f>
        <v>Employer who appreciates learning and enables that environment</v>
      </c>
      <c r="M60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609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609" s="1" t="str">
        <f ca="1">IFERROR(__xludf.DUMMYFUNCTION("""COMPUTED_VALUE"""),"Manager who clearly describes what she/he needs")</f>
        <v>Manager who clearly describes what she/he needs</v>
      </c>
      <c r="P609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609" s="1" t="str">
        <f ca="1">IFERROR(__xludf.DUMMYFUNCTION("""COMPUTED_VALUE"""),"Yes, I Understand this is gonna happen everywhere")</f>
        <v>Yes, I Understand this is gonna happen everywhere</v>
      </c>
      <c r="R609" s="1" t="str">
        <f ca="1">IFERROR(__xludf.DUMMYFUNCTION("""COMPUTED_VALUE"""),"This will be hard to do, but if it is the right company I would try")</f>
        <v>This will be hard to do, but if it is the right company I would try</v>
      </c>
      <c r="S609" s="1"/>
    </row>
    <row r="610" spans="1:19" ht="12.5" x14ac:dyDescent="0.25">
      <c r="A610" s="2">
        <f ca="1">IFERROR(__xludf.DUMMYFUNCTION("""COMPUTED_VALUE"""),45021.7929245601)</f>
        <v>45021.792924560097</v>
      </c>
      <c r="B610" s="1" t="str">
        <f ca="1">IFERROR(__xludf.DUMMYFUNCTION("""COMPUTED_VALUE"""),"India")</f>
        <v>India</v>
      </c>
      <c r="C610" s="1">
        <f ca="1">IFERROR(__xludf.DUMMYFUNCTION("""COMPUTED_VALUE"""),400053)</f>
        <v>400053</v>
      </c>
      <c r="D610" s="1" t="str">
        <f ca="1">IFERROR(__xludf.DUMMYFUNCTION("""COMPUTED_VALUE"""),"Female")</f>
        <v>Female</v>
      </c>
      <c r="E610" s="1" t="str">
        <f ca="1">IFERROR(__xludf.DUMMYFUNCTION("""COMPUTED_VALUE"""),"My Parents")</f>
        <v>My Parents</v>
      </c>
      <c r="F610" s="1" t="str">
        <f ca="1">IFERROR(__xludf.DUMMYFUNCTION("""COMPUTED_VALUE"""),"No I would not be pursuing Higher Education outside of India")</f>
        <v>No I would not be pursuing Higher Education outside of India</v>
      </c>
      <c r="G610" s="1" t="str">
        <f ca="1">IFERROR(__xludf.DUMMYFUNCTION("""COMPUTED_VALUE"""),"This will be hard to do, but if it is the right company I would try")</f>
        <v>This will be hard to do, but if it is the right company I would try</v>
      </c>
      <c r="H610" s="1" t="str">
        <f ca="1">IFERROR(__xludf.DUMMYFUNCTION("""COMPUTED_VALUE"""),"No")</f>
        <v>No</v>
      </c>
      <c r="I610" s="1" t="str">
        <f ca="1">IFERROR(__xludf.DUMMYFUNCTION("""COMPUTED_VALUE"""),"Will NOT work for them")</f>
        <v>Will NOT work for them</v>
      </c>
      <c r="J610" s="1">
        <f ca="1">IFERROR(__xludf.DUMMYFUNCTION("""COMPUTED_VALUE"""),3)</f>
        <v>3</v>
      </c>
      <c r="K610" s="1" t="str">
        <f ca="1">IFERROR(__xludf.DUMMYFUNCTION("""COMPUTED_VALUE"""),"Every Day Office Environment")</f>
        <v>Every Day Office Environment</v>
      </c>
      <c r="L610" s="1" t="str">
        <f ca="1">IFERROR(__xludf.DUMMYFUNCTION("""COMPUTED_VALUE"""),"Employer who appreciates learning and enables that environment")</f>
        <v>Employer who appreciates learning and enables that environment</v>
      </c>
      <c r="M61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610" s="1" t="str">
        <f ca="1">IFERROR(__xludf.DUMMYFUNCTION("""COMPUTED_VALUE"""),"Teaching in any of the institutes/colleges/online or offline, Design and Develop amazing software, Work as a freelancer and do my thing my way, An Artificial Intelligence Specialist / Talking to Robots")</f>
        <v>Teaching in any of the institutes/colleges/online or offline, Design and Develop amazing software, Work as a freelancer and do my thing my way, An Artificial Intelligence Specialist / Talking to Robots</v>
      </c>
      <c r="O610" s="1" t="str">
        <f ca="1">IFERROR(__xludf.DUMMYFUNCTION("""COMPUTED_VALUE"""),"Manager who clearly describes what she/he needs")</f>
        <v>Manager who clearly describes what she/he needs</v>
      </c>
      <c r="P610" s="1" t="str">
        <f ca="1">IFERROR(__xludf.DUMMYFUNCTION("""COMPUTED_VALUE"""),"Work with 2 to 3 people in my team")</f>
        <v>Work with 2 to 3 people in my team</v>
      </c>
      <c r="Q610" s="1" t="str">
        <f ca="1">IFERROR(__xludf.DUMMYFUNCTION("""COMPUTED_VALUE"""),"No")</f>
        <v>No</v>
      </c>
      <c r="R610" s="1" t="str">
        <f ca="1">IFERROR(__xludf.DUMMYFUNCTION("""COMPUTED_VALUE"""),"This will be hard to do, but if it is the right company I would try")</f>
        <v>This will be hard to do, but if it is the right company I would try</v>
      </c>
      <c r="S610" s="1"/>
    </row>
    <row r="611" spans="1:19" ht="12.5" x14ac:dyDescent="0.25">
      <c r="A611" s="2">
        <f ca="1">IFERROR(__xludf.DUMMYFUNCTION("""COMPUTED_VALUE"""),45021.7952244907)</f>
        <v>45021.795224490699</v>
      </c>
      <c r="B611" s="1" t="str">
        <f ca="1">IFERROR(__xludf.DUMMYFUNCTION("""COMPUTED_VALUE"""),"India")</f>
        <v>India</v>
      </c>
      <c r="C611" s="1">
        <f ca="1">IFERROR(__xludf.DUMMYFUNCTION("""COMPUTED_VALUE"""),620002)</f>
        <v>620002</v>
      </c>
      <c r="D611" s="1" t="str">
        <f ca="1">IFERROR(__xludf.DUMMYFUNCTION("""COMPUTED_VALUE"""),"Female")</f>
        <v>Female</v>
      </c>
      <c r="E611" s="1" t="str">
        <f ca="1">IFERROR(__xludf.DUMMYFUNCTION("""COMPUTED_VALUE"""),"People who have changed the world for better")</f>
        <v>People who have changed the world for better</v>
      </c>
      <c r="F611" s="1" t="str">
        <f ca="1">IFERROR(__xludf.DUMMYFUNCTION("""COMPUTED_VALUE"""),"Yes, I will earn and do that")</f>
        <v>Yes, I will earn and do that</v>
      </c>
      <c r="G611" s="1" t="str">
        <f ca="1">IFERROR(__xludf.DUMMYFUNCTION("""COMPUTED_VALUE"""),"This will be hard to do, but if it is the right company I would try")</f>
        <v>This will be hard to do, but if it is the right company I would try</v>
      </c>
      <c r="H611" s="1" t="str">
        <f ca="1">IFERROR(__xludf.DUMMYFUNCTION("""COMPUTED_VALUE"""),"No")</f>
        <v>No</v>
      </c>
      <c r="I611" s="1" t="str">
        <f ca="1">IFERROR(__xludf.DUMMYFUNCTION("""COMPUTED_VALUE"""),"Will NOT work for them")</f>
        <v>Will NOT work for them</v>
      </c>
      <c r="J611" s="1">
        <f ca="1">IFERROR(__xludf.DUMMYFUNCTION("""COMPUTED_VALUE"""),5)</f>
        <v>5</v>
      </c>
      <c r="K611" s="1" t="str">
        <f ca="1">IFERROR(__xludf.DUMMYFUNCTION("""COMPUTED_VALUE"""),"Fully Remote with Options to travel as and when needed")</f>
        <v>Fully Remote with Options to travel as and when needed</v>
      </c>
      <c r="L6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1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11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611" s="1" t="str">
        <f ca="1">IFERROR(__xludf.DUMMYFUNCTION("""COMPUTED_VALUE"""),"Manager who explains what is expected, sets a goal and helps achieve it")</f>
        <v>Manager who explains what is expected, sets a goal and helps achieve it</v>
      </c>
      <c r="P611" s="1" t="str">
        <f ca="1">IFERROR(__xludf.DUMMYFUNCTION("""COMPUTED_VALUE"""),"Work with 2 to 3 people in my team")</f>
        <v>Work with 2 to 3 people in my team</v>
      </c>
      <c r="Q611" s="1" t="str">
        <f ca="1">IFERROR(__xludf.DUMMYFUNCTION("""COMPUTED_VALUE"""),"No")</f>
        <v>No</v>
      </c>
      <c r="R611" s="1" t="str">
        <f ca="1">IFERROR(__xludf.DUMMYFUNCTION("""COMPUTED_VALUE"""),"This will be hard to do, but if it is the right company I would try")</f>
        <v>This will be hard to do, but if it is the right company I would try</v>
      </c>
      <c r="S611" s="1"/>
    </row>
    <row r="612" spans="1:19" ht="12.5" x14ac:dyDescent="0.25">
      <c r="A612" s="2">
        <f ca="1">IFERROR(__xludf.DUMMYFUNCTION("""COMPUTED_VALUE"""),45021.8012009953)</f>
        <v>45021.801200995302</v>
      </c>
      <c r="B612" s="1" t="str">
        <f ca="1">IFERROR(__xludf.DUMMYFUNCTION("""COMPUTED_VALUE"""),"India")</f>
        <v>India</v>
      </c>
      <c r="C612" s="1">
        <f ca="1">IFERROR(__xludf.DUMMYFUNCTION("""COMPUTED_VALUE"""),711102)</f>
        <v>711102</v>
      </c>
      <c r="D612" s="1" t="str">
        <f ca="1">IFERROR(__xludf.DUMMYFUNCTION("""COMPUTED_VALUE"""),"Male")</f>
        <v>Male</v>
      </c>
      <c r="E612" s="1" t="str">
        <f ca="1">IFERROR(__xludf.DUMMYFUNCTION("""COMPUTED_VALUE"""),"People who have changed the world for better")</f>
        <v>People who have changed the world for better</v>
      </c>
      <c r="F612" s="1" t="str">
        <f ca="1">IFERROR(__xludf.DUMMYFUNCTION("""COMPUTED_VALUE"""),"No I would not be pursuing Higher Education outside of India")</f>
        <v>No I would not be pursuing Higher Education outside of India</v>
      </c>
      <c r="G612" s="1" t="str">
        <f ca="1">IFERROR(__xludf.DUMMYFUNCTION("""COMPUTED_VALUE"""),"This will be hard to do, but if it is the right company I would try")</f>
        <v>This will be hard to do, but if it is the right company I would try</v>
      </c>
      <c r="H612" s="1" t="str">
        <f ca="1">IFERROR(__xludf.DUMMYFUNCTION("""COMPUTED_VALUE"""),"No")</f>
        <v>No</v>
      </c>
      <c r="I612" s="1" t="str">
        <f ca="1">IFERROR(__xludf.DUMMYFUNCTION("""COMPUTED_VALUE"""),"Will NOT work for them")</f>
        <v>Will NOT work for them</v>
      </c>
      <c r="J612" s="1">
        <f ca="1">IFERROR(__xludf.DUMMYFUNCTION("""COMPUTED_VALUE"""),10)</f>
        <v>10</v>
      </c>
      <c r="K612" s="1" t="str">
        <f ca="1">IFERROR(__xludf.DUMMYFUNCTION("""COMPUTED_VALUE"""),"Fully Remote with Options to travel as and when needed")</f>
        <v>Fully Remote with Options to travel as and when needed</v>
      </c>
      <c r="L6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1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612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612" s="1" t="str">
        <f ca="1">IFERROR(__xludf.DUMMYFUNCTION("""COMPUTED_VALUE"""),"Manager who explains what is expected, sets a goal and helps achieve it")</f>
        <v>Manager who explains what is expected, sets a goal and helps achieve it</v>
      </c>
      <c r="P612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612" s="1" t="str">
        <f ca="1">IFERROR(__xludf.DUMMYFUNCTION("""COMPUTED_VALUE"""),"No")</f>
        <v>No</v>
      </c>
      <c r="R612" s="1" t="str">
        <f ca="1">IFERROR(__xludf.DUMMYFUNCTION("""COMPUTED_VALUE"""),"This will be hard to do, but if it is the right company I would try")</f>
        <v>This will be hard to do, but if it is the right company I would try</v>
      </c>
      <c r="S612" s="1"/>
    </row>
    <row r="613" spans="1:19" ht="12.5" x14ac:dyDescent="0.25">
      <c r="A613" s="2">
        <f ca="1">IFERROR(__xludf.DUMMYFUNCTION("""COMPUTED_VALUE"""),45021.8030368171)</f>
        <v>45021.803036817102</v>
      </c>
      <c r="B613" s="1" t="str">
        <f ca="1">IFERROR(__xludf.DUMMYFUNCTION("""COMPUTED_VALUE"""),"India")</f>
        <v>India</v>
      </c>
      <c r="C613" s="1">
        <f ca="1">IFERROR(__xludf.DUMMYFUNCTION("""COMPUTED_VALUE"""),520015)</f>
        <v>520015</v>
      </c>
      <c r="D613" s="1" t="str">
        <f ca="1">IFERROR(__xludf.DUMMYFUNCTION("""COMPUTED_VALUE"""),"Female")</f>
        <v>Female</v>
      </c>
      <c r="E613" s="1" t="str">
        <f ca="1">IFERROR(__xludf.DUMMYFUNCTION("""COMPUTED_VALUE"""),"Influencers who had successful careers")</f>
        <v>Influencers who had successful careers</v>
      </c>
      <c r="F613" s="1" t="str">
        <f ca="1">IFERROR(__xludf.DUMMYFUNCTION("""COMPUTED_VALUE"""),"Yes, I will earn and do that")</f>
        <v>Yes, I will earn and do that</v>
      </c>
      <c r="G613" s="1" t="str">
        <f ca="1">IFERROR(__xludf.DUMMYFUNCTION("""COMPUTED_VALUE"""),"Will work for 3 years or more")</f>
        <v>Will work for 3 years or more</v>
      </c>
      <c r="H613" s="1" t="str">
        <f ca="1">IFERROR(__xludf.DUMMYFUNCTION("""COMPUTED_VALUE"""),"No")</f>
        <v>No</v>
      </c>
      <c r="I613" s="1" t="str">
        <f ca="1">IFERROR(__xludf.DUMMYFUNCTION("""COMPUTED_VALUE"""),"Will NOT work for them")</f>
        <v>Will NOT work for them</v>
      </c>
      <c r="J613" s="1">
        <f ca="1">IFERROR(__xludf.DUMMYFUNCTION("""COMPUTED_VALUE"""),4)</f>
        <v>4</v>
      </c>
      <c r="K613" s="1" t="str">
        <f ca="1">IFERROR(__xludf.DUMMYFUNCTION("""COMPUTED_VALUE"""),"Hybrid Working Environment with less than 3 days a month at office")</f>
        <v>Hybrid Working Environment with less than 3 days a month at office</v>
      </c>
      <c r="L613" s="1" t="str">
        <f ca="1">IFERROR(__xludf.DUMMYFUNCTION("""COMPUTED_VALUE"""),"Employer who appreciates learning and enables that environment")</f>
        <v>Employer who appreciates learning and enables that environment</v>
      </c>
      <c r="M61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613" s="1" t="str">
        <f ca="1">IFERROR(__xludf.DUMMYFUNCTION("""COMPUTED_VALUE"""),"Business Operations in any organization, Manage and drive End-to-End Projects or Products, Build and develop a Team, An Artificial Intelligence Specialist / Talking to Robots")</f>
        <v>Business Operations in any organization, Manage and drive End-to-End Projects or Products, Build and develop a Team, An Artificial Intelligence Specialist / Talking to Robots</v>
      </c>
      <c r="O613" s="1" t="str">
        <f ca="1">IFERROR(__xludf.DUMMYFUNCTION("""COMPUTED_VALUE"""),"Manager who explains what is expected, sets a goal and helps achieve it")</f>
        <v>Manager who explains what is expected, sets a goal and helps achieve it</v>
      </c>
      <c r="P613" s="1" t="str">
        <f ca="1">IFERROR(__xludf.DUMMYFUNCTION("""COMPUTED_VALUE"""),"Work with 5 to 6 people in my team")</f>
        <v>Work with 5 to 6 people in my team</v>
      </c>
      <c r="Q613" s="1" t="str">
        <f ca="1">IFERROR(__xludf.DUMMYFUNCTION("""COMPUTED_VALUE"""),"Yes, I Understand this is gonna happen everywhere")</f>
        <v>Yes, I Understand this is gonna happen everywhere</v>
      </c>
      <c r="R613" s="1" t="str">
        <f ca="1">IFERROR(__xludf.DUMMYFUNCTION("""COMPUTED_VALUE"""),"This will be hard to do, but if it is the right company I would try")</f>
        <v>This will be hard to do, but if it is the right company I would try</v>
      </c>
      <c r="S613" s="1"/>
    </row>
    <row r="614" spans="1:19" ht="12.5" x14ac:dyDescent="0.25">
      <c r="A614" s="2">
        <f ca="1">IFERROR(__xludf.DUMMYFUNCTION("""COMPUTED_VALUE"""),45021.8051370138)</f>
        <v>45021.805137013798</v>
      </c>
      <c r="B614" s="1" t="str">
        <f ca="1">IFERROR(__xludf.DUMMYFUNCTION("""COMPUTED_VALUE"""),"India")</f>
        <v>India</v>
      </c>
      <c r="C614" s="1">
        <f ca="1">IFERROR(__xludf.DUMMYFUNCTION("""COMPUTED_VALUE"""),607104)</f>
        <v>607104</v>
      </c>
      <c r="D614" s="1" t="str">
        <f ca="1">IFERROR(__xludf.DUMMYFUNCTION("""COMPUTED_VALUE"""),"Male")</f>
        <v>Male</v>
      </c>
      <c r="E614" s="1" t="str">
        <f ca="1">IFERROR(__xludf.DUMMYFUNCTION("""COMPUTED_VALUE"""),"Influencers who had successful careers")</f>
        <v>Influencers who had successful careers</v>
      </c>
      <c r="F614" s="1" t="str">
        <f ca="1">IFERROR(__xludf.DUMMYFUNCTION("""COMPUTED_VALUE"""),"No, But if someone could bare the cost I will")</f>
        <v>No, But if someone could bare the cost I will</v>
      </c>
      <c r="G614" s="1" t="str">
        <f ca="1">IFERROR(__xludf.DUMMYFUNCTION("""COMPUTED_VALUE"""),"This will be hard to do, but if it is the right company I would try")</f>
        <v>This will be hard to do, but if it is the right company I would try</v>
      </c>
      <c r="H614" s="1" t="str">
        <f ca="1">IFERROR(__xludf.DUMMYFUNCTION("""COMPUTED_VALUE"""),"No")</f>
        <v>No</v>
      </c>
      <c r="I614" s="1" t="str">
        <f ca="1">IFERROR(__xludf.DUMMYFUNCTION("""COMPUTED_VALUE"""),"Will NOT work for them")</f>
        <v>Will NOT work for them</v>
      </c>
      <c r="J614" s="1">
        <f ca="1">IFERROR(__xludf.DUMMYFUNCTION("""COMPUTED_VALUE"""),8)</f>
        <v>8</v>
      </c>
      <c r="K614" s="1" t="str">
        <f ca="1">IFERROR(__xludf.DUMMYFUNCTION("""COMPUTED_VALUE"""),"Hybrid Working Environment with less than 3 days a month at office")</f>
        <v>Hybrid Working Environment with less than 3 days a month at office</v>
      </c>
      <c r="L614" s="1" t="str">
        <f ca="1">IFERROR(__xludf.DUMMYFUNCTION("""COMPUTED_VALUE"""),"Employer who appreciates learning and enables that environment")</f>
        <v>Employer who appreciates learning and enables that environment</v>
      </c>
      <c r="M614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614" s="1" t="str">
        <f ca="1">IFERROR(__xludf.DUMMYFUNCTION("""COMPUTED_VALUE"""),"Design and Creative strategy in any company, Business Operations in any organization, Become a content Creator in some platform, Entrepreneur or Start Up")</f>
        <v>Design and Creative strategy in any company, Business Operations in any organization, Become a content Creator in some platform, Entrepreneur or Start Up</v>
      </c>
      <c r="O614" s="1" t="str">
        <f ca="1">IFERROR(__xludf.DUMMYFUNCTION("""COMPUTED_VALUE"""),"Manager who explains what is expected, sets a goal and helps achieve it")</f>
        <v>Manager who explains what is expected, sets a goal and helps achieve it</v>
      </c>
      <c r="P614" s="1" t="str">
        <f ca="1">IFERROR(__xludf.DUMMYFUNCTION("""COMPUTED_VALUE"""),"Work with 5 to 6 people in my team")</f>
        <v>Work with 5 to 6 people in my team</v>
      </c>
      <c r="Q614" s="1" t="str">
        <f ca="1">IFERROR(__xludf.DUMMYFUNCTION("""COMPUTED_VALUE"""),"Yes, I Understand this is gonna happen everywhere")</f>
        <v>Yes, I Understand this is gonna happen everywhere</v>
      </c>
      <c r="R614" s="1" t="str">
        <f ca="1">IFERROR(__xludf.DUMMYFUNCTION("""COMPUTED_VALUE"""),"This will be hard to do, but if it is the right company I would try")</f>
        <v>This will be hard to do, but if it is the right company I would try</v>
      </c>
      <c r="S614" s="1"/>
    </row>
    <row r="615" spans="1:19" ht="12.5" x14ac:dyDescent="0.25">
      <c r="A615" s="2">
        <f ca="1">IFERROR(__xludf.DUMMYFUNCTION("""COMPUTED_VALUE"""),45021.8058449189)</f>
        <v>45021.805844918897</v>
      </c>
      <c r="B615" s="1" t="str">
        <f ca="1">IFERROR(__xludf.DUMMYFUNCTION("""COMPUTED_VALUE"""),"India")</f>
        <v>India</v>
      </c>
      <c r="C615" s="1">
        <f ca="1">IFERROR(__xludf.DUMMYFUNCTION("""COMPUTED_VALUE"""),842002)</f>
        <v>842002</v>
      </c>
      <c r="D615" s="1" t="str">
        <f ca="1">IFERROR(__xludf.DUMMYFUNCTION("""COMPUTED_VALUE"""),"Female")</f>
        <v>Female</v>
      </c>
      <c r="E615" s="1" t="str">
        <f ca="1">IFERROR(__xludf.DUMMYFUNCTION("""COMPUTED_VALUE"""),"People who have changed the world for better")</f>
        <v>People who have changed the world for better</v>
      </c>
      <c r="F615" s="1" t="str">
        <f ca="1">IFERROR(__xludf.DUMMYFUNCTION("""COMPUTED_VALUE"""),"No, But if someone could bare the cost I will")</f>
        <v>No, But if someone could bare the cost I will</v>
      </c>
      <c r="G615" s="1" t="str">
        <f ca="1">IFERROR(__xludf.DUMMYFUNCTION("""COMPUTED_VALUE"""),"This will be hard to do, but if it is the right company I would try")</f>
        <v>This will be hard to do, but if it is the right company I would try</v>
      </c>
      <c r="H615" s="1" t="str">
        <f ca="1">IFERROR(__xludf.DUMMYFUNCTION("""COMPUTED_VALUE"""),"No")</f>
        <v>No</v>
      </c>
      <c r="I615" s="1" t="str">
        <f ca="1">IFERROR(__xludf.DUMMYFUNCTION("""COMPUTED_VALUE"""),"Will NOT work for them")</f>
        <v>Will NOT work for them</v>
      </c>
      <c r="J615" s="1">
        <f ca="1">IFERROR(__xludf.DUMMYFUNCTION("""COMPUTED_VALUE"""),5)</f>
        <v>5</v>
      </c>
      <c r="K615" s="1" t="str">
        <f ca="1">IFERROR(__xludf.DUMMYFUNCTION("""COMPUTED_VALUE"""),"Hybrid Working Environment with more than 15 days a month at office")</f>
        <v>Hybrid Working Environment with more than 15 days a month at office</v>
      </c>
      <c r="L615" s="1" t="str">
        <f ca="1">IFERROR(__xludf.DUMMYFUNCTION("""COMPUTED_VALUE"""),"Employer who rewards learning and enables that environment")</f>
        <v>Employer who rewards learning and enables that environment</v>
      </c>
      <c r="M61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15" s="1" t="str">
        <f ca="1">IFERROR(__xludf.DUMMYFUNCTION("""COMPUTED_VALUE"""),"Teaching in any of the institutes/colleges/online or offline, Business Operations in any organization, Manage and drive End-to-End Projects or Products, Design and Develop amazing software")</f>
        <v>Teaching in any of the institutes/colleges/online or offline, Business Operations in any organization, Manage and drive End-to-End Projects or Products, Design and Develop amazing software</v>
      </c>
      <c r="O615" s="1" t="str">
        <f ca="1">IFERROR(__xludf.DUMMYFUNCTION("""COMPUTED_VALUE"""),"Manager who sets goal and helps me achieve it")</f>
        <v>Manager who sets goal and helps me achieve it</v>
      </c>
      <c r="P615" s="1" t="str">
        <f ca="1">IFERROR(__xludf.DUMMYFUNCTION("""COMPUTED_VALUE"""),"Work with 2 to 3 people in my team, Work with 5 to 6 people in my team")</f>
        <v>Work with 2 to 3 people in my team, Work with 5 to 6 people in my team</v>
      </c>
      <c r="Q615" s="1" t="str">
        <f ca="1">IFERROR(__xludf.DUMMYFUNCTION("""COMPUTED_VALUE"""),"Yes, I Understand this is gonna happen everywhere")</f>
        <v>Yes, I Understand this is gonna happen everywhere</v>
      </c>
      <c r="R615" s="1" t="str">
        <f ca="1">IFERROR(__xludf.DUMMYFUNCTION("""COMPUTED_VALUE"""),"No way")</f>
        <v>No way</v>
      </c>
      <c r="S615" s="1"/>
    </row>
    <row r="616" spans="1:19" ht="12.5" x14ac:dyDescent="0.25">
      <c r="A616" s="2">
        <f ca="1">IFERROR(__xludf.DUMMYFUNCTION("""COMPUTED_VALUE"""),45021.8068657986)</f>
        <v>45021.8068657986</v>
      </c>
      <c r="B616" s="1" t="str">
        <f ca="1">IFERROR(__xludf.DUMMYFUNCTION("""COMPUTED_VALUE"""),"India")</f>
        <v>India</v>
      </c>
      <c r="C616" s="1">
        <f ca="1">IFERROR(__xludf.DUMMYFUNCTION("""COMPUTED_VALUE"""),517501)</f>
        <v>517501</v>
      </c>
      <c r="D616" s="1" t="str">
        <f ca="1">IFERROR(__xludf.DUMMYFUNCTION("""COMPUTED_VALUE"""),"Male")</f>
        <v>Male</v>
      </c>
      <c r="E616" s="1" t="str">
        <f ca="1">IFERROR(__xludf.DUMMYFUNCTION("""COMPUTED_VALUE"""),"People who have changed the world for better")</f>
        <v>People who have changed the world for better</v>
      </c>
      <c r="F616" s="1" t="str">
        <f ca="1">IFERROR(__xludf.DUMMYFUNCTION("""COMPUTED_VALUE"""),"Yes, I will earn and do that")</f>
        <v>Yes, I will earn and do that</v>
      </c>
      <c r="G616" s="1" t="str">
        <f ca="1">IFERROR(__xludf.DUMMYFUNCTION("""COMPUTED_VALUE"""),"This will be hard to do, but if it is the right company I would try")</f>
        <v>This will be hard to do, but if it is the right company I would try</v>
      </c>
      <c r="H616" s="1" t="str">
        <f ca="1">IFERROR(__xludf.DUMMYFUNCTION("""COMPUTED_VALUE"""),"No")</f>
        <v>No</v>
      </c>
      <c r="I616" s="1" t="str">
        <f ca="1">IFERROR(__xludf.DUMMYFUNCTION("""COMPUTED_VALUE"""),"Will NOT work for them")</f>
        <v>Will NOT work for them</v>
      </c>
      <c r="J616" s="1">
        <f ca="1">IFERROR(__xludf.DUMMYFUNCTION("""COMPUTED_VALUE"""),4)</f>
        <v>4</v>
      </c>
      <c r="K616" s="1" t="str">
        <f ca="1">IFERROR(__xludf.DUMMYFUNCTION("""COMPUTED_VALUE"""),"Hybrid Working Environment with less than 3 days a month at office")</f>
        <v>Hybrid Working Environment with less than 3 days a month at office</v>
      </c>
      <c r="L616" s="1" t="str">
        <f ca="1">IFERROR(__xludf.DUMMYFUNCTION("""COMPUTED_VALUE"""),"Employer who appreciates learning and enables that environment")</f>
        <v>Employer who appreciates learning and enables that environment</v>
      </c>
      <c r="M61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16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616" s="1" t="str">
        <f ca="1">IFERROR(__xludf.DUMMYFUNCTION("""COMPUTED_VALUE"""),"Manager who clearly describes what she/he needs")</f>
        <v>Manager who clearly describes what she/he needs</v>
      </c>
      <c r="P616" s="1" t="str">
        <f ca="1">IFERROR(__xludf.DUMMYFUNCTION("""COMPUTED_VALUE"""),"Work with 2 to 3 people in my team")</f>
        <v>Work with 2 to 3 people in my team</v>
      </c>
      <c r="Q616" s="1" t="str">
        <f ca="1">IFERROR(__xludf.DUMMYFUNCTION("""COMPUTED_VALUE"""),"Yes, I Understand this is gonna happen everywhere")</f>
        <v>Yes, I Understand this is gonna happen everywhere</v>
      </c>
      <c r="R616" s="1" t="str">
        <f ca="1">IFERROR(__xludf.DUMMYFUNCTION("""COMPUTED_VALUE"""),"No way")</f>
        <v>No way</v>
      </c>
      <c r="S616" s="1"/>
    </row>
    <row r="617" spans="1:19" ht="12.5" x14ac:dyDescent="0.25">
      <c r="A617" s="2">
        <f ca="1">IFERROR(__xludf.DUMMYFUNCTION("""COMPUTED_VALUE"""),45021.8070285879)</f>
        <v>45021.8070285879</v>
      </c>
      <c r="B617" s="1" t="str">
        <f ca="1">IFERROR(__xludf.DUMMYFUNCTION("""COMPUTED_VALUE"""),"India")</f>
        <v>India</v>
      </c>
      <c r="C617" s="1">
        <f ca="1">IFERROR(__xludf.DUMMYFUNCTION("""COMPUTED_VALUE"""),208027)</f>
        <v>208027</v>
      </c>
      <c r="D617" s="1" t="str">
        <f ca="1">IFERROR(__xludf.DUMMYFUNCTION("""COMPUTED_VALUE"""),"Male")</f>
        <v>Male</v>
      </c>
      <c r="E617" s="1" t="str">
        <f ca="1">IFERROR(__xludf.DUMMYFUNCTION("""COMPUTED_VALUE"""),"Influencers who had successful careers")</f>
        <v>Influencers who had successful careers</v>
      </c>
      <c r="F617" s="1" t="str">
        <f ca="1">IFERROR(__xludf.DUMMYFUNCTION("""COMPUTED_VALUE"""),"Yes, I will earn and do that")</f>
        <v>Yes, I will earn and do that</v>
      </c>
      <c r="G617" s="1" t="str">
        <f ca="1">IFERROR(__xludf.DUMMYFUNCTION("""COMPUTED_VALUE"""),"This will be hard to do, but if it is the right company I would try")</f>
        <v>This will be hard to do, but if it is the right company I would try</v>
      </c>
      <c r="H617" s="1" t="str">
        <f ca="1">IFERROR(__xludf.DUMMYFUNCTION("""COMPUTED_VALUE"""),"No")</f>
        <v>No</v>
      </c>
      <c r="I617" s="1" t="str">
        <f ca="1">IFERROR(__xludf.DUMMYFUNCTION("""COMPUTED_VALUE"""),"Will NOT work for them")</f>
        <v>Will NOT work for them</v>
      </c>
      <c r="J617" s="1">
        <f ca="1">IFERROR(__xludf.DUMMYFUNCTION("""COMPUTED_VALUE"""),5)</f>
        <v>5</v>
      </c>
      <c r="K617" s="1" t="str">
        <f ca="1">IFERROR(__xludf.DUMMYFUNCTION("""COMPUTED_VALUE"""),"Every Day Office Environment")</f>
        <v>Every Day Office Environment</v>
      </c>
      <c r="L6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1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617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617" s="1" t="str">
        <f ca="1">IFERROR(__xludf.DUMMYFUNCTION("""COMPUTED_VALUE"""),"Manager who sets goal and helps me achieve it")</f>
        <v>Manager who sets goal and helps me achieve it</v>
      </c>
      <c r="P617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617" s="1" t="str">
        <f ca="1">IFERROR(__xludf.DUMMYFUNCTION("""COMPUTED_VALUE"""),"Yes, I Understand this is gonna happen everywhere")</f>
        <v>Yes, I Understand this is gonna happen everywhere</v>
      </c>
      <c r="R617" s="1" t="str">
        <f ca="1">IFERROR(__xludf.DUMMYFUNCTION("""COMPUTED_VALUE"""),"This will be hard to do, but if it is the right company I would try")</f>
        <v>This will be hard to do, but if it is the right company I would try</v>
      </c>
      <c r="S617" s="1"/>
    </row>
    <row r="618" spans="1:19" ht="12.5" x14ac:dyDescent="0.25">
      <c r="A618" s="2">
        <f ca="1">IFERROR(__xludf.DUMMYFUNCTION("""COMPUTED_VALUE"""),45021.8097598263)</f>
        <v>45021.809759826298</v>
      </c>
      <c r="B618" s="1" t="str">
        <f ca="1">IFERROR(__xludf.DUMMYFUNCTION("""COMPUTED_VALUE"""),"India")</f>
        <v>India</v>
      </c>
      <c r="C618" s="1">
        <f ca="1">IFERROR(__xludf.DUMMYFUNCTION("""COMPUTED_VALUE"""),400022)</f>
        <v>400022</v>
      </c>
      <c r="D618" s="1" t="str">
        <f ca="1">IFERROR(__xludf.DUMMYFUNCTION("""COMPUTED_VALUE"""),"Male")</f>
        <v>Male</v>
      </c>
      <c r="E618" s="1" t="str">
        <f ca="1">IFERROR(__xludf.DUMMYFUNCTION("""COMPUTED_VALUE"""),"People from my circle, but not family members")</f>
        <v>People from my circle, but not family members</v>
      </c>
      <c r="F618" s="1" t="str">
        <f ca="1">IFERROR(__xludf.DUMMYFUNCTION("""COMPUTED_VALUE"""),"No I would not be pursuing Higher Education outside of India")</f>
        <v>No I would not be pursuing Higher Education outside of India</v>
      </c>
      <c r="G618" s="1" t="str">
        <f ca="1">IFERROR(__xludf.DUMMYFUNCTION("""COMPUTED_VALUE"""),"No way")</f>
        <v>No way</v>
      </c>
      <c r="H618" s="1" t="str">
        <f ca="1">IFERROR(__xludf.DUMMYFUNCTION("""COMPUTED_VALUE"""),"Yes")</f>
        <v>Yes</v>
      </c>
      <c r="I618" s="1" t="str">
        <f ca="1">IFERROR(__xludf.DUMMYFUNCTION("""COMPUTED_VALUE"""),"Will work for them")</f>
        <v>Will work for them</v>
      </c>
      <c r="J618" s="1">
        <f ca="1">IFERROR(__xludf.DUMMYFUNCTION("""COMPUTED_VALUE"""),10)</f>
        <v>10</v>
      </c>
      <c r="K618" s="1" t="str">
        <f ca="1">IFERROR(__xludf.DUMMYFUNCTION("""COMPUTED_VALUE"""),"Hybrid Working Environment with less than 3 days a month at office")</f>
        <v>Hybrid Working Environment with less than 3 days a month at office</v>
      </c>
      <c r="L618" s="1" t="str">
        <f ca="1">IFERROR(__xludf.DUMMYFUNCTION("""COMPUTED_VALUE"""),"Employer who appreciates learning and enables that environment")</f>
        <v>Employer who appreciates learning and enables that environment</v>
      </c>
      <c r="M61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618" s="1" t="str">
        <f ca="1">IFERROR(__xludf.DUMMYFUNCTION("""COMPUTED_VALUE"""),"Design and Creative strategy in any company, Teaching in any of the institutes/colleges/online or offline, Business Operations in any organization, Manufacturing / Oil and Gas/ Construction / Hard Physical Work related")</f>
        <v>Design and Creative strategy in any company, Teaching in any of the institutes/colleges/online or offline, Business Operations in any organization, Manufacturing / Oil and Gas/ Construction / Hard Physical Work related</v>
      </c>
      <c r="O618" s="1" t="str">
        <f ca="1">IFERROR(__xludf.DUMMYFUNCTION("""COMPUTED_VALUE"""),"Manager who clearly describes what she/he needs")</f>
        <v>Manager who clearly describes what she/he needs</v>
      </c>
      <c r="P618" s="1" t="str">
        <f ca="1">IFERROR(__xludf.DUMMYFUNCTION("""COMPUTED_VALUE"""),"Work with 2 to 3 people in my team")</f>
        <v>Work with 2 to 3 people in my team</v>
      </c>
      <c r="Q618" s="1" t="str">
        <f ca="1">IFERROR(__xludf.DUMMYFUNCTION("""COMPUTED_VALUE"""),"Yes")</f>
        <v>Yes</v>
      </c>
      <c r="R618" s="1" t="str">
        <f ca="1">IFERROR(__xludf.DUMMYFUNCTION("""COMPUTED_VALUE"""),"This will be hard to do, but if it is the right company I would try")</f>
        <v>This will be hard to do, but if it is the right company I would try</v>
      </c>
      <c r="S618" s="1"/>
    </row>
    <row r="619" spans="1:19" ht="12.5" x14ac:dyDescent="0.25">
      <c r="A619" s="2">
        <f ca="1">IFERROR(__xludf.DUMMYFUNCTION("""COMPUTED_VALUE"""),45021.8110687037)</f>
        <v>45021.811068703697</v>
      </c>
      <c r="B619" s="1" t="str">
        <f ca="1">IFERROR(__xludf.DUMMYFUNCTION("""COMPUTED_VALUE"""),"India")</f>
        <v>India</v>
      </c>
      <c r="C619" s="1">
        <f ca="1">IFERROR(__xludf.DUMMYFUNCTION("""COMPUTED_VALUE"""),522503)</f>
        <v>522503</v>
      </c>
      <c r="D619" s="1" t="str">
        <f ca="1">IFERROR(__xludf.DUMMYFUNCTION("""COMPUTED_VALUE"""),"Male")</f>
        <v>Male</v>
      </c>
      <c r="E619" s="1" t="str">
        <f ca="1">IFERROR(__xludf.DUMMYFUNCTION("""COMPUTED_VALUE"""),"My Parents")</f>
        <v>My Parents</v>
      </c>
      <c r="F619" s="1" t="str">
        <f ca="1">IFERROR(__xludf.DUMMYFUNCTION("""COMPUTED_VALUE"""),"No, But if someone could bare the cost I will")</f>
        <v>No, But if someone could bare the cost I will</v>
      </c>
      <c r="G619" s="1" t="str">
        <f ca="1">IFERROR(__xludf.DUMMYFUNCTION("""COMPUTED_VALUE"""),"This will be hard to do, but if it is the right company I would try")</f>
        <v>This will be hard to do, but if it is the right company I would try</v>
      </c>
      <c r="H619" s="1" t="str">
        <f ca="1">IFERROR(__xludf.DUMMYFUNCTION("""COMPUTED_VALUE"""),"No")</f>
        <v>No</v>
      </c>
      <c r="I619" s="1" t="str">
        <f ca="1">IFERROR(__xludf.DUMMYFUNCTION("""COMPUTED_VALUE"""),"Will NOT work for them")</f>
        <v>Will NOT work for them</v>
      </c>
      <c r="J619" s="1">
        <f ca="1">IFERROR(__xludf.DUMMYFUNCTION("""COMPUTED_VALUE"""),5)</f>
        <v>5</v>
      </c>
      <c r="K619" s="1" t="str">
        <f ca="1">IFERROR(__xludf.DUMMYFUNCTION("""COMPUTED_VALUE"""),"Fully Remote with No option to visit offices")</f>
        <v>Fully Remote with No option to visit offices</v>
      </c>
      <c r="L619" s="1" t="str">
        <f ca="1">IFERROR(__xludf.DUMMYFUNCTION("""COMPUTED_VALUE"""),"Employer who appreciates learning and enables that environment")</f>
        <v>Employer who appreciates learning and enables that environment</v>
      </c>
      <c r="M619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619" s="1" t="str">
        <f ca="1">IFERROR(__xludf.DUMMYFUNCTION("""COMPUTED_VALUE"""),"Design and Creative strategy in any company, Business Operations in any organization, Manage and drive End-to-End Projects or Products, An Artificial Intelligence Specialist / Talking to Robots")</f>
        <v>Design and Creative strategy in any company, Business Operations in any organization, Manage and drive End-to-End Projects or Products, An Artificial Intelligence Specialist / Talking to Robots</v>
      </c>
      <c r="O619" s="1" t="str">
        <f ca="1">IFERROR(__xludf.DUMMYFUNCTION("""COMPUTED_VALUE"""),"Manager who clearly describes what she/he needs")</f>
        <v>Manager who clearly describes what she/he needs</v>
      </c>
      <c r="P619" s="1" t="str">
        <f ca="1">IFERROR(__xludf.DUMMYFUNCTION("""COMPUTED_VALUE"""),"Work with 2 to 3 people in my team")</f>
        <v>Work with 2 to 3 people in my team</v>
      </c>
      <c r="Q619" s="1" t="str">
        <f ca="1">IFERROR(__xludf.DUMMYFUNCTION("""COMPUTED_VALUE"""),"Yes, I Understand this is gonna happen everywhere")</f>
        <v>Yes, I Understand this is gonna happen everywhere</v>
      </c>
      <c r="R619" s="1" t="str">
        <f ca="1">IFERROR(__xludf.DUMMYFUNCTION("""COMPUTED_VALUE"""),"No way")</f>
        <v>No way</v>
      </c>
      <c r="S619" s="1"/>
    </row>
    <row r="620" spans="1:19" ht="12.5" x14ac:dyDescent="0.25">
      <c r="A620" s="2">
        <f ca="1">IFERROR(__xludf.DUMMYFUNCTION("""COMPUTED_VALUE"""),45021.8118132291)</f>
        <v>45021.811813229098</v>
      </c>
      <c r="B620" s="1" t="str">
        <f ca="1">IFERROR(__xludf.DUMMYFUNCTION("""COMPUTED_VALUE"""),"India")</f>
        <v>India</v>
      </c>
      <c r="C620" s="1">
        <f ca="1">IFERROR(__xludf.DUMMYFUNCTION("""COMPUTED_VALUE"""),535125)</f>
        <v>535125</v>
      </c>
      <c r="D620" s="1" t="str">
        <f ca="1">IFERROR(__xludf.DUMMYFUNCTION("""COMPUTED_VALUE"""),"Male")</f>
        <v>Male</v>
      </c>
      <c r="E620" s="1" t="str">
        <f ca="1">IFERROR(__xludf.DUMMYFUNCTION("""COMPUTED_VALUE"""),"Influencers who had successful careers")</f>
        <v>Influencers who had successful careers</v>
      </c>
      <c r="F620" s="1" t="str">
        <f ca="1">IFERROR(__xludf.DUMMYFUNCTION("""COMPUTED_VALUE"""),"No I would not be pursuing Higher Education outside of India")</f>
        <v>No I would not be pursuing Higher Education outside of India</v>
      </c>
      <c r="G620" s="1" t="str">
        <f ca="1">IFERROR(__xludf.DUMMYFUNCTION("""COMPUTED_VALUE"""),"This will be hard to do, but if it is the right company I would try")</f>
        <v>This will be hard to do, but if it is the right company I would try</v>
      </c>
      <c r="H620" s="1" t="str">
        <f ca="1">IFERROR(__xludf.DUMMYFUNCTION("""COMPUTED_VALUE"""),"No")</f>
        <v>No</v>
      </c>
      <c r="I620" s="1" t="str">
        <f ca="1">IFERROR(__xludf.DUMMYFUNCTION("""COMPUTED_VALUE"""),"Will NOT work for them")</f>
        <v>Will NOT work for them</v>
      </c>
      <c r="J620" s="1">
        <f ca="1">IFERROR(__xludf.DUMMYFUNCTION("""COMPUTED_VALUE"""),7)</f>
        <v>7</v>
      </c>
      <c r="K620" s="1" t="str">
        <f ca="1">IFERROR(__xludf.DUMMYFUNCTION("""COMPUTED_VALUE"""),"Hybrid Working Environment with less than 3 days a month at office")</f>
        <v>Hybrid Working Environment with less than 3 days a month at office</v>
      </c>
      <c r="L6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20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620" s="1" t="str">
        <f ca="1">IFERROR(__xludf.DUMMYFUNCTION("""COMPUTED_VALUE"""),"Business Operations in any organization, Build and develop a Team, Work as a freelancer and do my thing my way, An Artificial Intelligence Specialist / Talking to Robots")</f>
        <v>Business Operations in any organization, Build and develop a Team, Work as a freelancer and do my thing my way, An Artificial Intelligence Specialist / Talking to Robots</v>
      </c>
      <c r="O620" s="1" t="str">
        <f ca="1">IFERROR(__xludf.DUMMYFUNCTION("""COMPUTED_VALUE"""),"Manager who explains what is expected, sets a goal and helps achieve it")</f>
        <v>Manager who explains what is expected, sets a goal and helps achieve it</v>
      </c>
      <c r="P620" s="1" t="str">
        <f ca="1">IFERROR(__xludf.DUMMYFUNCTION("""COMPUTED_VALUE"""),"Work with 5 to 6 people in my team")</f>
        <v>Work with 5 to 6 people in my team</v>
      </c>
      <c r="Q620" s="1" t="str">
        <f ca="1">IFERROR(__xludf.DUMMYFUNCTION("""COMPUTED_VALUE"""),"Yes, I Understand this is gonna happen everywhere")</f>
        <v>Yes, I Understand this is gonna happen everywhere</v>
      </c>
      <c r="R620" s="1" t="str">
        <f ca="1">IFERROR(__xludf.DUMMYFUNCTION("""COMPUTED_VALUE"""),"No way")</f>
        <v>No way</v>
      </c>
      <c r="S620" s="1"/>
    </row>
    <row r="621" spans="1:19" ht="12.5" x14ac:dyDescent="0.25">
      <c r="A621" s="2">
        <f ca="1">IFERROR(__xludf.DUMMYFUNCTION("""COMPUTED_VALUE"""),45021.81314875)</f>
        <v>45021.81314875</v>
      </c>
      <c r="B621" s="1" t="str">
        <f ca="1">IFERROR(__xludf.DUMMYFUNCTION("""COMPUTED_VALUE"""),"India")</f>
        <v>India</v>
      </c>
      <c r="C621" s="1">
        <f ca="1">IFERROR(__xludf.DUMMYFUNCTION("""COMPUTED_VALUE"""),364001)</f>
        <v>364001</v>
      </c>
      <c r="D621" s="1" t="str">
        <f ca="1">IFERROR(__xludf.DUMMYFUNCTION("""COMPUTED_VALUE"""),"Female")</f>
        <v>Female</v>
      </c>
      <c r="E621" s="1" t="str">
        <f ca="1">IFERROR(__xludf.DUMMYFUNCTION("""COMPUTED_VALUE"""),"My Parents")</f>
        <v>My Parents</v>
      </c>
      <c r="F621" s="1" t="str">
        <f ca="1">IFERROR(__xludf.DUMMYFUNCTION("""COMPUTED_VALUE"""),"Yes, I will earn and do that")</f>
        <v>Yes, I will earn and do that</v>
      </c>
      <c r="G621" s="1" t="str">
        <f ca="1">IFERROR(__xludf.DUMMYFUNCTION("""COMPUTED_VALUE"""),"Will work for 3 years or more")</f>
        <v>Will work for 3 years or more</v>
      </c>
      <c r="H621" s="1" t="str">
        <f ca="1">IFERROR(__xludf.DUMMYFUNCTION("""COMPUTED_VALUE"""),"No")</f>
        <v>No</v>
      </c>
      <c r="I621" s="1" t="str">
        <f ca="1">IFERROR(__xludf.DUMMYFUNCTION("""COMPUTED_VALUE"""),"Will NOT work for them")</f>
        <v>Will NOT work for them</v>
      </c>
      <c r="J621" s="1">
        <f ca="1">IFERROR(__xludf.DUMMYFUNCTION("""COMPUTED_VALUE"""),5)</f>
        <v>5</v>
      </c>
      <c r="K621" s="1" t="str">
        <f ca="1">IFERROR(__xludf.DUMMYFUNCTION("""COMPUTED_VALUE"""),"Every Day Office Environment")</f>
        <v>Every Day Office Environment</v>
      </c>
      <c r="L621" s="1" t="str">
        <f ca="1">IFERROR(__xludf.DUMMYFUNCTION("""COMPUTED_VALUE"""),"Employer who appreciates learning and enables that environment")</f>
        <v>Employer who appreciates learning and enables that environment</v>
      </c>
      <c r="M62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621" s="1" t="str">
        <f ca="1">IFERROR(__xludf.DUMMYFUNCTION("""COMPUTED_VALUE"""),"Design and Develop amazing software, Work as a freelancer and do my thing my way, Entrepreneur or Start Up, I Want to sell things/Sales")</f>
        <v>Design and Develop amazing software, Work as a freelancer and do my thing my way, Entrepreneur or Start Up, I Want to sell things/Sales</v>
      </c>
      <c r="O621" s="1" t="str">
        <f ca="1">IFERROR(__xludf.DUMMYFUNCTION("""COMPUTED_VALUE"""),"Manager who clearly describes what she/he needs")</f>
        <v>Manager who clearly describes what she/he needs</v>
      </c>
      <c r="P621" s="1" t="str">
        <f ca="1">IFERROR(__xludf.DUMMYFUNCTION("""COMPUTED_VALUE"""),"Work with 7 to 10 or more people in my team")</f>
        <v>Work with 7 to 10 or more people in my team</v>
      </c>
      <c r="Q621" s="1" t="str">
        <f ca="1">IFERROR(__xludf.DUMMYFUNCTION("""COMPUTED_VALUE"""),"Yes")</f>
        <v>Yes</v>
      </c>
      <c r="R621" s="1" t="str">
        <f ca="1">IFERROR(__xludf.DUMMYFUNCTION("""COMPUTED_VALUE"""),"Will work for 7 years or more")</f>
        <v>Will work for 7 years or more</v>
      </c>
      <c r="S621" s="1"/>
    </row>
    <row r="622" spans="1:19" ht="12.5" x14ac:dyDescent="0.25">
      <c r="A622" s="2">
        <f ca="1">IFERROR(__xludf.DUMMYFUNCTION("""COMPUTED_VALUE"""),45021.8184388888)</f>
        <v>45021.818438888797</v>
      </c>
      <c r="B622" s="1" t="str">
        <f ca="1">IFERROR(__xludf.DUMMYFUNCTION("""COMPUTED_VALUE"""),"India")</f>
        <v>India</v>
      </c>
      <c r="C622" s="1">
        <f ca="1">IFERROR(__xludf.DUMMYFUNCTION("""COMPUTED_VALUE"""),91)</f>
        <v>91</v>
      </c>
      <c r="D622" s="1" t="str">
        <f ca="1">IFERROR(__xludf.DUMMYFUNCTION("""COMPUTED_VALUE"""),"Female")</f>
        <v>Female</v>
      </c>
      <c r="E622" s="1" t="str">
        <f ca="1">IFERROR(__xludf.DUMMYFUNCTION("""COMPUTED_VALUE"""),"People who have changed the world for better")</f>
        <v>People who have changed the world for better</v>
      </c>
      <c r="F622" s="1" t="str">
        <f ca="1">IFERROR(__xludf.DUMMYFUNCTION("""COMPUTED_VALUE"""),"Yes, I will earn and do that")</f>
        <v>Yes, I will earn and do that</v>
      </c>
      <c r="G622" s="1" t="str">
        <f ca="1">IFERROR(__xludf.DUMMYFUNCTION("""COMPUTED_VALUE"""),"This will be hard to do, but if it is the right company I would try")</f>
        <v>This will be hard to do, but if it is the right company I would try</v>
      </c>
      <c r="H622" s="1" t="str">
        <f ca="1">IFERROR(__xludf.DUMMYFUNCTION("""COMPUTED_VALUE"""),"No")</f>
        <v>No</v>
      </c>
      <c r="I622" s="1" t="str">
        <f ca="1">IFERROR(__xludf.DUMMYFUNCTION("""COMPUTED_VALUE"""),"Will NOT work for them")</f>
        <v>Will NOT work for them</v>
      </c>
      <c r="J622" s="1">
        <f ca="1">IFERROR(__xludf.DUMMYFUNCTION("""COMPUTED_VALUE"""),5)</f>
        <v>5</v>
      </c>
      <c r="K622" s="1" t="str">
        <f ca="1">IFERROR(__xludf.DUMMYFUNCTION("""COMPUTED_VALUE"""),"Fully Remote with Options to travel as and when needed")</f>
        <v>Fully Remote with Options to travel as and when needed</v>
      </c>
      <c r="L6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2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22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622" s="1" t="str">
        <f ca="1">IFERROR(__xludf.DUMMYFUNCTION("""COMPUTED_VALUE"""),"Manager who explains what is expected, sets a goal and helps achieve it")</f>
        <v>Manager who explains what is expected, sets a goal and helps achieve it</v>
      </c>
      <c r="P622" s="1" t="str">
        <f ca="1">IFERROR(__xludf.DUMMYFUNCTION("""COMPUTED_VALUE"""),"Work with 5 to 6 people in my team")</f>
        <v>Work with 5 to 6 people in my team</v>
      </c>
      <c r="Q622" s="1" t="str">
        <f ca="1">IFERROR(__xludf.DUMMYFUNCTION("""COMPUTED_VALUE"""),"Yes, I Understand this is gonna happen everywhere")</f>
        <v>Yes, I Understand this is gonna happen everywhere</v>
      </c>
      <c r="R622" s="1" t="str">
        <f ca="1">IFERROR(__xludf.DUMMYFUNCTION("""COMPUTED_VALUE"""),"This will be hard to do, but if it is the right company I would try")</f>
        <v>This will be hard to do, but if it is the right company I would try</v>
      </c>
      <c r="S622" s="1"/>
    </row>
    <row r="623" spans="1:19" ht="12.5" x14ac:dyDescent="0.25">
      <c r="A623" s="2">
        <f ca="1">IFERROR(__xludf.DUMMYFUNCTION("""COMPUTED_VALUE"""),45021.826611574)</f>
        <v>45021.826611573997</v>
      </c>
      <c r="B623" s="1" t="str">
        <f ca="1">IFERROR(__xludf.DUMMYFUNCTION("""COMPUTED_VALUE"""),"India")</f>
        <v>India</v>
      </c>
      <c r="C623" s="1">
        <f ca="1">IFERROR(__xludf.DUMMYFUNCTION("""COMPUTED_VALUE"""),711102)</f>
        <v>711102</v>
      </c>
      <c r="D623" s="1" t="str">
        <f ca="1">IFERROR(__xludf.DUMMYFUNCTION("""COMPUTED_VALUE"""),"Male")</f>
        <v>Male</v>
      </c>
      <c r="E623" s="1" t="str">
        <f ca="1">IFERROR(__xludf.DUMMYFUNCTION("""COMPUTED_VALUE"""),"Influencers who had successful careers")</f>
        <v>Influencers who had successful careers</v>
      </c>
      <c r="F623" s="1" t="str">
        <f ca="1">IFERROR(__xludf.DUMMYFUNCTION("""COMPUTED_VALUE"""),"Yes, I will earn and do that")</f>
        <v>Yes, I will earn and do that</v>
      </c>
      <c r="G623" s="1" t="str">
        <f ca="1">IFERROR(__xludf.DUMMYFUNCTION("""COMPUTED_VALUE"""),"Will work for 3 years or more")</f>
        <v>Will work for 3 years or more</v>
      </c>
      <c r="H623" s="1" t="str">
        <f ca="1">IFERROR(__xludf.DUMMYFUNCTION("""COMPUTED_VALUE"""),"No")</f>
        <v>No</v>
      </c>
      <c r="I623" s="1" t="str">
        <f ca="1">IFERROR(__xludf.DUMMYFUNCTION("""COMPUTED_VALUE"""),"Will NOT work for them")</f>
        <v>Will NOT work for them</v>
      </c>
      <c r="J623" s="1">
        <f ca="1">IFERROR(__xludf.DUMMYFUNCTION("""COMPUTED_VALUE"""),8)</f>
        <v>8</v>
      </c>
      <c r="K623" s="1" t="str">
        <f ca="1">IFERROR(__xludf.DUMMYFUNCTION("""COMPUTED_VALUE"""),"Every Day Office Environment")</f>
        <v>Every Day Office Environment</v>
      </c>
      <c r="L6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2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2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623" s="1" t="str">
        <f ca="1">IFERROR(__xludf.DUMMYFUNCTION("""COMPUTED_VALUE"""),"Manager who explains what is expected, sets a goal and helps achieve it")</f>
        <v>Manager who explains what is expected, sets a goal and helps achieve it</v>
      </c>
      <c r="P623" s="1" t="str">
        <f ca="1">IFERROR(__xludf.DUMMYFUNCTION("""COMPUTED_VALUE"""),"Work with 2 to 3 people in my team")</f>
        <v>Work with 2 to 3 people in my team</v>
      </c>
      <c r="Q623" s="1" t="str">
        <f ca="1">IFERROR(__xludf.DUMMYFUNCTION("""COMPUTED_VALUE"""),"Yes, I Understand this is gonna happen everywhere")</f>
        <v>Yes, I Understand this is gonna happen everywhere</v>
      </c>
      <c r="R623" s="1" t="str">
        <f ca="1">IFERROR(__xludf.DUMMYFUNCTION("""COMPUTED_VALUE"""),"This will be hard to do, but if it is the right company I would try")</f>
        <v>This will be hard to do, but if it is the right company I would try</v>
      </c>
      <c r="S623" s="1"/>
    </row>
    <row r="624" spans="1:19" ht="12.5" x14ac:dyDescent="0.25">
      <c r="A624" s="2">
        <f ca="1">IFERROR(__xludf.DUMMYFUNCTION("""COMPUTED_VALUE"""),45021.8289086342)</f>
        <v>45021.828908634197</v>
      </c>
      <c r="B624" s="1" t="str">
        <f ca="1">IFERROR(__xludf.DUMMYFUNCTION("""COMPUTED_VALUE"""),"India")</f>
        <v>India</v>
      </c>
      <c r="C624" s="1">
        <f ca="1">IFERROR(__xludf.DUMMYFUNCTION("""COMPUTED_VALUE"""),678732)</f>
        <v>678732</v>
      </c>
      <c r="D624" s="1" t="str">
        <f ca="1">IFERROR(__xludf.DUMMYFUNCTION("""COMPUTED_VALUE"""),"Female")</f>
        <v>Female</v>
      </c>
      <c r="E624" s="1" t="str">
        <f ca="1">IFERROR(__xludf.DUMMYFUNCTION("""COMPUTED_VALUE"""),"People from my circle, but not family members")</f>
        <v>People from my circle, but not family members</v>
      </c>
      <c r="F624" s="1" t="str">
        <f ca="1">IFERROR(__xludf.DUMMYFUNCTION("""COMPUTED_VALUE"""),"Yes, I will earn and do that")</f>
        <v>Yes, I will earn and do that</v>
      </c>
      <c r="G624" s="1" t="str">
        <f ca="1">IFERROR(__xludf.DUMMYFUNCTION("""COMPUTED_VALUE"""),"This will be hard to do, but if it is the right company I would try")</f>
        <v>This will be hard to do, but if it is the right company I would try</v>
      </c>
      <c r="H624" s="1" t="str">
        <f ca="1">IFERROR(__xludf.DUMMYFUNCTION("""COMPUTED_VALUE"""),"No")</f>
        <v>No</v>
      </c>
      <c r="I624" s="1" t="str">
        <f ca="1">IFERROR(__xludf.DUMMYFUNCTION("""COMPUTED_VALUE"""),"Will NOT work for them")</f>
        <v>Will NOT work for them</v>
      </c>
      <c r="J624" s="1">
        <f ca="1">IFERROR(__xludf.DUMMYFUNCTION("""COMPUTED_VALUE"""),5)</f>
        <v>5</v>
      </c>
      <c r="K624" s="1" t="str">
        <f ca="1">IFERROR(__xludf.DUMMYFUNCTION("""COMPUTED_VALUE"""),"Fully Remote with Options to travel as and when needed")</f>
        <v>Fully Remote with Options to travel as and when needed</v>
      </c>
      <c r="L6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2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24" s="1" t="str">
        <f ca="1">IFERROR(__xludf.DUMMYFUNCTION("""COMPUTED_VALUE"""),"Teaching in any of the institutes/colleges/online or offline, Business Operations in any organization, Build and develop a Team, Work as a freelancer and do my thing my way")</f>
        <v>Teaching in any of the institutes/colleges/online or offline, Business Operations in any organization, Build and develop a Team, Work as a freelancer and do my thing my way</v>
      </c>
      <c r="O624" s="1" t="str">
        <f ca="1">IFERROR(__xludf.DUMMYFUNCTION("""COMPUTED_VALUE"""),"Manager who explains what is expected, sets a goal and helps achieve it")</f>
        <v>Manager who explains what is expected, sets a goal and helps achieve it</v>
      </c>
      <c r="P62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624" s="1" t="str">
        <f ca="1">IFERROR(__xludf.DUMMYFUNCTION("""COMPUTED_VALUE"""),"No")</f>
        <v>No</v>
      </c>
      <c r="R624" s="1" t="str">
        <f ca="1">IFERROR(__xludf.DUMMYFUNCTION("""COMPUTED_VALUE"""),"This will be hard to do, but if it is the right company I would try")</f>
        <v>This will be hard to do, but if it is the right company I would try</v>
      </c>
      <c r="S624" s="1"/>
    </row>
    <row r="625" spans="1:19" ht="12.5" x14ac:dyDescent="0.25">
      <c r="A625" s="2">
        <f ca="1">IFERROR(__xludf.DUMMYFUNCTION("""COMPUTED_VALUE"""),45021.8297827546)</f>
        <v>45021.829782754598</v>
      </c>
      <c r="B625" s="1" t="str">
        <f ca="1">IFERROR(__xludf.DUMMYFUNCTION("""COMPUTED_VALUE"""),"India")</f>
        <v>India</v>
      </c>
      <c r="C625" s="1">
        <f ca="1">IFERROR(__xludf.DUMMYFUNCTION("""COMPUTED_VALUE"""),400064)</f>
        <v>400064</v>
      </c>
      <c r="D625" s="1" t="str">
        <f ca="1">IFERROR(__xludf.DUMMYFUNCTION("""COMPUTED_VALUE"""),"Male")</f>
        <v>Male</v>
      </c>
      <c r="E625" s="1" t="str">
        <f ca="1">IFERROR(__xludf.DUMMYFUNCTION("""COMPUTED_VALUE"""),"My Parents")</f>
        <v>My Parents</v>
      </c>
      <c r="F625" s="1" t="str">
        <f ca="1">IFERROR(__xludf.DUMMYFUNCTION("""COMPUTED_VALUE"""),"Yes, I will earn and do that")</f>
        <v>Yes, I will earn and do that</v>
      </c>
      <c r="G625" s="1" t="str">
        <f ca="1">IFERROR(__xludf.DUMMYFUNCTION("""COMPUTED_VALUE"""),"This will be hard to do, but if it is the right company I would try")</f>
        <v>This will be hard to do, but if it is the right company I would try</v>
      </c>
      <c r="H625" s="1" t="str">
        <f ca="1">IFERROR(__xludf.DUMMYFUNCTION("""COMPUTED_VALUE"""),"No")</f>
        <v>No</v>
      </c>
      <c r="I625" s="1" t="str">
        <f ca="1">IFERROR(__xludf.DUMMYFUNCTION("""COMPUTED_VALUE"""),"Will NOT work for them")</f>
        <v>Will NOT work for them</v>
      </c>
      <c r="J625" s="1">
        <f ca="1">IFERROR(__xludf.DUMMYFUNCTION("""COMPUTED_VALUE"""),8)</f>
        <v>8</v>
      </c>
      <c r="K625" s="1" t="str">
        <f ca="1">IFERROR(__xludf.DUMMYFUNCTION("""COMPUTED_VALUE"""),"Every Day Office Environment")</f>
        <v>Every Day Office Environment</v>
      </c>
      <c r="L625" s="1" t="str">
        <f ca="1">IFERROR(__xludf.DUMMYFUNCTION("""COMPUTED_VALUE"""),"Employer who appreciates learning and enables that environment")</f>
        <v>Employer who appreciates learning and enables that environment</v>
      </c>
      <c r="M62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25" s="1" t="str">
        <f ca="1">IFERROR(__xludf.DUMMYFUNCTION("""COMPUTED_VALUE"""),"Design and Creative strategy in any company, Entrepreneur or Start Up, I Want to sell things/Sales, Manufacturing / Oil and Gas/ Construction / Hard Physical Work related")</f>
        <v>Design and Creative strategy in any company, Entrepreneur or Start Up, I Want to sell things/Sales, Manufacturing / Oil and Gas/ Construction / Hard Physical Work related</v>
      </c>
      <c r="O625" s="1" t="str">
        <f ca="1">IFERROR(__xludf.DUMMYFUNCTION("""COMPUTED_VALUE"""),"Manager who sets goal and helps me achieve it")</f>
        <v>Manager who sets goal and helps me achieve it</v>
      </c>
      <c r="P625" s="1" t="str">
        <f ca="1">IFERROR(__xludf.DUMMYFUNCTION("""COMPUTED_VALUE"""),"Work alone, Work with 7 to 10 or more people in my team, Work with more than 10 people in my team")</f>
        <v>Work alone, Work with 7 to 10 or more people in my team, Work with more than 10 people in my team</v>
      </c>
      <c r="Q625" s="1" t="str">
        <f ca="1">IFERROR(__xludf.DUMMYFUNCTION("""COMPUTED_VALUE"""),"Yes, I Understand this is gonna happen everywhere")</f>
        <v>Yes, I Understand this is gonna happen everywhere</v>
      </c>
      <c r="R625" s="1" t="str">
        <f ca="1">IFERROR(__xludf.DUMMYFUNCTION("""COMPUTED_VALUE"""),"This will be hard to do, but if it is the right company I would try")</f>
        <v>This will be hard to do, but if it is the right company I would try</v>
      </c>
      <c r="S625" s="1"/>
    </row>
    <row r="626" spans="1:19" ht="12.5" x14ac:dyDescent="0.25">
      <c r="A626" s="2">
        <f ca="1">IFERROR(__xludf.DUMMYFUNCTION("""COMPUTED_VALUE"""),45021.8301763657)</f>
        <v>45021.8301763657</v>
      </c>
      <c r="B626" s="1" t="str">
        <f ca="1">IFERROR(__xludf.DUMMYFUNCTION("""COMPUTED_VALUE"""),"India")</f>
        <v>India</v>
      </c>
      <c r="C626" s="1">
        <f ca="1">IFERROR(__xludf.DUMMYFUNCTION("""COMPUTED_VALUE"""),500045)</f>
        <v>500045</v>
      </c>
      <c r="D626" s="1" t="str">
        <f ca="1">IFERROR(__xludf.DUMMYFUNCTION("""COMPUTED_VALUE"""),"Male")</f>
        <v>Male</v>
      </c>
      <c r="E626" s="1" t="str">
        <f ca="1">IFERROR(__xludf.DUMMYFUNCTION("""COMPUTED_VALUE"""),"Influencers who had successful careers")</f>
        <v>Influencers who had successful careers</v>
      </c>
      <c r="F626" s="1" t="str">
        <f ca="1">IFERROR(__xludf.DUMMYFUNCTION("""COMPUTED_VALUE"""),"Yes, I will earn and do that")</f>
        <v>Yes, I will earn and do that</v>
      </c>
      <c r="G626" s="1" t="str">
        <f ca="1">IFERROR(__xludf.DUMMYFUNCTION("""COMPUTED_VALUE"""),"This will be hard to do, but if it is the right company I would try")</f>
        <v>This will be hard to do, but if it is the right company I would try</v>
      </c>
      <c r="H626" s="1" t="str">
        <f ca="1">IFERROR(__xludf.DUMMYFUNCTION("""COMPUTED_VALUE"""),"No")</f>
        <v>No</v>
      </c>
      <c r="I626" s="1" t="str">
        <f ca="1">IFERROR(__xludf.DUMMYFUNCTION("""COMPUTED_VALUE"""),"Will NOT work for them")</f>
        <v>Will NOT work for them</v>
      </c>
      <c r="J626" s="1">
        <f ca="1">IFERROR(__xludf.DUMMYFUNCTION("""COMPUTED_VALUE"""),1)</f>
        <v>1</v>
      </c>
      <c r="K626" s="1" t="str">
        <f ca="1">IFERROR(__xludf.DUMMYFUNCTION("""COMPUTED_VALUE"""),"Hybrid Working Environment with less than 3 days a month at office")</f>
        <v>Hybrid Working Environment with less than 3 days a month at office</v>
      </c>
      <c r="L626" s="1" t="str">
        <f ca="1">IFERROR(__xludf.DUMMYFUNCTION("""COMPUTED_VALUE"""),"Employer who rewards learning and enables that environment")</f>
        <v>Employer who rewards learning and enables that environment</v>
      </c>
      <c r="M62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26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626" s="1" t="str">
        <f ca="1">IFERROR(__xludf.DUMMYFUNCTION("""COMPUTED_VALUE"""),"Manager who explains what is expected, sets a goal and helps achieve it")</f>
        <v>Manager who explains what is expected, sets a goal and helps achieve it</v>
      </c>
      <c r="P626" s="1" t="str">
        <f ca="1">IFERROR(__xludf.DUMMYFUNCTION("""COMPUTED_VALUE"""),"Work with 5 to 6 people in my team")</f>
        <v>Work with 5 to 6 people in my team</v>
      </c>
      <c r="Q626" s="1" t="str">
        <f ca="1">IFERROR(__xludf.DUMMYFUNCTION("""COMPUTED_VALUE"""),"Yes, I Understand this is gonna happen everywhere")</f>
        <v>Yes, I Understand this is gonna happen everywhere</v>
      </c>
      <c r="R626" s="1" t="str">
        <f ca="1">IFERROR(__xludf.DUMMYFUNCTION("""COMPUTED_VALUE"""),"This will be hard to do, but if it is the right company I would try")</f>
        <v>This will be hard to do, but if it is the right company I would try</v>
      </c>
      <c r="S626" s="1"/>
    </row>
    <row r="627" spans="1:19" ht="12.5" x14ac:dyDescent="0.25">
      <c r="A627" s="2">
        <f ca="1">IFERROR(__xludf.DUMMYFUNCTION("""COMPUTED_VALUE"""),45021.8309088425)</f>
        <v>45021.830908842501</v>
      </c>
      <c r="B627" s="1" t="str">
        <f ca="1">IFERROR(__xludf.DUMMYFUNCTION("""COMPUTED_VALUE"""),"Others")</f>
        <v>Others</v>
      </c>
      <c r="C627" s="1" t="str">
        <f ca="1">IFERROR(__xludf.DUMMYFUNCTION("""COMPUTED_VALUE"""),"SY23")</f>
        <v>SY23</v>
      </c>
      <c r="D627" s="1" t="str">
        <f ca="1">IFERROR(__xludf.DUMMYFUNCTION("""COMPUTED_VALUE"""),"Male")</f>
        <v>Male</v>
      </c>
      <c r="E627" s="1" t="str">
        <f ca="1">IFERROR(__xludf.DUMMYFUNCTION("""COMPUTED_VALUE"""),"People from my circle, but not family members")</f>
        <v>People from my circle, but not family members</v>
      </c>
      <c r="F627" s="1" t="str">
        <f ca="1">IFERROR(__xludf.DUMMYFUNCTION("""COMPUTED_VALUE"""),"Yes, I will earn and do that")</f>
        <v>Yes, I will earn and do that</v>
      </c>
      <c r="G627" s="1" t="str">
        <f ca="1">IFERROR(__xludf.DUMMYFUNCTION("""COMPUTED_VALUE"""),"This will be hard to do, but if it is the right company I would try")</f>
        <v>This will be hard to do, but if it is the right company I would try</v>
      </c>
      <c r="H627" s="1" t="str">
        <f ca="1">IFERROR(__xludf.DUMMYFUNCTION("""COMPUTED_VALUE"""),"Yes")</f>
        <v>Yes</v>
      </c>
      <c r="I627" s="1" t="str">
        <f ca="1">IFERROR(__xludf.DUMMYFUNCTION("""COMPUTED_VALUE"""),"Will work for them")</f>
        <v>Will work for them</v>
      </c>
      <c r="J627" s="1">
        <f ca="1">IFERROR(__xludf.DUMMYFUNCTION("""COMPUTED_VALUE"""),10)</f>
        <v>10</v>
      </c>
      <c r="K627" s="1" t="str">
        <f ca="1">IFERROR(__xludf.DUMMYFUNCTION("""COMPUTED_VALUE"""),"Hybrid Working Environment with more than 15 days a month at office")</f>
        <v>Hybrid Working Environment with more than 15 days a month at office</v>
      </c>
      <c r="L627" s="1" t="str">
        <f ca="1">IFERROR(__xludf.DUMMYFUNCTION("""COMPUTED_VALUE"""),"Employer who appreciates learning and enables that environment")</f>
        <v>Employer who appreciates learning and enables that environment</v>
      </c>
      <c r="M62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627" s="1" t="str">
        <f ca="1">IFERROR(__xludf.DUMMYFUNCTION("""COMPUTED_VALUE"""),"Manage and drive End-to-End Projects or Products, Work as a freelancer and do my thing my way, Entrepreneur or Start Up, Manufacturing / Oil and Gas/ Construction / Hard Physical Work related")</f>
        <v>Manage and drive End-to-End Projects or Products, Work as a freelancer and do my thing my way, Entrepreneur or Start Up, Manufacturing / Oil and Gas/ Construction / Hard Physical Work related</v>
      </c>
      <c r="O627" s="1" t="str">
        <f ca="1">IFERROR(__xludf.DUMMYFUNCTION("""COMPUTED_VALUE"""),"Manager who explains what is expected, sets a goal and helps achieve it")</f>
        <v>Manager who explains what is expected, sets a goal and helps achieve it</v>
      </c>
      <c r="P627" s="1" t="str">
        <f ca="1">IFERROR(__xludf.DUMMYFUNCTION("""COMPUTED_VALUE"""),"Work alone, Work with 2 to 3 people in my team")</f>
        <v>Work alone, Work with 2 to 3 people in my team</v>
      </c>
      <c r="Q627" s="1" t="str">
        <f ca="1">IFERROR(__xludf.DUMMYFUNCTION("""COMPUTED_VALUE"""),"Yes, I Understand this is gonna happen everywhere")</f>
        <v>Yes, I Understand this is gonna happen everywhere</v>
      </c>
      <c r="R627" s="1" t="str">
        <f ca="1">IFERROR(__xludf.DUMMYFUNCTION("""COMPUTED_VALUE"""),"This will be hard to do, but if it is the right company I would try")</f>
        <v>This will be hard to do, but if it is the right company I would try</v>
      </c>
      <c r="S627" s="1"/>
    </row>
    <row r="628" spans="1:19" ht="12.5" x14ac:dyDescent="0.25">
      <c r="A628" s="2">
        <f ca="1">IFERROR(__xludf.DUMMYFUNCTION("""COMPUTED_VALUE"""),45021.8429500578)</f>
        <v>45021.842950057799</v>
      </c>
      <c r="B628" s="1" t="str">
        <f ca="1">IFERROR(__xludf.DUMMYFUNCTION("""COMPUTED_VALUE"""),"India")</f>
        <v>India</v>
      </c>
      <c r="C628" s="1">
        <f ca="1">IFERROR(__xludf.DUMMYFUNCTION("""COMPUTED_VALUE"""),440014)</f>
        <v>440014</v>
      </c>
      <c r="D628" s="1" t="str">
        <f ca="1">IFERROR(__xludf.DUMMYFUNCTION("""COMPUTED_VALUE"""),"Male")</f>
        <v>Male</v>
      </c>
      <c r="E628" s="1" t="str">
        <f ca="1">IFERROR(__xludf.DUMMYFUNCTION("""COMPUTED_VALUE"""),"Influencers who had successful careers")</f>
        <v>Influencers who had successful careers</v>
      </c>
      <c r="F628" s="1" t="str">
        <f ca="1">IFERROR(__xludf.DUMMYFUNCTION("""COMPUTED_VALUE"""),"Yes, I will earn and do that")</f>
        <v>Yes, I will earn and do that</v>
      </c>
      <c r="G628" s="1" t="str">
        <f ca="1">IFERROR(__xludf.DUMMYFUNCTION("""COMPUTED_VALUE"""),"This will be hard to do, but if it is the right company I would try")</f>
        <v>This will be hard to do, but if it is the right company I would try</v>
      </c>
      <c r="H628" s="1" t="str">
        <f ca="1">IFERROR(__xludf.DUMMYFUNCTION("""COMPUTED_VALUE"""),"Yes")</f>
        <v>Yes</v>
      </c>
      <c r="I628" s="1" t="str">
        <f ca="1">IFERROR(__xludf.DUMMYFUNCTION("""COMPUTED_VALUE"""),"Will NOT work for them")</f>
        <v>Will NOT work for them</v>
      </c>
      <c r="J628" s="1">
        <f ca="1">IFERROR(__xludf.DUMMYFUNCTION("""COMPUTED_VALUE"""),4)</f>
        <v>4</v>
      </c>
      <c r="K628" s="1" t="str">
        <f ca="1">IFERROR(__xludf.DUMMYFUNCTION("""COMPUTED_VALUE"""),"Every Day Office Environment")</f>
        <v>Every Day Office Environment</v>
      </c>
      <c r="L628" s="1" t="str">
        <f ca="1">IFERROR(__xludf.DUMMYFUNCTION("""COMPUTED_VALUE"""),"Employer who appreciates learning and enables that environment")</f>
        <v>Employer who appreciates learning and enables that environment</v>
      </c>
      <c r="M62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28" s="1" t="str">
        <f ca="1">IFERROR(__xludf.DUMMYFUNCTION("""COMPUTED_VALUE"""),"Manage and drive End-to-End Projects or Products, Build and develop a Team, Design and Develop amazing software, Become a content Creator in some platform")</f>
        <v>Manage and drive End-to-End Projects or Products, Build and develop a Team, Design and Develop amazing software, Become a content Creator in some platform</v>
      </c>
      <c r="O628" s="1" t="str">
        <f ca="1">IFERROR(__xludf.DUMMYFUNCTION("""COMPUTED_VALUE"""),"Manager who clearly describes what she/he needs")</f>
        <v>Manager who clearly describes what she/he needs</v>
      </c>
      <c r="P628" s="1" t="str">
        <f ca="1">IFERROR(__xludf.DUMMYFUNCTION("""COMPUTED_VALUE"""),"Work alone")</f>
        <v>Work alone</v>
      </c>
      <c r="Q628" s="1" t="str">
        <f ca="1">IFERROR(__xludf.DUMMYFUNCTION("""COMPUTED_VALUE"""),"I have NO other choice")</f>
        <v>I have NO other choice</v>
      </c>
      <c r="R628" s="1" t="str">
        <f ca="1">IFERROR(__xludf.DUMMYFUNCTION("""COMPUTED_VALUE"""),"No way")</f>
        <v>No way</v>
      </c>
      <c r="S628" s="1"/>
    </row>
    <row r="629" spans="1:19" ht="12.5" x14ac:dyDescent="0.25">
      <c r="A629" s="2">
        <f ca="1">IFERROR(__xludf.DUMMYFUNCTION("""COMPUTED_VALUE"""),45021.8478199074)</f>
        <v>45021.847819907402</v>
      </c>
      <c r="B629" s="1" t="str">
        <f ca="1">IFERROR(__xludf.DUMMYFUNCTION("""COMPUTED_VALUE"""),"India")</f>
        <v>India</v>
      </c>
      <c r="C629" s="1">
        <f ca="1">IFERROR(__xludf.DUMMYFUNCTION("""COMPUTED_VALUE"""),400059)</f>
        <v>400059</v>
      </c>
      <c r="D629" s="1" t="str">
        <f ca="1">IFERROR(__xludf.DUMMYFUNCTION("""COMPUTED_VALUE"""),"Female")</f>
        <v>Female</v>
      </c>
      <c r="E629" s="1" t="str">
        <f ca="1">IFERROR(__xludf.DUMMYFUNCTION("""COMPUTED_VALUE"""),"People who have changed the world for better")</f>
        <v>People who have changed the world for better</v>
      </c>
      <c r="F629" s="1" t="str">
        <f ca="1">IFERROR(__xludf.DUMMYFUNCTION("""COMPUTED_VALUE"""),"Yes, I will earn and do that")</f>
        <v>Yes, I will earn and do that</v>
      </c>
      <c r="G629" s="1" t="str">
        <f ca="1">IFERROR(__xludf.DUMMYFUNCTION("""COMPUTED_VALUE"""),"This will be hard to do, but if it is the right company I would try")</f>
        <v>This will be hard to do, but if it is the right company I would try</v>
      </c>
      <c r="H629" s="1" t="str">
        <f ca="1">IFERROR(__xludf.DUMMYFUNCTION("""COMPUTED_VALUE"""),"No")</f>
        <v>No</v>
      </c>
      <c r="I629" s="1" t="str">
        <f ca="1">IFERROR(__xludf.DUMMYFUNCTION("""COMPUTED_VALUE"""),"Will NOT work for them")</f>
        <v>Will NOT work for them</v>
      </c>
      <c r="J629" s="1">
        <f ca="1">IFERROR(__xludf.DUMMYFUNCTION("""COMPUTED_VALUE"""),5)</f>
        <v>5</v>
      </c>
      <c r="K629" s="1" t="str">
        <f ca="1">IFERROR(__xludf.DUMMYFUNCTION("""COMPUTED_VALUE"""),"Hybrid Working Environment with less than 3 days a month at office")</f>
        <v>Hybrid Working Environment with less than 3 days a month at office</v>
      </c>
      <c r="L6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2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29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629" s="1" t="str">
        <f ca="1">IFERROR(__xludf.DUMMYFUNCTION("""COMPUTED_VALUE"""),"Manager who explains what is expected, sets a goal and helps achieve it")</f>
        <v>Manager who explains what is expected, sets a goal and helps achieve it</v>
      </c>
      <c r="P629" s="1" t="str">
        <f ca="1">IFERROR(__xludf.DUMMYFUNCTION("""COMPUTED_VALUE"""),"Work alone, Work with 2 to 3 people in my team")</f>
        <v>Work alone, Work with 2 to 3 people in my team</v>
      </c>
      <c r="Q629" s="1" t="str">
        <f ca="1">IFERROR(__xludf.DUMMYFUNCTION("""COMPUTED_VALUE"""),"No")</f>
        <v>No</v>
      </c>
      <c r="R629" s="1" t="str">
        <f ca="1">IFERROR(__xludf.DUMMYFUNCTION("""COMPUTED_VALUE"""),"This will be hard to do, but if it is the right company I would try")</f>
        <v>This will be hard to do, but if it is the right company I would try</v>
      </c>
      <c r="S629" s="1"/>
    </row>
    <row r="630" spans="1:19" ht="12.5" x14ac:dyDescent="0.25">
      <c r="A630" s="2">
        <f ca="1">IFERROR(__xludf.DUMMYFUNCTION("""COMPUTED_VALUE"""),45021.8485641319)</f>
        <v>45021.848564131898</v>
      </c>
      <c r="B630" s="1" t="str">
        <f ca="1">IFERROR(__xludf.DUMMYFUNCTION("""COMPUTED_VALUE"""),"India")</f>
        <v>India</v>
      </c>
      <c r="C630" s="1">
        <f ca="1">IFERROR(__xludf.DUMMYFUNCTION("""COMPUTED_VALUE"""),442902)</f>
        <v>442902</v>
      </c>
      <c r="D630" s="1" t="str">
        <f ca="1">IFERROR(__xludf.DUMMYFUNCTION("""COMPUTED_VALUE"""),"Male")</f>
        <v>Male</v>
      </c>
      <c r="E630" s="1" t="str">
        <f ca="1">IFERROR(__xludf.DUMMYFUNCTION("""COMPUTED_VALUE"""),"People from my circle, but not family members")</f>
        <v>People from my circle, but not family members</v>
      </c>
      <c r="F630" s="1" t="str">
        <f ca="1">IFERROR(__xludf.DUMMYFUNCTION("""COMPUTED_VALUE"""),"No I would not be pursuing Higher Education outside of India")</f>
        <v>No I would not be pursuing Higher Education outside of India</v>
      </c>
      <c r="G630" s="1" t="str">
        <f ca="1">IFERROR(__xludf.DUMMYFUNCTION("""COMPUTED_VALUE"""),"This will be hard to do, but if it is the right company I would try")</f>
        <v>This will be hard to do, but if it is the right company I would try</v>
      </c>
      <c r="H630" s="1" t="str">
        <f ca="1">IFERROR(__xludf.DUMMYFUNCTION("""COMPUTED_VALUE"""),"No")</f>
        <v>No</v>
      </c>
      <c r="I630" s="1" t="str">
        <f ca="1">IFERROR(__xludf.DUMMYFUNCTION("""COMPUTED_VALUE"""),"Will NOT work for them")</f>
        <v>Will NOT work for them</v>
      </c>
      <c r="J630" s="1">
        <f ca="1">IFERROR(__xludf.DUMMYFUNCTION("""COMPUTED_VALUE"""),5)</f>
        <v>5</v>
      </c>
      <c r="K630" s="1" t="str">
        <f ca="1">IFERROR(__xludf.DUMMYFUNCTION("""COMPUTED_VALUE"""),"Hybrid Working Environment with more than 15 days a month at office")</f>
        <v>Hybrid Working Environment with more than 15 days a month at office</v>
      </c>
      <c r="L630" s="1" t="str">
        <f ca="1">IFERROR(__xludf.DUMMYFUNCTION("""COMPUTED_VALUE"""),"Employer who appreciates learning and enables that environment")</f>
        <v>Employer who appreciates learning and enables that environment</v>
      </c>
      <c r="M63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30" s="1" t="str">
        <f ca="1">IFERROR(__xludf.DUMMYFUNCTION("""COMPUTED_VALUE"""),"Design and Creative strategy in any company, Teaching in any of the institutes/colleges/online or offline, Design and Develop amazing software, An Artificial Intelligence Specialist / Talking to Robots")</f>
        <v>Design and Creative strategy in any company, Teaching in any of the institutes/colleges/online or offline, Design and Develop amazing software, An Artificial Intelligence Specialist / Talking to Robots</v>
      </c>
      <c r="O630" s="1" t="str">
        <f ca="1">IFERROR(__xludf.DUMMYFUNCTION("""COMPUTED_VALUE"""),"Manager who explains what is expected, sets a goal and helps achieve it")</f>
        <v>Manager who explains what is expected, sets a goal and helps achieve it</v>
      </c>
      <c r="P630" s="1" t="str">
        <f ca="1">IFERROR(__xludf.DUMMYFUNCTION("""COMPUTED_VALUE"""),"Work with 2 to 3 people in my team")</f>
        <v>Work with 2 to 3 people in my team</v>
      </c>
      <c r="Q630" s="1" t="str">
        <f ca="1">IFERROR(__xludf.DUMMYFUNCTION("""COMPUTED_VALUE"""),"No")</f>
        <v>No</v>
      </c>
      <c r="R630" s="1" t="str">
        <f ca="1">IFERROR(__xludf.DUMMYFUNCTION("""COMPUTED_VALUE"""),"This will be hard to do, but if it is the right company I would try")</f>
        <v>This will be hard to do, but if it is the right company I would try</v>
      </c>
      <c r="S630" s="1"/>
    </row>
    <row r="631" spans="1:19" ht="12.5" x14ac:dyDescent="0.25">
      <c r="A631" s="2">
        <f ca="1">IFERROR(__xludf.DUMMYFUNCTION("""COMPUTED_VALUE"""),45021.8489791435)</f>
        <v>45021.848979143499</v>
      </c>
      <c r="B631" s="1" t="str">
        <f ca="1">IFERROR(__xludf.DUMMYFUNCTION("""COMPUTED_VALUE"""),"India")</f>
        <v>India</v>
      </c>
      <c r="C631" s="1">
        <f ca="1">IFERROR(__xludf.DUMMYFUNCTION("""COMPUTED_VALUE"""),600088)</f>
        <v>600088</v>
      </c>
      <c r="D631" s="1" t="str">
        <f ca="1">IFERROR(__xludf.DUMMYFUNCTION("""COMPUTED_VALUE"""),"Male")</f>
        <v>Male</v>
      </c>
      <c r="E631" s="1" t="str">
        <f ca="1">IFERROR(__xludf.DUMMYFUNCTION("""COMPUTED_VALUE"""),"My Parents")</f>
        <v>My Parents</v>
      </c>
      <c r="F631" s="1" t="str">
        <f ca="1">IFERROR(__xludf.DUMMYFUNCTION("""COMPUTED_VALUE"""),"No I would not be pursuing Higher Education outside of India")</f>
        <v>No I would not be pursuing Higher Education outside of India</v>
      </c>
      <c r="G631" s="1" t="str">
        <f ca="1">IFERROR(__xludf.DUMMYFUNCTION("""COMPUTED_VALUE"""),"Will work for 3 years or more")</f>
        <v>Will work for 3 years or more</v>
      </c>
      <c r="H631" s="1" t="str">
        <f ca="1">IFERROR(__xludf.DUMMYFUNCTION("""COMPUTED_VALUE"""),"No")</f>
        <v>No</v>
      </c>
      <c r="I631" s="1" t="str">
        <f ca="1">IFERROR(__xludf.DUMMYFUNCTION("""COMPUTED_VALUE"""),"Will work for them")</f>
        <v>Will work for them</v>
      </c>
      <c r="J631" s="1">
        <f ca="1">IFERROR(__xludf.DUMMYFUNCTION("""COMPUTED_VALUE"""),4)</f>
        <v>4</v>
      </c>
      <c r="K631" s="1" t="str">
        <f ca="1">IFERROR(__xludf.DUMMYFUNCTION("""COMPUTED_VALUE"""),"Hybrid Working Environment with more than 15 days a month at office")</f>
        <v>Hybrid Working Environment with more than 15 days a month at office</v>
      </c>
      <c r="L6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3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31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631" s="1" t="str">
        <f ca="1">IFERROR(__xludf.DUMMYFUNCTION("""COMPUTED_VALUE"""),"Manager who sets goal and helps me achieve it")</f>
        <v>Manager who sets goal and helps me achieve it</v>
      </c>
      <c r="P631" s="1" t="str">
        <f ca="1">IFERROR(__xludf.DUMMYFUNCTION("""COMPUTED_VALUE"""),"Work with 5 to 6 people in my team")</f>
        <v>Work with 5 to 6 people in my team</v>
      </c>
      <c r="Q631" s="1" t="str">
        <f ca="1">IFERROR(__xludf.DUMMYFUNCTION("""COMPUTED_VALUE"""),"No")</f>
        <v>No</v>
      </c>
      <c r="R631" s="1" t="str">
        <f ca="1">IFERROR(__xludf.DUMMYFUNCTION("""COMPUTED_VALUE"""),"This will be hard to do, but if it is the right company I would try")</f>
        <v>This will be hard to do, but if it is the right company I would try</v>
      </c>
      <c r="S631" s="1"/>
    </row>
    <row r="632" spans="1:19" ht="12.5" x14ac:dyDescent="0.25">
      <c r="A632" s="2">
        <f ca="1">IFERROR(__xludf.DUMMYFUNCTION("""COMPUTED_VALUE"""),45021.850055162)</f>
        <v>45021.850055162002</v>
      </c>
      <c r="B632" s="1" t="str">
        <f ca="1">IFERROR(__xludf.DUMMYFUNCTION("""COMPUTED_VALUE"""),"India")</f>
        <v>India</v>
      </c>
      <c r="C632" s="1">
        <f ca="1">IFERROR(__xludf.DUMMYFUNCTION("""COMPUTED_VALUE"""),641402)</f>
        <v>641402</v>
      </c>
      <c r="D632" s="1" t="str">
        <f ca="1">IFERROR(__xludf.DUMMYFUNCTION("""COMPUTED_VALUE"""),"Female")</f>
        <v>Female</v>
      </c>
      <c r="E632" s="1" t="str">
        <f ca="1">IFERROR(__xludf.DUMMYFUNCTION("""COMPUTED_VALUE"""),"My Parents")</f>
        <v>My Parents</v>
      </c>
      <c r="F632" s="1" t="str">
        <f ca="1">IFERROR(__xludf.DUMMYFUNCTION("""COMPUTED_VALUE"""),"No, But if someone could bare the cost I will")</f>
        <v>No, But if someone could bare the cost I will</v>
      </c>
      <c r="G632" s="1" t="str">
        <f ca="1">IFERROR(__xludf.DUMMYFUNCTION("""COMPUTED_VALUE"""),"No way")</f>
        <v>No way</v>
      </c>
      <c r="H632" s="1" t="str">
        <f ca="1">IFERROR(__xludf.DUMMYFUNCTION("""COMPUTED_VALUE"""),"No")</f>
        <v>No</v>
      </c>
      <c r="I632" s="1" t="str">
        <f ca="1">IFERROR(__xludf.DUMMYFUNCTION("""COMPUTED_VALUE"""),"Will work for them")</f>
        <v>Will work for them</v>
      </c>
      <c r="J632" s="1">
        <f ca="1">IFERROR(__xludf.DUMMYFUNCTION("""COMPUTED_VALUE"""),4)</f>
        <v>4</v>
      </c>
      <c r="K632" s="1" t="str">
        <f ca="1">IFERROR(__xludf.DUMMYFUNCTION("""COMPUTED_VALUE"""),"Hybrid Working Environment with less than 3 days a month at office")</f>
        <v>Hybrid Working Environment with less than 3 days a month at office</v>
      </c>
      <c r="L632" s="1" t="str">
        <f ca="1">IFERROR(__xludf.DUMMYFUNCTION("""COMPUTED_VALUE"""),"Employer who appreciates learning and enables that environment")</f>
        <v>Employer who appreciates learning and enables that environment</v>
      </c>
      <c r="M63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632" s="1" t="str">
        <f ca="1">IFERROR(__xludf.DUMMYFUNCTION("""COMPUTED_VALUE"""),"Teaching in any of the institutes/colleges/online or offline, Build and develop a Team, Design and Develop amazing software, I Want to sell things/Sales")</f>
        <v>Teaching in any of the institutes/colleges/online or offline, Build and develop a Team, Design and Develop amazing software, I Want to sell things/Sales</v>
      </c>
      <c r="O632" s="1" t="str">
        <f ca="1">IFERROR(__xludf.DUMMYFUNCTION("""COMPUTED_VALUE"""),"Manager who clearly describes what she/he needs")</f>
        <v>Manager who clearly describes what she/he needs</v>
      </c>
      <c r="P632" s="1" t="str">
        <f ca="1">IFERROR(__xludf.DUMMYFUNCTION("""COMPUTED_VALUE"""),"Work with more than 10 people in my team")</f>
        <v>Work with more than 10 people in my team</v>
      </c>
      <c r="Q632" s="1" t="str">
        <f ca="1">IFERROR(__xludf.DUMMYFUNCTION("""COMPUTED_VALUE"""),"No")</f>
        <v>No</v>
      </c>
      <c r="R632" s="1" t="str">
        <f ca="1">IFERROR(__xludf.DUMMYFUNCTION("""COMPUTED_VALUE"""),"No way")</f>
        <v>No way</v>
      </c>
      <c r="S632" s="1"/>
    </row>
    <row r="633" spans="1:19" ht="12.5" x14ac:dyDescent="0.25">
      <c r="A633" s="2">
        <f ca="1">IFERROR(__xludf.DUMMYFUNCTION("""COMPUTED_VALUE"""),45021.85120103)</f>
        <v>45021.851201029996</v>
      </c>
      <c r="B633" s="1" t="str">
        <f ca="1">IFERROR(__xludf.DUMMYFUNCTION("""COMPUTED_VALUE"""),"India")</f>
        <v>India</v>
      </c>
      <c r="C633" s="1">
        <f ca="1">IFERROR(__xludf.DUMMYFUNCTION("""COMPUTED_VALUE"""),606601)</f>
        <v>606601</v>
      </c>
      <c r="D633" s="1" t="str">
        <f ca="1">IFERROR(__xludf.DUMMYFUNCTION("""COMPUTED_VALUE"""),"Male")</f>
        <v>Male</v>
      </c>
      <c r="E633" s="1" t="str">
        <f ca="1">IFERROR(__xludf.DUMMYFUNCTION("""COMPUTED_VALUE"""),"Influencers who had successful careers")</f>
        <v>Influencers who had successful careers</v>
      </c>
      <c r="F633" s="1" t="str">
        <f ca="1">IFERROR(__xludf.DUMMYFUNCTION("""COMPUTED_VALUE"""),"Yes, I will earn and do that")</f>
        <v>Yes, I will earn and do that</v>
      </c>
      <c r="G633" s="1" t="str">
        <f ca="1">IFERROR(__xludf.DUMMYFUNCTION("""COMPUTED_VALUE"""),"Will work for 3 years or more")</f>
        <v>Will work for 3 years or more</v>
      </c>
      <c r="H633" s="1" t="str">
        <f ca="1">IFERROR(__xludf.DUMMYFUNCTION("""COMPUTED_VALUE"""),"Yes")</f>
        <v>Yes</v>
      </c>
      <c r="I633" s="1" t="str">
        <f ca="1">IFERROR(__xludf.DUMMYFUNCTION("""COMPUTED_VALUE"""),"Will NOT work for them")</f>
        <v>Will NOT work for them</v>
      </c>
      <c r="J633" s="1">
        <f ca="1">IFERROR(__xludf.DUMMYFUNCTION("""COMPUTED_VALUE"""),7)</f>
        <v>7</v>
      </c>
      <c r="K633" s="1" t="str">
        <f ca="1">IFERROR(__xludf.DUMMYFUNCTION("""COMPUTED_VALUE"""),"Hybrid Working Environment with more than 15 days a month at office")</f>
        <v>Hybrid Working Environment with more than 15 days a month at office</v>
      </c>
      <c r="L633" s="1" t="str">
        <f ca="1">IFERROR(__xludf.DUMMYFUNCTION("""COMPUTED_VALUE"""),"Employer who appreciates learning and enables that environment")</f>
        <v>Employer who appreciates learning and enables that environment</v>
      </c>
      <c r="M63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33" s="1" t="str">
        <f ca="1">IFERROR(__xludf.DUMMYFUNCTION("""COMPUTED_VALUE"""),"Business Operations in any organization, Build and develop a Team, Design and Develop amazing software, Look deeply into Data and generate insights")</f>
        <v>Business Operations in any organization, Build and develop a Team, Design and Develop amazing software, Look deeply into Data and generate insights</v>
      </c>
      <c r="O633" s="1" t="str">
        <f ca="1">IFERROR(__xludf.DUMMYFUNCTION("""COMPUTED_VALUE"""),"Manager who explains what is expected, sets a goal and helps achieve it")</f>
        <v>Manager who explains what is expected, sets a goal and helps achieve it</v>
      </c>
      <c r="P633" s="1" t="str">
        <f ca="1">IFERROR(__xludf.DUMMYFUNCTION("""COMPUTED_VALUE"""),"Work with 5 to 6 people in my team")</f>
        <v>Work with 5 to 6 people in my team</v>
      </c>
      <c r="Q633" s="1" t="str">
        <f ca="1">IFERROR(__xludf.DUMMYFUNCTION("""COMPUTED_VALUE"""),"Yes, I Understand this is gonna happen everywhere")</f>
        <v>Yes, I Understand this is gonna happen everywhere</v>
      </c>
      <c r="R633" s="1" t="str">
        <f ca="1">IFERROR(__xludf.DUMMYFUNCTION("""COMPUTED_VALUE"""),"This will be hard to do, but if it is the right company I would try")</f>
        <v>This will be hard to do, but if it is the right company I would try</v>
      </c>
      <c r="S633" s="1"/>
    </row>
    <row r="634" spans="1:19" ht="12.5" x14ac:dyDescent="0.25">
      <c r="A634" s="2">
        <f ca="1">IFERROR(__xludf.DUMMYFUNCTION("""COMPUTED_VALUE"""),45021.8537056018)</f>
        <v>45021.853705601803</v>
      </c>
      <c r="B634" s="1" t="str">
        <f ca="1">IFERROR(__xludf.DUMMYFUNCTION("""COMPUTED_VALUE"""),"India")</f>
        <v>India</v>
      </c>
      <c r="C634" s="1">
        <f ca="1">IFERROR(__xludf.DUMMYFUNCTION("""COMPUTED_VALUE"""),400075)</f>
        <v>400075</v>
      </c>
      <c r="D634" s="1" t="str">
        <f ca="1">IFERROR(__xludf.DUMMYFUNCTION("""COMPUTED_VALUE"""),"Female")</f>
        <v>Female</v>
      </c>
      <c r="E634" s="1" t="str">
        <f ca="1">IFERROR(__xludf.DUMMYFUNCTION("""COMPUTED_VALUE"""),"My Parents")</f>
        <v>My Parents</v>
      </c>
      <c r="F634" s="1" t="str">
        <f ca="1">IFERROR(__xludf.DUMMYFUNCTION("""COMPUTED_VALUE"""),"No I would not be pursuing Higher Education outside of India")</f>
        <v>No I would not be pursuing Higher Education outside of India</v>
      </c>
      <c r="G634" s="1" t="str">
        <f ca="1">IFERROR(__xludf.DUMMYFUNCTION("""COMPUTED_VALUE"""),"This will be hard to do, but if it is the right company I would try")</f>
        <v>This will be hard to do, but if it is the right company I would try</v>
      </c>
      <c r="H634" s="1" t="str">
        <f ca="1">IFERROR(__xludf.DUMMYFUNCTION("""COMPUTED_VALUE"""),"No")</f>
        <v>No</v>
      </c>
      <c r="I634" s="1" t="str">
        <f ca="1">IFERROR(__xludf.DUMMYFUNCTION("""COMPUTED_VALUE"""),"Will work for them")</f>
        <v>Will work for them</v>
      </c>
      <c r="J634" s="1">
        <f ca="1">IFERROR(__xludf.DUMMYFUNCTION("""COMPUTED_VALUE"""),5)</f>
        <v>5</v>
      </c>
      <c r="K634" s="1" t="str">
        <f ca="1">IFERROR(__xludf.DUMMYFUNCTION("""COMPUTED_VALUE"""),"Every Day Office Environment")</f>
        <v>Every Day Office Environment</v>
      </c>
      <c r="L6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3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34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634" s="1" t="str">
        <f ca="1">IFERROR(__xludf.DUMMYFUNCTION("""COMPUTED_VALUE"""),"Manager who explains what is expected, sets a goal and helps achieve it")</f>
        <v>Manager who explains what is expected, sets a goal and helps achieve it</v>
      </c>
      <c r="P634" s="1" t="str">
        <f ca="1">IFERROR(__xludf.DUMMYFUNCTION("""COMPUTED_VALUE"""),"Work with 5 to 6 people in my team")</f>
        <v>Work with 5 to 6 people in my team</v>
      </c>
      <c r="Q634" s="1" t="str">
        <f ca="1">IFERROR(__xludf.DUMMYFUNCTION("""COMPUTED_VALUE"""),"Yes")</f>
        <v>Yes</v>
      </c>
      <c r="R634" s="1" t="str">
        <f ca="1">IFERROR(__xludf.DUMMYFUNCTION("""COMPUTED_VALUE"""),"This will be hard to do, but if it is the right company I would try")</f>
        <v>This will be hard to do, but if it is the right company I would try</v>
      </c>
      <c r="S634" s="1"/>
    </row>
    <row r="635" spans="1:19" ht="12.5" x14ac:dyDescent="0.25">
      <c r="A635" s="2">
        <f ca="1">IFERROR(__xludf.DUMMYFUNCTION("""COMPUTED_VALUE"""),45021.8540334722)</f>
        <v>45021.854033472198</v>
      </c>
      <c r="B635" s="1" t="str">
        <f ca="1">IFERROR(__xludf.DUMMYFUNCTION("""COMPUTED_VALUE"""),"Others")</f>
        <v>Others</v>
      </c>
      <c r="C635" s="1">
        <f ca="1">IFERROR(__xludf.DUMMYFUNCTION("""COMPUTED_VALUE"""),58200)</f>
        <v>58200</v>
      </c>
      <c r="D635" s="1" t="str">
        <f ca="1">IFERROR(__xludf.DUMMYFUNCTION("""COMPUTED_VALUE"""),"Male")</f>
        <v>Male</v>
      </c>
      <c r="E635" s="1" t="str">
        <f ca="1">IFERROR(__xludf.DUMMYFUNCTION("""COMPUTED_VALUE"""),"Social Media like LinkedIn")</f>
        <v>Social Media like LinkedIn</v>
      </c>
      <c r="F635" s="1" t="str">
        <f ca="1">IFERROR(__xludf.DUMMYFUNCTION("""COMPUTED_VALUE"""),"No, But if someone could bare the cost I will")</f>
        <v>No, But if someone could bare the cost I will</v>
      </c>
      <c r="G635" s="1" t="str">
        <f ca="1">IFERROR(__xludf.DUMMYFUNCTION("""COMPUTED_VALUE"""),"Will work for 3 years or more")</f>
        <v>Will work for 3 years or more</v>
      </c>
      <c r="H635" s="1" t="str">
        <f ca="1">IFERROR(__xludf.DUMMYFUNCTION("""COMPUTED_VALUE"""),"No")</f>
        <v>No</v>
      </c>
      <c r="I635" s="1" t="str">
        <f ca="1">IFERROR(__xludf.DUMMYFUNCTION("""COMPUTED_VALUE"""),"Will NOT work for them")</f>
        <v>Will NOT work for them</v>
      </c>
      <c r="J635" s="1">
        <f ca="1">IFERROR(__xludf.DUMMYFUNCTION("""COMPUTED_VALUE"""),7)</f>
        <v>7</v>
      </c>
      <c r="K635" s="1" t="str">
        <f ca="1">IFERROR(__xludf.DUMMYFUNCTION("""COMPUTED_VALUE"""),"Fully Remote with Options to travel as and when needed")</f>
        <v>Fully Remote with Options to travel as and when needed</v>
      </c>
      <c r="L63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3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35" s="1" t="str">
        <f ca="1">IFERROR(__xludf.DUMMYFUNCTION("""COMPUTED_VALUE"""),"Business Operations in any organization, Work in a BPO setup for some well known client, Work as a freelancer and do my thing my way, I Want to sell things/Sales")</f>
        <v>Business Operations in any organization, Work in a BPO setup for some well known client, Work as a freelancer and do my thing my way, I Want to sell things/Sales</v>
      </c>
      <c r="O635" s="1" t="str">
        <f ca="1">IFERROR(__xludf.DUMMYFUNCTION("""COMPUTED_VALUE"""),"Manager who explains what is expected, sets a goal and helps achieve it")</f>
        <v>Manager who explains what is expected, sets a goal and helps achieve it</v>
      </c>
      <c r="P635" s="1" t="str">
        <f ca="1">IFERROR(__xludf.DUMMYFUNCTION("""COMPUTED_VALUE"""),"Work with more than 10 people in my team")</f>
        <v>Work with more than 10 people in my team</v>
      </c>
      <c r="Q635" s="1" t="str">
        <f ca="1">IFERROR(__xludf.DUMMYFUNCTION("""COMPUTED_VALUE"""),"I have NO other choice")</f>
        <v>I have NO other choice</v>
      </c>
      <c r="R635" s="1" t="str">
        <f ca="1">IFERROR(__xludf.DUMMYFUNCTION("""COMPUTED_VALUE"""),"No way")</f>
        <v>No way</v>
      </c>
      <c r="S635" s="1"/>
    </row>
    <row r="636" spans="1:19" ht="12.5" x14ac:dyDescent="0.25">
      <c r="A636" s="2">
        <f ca="1">IFERROR(__xludf.DUMMYFUNCTION("""COMPUTED_VALUE"""),45021.8549622685)</f>
        <v>45021.854962268502</v>
      </c>
      <c r="B636" s="1" t="str">
        <f ca="1">IFERROR(__xludf.DUMMYFUNCTION("""COMPUTED_VALUE"""),"India")</f>
        <v>India</v>
      </c>
      <c r="C636" s="1">
        <f ca="1">IFERROR(__xludf.DUMMYFUNCTION("""COMPUTED_VALUE"""),400067)</f>
        <v>400067</v>
      </c>
      <c r="D636" s="1" t="str">
        <f ca="1">IFERROR(__xludf.DUMMYFUNCTION("""COMPUTED_VALUE"""),"Male")</f>
        <v>Male</v>
      </c>
      <c r="E636" s="1" t="str">
        <f ca="1">IFERROR(__xludf.DUMMYFUNCTION("""COMPUTED_VALUE"""),"People who have changed the world for better")</f>
        <v>People who have changed the world for better</v>
      </c>
      <c r="F636" s="1" t="str">
        <f ca="1">IFERROR(__xludf.DUMMYFUNCTION("""COMPUTED_VALUE"""),"No I would not be pursuing Higher Education outside of India")</f>
        <v>No I would not be pursuing Higher Education outside of India</v>
      </c>
      <c r="G636" s="1" t="str">
        <f ca="1">IFERROR(__xludf.DUMMYFUNCTION("""COMPUTED_VALUE"""),"This will be hard to do, but if it is the right company I would try")</f>
        <v>This will be hard to do, but if it is the right company I would try</v>
      </c>
      <c r="H636" s="1" t="str">
        <f ca="1">IFERROR(__xludf.DUMMYFUNCTION("""COMPUTED_VALUE"""),"No")</f>
        <v>No</v>
      </c>
      <c r="I636" s="1" t="str">
        <f ca="1">IFERROR(__xludf.DUMMYFUNCTION("""COMPUTED_VALUE"""),"Will NOT work for them")</f>
        <v>Will NOT work for them</v>
      </c>
      <c r="J636" s="1">
        <f ca="1">IFERROR(__xludf.DUMMYFUNCTION("""COMPUTED_VALUE"""),4)</f>
        <v>4</v>
      </c>
      <c r="K636" s="1" t="str">
        <f ca="1">IFERROR(__xludf.DUMMYFUNCTION("""COMPUTED_VALUE"""),"Hybrid Working Environment with more than 15 days a month at office")</f>
        <v>Hybrid Working Environment with more than 15 days a month at office</v>
      </c>
      <c r="L6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3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36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636" s="1" t="str">
        <f ca="1">IFERROR(__xludf.DUMMYFUNCTION("""COMPUTED_VALUE"""),"Manager who explains what is expected, sets a goal and helps achieve it")</f>
        <v>Manager who explains what is expected, sets a goal and helps achieve it</v>
      </c>
      <c r="P636" s="1" t="str">
        <f ca="1">IFERROR(__xludf.DUMMYFUNCTION("""COMPUTED_VALUE"""),"Work with 5 to 6 people in my team")</f>
        <v>Work with 5 to 6 people in my team</v>
      </c>
      <c r="Q636" s="1" t="str">
        <f ca="1">IFERROR(__xludf.DUMMYFUNCTION("""COMPUTED_VALUE"""),"Yes, I Understand this is gonna happen everywhere")</f>
        <v>Yes, I Understand this is gonna happen everywhere</v>
      </c>
      <c r="R636" s="1" t="str">
        <f ca="1">IFERROR(__xludf.DUMMYFUNCTION("""COMPUTED_VALUE"""),"This will be hard to do, but if it is the right company I would try")</f>
        <v>This will be hard to do, but if it is the right company I would try</v>
      </c>
      <c r="S636" s="1"/>
    </row>
    <row r="637" spans="1:19" ht="12.5" x14ac:dyDescent="0.25">
      <c r="A637" s="2">
        <f ca="1">IFERROR(__xludf.DUMMYFUNCTION("""COMPUTED_VALUE"""),45021.8559769675)</f>
        <v>45021.855976967498</v>
      </c>
      <c r="B637" s="1" t="str">
        <f ca="1">IFERROR(__xludf.DUMMYFUNCTION("""COMPUTED_VALUE"""),"India")</f>
        <v>India</v>
      </c>
      <c r="C637" s="1">
        <f ca="1">IFERROR(__xludf.DUMMYFUNCTION("""COMPUTED_VALUE"""),452002)</f>
        <v>452002</v>
      </c>
      <c r="D637" s="1" t="str">
        <f ca="1">IFERROR(__xludf.DUMMYFUNCTION("""COMPUTED_VALUE"""),"Male")</f>
        <v>Male</v>
      </c>
      <c r="E637" s="1" t="str">
        <f ca="1">IFERROR(__xludf.DUMMYFUNCTION("""COMPUTED_VALUE"""),"My Parents")</f>
        <v>My Parents</v>
      </c>
      <c r="F637" s="1" t="str">
        <f ca="1">IFERROR(__xludf.DUMMYFUNCTION("""COMPUTED_VALUE"""),"Yes, I will earn and do that")</f>
        <v>Yes, I will earn and do that</v>
      </c>
      <c r="G637" s="1" t="str">
        <f ca="1">IFERROR(__xludf.DUMMYFUNCTION("""COMPUTED_VALUE"""),"This will be hard to do, but if it is the right company I would try")</f>
        <v>This will be hard to do, but if it is the right company I would try</v>
      </c>
      <c r="H637" s="1" t="str">
        <f ca="1">IFERROR(__xludf.DUMMYFUNCTION("""COMPUTED_VALUE"""),"Yes")</f>
        <v>Yes</v>
      </c>
      <c r="I637" s="1" t="str">
        <f ca="1">IFERROR(__xludf.DUMMYFUNCTION("""COMPUTED_VALUE"""),"Will NOT work for them")</f>
        <v>Will NOT work for them</v>
      </c>
      <c r="J637" s="1">
        <f ca="1">IFERROR(__xludf.DUMMYFUNCTION("""COMPUTED_VALUE"""),2)</f>
        <v>2</v>
      </c>
      <c r="K637" s="1" t="str">
        <f ca="1">IFERROR(__xludf.DUMMYFUNCTION("""COMPUTED_VALUE"""),"Every Day Office Environment")</f>
        <v>Every Day Office Environment</v>
      </c>
      <c r="L637" s="1" t="str">
        <f ca="1">IFERROR(__xludf.DUMMYFUNCTION("""COMPUTED_VALUE"""),"Employer who appreciates learning and enables that environment")</f>
        <v>Employer who appreciates learning and enables that environment</v>
      </c>
      <c r="M63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637" s="1" t="str">
        <f ca="1">IFERROR(__xludf.DUMMYFUNCTION("""COMPUTED_VALUE"""),"Build and develop a Team, Look deeply into Data and generate insights, Entrepreneur or Start Up, Manufacturing / Oil and Gas/ Construction / Hard Physical Work related")</f>
        <v>Build and develop a Team, Look deeply into Data and generate insights, Entrepreneur or Start Up, Manufacturing / Oil and Gas/ Construction / Hard Physical Work related</v>
      </c>
      <c r="O637" s="1" t="str">
        <f ca="1">IFERROR(__xludf.DUMMYFUNCTION("""COMPUTED_VALUE"""),"Manager who sets goal and helps me achieve it")</f>
        <v>Manager who sets goal and helps me achieve it</v>
      </c>
      <c r="P637" s="1" t="str">
        <f ca="1">IFERROR(__xludf.DUMMYFUNCTION("""COMPUTED_VALUE"""),"Work with 2 to 3 people in my team, Work with 5 to 6 people in my team")</f>
        <v>Work with 2 to 3 people in my team, Work with 5 to 6 people in my team</v>
      </c>
      <c r="Q637" s="1" t="str">
        <f ca="1">IFERROR(__xludf.DUMMYFUNCTION("""COMPUTED_VALUE"""),"Yes, I Understand this is gonna happen everywhere")</f>
        <v>Yes, I Understand this is gonna happen everywhere</v>
      </c>
      <c r="R637" s="1" t="str">
        <f ca="1">IFERROR(__xludf.DUMMYFUNCTION("""COMPUTED_VALUE"""),"This will be hard to do, but if it is the right company I would try")</f>
        <v>This will be hard to do, but if it is the right company I would try</v>
      </c>
      <c r="S637" s="1"/>
    </row>
    <row r="638" spans="1:19" ht="12.5" x14ac:dyDescent="0.25">
      <c r="A638" s="2">
        <f ca="1">IFERROR(__xludf.DUMMYFUNCTION("""COMPUTED_VALUE"""),45021.8583358449)</f>
        <v>45021.858335844903</v>
      </c>
      <c r="B638" s="1" t="str">
        <f ca="1">IFERROR(__xludf.DUMMYFUNCTION("""COMPUTED_VALUE"""),"India")</f>
        <v>India</v>
      </c>
      <c r="C638" s="1">
        <f ca="1">IFERROR(__xludf.DUMMYFUNCTION("""COMPUTED_VALUE"""),522101)</f>
        <v>522101</v>
      </c>
      <c r="D638" s="1" t="str">
        <f ca="1">IFERROR(__xludf.DUMMYFUNCTION("""COMPUTED_VALUE"""),"Male")</f>
        <v>Male</v>
      </c>
      <c r="E638" s="1" t="str">
        <f ca="1">IFERROR(__xludf.DUMMYFUNCTION("""COMPUTED_VALUE"""),"People who have changed the world for better")</f>
        <v>People who have changed the world for better</v>
      </c>
      <c r="F638" s="1" t="str">
        <f ca="1">IFERROR(__xludf.DUMMYFUNCTION("""COMPUTED_VALUE"""),"No I would not be pursuing Higher Education outside of India")</f>
        <v>No I would not be pursuing Higher Education outside of India</v>
      </c>
      <c r="G638" s="1" t="str">
        <f ca="1">IFERROR(__xludf.DUMMYFUNCTION("""COMPUTED_VALUE"""),"This will be hard to do, but if it is the right company I would try")</f>
        <v>This will be hard to do, but if it is the right company I would try</v>
      </c>
      <c r="H638" s="1" t="str">
        <f ca="1">IFERROR(__xludf.DUMMYFUNCTION("""COMPUTED_VALUE"""),"No")</f>
        <v>No</v>
      </c>
      <c r="I638" s="1" t="str">
        <f ca="1">IFERROR(__xludf.DUMMYFUNCTION("""COMPUTED_VALUE"""),"Will NOT work for them")</f>
        <v>Will NOT work for them</v>
      </c>
      <c r="J638" s="1">
        <f ca="1">IFERROR(__xludf.DUMMYFUNCTION("""COMPUTED_VALUE"""),5)</f>
        <v>5</v>
      </c>
      <c r="K638" s="1" t="str">
        <f ca="1">IFERROR(__xludf.DUMMYFUNCTION("""COMPUTED_VALUE"""),"Fully Remote with Options to travel as and when needed")</f>
        <v>Fully Remote with Options to travel as and when needed</v>
      </c>
      <c r="L6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3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38" s="1" t="str">
        <f ca="1">IFERROR(__xludf.DUMMYFUNCTION("""COMPUTED_VALUE"""),"Business Operations in any organization, Manage and drive End-to-End Projects or Products, Design and Develop amazing software, Work as a freelancer and do my thing my way")</f>
        <v>Business Operations in any organization, Manage and drive End-to-End Projects or Products, Design and Develop amazing software, Work as a freelancer and do my thing my way</v>
      </c>
      <c r="O638" s="1" t="str">
        <f ca="1">IFERROR(__xludf.DUMMYFUNCTION("""COMPUTED_VALUE"""),"Manager who clearly describes what she/he needs")</f>
        <v>Manager who clearly describes what she/he needs</v>
      </c>
      <c r="P638" s="1" t="str">
        <f ca="1">IFERROR(__xludf.DUMMYFUNCTION("""COMPUTED_VALUE"""),"Work with 5 to 6 people in my team")</f>
        <v>Work with 5 to 6 people in my team</v>
      </c>
      <c r="Q638" s="1" t="str">
        <f ca="1">IFERROR(__xludf.DUMMYFUNCTION("""COMPUTED_VALUE"""),"Yes, I Understand this is gonna happen everywhere")</f>
        <v>Yes, I Understand this is gonna happen everywhere</v>
      </c>
      <c r="R638" s="1" t="str">
        <f ca="1">IFERROR(__xludf.DUMMYFUNCTION("""COMPUTED_VALUE"""),"This will be hard to do, but if it is the right company I would try")</f>
        <v>This will be hard to do, but if it is the right company I would try</v>
      </c>
      <c r="S638" s="1"/>
    </row>
    <row r="639" spans="1:19" ht="12.5" x14ac:dyDescent="0.25">
      <c r="A639" s="2">
        <f ca="1">IFERROR(__xludf.DUMMYFUNCTION("""COMPUTED_VALUE"""),45021.8602489814)</f>
        <v>45021.8602489814</v>
      </c>
      <c r="B639" s="1" t="str">
        <f ca="1">IFERROR(__xludf.DUMMYFUNCTION("""COMPUTED_VALUE"""),"India")</f>
        <v>India</v>
      </c>
      <c r="C639" s="1">
        <f ca="1">IFERROR(__xludf.DUMMYFUNCTION("""COMPUTED_VALUE"""),560023)</f>
        <v>560023</v>
      </c>
      <c r="D639" s="1" t="str">
        <f ca="1">IFERROR(__xludf.DUMMYFUNCTION("""COMPUTED_VALUE"""),"Female")</f>
        <v>Female</v>
      </c>
      <c r="E639" s="1" t="str">
        <f ca="1">IFERROR(__xludf.DUMMYFUNCTION("""COMPUTED_VALUE"""),"People who have changed the world for better")</f>
        <v>People who have changed the world for better</v>
      </c>
      <c r="F639" s="1" t="str">
        <f ca="1">IFERROR(__xludf.DUMMYFUNCTION("""COMPUTED_VALUE"""),"Yes, I will earn and do that")</f>
        <v>Yes, I will earn and do that</v>
      </c>
      <c r="G639" s="1" t="str">
        <f ca="1">IFERROR(__xludf.DUMMYFUNCTION("""COMPUTED_VALUE"""),"This will be hard to do, but if it is the right company I would try")</f>
        <v>This will be hard to do, but if it is the right company I would try</v>
      </c>
      <c r="H639" s="1" t="str">
        <f ca="1">IFERROR(__xludf.DUMMYFUNCTION("""COMPUTED_VALUE"""),"No")</f>
        <v>No</v>
      </c>
      <c r="I639" s="1" t="str">
        <f ca="1">IFERROR(__xludf.DUMMYFUNCTION("""COMPUTED_VALUE"""),"Will NOT work for them")</f>
        <v>Will NOT work for them</v>
      </c>
      <c r="J639" s="1">
        <f ca="1">IFERROR(__xludf.DUMMYFUNCTION("""COMPUTED_VALUE"""),4)</f>
        <v>4</v>
      </c>
      <c r="K639" s="1" t="str">
        <f ca="1">IFERROR(__xludf.DUMMYFUNCTION("""COMPUTED_VALUE"""),"Hybrid Working Environment with more than 15 days a month at office")</f>
        <v>Hybrid Working Environment with more than 15 days a month at office</v>
      </c>
      <c r="L6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3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639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639" s="1" t="str">
        <f ca="1">IFERROR(__xludf.DUMMYFUNCTION("""COMPUTED_VALUE"""),"Manager who explains what is expected, sets a goal and helps achieve it")</f>
        <v>Manager who explains what is expected, sets a goal and helps achieve it</v>
      </c>
      <c r="P639" s="1" t="str">
        <f ca="1">IFERROR(__xludf.DUMMYFUNCTION("""COMPUTED_VALUE"""),"Work with 2 to 3 people in my team")</f>
        <v>Work with 2 to 3 people in my team</v>
      </c>
      <c r="Q639" s="1" t="str">
        <f ca="1">IFERROR(__xludf.DUMMYFUNCTION("""COMPUTED_VALUE"""),"I have NO other choice")</f>
        <v>I have NO other choice</v>
      </c>
      <c r="R639" s="1" t="str">
        <f ca="1">IFERROR(__xludf.DUMMYFUNCTION("""COMPUTED_VALUE"""),"No way")</f>
        <v>No way</v>
      </c>
      <c r="S639" s="1"/>
    </row>
    <row r="640" spans="1:19" ht="12.5" x14ac:dyDescent="0.25">
      <c r="A640" s="2">
        <f ca="1">IFERROR(__xludf.DUMMYFUNCTION("""COMPUTED_VALUE"""),45021.8647848842)</f>
        <v>45021.864784884201</v>
      </c>
      <c r="B640" s="1" t="str">
        <f ca="1">IFERROR(__xludf.DUMMYFUNCTION("""COMPUTED_VALUE"""),"India")</f>
        <v>India</v>
      </c>
      <c r="C640" s="1">
        <f ca="1">IFERROR(__xludf.DUMMYFUNCTION("""COMPUTED_VALUE"""),442902)</f>
        <v>442902</v>
      </c>
      <c r="D640" s="1" t="str">
        <f ca="1">IFERROR(__xludf.DUMMYFUNCTION("""COMPUTED_VALUE"""),"Female")</f>
        <v>Female</v>
      </c>
      <c r="E640" s="1" t="str">
        <f ca="1">IFERROR(__xludf.DUMMYFUNCTION("""COMPUTED_VALUE"""),"My Parents")</f>
        <v>My Parents</v>
      </c>
      <c r="F640" s="1" t="str">
        <f ca="1">IFERROR(__xludf.DUMMYFUNCTION("""COMPUTED_VALUE"""),"No, But if someone could bare the cost I will")</f>
        <v>No, But if someone could bare the cost I will</v>
      </c>
      <c r="G640" s="1" t="str">
        <f ca="1">IFERROR(__xludf.DUMMYFUNCTION("""COMPUTED_VALUE"""),"This will be hard to do, but if it is the right company I would try")</f>
        <v>This will be hard to do, but if it is the right company I would try</v>
      </c>
      <c r="H640" s="1" t="str">
        <f ca="1">IFERROR(__xludf.DUMMYFUNCTION("""COMPUTED_VALUE"""),"No")</f>
        <v>No</v>
      </c>
      <c r="I640" s="1" t="str">
        <f ca="1">IFERROR(__xludf.DUMMYFUNCTION("""COMPUTED_VALUE"""),"Will NOT work for them")</f>
        <v>Will NOT work for them</v>
      </c>
      <c r="J640" s="1">
        <f ca="1">IFERROR(__xludf.DUMMYFUNCTION("""COMPUTED_VALUE"""),5)</f>
        <v>5</v>
      </c>
      <c r="K640" s="1" t="str">
        <f ca="1">IFERROR(__xludf.DUMMYFUNCTION("""COMPUTED_VALUE"""),"Hybrid Working Environment with more than 15 days a month at office")</f>
        <v>Hybrid Working Environment with more than 15 days a month at office</v>
      </c>
      <c r="L6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4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40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640" s="1" t="str">
        <f ca="1">IFERROR(__xludf.DUMMYFUNCTION("""COMPUTED_VALUE"""),"Manager who sets goal and helps me achieve it")</f>
        <v>Manager who sets goal and helps me achieve it</v>
      </c>
      <c r="P640" s="1" t="str">
        <f ca="1">IFERROR(__xludf.DUMMYFUNCTION("""COMPUTED_VALUE"""),"Work with 7 to 10 or more people in my team")</f>
        <v>Work with 7 to 10 or more people in my team</v>
      </c>
      <c r="Q640" s="1" t="str">
        <f ca="1">IFERROR(__xludf.DUMMYFUNCTION("""COMPUTED_VALUE"""),"Yes, I Understand this is gonna happen everywhere")</f>
        <v>Yes, I Understand this is gonna happen everywhere</v>
      </c>
      <c r="R640" s="1" t="str">
        <f ca="1">IFERROR(__xludf.DUMMYFUNCTION("""COMPUTED_VALUE"""),"This will be hard to do, but if it is the right company I would try")</f>
        <v>This will be hard to do, but if it is the right company I would try</v>
      </c>
      <c r="S640" s="1"/>
    </row>
    <row r="641" spans="1:19" ht="12.5" x14ac:dyDescent="0.25">
      <c r="A641" s="2">
        <f ca="1">IFERROR(__xludf.DUMMYFUNCTION("""COMPUTED_VALUE"""),45021.864796655)</f>
        <v>45021.864796654998</v>
      </c>
      <c r="B641" s="1" t="str">
        <f ca="1">IFERROR(__xludf.DUMMYFUNCTION("""COMPUTED_VALUE"""),"India")</f>
        <v>India</v>
      </c>
      <c r="C641" s="1">
        <f ca="1">IFERROR(__xludf.DUMMYFUNCTION("""COMPUTED_VALUE"""),442902)</f>
        <v>442902</v>
      </c>
      <c r="D641" s="1" t="str">
        <f ca="1">IFERROR(__xludf.DUMMYFUNCTION("""COMPUTED_VALUE"""),"Male")</f>
        <v>Male</v>
      </c>
      <c r="E641" s="1" t="str">
        <f ca="1">IFERROR(__xludf.DUMMYFUNCTION("""COMPUTED_VALUE"""),"My Parents")</f>
        <v>My Parents</v>
      </c>
      <c r="F641" s="1" t="str">
        <f ca="1">IFERROR(__xludf.DUMMYFUNCTION("""COMPUTED_VALUE"""),"No, But if someone could bare the cost I will")</f>
        <v>No, But if someone could bare the cost I will</v>
      </c>
      <c r="G641" s="1" t="str">
        <f ca="1">IFERROR(__xludf.DUMMYFUNCTION("""COMPUTED_VALUE"""),"This will be hard to do, but if it is the right company I would try")</f>
        <v>This will be hard to do, but if it is the right company I would try</v>
      </c>
      <c r="H641" s="1" t="str">
        <f ca="1">IFERROR(__xludf.DUMMYFUNCTION("""COMPUTED_VALUE"""),"No")</f>
        <v>No</v>
      </c>
      <c r="I641" s="1" t="str">
        <f ca="1">IFERROR(__xludf.DUMMYFUNCTION("""COMPUTED_VALUE"""),"Will NOT work for them")</f>
        <v>Will NOT work for them</v>
      </c>
      <c r="J641" s="1">
        <f ca="1">IFERROR(__xludf.DUMMYFUNCTION("""COMPUTED_VALUE"""),5)</f>
        <v>5</v>
      </c>
      <c r="K641" s="1" t="str">
        <f ca="1">IFERROR(__xludf.DUMMYFUNCTION("""COMPUTED_VALUE"""),"Fully Remote with Options to travel as and when needed")</f>
        <v>Fully Remote with Options to travel as and when needed</v>
      </c>
      <c r="L641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64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641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641" s="1" t="str">
        <f ca="1">IFERROR(__xludf.DUMMYFUNCTION("""COMPUTED_VALUE"""),"Manager who explains what is expected, sets a goal and helps achieve it")</f>
        <v>Manager who explains what is expected, sets a goal and helps achieve it</v>
      </c>
      <c r="P641" s="1" t="str">
        <f ca="1">IFERROR(__xludf.DUMMYFUNCTION("""COMPUTED_VALUE"""),"Work with 7 to 10 or more people in my team")</f>
        <v>Work with 7 to 10 or more people in my team</v>
      </c>
      <c r="Q641" s="1" t="str">
        <f ca="1">IFERROR(__xludf.DUMMYFUNCTION("""COMPUTED_VALUE"""),"Yes, I Understand this is gonna happen everywhere")</f>
        <v>Yes, I Understand this is gonna happen everywhere</v>
      </c>
      <c r="R641" s="1" t="str">
        <f ca="1">IFERROR(__xludf.DUMMYFUNCTION("""COMPUTED_VALUE"""),"This will be hard to do, but if it is the right company I would try")</f>
        <v>This will be hard to do, but if it is the right company I would try</v>
      </c>
      <c r="S641" s="1"/>
    </row>
    <row r="642" spans="1:19" ht="12.5" x14ac:dyDescent="0.25">
      <c r="A642" s="2">
        <f ca="1">IFERROR(__xludf.DUMMYFUNCTION("""COMPUTED_VALUE"""),45021.8711031018)</f>
        <v>45021.871103101803</v>
      </c>
      <c r="B642" s="1" t="str">
        <f ca="1">IFERROR(__xludf.DUMMYFUNCTION("""COMPUTED_VALUE"""),"India")</f>
        <v>India</v>
      </c>
      <c r="C642" s="1">
        <f ca="1">IFERROR(__xludf.DUMMYFUNCTION("""COMPUTED_VALUE"""),560034)</f>
        <v>560034</v>
      </c>
      <c r="D642" s="1" t="str">
        <f ca="1">IFERROR(__xludf.DUMMYFUNCTION("""COMPUTED_VALUE"""),"Male")</f>
        <v>Male</v>
      </c>
      <c r="E642" s="1" t="str">
        <f ca="1">IFERROR(__xludf.DUMMYFUNCTION("""COMPUTED_VALUE"""),"Influencers who had successful careers")</f>
        <v>Influencers who had successful careers</v>
      </c>
      <c r="F642" s="1" t="str">
        <f ca="1">IFERROR(__xludf.DUMMYFUNCTION("""COMPUTED_VALUE"""),"Yes, I will earn and do that")</f>
        <v>Yes, I will earn and do that</v>
      </c>
      <c r="G642" s="1" t="str">
        <f ca="1">IFERROR(__xludf.DUMMYFUNCTION("""COMPUTED_VALUE"""),"This will be hard to do, but if it is the right company I would try")</f>
        <v>This will be hard to do, but if it is the right company I would try</v>
      </c>
      <c r="H642" s="1" t="str">
        <f ca="1">IFERROR(__xludf.DUMMYFUNCTION("""COMPUTED_VALUE"""),"No")</f>
        <v>No</v>
      </c>
      <c r="I642" s="1" t="str">
        <f ca="1">IFERROR(__xludf.DUMMYFUNCTION("""COMPUTED_VALUE"""),"Will NOT work for them")</f>
        <v>Will NOT work for them</v>
      </c>
      <c r="J642" s="1">
        <f ca="1">IFERROR(__xludf.DUMMYFUNCTION("""COMPUTED_VALUE"""),6)</f>
        <v>6</v>
      </c>
      <c r="K642" s="1" t="str">
        <f ca="1">IFERROR(__xludf.DUMMYFUNCTION("""COMPUTED_VALUE"""),"Hybrid Working Environment with more than 15 days a month at office")</f>
        <v>Hybrid Working Environment with more than 15 days a month at office</v>
      </c>
      <c r="L642" s="1" t="str">
        <f ca="1">IFERROR(__xludf.DUMMYFUNCTION("""COMPUTED_VALUE"""),"Employer who rewards learning and enables that environment")</f>
        <v>Employer who rewards learning and enables that environment</v>
      </c>
      <c r="M64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42" s="1" t="str">
        <f ca="1">IFERROR(__xludf.DUMMYFUNCTION("""COMPUTED_VALUE"""),"Design and Creative strategy in any company, Design and Develop amazing software, Work as a freelancer and do my thing my way, Entrepreneur or Start Up")</f>
        <v>Design and Creative strategy in any company, Design and Develop amazing software, Work as a freelancer and do my thing my way, Entrepreneur or Start Up</v>
      </c>
      <c r="O642" s="1" t="str">
        <f ca="1">IFERROR(__xludf.DUMMYFUNCTION("""COMPUTED_VALUE"""),"Manager who explains what is expected, sets a goal and helps achieve it")</f>
        <v>Manager who explains what is expected, sets a goal and helps achieve it</v>
      </c>
      <c r="P642" s="1" t="str">
        <f ca="1">IFERROR(__xludf.DUMMYFUNCTION("""COMPUTED_VALUE"""),"Work alone, Work with 7 to 10 or more people in my team, Work with more than 10 people in my team")</f>
        <v>Work alone, Work with 7 to 10 or more people in my team, Work with more than 10 people in my team</v>
      </c>
      <c r="Q642" s="1" t="str">
        <f ca="1">IFERROR(__xludf.DUMMYFUNCTION("""COMPUTED_VALUE"""),"Yes, I Understand this is gonna happen everywhere")</f>
        <v>Yes, I Understand this is gonna happen everywhere</v>
      </c>
      <c r="R642" s="1" t="str">
        <f ca="1">IFERROR(__xludf.DUMMYFUNCTION("""COMPUTED_VALUE"""),"No way")</f>
        <v>No way</v>
      </c>
      <c r="S642" s="1"/>
    </row>
    <row r="643" spans="1:19" ht="12.5" x14ac:dyDescent="0.25">
      <c r="A643" s="2">
        <f ca="1">IFERROR(__xludf.DUMMYFUNCTION("""COMPUTED_VALUE"""),45021.8754044791)</f>
        <v>45021.875404479099</v>
      </c>
      <c r="B643" s="1" t="str">
        <f ca="1">IFERROR(__xludf.DUMMYFUNCTION("""COMPUTED_VALUE"""),"India")</f>
        <v>India</v>
      </c>
      <c r="C643" s="1">
        <f ca="1">IFERROR(__xludf.DUMMYFUNCTION("""COMPUTED_VALUE"""),560064)</f>
        <v>560064</v>
      </c>
      <c r="D643" s="1" t="str">
        <f ca="1">IFERROR(__xludf.DUMMYFUNCTION("""COMPUTED_VALUE"""),"Male")</f>
        <v>Male</v>
      </c>
      <c r="E643" s="1" t="str">
        <f ca="1">IFERROR(__xludf.DUMMYFUNCTION("""COMPUTED_VALUE"""),"My Parents")</f>
        <v>My Parents</v>
      </c>
      <c r="F643" s="1" t="str">
        <f ca="1">IFERROR(__xludf.DUMMYFUNCTION("""COMPUTED_VALUE"""),"Yes, I will earn and do that")</f>
        <v>Yes, I will earn and do that</v>
      </c>
      <c r="G643" s="1" t="str">
        <f ca="1">IFERROR(__xludf.DUMMYFUNCTION("""COMPUTED_VALUE"""),"This will be hard to do, but if it is the right company I would try")</f>
        <v>This will be hard to do, but if it is the right company I would try</v>
      </c>
      <c r="H643" s="1" t="str">
        <f ca="1">IFERROR(__xludf.DUMMYFUNCTION("""COMPUTED_VALUE"""),"No")</f>
        <v>No</v>
      </c>
      <c r="I643" s="1" t="str">
        <f ca="1">IFERROR(__xludf.DUMMYFUNCTION("""COMPUTED_VALUE"""),"Will NOT work for them")</f>
        <v>Will NOT work for them</v>
      </c>
      <c r="J643" s="1">
        <f ca="1">IFERROR(__xludf.DUMMYFUNCTION("""COMPUTED_VALUE"""),5)</f>
        <v>5</v>
      </c>
      <c r="K643" s="1" t="str">
        <f ca="1">IFERROR(__xludf.DUMMYFUNCTION("""COMPUTED_VALUE"""),"Hybrid Working Environment with more than 15 days a month at office")</f>
        <v>Hybrid Working Environment with more than 15 days a month at office</v>
      </c>
      <c r="L643" s="1" t="str">
        <f ca="1">IFERROR(__xludf.DUMMYFUNCTION("""COMPUTED_VALUE"""),"Employer who rewards learning and enables that environment")</f>
        <v>Employer who rewards learning and enables that environment</v>
      </c>
      <c r="M64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643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643" s="1" t="str">
        <f ca="1">IFERROR(__xludf.DUMMYFUNCTION("""COMPUTED_VALUE"""),"Manager who explains what is expected, sets a goal and helps achieve it")</f>
        <v>Manager who explains what is expected, sets a goal and helps achieve it</v>
      </c>
      <c r="P643" s="1" t="str">
        <f ca="1">IFERROR(__xludf.DUMMYFUNCTION("""COMPUTED_VALUE"""),"Work with 5 to 6 people in my team")</f>
        <v>Work with 5 to 6 people in my team</v>
      </c>
      <c r="Q643" s="1" t="str">
        <f ca="1">IFERROR(__xludf.DUMMYFUNCTION("""COMPUTED_VALUE"""),"No")</f>
        <v>No</v>
      </c>
      <c r="R643" s="1" t="str">
        <f ca="1">IFERROR(__xludf.DUMMYFUNCTION("""COMPUTED_VALUE"""),"No way")</f>
        <v>No way</v>
      </c>
      <c r="S643" s="1"/>
    </row>
    <row r="644" spans="1:19" ht="12.5" x14ac:dyDescent="0.25">
      <c r="A644" s="2">
        <f ca="1">IFERROR(__xludf.DUMMYFUNCTION("""COMPUTED_VALUE"""),45021.8755624074)</f>
        <v>45021.875562407397</v>
      </c>
      <c r="B644" s="1" t="str">
        <f ca="1">IFERROR(__xludf.DUMMYFUNCTION("""COMPUTED_VALUE"""),"India")</f>
        <v>India</v>
      </c>
      <c r="C644" s="1">
        <f ca="1">IFERROR(__xludf.DUMMYFUNCTION("""COMPUTED_VALUE"""),560004)</f>
        <v>560004</v>
      </c>
      <c r="D644" s="1" t="str">
        <f ca="1">IFERROR(__xludf.DUMMYFUNCTION("""COMPUTED_VALUE"""),"Female")</f>
        <v>Female</v>
      </c>
      <c r="E644" s="1" t="str">
        <f ca="1">IFERROR(__xludf.DUMMYFUNCTION("""COMPUTED_VALUE"""),"People from my circle, but not family members")</f>
        <v>People from my circle, but not family members</v>
      </c>
      <c r="F644" s="1" t="str">
        <f ca="1">IFERROR(__xludf.DUMMYFUNCTION("""COMPUTED_VALUE"""),"Yes, I will earn and do that")</f>
        <v>Yes, I will earn and do that</v>
      </c>
      <c r="G644" s="1" t="str">
        <f ca="1">IFERROR(__xludf.DUMMYFUNCTION("""COMPUTED_VALUE"""),"This will be hard to do, but if it is the right company I would try")</f>
        <v>This will be hard to do, but if it is the right company I would try</v>
      </c>
      <c r="H644" s="1" t="str">
        <f ca="1">IFERROR(__xludf.DUMMYFUNCTION("""COMPUTED_VALUE"""),"No")</f>
        <v>No</v>
      </c>
      <c r="I644" s="1" t="str">
        <f ca="1">IFERROR(__xludf.DUMMYFUNCTION("""COMPUTED_VALUE"""),"Will NOT work for them")</f>
        <v>Will NOT work for them</v>
      </c>
      <c r="J644" s="1">
        <f ca="1">IFERROR(__xludf.DUMMYFUNCTION("""COMPUTED_VALUE"""),7)</f>
        <v>7</v>
      </c>
      <c r="K644" s="1" t="str">
        <f ca="1">IFERROR(__xludf.DUMMYFUNCTION("""COMPUTED_VALUE"""),"Fully Remote with Options to travel as and when needed")</f>
        <v>Fully Remote with Options to travel as and when needed</v>
      </c>
      <c r="L6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4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44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644" s="1" t="str">
        <f ca="1">IFERROR(__xludf.DUMMYFUNCTION("""COMPUTED_VALUE"""),"Manager who explains what is expected, sets a goal and helps achieve it")</f>
        <v>Manager who explains what is expected, sets a goal and helps achieve it</v>
      </c>
      <c r="P644" s="1" t="str">
        <f ca="1">IFERROR(__xludf.DUMMYFUNCTION("""COMPUTED_VALUE"""),"Work with 5 to 6 people in my team")</f>
        <v>Work with 5 to 6 people in my team</v>
      </c>
      <c r="Q644" s="1" t="str">
        <f ca="1">IFERROR(__xludf.DUMMYFUNCTION("""COMPUTED_VALUE"""),"No")</f>
        <v>No</v>
      </c>
      <c r="R644" s="1" t="str">
        <f ca="1">IFERROR(__xludf.DUMMYFUNCTION("""COMPUTED_VALUE"""),"This will be hard to do, but if it is the right company I would try")</f>
        <v>This will be hard to do, but if it is the right company I would try</v>
      </c>
      <c r="S644" s="1"/>
    </row>
    <row r="645" spans="1:19" ht="12.5" x14ac:dyDescent="0.25">
      <c r="A645" s="2">
        <f ca="1">IFERROR(__xludf.DUMMYFUNCTION("""COMPUTED_VALUE"""),45021.8786224189)</f>
        <v>45021.878622418903</v>
      </c>
      <c r="B645" s="1" t="str">
        <f ca="1">IFERROR(__xludf.DUMMYFUNCTION("""COMPUTED_VALUE"""),"India")</f>
        <v>India</v>
      </c>
      <c r="C645" s="1">
        <f ca="1">IFERROR(__xludf.DUMMYFUNCTION("""COMPUTED_VALUE"""),603103)</f>
        <v>603103</v>
      </c>
      <c r="D645" s="1" t="str">
        <f ca="1">IFERROR(__xludf.DUMMYFUNCTION("""COMPUTED_VALUE"""),"Female")</f>
        <v>Female</v>
      </c>
      <c r="E645" s="1" t="str">
        <f ca="1">IFERROR(__xludf.DUMMYFUNCTION("""COMPUTED_VALUE"""),"Influencers who had successful careers")</f>
        <v>Influencers who had successful careers</v>
      </c>
      <c r="F645" s="1" t="str">
        <f ca="1">IFERROR(__xludf.DUMMYFUNCTION("""COMPUTED_VALUE"""),"No, But if someone could bare the cost I will")</f>
        <v>No, But if someone could bare the cost I will</v>
      </c>
      <c r="G645" s="1" t="str">
        <f ca="1">IFERROR(__xludf.DUMMYFUNCTION("""COMPUTED_VALUE"""),"This will be hard to do, but if it is the right company I would try")</f>
        <v>This will be hard to do, but if it is the right company I would try</v>
      </c>
      <c r="H645" s="1" t="str">
        <f ca="1">IFERROR(__xludf.DUMMYFUNCTION("""COMPUTED_VALUE"""),"No")</f>
        <v>No</v>
      </c>
      <c r="I645" s="1" t="str">
        <f ca="1">IFERROR(__xludf.DUMMYFUNCTION("""COMPUTED_VALUE"""),"Will NOT work for them")</f>
        <v>Will NOT work for them</v>
      </c>
      <c r="J645" s="1">
        <f ca="1">IFERROR(__xludf.DUMMYFUNCTION("""COMPUTED_VALUE"""),1)</f>
        <v>1</v>
      </c>
      <c r="K645" s="1" t="str">
        <f ca="1">IFERROR(__xludf.DUMMYFUNCTION("""COMPUTED_VALUE"""),"Hybrid Working Environment with less than 3 days a month at office")</f>
        <v>Hybrid Working Environment with less than 3 days a month at office</v>
      </c>
      <c r="L645" s="1" t="str">
        <f ca="1">IFERROR(__xludf.DUMMYFUNCTION("""COMPUTED_VALUE"""),"Employer who appreciates learning and enables that environment")</f>
        <v>Employer who appreciates learning and enables that environment</v>
      </c>
      <c r="M64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645" s="1" t="str">
        <f ca="1">IFERROR(__xludf.DUMMYFUNCTION("""COMPUTED_VALUE"""),"Design and Creative strategy in any company, Build and develop a Team, Look deeply into Data and generate insights, An Artificial Intelligence Specialist / Talking to Robots")</f>
        <v>Design and Creative strategy in any company, Build and develop a Team, Look deeply into Data and generate insights, An Artificial Intelligence Specialist / Talking to Robots</v>
      </c>
      <c r="O645" s="1" t="str">
        <f ca="1">IFERROR(__xludf.DUMMYFUNCTION("""COMPUTED_VALUE"""),"Manager who sets unrealistic targets")</f>
        <v>Manager who sets unrealistic targets</v>
      </c>
      <c r="P645" s="1" t="str">
        <f ca="1">IFERROR(__xludf.DUMMYFUNCTION("""COMPUTED_VALUE"""),"Work with 7 to 10 or more people in my team")</f>
        <v>Work with 7 to 10 or more people in my team</v>
      </c>
      <c r="Q645" s="1" t="str">
        <f ca="1">IFERROR(__xludf.DUMMYFUNCTION("""COMPUTED_VALUE"""),"Yes, I Understand this is gonna happen everywhere")</f>
        <v>Yes, I Understand this is gonna happen everywhere</v>
      </c>
      <c r="R645" s="1" t="str">
        <f ca="1">IFERROR(__xludf.DUMMYFUNCTION("""COMPUTED_VALUE"""),"This will be hard to do, but if it is the right company I would try")</f>
        <v>This will be hard to do, but if it is the right company I would try</v>
      </c>
      <c r="S645" s="1"/>
    </row>
    <row r="646" spans="1:19" ht="12.5" x14ac:dyDescent="0.25">
      <c r="A646" s="2">
        <f ca="1">IFERROR(__xludf.DUMMYFUNCTION("""COMPUTED_VALUE"""),45021.8788733912)</f>
        <v>45021.878873391201</v>
      </c>
      <c r="B646" s="1" t="str">
        <f ca="1">IFERROR(__xludf.DUMMYFUNCTION("""COMPUTED_VALUE"""),"India")</f>
        <v>India</v>
      </c>
      <c r="C646" s="1">
        <f ca="1">IFERROR(__xludf.DUMMYFUNCTION("""COMPUTED_VALUE"""),144003)</f>
        <v>144003</v>
      </c>
      <c r="D646" s="1" t="str">
        <f ca="1">IFERROR(__xludf.DUMMYFUNCTION("""COMPUTED_VALUE"""),"Male")</f>
        <v>Male</v>
      </c>
      <c r="E646" s="1" t="str">
        <f ca="1">IFERROR(__xludf.DUMMYFUNCTION("""COMPUTED_VALUE"""),"My Parents")</f>
        <v>My Parents</v>
      </c>
      <c r="F646" s="1" t="str">
        <f ca="1">IFERROR(__xludf.DUMMYFUNCTION("""COMPUTED_VALUE"""),"No I would not be pursuing Higher Education outside of India")</f>
        <v>No I would not be pursuing Higher Education outside of India</v>
      </c>
      <c r="G646" s="1" t="str">
        <f ca="1">IFERROR(__xludf.DUMMYFUNCTION("""COMPUTED_VALUE"""),"No way")</f>
        <v>No way</v>
      </c>
      <c r="H646" s="1" t="str">
        <f ca="1">IFERROR(__xludf.DUMMYFUNCTION("""COMPUTED_VALUE"""),"No")</f>
        <v>No</v>
      </c>
      <c r="I646" s="1" t="str">
        <f ca="1">IFERROR(__xludf.DUMMYFUNCTION("""COMPUTED_VALUE"""),"Will NOT work for them")</f>
        <v>Will NOT work for them</v>
      </c>
      <c r="J646" s="1">
        <f ca="1">IFERROR(__xludf.DUMMYFUNCTION("""COMPUTED_VALUE"""),1)</f>
        <v>1</v>
      </c>
      <c r="K646" s="1" t="str">
        <f ca="1">IFERROR(__xludf.DUMMYFUNCTION("""COMPUTED_VALUE"""),"Every Day Office Environment")</f>
        <v>Every Day Office Environment</v>
      </c>
      <c r="L6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4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46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646" s="1" t="str">
        <f ca="1">IFERROR(__xludf.DUMMYFUNCTION("""COMPUTED_VALUE"""),"Manager who explains what is expected, sets a goal and helps achieve it")</f>
        <v>Manager who explains what is expected, sets a goal and helps achieve it</v>
      </c>
      <c r="P646" s="1" t="str">
        <f ca="1">IFERROR(__xludf.DUMMYFUNCTION("""COMPUTED_VALUE"""),"Work with 5 to 6 people in my team")</f>
        <v>Work with 5 to 6 people in my team</v>
      </c>
      <c r="Q646" s="1" t="str">
        <f ca="1">IFERROR(__xludf.DUMMYFUNCTION("""COMPUTED_VALUE"""),"No")</f>
        <v>No</v>
      </c>
      <c r="R646" s="1" t="str">
        <f ca="1">IFERROR(__xludf.DUMMYFUNCTION("""COMPUTED_VALUE"""),"No way")</f>
        <v>No way</v>
      </c>
      <c r="S646" s="1"/>
    </row>
    <row r="647" spans="1:19" ht="12.5" x14ac:dyDescent="0.25">
      <c r="A647" s="2">
        <f ca="1">IFERROR(__xludf.DUMMYFUNCTION("""COMPUTED_VALUE"""),45021.8795318402)</f>
        <v>45021.879531840197</v>
      </c>
      <c r="B647" s="1" t="str">
        <f ca="1">IFERROR(__xludf.DUMMYFUNCTION("""COMPUTED_VALUE"""),"India")</f>
        <v>India</v>
      </c>
      <c r="C647" s="1">
        <f ca="1">IFERROR(__xludf.DUMMYFUNCTION("""COMPUTED_VALUE"""),800003)</f>
        <v>800003</v>
      </c>
      <c r="D647" s="1" t="str">
        <f ca="1">IFERROR(__xludf.DUMMYFUNCTION("""COMPUTED_VALUE"""),"Female")</f>
        <v>Female</v>
      </c>
      <c r="E647" s="1" t="str">
        <f ca="1">IFERROR(__xludf.DUMMYFUNCTION("""COMPUTED_VALUE"""),"My Parents")</f>
        <v>My Parents</v>
      </c>
      <c r="F647" s="1" t="str">
        <f ca="1">IFERROR(__xludf.DUMMYFUNCTION("""COMPUTED_VALUE"""),"Yes, I will earn and do that")</f>
        <v>Yes, I will earn and do that</v>
      </c>
      <c r="G647" s="1" t="str">
        <f ca="1">IFERROR(__xludf.DUMMYFUNCTION("""COMPUTED_VALUE"""),"No way")</f>
        <v>No way</v>
      </c>
      <c r="H647" s="1" t="str">
        <f ca="1">IFERROR(__xludf.DUMMYFUNCTION("""COMPUTED_VALUE"""),"No")</f>
        <v>No</v>
      </c>
      <c r="I647" s="1" t="str">
        <f ca="1">IFERROR(__xludf.DUMMYFUNCTION("""COMPUTED_VALUE"""),"Will NOT work for them")</f>
        <v>Will NOT work for them</v>
      </c>
      <c r="J647" s="1">
        <f ca="1">IFERROR(__xludf.DUMMYFUNCTION("""COMPUTED_VALUE"""),2)</f>
        <v>2</v>
      </c>
      <c r="K647" s="1" t="str">
        <f ca="1">IFERROR(__xludf.DUMMYFUNCTION("""COMPUTED_VALUE"""),"Every Day Office Environment")</f>
        <v>Every Day Office Environment</v>
      </c>
      <c r="L647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647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647" s="1" t="str">
        <f ca="1">IFERROR(__xludf.DUMMYFUNCTION("""COMPUTED_VALUE"""),"Design and Creative strategy in any company, Design and Develop amazing software, Become a content Creator in some platform, Entrepreneur or Start Up")</f>
        <v>Design and Creative strategy in any company, Design and Develop amazing software, Become a content Creator in some platform, Entrepreneur or Start Up</v>
      </c>
      <c r="O647" s="1" t="str">
        <f ca="1">IFERROR(__xludf.DUMMYFUNCTION("""COMPUTED_VALUE"""),"Manager who sets targets and expects me to achieve it")</f>
        <v>Manager who sets targets and expects me to achieve it</v>
      </c>
      <c r="P647" s="1" t="str">
        <f ca="1">IFERROR(__xludf.DUMMYFUNCTION("""COMPUTED_VALUE"""),"Work alone, Work with 2 to 3 people in my team")</f>
        <v>Work alone, Work with 2 to 3 people in my team</v>
      </c>
      <c r="Q647" s="1" t="str">
        <f ca="1">IFERROR(__xludf.DUMMYFUNCTION("""COMPUTED_VALUE"""),"Yes, I Understand this is gonna happen everywhere")</f>
        <v>Yes, I Understand this is gonna happen everywhere</v>
      </c>
      <c r="R647" s="1" t="str">
        <f ca="1">IFERROR(__xludf.DUMMYFUNCTION("""COMPUTED_VALUE"""),"This will be hard to do, but if it is the right company I would try")</f>
        <v>This will be hard to do, but if it is the right company I would try</v>
      </c>
      <c r="S647" s="1"/>
    </row>
    <row r="648" spans="1:19" ht="12.5" x14ac:dyDescent="0.25">
      <c r="A648" s="2">
        <f ca="1">IFERROR(__xludf.DUMMYFUNCTION("""COMPUTED_VALUE"""),45021.8810998611)</f>
        <v>45021.881099861101</v>
      </c>
      <c r="B648" s="1" t="str">
        <f ca="1">IFERROR(__xludf.DUMMYFUNCTION("""COMPUTED_VALUE"""),"India")</f>
        <v>India</v>
      </c>
      <c r="C648" s="1">
        <f ca="1">IFERROR(__xludf.DUMMYFUNCTION("""COMPUTED_VALUE"""),380058)</f>
        <v>380058</v>
      </c>
      <c r="D648" s="1" t="str">
        <f ca="1">IFERROR(__xludf.DUMMYFUNCTION("""COMPUTED_VALUE"""),"Female")</f>
        <v>Female</v>
      </c>
      <c r="E648" s="1" t="str">
        <f ca="1">IFERROR(__xludf.DUMMYFUNCTION("""COMPUTED_VALUE"""),"Social Media like LinkedIn")</f>
        <v>Social Media like LinkedIn</v>
      </c>
      <c r="F648" s="1" t="str">
        <f ca="1">IFERROR(__xludf.DUMMYFUNCTION("""COMPUTED_VALUE"""),"No, But if someone could bare the cost I will")</f>
        <v>No, But if someone could bare the cost I will</v>
      </c>
      <c r="G648" s="1" t="str">
        <f ca="1">IFERROR(__xludf.DUMMYFUNCTION("""COMPUTED_VALUE"""),"This will be hard to do, but if it is the right company I would try")</f>
        <v>This will be hard to do, but if it is the right company I would try</v>
      </c>
      <c r="H648" s="1" t="str">
        <f ca="1">IFERROR(__xludf.DUMMYFUNCTION("""COMPUTED_VALUE"""),"No")</f>
        <v>No</v>
      </c>
      <c r="I648" s="1" t="str">
        <f ca="1">IFERROR(__xludf.DUMMYFUNCTION("""COMPUTED_VALUE"""),"Will NOT work for them")</f>
        <v>Will NOT work for them</v>
      </c>
      <c r="J648" s="1">
        <f ca="1">IFERROR(__xludf.DUMMYFUNCTION("""COMPUTED_VALUE"""),2)</f>
        <v>2</v>
      </c>
      <c r="K648" s="1" t="str">
        <f ca="1">IFERROR(__xludf.DUMMYFUNCTION("""COMPUTED_VALUE"""),"Hybrid Working Environment with less than 3 days a month at office")</f>
        <v>Hybrid Working Environment with less than 3 days a month at office</v>
      </c>
      <c r="L648" s="1" t="str">
        <f ca="1">IFERROR(__xludf.DUMMYFUNCTION("""COMPUTED_VALUE"""),"Employer who rewards learning and enables that environment")</f>
        <v>Employer who rewards learning and enables that environment</v>
      </c>
      <c r="M64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64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648" s="1" t="str">
        <f ca="1">IFERROR(__xludf.DUMMYFUNCTION("""COMPUTED_VALUE"""),"Manager who explains what is expected, sets a goal and helps achieve it")</f>
        <v>Manager who explains what is expected, sets a goal and helps achieve it</v>
      </c>
      <c r="P648" s="1" t="str">
        <f ca="1">IFERROR(__xludf.DUMMYFUNCTION("""COMPUTED_VALUE"""),"Work with 2 to 3 people in my team")</f>
        <v>Work with 2 to 3 people in my team</v>
      </c>
      <c r="Q648" s="1" t="str">
        <f ca="1">IFERROR(__xludf.DUMMYFUNCTION("""COMPUTED_VALUE"""),"Yes, I Understand this is gonna happen everywhere")</f>
        <v>Yes, I Understand this is gonna happen everywhere</v>
      </c>
      <c r="R648" s="1" t="str">
        <f ca="1">IFERROR(__xludf.DUMMYFUNCTION("""COMPUTED_VALUE"""),"No way")</f>
        <v>No way</v>
      </c>
      <c r="S648" s="1"/>
    </row>
    <row r="649" spans="1:19" ht="12.5" x14ac:dyDescent="0.25">
      <c r="A649" s="2">
        <f ca="1">IFERROR(__xludf.DUMMYFUNCTION("""COMPUTED_VALUE"""),45021.8811337615)</f>
        <v>45021.881133761497</v>
      </c>
      <c r="B649" s="1" t="str">
        <f ca="1">IFERROR(__xludf.DUMMYFUNCTION("""COMPUTED_VALUE"""),"India")</f>
        <v>India</v>
      </c>
      <c r="C649" s="1">
        <f ca="1">IFERROR(__xludf.DUMMYFUNCTION("""COMPUTED_VALUE"""),400037)</f>
        <v>400037</v>
      </c>
      <c r="D649" s="1" t="str">
        <f ca="1">IFERROR(__xludf.DUMMYFUNCTION("""COMPUTED_VALUE"""),"Male")</f>
        <v>Male</v>
      </c>
      <c r="E649" s="1" t="str">
        <f ca="1">IFERROR(__xludf.DUMMYFUNCTION("""COMPUTED_VALUE"""),"Influencers who had successful careers")</f>
        <v>Influencers who had successful careers</v>
      </c>
      <c r="F649" s="1" t="str">
        <f ca="1">IFERROR(__xludf.DUMMYFUNCTION("""COMPUTED_VALUE"""),"No, But if someone could bare the cost I will")</f>
        <v>No, But if someone could bare the cost I will</v>
      </c>
      <c r="G649" s="1" t="str">
        <f ca="1">IFERROR(__xludf.DUMMYFUNCTION("""COMPUTED_VALUE"""),"Will work for 3 years or more")</f>
        <v>Will work for 3 years or more</v>
      </c>
      <c r="H649" s="1" t="str">
        <f ca="1">IFERROR(__xludf.DUMMYFUNCTION("""COMPUTED_VALUE"""),"Yes")</f>
        <v>Yes</v>
      </c>
      <c r="I649" s="1" t="str">
        <f ca="1">IFERROR(__xludf.DUMMYFUNCTION("""COMPUTED_VALUE"""),"Will work for them")</f>
        <v>Will work for them</v>
      </c>
      <c r="J649" s="1">
        <f ca="1">IFERROR(__xludf.DUMMYFUNCTION("""COMPUTED_VALUE"""),3)</f>
        <v>3</v>
      </c>
      <c r="K649" s="1" t="str">
        <f ca="1">IFERROR(__xludf.DUMMYFUNCTION("""COMPUTED_VALUE"""),"Hybrid Working Environment with more than 15 days a month at office")</f>
        <v>Hybrid Working Environment with more than 15 days a month at office</v>
      </c>
      <c r="L64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649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649" s="1" t="str">
        <f ca="1">IFERROR(__xludf.DUMMYFUNCTION("""COMPUTED_VALUE"""),"Build and develop a Team, Look deeply into Data and generate insights, Work as a freelancer and do my thing my way, An Artificial Intelligence Specialist / Talking to Robots")</f>
        <v>Build and develop a Team, Look deeply into Data and generate insights, Work as a freelancer and do my thing my way, An Artificial Intelligence Specialist / Talking to Robots</v>
      </c>
      <c r="O649" s="1" t="str">
        <f ca="1">IFERROR(__xludf.DUMMYFUNCTION("""COMPUTED_VALUE"""),"Manager who sets goal and helps me achieve it")</f>
        <v>Manager who sets goal and helps me achieve it</v>
      </c>
      <c r="P649" s="1" t="str">
        <f ca="1">IFERROR(__xludf.DUMMYFUNCTION("""COMPUTED_VALUE"""),"Work with 5 to 6 people in my team")</f>
        <v>Work with 5 to 6 people in my team</v>
      </c>
      <c r="Q649" s="1" t="str">
        <f ca="1">IFERROR(__xludf.DUMMYFUNCTION("""COMPUTED_VALUE"""),"Yes")</f>
        <v>Yes</v>
      </c>
      <c r="R649" s="1" t="str">
        <f ca="1">IFERROR(__xludf.DUMMYFUNCTION("""COMPUTED_VALUE"""),"This will be hard to do, but if it is the right company I would try")</f>
        <v>This will be hard to do, but if it is the right company I would try</v>
      </c>
      <c r="S649" s="1"/>
    </row>
    <row r="650" spans="1:19" ht="12.5" x14ac:dyDescent="0.25">
      <c r="A650" s="2">
        <f ca="1">IFERROR(__xludf.DUMMYFUNCTION("""COMPUTED_VALUE"""),45021.8816676388)</f>
        <v>45021.881667638801</v>
      </c>
      <c r="B650" s="1" t="str">
        <f ca="1">IFERROR(__xludf.DUMMYFUNCTION("""COMPUTED_VALUE"""),"India")</f>
        <v>India</v>
      </c>
      <c r="C650" s="1">
        <f ca="1">IFERROR(__xludf.DUMMYFUNCTION("""COMPUTED_VALUE"""),411040)</f>
        <v>411040</v>
      </c>
      <c r="D650" s="1" t="str">
        <f ca="1">IFERROR(__xludf.DUMMYFUNCTION("""COMPUTED_VALUE"""),"Female")</f>
        <v>Female</v>
      </c>
      <c r="E650" s="1" t="str">
        <f ca="1">IFERROR(__xludf.DUMMYFUNCTION("""COMPUTED_VALUE"""),"My Parents")</f>
        <v>My Parents</v>
      </c>
      <c r="F650" s="1" t="str">
        <f ca="1">IFERROR(__xludf.DUMMYFUNCTION("""COMPUTED_VALUE"""),"Yes, I will earn and do that")</f>
        <v>Yes, I will earn and do that</v>
      </c>
      <c r="G650" s="1" t="str">
        <f ca="1">IFERROR(__xludf.DUMMYFUNCTION("""COMPUTED_VALUE"""),"Will work for 3 years or more")</f>
        <v>Will work for 3 years or more</v>
      </c>
      <c r="H650" s="1" t="str">
        <f ca="1">IFERROR(__xludf.DUMMYFUNCTION("""COMPUTED_VALUE"""),"No")</f>
        <v>No</v>
      </c>
      <c r="I650" s="1" t="str">
        <f ca="1">IFERROR(__xludf.DUMMYFUNCTION("""COMPUTED_VALUE"""),"Will NOT work for them")</f>
        <v>Will NOT work for them</v>
      </c>
      <c r="J650" s="1">
        <f ca="1">IFERROR(__xludf.DUMMYFUNCTION("""COMPUTED_VALUE"""),1)</f>
        <v>1</v>
      </c>
      <c r="K650" s="1" t="str">
        <f ca="1">IFERROR(__xludf.DUMMYFUNCTION("""COMPUTED_VALUE"""),"Hybrid Working Environment with more than 15 days a month at office")</f>
        <v>Hybrid Working Environment with more than 15 days a month at office</v>
      </c>
      <c r="L6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5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650" s="1" t="str">
        <f ca="1">IFERROR(__xludf.DUMMYFUNCTION("""COMPUTED_VALUE"""),"Entrepreneur or Start Up, I Want to sell things/Sales, An Artificial Intelligence Specialist / Talking to Robots, Manufacturing / Oil and Gas/ Construction / Hard Physical Work related")</f>
        <v>Entrepreneur or Start Up, I Want to sell things/Sales, An Artificial Intelligence Specialist / Talking to Robots, Manufacturing / Oil and Gas/ Construction / Hard Physical Work related</v>
      </c>
      <c r="O650" s="1" t="str">
        <f ca="1">IFERROR(__xludf.DUMMYFUNCTION("""COMPUTED_VALUE"""),"Manager who clearly describes what she/he needs")</f>
        <v>Manager who clearly describes what she/he needs</v>
      </c>
      <c r="P650" s="1" t="str">
        <f ca="1">IFERROR(__xludf.DUMMYFUNCTION("""COMPUTED_VALUE"""),"Work with 2 to 3 people in my team")</f>
        <v>Work with 2 to 3 people in my team</v>
      </c>
      <c r="Q650" s="1" t="str">
        <f ca="1">IFERROR(__xludf.DUMMYFUNCTION("""COMPUTED_VALUE"""),"Yes, I Understand this is gonna happen everywhere")</f>
        <v>Yes, I Understand this is gonna happen everywhere</v>
      </c>
      <c r="R650" s="1" t="str">
        <f ca="1">IFERROR(__xludf.DUMMYFUNCTION("""COMPUTED_VALUE"""),"Will work for 7 years or more")</f>
        <v>Will work for 7 years or more</v>
      </c>
      <c r="S650" s="1"/>
    </row>
    <row r="651" spans="1:19" ht="12.5" x14ac:dyDescent="0.25">
      <c r="A651" s="2">
        <f ca="1">IFERROR(__xludf.DUMMYFUNCTION("""COMPUTED_VALUE"""),45021.8837193981)</f>
        <v>45021.883719398102</v>
      </c>
      <c r="B651" s="1" t="str">
        <f ca="1">IFERROR(__xludf.DUMMYFUNCTION("""COMPUTED_VALUE"""),"India")</f>
        <v>India</v>
      </c>
      <c r="C651" s="1">
        <f ca="1">IFERROR(__xludf.DUMMYFUNCTION("""COMPUTED_VALUE"""),631209)</f>
        <v>631209</v>
      </c>
      <c r="D651" s="1" t="str">
        <f ca="1">IFERROR(__xludf.DUMMYFUNCTION("""COMPUTED_VALUE"""),"Female")</f>
        <v>Female</v>
      </c>
      <c r="E651" s="1" t="str">
        <f ca="1">IFERROR(__xludf.DUMMYFUNCTION("""COMPUTED_VALUE"""),"My Parents")</f>
        <v>My Parents</v>
      </c>
      <c r="F651" s="1" t="str">
        <f ca="1">IFERROR(__xludf.DUMMYFUNCTION("""COMPUTED_VALUE"""),"No I would not be pursuing Higher Education outside of India")</f>
        <v>No I would not be pursuing Higher Education outside of India</v>
      </c>
      <c r="G651" s="1" t="str">
        <f ca="1">IFERROR(__xludf.DUMMYFUNCTION("""COMPUTED_VALUE"""),"Will work for 3 years or more")</f>
        <v>Will work for 3 years or more</v>
      </c>
      <c r="H651" s="1" t="str">
        <f ca="1">IFERROR(__xludf.DUMMYFUNCTION("""COMPUTED_VALUE"""),"Yes")</f>
        <v>Yes</v>
      </c>
      <c r="I651" s="1" t="str">
        <f ca="1">IFERROR(__xludf.DUMMYFUNCTION("""COMPUTED_VALUE"""),"Will NOT work for them")</f>
        <v>Will NOT work for them</v>
      </c>
      <c r="J651" s="1">
        <f ca="1">IFERROR(__xludf.DUMMYFUNCTION("""COMPUTED_VALUE"""),5)</f>
        <v>5</v>
      </c>
      <c r="K651" s="1" t="str">
        <f ca="1">IFERROR(__xludf.DUMMYFUNCTION("""COMPUTED_VALUE"""),"Every Day Office Environment")</f>
        <v>Every Day Office Environment</v>
      </c>
      <c r="L651" s="1" t="str">
        <f ca="1">IFERROR(__xludf.DUMMYFUNCTION("""COMPUTED_VALUE"""),"Employer who appreciates learning and enables that environment")</f>
        <v>Employer who appreciates learning and enables that environment</v>
      </c>
      <c r="M651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651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651" s="1" t="str">
        <f ca="1">IFERROR(__xludf.DUMMYFUNCTION("""COMPUTED_VALUE"""),"Manager who sets goal and helps me achieve it")</f>
        <v>Manager who sets goal and helps me achieve it</v>
      </c>
      <c r="P651" s="1" t="str">
        <f ca="1">IFERROR(__xludf.DUMMYFUNCTION("""COMPUTED_VALUE"""),"Work with 5 to 6 people in my team")</f>
        <v>Work with 5 to 6 people in my team</v>
      </c>
      <c r="Q651" s="1" t="str">
        <f ca="1">IFERROR(__xludf.DUMMYFUNCTION("""COMPUTED_VALUE"""),"Yes, I Understand this is gonna happen everywhere")</f>
        <v>Yes, I Understand this is gonna happen everywhere</v>
      </c>
      <c r="R651" s="1" t="str">
        <f ca="1">IFERROR(__xludf.DUMMYFUNCTION("""COMPUTED_VALUE"""),"This will be hard to do, but if it is the right company I would try")</f>
        <v>This will be hard to do, but if it is the right company I would try</v>
      </c>
      <c r="S651" s="1"/>
    </row>
    <row r="652" spans="1:19" ht="12.5" x14ac:dyDescent="0.25">
      <c r="A652" s="2">
        <f ca="1">IFERROR(__xludf.DUMMYFUNCTION("""COMPUTED_VALUE"""),45021.884564456)</f>
        <v>45021.884564455999</v>
      </c>
      <c r="B652" s="1" t="str">
        <f ca="1">IFERROR(__xludf.DUMMYFUNCTION("""COMPUTED_VALUE"""),"India")</f>
        <v>India</v>
      </c>
      <c r="C652" s="1">
        <f ca="1">IFERROR(__xludf.DUMMYFUNCTION("""COMPUTED_VALUE"""),364002)</f>
        <v>364002</v>
      </c>
      <c r="D652" s="1" t="str">
        <f ca="1">IFERROR(__xludf.DUMMYFUNCTION("""COMPUTED_VALUE"""),"Female")</f>
        <v>Female</v>
      </c>
      <c r="E652" s="1" t="str">
        <f ca="1">IFERROR(__xludf.DUMMYFUNCTION("""COMPUTED_VALUE"""),"My Parents")</f>
        <v>My Parents</v>
      </c>
      <c r="F652" s="1" t="str">
        <f ca="1">IFERROR(__xludf.DUMMYFUNCTION("""COMPUTED_VALUE"""),"No, But if someone could bare the cost I will")</f>
        <v>No, But if someone could bare the cost I will</v>
      </c>
      <c r="G652" s="1" t="str">
        <f ca="1">IFERROR(__xludf.DUMMYFUNCTION("""COMPUTED_VALUE"""),"This will be hard to do, but if it is the right company I would try")</f>
        <v>This will be hard to do, but if it is the right company I would try</v>
      </c>
      <c r="H652" s="1" t="str">
        <f ca="1">IFERROR(__xludf.DUMMYFUNCTION("""COMPUTED_VALUE"""),"Yes")</f>
        <v>Yes</v>
      </c>
      <c r="I652" s="1" t="str">
        <f ca="1">IFERROR(__xludf.DUMMYFUNCTION("""COMPUTED_VALUE"""),"Will work for them")</f>
        <v>Will work for them</v>
      </c>
      <c r="J652" s="1">
        <f ca="1">IFERROR(__xludf.DUMMYFUNCTION("""COMPUTED_VALUE"""),1)</f>
        <v>1</v>
      </c>
      <c r="K652" s="1" t="str">
        <f ca="1">IFERROR(__xludf.DUMMYFUNCTION("""COMPUTED_VALUE"""),"Fully Remote with Options to travel as and when needed")</f>
        <v>Fully Remote with Options to travel as and when needed</v>
      </c>
      <c r="L6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52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652" s="1" t="str">
        <f ca="1">IFERROR(__xludf.DUMMYFUNCTION("""COMPUTED_VALUE"""),"Design and Creative strategy in any company, Build and develop a Team, Become a content Creator in some platform, Entrepreneur or Start Up")</f>
        <v>Design and Creative strategy in any company, Build and develop a Team, Become a content Creator in some platform, Entrepreneur or Start Up</v>
      </c>
      <c r="O652" s="1" t="str">
        <f ca="1">IFERROR(__xludf.DUMMYFUNCTION("""COMPUTED_VALUE"""),"Manager who explains what is expected, sets a goal and helps achieve it")</f>
        <v>Manager who explains what is expected, sets a goal and helps achieve it</v>
      </c>
      <c r="P652" s="1" t="str">
        <f ca="1">IFERROR(__xludf.DUMMYFUNCTION("""COMPUTED_VALUE"""),"Work with 5 to 6 people in my team")</f>
        <v>Work with 5 to 6 people in my team</v>
      </c>
      <c r="Q652" s="1" t="str">
        <f ca="1">IFERROR(__xludf.DUMMYFUNCTION("""COMPUTED_VALUE"""),"Yes, I Understand this is gonna happen everywhere")</f>
        <v>Yes, I Understand this is gonna happen everywhere</v>
      </c>
      <c r="R652" s="1" t="str">
        <f ca="1">IFERROR(__xludf.DUMMYFUNCTION("""COMPUTED_VALUE"""),"This will be hard to do, but if it is the right company I would try")</f>
        <v>This will be hard to do, but if it is the right company I would try</v>
      </c>
      <c r="S652" s="1"/>
    </row>
    <row r="653" spans="1:19" ht="12.5" x14ac:dyDescent="0.25">
      <c r="A653" s="2">
        <f ca="1">IFERROR(__xludf.DUMMYFUNCTION("""COMPUTED_VALUE"""),45021.8871447222)</f>
        <v>45021.887144722197</v>
      </c>
      <c r="B653" s="1" t="str">
        <f ca="1">IFERROR(__xludf.DUMMYFUNCTION("""COMPUTED_VALUE"""),"India")</f>
        <v>India</v>
      </c>
      <c r="C653" s="1">
        <f ca="1">IFERROR(__xludf.DUMMYFUNCTION("""COMPUTED_VALUE"""),500088)</f>
        <v>500088</v>
      </c>
      <c r="D653" s="1" t="str">
        <f ca="1">IFERROR(__xludf.DUMMYFUNCTION("""COMPUTED_VALUE"""),"Female")</f>
        <v>Female</v>
      </c>
      <c r="E653" s="1" t="str">
        <f ca="1">IFERROR(__xludf.DUMMYFUNCTION("""COMPUTED_VALUE"""),"My Parents")</f>
        <v>My Parents</v>
      </c>
      <c r="F653" s="1" t="str">
        <f ca="1">IFERROR(__xludf.DUMMYFUNCTION("""COMPUTED_VALUE"""),"Yes, I will earn and do that")</f>
        <v>Yes, I will earn and do that</v>
      </c>
      <c r="G653" s="1" t="str">
        <f ca="1">IFERROR(__xludf.DUMMYFUNCTION("""COMPUTED_VALUE"""),"This will be hard to do, but if it is the right company I would try")</f>
        <v>This will be hard to do, but if it is the right company I would try</v>
      </c>
      <c r="H653" s="1" t="str">
        <f ca="1">IFERROR(__xludf.DUMMYFUNCTION("""COMPUTED_VALUE"""),"No")</f>
        <v>No</v>
      </c>
      <c r="I653" s="1" t="str">
        <f ca="1">IFERROR(__xludf.DUMMYFUNCTION("""COMPUTED_VALUE"""),"Will NOT work for them")</f>
        <v>Will NOT work for them</v>
      </c>
      <c r="J653" s="1">
        <f ca="1">IFERROR(__xludf.DUMMYFUNCTION("""COMPUTED_VALUE"""),5)</f>
        <v>5</v>
      </c>
      <c r="K653" s="1" t="str">
        <f ca="1">IFERROR(__xludf.DUMMYFUNCTION("""COMPUTED_VALUE"""),"Fully Remote with Options to travel as and when needed")</f>
        <v>Fully Remote with Options to travel as and when needed</v>
      </c>
      <c r="L6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5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53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653" s="1" t="str">
        <f ca="1">IFERROR(__xludf.DUMMYFUNCTION("""COMPUTED_VALUE"""),"Manager who explains what is expected, sets a goal and helps achieve it")</f>
        <v>Manager who explains what is expected, sets a goal and helps achieve it</v>
      </c>
      <c r="P653" s="1" t="str">
        <f ca="1">IFERROR(__xludf.DUMMYFUNCTION("""COMPUTED_VALUE"""),"Work with 5 to 6 people in my team")</f>
        <v>Work with 5 to 6 people in my team</v>
      </c>
      <c r="Q653" s="1" t="str">
        <f ca="1">IFERROR(__xludf.DUMMYFUNCTION("""COMPUTED_VALUE"""),"Yes, I Understand this is gonna happen everywhere")</f>
        <v>Yes, I Understand this is gonna happen everywhere</v>
      </c>
      <c r="R653" s="1" t="str">
        <f ca="1">IFERROR(__xludf.DUMMYFUNCTION("""COMPUTED_VALUE"""),"No way")</f>
        <v>No way</v>
      </c>
      <c r="S653" s="1"/>
    </row>
    <row r="654" spans="1:19" ht="12.5" x14ac:dyDescent="0.25">
      <c r="A654" s="2">
        <f ca="1">IFERROR(__xludf.DUMMYFUNCTION("""COMPUTED_VALUE"""),45021.8883457638)</f>
        <v>45021.8883457638</v>
      </c>
      <c r="B654" s="1" t="str">
        <f ca="1">IFERROR(__xludf.DUMMYFUNCTION("""COMPUTED_VALUE"""),"India")</f>
        <v>India</v>
      </c>
      <c r="C654" s="1">
        <f ca="1">IFERROR(__xludf.DUMMYFUNCTION("""COMPUTED_VALUE"""),524002)</f>
        <v>524002</v>
      </c>
      <c r="D654" s="1" t="str">
        <f ca="1">IFERROR(__xludf.DUMMYFUNCTION("""COMPUTED_VALUE"""),"Male")</f>
        <v>Male</v>
      </c>
      <c r="E654" s="1" t="str">
        <f ca="1">IFERROR(__xludf.DUMMYFUNCTION("""COMPUTED_VALUE"""),"Influencers who had successful careers")</f>
        <v>Influencers who had successful careers</v>
      </c>
      <c r="F654" s="1" t="str">
        <f ca="1">IFERROR(__xludf.DUMMYFUNCTION("""COMPUTED_VALUE"""),"No, But if someone could bare the cost I will")</f>
        <v>No, But if someone could bare the cost I will</v>
      </c>
      <c r="G654" s="1" t="str">
        <f ca="1">IFERROR(__xludf.DUMMYFUNCTION("""COMPUTED_VALUE"""),"This will be hard to do, but if it is the right company I would try")</f>
        <v>This will be hard to do, but if it is the right company I would try</v>
      </c>
      <c r="H654" s="1" t="str">
        <f ca="1">IFERROR(__xludf.DUMMYFUNCTION("""COMPUTED_VALUE"""),"No")</f>
        <v>No</v>
      </c>
      <c r="I654" s="1" t="str">
        <f ca="1">IFERROR(__xludf.DUMMYFUNCTION("""COMPUTED_VALUE"""),"Will NOT work for them")</f>
        <v>Will NOT work for them</v>
      </c>
      <c r="J654" s="1">
        <f ca="1">IFERROR(__xludf.DUMMYFUNCTION("""COMPUTED_VALUE"""),6)</f>
        <v>6</v>
      </c>
      <c r="K654" s="1" t="str">
        <f ca="1">IFERROR(__xludf.DUMMYFUNCTION("""COMPUTED_VALUE"""),"Fully Remote with Options to travel as and when needed")</f>
        <v>Fully Remote with Options to travel as and when needed</v>
      </c>
      <c r="L6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5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654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654" s="1" t="str">
        <f ca="1">IFERROR(__xludf.DUMMYFUNCTION("""COMPUTED_VALUE"""),"Manager who explains what is expected, sets a goal and helps achieve it")</f>
        <v>Manager who explains what is expected, sets a goal and helps achieve it</v>
      </c>
      <c r="P654" s="1" t="str">
        <f ca="1">IFERROR(__xludf.DUMMYFUNCTION("""COMPUTED_VALUE"""),"Work with 5 to 6 people in my team")</f>
        <v>Work with 5 to 6 people in my team</v>
      </c>
      <c r="Q654" s="1" t="str">
        <f ca="1">IFERROR(__xludf.DUMMYFUNCTION("""COMPUTED_VALUE"""),"Yes, I Understand this is gonna happen everywhere")</f>
        <v>Yes, I Understand this is gonna happen everywhere</v>
      </c>
      <c r="R654" s="1" t="str">
        <f ca="1">IFERROR(__xludf.DUMMYFUNCTION("""COMPUTED_VALUE"""),"This will be hard to do, but if it is the right company I would try")</f>
        <v>This will be hard to do, but if it is the right company I would try</v>
      </c>
      <c r="S654" s="1"/>
    </row>
    <row r="655" spans="1:19" ht="12.5" x14ac:dyDescent="0.25">
      <c r="A655" s="2">
        <f ca="1">IFERROR(__xludf.DUMMYFUNCTION("""COMPUTED_VALUE"""),45021.8886641087)</f>
        <v>45021.888664108701</v>
      </c>
      <c r="B655" s="1" t="str">
        <f ca="1">IFERROR(__xludf.DUMMYFUNCTION("""COMPUTED_VALUE"""),"India")</f>
        <v>India</v>
      </c>
      <c r="C655" s="1">
        <f ca="1">IFERROR(__xludf.DUMMYFUNCTION("""COMPUTED_VALUE"""),110059)</f>
        <v>110059</v>
      </c>
      <c r="D655" s="1" t="str">
        <f ca="1">IFERROR(__xludf.DUMMYFUNCTION("""COMPUTED_VALUE"""),"Male")</f>
        <v>Male</v>
      </c>
      <c r="E655" s="1" t="str">
        <f ca="1">IFERROR(__xludf.DUMMYFUNCTION("""COMPUTED_VALUE"""),"My Parents")</f>
        <v>My Parents</v>
      </c>
      <c r="F655" s="1" t="str">
        <f ca="1">IFERROR(__xludf.DUMMYFUNCTION("""COMPUTED_VALUE"""),"No, But if someone could bare the cost I will")</f>
        <v>No, But if someone could bare the cost I will</v>
      </c>
      <c r="G655" s="1" t="str">
        <f ca="1">IFERROR(__xludf.DUMMYFUNCTION("""COMPUTED_VALUE"""),"This will be hard to do, but if it is the right company I would try")</f>
        <v>This will be hard to do, but if it is the right company I would try</v>
      </c>
      <c r="H655" s="1" t="str">
        <f ca="1">IFERROR(__xludf.DUMMYFUNCTION("""COMPUTED_VALUE"""),"No")</f>
        <v>No</v>
      </c>
      <c r="I655" s="1" t="str">
        <f ca="1">IFERROR(__xludf.DUMMYFUNCTION("""COMPUTED_VALUE"""),"Will NOT work for them")</f>
        <v>Will NOT work for them</v>
      </c>
      <c r="J655" s="1">
        <f ca="1">IFERROR(__xludf.DUMMYFUNCTION("""COMPUTED_VALUE"""),7)</f>
        <v>7</v>
      </c>
      <c r="K655" s="1" t="str">
        <f ca="1">IFERROR(__xludf.DUMMYFUNCTION("""COMPUTED_VALUE"""),"Hybrid Working Environment with more than 15 days a month at office")</f>
        <v>Hybrid Working Environment with more than 15 days a month at office</v>
      </c>
      <c r="L6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5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55" s="1" t="str">
        <f ca="1">IFERROR(__xludf.DUMMYFUNCTION("""COMPUTED_VALUE"""),"Design and Creative strategy in any company, Build and develop a Team, Look deeply into Data and generate insights, An Artificial Intelligence Specialist / Talking to Robots")</f>
        <v>Design and Creative strategy in any company, Build and develop a Team, Look deeply into Data and generate insights, An Artificial Intelligence Specialist / Talking to Robots</v>
      </c>
      <c r="O655" s="1" t="str">
        <f ca="1">IFERROR(__xludf.DUMMYFUNCTION("""COMPUTED_VALUE"""),"Manager who sets targets and expects me to achieve it")</f>
        <v>Manager who sets targets and expects me to achieve it</v>
      </c>
      <c r="P655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655" s="1" t="str">
        <f ca="1">IFERROR(__xludf.DUMMYFUNCTION("""COMPUTED_VALUE"""),"Yes, I Understand this is gonna happen everywhere")</f>
        <v>Yes, I Understand this is gonna happen everywhere</v>
      </c>
      <c r="R655" s="1" t="str">
        <f ca="1">IFERROR(__xludf.DUMMYFUNCTION("""COMPUTED_VALUE"""),"This will be hard to do, but if it is the right company I would try")</f>
        <v>This will be hard to do, but if it is the right company I would try</v>
      </c>
      <c r="S655" s="1"/>
    </row>
    <row r="656" spans="1:19" ht="12.5" x14ac:dyDescent="0.25">
      <c r="A656" s="2">
        <f ca="1">IFERROR(__xludf.DUMMYFUNCTION("""COMPUTED_VALUE"""),45021.8915075347)</f>
        <v>45021.891507534703</v>
      </c>
      <c r="B656" s="1" t="str">
        <f ca="1">IFERROR(__xludf.DUMMYFUNCTION("""COMPUTED_VALUE"""),"India")</f>
        <v>India</v>
      </c>
      <c r="C656" s="1">
        <f ca="1">IFERROR(__xludf.DUMMYFUNCTION("""COMPUTED_VALUE"""),20201)</f>
        <v>20201</v>
      </c>
      <c r="D656" s="1" t="str">
        <f ca="1">IFERROR(__xludf.DUMMYFUNCTION("""COMPUTED_VALUE"""),"Male")</f>
        <v>Male</v>
      </c>
      <c r="E656" s="1" t="str">
        <f ca="1">IFERROR(__xludf.DUMMYFUNCTION("""COMPUTED_VALUE"""),"People from my circle, but not family members")</f>
        <v>People from my circle, but not family members</v>
      </c>
      <c r="F656" s="1" t="str">
        <f ca="1">IFERROR(__xludf.DUMMYFUNCTION("""COMPUTED_VALUE"""),"Yes, I will earn and do that")</f>
        <v>Yes, I will earn and do that</v>
      </c>
      <c r="G656" s="1" t="str">
        <f ca="1">IFERROR(__xludf.DUMMYFUNCTION("""COMPUTED_VALUE"""),"No way")</f>
        <v>No way</v>
      </c>
      <c r="H656" s="1" t="str">
        <f ca="1">IFERROR(__xludf.DUMMYFUNCTION("""COMPUTED_VALUE"""),"No")</f>
        <v>No</v>
      </c>
      <c r="I656" s="1" t="str">
        <f ca="1">IFERROR(__xludf.DUMMYFUNCTION("""COMPUTED_VALUE"""),"Will work for them")</f>
        <v>Will work for them</v>
      </c>
      <c r="J656" s="1">
        <f ca="1">IFERROR(__xludf.DUMMYFUNCTION("""COMPUTED_VALUE"""),3)</f>
        <v>3</v>
      </c>
      <c r="K656" s="1" t="str">
        <f ca="1">IFERROR(__xludf.DUMMYFUNCTION("""COMPUTED_VALUE"""),"Fully Remote with No option to visit offices")</f>
        <v>Fully Remote with No option to visit offices</v>
      </c>
      <c r="L656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65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656" s="1" t="str">
        <f ca="1">IFERROR(__xludf.DUMMYFUNCTION("""COMPUTED_VALUE"""),"Business Operations in any organization, Build and develop a Team, Design and Develop amazing software, Work in a BPO setup for some well known client")</f>
        <v>Business Operations in any organization, Build and develop a Team, Design and Develop amazing software, Work in a BPO setup for some well known client</v>
      </c>
      <c r="O656" s="1" t="str">
        <f ca="1">IFERROR(__xludf.DUMMYFUNCTION("""COMPUTED_VALUE"""),"Manager who sets goal and helps me achieve it")</f>
        <v>Manager who sets goal and helps me achieve it</v>
      </c>
      <c r="P65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656" s="1" t="str">
        <f ca="1">IFERROR(__xludf.DUMMYFUNCTION("""COMPUTED_VALUE"""),"No")</f>
        <v>No</v>
      </c>
      <c r="R656" s="1" t="str">
        <f ca="1">IFERROR(__xludf.DUMMYFUNCTION("""COMPUTED_VALUE"""),"No way")</f>
        <v>No way</v>
      </c>
      <c r="S656" s="1"/>
    </row>
    <row r="657" spans="1:19" ht="12.5" x14ac:dyDescent="0.25">
      <c r="A657" s="2">
        <f ca="1">IFERROR(__xludf.DUMMYFUNCTION("""COMPUTED_VALUE"""),45021.8947746875)</f>
        <v>45021.894774687498</v>
      </c>
      <c r="B657" s="1" t="str">
        <f ca="1">IFERROR(__xludf.DUMMYFUNCTION("""COMPUTED_VALUE"""),"India")</f>
        <v>India</v>
      </c>
      <c r="C657" s="1">
        <f ca="1">IFERROR(__xludf.DUMMYFUNCTION("""COMPUTED_VALUE"""),800001)</f>
        <v>800001</v>
      </c>
      <c r="D657" s="1" t="str">
        <f ca="1">IFERROR(__xludf.DUMMYFUNCTION("""COMPUTED_VALUE"""),"Male")</f>
        <v>Male</v>
      </c>
      <c r="E657" s="1" t="str">
        <f ca="1">IFERROR(__xludf.DUMMYFUNCTION("""COMPUTED_VALUE"""),"Social Media like LinkedIn")</f>
        <v>Social Media like LinkedIn</v>
      </c>
      <c r="F657" s="1" t="str">
        <f ca="1">IFERROR(__xludf.DUMMYFUNCTION("""COMPUTED_VALUE"""),"Yes, I will earn and do that")</f>
        <v>Yes, I will earn and do that</v>
      </c>
      <c r="G657" s="1" t="str">
        <f ca="1">IFERROR(__xludf.DUMMYFUNCTION("""COMPUTED_VALUE"""),"No way")</f>
        <v>No way</v>
      </c>
      <c r="H657" s="1" t="str">
        <f ca="1">IFERROR(__xludf.DUMMYFUNCTION("""COMPUTED_VALUE"""),"Yes")</f>
        <v>Yes</v>
      </c>
      <c r="I657" s="1" t="str">
        <f ca="1">IFERROR(__xludf.DUMMYFUNCTION("""COMPUTED_VALUE"""),"Will work for them")</f>
        <v>Will work for them</v>
      </c>
      <c r="J657" s="1">
        <f ca="1">IFERROR(__xludf.DUMMYFUNCTION("""COMPUTED_VALUE"""),5)</f>
        <v>5</v>
      </c>
      <c r="K657" s="1" t="str">
        <f ca="1">IFERROR(__xludf.DUMMYFUNCTION("""COMPUTED_VALUE"""),"Hybrid Working Environment with more than 15 days a month at office")</f>
        <v>Hybrid Working Environment with more than 15 days a month at office</v>
      </c>
      <c r="L657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657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657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657" s="1" t="str">
        <f ca="1">IFERROR(__xludf.DUMMYFUNCTION("""COMPUTED_VALUE"""),"Manager who explains what is expected, sets a goal and helps achieve it")</f>
        <v>Manager who explains what is expected, sets a goal and helps achieve it</v>
      </c>
      <c r="P657" s="1" t="str">
        <f ca="1">IFERROR(__xludf.DUMMYFUNCTION("""COMPUTED_VALUE"""),"Work with 7 to 10 or more people in my team")</f>
        <v>Work with 7 to 10 or more people in my team</v>
      </c>
      <c r="Q657" s="1" t="str">
        <f ca="1">IFERROR(__xludf.DUMMYFUNCTION("""COMPUTED_VALUE"""),"No")</f>
        <v>No</v>
      </c>
      <c r="R657" s="1" t="str">
        <f ca="1">IFERROR(__xludf.DUMMYFUNCTION("""COMPUTED_VALUE"""),"No way")</f>
        <v>No way</v>
      </c>
      <c r="S657" s="1"/>
    </row>
    <row r="658" spans="1:19" ht="12.5" x14ac:dyDescent="0.25">
      <c r="A658" s="2">
        <f ca="1">IFERROR(__xludf.DUMMYFUNCTION("""COMPUTED_VALUE"""),45021.8951543634)</f>
        <v>45021.895154363403</v>
      </c>
      <c r="B658" s="1" t="str">
        <f ca="1">IFERROR(__xludf.DUMMYFUNCTION("""COMPUTED_VALUE"""),"India")</f>
        <v>India</v>
      </c>
      <c r="C658" s="1">
        <f ca="1">IFERROR(__xludf.DUMMYFUNCTION("""COMPUTED_VALUE"""),515571)</f>
        <v>515571</v>
      </c>
      <c r="D658" s="1" t="str">
        <f ca="1">IFERROR(__xludf.DUMMYFUNCTION("""COMPUTED_VALUE"""),"Male")</f>
        <v>Male</v>
      </c>
      <c r="E658" s="1" t="str">
        <f ca="1">IFERROR(__xludf.DUMMYFUNCTION("""COMPUTED_VALUE"""),"My Parents")</f>
        <v>My Parents</v>
      </c>
      <c r="F658" s="1" t="str">
        <f ca="1">IFERROR(__xludf.DUMMYFUNCTION("""COMPUTED_VALUE"""),"Yes, I will earn and do that")</f>
        <v>Yes, I will earn and do that</v>
      </c>
      <c r="G658" s="1" t="str">
        <f ca="1">IFERROR(__xludf.DUMMYFUNCTION("""COMPUTED_VALUE"""),"Will work for 3 years or more")</f>
        <v>Will work for 3 years or more</v>
      </c>
      <c r="H658" s="1" t="str">
        <f ca="1">IFERROR(__xludf.DUMMYFUNCTION("""COMPUTED_VALUE"""),"Yes")</f>
        <v>Yes</v>
      </c>
      <c r="I658" s="1" t="str">
        <f ca="1">IFERROR(__xludf.DUMMYFUNCTION("""COMPUTED_VALUE"""),"Will work for them")</f>
        <v>Will work for them</v>
      </c>
      <c r="J658" s="1">
        <f ca="1">IFERROR(__xludf.DUMMYFUNCTION("""COMPUTED_VALUE"""),9)</f>
        <v>9</v>
      </c>
      <c r="K658" s="1" t="str">
        <f ca="1">IFERROR(__xludf.DUMMYFUNCTION("""COMPUTED_VALUE"""),"Every Day Office Environment")</f>
        <v>Every Day Office Environment</v>
      </c>
      <c r="L6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5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58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658" s="1" t="str">
        <f ca="1">IFERROR(__xludf.DUMMYFUNCTION("""COMPUTED_VALUE"""),"Manager who clearly describes what she/he needs")</f>
        <v>Manager who clearly describes what she/he needs</v>
      </c>
      <c r="P658" s="1" t="str">
        <f ca="1">IFERROR(__xludf.DUMMYFUNCTION("""COMPUTED_VALUE"""),"Work with 5 to 6 people in my team")</f>
        <v>Work with 5 to 6 people in my team</v>
      </c>
      <c r="Q658" s="1" t="str">
        <f ca="1">IFERROR(__xludf.DUMMYFUNCTION("""COMPUTED_VALUE"""),"No")</f>
        <v>No</v>
      </c>
      <c r="R658" s="1" t="str">
        <f ca="1">IFERROR(__xludf.DUMMYFUNCTION("""COMPUTED_VALUE"""),"No way")</f>
        <v>No way</v>
      </c>
      <c r="S658" s="1"/>
    </row>
    <row r="659" spans="1:19" ht="12.5" x14ac:dyDescent="0.25">
      <c r="A659" s="2">
        <f ca="1">IFERROR(__xludf.DUMMYFUNCTION("""COMPUTED_VALUE"""),45021.8964926273)</f>
        <v>45021.896492627297</v>
      </c>
      <c r="B659" s="1" t="str">
        <f ca="1">IFERROR(__xludf.DUMMYFUNCTION("""COMPUTED_VALUE"""),"India")</f>
        <v>India</v>
      </c>
      <c r="C659" s="1">
        <f ca="1">IFERROR(__xludf.DUMMYFUNCTION("""COMPUTED_VALUE"""),517503)</f>
        <v>517503</v>
      </c>
      <c r="D659" s="1" t="str">
        <f ca="1">IFERROR(__xludf.DUMMYFUNCTION("""COMPUTED_VALUE"""),"Male")</f>
        <v>Male</v>
      </c>
      <c r="E659" s="1" t="str">
        <f ca="1">IFERROR(__xludf.DUMMYFUNCTION("""COMPUTED_VALUE"""),"Influencers who had successful careers")</f>
        <v>Influencers who had successful careers</v>
      </c>
      <c r="F659" s="1" t="str">
        <f ca="1">IFERROR(__xludf.DUMMYFUNCTION("""COMPUTED_VALUE"""),"No I would not be pursuing Higher Education outside of India")</f>
        <v>No I would not be pursuing Higher Education outside of India</v>
      </c>
      <c r="G659" s="1" t="str">
        <f ca="1">IFERROR(__xludf.DUMMYFUNCTION("""COMPUTED_VALUE"""),"This will be hard to do, but if it is the right company I would try")</f>
        <v>This will be hard to do, but if it is the right company I would try</v>
      </c>
      <c r="H659" s="1" t="str">
        <f ca="1">IFERROR(__xludf.DUMMYFUNCTION("""COMPUTED_VALUE"""),"Yes")</f>
        <v>Yes</v>
      </c>
      <c r="I659" s="1" t="str">
        <f ca="1">IFERROR(__xludf.DUMMYFUNCTION("""COMPUTED_VALUE"""),"Will work for them")</f>
        <v>Will work for them</v>
      </c>
      <c r="J659" s="1">
        <f ca="1">IFERROR(__xludf.DUMMYFUNCTION("""COMPUTED_VALUE"""),5)</f>
        <v>5</v>
      </c>
      <c r="K659" s="1" t="str">
        <f ca="1">IFERROR(__xludf.DUMMYFUNCTION("""COMPUTED_VALUE"""),"Fully Remote with No option to visit offices")</f>
        <v>Fully Remote with No option to visit offices</v>
      </c>
      <c r="L659" s="1" t="str">
        <f ca="1">IFERROR(__xludf.DUMMYFUNCTION("""COMPUTED_VALUE"""),"Employer who rewards learning and enables that environment")</f>
        <v>Employer who rewards learning and enables that environment</v>
      </c>
      <c r="M659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659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659" s="1" t="str">
        <f ca="1">IFERROR(__xludf.DUMMYFUNCTION("""COMPUTED_VALUE"""),"Manager who sets goal and helps me achieve it")</f>
        <v>Manager who sets goal and helps me achieve it</v>
      </c>
      <c r="P659" s="1" t="str">
        <f ca="1">IFERROR(__xludf.DUMMYFUNCTION("""COMPUTED_VALUE"""),"Work with 5 to 6 people in my team")</f>
        <v>Work with 5 to 6 people in my team</v>
      </c>
      <c r="Q659" s="1" t="str">
        <f ca="1">IFERROR(__xludf.DUMMYFUNCTION("""COMPUTED_VALUE"""),"Yes, I Understand this is gonna happen everywhere")</f>
        <v>Yes, I Understand this is gonna happen everywhere</v>
      </c>
      <c r="R659" s="1" t="str">
        <f ca="1">IFERROR(__xludf.DUMMYFUNCTION("""COMPUTED_VALUE"""),"This will be hard to do, but if it is the right company I would try")</f>
        <v>This will be hard to do, but if it is the right company I would try</v>
      </c>
      <c r="S659" s="1"/>
    </row>
    <row r="660" spans="1:19" ht="12.5" x14ac:dyDescent="0.25">
      <c r="A660" s="2">
        <f ca="1">IFERROR(__xludf.DUMMYFUNCTION("""COMPUTED_VALUE"""),45021.8974137731)</f>
        <v>45021.897413773098</v>
      </c>
      <c r="B660" s="1" t="str">
        <f ca="1">IFERROR(__xludf.DUMMYFUNCTION("""COMPUTED_VALUE"""),"India")</f>
        <v>India</v>
      </c>
      <c r="C660" s="1">
        <f ca="1">IFERROR(__xludf.DUMMYFUNCTION("""COMPUTED_VALUE"""),201306)</f>
        <v>201306</v>
      </c>
      <c r="D660" s="1" t="str">
        <f ca="1">IFERROR(__xludf.DUMMYFUNCTION("""COMPUTED_VALUE"""),"Female")</f>
        <v>Female</v>
      </c>
      <c r="E660" s="1" t="str">
        <f ca="1">IFERROR(__xludf.DUMMYFUNCTION("""COMPUTED_VALUE"""),"People who have changed the world for better")</f>
        <v>People who have changed the world for better</v>
      </c>
      <c r="F660" s="1" t="str">
        <f ca="1">IFERROR(__xludf.DUMMYFUNCTION("""COMPUTED_VALUE"""),"No I would not be pursuing Higher Education outside of India")</f>
        <v>No I would not be pursuing Higher Education outside of India</v>
      </c>
      <c r="G660" s="1" t="str">
        <f ca="1">IFERROR(__xludf.DUMMYFUNCTION("""COMPUTED_VALUE"""),"Will work for 3 years or more")</f>
        <v>Will work for 3 years or more</v>
      </c>
      <c r="H660" s="1" t="str">
        <f ca="1">IFERROR(__xludf.DUMMYFUNCTION("""COMPUTED_VALUE"""),"No")</f>
        <v>No</v>
      </c>
      <c r="I660" s="1" t="str">
        <f ca="1">IFERROR(__xludf.DUMMYFUNCTION("""COMPUTED_VALUE"""),"Will NOT work for them")</f>
        <v>Will NOT work for them</v>
      </c>
      <c r="J660" s="1">
        <f ca="1">IFERROR(__xludf.DUMMYFUNCTION("""COMPUTED_VALUE"""),2)</f>
        <v>2</v>
      </c>
      <c r="K660" s="1" t="str">
        <f ca="1">IFERROR(__xludf.DUMMYFUNCTION("""COMPUTED_VALUE"""),"Fully Remote with Options to travel as and when needed")</f>
        <v>Fully Remote with Options to travel as and when needed</v>
      </c>
      <c r="L660" s="1" t="str">
        <f ca="1">IFERROR(__xludf.DUMMYFUNCTION("""COMPUTED_VALUE"""),"Employer who appreciates learning and enables that environment")</f>
        <v>Employer who appreciates learning and enables that environment</v>
      </c>
      <c r="M66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60" s="1" t="str">
        <f ca="1">IFERROR(__xludf.DUMMYFUNCTION("""COMPUTED_VALUE"""),"Design and Creative strategy in any company, Look deeply into Data and generate insights, Work as a freelancer and do my thing my way, An Artificial Intelligence Specialist / Talking to Robots")</f>
        <v>Design and Creative strategy in any company, Look deeply into Data and generate insights, Work as a freelancer and do my thing my way, An Artificial Intelligence Specialist / Talking to Robots</v>
      </c>
      <c r="O660" s="1" t="str">
        <f ca="1">IFERROR(__xludf.DUMMYFUNCTION("""COMPUTED_VALUE"""),"Manager who explains what is expected, sets a goal and helps achieve it")</f>
        <v>Manager who explains what is expected, sets a goal and helps achieve it</v>
      </c>
      <c r="P660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660" s="1" t="str">
        <f ca="1">IFERROR(__xludf.DUMMYFUNCTION("""COMPUTED_VALUE"""),"No")</f>
        <v>No</v>
      </c>
      <c r="R660" s="1" t="str">
        <f ca="1">IFERROR(__xludf.DUMMYFUNCTION("""COMPUTED_VALUE"""),"This will be hard to do, but if it is the right company I would try")</f>
        <v>This will be hard to do, but if it is the right company I would try</v>
      </c>
      <c r="S660" s="1"/>
    </row>
    <row r="661" spans="1:19" ht="12.5" x14ac:dyDescent="0.25">
      <c r="A661" s="2">
        <f ca="1">IFERROR(__xludf.DUMMYFUNCTION("""COMPUTED_VALUE"""),45021.8974579513)</f>
        <v>45021.897457951301</v>
      </c>
      <c r="B661" s="1" t="str">
        <f ca="1">IFERROR(__xludf.DUMMYFUNCTION("""COMPUTED_VALUE"""),"India")</f>
        <v>India</v>
      </c>
      <c r="C661" s="1">
        <f ca="1">IFERROR(__xludf.DUMMYFUNCTION("""COMPUTED_VALUE"""),602024)</f>
        <v>602024</v>
      </c>
      <c r="D661" s="1" t="str">
        <f ca="1">IFERROR(__xludf.DUMMYFUNCTION("""COMPUTED_VALUE"""),"Female")</f>
        <v>Female</v>
      </c>
      <c r="E661" s="1" t="str">
        <f ca="1">IFERROR(__xludf.DUMMYFUNCTION("""COMPUTED_VALUE"""),"My Parents")</f>
        <v>My Parents</v>
      </c>
      <c r="F661" s="1" t="str">
        <f ca="1">IFERROR(__xludf.DUMMYFUNCTION("""COMPUTED_VALUE"""),"No, But if someone could bare the cost I will")</f>
        <v>No, But if someone could bare the cost I will</v>
      </c>
      <c r="G661" s="1" t="str">
        <f ca="1">IFERROR(__xludf.DUMMYFUNCTION("""COMPUTED_VALUE"""),"This will be hard to do, but if it is the right company I would try")</f>
        <v>This will be hard to do, but if it is the right company I would try</v>
      </c>
      <c r="H661" s="1" t="str">
        <f ca="1">IFERROR(__xludf.DUMMYFUNCTION("""COMPUTED_VALUE"""),"No")</f>
        <v>No</v>
      </c>
      <c r="I661" s="1" t="str">
        <f ca="1">IFERROR(__xludf.DUMMYFUNCTION("""COMPUTED_VALUE"""),"Will NOT work for them")</f>
        <v>Will NOT work for them</v>
      </c>
      <c r="J661" s="1">
        <f ca="1">IFERROR(__xludf.DUMMYFUNCTION("""COMPUTED_VALUE"""),5)</f>
        <v>5</v>
      </c>
      <c r="K661" s="1" t="str">
        <f ca="1">IFERROR(__xludf.DUMMYFUNCTION("""COMPUTED_VALUE"""),"Hybrid Working Environment with less than 3 days a month at office")</f>
        <v>Hybrid Working Environment with less than 3 days a month at office</v>
      </c>
      <c r="L6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6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661" s="1" t="str">
        <f ca="1">IFERROR(__xludf.DUMMYFUNCTION("""COMPUTED_VALUE"""),"Business Operations in any organization, Manage and drive End-to-End Projects or Products, Build and develop a Team, Work in a BPO setup for some well known client")</f>
        <v>Business Operations in any organization, Manage and drive End-to-End Projects or Products, Build and develop a Team, Work in a BPO setup for some well known client</v>
      </c>
      <c r="O661" s="1" t="str">
        <f ca="1">IFERROR(__xludf.DUMMYFUNCTION("""COMPUTED_VALUE"""),"Manager who sets goal and helps me achieve it")</f>
        <v>Manager who sets goal and helps me achieve it</v>
      </c>
      <c r="P661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661" s="1" t="str">
        <f ca="1">IFERROR(__xludf.DUMMYFUNCTION("""COMPUTED_VALUE"""),"Yes, I Understand this is gonna happen everywhere")</f>
        <v>Yes, I Understand this is gonna happen everywhere</v>
      </c>
      <c r="R661" s="1" t="str">
        <f ca="1">IFERROR(__xludf.DUMMYFUNCTION("""COMPUTED_VALUE"""),"This will be hard to do, but if it is the right company I would try")</f>
        <v>This will be hard to do, but if it is the right company I would try</v>
      </c>
      <c r="S661" s="1"/>
    </row>
    <row r="662" spans="1:19" ht="12.5" x14ac:dyDescent="0.25">
      <c r="A662" s="2">
        <f ca="1">IFERROR(__xludf.DUMMYFUNCTION("""COMPUTED_VALUE"""),45021.8999191666)</f>
        <v>45021.899919166601</v>
      </c>
      <c r="B662" s="1" t="str">
        <f ca="1">IFERROR(__xludf.DUMMYFUNCTION("""COMPUTED_VALUE"""),"India")</f>
        <v>India</v>
      </c>
      <c r="C662" s="1">
        <f ca="1">IFERROR(__xludf.DUMMYFUNCTION("""COMPUTED_VALUE"""),517501)</f>
        <v>517501</v>
      </c>
      <c r="D662" s="1" t="str">
        <f ca="1">IFERROR(__xludf.DUMMYFUNCTION("""COMPUTED_VALUE"""),"Male")</f>
        <v>Male</v>
      </c>
      <c r="E662" s="1" t="str">
        <f ca="1">IFERROR(__xludf.DUMMYFUNCTION("""COMPUTED_VALUE"""),"My Parents")</f>
        <v>My Parents</v>
      </c>
      <c r="F662" s="1" t="str">
        <f ca="1">IFERROR(__xludf.DUMMYFUNCTION("""COMPUTED_VALUE"""),"Yes, I will earn and do that")</f>
        <v>Yes, I will earn and do that</v>
      </c>
      <c r="G662" s="1" t="str">
        <f ca="1">IFERROR(__xludf.DUMMYFUNCTION("""COMPUTED_VALUE"""),"Will work for 3 years or more")</f>
        <v>Will work for 3 years or more</v>
      </c>
      <c r="H662" s="1" t="str">
        <f ca="1">IFERROR(__xludf.DUMMYFUNCTION("""COMPUTED_VALUE"""),"Yes")</f>
        <v>Yes</v>
      </c>
      <c r="I662" s="1" t="str">
        <f ca="1">IFERROR(__xludf.DUMMYFUNCTION("""COMPUTED_VALUE"""),"Will work for them")</f>
        <v>Will work for them</v>
      </c>
      <c r="J662" s="1">
        <f ca="1">IFERROR(__xludf.DUMMYFUNCTION("""COMPUTED_VALUE"""),1)</f>
        <v>1</v>
      </c>
      <c r="K662" s="1" t="str">
        <f ca="1">IFERROR(__xludf.DUMMYFUNCTION("""COMPUTED_VALUE"""),"Hybrid Working Environment with more than 15 days a month at office")</f>
        <v>Hybrid Working Environment with more than 15 days a month at office</v>
      </c>
      <c r="L662" s="1" t="str">
        <f ca="1">IFERROR(__xludf.DUMMYFUNCTION("""COMPUTED_VALUE"""),"Employer who appreciates learning and enables that environment")</f>
        <v>Employer who appreciates learning and enables that environment</v>
      </c>
      <c r="M662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662" s="1" t="str">
        <f ca="1">IFERROR(__xludf.DUMMYFUNCTION("""COMPUTED_VALUE"""),"Teaching in any of the institutes/colleges/online or offline, Build and develop a Team, Work as a freelancer and do my thing my way, I Want to sell things/Sales")</f>
        <v>Teaching in any of the institutes/colleges/online or offline, Build and develop a Team, Work as a freelancer and do my thing my way, I Want to sell things/Sales</v>
      </c>
      <c r="O662" s="1" t="str">
        <f ca="1">IFERROR(__xludf.DUMMYFUNCTION("""COMPUTED_VALUE"""),"Manager who sets goal and helps me achieve it")</f>
        <v>Manager who sets goal and helps me achieve it</v>
      </c>
      <c r="P662" s="1" t="str">
        <f ca="1">IFERROR(__xludf.DUMMYFUNCTION("""COMPUTED_VALUE"""),"Work alone")</f>
        <v>Work alone</v>
      </c>
      <c r="Q662" s="1" t="str">
        <f ca="1">IFERROR(__xludf.DUMMYFUNCTION("""COMPUTED_VALUE"""),"Yes")</f>
        <v>Yes</v>
      </c>
      <c r="R662" s="1" t="str">
        <f ca="1">IFERROR(__xludf.DUMMYFUNCTION("""COMPUTED_VALUE"""),"This will be hard to do, but if it is the right company I would try")</f>
        <v>This will be hard to do, but if it is the right company I would try</v>
      </c>
      <c r="S662" s="1"/>
    </row>
    <row r="663" spans="1:19" ht="12.5" x14ac:dyDescent="0.25">
      <c r="A663" s="2">
        <f ca="1">IFERROR(__xludf.DUMMYFUNCTION("""COMPUTED_VALUE"""),45021.9001611805)</f>
        <v>45021.9001611805</v>
      </c>
      <c r="B663" s="1" t="str">
        <f ca="1">IFERROR(__xludf.DUMMYFUNCTION("""COMPUTED_VALUE"""),"India")</f>
        <v>India</v>
      </c>
      <c r="C663" s="1">
        <f ca="1">IFERROR(__xludf.DUMMYFUNCTION("""COMPUTED_VALUE"""),560064)</f>
        <v>560064</v>
      </c>
      <c r="D663" s="1" t="str">
        <f ca="1">IFERROR(__xludf.DUMMYFUNCTION("""COMPUTED_VALUE"""),"Male")</f>
        <v>Male</v>
      </c>
      <c r="E663" s="1" t="str">
        <f ca="1">IFERROR(__xludf.DUMMYFUNCTION("""COMPUTED_VALUE"""),"Influencers who had successful careers")</f>
        <v>Influencers who had successful careers</v>
      </c>
      <c r="F663" s="1" t="str">
        <f ca="1">IFERROR(__xludf.DUMMYFUNCTION("""COMPUTED_VALUE"""),"No, But if someone could bare the cost I will")</f>
        <v>No, But if someone could bare the cost I will</v>
      </c>
      <c r="G663" s="1" t="str">
        <f ca="1">IFERROR(__xludf.DUMMYFUNCTION("""COMPUTED_VALUE"""),"This will be hard to do, but if it is the right company I would try")</f>
        <v>This will be hard to do, but if it is the right company I would try</v>
      </c>
      <c r="H663" s="1" t="str">
        <f ca="1">IFERROR(__xludf.DUMMYFUNCTION("""COMPUTED_VALUE"""),"No")</f>
        <v>No</v>
      </c>
      <c r="I663" s="1" t="str">
        <f ca="1">IFERROR(__xludf.DUMMYFUNCTION("""COMPUTED_VALUE"""),"Will NOT work for them")</f>
        <v>Will NOT work for them</v>
      </c>
      <c r="J663" s="1">
        <f ca="1">IFERROR(__xludf.DUMMYFUNCTION("""COMPUTED_VALUE"""),4)</f>
        <v>4</v>
      </c>
      <c r="K663" s="1" t="str">
        <f ca="1">IFERROR(__xludf.DUMMYFUNCTION("""COMPUTED_VALUE"""),"Hybrid Working Environment with more than 15 days a month at office")</f>
        <v>Hybrid Working Environment with more than 15 days a month at office</v>
      </c>
      <c r="L663" s="1" t="str">
        <f ca="1">IFERROR(__xludf.DUMMYFUNCTION("""COMPUTED_VALUE"""),"Employer who rewards learning and enables that environment")</f>
        <v>Employer who rewards learning and enables that environment</v>
      </c>
      <c r="M663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663" s="1" t="str">
        <f ca="1">IFERROR(__xludf.DUMMYFUNCTION("""COMPUTED_VALUE"""),"Business Operations in any organization, Work in a BPO setup for some well known client, Entrepreneur or Start Up, I Want to sell things/Sales")</f>
        <v>Business Operations in any organization, Work in a BPO setup for some well known client, Entrepreneur or Start Up, I Want to sell things/Sales</v>
      </c>
      <c r="O663" s="1" t="str">
        <f ca="1">IFERROR(__xludf.DUMMYFUNCTION("""COMPUTED_VALUE"""),"Manager who explains what is expected, sets a goal and helps achieve it")</f>
        <v>Manager who explains what is expected, sets a goal and helps achieve it</v>
      </c>
      <c r="P663" s="1" t="str">
        <f ca="1">IFERROR(__xludf.DUMMYFUNCTION("""COMPUTED_VALUE"""),"Work with 2 to 3 people in my team, Work with 5 to 6 people in my team")</f>
        <v>Work with 2 to 3 people in my team, Work with 5 to 6 people in my team</v>
      </c>
      <c r="Q663" s="1" t="str">
        <f ca="1">IFERROR(__xludf.DUMMYFUNCTION("""COMPUTED_VALUE"""),"Yes, I Understand this is gonna happen everywhere")</f>
        <v>Yes, I Understand this is gonna happen everywhere</v>
      </c>
      <c r="R663" s="1" t="str">
        <f ca="1">IFERROR(__xludf.DUMMYFUNCTION("""COMPUTED_VALUE"""),"No way")</f>
        <v>No way</v>
      </c>
      <c r="S663" s="1"/>
    </row>
    <row r="664" spans="1:19" ht="12.5" x14ac:dyDescent="0.25">
      <c r="A664" s="2">
        <f ca="1">IFERROR(__xludf.DUMMYFUNCTION("""COMPUTED_VALUE"""),45021.900895243)</f>
        <v>45021.900895243001</v>
      </c>
      <c r="B664" s="1" t="str">
        <f ca="1">IFERROR(__xludf.DUMMYFUNCTION("""COMPUTED_VALUE"""),"India")</f>
        <v>India</v>
      </c>
      <c r="C664" s="1">
        <f ca="1">IFERROR(__xludf.DUMMYFUNCTION("""COMPUTED_VALUE"""),422101)</f>
        <v>422101</v>
      </c>
      <c r="D664" s="1" t="str">
        <f ca="1">IFERROR(__xludf.DUMMYFUNCTION("""COMPUTED_VALUE"""),"Male")</f>
        <v>Male</v>
      </c>
      <c r="E664" s="1" t="str">
        <f ca="1">IFERROR(__xludf.DUMMYFUNCTION("""COMPUTED_VALUE"""),"Social Media like LinkedIn")</f>
        <v>Social Media like LinkedIn</v>
      </c>
      <c r="F664" s="1" t="str">
        <f ca="1">IFERROR(__xludf.DUMMYFUNCTION("""COMPUTED_VALUE"""),"Yes, I will earn and do that")</f>
        <v>Yes, I will earn and do that</v>
      </c>
      <c r="G664" s="1" t="str">
        <f ca="1">IFERROR(__xludf.DUMMYFUNCTION("""COMPUTED_VALUE"""),"Will work for 3 years or more")</f>
        <v>Will work for 3 years or more</v>
      </c>
      <c r="H664" s="1" t="str">
        <f ca="1">IFERROR(__xludf.DUMMYFUNCTION("""COMPUTED_VALUE"""),"Yes")</f>
        <v>Yes</v>
      </c>
      <c r="I664" s="1" t="str">
        <f ca="1">IFERROR(__xludf.DUMMYFUNCTION("""COMPUTED_VALUE"""),"Will NOT work for them")</f>
        <v>Will NOT work for them</v>
      </c>
      <c r="J664" s="1">
        <f ca="1">IFERROR(__xludf.DUMMYFUNCTION("""COMPUTED_VALUE"""),5)</f>
        <v>5</v>
      </c>
      <c r="K664" s="1" t="str">
        <f ca="1">IFERROR(__xludf.DUMMYFUNCTION("""COMPUTED_VALUE"""),"Fully Remote with No option to visit offices")</f>
        <v>Fully Remote with No option to visit offices</v>
      </c>
      <c r="L664" s="1" t="str">
        <f ca="1">IFERROR(__xludf.DUMMYFUNCTION("""COMPUTED_VALUE"""),"Employer who appreciates learning and enables that environment")</f>
        <v>Employer who appreciates learning and enables that environment</v>
      </c>
      <c r="M66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664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664" s="1" t="str">
        <f ca="1">IFERROR(__xludf.DUMMYFUNCTION("""COMPUTED_VALUE"""),"Manager who explains what is expected, sets a goal and helps achieve it")</f>
        <v>Manager who explains what is expected, sets a goal and helps achieve it</v>
      </c>
      <c r="P664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664" s="1" t="str">
        <f ca="1">IFERROR(__xludf.DUMMYFUNCTION("""COMPUTED_VALUE"""),"Yes, I Understand this is gonna happen everywhere")</f>
        <v>Yes, I Understand this is gonna happen everywhere</v>
      </c>
      <c r="R664" s="1" t="str">
        <f ca="1">IFERROR(__xludf.DUMMYFUNCTION("""COMPUTED_VALUE"""),"This will be hard to do, but if it is the right company I would try")</f>
        <v>This will be hard to do, but if it is the right company I would try</v>
      </c>
      <c r="S664" s="1"/>
    </row>
    <row r="665" spans="1:19" ht="12.5" x14ac:dyDescent="0.25">
      <c r="A665" s="2">
        <f ca="1">IFERROR(__xludf.DUMMYFUNCTION("""COMPUTED_VALUE"""),45021.9010560879)</f>
        <v>45021.901056087903</v>
      </c>
      <c r="B665" s="1" t="str">
        <f ca="1">IFERROR(__xludf.DUMMYFUNCTION("""COMPUTED_VALUE"""),"India")</f>
        <v>India</v>
      </c>
      <c r="C665" s="1">
        <f ca="1">IFERROR(__xludf.DUMMYFUNCTION("""COMPUTED_VALUE"""),560064)</f>
        <v>560064</v>
      </c>
      <c r="D665" s="1" t="str">
        <f ca="1">IFERROR(__xludf.DUMMYFUNCTION("""COMPUTED_VALUE"""),"Female")</f>
        <v>Female</v>
      </c>
      <c r="E665" s="1" t="str">
        <f ca="1">IFERROR(__xludf.DUMMYFUNCTION("""COMPUTED_VALUE"""),"My Parents")</f>
        <v>My Parents</v>
      </c>
      <c r="F665" s="1" t="str">
        <f ca="1">IFERROR(__xludf.DUMMYFUNCTION("""COMPUTED_VALUE"""),"No, But if someone could bare the cost I will")</f>
        <v>No, But if someone could bare the cost I will</v>
      </c>
      <c r="G665" s="1" t="str">
        <f ca="1">IFERROR(__xludf.DUMMYFUNCTION("""COMPUTED_VALUE"""),"This will be hard to do, but if it is the right company I would try")</f>
        <v>This will be hard to do, but if it is the right company I would try</v>
      </c>
      <c r="H665" s="1" t="str">
        <f ca="1">IFERROR(__xludf.DUMMYFUNCTION("""COMPUTED_VALUE"""),"No")</f>
        <v>No</v>
      </c>
      <c r="I665" s="1" t="str">
        <f ca="1">IFERROR(__xludf.DUMMYFUNCTION("""COMPUTED_VALUE"""),"Will NOT work for them")</f>
        <v>Will NOT work for them</v>
      </c>
      <c r="J665" s="1">
        <f ca="1">IFERROR(__xludf.DUMMYFUNCTION("""COMPUTED_VALUE"""),5)</f>
        <v>5</v>
      </c>
      <c r="K665" s="1" t="str">
        <f ca="1">IFERROR(__xludf.DUMMYFUNCTION("""COMPUTED_VALUE"""),"Fully Remote with Options to travel as and when needed")</f>
        <v>Fully Remote with Options to travel as and when needed</v>
      </c>
      <c r="L6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6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65" s="1" t="str">
        <f ca="1">IFERROR(__xludf.DUMMYFUNCTION("""COMPUTED_VALUE"""),"Build and develop a Team, Look deeply into Data and generate insights, Become a content Creator in some platform, Entrepreneur or Start Up")</f>
        <v>Build and develop a Team, Look deeply into Data and generate insights, Become a content Creator in some platform, Entrepreneur or Start Up</v>
      </c>
      <c r="O665" s="1" t="str">
        <f ca="1">IFERROR(__xludf.DUMMYFUNCTION("""COMPUTED_VALUE"""),"Manager who explains what is expected, sets a goal and helps achieve it")</f>
        <v>Manager who explains what is expected, sets a goal and helps achieve it</v>
      </c>
      <c r="P665" s="1" t="str">
        <f ca="1">IFERROR(__xludf.DUMMYFUNCTION("""COMPUTED_VALUE"""),"Work with 5 to 6 people in my team")</f>
        <v>Work with 5 to 6 people in my team</v>
      </c>
      <c r="Q665" s="1" t="str">
        <f ca="1">IFERROR(__xludf.DUMMYFUNCTION("""COMPUTED_VALUE"""),"Yes, I Understand this is gonna happen everywhere")</f>
        <v>Yes, I Understand this is gonna happen everywhere</v>
      </c>
      <c r="R665" s="1" t="str">
        <f ca="1">IFERROR(__xludf.DUMMYFUNCTION("""COMPUTED_VALUE"""),"This will be hard to do, but if it is the right company I would try")</f>
        <v>This will be hard to do, but if it is the right company I would try</v>
      </c>
      <c r="S665" s="1"/>
    </row>
    <row r="666" spans="1:19" ht="12.5" x14ac:dyDescent="0.25">
      <c r="A666" s="2">
        <f ca="1">IFERROR(__xludf.DUMMYFUNCTION("""COMPUTED_VALUE"""),45021.9024404861)</f>
        <v>45021.902440486097</v>
      </c>
      <c r="B666" s="1" t="str">
        <f ca="1">IFERROR(__xludf.DUMMYFUNCTION("""COMPUTED_VALUE"""),"India")</f>
        <v>India</v>
      </c>
      <c r="C666" s="1">
        <f ca="1">IFERROR(__xludf.DUMMYFUNCTION("""COMPUTED_VALUE"""),517592)</f>
        <v>517592</v>
      </c>
      <c r="D666" s="1" t="str">
        <f ca="1">IFERROR(__xludf.DUMMYFUNCTION("""COMPUTED_VALUE"""),"Female")</f>
        <v>Female</v>
      </c>
      <c r="E666" s="1" t="str">
        <f ca="1">IFERROR(__xludf.DUMMYFUNCTION("""COMPUTED_VALUE"""),"Influencers who had successful careers")</f>
        <v>Influencers who had successful careers</v>
      </c>
      <c r="F666" s="1" t="str">
        <f ca="1">IFERROR(__xludf.DUMMYFUNCTION("""COMPUTED_VALUE"""),"No I would not be pursuing Higher Education outside of India")</f>
        <v>No I would not be pursuing Higher Education outside of India</v>
      </c>
      <c r="G666" s="1" t="str">
        <f ca="1">IFERROR(__xludf.DUMMYFUNCTION("""COMPUTED_VALUE"""),"This will be hard to do, but if it is the right company I would try")</f>
        <v>This will be hard to do, but if it is the right company I would try</v>
      </c>
      <c r="H666" s="1" t="str">
        <f ca="1">IFERROR(__xludf.DUMMYFUNCTION("""COMPUTED_VALUE"""),"No")</f>
        <v>No</v>
      </c>
      <c r="I666" s="1" t="str">
        <f ca="1">IFERROR(__xludf.DUMMYFUNCTION("""COMPUTED_VALUE"""),"Will NOT work for them")</f>
        <v>Will NOT work for them</v>
      </c>
      <c r="J666" s="1">
        <f ca="1">IFERROR(__xludf.DUMMYFUNCTION("""COMPUTED_VALUE"""),10)</f>
        <v>10</v>
      </c>
      <c r="K666" s="1" t="str">
        <f ca="1">IFERROR(__xludf.DUMMYFUNCTION("""COMPUTED_VALUE"""),"Hybrid Working Environment with less than 3 days a month at office")</f>
        <v>Hybrid Working Environment with less than 3 days a month at office</v>
      </c>
      <c r="L6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6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66" s="1" t="str">
        <f ca="1">IFERROR(__xludf.DUMMYFUNCTION("""COMPUTED_VALUE"""),"Manage and drive End-to-End Projects or Products, Work in a BPO setup for some well known client, Work as a freelancer and do my thing my way, Entrepreneur or Start Up")</f>
        <v>Manage and drive End-to-End Projects or Products, Work in a BPO setup for some well known client, Work as a freelancer and do my thing my way, Entrepreneur or Start Up</v>
      </c>
      <c r="O666" s="1" t="str">
        <f ca="1">IFERROR(__xludf.DUMMYFUNCTION("""COMPUTED_VALUE"""),"Manager who sets goal and helps me achieve it")</f>
        <v>Manager who sets goal and helps me achieve it</v>
      </c>
      <c r="P666" s="1" t="str">
        <f ca="1">IFERROR(__xludf.DUMMYFUNCTION("""COMPUTED_VALUE"""),"Work with 5 to 6 people in my team")</f>
        <v>Work with 5 to 6 people in my team</v>
      </c>
      <c r="Q666" s="1" t="str">
        <f ca="1">IFERROR(__xludf.DUMMYFUNCTION("""COMPUTED_VALUE"""),"I have NO other choice")</f>
        <v>I have NO other choice</v>
      </c>
      <c r="R666" s="1" t="str">
        <f ca="1">IFERROR(__xludf.DUMMYFUNCTION("""COMPUTED_VALUE"""),"No way")</f>
        <v>No way</v>
      </c>
      <c r="S666" s="1"/>
    </row>
    <row r="667" spans="1:19" ht="12.5" x14ac:dyDescent="0.25">
      <c r="A667" s="2">
        <f ca="1">IFERROR(__xludf.DUMMYFUNCTION("""COMPUTED_VALUE"""),45021.9030680671)</f>
        <v>45021.903068067099</v>
      </c>
      <c r="B667" s="1" t="str">
        <f ca="1">IFERROR(__xludf.DUMMYFUNCTION("""COMPUTED_VALUE"""),"India")</f>
        <v>India</v>
      </c>
      <c r="C667" s="1">
        <f ca="1">IFERROR(__xludf.DUMMYFUNCTION("""COMPUTED_VALUE"""),641004)</f>
        <v>641004</v>
      </c>
      <c r="D667" s="1" t="str">
        <f ca="1">IFERROR(__xludf.DUMMYFUNCTION("""COMPUTED_VALUE"""),"Female")</f>
        <v>Female</v>
      </c>
      <c r="E667" s="1" t="str">
        <f ca="1">IFERROR(__xludf.DUMMYFUNCTION("""COMPUTED_VALUE"""),"My Parents")</f>
        <v>My Parents</v>
      </c>
      <c r="F667" s="1" t="str">
        <f ca="1">IFERROR(__xludf.DUMMYFUNCTION("""COMPUTED_VALUE"""),"No I would not be pursuing Higher Education outside of India")</f>
        <v>No I would not be pursuing Higher Education outside of India</v>
      </c>
      <c r="G667" s="1" t="str">
        <f ca="1">IFERROR(__xludf.DUMMYFUNCTION("""COMPUTED_VALUE"""),"Will work for 3 years or more")</f>
        <v>Will work for 3 years or more</v>
      </c>
      <c r="H667" s="1" t="str">
        <f ca="1">IFERROR(__xludf.DUMMYFUNCTION("""COMPUTED_VALUE"""),"Yes")</f>
        <v>Yes</v>
      </c>
      <c r="I667" s="1" t="str">
        <f ca="1">IFERROR(__xludf.DUMMYFUNCTION("""COMPUTED_VALUE"""),"Will NOT work for them")</f>
        <v>Will NOT work for them</v>
      </c>
      <c r="J667" s="1">
        <f ca="1">IFERROR(__xludf.DUMMYFUNCTION("""COMPUTED_VALUE"""),6)</f>
        <v>6</v>
      </c>
      <c r="K667" s="1" t="str">
        <f ca="1">IFERROR(__xludf.DUMMYFUNCTION("""COMPUTED_VALUE"""),"Fully Remote with No option to visit offices")</f>
        <v>Fully Remote with No option to visit offices</v>
      </c>
      <c r="L667" s="1" t="str">
        <f ca="1">IFERROR(__xludf.DUMMYFUNCTION("""COMPUTED_VALUE"""),"Employer who appreciates learning and enables that environment")</f>
        <v>Employer who appreciates learning and enables that environment</v>
      </c>
      <c r="M66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67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667" s="1" t="str">
        <f ca="1">IFERROR(__xludf.DUMMYFUNCTION("""COMPUTED_VALUE"""),"Manager who explains what is expected, sets a goal and helps achieve it")</f>
        <v>Manager who explains what is expected, sets a goal and helps achieve it</v>
      </c>
      <c r="P667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667" s="1" t="str">
        <f ca="1">IFERROR(__xludf.DUMMYFUNCTION("""COMPUTED_VALUE"""),"No")</f>
        <v>No</v>
      </c>
      <c r="R667" s="1" t="str">
        <f ca="1">IFERROR(__xludf.DUMMYFUNCTION("""COMPUTED_VALUE"""),"No way")</f>
        <v>No way</v>
      </c>
      <c r="S667" s="1"/>
    </row>
    <row r="668" spans="1:19" ht="12.5" x14ac:dyDescent="0.25">
      <c r="A668" s="2">
        <f ca="1">IFERROR(__xludf.DUMMYFUNCTION("""COMPUTED_VALUE"""),45021.9038548611)</f>
        <v>45021.903854861099</v>
      </c>
      <c r="B668" s="1" t="str">
        <f ca="1">IFERROR(__xludf.DUMMYFUNCTION("""COMPUTED_VALUE"""),"India")</f>
        <v>India</v>
      </c>
      <c r="C668" s="1">
        <f ca="1">IFERROR(__xludf.DUMMYFUNCTION("""COMPUTED_VALUE"""),600099)</f>
        <v>600099</v>
      </c>
      <c r="D668" s="1" t="str">
        <f ca="1">IFERROR(__xludf.DUMMYFUNCTION("""COMPUTED_VALUE"""),"Female")</f>
        <v>Female</v>
      </c>
      <c r="E668" s="1" t="str">
        <f ca="1">IFERROR(__xludf.DUMMYFUNCTION("""COMPUTED_VALUE"""),"People who have changed the world for better")</f>
        <v>People who have changed the world for better</v>
      </c>
      <c r="F668" s="1" t="str">
        <f ca="1">IFERROR(__xludf.DUMMYFUNCTION("""COMPUTED_VALUE"""),"Yes, I will earn and do that")</f>
        <v>Yes, I will earn and do that</v>
      </c>
      <c r="G668" s="1" t="str">
        <f ca="1">IFERROR(__xludf.DUMMYFUNCTION("""COMPUTED_VALUE"""),"Will work for 3 years or more")</f>
        <v>Will work for 3 years or more</v>
      </c>
      <c r="H668" s="1" t="str">
        <f ca="1">IFERROR(__xludf.DUMMYFUNCTION("""COMPUTED_VALUE"""),"No")</f>
        <v>No</v>
      </c>
      <c r="I668" s="1" t="str">
        <f ca="1">IFERROR(__xludf.DUMMYFUNCTION("""COMPUTED_VALUE"""),"Will NOT work for them")</f>
        <v>Will NOT work for them</v>
      </c>
      <c r="J668" s="1">
        <f ca="1">IFERROR(__xludf.DUMMYFUNCTION("""COMPUTED_VALUE"""),7)</f>
        <v>7</v>
      </c>
      <c r="K668" s="1" t="str">
        <f ca="1">IFERROR(__xludf.DUMMYFUNCTION("""COMPUTED_VALUE"""),"Hybrid Working Environment with less than 3 days a month at office")</f>
        <v>Hybrid Working Environment with less than 3 days a month at office</v>
      </c>
      <c r="L6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6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68" s="1" t="str">
        <f ca="1">IFERROR(__xludf.DUMMYFUNCTION("""COMPUTED_VALUE"""),"Design and Creative strategy in any company, Look deeply into Data and generate insights, Work as a freelancer and do my thing my way, Entrepreneur or Start Up")</f>
        <v>Design and Creative strategy in any company, Look deeply into Data and generate insights, Work as a freelancer and do my thing my way, Entrepreneur or Start Up</v>
      </c>
      <c r="O668" s="1" t="str">
        <f ca="1">IFERROR(__xludf.DUMMYFUNCTION("""COMPUTED_VALUE"""),"Manager who explains what is expected, sets a goal and helps achieve it")</f>
        <v>Manager who explains what is expected, sets a goal and helps achieve it</v>
      </c>
      <c r="P668" s="1" t="str">
        <f ca="1">IFERROR(__xludf.DUMMYFUNCTION("""COMPUTED_VALUE"""),"Work alone, Work with 2 to 3 people in my team")</f>
        <v>Work alone, Work with 2 to 3 people in my team</v>
      </c>
      <c r="Q668" s="1" t="str">
        <f ca="1">IFERROR(__xludf.DUMMYFUNCTION("""COMPUTED_VALUE"""),"Yes, I Understand this is gonna happen everywhere")</f>
        <v>Yes, I Understand this is gonna happen everywhere</v>
      </c>
      <c r="R668" s="1" t="str">
        <f ca="1">IFERROR(__xludf.DUMMYFUNCTION("""COMPUTED_VALUE"""),"This will be hard to do, but if it is the right company I would try")</f>
        <v>This will be hard to do, but if it is the right company I would try</v>
      </c>
      <c r="S668" s="1"/>
    </row>
    <row r="669" spans="1:19" ht="12.5" x14ac:dyDescent="0.25">
      <c r="A669" s="2">
        <f ca="1">IFERROR(__xludf.DUMMYFUNCTION("""COMPUTED_VALUE"""),45021.9041310762)</f>
        <v>45021.904131076299</v>
      </c>
      <c r="B669" s="1" t="str">
        <f ca="1">IFERROR(__xludf.DUMMYFUNCTION("""COMPUTED_VALUE"""),"India")</f>
        <v>India</v>
      </c>
      <c r="C669" s="1">
        <f ca="1">IFERROR(__xludf.DUMMYFUNCTION("""COMPUTED_VALUE"""),517123)</f>
        <v>517123</v>
      </c>
      <c r="D669" s="1" t="str">
        <f ca="1">IFERROR(__xludf.DUMMYFUNCTION("""COMPUTED_VALUE"""),"Male")</f>
        <v>Male</v>
      </c>
      <c r="E669" s="1" t="str">
        <f ca="1">IFERROR(__xludf.DUMMYFUNCTION("""COMPUTED_VALUE"""),"My Parents")</f>
        <v>My Parents</v>
      </c>
      <c r="F669" s="1" t="str">
        <f ca="1">IFERROR(__xludf.DUMMYFUNCTION("""COMPUTED_VALUE"""),"No, But if someone could bare the cost I will")</f>
        <v>No, But if someone could bare the cost I will</v>
      </c>
      <c r="G669" s="1" t="str">
        <f ca="1">IFERROR(__xludf.DUMMYFUNCTION("""COMPUTED_VALUE"""),"No way")</f>
        <v>No way</v>
      </c>
      <c r="H669" s="1" t="str">
        <f ca="1">IFERROR(__xludf.DUMMYFUNCTION("""COMPUTED_VALUE"""),"No")</f>
        <v>No</v>
      </c>
      <c r="I669" s="1" t="str">
        <f ca="1">IFERROR(__xludf.DUMMYFUNCTION("""COMPUTED_VALUE"""),"Will NOT work for them")</f>
        <v>Will NOT work for them</v>
      </c>
      <c r="J669" s="1">
        <f ca="1">IFERROR(__xludf.DUMMYFUNCTION("""COMPUTED_VALUE"""),1)</f>
        <v>1</v>
      </c>
      <c r="K669" s="1" t="str">
        <f ca="1">IFERROR(__xludf.DUMMYFUNCTION("""COMPUTED_VALUE"""),"Fully Remote with Options to travel as and when needed")</f>
        <v>Fully Remote with Options to travel as and when needed</v>
      </c>
      <c r="L669" s="1" t="str">
        <f ca="1">IFERROR(__xludf.DUMMYFUNCTION("""COMPUTED_VALUE"""),"Employer who rewards learning and enables that environment")</f>
        <v>Employer who rewards learning and enables that environment</v>
      </c>
      <c r="M66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69" s="1" t="str">
        <f ca="1">IFERROR(__xludf.DUMMYFUNCTION("""COMPUTED_VALUE"""),"Design and Creative strategy in any company, Design and Develop amazing software, Look deeply into Data and generate insights, Work as a freelancer and do my thing my way")</f>
        <v>Design and Creative strategy in any company, Design and Develop amazing software, Look deeply into Data and generate insights, Work as a freelancer and do my thing my way</v>
      </c>
      <c r="O669" s="1" t="str">
        <f ca="1">IFERROR(__xludf.DUMMYFUNCTION("""COMPUTED_VALUE"""),"Manager who clearly describes what she/he needs")</f>
        <v>Manager who clearly describes what she/he needs</v>
      </c>
      <c r="P669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669" s="1" t="str">
        <f ca="1">IFERROR(__xludf.DUMMYFUNCTION("""COMPUTED_VALUE"""),"Yes, I Understand this is gonna happen everywhere")</f>
        <v>Yes, I Understand this is gonna happen everywhere</v>
      </c>
      <c r="R669" s="1" t="str">
        <f ca="1">IFERROR(__xludf.DUMMYFUNCTION("""COMPUTED_VALUE"""),"No way")</f>
        <v>No way</v>
      </c>
      <c r="S669" s="1"/>
    </row>
    <row r="670" spans="1:19" ht="12.5" x14ac:dyDescent="0.25">
      <c r="A670" s="2">
        <f ca="1">IFERROR(__xludf.DUMMYFUNCTION("""COMPUTED_VALUE"""),45021.9042666087)</f>
        <v>45021.904266608697</v>
      </c>
      <c r="B670" s="1" t="str">
        <f ca="1">IFERROR(__xludf.DUMMYFUNCTION("""COMPUTED_VALUE"""),"India")</f>
        <v>India</v>
      </c>
      <c r="C670" s="1">
        <f ca="1">IFERROR(__xludf.DUMMYFUNCTION("""COMPUTED_VALUE"""),641015)</f>
        <v>641015</v>
      </c>
      <c r="D670" s="1" t="str">
        <f ca="1">IFERROR(__xludf.DUMMYFUNCTION("""COMPUTED_VALUE"""),"Male")</f>
        <v>Male</v>
      </c>
      <c r="E670" s="1" t="str">
        <f ca="1">IFERROR(__xludf.DUMMYFUNCTION("""COMPUTED_VALUE"""),"My Parents")</f>
        <v>My Parents</v>
      </c>
      <c r="F670" s="1" t="str">
        <f ca="1">IFERROR(__xludf.DUMMYFUNCTION("""COMPUTED_VALUE"""),"Yes, I will earn and do that")</f>
        <v>Yes, I will earn and do that</v>
      </c>
      <c r="G670" s="1" t="str">
        <f ca="1">IFERROR(__xludf.DUMMYFUNCTION("""COMPUTED_VALUE"""),"Will work for 3 years or more")</f>
        <v>Will work for 3 years or more</v>
      </c>
      <c r="H670" s="1" t="str">
        <f ca="1">IFERROR(__xludf.DUMMYFUNCTION("""COMPUTED_VALUE"""),"Yes")</f>
        <v>Yes</v>
      </c>
      <c r="I670" s="1" t="str">
        <f ca="1">IFERROR(__xludf.DUMMYFUNCTION("""COMPUTED_VALUE"""),"Will work for them")</f>
        <v>Will work for them</v>
      </c>
      <c r="J670" s="1">
        <f ca="1">IFERROR(__xludf.DUMMYFUNCTION("""COMPUTED_VALUE"""),10)</f>
        <v>10</v>
      </c>
      <c r="K670" s="1" t="str">
        <f ca="1">IFERROR(__xludf.DUMMYFUNCTION("""COMPUTED_VALUE"""),"Every Day Office Environment")</f>
        <v>Every Day Office Environment</v>
      </c>
      <c r="L670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670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670" s="1" t="str">
        <f ca="1">IFERROR(__xludf.DUMMYFUNCTION("""COMPUTED_VALUE"""),"Look deeply into Data and generate insights, Work as a freelancer and do my thing my way, I Want to sell things/Sales, Manufacturing / Oil and Gas/ Construction / Hard Physical Work related")</f>
        <v>Look deeply into Data and generate insights, Work as a freelancer and do my thing my way, I Want to sell things/Sales, Manufacturing / Oil and Gas/ Construction / Hard Physical Work related</v>
      </c>
      <c r="O670" s="1" t="str">
        <f ca="1">IFERROR(__xludf.DUMMYFUNCTION("""COMPUTED_VALUE"""),"Manager who sets goal and helps me achieve it")</f>
        <v>Manager who sets goal and helps me achieve it</v>
      </c>
      <c r="P670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670" s="1" t="str">
        <f ca="1">IFERROR(__xludf.DUMMYFUNCTION("""COMPUTED_VALUE"""),"I have NO other choice")</f>
        <v>I have NO other choice</v>
      </c>
      <c r="R670" s="1" t="str">
        <f ca="1">IFERROR(__xludf.DUMMYFUNCTION("""COMPUTED_VALUE"""),"This will be hard to do, but if it is the right company I would try")</f>
        <v>This will be hard to do, but if it is the right company I would try</v>
      </c>
      <c r="S670" s="1"/>
    </row>
    <row r="671" spans="1:19" ht="12.5" x14ac:dyDescent="0.25">
      <c r="A671" s="2">
        <f ca="1">IFERROR(__xludf.DUMMYFUNCTION("""COMPUTED_VALUE"""),45021.9050727083)</f>
        <v>45021.905072708301</v>
      </c>
      <c r="B671" s="1" t="str">
        <f ca="1">IFERROR(__xludf.DUMMYFUNCTION("""COMPUTED_VALUE"""),"India")</f>
        <v>India</v>
      </c>
      <c r="C671" s="1">
        <f ca="1">IFERROR(__xludf.DUMMYFUNCTION("""COMPUTED_VALUE"""),560065)</f>
        <v>560065</v>
      </c>
      <c r="D671" s="1" t="str">
        <f ca="1">IFERROR(__xludf.DUMMYFUNCTION("""COMPUTED_VALUE"""),"Female")</f>
        <v>Female</v>
      </c>
      <c r="E671" s="1" t="str">
        <f ca="1">IFERROR(__xludf.DUMMYFUNCTION("""COMPUTED_VALUE"""),"Influencers who had successful careers")</f>
        <v>Influencers who had successful careers</v>
      </c>
      <c r="F671" s="1" t="str">
        <f ca="1">IFERROR(__xludf.DUMMYFUNCTION("""COMPUTED_VALUE"""),"Yes, I will earn and do that")</f>
        <v>Yes, I will earn and do that</v>
      </c>
      <c r="G671" s="1" t="str">
        <f ca="1">IFERROR(__xludf.DUMMYFUNCTION("""COMPUTED_VALUE"""),"This will be hard to do, but if it is the right company I would try")</f>
        <v>This will be hard to do, but if it is the right company I would try</v>
      </c>
      <c r="H671" s="1" t="str">
        <f ca="1">IFERROR(__xludf.DUMMYFUNCTION("""COMPUTED_VALUE"""),"No")</f>
        <v>No</v>
      </c>
      <c r="I671" s="1" t="str">
        <f ca="1">IFERROR(__xludf.DUMMYFUNCTION("""COMPUTED_VALUE"""),"Will NOT work for them")</f>
        <v>Will NOT work for them</v>
      </c>
      <c r="J671" s="1">
        <f ca="1">IFERROR(__xludf.DUMMYFUNCTION("""COMPUTED_VALUE"""),2)</f>
        <v>2</v>
      </c>
      <c r="K671" s="1" t="str">
        <f ca="1">IFERROR(__xludf.DUMMYFUNCTION("""COMPUTED_VALUE"""),"Hybrid Working Environment with more than 15 days a month at office")</f>
        <v>Hybrid Working Environment with more than 15 days a month at office</v>
      </c>
      <c r="L671" s="1" t="str">
        <f ca="1">IFERROR(__xludf.DUMMYFUNCTION("""COMPUTED_VALUE"""),"Employer who rewards learning and enables that environment")</f>
        <v>Employer who rewards learning and enables that environment</v>
      </c>
      <c r="M671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671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671" s="1" t="str">
        <f ca="1">IFERROR(__xludf.DUMMYFUNCTION("""COMPUTED_VALUE"""),"Manager who explains what is expected, sets a goal and helps achieve it")</f>
        <v>Manager who explains what is expected, sets a goal and helps achieve it</v>
      </c>
      <c r="P671" s="1" t="str">
        <f ca="1">IFERROR(__xludf.DUMMYFUNCTION("""COMPUTED_VALUE"""),"Work with more than 10 people in my team")</f>
        <v>Work with more than 10 people in my team</v>
      </c>
      <c r="Q671" s="1" t="str">
        <f ca="1">IFERROR(__xludf.DUMMYFUNCTION("""COMPUTED_VALUE"""),"Yes, I Understand this is gonna happen everywhere")</f>
        <v>Yes, I Understand this is gonna happen everywhere</v>
      </c>
      <c r="R671" s="1" t="str">
        <f ca="1">IFERROR(__xludf.DUMMYFUNCTION("""COMPUTED_VALUE"""),"This will be hard to do, but if it is the right company I would try")</f>
        <v>This will be hard to do, but if it is the right company I would try</v>
      </c>
      <c r="S671" s="1"/>
    </row>
    <row r="672" spans="1:19" ht="12.5" x14ac:dyDescent="0.25">
      <c r="A672" s="2">
        <f ca="1">IFERROR(__xludf.DUMMYFUNCTION("""COMPUTED_VALUE"""),45021.9058492939)</f>
        <v>45021.9058492939</v>
      </c>
      <c r="B672" s="1" t="str">
        <f ca="1">IFERROR(__xludf.DUMMYFUNCTION("""COMPUTED_VALUE"""),"India")</f>
        <v>India</v>
      </c>
      <c r="C672" s="1">
        <f ca="1">IFERROR(__xludf.DUMMYFUNCTION("""COMPUTED_VALUE"""),518501)</f>
        <v>518501</v>
      </c>
      <c r="D672" s="1" t="str">
        <f ca="1">IFERROR(__xludf.DUMMYFUNCTION("""COMPUTED_VALUE"""),"Male")</f>
        <v>Male</v>
      </c>
      <c r="E672" s="1" t="str">
        <f ca="1">IFERROR(__xludf.DUMMYFUNCTION("""COMPUTED_VALUE"""),"People who have changed the world for better")</f>
        <v>People who have changed the world for better</v>
      </c>
      <c r="F672" s="1" t="str">
        <f ca="1">IFERROR(__xludf.DUMMYFUNCTION("""COMPUTED_VALUE"""),"Yes, I will earn and do that")</f>
        <v>Yes, I will earn and do that</v>
      </c>
      <c r="G672" s="1" t="str">
        <f ca="1">IFERROR(__xludf.DUMMYFUNCTION("""COMPUTED_VALUE"""),"This will be hard to do, but if it is the right company I would try")</f>
        <v>This will be hard to do, but if it is the right company I would try</v>
      </c>
      <c r="H672" s="1" t="str">
        <f ca="1">IFERROR(__xludf.DUMMYFUNCTION("""COMPUTED_VALUE"""),"No")</f>
        <v>No</v>
      </c>
      <c r="I672" s="1" t="str">
        <f ca="1">IFERROR(__xludf.DUMMYFUNCTION("""COMPUTED_VALUE"""),"Will NOT work for them")</f>
        <v>Will NOT work for them</v>
      </c>
      <c r="J672" s="1">
        <f ca="1">IFERROR(__xludf.DUMMYFUNCTION("""COMPUTED_VALUE"""),6)</f>
        <v>6</v>
      </c>
      <c r="K672" s="1" t="str">
        <f ca="1">IFERROR(__xludf.DUMMYFUNCTION("""COMPUTED_VALUE"""),"Hybrid Working Environment with less than 3 days a month at office")</f>
        <v>Hybrid Working Environment with less than 3 days a month at office</v>
      </c>
      <c r="L672" s="1" t="str">
        <f ca="1">IFERROR(__xludf.DUMMYFUNCTION("""COMPUTED_VALUE"""),"Employer who rewards learning and enables that environment")</f>
        <v>Employer who rewards learning and enables that environment</v>
      </c>
      <c r="M672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672" s="1" t="str">
        <f ca="1">IFERROR(__xludf.DUMMYFUNCTION("""COMPUTED_VALUE"""),"Business Operations in any organization, Manage and drive End-to-End Projects or Products, Design and Develop amazing software, An Artificial Intelligence Specialist / Talking to Robots")</f>
        <v>Business Operations in any organization, Manage and drive End-to-End Projects or Products, Design and Develop amazing software, An Artificial Intelligence Specialist / Talking to Robots</v>
      </c>
      <c r="O672" s="1" t="str">
        <f ca="1">IFERROR(__xludf.DUMMYFUNCTION("""COMPUTED_VALUE"""),"Manager who explains what is expected, sets a goal and helps achieve it")</f>
        <v>Manager who explains what is expected, sets a goal and helps achieve it</v>
      </c>
      <c r="P672" s="1" t="str">
        <f ca="1">IFERROR(__xludf.DUMMYFUNCTION("""COMPUTED_VALUE"""),"Work with 5 to 6 people in my team")</f>
        <v>Work with 5 to 6 people in my team</v>
      </c>
      <c r="Q672" s="1" t="str">
        <f ca="1">IFERROR(__xludf.DUMMYFUNCTION("""COMPUTED_VALUE"""),"Yes, I Understand this is gonna happen everywhere")</f>
        <v>Yes, I Understand this is gonna happen everywhere</v>
      </c>
      <c r="R672" s="1" t="str">
        <f ca="1">IFERROR(__xludf.DUMMYFUNCTION("""COMPUTED_VALUE"""),"No way")</f>
        <v>No way</v>
      </c>
      <c r="S672" s="1"/>
    </row>
    <row r="673" spans="1:19" ht="12.5" x14ac:dyDescent="0.25">
      <c r="A673" s="2">
        <f ca="1">IFERROR(__xludf.DUMMYFUNCTION("""COMPUTED_VALUE"""),45021.9062612731)</f>
        <v>45021.9062612731</v>
      </c>
      <c r="B673" s="1" t="str">
        <f ca="1">IFERROR(__xludf.DUMMYFUNCTION("""COMPUTED_VALUE"""),"India")</f>
        <v>India</v>
      </c>
      <c r="C673" s="1">
        <f ca="1">IFERROR(__xludf.DUMMYFUNCTION("""COMPUTED_VALUE"""),442902)</f>
        <v>442902</v>
      </c>
      <c r="D673" s="1" t="str">
        <f ca="1">IFERROR(__xludf.DUMMYFUNCTION("""COMPUTED_VALUE"""),"Female")</f>
        <v>Female</v>
      </c>
      <c r="E673" s="1" t="str">
        <f ca="1">IFERROR(__xludf.DUMMYFUNCTION("""COMPUTED_VALUE"""),"People from my circle, but not family members")</f>
        <v>People from my circle, but not family members</v>
      </c>
      <c r="F673" s="1" t="str">
        <f ca="1">IFERROR(__xludf.DUMMYFUNCTION("""COMPUTED_VALUE"""),"No I would not be pursuing Higher Education outside of India")</f>
        <v>No I would not be pursuing Higher Education outside of India</v>
      </c>
      <c r="G673" s="1" t="str">
        <f ca="1">IFERROR(__xludf.DUMMYFUNCTION("""COMPUTED_VALUE"""),"This will be hard to do, but if it is the right company I would try")</f>
        <v>This will be hard to do, but if it is the right company I would try</v>
      </c>
      <c r="H673" s="1" t="str">
        <f ca="1">IFERROR(__xludf.DUMMYFUNCTION("""COMPUTED_VALUE"""),"No")</f>
        <v>No</v>
      </c>
      <c r="I673" s="1" t="str">
        <f ca="1">IFERROR(__xludf.DUMMYFUNCTION("""COMPUTED_VALUE"""),"Will NOT work for them")</f>
        <v>Will NOT work for them</v>
      </c>
      <c r="J673" s="1">
        <f ca="1">IFERROR(__xludf.DUMMYFUNCTION("""COMPUTED_VALUE"""),5)</f>
        <v>5</v>
      </c>
      <c r="K673" s="1" t="str">
        <f ca="1">IFERROR(__xludf.DUMMYFUNCTION("""COMPUTED_VALUE"""),"Every Day Office Environment")</f>
        <v>Every Day Office Environment</v>
      </c>
      <c r="L6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7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73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673" s="1" t="str">
        <f ca="1">IFERROR(__xludf.DUMMYFUNCTION("""COMPUTED_VALUE"""),"Manager who sets goal and helps me achieve it")</f>
        <v>Manager who sets goal and helps me achieve it</v>
      </c>
      <c r="P673" s="1" t="str">
        <f ca="1">IFERROR(__xludf.DUMMYFUNCTION("""COMPUTED_VALUE"""),"Work with more than 10 people in my team")</f>
        <v>Work with more than 10 people in my team</v>
      </c>
      <c r="Q673" s="1" t="str">
        <f ca="1">IFERROR(__xludf.DUMMYFUNCTION("""COMPUTED_VALUE"""),"Yes, I Understand this is gonna happen everywhere")</f>
        <v>Yes, I Understand this is gonna happen everywhere</v>
      </c>
      <c r="R673" s="1" t="str">
        <f ca="1">IFERROR(__xludf.DUMMYFUNCTION("""COMPUTED_VALUE"""),"This will be hard to do, but if it is the right company I would try")</f>
        <v>This will be hard to do, but if it is the right company I would try</v>
      </c>
      <c r="S673" s="1"/>
    </row>
    <row r="674" spans="1:19" ht="12.5" x14ac:dyDescent="0.25">
      <c r="A674" s="2">
        <f ca="1">IFERROR(__xludf.DUMMYFUNCTION("""COMPUTED_VALUE"""),45021.9068706828)</f>
        <v>45021.906870682797</v>
      </c>
      <c r="B674" s="1" t="str">
        <f ca="1">IFERROR(__xludf.DUMMYFUNCTION("""COMPUTED_VALUE"""),"India")</f>
        <v>India</v>
      </c>
      <c r="C674" s="1">
        <f ca="1">IFERROR(__xludf.DUMMYFUNCTION("""COMPUTED_VALUE"""),500036)</f>
        <v>500036</v>
      </c>
      <c r="D674" s="1" t="str">
        <f ca="1">IFERROR(__xludf.DUMMYFUNCTION("""COMPUTED_VALUE"""),"Female")</f>
        <v>Female</v>
      </c>
      <c r="E674" s="1" t="str">
        <f ca="1">IFERROR(__xludf.DUMMYFUNCTION("""COMPUTED_VALUE"""),"My Parents")</f>
        <v>My Parents</v>
      </c>
      <c r="F674" s="1" t="str">
        <f ca="1">IFERROR(__xludf.DUMMYFUNCTION("""COMPUTED_VALUE"""),"Yes, I will earn and do that")</f>
        <v>Yes, I will earn and do that</v>
      </c>
      <c r="G674" s="1" t="str">
        <f ca="1">IFERROR(__xludf.DUMMYFUNCTION("""COMPUTED_VALUE"""),"Will work for 3 years or more")</f>
        <v>Will work for 3 years or more</v>
      </c>
      <c r="H674" s="1" t="str">
        <f ca="1">IFERROR(__xludf.DUMMYFUNCTION("""COMPUTED_VALUE"""),"No")</f>
        <v>No</v>
      </c>
      <c r="I674" s="1" t="str">
        <f ca="1">IFERROR(__xludf.DUMMYFUNCTION("""COMPUTED_VALUE"""),"Will NOT work for them")</f>
        <v>Will NOT work for them</v>
      </c>
      <c r="J674" s="1">
        <f ca="1">IFERROR(__xludf.DUMMYFUNCTION("""COMPUTED_VALUE"""),5)</f>
        <v>5</v>
      </c>
      <c r="K674" s="1" t="str">
        <f ca="1">IFERROR(__xludf.DUMMYFUNCTION("""COMPUTED_VALUE"""),"Every Day Office Environment")</f>
        <v>Every Day Office Environment</v>
      </c>
      <c r="L6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7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7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674" s="1" t="str">
        <f ca="1">IFERROR(__xludf.DUMMYFUNCTION("""COMPUTED_VALUE"""),"Manager who sets goal and helps me achieve it")</f>
        <v>Manager who sets goal and helps me achieve it</v>
      </c>
      <c r="P674" s="1" t="str">
        <f ca="1">IFERROR(__xludf.DUMMYFUNCTION("""COMPUTED_VALUE"""),"Work with 5 to 6 people in my team")</f>
        <v>Work with 5 to 6 people in my team</v>
      </c>
      <c r="Q674" s="1" t="str">
        <f ca="1">IFERROR(__xludf.DUMMYFUNCTION("""COMPUTED_VALUE"""),"No")</f>
        <v>No</v>
      </c>
      <c r="R674" s="1" t="str">
        <f ca="1">IFERROR(__xludf.DUMMYFUNCTION("""COMPUTED_VALUE"""),"This will be hard to do, but if it is the right company I would try")</f>
        <v>This will be hard to do, but if it is the right company I would try</v>
      </c>
      <c r="S674" s="1"/>
    </row>
    <row r="675" spans="1:19" ht="12.5" x14ac:dyDescent="0.25">
      <c r="A675" s="2">
        <f ca="1">IFERROR(__xludf.DUMMYFUNCTION("""COMPUTED_VALUE"""),45021.9080079166)</f>
        <v>45021.908007916601</v>
      </c>
      <c r="B675" s="1" t="str">
        <f ca="1">IFERROR(__xludf.DUMMYFUNCTION("""COMPUTED_VALUE"""),"India")</f>
        <v>India</v>
      </c>
      <c r="C675" s="1">
        <f ca="1">IFERROR(__xludf.DUMMYFUNCTION("""COMPUTED_VALUE"""),631209)</f>
        <v>631209</v>
      </c>
      <c r="D675" s="1" t="str">
        <f ca="1">IFERROR(__xludf.DUMMYFUNCTION("""COMPUTED_VALUE"""),"Female")</f>
        <v>Female</v>
      </c>
      <c r="E675" s="1" t="str">
        <f ca="1">IFERROR(__xludf.DUMMYFUNCTION("""COMPUTED_VALUE"""),"Influencers who had successful careers")</f>
        <v>Influencers who had successful careers</v>
      </c>
      <c r="F675" s="1" t="str">
        <f ca="1">IFERROR(__xludf.DUMMYFUNCTION("""COMPUTED_VALUE"""),"Yes, I will earn and do that")</f>
        <v>Yes, I will earn and do that</v>
      </c>
      <c r="G675" s="1" t="str">
        <f ca="1">IFERROR(__xludf.DUMMYFUNCTION("""COMPUTED_VALUE"""),"Will work for 3 years or more")</f>
        <v>Will work for 3 years or more</v>
      </c>
      <c r="H675" s="1" t="str">
        <f ca="1">IFERROR(__xludf.DUMMYFUNCTION("""COMPUTED_VALUE"""),"No")</f>
        <v>No</v>
      </c>
      <c r="I675" s="1" t="str">
        <f ca="1">IFERROR(__xludf.DUMMYFUNCTION("""COMPUTED_VALUE"""),"Will NOT work for them")</f>
        <v>Will NOT work for them</v>
      </c>
      <c r="J675" s="1">
        <f ca="1">IFERROR(__xludf.DUMMYFUNCTION("""COMPUTED_VALUE"""),6)</f>
        <v>6</v>
      </c>
      <c r="K675" s="1" t="str">
        <f ca="1">IFERROR(__xludf.DUMMYFUNCTION("""COMPUTED_VALUE"""),"Every Day Office Environment")</f>
        <v>Every Day Office Environment</v>
      </c>
      <c r="L675" s="1" t="str">
        <f ca="1">IFERROR(__xludf.DUMMYFUNCTION("""COMPUTED_VALUE"""),"Employer who rewards learning and enables that environment")</f>
        <v>Employer who rewards learning and enables that environment</v>
      </c>
      <c r="M675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675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675" s="1" t="str">
        <f ca="1">IFERROR(__xludf.DUMMYFUNCTION("""COMPUTED_VALUE"""),"Manager who sets goal and helps me achieve it")</f>
        <v>Manager who sets goal and helps me achieve it</v>
      </c>
      <c r="P675" s="1" t="str">
        <f ca="1">IFERROR(__xludf.DUMMYFUNCTION("""COMPUTED_VALUE"""),"Work with more than 10 people in my team")</f>
        <v>Work with more than 10 people in my team</v>
      </c>
      <c r="Q675" s="1" t="str">
        <f ca="1">IFERROR(__xludf.DUMMYFUNCTION("""COMPUTED_VALUE"""),"Yes, I Understand this is gonna happen everywhere")</f>
        <v>Yes, I Understand this is gonna happen everywhere</v>
      </c>
      <c r="R675" s="1" t="str">
        <f ca="1">IFERROR(__xludf.DUMMYFUNCTION("""COMPUTED_VALUE"""),"Will work for 7 years or more")</f>
        <v>Will work for 7 years or more</v>
      </c>
      <c r="S675" s="1"/>
    </row>
    <row r="676" spans="1:19" ht="12.5" x14ac:dyDescent="0.25">
      <c r="A676" s="2">
        <f ca="1">IFERROR(__xludf.DUMMYFUNCTION("""COMPUTED_VALUE"""),45021.9109790972)</f>
        <v>45021.9109790972</v>
      </c>
      <c r="B676" s="1" t="str">
        <f ca="1">IFERROR(__xludf.DUMMYFUNCTION("""COMPUTED_VALUE"""),"India")</f>
        <v>India</v>
      </c>
      <c r="C676" s="1">
        <f ca="1">IFERROR(__xludf.DUMMYFUNCTION("""COMPUTED_VALUE"""),632007)</f>
        <v>632007</v>
      </c>
      <c r="D676" s="1" t="str">
        <f ca="1">IFERROR(__xludf.DUMMYFUNCTION("""COMPUTED_VALUE"""),"Female")</f>
        <v>Female</v>
      </c>
      <c r="E676" s="1" t="str">
        <f ca="1">IFERROR(__xludf.DUMMYFUNCTION("""COMPUTED_VALUE"""),"My Parents")</f>
        <v>My Parents</v>
      </c>
      <c r="F676" s="1" t="str">
        <f ca="1">IFERROR(__xludf.DUMMYFUNCTION("""COMPUTED_VALUE"""),"Yes, I will earn and do that")</f>
        <v>Yes, I will earn and do that</v>
      </c>
      <c r="G676" s="1" t="str">
        <f ca="1">IFERROR(__xludf.DUMMYFUNCTION("""COMPUTED_VALUE"""),"Will work for 3 years or more")</f>
        <v>Will work for 3 years or more</v>
      </c>
      <c r="H676" s="1" t="str">
        <f ca="1">IFERROR(__xludf.DUMMYFUNCTION("""COMPUTED_VALUE"""),"Yes")</f>
        <v>Yes</v>
      </c>
      <c r="I676" s="1" t="str">
        <f ca="1">IFERROR(__xludf.DUMMYFUNCTION("""COMPUTED_VALUE"""),"Will work for them")</f>
        <v>Will work for them</v>
      </c>
      <c r="J676" s="1">
        <f ca="1">IFERROR(__xludf.DUMMYFUNCTION("""COMPUTED_VALUE"""),6)</f>
        <v>6</v>
      </c>
      <c r="K676" s="1" t="str">
        <f ca="1">IFERROR(__xludf.DUMMYFUNCTION("""COMPUTED_VALUE"""),"Every Day Office Environment")</f>
        <v>Every Day Office Environment</v>
      </c>
      <c r="L676" s="1" t="str">
        <f ca="1">IFERROR(__xludf.DUMMYFUNCTION("""COMPUTED_VALUE"""),"Employer who rewards learning and enables that environment")</f>
        <v>Employer who rewards learning and enables that environment</v>
      </c>
      <c r="M6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76" s="1" t="str">
        <f ca="1">IFERROR(__xludf.DUMMYFUNCTION("""COMPUTED_VALUE"""),"Design and Creative strategy in any company, I Want to sell things/Sales, An Artificial Intelligence Specialist / Talking to Robots, Manufacturing / Oil and Gas/ Construction / Hard Physical Work related")</f>
        <v>Design and Creative strategy in any company, I Want to sell things/Sales, An Artificial Intelligence Specialist / Talking to Robots, Manufacturing / Oil and Gas/ Construction / Hard Physical Work related</v>
      </c>
      <c r="O676" s="1" t="str">
        <f ca="1">IFERROR(__xludf.DUMMYFUNCTION("""COMPUTED_VALUE"""),"Manager who sets goal and helps me achieve it")</f>
        <v>Manager who sets goal and helps me achieve it</v>
      </c>
      <c r="P676" s="1" t="str">
        <f ca="1">IFERROR(__xludf.DUMMYFUNCTION("""COMPUTED_VALUE"""),"Work alone")</f>
        <v>Work alone</v>
      </c>
      <c r="Q676" s="1" t="str">
        <f ca="1">IFERROR(__xludf.DUMMYFUNCTION("""COMPUTED_VALUE"""),"Yes")</f>
        <v>Yes</v>
      </c>
      <c r="R676" s="1" t="str">
        <f ca="1">IFERROR(__xludf.DUMMYFUNCTION("""COMPUTED_VALUE"""),"No way")</f>
        <v>No way</v>
      </c>
      <c r="S676" s="1"/>
    </row>
    <row r="677" spans="1:19" ht="12.5" x14ac:dyDescent="0.25">
      <c r="A677" s="2">
        <f ca="1">IFERROR(__xludf.DUMMYFUNCTION("""COMPUTED_VALUE"""),45021.9132312731)</f>
        <v>45021.913231273102</v>
      </c>
      <c r="B677" s="1" t="str">
        <f ca="1">IFERROR(__xludf.DUMMYFUNCTION("""COMPUTED_VALUE"""),"India")</f>
        <v>India</v>
      </c>
      <c r="C677" s="1">
        <f ca="1">IFERROR(__xludf.DUMMYFUNCTION("""COMPUTED_VALUE"""),515721)</f>
        <v>515721</v>
      </c>
      <c r="D677" s="1" t="str">
        <f ca="1">IFERROR(__xludf.DUMMYFUNCTION("""COMPUTED_VALUE"""),"Male")</f>
        <v>Male</v>
      </c>
      <c r="E677" s="1" t="str">
        <f ca="1">IFERROR(__xludf.DUMMYFUNCTION("""COMPUTED_VALUE"""),"People from my circle, but not family members")</f>
        <v>People from my circle, but not family members</v>
      </c>
      <c r="F677" s="1" t="str">
        <f ca="1">IFERROR(__xludf.DUMMYFUNCTION("""COMPUTED_VALUE"""),"Yes, I will earn and do that")</f>
        <v>Yes, I will earn and do that</v>
      </c>
      <c r="G677" s="1" t="str">
        <f ca="1">IFERROR(__xludf.DUMMYFUNCTION("""COMPUTED_VALUE"""),"This will be hard to do, but if it is the right company I would try")</f>
        <v>This will be hard to do, but if it is the right company I would try</v>
      </c>
      <c r="H677" s="1" t="str">
        <f ca="1">IFERROR(__xludf.DUMMYFUNCTION("""COMPUTED_VALUE"""),"No")</f>
        <v>No</v>
      </c>
      <c r="I677" s="1" t="str">
        <f ca="1">IFERROR(__xludf.DUMMYFUNCTION("""COMPUTED_VALUE"""),"Will NOT work for them")</f>
        <v>Will NOT work for them</v>
      </c>
      <c r="J677" s="1">
        <f ca="1">IFERROR(__xludf.DUMMYFUNCTION("""COMPUTED_VALUE"""),5)</f>
        <v>5</v>
      </c>
      <c r="K677" s="1" t="str">
        <f ca="1">IFERROR(__xludf.DUMMYFUNCTION("""COMPUTED_VALUE"""),"Fully Remote with Options to travel as and when needed")</f>
        <v>Fully Remote with Options to travel as and when needed</v>
      </c>
      <c r="L677" s="1" t="str">
        <f ca="1">IFERROR(__xludf.DUMMYFUNCTION("""COMPUTED_VALUE"""),"Employer who rewards learning and enables that environment")</f>
        <v>Employer who rewards learning and enables that environment</v>
      </c>
      <c r="M67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77" s="1" t="str">
        <f ca="1">IFERROR(__xludf.DUMMYFUNCTION("""COMPUTED_VALUE"""),"Business Operations in any organization, Manage and drive End-to-End Projects or Products, Build and develop a Team, I Want to sell things/Sales")</f>
        <v>Business Operations in any organization, Manage and drive End-to-End Projects or Products, Build and develop a Team, I Want to sell things/Sales</v>
      </c>
      <c r="O677" s="1" t="str">
        <f ca="1">IFERROR(__xludf.DUMMYFUNCTION("""COMPUTED_VALUE"""),"Manager who explains what is expected, sets a goal and helps achieve it")</f>
        <v>Manager who explains what is expected, sets a goal and helps achieve it</v>
      </c>
      <c r="P677" s="1" t="str">
        <f ca="1">IFERROR(__xludf.DUMMYFUNCTION("""COMPUTED_VALUE"""),"Work with 5 to 6 people in my team")</f>
        <v>Work with 5 to 6 people in my team</v>
      </c>
      <c r="Q677" s="1" t="str">
        <f ca="1">IFERROR(__xludf.DUMMYFUNCTION("""COMPUTED_VALUE"""),"Yes")</f>
        <v>Yes</v>
      </c>
      <c r="R677" s="1" t="str">
        <f ca="1">IFERROR(__xludf.DUMMYFUNCTION("""COMPUTED_VALUE"""),"This will be hard to do, but if it is the right company I would try")</f>
        <v>This will be hard to do, but if it is the right company I would try</v>
      </c>
      <c r="S677" s="1"/>
    </row>
    <row r="678" spans="1:19" ht="12.5" x14ac:dyDescent="0.25">
      <c r="A678" s="2">
        <f ca="1">IFERROR(__xludf.DUMMYFUNCTION("""COMPUTED_VALUE"""),45021.9136563078)</f>
        <v>45021.913656307799</v>
      </c>
      <c r="B678" s="1" t="str">
        <f ca="1">IFERROR(__xludf.DUMMYFUNCTION("""COMPUTED_VALUE"""),"India")</f>
        <v>India</v>
      </c>
      <c r="C678" s="1">
        <f ca="1">IFERROR(__xludf.DUMMYFUNCTION("""COMPUTED_VALUE"""),641015)</f>
        <v>641015</v>
      </c>
      <c r="D678" s="1" t="str">
        <f ca="1">IFERROR(__xludf.DUMMYFUNCTION("""COMPUTED_VALUE"""),"Male")</f>
        <v>Male</v>
      </c>
      <c r="E678" s="1" t="str">
        <f ca="1">IFERROR(__xludf.DUMMYFUNCTION("""COMPUTED_VALUE"""),"People from my circle, but not family members")</f>
        <v>People from my circle, but not family members</v>
      </c>
      <c r="F678" s="1" t="str">
        <f ca="1">IFERROR(__xludf.DUMMYFUNCTION("""COMPUTED_VALUE"""),"Yes, I will earn and do that")</f>
        <v>Yes, I will earn and do that</v>
      </c>
      <c r="G678" s="1" t="str">
        <f ca="1">IFERROR(__xludf.DUMMYFUNCTION("""COMPUTED_VALUE"""),"This will be hard to do, but if it is the right company I would try")</f>
        <v>This will be hard to do, but if it is the right company I would try</v>
      </c>
      <c r="H678" s="1" t="str">
        <f ca="1">IFERROR(__xludf.DUMMYFUNCTION("""COMPUTED_VALUE"""),"No")</f>
        <v>No</v>
      </c>
      <c r="I678" s="1" t="str">
        <f ca="1">IFERROR(__xludf.DUMMYFUNCTION("""COMPUTED_VALUE"""),"Will NOT work for them")</f>
        <v>Will NOT work for them</v>
      </c>
      <c r="J678" s="1">
        <f ca="1">IFERROR(__xludf.DUMMYFUNCTION("""COMPUTED_VALUE"""),5)</f>
        <v>5</v>
      </c>
      <c r="K678" s="1" t="str">
        <f ca="1">IFERROR(__xludf.DUMMYFUNCTION("""COMPUTED_VALUE"""),"Fully Remote with Options to travel as and when needed")</f>
        <v>Fully Remote with Options to travel as and when needed</v>
      </c>
      <c r="L678" s="1" t="str">
        <f ca="1">IFERROR(__xludf.DUMMYFUNCTION("""COMPUTED_VALUE"""),"Employer who rewards learning and enables that environment")</f>
        <v>Employer who rewards learning and enables that environment</v>
      </c>
      <c r="M67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78" s="1" t="str">
        <f ca="1">IFERROR(__xludf.DUMMYFUNCTION("""COMPUTED_VALUE"""),"Business Operations in any organization, Entrepreneur or Start Up, I Want to sell things/Sales, Manufacturing / Oil and Gas/ Construction / Hard Physical Work related")</f>
        <v>Business Operations in any organization, Entrepreneur or Start Up, I Want to sell things/Sales, Manufacturing / Oil and Gas/ Construction / Hard Physical Work related</v>
      </c>
      <c r="O678" s="1" t="str">
        <f ca="1">IFERROR(__xludf.DUMMYFUNCTION("""COMPUTED_VALUE"""),"Manager who explains what is expected, sets a goal and helps achieve it")</f>
        <v>Manager who explains what is expected, sets a goal and helps achieve it</v>
      </c>
      <c r="P678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678" s="1" t="str">
        <f ca="1">IFERROR(__xludf.DUMMYFUNCTION("""COMPUTED_VALUE"""),"I have NO other choice")</f>
        <v>I have NO other choice</v>
      </c>
      <c r="R678" s="1" t="str">
        <f ca="1">IFERROR(__xludf.DUMMYFUNCTION("""COMPUTED_VALUE"""),"This will be hard to do, but if it is the right company I would try")</f>
        <v>This will be hard to do, but if it is the right company I would try</v>
      </c>
      <c r="S678" s="1"/>
    </row>
    <row r="679" spans="1:19" ht="12.5" x14ac:dyDescent="0.25">
      <c r="A679" s="2">
        <f ca="1">IFERROR(__xludf.DUMMYFUNCTION("""COMPUTED_VALUE"""),45021.9136950578)</f>
        <v>45021.913695057803</v>
      </c>
      <c r="B679" s="1" t="str">
        <f ca="1">IFERROR(__xludf.DUMMYFUNCTION("""COMPUTED_VALUE"""),"India")</f>
        <v>India</v>
      </c>
      <c r="C679" s="1">
        <f ca="1">IFERROR(__xludf.DUMMYFUNCTION("""COMPUTED_VALUE"""),500072)</f>
        <v>500072</v>
      </c>
      <c r="D679" s="1" t="str">
        <f ca="1">IFERROR(__xludf.DUMMYFUNCTION("""COMPUTED_VALUE"""),"Male")</f>
        <v>Male</v>
      </c>
      <c r="E679" s="1" t="str">
        <f ca="1">IFERROR(__xludf.DUMMYFUNCTION("""COMPUTED_VALUE"""),"My Parents")</f>
        <v>My Parents</v>
      </c>
      <c r="F679" s="1" t="str">
        <f ca="1">IFERROR(__xludf.DUMMYFUNCTION("""COMPUTED_VALUE"""),"No I would not be pursuing Higher Education outside of India")</f>
        <v>No I would not be pursuing Higher Education outside of India</v>
      </c>
      <c r="G679" s="1" t="str">
        <f ca="1">IFERROR(__xludf.DUMMYFUNCTION("""COMPUTED_VALUE"""),"This will be hard to do, but if it is the right company I would try")</f>
        <v>This will be hard to do, but if it is the right company I would try</v>
      </c>
      <c r="H679" s="1" t="str">
        <f ca="1">IFERROR(__xludf.DUMMYFUNCTION("""COMPUTED_VALUE"""),"Yes")</f>
        <v>Yes</v>
      </c>
      <c r="I679" s="1" t="str">
        <f ca="1">IFERROR(__xludf.DUMMYFUNCTION("""COMPUTED_VALUE"""),"Will NOT work for them")</f>
        <v>Will NOT work for them</v>
      </c>
      <c r="J679" s="1">
        <f ca="1">IFERROR(__xludf.DUMMYFUNCTION("""COMPUTED_VALUE"""),6)</f>
        <v>6</v>
      </c>
      <c r="K679" s="1" t="str">
        <f ca="1">IFERROR(__xludf.DUMMYFUNCTION("""COMPUTED_VALUE"""),"Fully Remote with No option to visit offices")</f>
        <v>Fully Remote with No option to visit offices</v>
      </c>
      <c r="L6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7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679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679" s="1" t="str">
        <f ca="1">IFERROR(__xludf.DUMMYFUNCTION("""COMPUTED_VALUE"""),"Manager who clearly describes what she/he needs")</f>
        <v>Manager who clearly describes what she/he needs</v>
      </c>
      <c r="P679" s="1" t="str">
        <f ca="1">IFERROR(__xludf.DUMMYFUNCTION("""COMPUTED_VALUE"""),"Work with 5 to 6 people in my team")</f>
        <v>Work with 5 to 6 people in my team</v>
      </c>
      <c r="Q679" s="1" t="str">
        <f ca="1">IFERROR(__xludf.DUMMYFUNCTION("""COMPUTED_VALUE"""),"Yes, I Understand this is gonna happen everywhere")</f>
        <v>Yes, I Understand this is gonna happen everywhere</v>
      </c>
      <c r="R679" s="1" t="str">
        <f ca="1">IFERROR(__xludf.DUMMYFUNCTION("""COMPUTED_VALUE"""),"This will be hard to do, but if it is the right company I would try")</f>
        <v>This will be hard to do, but if it is the right company I would try</v>
      </c>
      <c r="S679" s="1"/>
    </row>
    <row r="680" spans="1:19" ht="12.5" x14ac:dyDescent="0.25">
      <c r="A680" s="2">
        <f ca="1">IFERROR(__xludf.DUMMYFUNCTION("""COMPUTED_VALUE"""),45021.9203919675)</f>
        <v>45021.920391967498</v>
      </c>
      <c r="B680" s="1" t="str">
        <f ca="1">IFERROR(__xludf.DUMMYFUNCTION("""COMPUTED_VALUE"""),"India")</f>
        <v>India</v>
      </c>
      <c r="C680" s="1">
        <f ca="1">IFERROR(__xludf.DUMMYFUNCTION("""COMPUTED_VALUE"""),410206)</f>
        <v>410206</v>
      </c>
      <c r="D680" s="1" t="str">
        <f ca="1">IFERROR(__xludf.DUMMYFUNCTION("""COMPUTED_VALUE"""),"Male")</f>
        <v>Male</v>
      </c>
      <c r="E680" s="1" t="str">
        <f ca="1">IFERROR(__xludf.DUMMYFUNCTION("""COMPUTED_VALUE"""),"People from my circle, but not family members")</f>
        <v>People from my circle, but not family members</v>
      </c>
      <c r="F680" s="1" t="str">
        <f ca="1">IFERROR(__xludf.DUMMYFUNCTION("""COMPUTED_VALUE"""),"No I would not be pursuing Higher Education outside of India")</f>
        <v>No I would not be pursuing Higher Education outside of India</v>
      </c>
      <c r="G680" s="1" t="str">
        <f ca="1">IFERROR(__xludf.DUMMYFUNCTION("""COMPUTED_VALUE"""),"This will be hard to do, but if it is the right company I would try")</f>
        <v>This will be hard to do, but if it is the right company I would try</v>
      </c>
      <c r="H680" s="1" t="str">
        <f ca="1">IFERROR(__xludf.DUMMYFUNCTION("""COMPUTED_VALUE"""),"No")</f>
        <v>No</v>
      </c>
      <c r="I680" s="1" t="str">
        <f ca="1">IFERROR(__xludf.DUMMYFUNCTION("""COMPUTED_VALUE"""),"Will NOT work for them")</f>
        <v>Will NOT work for them</v>
      </c>
      <c r="J680" s="1">
        <f ca="1">IFERROR(__xludf.DUMMYFUNCTION("""COMPUTED_VALUE"""),5)</f>
        <v>5</v>
      </c>
      <c r="K680" s="1" t="str">
        <f ca="1">IFERROR(__xludf.DUMMYFUNCTION("""COMPUTED_VALUE"""),"Fully Remote with No option to visit offices")</f>
        <v>Fully Remote with No option to visit offices</v>
      </c>
      <c r="L680" s="1" t="str">
        <f ca="1">IFERROR(__xludf.DUMMYFUNCTION("""COMPUTED_VALUE"""),"Employer who appreciates learning and enables that environment")</f>
        <v>Employer who appreciates learning and enables that environment</v>
      </c>
      <c r="M680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680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680" s="1" t="str">
        <f ca="1">IFERROR(__xludf.DUMMYFUNCTION("""COMPUTED_VALUE"""),"Manager who explains what is expected, sets a goal and helps achieve it")</f>
        <v>Manager who explains what is expected, sets a goal and helps achieve it</v>
      </c>
      <c r="P680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680" s="1" t="str">
        <f ca="1">IFERROR(__xludf.DUMMYFUNCTION("""COMPUTED_VALUE"""),"Yes, I Understand this is gonna happen everywhere")</f>
        <v>Yes, I Understand this is gonna happen everywhere</v>
      </c>
      <c r="R680" s="1" t="str">
        <f ca="1">IFERROR(__xludf.DUMMYFUNCTION("""COMPUTED_VALUE"""),"This will be hard to do, but if it is the right company I would try")</f>
        <v>This will be hard to do, but if it is the right company I would try</v>
      </c>
      <c r="S680" s="1"/>
    </row>
    <row r="681" spans="1:19" ht="12.5" x14ac:dyDescent="0.25">
      <c r="A681" s="2">
        <f ca="1">IFERROR(__xludf.DUMMYFUNCTION("""COMPUTED_VALUE"""),45021.9209098148)</f>
        <v>45021.920909814799</v>
      </c>
      <c r="B681" s="1" t="str">
        <f ca="1">IFERROR(__xludf.DUMMYFUNCTION("""COMPUTED_VALUE"""),"India")</f>
        <v>India</v>
      </c>
      <c r="C681" s="1">
        <f ca="1">IFERROR(__xludf.DUMMYFUNCTION("""COMPUTED_VALUE"""),577201)</f>
        <v>577201</v>
      </c>
      <c r="D681" s="1" t="str">
        <f ca="1">IFERROR(__xludf.DUMMYFUNCTION("""COMPUTED_VALUE"""),"Female")</f>
        <v>Female</v>
      </c>
      <c r="E681" s="1" t="str">
        <f ca="1">IFERROR(__xludf.DUMMYFUNCTION("""COMPUTED_VALUE"""),"People who have changed the world for better")</f>
        <v>People who have changed the world for better</v>
      </c>
      <c r="F681" s="1" t="str">
        <f ca="1">IFERROR(__xludf.DUMMYFUNCTION("""COMPUTED_VALUE"""),"No I would not be pursuing Higher Education outside of India")</f>
        <v>No I would not be pursuing Higher Education outside of India</v>
      </c>
      <c r="G681" s="1" t="str">
        <f ca="1">IFERROR(__xludf.DUMMYFUNCTION("""COMPUTED_VALUE"""),"Will work for 3 years or more")</f>
        <v>Will work for 3 years or more</v>
      </c>
      <c r="H681" s="1" t="str">
        <f ca="1">IFERROR(__xludf.DUMMYFUNCTION("""COMPUTED_VALUE"""),"No")</f>
        <v>No</v>
      </c>
      <c r="I681" s="1" t="str">
        <f ca="1">IFERROR(__xludf.DUMMYFUNCTION("""COMPUTED_VALUE"""),"Will NOT work for them")</f>
        <v>Will NOT work for them</v>
      </c>
      <c r="J681" s="1">
        <f ca="1">IFERROR(__xludf.DUMMYFUNCTION("""COMPUTED_VALUE"""),1)</f>
        <v>1</v>
      </c>
      <c r="K681" s="1" t="str">
        <f ca="1">IFERROR(__xludf.DUMMYFUNCTION("""COMPUTED_VALUE"""),"Hybrid Working Environment with more than 15 days a month at office")</f>
        <v>Hybrid Working Environment with more than 15 days a month at office</v>
      </c>
      <c r="L6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8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81" s="1" t="str">
        <f ca="1">IFERROR(__xludf.DUMMYFUNCTION("""COMPUTED_VALUE"""),"Business Operations in any organization, Manage and drive End-to-End Projects or Products, Become a content Creator in some platform, Entrepreneur or Start Up")</f>
        <v>Business Operations in any organization, Manage and drive End-to-End Projects or Products, Become a content Creator in some platform, Entrepreneur or Start Up</v>
      </c>
      <c r="O681" s="1" t="str">
        <f ca="1">IFERROR(__xludf.DUMMYFUNCTION("""COMPUTED_VALUE"""),"Manager who explains what is expected, sets a goal and helps achieve it")</f>
        <v>Manager who explains what is expected, sets a goal and helps achieve it</v>
      </c>
      <c r="P681" s="1" t="str">
        <f ca="1">IFERROR(__xludf.DUMMYFUNCTION("""COMPUTED_VALUE"""),"Work with more than 10 people in my team")</f>
        <v>Work with more than 10 people in my team</v>
      </c>
      <c r="Q681" s="1" t="str">
        <f ca="1">IFERROR(__xludf.DUMMYFUNCTION("""COMPUTED_VALUE"""),"Yes, I Understand this is gonna happen everywhere")</f>
        <v>Yes, I Understand this is gonna happen everywhere</v>
      </c>
      <c r="R681" s="1" t="str">
        <f ca="1">IFERROR(__xludf.DUMMYFUNCTION("""COMPUTED_VALUE"""),"Will work for 7 years or more")</f>
        <v>Will work for 7 years or more</v>
      </c>
      <c r="S681" s="1"/>
    </row>
    <row r="682" spans="1:19" ht="12.5" x14ac:dyDescent="0.25">
      <c r="A682" s="2">
        <f ca="1">IFERROR(__xludf.DUMMYFUNCTION("""COMPUTED_VALUE"""),45021.9227192245)</f>
        <v>45021.922719224502</v>
      </c>
      <c r="B682" s="1" t="str">
        <f ca="1">IFERROR(__xludf.DUMMYFUNCTION("""COMPUTED_VALUE"""),"India")</f>
        <v>India</v>
      </c>
      <c r="C682" s="1">
        <f ca="1">IFERROR(__xludf.DUMMYFUNCTION("""COMPUTED_VALUE"""),632007)</f>
        <v>632007</v>
      </c>
      <c r="D682" s="1" t="str">
        <f ca="1">IFERROR(__xludf.DUMMYFUNCTION("""COMPUTED_VALUE"""),"Male")</f>
        <v>Male</v>
      </c>
      <c r="E682" s="1" t="str">
        <f ca="1">IFERROR(__xludf.DUMMYFUNCTION("""COMPUTED_VALUE"""),"Influencers who had successful careers")</f>
        <v>Influencers who had successful careers</v>
      </c>
      <c r="F682" s="1" t="str">
        <f ca="1">IFERROR(__xludf.DUMMYFUNCTION("""COMPUTED_VALUE"""),"No, But if someone could bare the cost I will")</f>
        <v>No, But if someone could bare the cost I will</v>
      </c>
      <c r="G682" s="1" t="str">
        <f ca="1">IFERROR(__xludf.DUMMYFUNCTION("""COMPUTED_VALUE"""),"This will be hard to do, but if it is the right company I would try")</f>
        <v>This will be hard to do, but if it is the right company I would try</v>
      </c>
      <c r="H682" s="1" t="str">
        <f ca="1">IFERROR(__xludf.DUMMYFUNCTION("""COMPUTED_VALUE"""),"No")</f>
        <v>No</v>
      </c>
      <c r="I682" s="1" t="str">
        <f ca="1">IFERROR(__xludf.DUMMYFUNCTION("""COMPUTED_VALUE"""),"Will NOT work for them")</f>
        <v>Will NOT work for them</v>
      </c>
      <c r="J682" s="1">
        <f ca="1">IFERROR(__xludf.DUMMYFUNCTION("""COMPUTED_VALUE"""),8)</f>
        <v>8</v>
      </c>
      <c r="K682" s="1" t="str">
        <f ca="1">IFERROR(__xludf.DUMMYFUNCTION("""COMPUTED_VALUE"""),"Fully Remote with Options to travel as and when needed")</f>
        <v>Fully Remote with Options to travel as and when needed</v>
      </c>
      <c r="L6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8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682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682" s="1" t="str">
        <f ca="1">IFERROR(__xludf.DUMMYFUNCTION("""COMPUTED_VALUE"""),"Manager who sets goal and helps me achieve it")</f>
        <v>Manager who sets goal and helps me achieve it</v>
      </c>
      <c r="P682" s="1" t="str">
        <f ca="1">IFERROR(__xludf.DUMMYFUNCTION("""COMPUTED_VALUE"""),"Work with 5 to 6 people in my team")</f>
        <v>Work with 5 to 6 people in my team</v>
      </c>
      <c r="Q682" s="1" t="str">
        <f ca="1">IFERROR(__xludf.DUMMYFUNCTION("""COMPUTED_VALUE"""),"Yes, I Understand this is gonna happen everywhere")</f>
        <v>Yes, I Understand this is gonna happen everywhere</v>
      </c>
      <c r="R682" s="1" t="str">
        <f ca="1">IFERROR(__xludf.DUMMYFUNCTION("""COMPUTED_VALUE"""),"No way")</f>
        <v>No way</v>
      </c>
      <c r="S682" s="1"/>
    </row>
    <row r="683" spans="1:19" ht="12.5" x14ac:dyDescent="0.25">
      <c r="A683" s="2">
        <f ca="1">IFERROR(__xludf.DUMMYFUNCTION("""COMPUTED_VALUE"""),45021.9292091319)</f>
        <v>45021.9292091319</v>
      </c>
      <c r="B683" s="1" t="str">
        <f ca="1">IFERROR(__xludf.DUMMYFUNCTION("""COMPUTED_VALUE"""),"India")</f>
        <v>India</v>
      </c>
      <c r="C683" s="1">
        <f ca="1">IFERROR(__xludf.DUMMYFUNCTION("""COMPUTED_VALUE"""),201009)</f>
        <v>201009</v>
      </c>
      <c r="D683" s="1" t="str">
        <f ca="1">IFERROR(__xludf.DUMMYFUNCTION("""COMPUTED_VALUE"""),"Male")</f>
        <v>Male</v>
      </c>
      <c r="E683" s="1" t="str">
        <f ca="1">IFERROR(__xludf.DUMMYFUNCTION("""COMPUTED_VALUE"""),"People who have changed the world for better")</f>
        <v>People who have changed the world for better</v>
      </c>
      <c r="F683" s="1" t="str">
        <f ca="1">IFERROR(__xludf.DUMMYFUNCTION("""COMPUTED_VALUE"""),"No I would not be pursuing Higher Education outside of India")</f>
        <v>No I would not be pursuing Higher Education outside of India</v>
      </c>
      <c r="G683" s="1" t="str">
        <f ca="1">IFERROR(__xludf.DUMMYFUNCTION("""COMPUTED_VALUE"""),"Will work for 3 years or more")</f>
        <v>Will work for 3 years or more</v>
      </c>
      <c r="H683" s="1" t="str">
        <f ca="1">IFERROR(__xludf.DUMMYFUNCTION("""COMPUTED_VALUE"""),"No")</f>
        <v>No</v>
      </c>
      <c r="I683" s="1" t="str">
        <f ca="1">IFERROR(__xludf.DUMMYFUNCTION("""COMPUTED_VALUE"""),"Will NOT work for them")</f>
        <v>Will NOT work for them</v>
      </c>
      <c r="J683" s="1">
        <f ca="1">IFERROR(__xludf.DUMMYFUNCTION("""COMPUTED_VALUE"""),2)</f>
        <v>2</v>
      </c>
      <c r="K683" s="1" t="str">
        <f ca="1">IFERROR(__xludf.DUMMYFUNCTION("""COMPUTED_VALUE"""),"Hybrid Working Environment with less than 3 days a month at office")</f>
        <v>Hybrid Working Environment with less than 3 days a month at office</v>
      </c>
      <c r="L6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83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683" s="1" t="str">
        <f ca="1">IFERROR(__xludf.DUMMYFUNCTION("""COMPUTED_VALUE"""),"Teaching in any of the institutes/colleges/online or offline, Manage and drive End-to-End Projects or Products, Design and Develop amazing software, Look deeply into Data and generate insights")</f>
        <v>Teaching in any of the institutes/colleges/online or offline, Manage and drive End-to-End Projects or Products, Design and Develop amazing software, Look deeply into Data and generate insights</v>
      </c>
      <c r="O683" s="1" t="str">
        <f ca="1">IFERROR(__xludf.DUMMYFUNCTION("""COMPUTED_VALUE"""),"Manager who explains what is expected, sets a goal and helps achieve it")</f>
        <v>Manager who explains what is expected, sets a goal and helps achieve it</v>
      </c>
      <c r="P683" s="1" t="str">
        <f ca="1">IFERROR(__xludf.DUMMYFUNCTION("""COMPUTED_VALUE"""),"Work with 5 to 6 people in my team")</f>
        <v>Work with 5 to 6 people in my team</v>
      </c>
      <c r="Q683" s="1" t="str">
        <f ca="1">IFERROR(__xludf.DUMMYFUNCTION("""COMPUTED_VALUE"""),"Yes, I Understand this is gonna happen everywhere")</f>
        <v>Yes, I Understand this is gonna happen everywhere</v>
      </c>
      <c r="R683" s="1" t="str">
        <f ca="1">IFERROR(__xludf.DUMMYFUNCTION("""COMPUTED_VALUE"""),"This will be hard to do, but if it is the right company I would try")</f>
        <v>This will be hard to do, but if it is the right company I would try</v>
      </c>
      <c r="S683" s="1"/>
    </row>
    <row r="684" spans="1:19" ht="12.5" x14ac:dyDescent="0.25">
      <c r="A684" s="2">
        <f ca="1">IFERROR(__xludf.DUMMYFUNCTION("""COMPUTED_VALUE"""),45021.9364751851)</f>
        <v>45021.936475185103</v>
      </c>
      <c r="B684" s="1" t="str">
        <f ca="1">IFERROR(__xludf.DUMMYFUNCTION("""COMPUTED_VALUE"""),"India")</f>
        <v>India</v>
      </c>
      <c r="C684" s="1">
        <f ca="1">IFERROR(__xludf.DUMMYFUNCTION("""COMPUTED_VALUE"""),510101)</f>
        <v>510101</v>
      </c>
      <c r="D684" s="1" t="str">
        <f ca="1">IFERROR(__xludf.DUMMYFUNCTION("""COMPUTED_VALUE"""),"Male")</f>
        <v>Male</v>
      </c>
      <c r="E684" s="1" t="str">
        <f ca="1">IFERROR(__xludf.DUMMYFUNCTION("""COMPUTED_VALUE"""),"Influencers who had successful careers")</f>
        <v>Influencers who had successful careers</v>
      </c>
      <c r="F684" s="1" t="str">
        <f ca="1">IFERROR(__xludf.DUMMYFUNCTION("""COMPUTED_VALUE"""),"No, But if someone could bare the cost I will")</f>
        <v>No, But if someone could bare the cost I will</v>
      </c>
      <c r="G684" s="1" t="str">
        <f ca="1">IFERROR(__xludf.DUMMYFUNCTION("""COMPUTED_VALUE"""),"Will work for 3 years or more")</f>
        <v>Will work for 3 years or more</v>
      </c>
      <c r="H684" s="1" t="str">
        <f ca="1">IFERROR(__xludf.DUMMYFUNCTION("""COMPUTED_VALUE"""),"No")</f>
        <v>No</v>
      </c>
      <c r="I684" s="1" t="str">
        <f ca="1">IFERROR(__xludf.DUMMYFUNCTION("""COMPUTED_VALUE"""),"Will NOT work for them")</f>
        <v>Will NOT work for them</v>
      </c>
      <c r="J684" s="1">
        <f ca="1">IFERROR(__xludf.DUMMYFUNCTION("""COMPUTED_VALUE"""),10)</f>
        <v>10</v>
      </c>
      <c r="K684" s="1" t="str">
        <f ca="1">IFERROR(__xludf.DUMMYFUNCTION("""COMPUTED_VALUE"""),"Every Day Office Environment")</f>
        <v>Every Day Office Environment</v>
      </c>
      <c r="L684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684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684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684" s="1" t="str">
        <f ca="1">IFERROR(__xludf.DUMMYFUNCTION("""COMPUTED_VALUE"""),"Manager who sets goal and helps me achieve it")</f>
        <v>Manager who sets goal and helps me achieve it</v>
      </c>
      <c r="P684" s="1" t="str">
        <f ca="1">IFERROR(__xludf.DUMMYFUNCTION("""COMPUTED_VALUE"""),"Work alone")</f>
        <v>Work alone</v>
      </c>
      <c r="Q684" s="1" t="str">
        <f ca="1">IFERROR(__xludf.DUMMYFUNCTION("""COMPUTED_VALUE"""),"I have NO other choice")</f>
        <v>I have NO other choice</v>
      </c>
      <c r="R684" s="1" t="str">
        <f ca="1">IFERROR(__xludf.DUMMYFUNCTION("""COMPUTED_VALUE"""),"No way")</f>
        <v>No way</v>
      </c>
      <c r="S684" s="1"/>
    </row>
    <row r="685" spans="1:19" ht="12.5" x14ac:dyDescent="0.25">
      <c r="A685" s="2">
        <f ca="1">IFERROR(__xludf.DUMMYFUNCTION("""COMPUTED_VALUE"""),45021.9400012037)</f>
        <v>45021.9400012037</v>
      </c>
      <c r="B685" s="1" t="str">
        <f ca="1">IFERROR(__xludf.DUMMYFUNCTION("""COMPUTED_VALUE"""),"India")</f>
        <v>India</v>
      </c>
      <c r="C685" s="1">
        <f ca="1">IFERROR(__xludf.DUMMYFUNCTION("""COMPUTED_VALUE"""),122001)</f>
        <v>122001</v>
      </c>
      <c r="D685" s="1" t="str">
        <f ca="1">IFERROR(__xludf.DUMMYFUNCTION("""COMPUTED_VALUE"""),"Male")</f>
        <v>Male</v>
      </c>
      <c r="E685" s="1" t="str">
        <f ca="1">IFERROR(__xludf.DUMMYFUNCTION("""COMPUTED_VALUE"""),"People who have changed the world for better")</f>
        <v>People who have changed the world for better</v>
      </c>
      <c r="F685" s="1" t="str">
        <f ca="1">IFERROR(__xludf.DUMMYFUNCTION("""COMPUTED_VALUE"""),"No I would not be pursuing Higher Education outside of India")</f>
        <v>No I would not be pursuing Higher Education outside of India</v>
      </c>
      <c r="G685" s="1" t="str">
        <f ca="1">IFERROR(__xludf.DUMMYFUNCTION("""COMPUTED_VALUE"""),"Will work for 3 years or more")</f>
        <v>Will work for 3 years or more</v>
      </c>
      <c r="H685" s="1" t="str">
        <f ca="1">IFERROR(__xludf.DUMMYFUNCTION("""COMPUTED_VALUE"""),"Yes")</f>
        <v>Yes</v>
      </c>
      <c r="I685" s="1" t="str">
        <f ca="1">IFERROR(__xludf.DUMMYFUNCTION("""COMPUTED_VALUE"""),"Will work for them")</f>
        <v>Will work for them</v>
      </c>
      <c r="J685" s="1">
        <f ca="1">IFERROR(__xludf.DUMMYFUNCTION("""COMPUTED_VALUE"""),10)</f>
        <v>10</v>
      </c>
      <c r="K685" s="1" t="str">
        <f ca="1">IFERROR(__xludf.DUMMYFUNCTION("""COMPUTED_VALUE"""),"Fully Remote with Options to travel as and when needed")</f>
        <v>Fully Remote with Options to travel as and when needed</v>
      </c>
      <c r="L6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8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685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685" s="1" t="str">
        <f ca="1">IFERROR(__xludf.DUMMYFUNCTION("""COMPUTED_VALUE"""),"Manager who clearly describes what she/he needs")</f>
        <v>Manager who clearly describes what she/he needs</v>
      </c>
      <c r="P685" s="1" t="str">
        <f ca="1">IFERROR(__xludf.DUMMYFUNCTION("""COMPUTED_VALUE"""),"Work alone, Work with 5 to 6 people in my team")</f>
        <v>Work alone, Work with 5 to 6 people in my team</v>
      </c>
      <c r="Q685" s="1" t="str">
        <f ca="1">IFERROR(__xludf.DUMMYFUNCTION("""COMPUTED_VALUE"""),"No")</f>
        <v>No</v>
      </c>
      <c r="R685" s="1" t="str">
        <f ca="1">IFERROR(__xludf.DUMMYFUNCTION("""COMPUTED_VALUE"""),"Will work for 7 years or more")</f>
        <v>Will work for 7 years or more</v>
      </c>
      <c r="S685" s="1"/>
    </row>
    <row r="686" spans="1:19" ht="12.5" x14ac:dyDescent="0.25">
      <c r="A686" s="2">
        <f ca="1">IFERROR(__xludf.DUMMYFUNCTION("""COMPUTED_VALUE"""),45021.9435191782)</f>
        <v>45021.943519178203</v>
      </c>
      <c r="B686" s="1" t="str">
        <f ca="1">IFERROR(__xludf.DUMMYFUNCTION("""COMPUTED_VALUE"""),"India")</f>
        <v>India</v>
      </c>
      <c r="C686" s="1">
        <f ca="1">IFERROR(__xludf.DUMMYFUNCTION("""COMPUTED_VALUE"""),305001)</f>
        <v>305001</v>
      </c>
      <c r="D686" s="1" t="str">
        <f ca="1">IFERROR(__xludf.DUMMYFUNCTION("""COMPUTED_VALUE"""),"Male")</f>
        <v>Male</v>
      </c>
      <c r="E686" s="1" t="str">
        <f ca="1">IFERROR(__xludf.DUMMYFUNCTION("""COMPUTED_VALUE"""),"My Parents")</f>
        <v>My Parents</v>
      </c>
      <c r="F686" s="1" t="str">
        <f ca="1">IFERROR(__xludf.DUMMYFUNCTION("""COMPUTED_VALUE"""),"No, But if someone could bare the cost I will")</f>
        <v>No, But if someone could bare the cost I will</v>
      </c>
      <c r="G686" s="1" t="str">
        <f ca="1">IFERROR(__xludf.DUMMYFUNCTION("""COMPUTED_VALUE"""),"Will work for 3 years or more")</f>
        <v>Will work for 3 years or more</v>
      </c>
      <c r="H686" s="1" t="str">
        <f ca="1">IFERROR(__xludf.DUMMYFUNCTION("""COMPUTED_VALUE"""),"Yes")</f>
        <v>Yes</v>
      </c>
      <c r="I686" s="1" t="str">
        <f ca="1">IFERROR(__xludf.DUMMYFUNCTION("""COMPUTED_VALUE"""),"Will work for them")</f>
        <v>Will work for them</v>
      </c>
      <c r="J686" s="1">
        <f ca="1">IFERROR(__xludf.DUMMYFUNCTION("""COMPUTED_VALUE"""),2)</f>
        <v>2</v>
      </c>
      <c r="K686" s="1" t="str">
        <f ca="1">IFERROR(__xludf.DUMMYFUNCTION("""COMPUTED_VALUE"""),"Hybrid Working Environment with more than 15 days a month at office")</f>
        <v>Hybrid Working Environment with more than 15 days a month at office</v>
      </c>
      <c r="L686" s="1" t="str">
        <f ca="1">IFERROR(__xludf.DUMMYFUNCTION("""COMPUTED_VALUE"""),"Employer who appreciates learning and enables that environment")</f>
        <v>Employer who appreciates learning and enables that environment</v>
      </c>
      <c r="M68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86" s="1" t="str">
        <f ca="1">IFERROR(__xludf.DUMMYFUNCTION("""COMPUTED_VALUE"""),"Teaching in any of the institutes/colleges/online or offline, Look deeply into Data and generate insights, Become a content Creator in some platform, Entrepreneur or Start Up")</f>
        <v>Teaching in any of the institutes/colleges/online or offline, Look deeply into Data and generate insights, Become a content Creator in some platform, Entrepreneur or Start Up</v>
      </c>
      <c r="O686" s="1" t="str">
        <f ca="1">IFERROR(__xludf.DUMMYFUNCTION("""COMPUTED_VALUE"""),"Manager who explains what is expected, sets a goal and helps achieve it")</f>
        <v>Manager who explains what is expected, sets a goal and helps achieve it</v>
      </c>
      <c r="P686" s="1" t="str">
        <f ca="1">IFERROR(__xludf.DUMMYFUNCTION("""COMPUTED_VALUE"""),"Work with 2 to 3 people in my team")</f>
        <v>Work with 2 to 3 people in my team</v>
      </c>
      <c r="Q686" s="1" t="str">
        <f ca="1">IFERROR(__xludf.DUMMYFUNCTION("""COMPUTED_VALUE"""),"Yes")</f>
        <v>Yes</v>
      </c>
      <c r="R686" s="1" t="str">
        <f ca="1">IFERROR(__xludf.DUMMYFUNCTION("""COMPUTED_VALUE"""),"Will work for 7 years or more")</f>
        <v>Will work for 7 years or more</v>
      </c>
      <c r="S686" s="1"/>
    </row>
    <row r="687" spans="1:19" ht="12.5" x14ac:dyDescent="0.25">
      <c r="A687" s="2">
        <f ca="1">IFERROR(__xludf.DUMMYFUNCTION("""COMPUTED_VALUE"""),45021.9439414004)</f>
        <v>45021.943941400401</v>
      </c>
      <c r="B687" s="1" t="str">
        <f ca="1">IFERROR(__xludf.DUMMYFUNCTION("""COMPUTED_VALUE"""),"India")</f>
        <v>India</v>
      </c>
      <c r="C687" s="1">
        <f ca="1">IFERROR(__xludf.DUMMYFUNCTION("""COMPUTED_VALUE"""),110059)</f>
        <v>110059</v>
      </c>
      <c r="D687" s="1" t="str">
        <f ca="1">IFERROR(__xludf.DUMMYFUNCTION("""COMPUTED_VALUE"""),"Female")</f>
        <v>Female</v>
      </c>
      <c r="E687" s="1" t="str">
        <f ca="1">IFERROR(__xludf.DUMMYFUNCTION("""COMPUTED_VALUE"""),"People who have changed the world for better")</f>
        <v>People who have changed the world for better</v>
      </c>
      <c r="F687" s="1" t="str">
        <f ca="1">IFERROR(__xludf.DUMMYFUNCTION("""COMPUTED_VALUE"""),"Yes, I will earn and do that")</f>
        <v>Yes, I will earn and do that</v>
      </c>
      <c r="G687" s="1" t="str">
        <f ca="1">IFERROR(__xludf.DUMMYFUNCTION("""COMPUTED_VALUE"""),"This will be hard to do, but if it is the right company I would try")</f>
        <v>This will be hard to do, but if it is the right company I would try</v>
      </c>
      <c r="H687" s="1" t="str">
        <f ca="1">IFERROR(__xludf.DUMMYFUNCTION("""COMPUTED_VALUE"""),"Yes")</f>
        <v>Yes</v>
      </c>
      <c r="I687" s="1" t="str">
        <f ca="1">IFERROR(__xludf.DUMMYFUNCTION("""COMPUTED_VALUE"""),"Will NOT work for them")</f>
        <v>Will NOT work for them</v>
      </c>
      <c r="J687" s="1">
        <f ca="1">IFERROR(__xludf.DUMMYFUNCTION("""COMPUTED_VALUE"""),6)</f>
        <v>6</v>
      </c>
      <c r="K687" s="1" t="str">
        <f ca="1">IFERROR(__xludf.DUMMYFUNCTION("""COMPUTED_VALUE"""),"Fully Remote with No option to visit offices")</f>
        <v>Fully Remote with No option to visit offices</v>
      </c>
      <c r="L687" s="1" t="str">
        <f ca="1">IFERROR(__xludf.DUMMYFUNCTION("""COMPUTED_VALUE"""),"Employer who appreciates learning and enables that environment")</f>
        <v>Employer who appreciates learning and enables that environment</v>
      </c>
      <c r="M68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687" s="1" t="str">
        <f ca="1">IFERROR(__xludf.DUMMYFUNCTION("""COMPUTED_VALUE"""),"Business Operations in any organization, Work as a freelancer and do my thing my way, Become a content Creator in some platform, Manufacturing / Oil and Gas/ Construction / Hard Physical Work related")</f>
        <v>Business Operations in any organization, Work as a freelancer and do my thing my way, Become a content Creator in some platform, Manufacturing / Oil and Gas/ Construction / Hard Physical Work related</v>
      </c>
      <c r="O687" s="1" t="str">
        <f ca="1">IFERROR(__xludf.DUMMYFUNCTION("""COMPUTED_VALUE"""),"Manager who explains what is expected, sets a goal and helps achieve it")</f>
        <v>Manager who explains what is expected, sets a goal and helps achieve it</v>
      </c>
      <c r="P687" s="1" t="str">
        <f ca="1">IFERROR(__xludf.DUMMYFUNCTION("""COMPUTED_VALUE"""),"Work with 7 to 10 or more people in my team")</f>
        <v>Work with 7 to 10 or more people in my team</v>
      </c>
      <c r="Q687" s="1" t="str">
        <f ca="1">IFERROR(__xludf.DUMMYFUNCTION("""COMPUTED_VALUE"""),"Yes, I Understand this is gonna happen everywhere")</f>
        <v>Yes, I Understand this is gonna happen everywhere</v>
      </c>
      <c r="R687" s="1" t="str">
        <f ca="1">IFERROR(__xludf.DUMMYFUNCTION("""COMPUTED_VALUE"""),"No way")</f>
        <v>No way</v>
      </c>
      <c r="S687" s="1"/>
    </row>
    <row r="688" spans="1:19" ht="12.5" x14ac:dyDescent="0.25">
      <c r="A688" s="2">
        <f ca="1">IFERROR(__xludf.DUMMYFUNCTION("""COMPUTED_VALUE"""),45021.9440803703)</f>
        <v>45021.944080370296</v>
      </c>
      <c r="B688" s="1" t="str">
        <f ca="1">IFERROR(__xludf.DUMMYFUNCTION("""COMPUTED_VALUE"""),"India")</f>
        <v>India</v>
      </c>
      <c r="C688" s="1">
        <f ca="1">IFERROR(__xludf.DUMMYFUNCTION("""COMPUTED_VALUE"""),400072)</f>
        <v>400072</v>
      </c>
      <c r="D688" s="1" t="str">
        <f ca="1">IFERROR(__xludf.DUMMYFUNCTION("""COMPUTED_VALUE"""),"Male")</f>
        <v>Male</v>
      </c>
      <c r="E688" s="1" t="str">
        <f ca="1">IFERROR(__xludf.DUMMYFUNCTION("""COMPUTED_VALUE"""),"Influencers who had successful careers")</f>
        <v>Influencers who had successful careers</v>
      </c>
      <c r="F688" s="1" t="str">
        <f ca="1">IFERROR(__xludf.DUMMYFUNCTION("""COMPUTED_VALUE"""),"Yes, I will earn and do that")</f>
        <v>Yes, I will earn and do that</v>
      </c>
      <c r="G688" s="1" t="str">
        <f ca="1">IFERROR(__xludf.DUMMYFUNCTION("""COMPUTED_VALUE"""),"This will be hard to do, but if it is the right company I would try")</f>
        <v>This will be hard to do, but if it is the right company I would try</v>
      </c>
      <c r="H688" s="1" t="str">
        <f ca="1">IFERROR(__xludf.DUMMYFUNCTION("""COMPUTED_VALUE"""),"No")</f>
        <v>No</v>
      </c>
      <c r="I688" s="1" t="str">
        <f ca="1">IFERROR(__xludf.DUMMYFUNCTION("""COMPUTED_VALUE"""),"Will NOT work for them")</f>
        <v>Will NOT work for them</v>
      </c>
      <c r="J688" s="1">
        <f ca="1">IFERROR(__xludf.DUMMYFUNCTION("""COMPUTED_VALUE"""),5)</f>
        <v>5</v>
      </c>
      <c r="K688" s="1" t="str">
        <f ca="1">IFERROR(__xludf.DUMMYFUNCTION("""COMPUTED_VALUE"""),"Hybrid Working Environment with less than 3 days a month at office")</f>
        <v>Hybrid Working Environment with less than 3 days a month at office</v>
      </c>
      <c r="L6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8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68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688" s="1" t="str">
        <f ca="1">IFERROR(__xludf.DUMMYFUNCTION("""COMPUTED_VALUE"""),"Manager who explains what is expected, sets a goal and helps achieve it")</f>
        <v>Manager who explains what is expected, sets a goal and helps achieve it</v>
      </c>
      <c r="P68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688" s="1" t="str">
        <f ca="1">IFERROR(__xludf.DUMMYFUNCTION("""COMPUTED_VALUE"""),"Yes, I Understand this is gonna happen everywhere")</f>
        <v>Yes, I Understand this is gonna happen everywhere</v>
      </c>
      <c r="R688" s="1" t="str">
        <f ca="1">IFERROR(__xludf.DUMMYFUNCTION("""COMPUTED_VALUE"""),"This will be hard to do, but if it is the right company I would try")</f>
        <v>This will be hard to do, but if it is the right company I would try</v>
      </c>
      <c r="S688" s="1"/>
    </row>
    <row r="689" spans="1:19" ht="12.5" x14ac:dyDescent="0.25">
      <c r="A689" s="2">
        <f ca="1">IFERROR(__xludf.DUMMYFUNCTION("""COMPUTED_VALUE"""),45021.9465811805)</f>
        <v>45021.946581180498</v>
      </c>
      <c r="B689" s="1" t="str">
        <f ca="1">IFERROR(__xludf.DUMMYFUNCTION("""COMPUTED_VALUE"""),"India")</f>
        <v>India</v>
      </c>
      <c r="C689" s="1">
        <f ca="1">IFERROR(__xludf.DUMMYFUNCTION("""COMPUTED_VALUE"""),620011)</f>
        <v>620011</v>
      </c>
      <c r="D689" s="1" t="str">
        <f ca="1">IFERROR(__xludf.DUMMYFUNCTION("""COMPUTED_VALUE"""),"Female")</f>
        <v>Female</v>
      </c>
      <c r="E689" s="1" t="str">
        <f ca="1">IFERROR(__xludf.DUMMYFUNCTION("""COMPUTED_VALUE"""),"People from my circle, but not family members")</f>
        <v>People from my circle, but not family members</v>
      </c>
      <c r="F689" s="1" t="str">
        <f ca="1">IFERROR(__xludf.DUMMYFUNCTION("""COMPUTED_VALUE"""),"No, But if someone could bare the cost I will")</f>
        <v>No, But if someone could bare the cost I will</v>
      </c>
      <c r="G689" s="1" t="str">
        <f ca="1">IFERROR(__xludf.DUMMYFUNCTION("""COMPUTED_VALUE"""),"This will be hard to do, but if it is the right company I would try")</f>
        <v>This will be hard to do, but if it is the right company I would try</v>
      </c>
      <c r="H689" s="1" t="str">
        <f ca="1">IFERROR(__xludf.DUMMYFUNCTION("""COMPUTED_VALUE"""),"Yes")</f>
        <v>Yes</v>
      </c>
      <c r="I689" s="1" t="str">
        <f ca="1">IFERROR(__xludf.DUMMYFUNCTION("""COMPUTED_VALUE"""),"Will NOT work for them")</f>
        <v>Will NOT work for them</v>
      </c>
      <c r="J689" s="1">
        <f ca="1">IFERROR(__xludf.DUMMYFUNCTION("""COMPUTED_VALUE"""),3)</f>
        <v>3</v>
      </c>
      <c r="K689" s="1" t="str">
        <f ca="1">IFERROR(__xludf.DUMMYFUNCTION("""COMPUTED_VALUE"""),"Hybrid Working Environment with more than 15 days a month at office")</f>
        <v>Hybrid Working Environment with more than 15 days a month at office</v>
      </c>
      <c r="L6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8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689" s="1" t="str">
        <f ca="1">IFERROR(__xludf.DUMMYFUNCTION("""COMPUTED_VALUE"""),"Build and develop a Team, Entrepreneur or Start Up, I Want to sell things/Sales, Manufacturing / Oil and Gas/ Construction / Hard Physical Work related")</f>
        <v>Build and develop a Team, Entrepreneur or Start Up, I Want to sell things/Sales, Manufacturing / Oil and Gas/ Construction / Hard Physical Work related</v>
      </c>
      <c r="O689" s="1" t="str">
        <f ca="1">IFERROR(__xludf.DUMMYFUNCTION("""COMPUTED_VALUE"""),"Manager who sets targets and expects me to achieve it")</f>
        <v>Manager who sets targets and expects me to achieve it</v>
      </c>
      <c r="P689" s="1" t="str">
        <f ca="1">IFERROR(__xludf.DUMMYFUNCTION("""COMPUTED_VALUE"""),"Work with 5 to 6 people in my team")</f>
        <v>Work with 5 to 6 people in my team</v>
      </c>
      <c r="Q689" s="1" t="str">
        <f ca="1">IFERROR(__xludf.DUMMYFUNCTION("""COMPUTED_VALUE"""),"Yes")</f>
        <v>Yes</v>
      </c>
      <c r="R689" s="1" t="str">
        <f ca="1">IFERROR(__xludf.DUMMYFUNCTION("""COMPUTED_VALUE"""),"No way")</f>
        <v>No way</v>
      </c>
      <c r="S689" s="1"/>
    </row>
    <row r="690" spans="1:19" ht="12.5" x14ac:dyDescent="0.25">
      <c r="A690" s="2">
        <f ca="1">IFERROR(__xludf.DUMMYFUNCTION("""COMPUTED_VALUE"""),45021.9483440855)</f>
        <v>45021.948344085598</v>
      </c>
      <c r="B690" s="1" t="str">
        <f ca="1">IFERROR(__xludf.DUMMYFUNCTION("""COMPUTED_VALUE"""),"India")</f>
        <v>India</v>
      </c>
      <c r="C690" s="1">
        <f ca="1">IFERROR(__xludf.DUMMYFUNCTION("""COMPUTED_VALUE"""),110059)</f>
        <v>110059</v>
      </c>
      <c r="D690" s="1" t="str">
        <f ca="1">IFERROR(__xludf.DUMMYFUNCTION("""COMPUTED_VALUE"""),"Female")</f>
        <v>Female</v>
      </c>
      <c r="E690" s="1" t="str">
        <f ca="1">IFERROR(__xludf.DUMMYFUNCTION("""COMPUTED_VALUE"""),"People who have changed the world for better")</f>
        <v>People who have changed the world for better</v>
      </c>
      <c r="F690" s="1" t="str">
        <f ca="1">IFERROR(__xludf.DUMMYFUNCTION("""COMPUTED_VALUE"""),"Yes, I will earn and do that")</f>
        <v>Yes, I will earn and do that</v>
      </c>
      <c r="G690" s="1" t="str">
        <f ca="1">IFERROR(__xludf.DUMMYFUNCTION("""COMPUTED_VALUE"""),"No way")</f>
        <v>No way</v>
      </c>
      <c r="H690" s="1" t="str">
        <f ca="1">IFERROR(__xludf.DUMMYFUNCTION("""COMPUTED_VALUE"""),"Yes")</f>
        <v>Yes</v>
      </c>
      <c r="I690" s="1" t="str">
        <f ca="1">IFERROR(__xludf.DUMMYFUNCTION("""COMPUTED_VALUE"""),"Will NOT work for them")</f>
        <v>Will NOT work for them</v>
      </c>
      <c r="J690" s="1">
        <f ca="1">IFERROR(__xludf.DUMMYFUNCTION("""COMPUTED_VALUE"""),4)</f>
        <v>4</v>
      </c>
      <c r="K690" s="1" t="str">
        <f ca="1">IFERROR(__xludf.DUMMYFUNCTION("""COMPUTED_VALUE"""),"Hybrid Working Environment with less than 3 days a month at office")</f>
        <v>Hybrid Working Environment with less than 3 days a month at office</v>
      </c>
      <c r="L690" s="1" t="str">
        <f ca="1">IFERROR(__xludf.DUMMYFUNCTION("""COMPUTED_VALUE"""),"Employer who rewards learning and enables that environment")</f>
        <v>Employer who rewards learning and enables that environment</v>
      </c>
      <c r="M69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690" s="1" t="str">
        <f ca="1">IFERROR(__xludf.DUMMYFUNCTION("""COMPUTED_VALUE"""),"Design and Creative strategy in any company, Teaching in any of the institutes/colleges/online or offline, Work as a freelancer and do my thing my way, Manufacturing / Oil and Gas/ Construction / Hard Physical Work related")</f>
        <v>Design and Creative strategy in any company, Teaching in any of the institutes/colleges/online or offline, Work as a freelancer and do my thing my way, Manufacturing / Oil and Gas/ Construction / Hard Physical Work related</v>
      </c>
      <c r="O690" s="1" t="str">
        <f ca="1">IFERROR(__xludf.DUMMYFUNCTION("""COMPUTED_VALUE"""),"Manager who explains what is expected, sets a goal and helps achieve it")</f>
        <v>Manager who explains what is expected, sets a goal and helps achieve it</v>
      </c>
      <c r="P690" s="1" t="str">
        <f ca="1">IFERROR(__xludf.DUMMYFUNCTION("""COMPUTED_VALUE"""),"Work with 5 to 6 people in my team")</f>
        <v>Work with 5 to 6 people in my team</v>
      </c>
      <c r="Q690" s="1" t="str">
        <f ca="1">IFERROR(__xludf.DUMMYFUNCTION("""COMPUTED_VALUE"""),"I have NO other choice")</f>
        <v>I have NO other choice</v>
      </c>
      <c r="R690" s="1" t="str">
        <f ca="1">IFERROR(__xludf.DUMMYFUNCTION("""COMPUTED_VALUE"""),"No way")</f>
        <v>No way</v>
      </c>
      <c r="S690" s="1"/>
    </row>
    <row r="691" spans="1:19" ht="12.5" x14ac:dyDescent="0.25">
      <c r="A691" s="2">
        <f ca="1">IFERROR(__xludf.DUMMYFUNCTION("""COMPUTED_VALUE"""),45021.9570057523)</f>
        <v>45021.957005752301</v>
      </c>
      <c r="B691" s="1" t="str">
        <f ca="1">IFERROR(__xludf.DUMMYFUNCTION("""COMPUTED_VALUE"""),"India")</f>
        <v>India</v>
      </c>
      <c r="C691" s="1">
        <f ca="1">IFERROR(__xludf.DUMMYFUNCTION("""COMPUTED_VALUE"""),641663)</f>
        <v>641663</v>
      </c>
      <c r="D691" s="1" t="str">
        <f ca="1">IFERROR(__xludf.DUMMYFUNCTION("""COMPUTED_VALUE"""),"Female")</f>
        <v>Female</v>
      </c>
      <c r="E691" s="1" t="str">
        <f ca="1">IFERROR(__xludf.DUMMYFUNCTION("""COMPUTED_VALUE"""),"People who have changed the world for better")</f>
        <v>People who have changed the world for better</v>
      </c>
      <c r="F691" s="1" t="str">
        <f ca="1">IFERROR(__xludf.DUMMYFUNCTION("""COMPUTED_VALUE"""),"No, But if someone could bare the cost I will")</f>
        <v>No, But if someone could bare the cost I will</v>
      </c>
      <c r="G691" s="1" t="str">
        <f ca="1">IFERROR(__xludf.DUMMYFUNCTION("""COMPUTED_VALUE"""),"This will be hard to do, but if it is the right company I would try")</f>
        <v>This will be hard to do, but if it is the right company I would try</v>
      </c>
      <c r="H691" s="1" t="str">
        <f ca="1">IFERROR(__xludf.DUMMYFUNCTION("""COMPUTED_VALUE"""),"Yes")</f>
        <v>Yes</v>
      </c>
      <c r="I691" s="1" t="str">
        <f ca="1">IFERROR(__xludf.DUMMYFUNCTION("""COMPUTED_VALUE"""),"Will NOT work for them")</f>
        <v>Will NOT work for them</v>
      </c>
      <c r="J691" s="1">
        <f ca="1">IFERROR(__xludf.DUMMYFUNCTION("""COMPUTED_VALUE"""),3)</f>
        <v>3</v>
      </c>
      <c r="K691" s="1" t="str">
        <f ca="1">IFERROR(__xludf.DUMMYFUNCTION("""COMPUTED_VALUE"""),"Fully Remote with No option to visit offices")</f>
        <v>Fully Remote with No option to visit offices</v>
      </c>
      <c r="L6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91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691" s="1" t="str">
        <f ca="1">IFERROR(__xludf.DUMMYFUNCTION("""COMPUTED_VALUE"""),"Teaching in any of the institutes/colleges/online or offline, Business Operations in any organization, Become a content Creator in some platform, Entrepreneur or Start Up")</f>
        <v>Teaching in any of the institutes/colleges/online or offline, Business Operations in any organization, Become a content Creator in some platform, Entrepreneur or Start Up</v>
      </c>
      <c r="O691" s="1" t="str">
        <f ca="1">IFERROR(__xludf.DUMMYFUNCTION("""COMPUTED_VALUE"""),"Manager who explains what is expected, sets a goal and helps achieve it")</f>
        <v>Manager who explains what is expected, sets a goal and helps achieve it</v>
      </c>
      <c r="P691" s="1" t="str">
        <f ca="1">IFERROR(__xludf.DUMMYFUNCTION("""COMPUTED_VALUE"""),"Work alone")</f>
        <v>Work alone</v>
      </c>
      <c r="Q691" s="1" t="str">
        <f ca="1">IFERROR(__xludf.DUMMYFUNCTION("""COMPUTED_VALUE"""),"No")</f>
        <v>No</v>
      </c>
      <c r="R691" s="1" t="str">
        <f ca="1">IFERROR(__xludf.DUMMYFUNCTION("""COMPUTED_VALUE"""),"This will be hard to do, but if it is the right company I would try")</f>
        <v>This will be hard to do, but if it is the right company I would try</v>
      </c>
      <c r="S691" s="1"/>
    </row>
    <row r="692" spans="1:19" ht="12.5" x14ac:dyDescent="0.25">
      <c r="A692" s="2">
        <f ca="1">IFERROR(__xludf.DUMMYFUNCTION("""COMPUTED_VALUE"""),45021.9576743171)</f>
        <v>45021.957674317098</v>
      </c>
      <c r="B692" s="1" t="str">
        <f ca="1">IFERROR(__xludf.DUMMYFUNCTION("""COMPUTED_VALUE"""),"India")</f>
        <v>India</v>
      </c>
      <c r="C692" s="1">
        <f ca="1">IFERROR(__xludf.DUMMYFUNCTION("""COMPUTED_VALUE"""),641004)</f>
        <v>641004</v>
      </c>
      <c r="D692" s="1" t="str">
        <f ca="1">IFERROR(__xludf.DUMMYFUNCTION("""COMPUTED_VALUE"""),"Male")</f>
        <v>Male</v>
      </c>
      <c r="E692" s="1" t="str">
        <f ca="1">IFERROR(__xludf.DUMMYFUNCTION("""COMPUTED_VALUE"""),"My Parents")</f>
        <v>My Parents</v>
      </c>
      <c r="F692" s="1" t="str">
        <f ca="1">IFERROR(__xludf.DUMMYFUNCTION("""COMPUTED_VALUE"""),"No I would not be pursuing Higher Education outside of India")</f>
        <v>No I would not be pursuing Higher Education outside of India</v>
      </c>
      <c r="G692" s="1" t="str">
        <f ca="1">IFERROR(__xludf.DUMMYFUNCTION("""COMPUTED_VALUE"""),"This will be hard to do, but if it is the right company I would try")</f>
        <v>This will be hard to do, but if it is the right company I would try</v>
      </c>
      <c r="H692" s="1" t="str">
        <f ca="1">IFERROR(__xludf.DUMMYFUNCTION("""COMPUTED_VALUE"""),"Yes")</f>
        <v>Yes</v>
      </c>
      <c r="I692" s="1" t="str">
        <f ca="1">IFERROR(__xludf.DUMMYFUNCTION("""COMPUTED_VALUE"""),"Will work for them")</f>
        <v>Will work for them</v>
      </c>
      <c r="J692" s="1">
        <f ca="1">IFERROR(__xludf.DUMMYFUNCTION("""COMPUTED_VALUE"""),8)</f>
        <v>8</v>
      </c>
      <c r="K692" s="1" t="str">
        <f ca="1">IFERROR(__xludf.DUMMYFUNCTION("""COMPUTED_VALUE"""),"Hybrid Working Environment with more than 15 days a month at office")</f>
        <v>Hybrid Working Environment with more than 15 days a month at office</v>
      </c>
      <c r="L692" s="1" t="str">
        <f ca="1">IFERROR(__xludf.DUMMYFUNCTION("""COMPUTED_VALUE"""),"Employer who rewards learning and enables that environment")</f>
        <v>Employer who rewards learning and enables that environment</v>
      </c>
      <c r="M69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692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692" s="1" t="str">
        <f ca="1">IFERROR(__xludf.DUMMYFUNCTION("""COMPUTED_VALUE"""),"Manager who sets goal and helps me achieve it")</f>
        <v>Manager who sets goal and helps me achieve it</v>
      </c>
      <c r="P692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692" s="1" t="str">
        <f ca="1">IFERROR(__xludf.DUMMYFUNCTION("""COMPUTED_VALUE"""),"No")</f>
        <v>No</v>
      </c>
      <c r="R692" s="1" t="str">
        <f ca="1">IFERROR(__xludf.DUMMYFUNCTION("""COMPUTED_VALUE"""),"This will be hard to do, but if it is the right company I would try")</f>
        <v>This will be hard to do, but if it is the right company I would try</v>
      </c>
      <c r="S692" s="1"/>
    </row>
    <row r="693" spans="1:19" ht="12.5" x14ac:dyDescent="0.25">
      <c r="A693" s="2">
        <f ca="1">IFERROR(__xludf.DUMMYFUNCTION("""COMPUTED_VALUE"""),45021.9648668518)</f>
        <v>45021.964866851798</v>
      </c>
      <c r="B693" s="1" t="str">
        <f ca="1">IFERROR(__xludf.DUMMYFUNCTION("""COMPUTED_VALUE"""),"India")</f>
        <v>India</v>
      </c>
      <c r="C693" s="1">
        <f ca="1">IFERROR(__xludf.DUMMYFUNCTION("""COMPUTED_VALUE"""),673005)</f>
        <v>673005</v>
      </c>
      <c r="D693" s="1" t="str">
        <f ca="1">IFERROR(__xludf.DUMMYFUNCTION("""COMPUTED_VALUE"""),"Female")</f>
        <v>Female</v>
      </c>
      <c r="E693" s="1" t="str">
        <f ca="1">IFERROR(__xludf.DUMMYFUNCTION("""COMPUTED_VALUE"""),"People from my circle, but not family members")</f>
        <v>People from my circle, but not family members</v>
      </c>
      <c r="F693" s="1" t="str">
        <f ca="1">IFERROR(__xludf.DUMMYFUNCTION("""COMPUTED_VALUE"""),"Yes, I will earn and do that")</f>
        <v>Yes, I will earn and do that</v>
      </c>
      <c r="G693" s="1" t="str">
        <f ca="1">IFERROR(__xludf.DUMMYFUNCTION("""COMPUTED_VALUE"""),"This will be hard to do, but if it is the right company I would try")</f>
        <v>This will be hard to do, but if it is the right company I would try</v>
      </c>
      <c r="H693" s="1" t="str">
        <f ca="1">IFERROR(__xludf.DUMMYFUNCTION("""COMPUTED_VALUE"""),"No")</f>
        <v>No</v>
      </c>
      <c r="I693" s="1" t="str">
        <f ca="1">IFERROR(__xludf.DUMMYFUNCTION("""COMPUTED_VALUE"""),"Will NOT work for them")</f>
        <v>Will NOT work for them</v>
      </c>
      <c r="J693" s="1">
        <f ca="1">IFERROR(__xludf.DUMMYFUNCTION("""COMPUTED_VALUE"""),5)</f>
        <v>5</v>
      </c>
      <c r="K693" s="1" t="str">
        <f ca="1">IFERROR(__xludf.DUMMYFUNCTION("""COMPUTED_VALUE"""),"Fully Remote with Options to travel as and when needed")</f>
        <v>Fully Remote with Options to travel as and when needed</v>
      </c>
      <c r="L693" s="1" t="str">
        <f ca="1">IFERROR(__xludf.DUMMYFUNCTION("""COMPUTED_VALUE"""),"Employer who rewards learning and enables that environment")</f>
        <v>Employer who rewards learning and enables that environment</v>
      </c>
      <c r="M693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693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693" s="1" t="str">
        <f ca="1">IFERROR(__xludf.DUMMYFUNCTION("""COMPUTED_VALUE"""),"Manager who explains what is expected, sets a goal and helps achieve it")</f>
        <v>Manager who explains what is expected, sets a goal and helps achieve it</v>
      </c>
      <c r="P693" s="1" t="str">
        <f ca="1">IFERROR(__xludf.DUMMYFUNCTION("""COMPUTED_VALUE"""),"Work with 2 to 3 people in my team")</f>
        <v>Work with 2 to 3 people in my team</v>
      </c>
      <c r="Q693" s="1" t="str">
        <f ca="1">IFERROR(__xludf.DUMMYFUNCTION("""COMPUTED_VALUE"""),"No")</f>
        <v>No</v>
      </c>
      <c r="R693" s="1" t="str">
        <f ca="1">IFERROR(__xludf.DUMMYFUNCTION("""COMPUTED_VALUE"""),"This will be hard to do, but if it is the right company I would try")</f>
        <v>This will be hard to do, but if it is the right company I would try</v>
      </c>
      <c r="S693" s="1"/>
    </row>
    <row r="694" spans="1:19" ht="12.5" x14ac:dyDescent="0.25">
      <c r="A694" s="2">
        <f ca="1">IFERROR(__xludf.DUMMYFUNCTION("""COMPUTED_VALUE"""),45021.9666325)</f>
        <v>45021.9666325</v>
      </c>
      <c r="B694" s="1" t="str">
        <f ca="1">IFERROR(__xludf.DUMMYFUNCTION("""COMPUTED_VALUE"""),"India")</f>
        <v>India</v>
      </c>
      <c r="C694" s="1">
        <f ca="1">IFERROR(__xludf.DUMMYFUNCTION("""COMPUTED_VALUE"""),400067)</f>
        <v>400067</v>
      </c>
      <c r="D694" s="1" t="str">
        <f ca="1">IFERROR(__xludf.DUMMYFUNCTION("""COMPUTED_VALUE"""),"Male")</f>
        <v>Male</v>
      </c>
      <c r="E694" s="1" t="str">
        <f ca="1">IFERROR(__xludf.DUMMYFUNCTION("""COMPUTED_VALUE"""),"My Parents")</f>
        <v>My Parents</v>
      </c>
      <c r="F694" s="1" t="str">
        <f ca="1">IFERROR(__xludf.DUMMYFUNCTION("""COMPUTED_VALUE"""),"No I would not be pursuing Higher Education outside of India")</f>
        <v>No I would not be pursuing Higher Education outside of India</v>
      </c>
      <c r="G694" s="1" t="str">
        <f ca="1">IFERROR(__xludf.DUMMYFUNCTION("""COMPUTED_VALUE"""),"This will be hard to do, but if it is the right company I would try")</f>
        <v>This will be hard to do, but if it is the right company I would try</v>
      </c>
      <c r="H694" s="1" t="str">
        <f ca="1">IFERROR(__xludf.DUMMYFUNCTION("""COMPUTED_VALUE"""),"Yes")</f>
        <v>Yes</v>
      </c>
      <c r="I694" s="1" t="str">
        <f ca="1">IFERROR(__xludf.DUMMYFUNCTION("""COMPUTED_VALUE"""),"Will work for them")</f>
        <v>Will work for them</v>
      </c>
      <c r="J694" s="1">
        <f ca="1">IFERROR(__xludf.DUMMYFUNCTION("""COMPUTED_VALUE"""),10)</f>
        <v>10</v>
      </c>
      <c r="K694" s="1" t="str">
        <f ca="1">IFERROR(__xludf.DUMMYFUNCTION("""COMPUTED_VALUE"""),"Hybrid Working Environment with less than 3 days a month at office")</f>
        <v>Hybrid Working Environment with less than 3 days a month at office</v>
      </c>
      <c r="L6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9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9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694" s="1" t="str">
        <f ca="1">IFERROR(__xludf.DUMMYFUNCTION("""COMPUTED_VALUE"""),"Manager who explains what is expected, sets a goal and helps achieve it")</f>
        <v>Manager who explains what is expected, sets a goal and helps achieve it</v>
      </c>
      <c r="P694" s="1" t="str">
        <f ca="1">IFERROR(__xludf.DUMMYFUNCTION("""COMPUTED_VALUE"""),"Work with more than 10 people in my team")</f>
        <v>Work with more than 10 people in my team</v>
      </c>
      <c r="Q694" s="1" t="str">
        <f ca="1">IFERROR(__xludf.DUMMYFUNCTION("""COMPUTED_VALUE"""),"No")</f>
        <v>No</v>
      </c>
      <c r="R694" s="1" t="str">
        <f ca="1">IFERROR(__xludf.DUMMYFUNCTION("""COMPUTED_VALUE"""),"No way")</f>
        <v>No way</v>
      </c>
      <c r="S694" s="1"/>
    </row>
    <row r="695" spans="1:19" ht="12.5" x14ac:dyDescent="0.25">
      <c r="A695" s="2">
        <f ca="1">IFERROR(__xludf.DUMMYFUNCTION("""COMPUTED_VALUE"""),45021.9707482175)</f>
        <v>45021.9707482175</v>
      </c>
      <c r="B695" s="1" t="str">
        <f ca="1">IFERROR(__xludf.DUMMYFUNCTION("""COMPUTED_VALUE"""),"India")</f>
        <v>India</v>
      </c>
      <c r="C695" s="1">
        <f ca="1">IFERROR(__xludf.DUMMYFUNCTION("""COMPUTED_VALUE"""),400067)</f>
        <v>400067</v>
      </c>
      <c r="D695" s="1" t="str">
        <f ca="1">IFERROR(__xludf.DUMMYFUNCTION("""COMPUTED_VALUE"""),"Female")</f>
        <v>Female</v>
      </c>
      <c r="E695" s="1" t="str">
        <f ca="1">IFERROR(__xludf.DUMMYFUNCTION("""COMPUTED_VALUE"""),"My Parents")</f>
        <v>My Parents</v>
      </c>
      <c r="F695" s="1" t="str">
        <f ca="1">IFERROR(__xludf.DUMMYFUNCTION("""COMPUTED_VALUE"""),"No I would not be pursuing Higher Education outside of India")</f>
        <v>No I would not be pursuing Higher Education outside of India</v>
      </c>
      <c r="G695" s="1" t="str">
        <f ca="1">IFERROR(__xludf.DUMMYFUNCTION("""COMPUTED_VALUE"""),"No way")</f>
        <v>No way</v>
      </c>
      <c r="H695" s="1" t="str">
        <f ca="1">IFERROR(__xludf.DUMMYFUNCTION("""COMPUTED_VALUE"""),"No")</f>
        <v>No</v>
      </c>
      <c r="I695" s="1" t="str">
        <f ca="1">IFERROR(__xludf.DUMMYFUNCTION("""COMPUTED_VALUE"""),"Will NOT work for them")</f>
        <v>Will NOT work for them</v>
      </c>
      <c r="J695" s="1">
        <f ca="1">IFERROR(__xludf.DUMMYFUNCTION("""COMPUTED_VALUE"""),1)</f>
        <v>1</v>
      </c>
      <c r="K695" s="1" t="str">
        <f ca="1">IFERROR(__xludf.DUMMYFUNCTION("""COMPUTED_VALUE"""),"Hybrid Working Environment with more than 15 days a month at office")</f>
        <v>Hybrid Working Environment with more than 15 days a month at office</v>
      </c>
      <c r="L6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9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695" s="1" t="str">
        <f ca="1">IFERROR(__xludf.DUMMYFUNCTION("""COMPUTED_VALUE"""),"Design and Creative strategy in any company, Teaching in any of the institutes/colleges/online or offline, Design and Develop amazing software, Entrepreneur or Start Up")</f>
        <v>Design and Creative strategy in any company, Teaching in any of the institutes/colleges/online or offline, Design and Develop amazing software, Entrepreneur or Start Up</v>
      </c>
      <c r="O695" s="1" t="str">
        <f ca="1">IFERROR(__xludf.DUMMYFUNCTION("""COMPUTED_VALUE"""),"Manager who explains what is expected, sets a goal and helps achieve it")</f>
        <v>Manager who explains what is expected, sets a goal and helps achieve it</v>
      </c>
      <c r="P695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695" s="1" t="str">
        <f ca="1">IFERROR(__xludf.DUMMYFUNCTION("""COMPUTED_VALUE"""),"No")</f>
        <v>No</v>
      </c>
      <c r="R695" s="1" t="str">
        <f ca="1">IFERROR(__xludf.DUMMYFUNCTION("""COMPUTED_VALUE"""),"No way")</f>
        <v>No way</v>
      </c>
      <c r="S695" s="1"/>
    </row>
    <row r="696" spans="1:19" ht="12.5" x14ac:dyDescent="0.25">
      <c r="A696" s="2">
        <f ca="1">IFERROR(__xludf.DUMMYFUNCTION("""COMPUTED_VALUE"""),45021.979421412)</f>
        <v>45021.979421411997</v>
      </c>
      <c r="B696" s="1" t="str">
        <f ca="1">IFERROR(__xludf.DUMMYFUNCTION("""COMPUTED_VALUE"""),"India")</f>
        <v>India</v>
      </c>
      <c r="C696" s="1">
        <f ca="1">IFERROR(__xludf.DUMMYFUNCTION("""COMPUTED_VALUE"""),507002)</f>
        <v>507002</v>
      </c>
      <c r="D696" s="1" t="str">
        <f ca="1">IFERROR(__xludf.DUMMYFUNCTION("""COMPUTED_VALUE"""),"Male")</f>
        <v>Male</v>
      </c>
      <c r="E696" s="1" t="str">
        <f ca="1">IFERROR(__xludf.DUMMYFUNCTION("""COMPUTED_VALUE"""),"People from my circle, but not family members")</f>
        <v>People from my circle, but not family members</v>
      </c>
      <c r="F696" s="1" t="str">
        <f ca="1">IFERROR(__xludf.DUMMYFUNCTION("""COMPUTED_VALUE"""),"Yes, I will earn and do that")</f>
        <v>Yes, I will earn and do that</v>
      </c>
      <c r="G696" s="1" t="str">
        <f ca="1">IFERROR(__xludf.DUMMYFUNCTION("""COMPUTED_VALUE"""),"This will be hard to do, but if it is the right company I would try")</f>
        <v>This will be hard to do, but if it is the right company I would try</v>
      </c>
      <c r="H696" s="1" t="str">
        <f ca="1">IFERROR(__xludf.DUMMYFUNCTION("""COMPUTED_VALUE"""),"Yes")</f>
        <v>Yes</v>
      </c>
      <c r="I696" s="1" t="str">
        <f ca="1">IFERROR(__xludf.DUMMYFUNCTION("""COMPUTED_VALUE"""),"Will NOT work for them")</f>
        <v>Will NOT work for them</v>
      </c>
      <c r="J696" s="1">
        <f ca="1">IFERROR(__xludf.DUMMYFUNCTION("""COMPUTED_VALUE"""),8)</f>
        <v>8</v>
      </c>
      <c r="K696" s="1" t="str">
        <f ca="1">IFERROR(__xludf.DUMMYFUNCTION("""COMPUTED_VALUE"""),"Hybrid Working Environment with less than 3 days a month at office")</f>
        <v>Hybrid Working Environment with less than 3 days a month at office</v>
      </c>
      <c r="L6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9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696" s="1" t="str">
        <f ca="1">IFERROR(__xludf.DUMMYFUNCTION("""COMPUTED_VALUE"""),"Business Operations in any organization, Manage and drive End-to-End Projects or Products, Work as a freelancer and do my thing my way, Entrepreneur or Start Up")</f>
        <v>Business Operations in any organization, Manage and drive End-to-End Projects or Products, Work as a freelancer and do my thing my way, Entrepreneur or Start Up</v>
      </c>
      <c r="O696" s="1" t="str">
        <f ca="1">IFERROR(__xludf.DUMMYFUNCTION("""COMPUTED_VALUE"""),"Manager who sets goal and helps me achieve it")</f>
        <v>Manager who sets goal and helps me achieve it</v>
      </c>
      <c r="P696" s="1" t="str">
        <f ca="1">IFERROR(__xludf.DUMMYFUNCTION("""COMPUTED_VALUE"""),"Work with 2 to 3 people in my team")</f>
        <v>Work with 2 to 3 people in my team</v>
      </c>
      <c r="Q696" s="1" t="str">
        <f ca="1">IFERROR(__xludf.DUMMYFUNCTION("""COMPUTED_VALUE"""),"Yes")</f>
        <v>Yes</v>
      </c>
      <c r="R696" s="1" t="str">
        <f ca="1">IFERROR(__xludf.DUMMYFUNCTION("""COMPUTED_VALUE"""),"This will be hard to do, but if it is the right company I would try")</f>
        <v>This will be hard to do, but if it is the right company I would try</v>
      </c>
      <c r="S696" s="1"/>
    </row>
    <row r="697" spans="1:19" ht="12.5" x14ac:dyDescent="0.25">
      <c r="A697" s="2">
        <f ca="1">IFERROR(__xludf.DUMMYFUNCTION("""COMPUTED_VALUE"""),45021.9795420138)</f>
        <v>45021.979542013803</v>
      </c>
      <c r="B697" s="1" t="str">
        <f ca="1">IFERROR(__xludf.DUMMYFUNCTION("""COMPUTED_VALUE"""),"India")</f>
        <v>India</v>
      </c>
      <c r="C697" s="1">
        <f ca="1">IFERROR(__xludf.DUMMYFUNCTION("""COMPUTED_VALUE"""),574102)</f>
        <v>574102</v>
      </c>
      <c r="D697" s="1" t="str">
        <f ca="1">IFERROR(__xludf.DUMMYFUNCTION("""COMPUTED_VALUE"""),"Male")</f>
        <v>Male</v>
      </c>
      <c r="E697" s="1" t="str">
        <f ca="1">IFERROR(__xludf.DUMMYFUNCTION("""COMPUTED_VALUE"""),"Influencers who had successful careers")</f>
        <v>Influencers who had successful careers</v>
      </c>
      <c r="F697" s="1" t="str">
        <f ca="1">IFERROR(__xludf.DUMMYFUNCTION("""COMPUTED_VALUE"""),"No I would not be pursuing Higher Education outside of India")</f>
        <v>No I would not be pursuing Higher Education outside of India</v>
      </c>
      <c r="G697" s="1" t="str">
        <f ca="1">IFERROR(__xludf.DUMMYFUNCTION("""COMPUTED_VALUE"""),"Will work for 3 years or more")</f>
        <v>Will work for 3 years or more</v>
      </c>
      <c r="H697" s="1" t="str">
        <f ca="1">IFERROR(__xludf.DUMMYFUNCTION("""COMPUTED_VALUE"""),"No")</f>
        <v>No</v>
      </c>
      <c r="I697" s="1" t="str">
        <f ca="1">IFERROR(__xludf.DUMMYFUNCTION("""COMPUTED_VALUE"""),"Will work for them")</f>
        <v>Will work for them</v>
      </c>
      <c r="J697" s="1">
        <f ca="1">IFERROR(__xludf.DUMMYFUNCTION("""COMPUTED_VALUE"""),10)</f>
        <v>10</v>
      </c>
      <c r="K697" s="1" t="str">
        <f ca="1">IFERROR(__xludf.DUMMYFUNCTION("""COMPUTED_VALUE"""),"Hybrid Working Environment with more than 15 days a month at office")</f>
        <v>Hybrid Working Environment with more than 15 days a month at office</v>
      </c>
      <c r="L697" s="1" t="str">
        <f ca="1">IFERROR(__xludf.DUMMYFUNCTION("""COMPUTED_VALUE"""),"Employer who rewards learning and enables that environment")</f>
        <v>Employer who rewards learning and enables that environment</v>
      </c>
      <c r="M69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97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697" s="1" t="str">
        <f ca="1">IFERROR(__xludf.DUMMYFUNCTION("""COMPUTED_VALUE"""),"Manager who sets targets and expects me to achieve it")</f>
        <v>Manager who sets targets and expects me to achieve it</v>
      </c>
      <c r="P697" s="1" t="str">
        <f ca="1">IFERROR(__xludf.DUMMYFUNCTION("""COMPUTED_VALUE"""),"Work with more than 10 people in my team")</f>
        <v>Work with more than 10 people in my team</v>
      </c>
      <c r="Q697" s="1" t="str">
        <f ca="1">IFERROR(__xludf.DUMMYFUNCTION("""COMPUTED_VALUE"""),"Yes, I Understand this is gonna happen everywhere")</f>
        <v>Yes, I Understand this is gonna happen everywhere</v>
      </c>
      <c r="R697" s="1" t="str">
        <f ca="1">IFERROR(__xludf.DUMMYFUNCTION("""COMPUTED_VALUE"""),"This will be hard to do, but if it is the right company I would try")</f>
        <v>This will be hard to do, but if it is the right company I would try</v>
      </c>
      <c r="S697" s="1"/>
    </row>
    <row r="698" spans="1:19" ht="12.5" x14ac:dyDescent="0.25">
      <c r="A698" s="2">
        <f ca="1">IFERROR(__xludf.DUMMYFUNCTION("""COMPUTED_VALUE"""),45022.0030956828)</f>
        <v>45022.003095682798</v>
      </c>
      <c r="B698" s="1" t="str">
        <f ca="1">IFERROR(__xludf.DUMMYFUNCTION("""COMPUTED_VALUE"""),"India")</f>
        <v>India</v>
      </c>
      <c r="C698" s="1">
        <f ca="1">IFERROR(__xludf.DUMMYFUNCTION("""COMPUTED_VALUE"""),507002)</f>
        <v>507002</v>
      </c>
      <c r="D698" s="1" t="str">
        <f ca="1">IFERROR(__xludf.DUMMYFUNCTION("""COMPUTED_VALUE"""),"Male")</f>
        <v>Male</v>
      </c>
      <c r="E698" s="1" t="str">
        <f ca="1">IFERROR(__xludf.DUMMYFUNCTION("""COMPUTED_VALUE"""),"My Parents")</f>
        <v>My Parents</v>
      </c>
      <c r="F698" s="1" t="str">
        <f ca="1">IFERROR(__xludf.DUMMYFUNCTION("""COMPUTED_VALUE"""),"Yes, I will earn and do that")</f>
        <v>Yes, I will earn and do that</v>
      </c>
      <c r="G698" s="1" t="str">
        <f ca="1">IFERROR(__xludf.DUMMYFUNCTION("""COMPUTED_VALUE"""),"Will work for 3 years or more")</f>
        <v>Will work for 3 years or more</v>
      </c>
      <c r="H698" s="1" t="str">
        <f ca="1">IFERROR(__xludf.DUMMYFUNCTION("""COMPUTED_VALUE"""),"Yes")</f>
        <v>Yes</v>
      </c>
      <c r="I698" s="1" t="str">
        <f ca="1">IFERROR(__xludf.DUMMYFUNCTION("""COMPUTED_VALUE"""),"Will work for them")</f>
        <v>Will work for them</v>
      </c>
      <c r="J698" s="1">
        <f ca="1">IFERROR(__xludf.DUMMYFUNCTION("""COMPUTED_VALUE"""),8)</f>
        <v>8</v>
      </c>
      <c r="K698" s="1" t="str">
        <f ca="1">IFERROR(__xludf.DUMMYFUNCTION("""COMPUTED_VALUE"""),"Fully Remote with Options to travel as and when needed")</f>
        <v>Fully Remote with Options to travel as and when needed</v>
      </c>
      <c r="L6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69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698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698" s="1" t="str">
        <f ca="1">IFERROR(__xludf.DUMMYFUNCTION("""COMPUTED_VALUE"""),"Manager who explains what is expected, sets a goal and helps achieve it")</f>
        <v>Manager who explains what is expected, sets a goal and helps achieve it</v>
      </c>
      <c r="P698" s="1" t="str">
        <f ca="1">IFERROR(__xludf.DUMMYFUNCTION("""COMPUTED_VALUE"""),"Work with 2 to 3 people in my team")</f>
        <v>Work with 2 to 3 people in my team</v>
      </c>
      <c r="Q698" s="1" t="str">
        <f ca="1">IFERROR(__xludf.DUMMYFUNCTION("""COMPUTED_VALUE"""),"No")</f>
        <v>No</v>
      </c>
      <c r="R698" s="1" t="str">
        <f ca="1">IFERROR(__xludf.DUMMYFUNCTION("""COMPUTED_VALUE"""),"Will work for 7 years or more")</f>
        <v>Will work for 7 years or more</v>
      </c>
      <c r="S698" s="1"/>
    </row>
    <row r="699" spans="1:19" ht="12.5" x14ac:dyDescent="0.25">
      <c r="A699" s="2">
        <f ca="1">IFERROR(__xludf.DUMMYFUNCTION("""COMPUTED_VALUE"""),45022.0034594444)</f>
        <v>45022.003459444401</v>
      </c>
      <c r="B699" s="1" t="str">
        <f ca="1">IFERROR(__xludf.DUMMYFUNCTION("""COMPUTED_VALUE"""),"India")</f>
        <v>India</v>
      </c>
      <c r="C699" s="1">
        <f ca="1">IFERROR(__xludf.DUMMYFUNCTION("""COMPUTED_VALUE"""),132001)</f>
        <v>132001</v>
      </c>
      <c r="D699" s="1" t="str">
        <f ca="1">IFERROR(__xludf.DUMMYFUNCTION("""COMPUTED_VALUE"""),"Male")</f>
        <v>Male</v>
      </c>
      <c r="E699" s="1" t="str">
        <f ca="1">IFERROR(__xludf.DUMMYFUNCTION("""COMPUTED_VALUE"""),"My Parents")</f>
        <v>My Parents</v>
      </c>
      <c r="F699" s="1" t="str">
        <f ca="1">IFERROR(__xludf.DUMMYFUNCTION("""COMPUTED_VALUE"""),"Yes, I will earn and do that")</f>
        <v>Yes, I will earn and do that</v>
      </c>
      <c r="G699" s="1" t="str">
        <f ca="1">IFERROR(__xludf.DUMMYFUNCTION("""COMPUTED_VALUE"""),"This will be hard to do, but if it is the right company I would try")</f>
        <v>This will be hard to do, but if it is the right company I would try</v>
      </c>
      <c r="H699" s="1" t="str">
        <f ca="1">IFERROR(__xludf.DUMMYFUNCTION("""COMPUTED_VALUE"""),"No")</f>
        <v>No</v>
      </c>
      <c r="I699" s="1" t="str">
        <f ca="1">IFERROR(__xludf.DUMMYFUNCTION("""COMPUTED_VALUE"""),"Will NOT work for them")</f>
        <v>Will NOT work for them</v>
      </c>
      <c r="J699" s="1">
        <f ca="1">IFERROR(__xludf.DUMMYFUNCTION("""COMPUTED_VALUE"""),5)</f>
        <v>5</v>
      </c>
      <c r="K699" s="1" t="str">
        <f ca="1">IFERROR(__xludf.DUMMYFUNCTION("""COMPUTED_VALUE"""),"Fully Remote with No option to visit offices")</f>
        <v>Fully Remote with No option to visit offices</v>
      </c>
      <c r="L699" s="1" t="str">
        <f ca="1">IFERROR(__xludf.DUMMYFUNCTION("""COMPUTED_VALUE"""),"Employer who appreciates learning and enables that environment")</f>
        <v>Employer who appreciates learning and enables that environment</v>
      </c>
      <c r="M69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699" s="1" t="str">
        <f ca="1">IFERROR(__xludf.DUMMYFUNCTION("""COMPUTED_VALUE"""),"Manage and drive End-to-End Projects or Products, Work in a BPO setup for some well known client, Work as a freelancer and do my thing my way, Manufacturing / Oil and Gas/ Construction / Hard Physical Work related")</f>
        <v>Manage and drive End-to-End Projects or Products, Work in a BPO setup for some well known client, Work as a freelancer and do my thing my way, Manufacturing / Oil and Gas/ Construction / Hard Physical Work related</v>
      </c>
      <c r="O699" s="1" t="str">
        <f ca="1">IFERROR(__xludf.DUMMYFUNCTION("""COMPUTED_VALUE"""),"Manager who explains what is expected, sets a goal and helps achieve it")</f>
        <v>Manager who explains what is expected, sets a goal and helps achieve it</v>
      </c>
      <c r="P699" s="1" t="str">
        <f ca="1">IFERROR(__xludf.DUMMYFUNCTION("""COMPUTED_VALUE"""),"Work with 7 to 10 or more people in my team")</f>
        <v>Work with 7 to 10 or more people in my team</v>
      </c>
      <c r="Q699" s="1" t="str">
        <f ca="1">IFERROR(__xludf.DUMMYFUNCTION("""COMPUTED_VALUE"""),"Yes")</f>
        <v>Yes</v>
      </c>
      <c r="R699" s="1" t="str">
        <f ca="1">IFERROR(__xludf.DUMMYFUNCTION("""COMPUTED_VALUE"""),"This will be hard to do, but if it is the right company I would try")</f>
        <v>This will be hard to do, but if it is the right company I would try</v>
      </c>
      <c r="S699" s="1"/>
    </row>
    <row r="700" spans="1:19" ht="12.5" x14ac:dyDescent="0.25">
      <c r="A700" s="2">
        <f ca="1">IFERROR(__xludf.DUMMYFUNCTION("""COMPUTED_VALUE"""),45022.003497118)</f>
        <v>45022.003497117999</v>
      </c>
      <c r="B700" s="1" t="str">
        <f ca="1">IFERROR(__xludf.DUMMYFUNCTION("""COMPUTED_VALUE"""),"India")</f>
        <v>India</v>
      </c>
      <c r="C700" s="1">
        <f ca="1">IFERROR(__xludf.DUMMYFUNCTION("""COMPUTED_VALUE"""),314025)</f>
        <v>314025</v>
      </c>
      <c r="D700" s="1" t="str">
        <f ca="1">IFERROR(__xludf.DUMMYFUNCTION("""COMPUTED_VALUE"""),"Male")</f>
        <v>Male</v>
      </c>
      <c r="E700" s="1" t="str">
        <f ca="1">IFERROR(__xludf.DUMMYFUNCTION("""COMPUTED_VALUE"""),"People who have changed the world for better")</f>
        <v>People who have changed the world for better</v>
      </c>
      <c r="F700" s="1" t="str">
        <f ca="1">IFERROR(__xludf.DUMMYFUNCTION("""COMPUTED_VALUE"""),"Yes, I will earn and do that")</f>
        <v>Yes, I will earn and do that</v>
      </c>
      <c r="G700" s="1" t="str">
        <f ca="1">IFERROR(__xludf.DUMMYFUNCTION("""COMPUTED_VALUE"""),"This will be hard to do, but if it is the right company I would try")</f>
        <v>This will be hard to do, but if it is the right company I would try</v>
      </c>
      <c r="H700" s="1" t="str">
        <f ca="1">IFERROR(__xludf.DUMMYFUNCTION("""COMPUTED_VALUE"""),"Yes")</f>
        <v>Yes</v>
      </c>
      <c r="I700" s="1" t="str">
        <f ca="1">IFERROR(__xludf.DUMMYFUNCTION("""COMPUTED_VALUE"""),"Will NOT work for them")</f>
        <v>Will NOT work for them</v>
      </c>
      <c r="J700" s="1">
        <f ca="1">IFERROR(__xludf.DUMMYFUNCTION("""COMPUTED_VALUE"""),7)</f>
        <v>7</v>
      </c>
      <c r="K700" s="1" t="str">
        <f ca="1">IFERROR(__xludf.DUMMYFUNCTION("""COMPUTED_VALUE"""),"Every Day Office Environment")</f>
        <v>Every Day Office Environment</v>
      </c>
      <c r="L700" s="1" t="str">
        <f ca="1">IFERROR(__xludf.DUMMYFUNCTION("""COMPUTED_VALUE"""),"Employer who appreciates learning and enables that environment")</f>
        <v>Employer who appreciates learning and enables that environment</v>
      </c>
      <c r="M70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700" s="1" t="str">
        <f ca="1">IFERROR(__xludf.DUMMYFUNCTION("""COMPUTED_VALUE"""),"Design and Creative strategy in any company, Teaching in any of the institutes/colleges/online or offline, Look deeply into Data and generate insights, An Artificial Intelligence Specialist / Talking to Robots")</f>
        <v>Design and Creative strategy in any company, Teaching in any of the institutes/colleges/online or offline, Look deeply into Data and generate insights, An Artificial Intelligence Specialist / Talking to Robots</v>
      </c>
      <c r="O700" s="1" t="str">
        <f ca="1">IFERROR(__xludf.DUMMYFUNCTION("""COMPUTED_VALUE"""),"Manager who explains what is expected, sets a goal and helps achieve it")</f>
        <v>Manager who explains what is expected, sets a goal and helps achieve it</v>
      </c>
      <c r="P700" s="1" t="str">
        <f ca="1">IFERROR(__xludf.DUMMYFUNCTION("""COMPUTED_VALUE"""),"Work alone, Work with 2 to 3 people in my team, Work with more than 10 people in my team")</f>
        <v>Work alone, Work with 2 to 3 people in my team, Work with more than 10 people in my team</v>
      </c>
      <c r="Q700" s="1" t="str">
        <f ca="1">IFERROR(__xludf.DUMMYFUNCTION("""COMPUTED_VALUE"""),"Yes, I Understand this is gonna happen everywhere")</f>
        <v>Yes, I Understand this is gonna happen everywhere</v>
      </c>
      <c r="R700" s="1" t="str">
        <f ca="1">IFERROR(__xludf.DUMMYFUNCTION("""COMPUTED_VALUE"""),"This will be hard to do, but if it is the right company I would try")</f>
        <v>This will be hard to do, but if it is the right company I would try</v>
      </c>
      <c r="S700" s="1"/>
    </row>
    <row r="701" spans="1:19" ht="12.5" x14ac:dyDescent="0.25">
      <c r="A701" s="2">
        <f ca="1">IFERROR(__xludf.DUMMYFUNCTION("""COMPUTED_VALUE"""),45022.0116214004)</f>
        <v>45022.011621400401</v>
      </c>
      <c r="B701" s="1" t="str">
        <f ca="1">IFERROR(__xludf.DUMMYFUNCTION("""COMPUTED_VALUE"""),"India")</f>
        <v>India</v>
      </c>
      <c r="C701" s="1">
        <f ca="1">IFERROR(__xludf.DUMMYFUNCTION("""COMPUTED_VALUE"""),305001)</f>
        <v>305001</v>
      </c>
      <c r="D701" s="1" t="str">
        <f ca="1">IFERROR(__xludf.DUMMYFUNCTION("""COMPUTED_VALUE"""),"Female")</f>
        <v>Female</v>
      </c>
      <c r="E701" s="1" t="str">
        <f ca="1">IFERROR(__xludf.DUMMYFUNCTION("""COMPUTED_VALUE"""),"My Parents")</f>
        <v>My Parents</v>
      </c>
      <c r="F701" s="1" t="str">
        <f ca="1">IFERROR(__xludf.DUMMYFUNCTION("""COMPUTED_VALUE"""),"No, But if someone could bare the cost I will")</f>
        <v>No, But if someone could bare the cost I will</v>
      </c>
      <c r="G701" s="1" t="str">
        <f ca="1">IFERROR(__xludf.DUMMYFUNCTION("""COMPUTED_VALUE"""),"This will be hard to do, but if it is the right company I would try")</f>
        <v>This will be hard to do, but if it is the right company I would try</v>
      </c>
      <c r="H701" s="1" t="str">
        <f ca="1">IFERROR(__xludf.DUMMYFUNCTION("""COMPUTED_VALUE"""),"Yes")</f>
        <v>Yes</v>
      </c>
      <c r="I701" s="1" t="str">
        <f ca="1">IFERROR(__xludf.DUMMYFUNCTION("""COMPUTED_VALUE"""),"Will NOT work for them")</f>
        <v>Will NOT work for them</v>
      </c>
      <c r="J701" s="1">
        <f ca="1">IFERROR(__xludf.DUMMYFUNCTION("""COMPUTED_VALUE"""),6)</f>
        <v>6</v>
      </c>
      <c r="K701" s="1" t="str">
        <f ca="1">IFERROR(__xludf.DUMMYFUNCTION("""COMPUTED_VALUE"""),"Hybrid Working Environment with less than 3 days a month at office")</f>
        <v>Hybrid Working Environment with less than 3 days a month at office</v>
      </c>
      <c r="L7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01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701" s="1" t="str">
        <f ca="1">IFERROR(__xludf.DUMMYFUNCTION("""COMPUTED_VALUE"""),"Entrepreneur or Start Up, I Want to sell things/Sales, An Artificial Intelligence Specialist / Talking to Robots, Manufacturing / Oil and Gas/ Construction / Hard Physical Work related")</f>
        <v>Entrepreneur or Start Up, I Want to sell things/Sales, An Artificial Intelligence Specialist / Talking to Robots, Manufacturing / Oil and Gas/ Construction / Hard Physical Work related</v>
      </c>
      <c r="O701" s="1" t="str">
        <f ca="1">IFERROR(__xludf.DUMMYFUNCTION("""COMPUTED_VALUE"""),"Manager who explains what is expected, sets a goal and helps achieve it")</f>
        <v>Manager who explains what is expected, sets a goal and helps achieve it</v>
      </c>
      <c r="P701" s="1" t="str">
        <f ca="1">IFERROR(__xludf.DUMMYFUNCTION("""COMPUTED_VALUE"""),"Work with 7 to 10 or more people in my team")</f>
        <v>Work with 7 to 10 or more people in my team</v>
      </c>
      <c r="Q701" s="1" t="str">
        <f ca="1">IFERROR(__xludf.DUMMYFUNCTION("""COMPUTED_VALUE"""),"No")</f>
        <v>No</v>
      </c>
      <c r="R701" s="1" t="str">
        <f ca="1">IFERROR(__xludf.DUMMYFUNCTION("""COMPUTED_VALUE"""),"No way")</f>
        <v>No way</v>
      </c>
      <c r="S701" s="1"/>
    </row>
    <row r="702" spans="1:19" ht="12.5" x14ac:dyDescent="0.25">
      <c r="A702" s="2">
        <f ca="1">IFERROR(__xludf.DUMMYFUNCTION("""COMPUTED_VALUE"""),45022.02115478)</f>
        <v>45022.021154779999</v>
      </c>
      <c r="B702" s="1" t="str">
        <f ca="1">IFERROR(__xludf.DUMMYFUNCTION("""COMPUTED_VALUE"""),"India")</f>
        <v>India</v>
      </c>
      <c r="C702" s="1">
        <f ca="1">IFERROR(__xludf.DUMMYFUNCTION("""COMPUTED_VALUE"""),382418)</f>
        <v>382418</v>
      </c>
      <c r="D702" s="1" t="str">
        <f ca="1">IFERROR(__xludf.DUMMYFUNCTION("""COMPUTED_VALUE"""),"Female")</f>
        <v>Female</v>
      </c>
      <c r="E702" s="1" t="str">
        <f ca="1">IFERROR(__xludf.DUMMYFUNCTION("""COMPUTED_VALUE"""),"My Parents")</f>
        <v>My Parents</v>
      </c>
      <c r="F702" s="1" t="str">
        <f ca="1">IFERROR(__xludf.DUMMYFUNCTION("""COMPUTED_VALUE"""),"No I would not be pursuing Higher Education outside of India")</f>
        <v>No I would not be pursuing Higher Education outside of India</v>
      </c>
      <c r="G702" s="1" t="str">
        <f ca="1">IFERROR(__xludf.DUMMYFUNCTION("""COMPUTED_VALUE"""),"This will be hard to do, but if it is the right company I would try")</f>
        <v>This will be hard to do, but if it is the right company I would try</v>
      </c>
      <c r="H702" s="1" t="str">
        <f ca="1">IFERROR(__xludf.DUMMYFUNCTION("""COMPUTED_VALUE"""),"No")</f>
        <v>No</v>
      </c>
      <c r="I702" s="1" t="str">
        <f ca="1">IFERROR(__xludf.DUMMYFUNCTION("""COMPUTED_VALUE"""),"Will NOT work for them")</f>
        <v>Will NOT work for them</v>
      </c>
      <c r="J702" s="1">
        <f ca="1">IFERROR(__xludf.DUMMYFUNCTION("""COMPUTED_VALUE"""),1)</f>
        <v>1</v>
      </c>
      <c r="K702" s="1" t="str">
        <f ca="1">IFERROR(__xludf.DUMMYFUNCTION("""COMPUTED_VALUE"""),"Fully Remote with Options to travel as and when needed")</f>
        <v>Fully Remote with Options to travel as and when needed</v>
      </c>
      <c r="L7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0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02" s="1" t="str">
        <f ca="1">IFERROR(__xludf.DUMMYFUNCTION("""COMPUTED_VALUE"""),"Business Operations in any organization, Build and develop a Team, Design and Develop amazing software, Entrepreneur or Start Up")</f>
        <v>Business Operations in any organization, Build and develop a Team, Design and Develop amazing software, Entrepreneur or Start Up</v>
      </c>
      <c r="O702" s="1" t="str">
        <f ca="1">IFERROR(__xludf.DUMMYFUNCTION("""COMPUTED_VALUE"""),"Manager who explains what is expected, sets a goal and helps achieve it")</f>
        <v>Manager who explains what is expected, sets a goal and helps achieve it</v>
      </c>
      <c r="P702" s="1" t="str">
        <f ca="1">IFERROR(__xludf.DUMMYFUNCTION("""COMPUTED_VALUE"""),"Work with 2 to 3 people in my team, Work with 5 to 6 people in my team")</f>
        <v>Work with 2 to 3 people in my team, Work with 5 to 6 people in my team</v>
      </c>
      <c r="Q702" s="1" t="str">
        <f ca="1">IFERROR(__xludf.DUMMYFUNCTION("""COMPUTED_VALUE"""),"No")</f>
        <v>No</v>
      </c>
      <c r="R702" s="1" t="str">
        <f ca="1">IFERROR(__xludf.DUMMYFUNCTION("""COMPUTED_VALUE"""),"No way")</f>
        <v>No way</v>
      </c>
      <c r="S702" s="1"/>
    </row>
    <row r="703" spans="1:19" ht="12.5" x14ac:dyDescent="0.25">
      <c r="A703" s="2">
        <f ca="1">IFERROR(__xludf.DUMMYFUNCTION("""COMPUTED_VALUE"""),45022.0321581365)</f>
        <v>45022.032158136499</v>
      </c>
      <c r="B703" s="1" t="str">
        <f ca="1">IFERROR(__xludf.DUMMYFUNCTION("""COMPUTED_VALUE"""),"India")</f>
        <v>India</v>
      </c>
      <c r="C703" s="1">
        <f ca="1">IFERROR(__xludf.DUMMYFUNCTION("""COMPUTED_VALUE"""),132001)</f>
        <v>132001</v>
      </c>
      <c r="D703" s="1" t="str">
        <f ca="1">IFERROR(__xludf.DUMMYFUNCTION("""COMPUTED_VALUE"""),"Female")</f>
        <v>Female</v>
      </c>
      <c r="E703" s="1" t="str">
        <f ca="1">IFERROR(__xludf.DUMMYFUNCTION("""COMPUTED_VALUE"""),"My Parents")</f>
        <v>My Parents</v>
      </c>
      <c r="F703" s="1" t="str">
        <f ca="1">IFERROR(__xludf.DUMMYFUNCTION("""COMPUTED_VALUE"""),"Yes, I will earn and do that")</f>
        <v>Yes, I will earn and do that</v>
      </c>
      <c r="G703" s="1" t="str">
        <f ca="1">IFERROR(__xludf.DUMMYFUNCTION("""COMPUTED_VALUE"""),"This will be hard to do, but if it is the right company I would try")</f>
        <v>This will be hard to do, but if it is the right company I would try</v>
      </c>
      <c r="H703" s="1" t="str">
        <f ca="1">IFERROR(__xludf.DUMMYFUNCTION("""COMPUTED_VALUE"""),"No")</f>
        <v>No</v>
      </c>
      <c r="I703" s="1" t="str">
        <f ca="1">IFERROR(__xludf.DUMMYFUNCTION("""COMPUTED_VALUE"""),"Will NOT work for them")</f>
        <v>Will NOT work for them</v>
      </c>
      <c r="J703" s="1">
        <f ca="1">IFERROR(__xludf.DUMMYFUNCTION("""COMPUTED_VALUE"""),5)</f>
        <v>5</v>
      </c>
      <c r="K703" s="1" t="str">
        <f ca="1">IFERROR(__xludf.DUMMYFUNCTION("""COMPUTED_VALUE"""),"Hybrid Working Environment with less than 3 days a month at office")</f>
        <v>Hybrid Working Environment with less than 3 days a month at office</v>
      </c>
      <c r="L7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0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03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703" s="1" t="str">
        <f ca="1">IFERROR(__xludf.DUMMYFUNCTION("""COMPUTED_VALUE"""),"Manager who explains what is expected, sets a goal and helps achieve it")</f>
        <v>Manager who explains what is expected, sets a goal and helps achieve it</v>
      </c>
      <c r="P703" s="1" t="str">
        <f ca="1">IFERROR(__xludf.DUMMYFUNCTION("""COMPUTED_VALUE"""),"Work with more than 10 people in my team")</f>
        <v>Work with more than 10 people in my team</v>
      </c>
      <c r="Q703" s="1" t="str">
        <f ca="1">IFERROR(__xludf.DUMMYFUNCTION("""COMPUTED_VALUE"""),"Yes, I Understand this is gonna happen everywhere")</f>
        <v>Yes, I Understand this is gonna happen everywhere</v>
      </c>
      <c r="R703" s="1" t="str">
        <f ca="1">IFERROR(__xludf.DUMMYFUNCTION("""COMPUTED_VALUE"""),"No way")</f>
        <v>No way</v>
      </c>
      <c r="S703" s="1"/>
    </row>
    <row r="704" spans="1:19" ht="12.5" x14ac:dyDescent="0.25">
      <c r="A704" s="2">
        <f ca="1">IFERROR(__xludf.DUMMYFUNCTION("""COMPUTED_VALUE"""),45022.066252662)</f>
        <v>45022.066252662</v>
      </c>
      <c r="B704" s="1" t="str">
        <f ca="1">IFERROR(__xludf.DUMMYFUNCTION("""COMPUTED_VALUE"""),"Others")</f>
        <v>Others</v>
      </c>
      <c r="C704" s="1" t="str">
        <f ca="1">IFERROR(__xludf.DUMMYFUNCTION("""COMPUTED_VALUE"""),"01-923")</f>
        <v>01-923</v>
      </c>
      <c r="D704" s="1" t="str">
        <f ca="1">IFERROR(__xludf.DUMMYFUNCTION("""COMPUTED_VALUE"""),"Female")</f>
        <v>Female</v>
      </c>
      <c r="E704" s="1" t="str">
        <f ca="1">IFERROR(__xludf.DUMMYFUNCTION("""COMPUTED_VALUE"""),"People who have changed the world for better")</f>
        <v>People who have changed the world for better</v>
      </c>
      <c r="F704" s="1" t="str">
        <f ca="1">IFERROR(__xludf.DUMMYFUNCTION("""COMPUTED_VALUE"""),"Yes, I will earn and do that")</f>
        <v>Yes, I will earn and do that</v>
      </c>
      <c r="G704" s="1" t="str">
        <f ca="1">IFERROR(__xludf.DUMMYFUNCTION("""COMPUTED_VALUE"""),"This will be hard to do, but if it is the right company I would try")</f>
        <v>This will be hard to do, but if it is the right company I would try</v>
      </c>
      <c r="H704" s="1" t="str">
        <f ca="1">IFERROR(__xludf.DUMMYFUNCTION("""COMPUTED_VALUE"""),"Yes")</f>
        <v>Yes</v>
      </c>
      <c r="I704" s="1" t="str">
        <f ca="1">IFERROR(__xludf.DUMMYFUNCTION("""COMPUTED_VALUE"""),"Will NOT work for them")</f>
        <v>Will NOT work for them</v>
      </c>
      <c r="J704" s="1">
        <f ca="1">IFERROR(__xludf.DUMMYFUNCTION("""COMPUTED_VALUE"""),7)</f>
        <v>7</v>
      </c>
      <c r="K704" s="1" t="str">
        <f ca="1">IFERROR(__xludf.DUMMYFUNCTION("""COMPUTED_VALUE"""),"Fully Remote with No option to visit offices")</f>
        <v>Fully Remote with No option to visit offices</v>
      </c>
      <c r="L7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04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704" s="1" t="str">
        <f ca="1">IFERROR(__xludf.DUMMYFUNCTION("""COMPUTED_VALUE"""),"Design and Creative strategy in any company, Manage and drive End-to-End Projects or Products, Work as a freelancer and do my thing my way, An Artificial Intelligence Specialist / Talking to Robots")</f>
        <v>Design and Creative strategy in any company, Manage and drive End-to-End Projects or Products, Work as a freelancer and do my thing my way, An Artificial Intelligence Specialist / Talking to Robots</v>
      </c>
      <c r="O704" s="1" t="str">
        <f ca="1">IFERROR(__xludf.DUMMYFUNCTION("""COMPUTED_VALUE"""),"Manager who explains what is expected, sets a goal and helps achieve it")</f>
        <v>Manager who explains what is expected, sets a goal and helps achieve it</v>
      </c>
      <c r="P704" s="1" t="str">
        <f ca="1">IFERROR(__xludf.DUMMYFUNCTION("""COMPUTED_VALUE"""),"Work alone")</f>
        <v>Work alone</v>
      </c>
      <c r="Q704" s="1" t="str">
        <f ca="1">IFERROR(__xludf.DUMMYFUNCTION("""COMPUTED_VALUE"""),"Yes, I Understand this is gonna happen everywhere")</f>
        <v>Yes, I Understand this is gonna happen everywhere</v>
      </c>
      <c r="R704" s="1" t="str">
        <f ca="1">IFERROR(__xludf.DUMMYFUNCTION("""COMPUTED_VALUE"""),"This will be hard to do, but if it is the right company I would try")</f>
        <v>This will be hard to do, but if it is the right company I would try</v>
      </c>
      <c r="S704" s="1"/>
    </row>
    <row r="705" spans="1:19" ht="12.5" x14ac:dyDescent="0.25">
      <c r="A705" s="2">
        <f ca="1">IFERROR(__xludf.DUMMYFUNCTION("""COMPUTED_VALUE"""),45022.0782620023)</f>
        <v>45022.078262002302</v>
      </c>
      <c r="B705" s="1" t="str">
        <f ca="1">IFERROR(__xludf.DUMMYFUNCTION("""COMPUTED_VALUE"""),"India")</f>
        <v>India</v>
      </c>
      <c r="C705" s="1">
        <f ca="1">IFERROR(__xludf.DUMMYFUNCTION("""COMPUTED_VALUE"""),670562)</f>
        <v>670562</v>
      </c>
      <c r="D705" s="1" t="str">
        <f ca="1">IFERROR(__xludf.DUMMYFUNCTION("""COMPUTED_VALUE"""),"Male")</f>
        <v>Male</v>
      </c>
      <c r="E705" s="1" t="str">
        <f ca="1">IFERROR(__xludf.DUMMYFUNCTION("""COMPUTED_VALUE"""),"People who have changed the world for better")</f>
        <v>People who have changed the world for better</v>
      </c>
      <c r="F705" s="1" t="str">
        <f ca="1">IFERROR(__xludf.DUMMYFUNCTION("""COMPUTED_VALUE"""),"Yes, I will earn and do that")</f>
        <v>Yes, I will earn and do that</v>
      </c>
      <c r="G705" s="1" t="str">
        <f ca="1">IFERROR(__xludf.DUMMYFUNCTION("""COMPUTED_VALUE"""),"This will be hard to do, but if it is the right company I would try")</f>
        <v>This will be hard to do, but if it is the right company I would try</v>
      </c>
      <c r="H705" s="1" t="str">
        <f ca="1">IFERROR(__xludf.DUMMYFUNCTION("""COMPUTED_VALUE"""),"No")</f>
        <v>No</v>
      </c>
      <c r="I705" s="1" t="str">
        <f ca="1">IFERROR(__xludf.DUMMYFUNCTION("""COMPUTED_VALUE"""),"Will work for them")</f>
        <v>Will work for them</v>
      </c>
      <c r="J705" s="1">
        <f ca="1">IFERROR(__xludf.DUMMYFUNCTION("""COMPUTED_VALUE"""),8)</f>
        <v>8</v>
      </c>
      <c r="K705" s="1" t="str">
        <f ca="1">IFERROR(__xludf.DUMMYFUNCTION("""COMPUTED_VALUE"""),"Every Day Office Environment")</f>
        <v>Every Day Office Environment</v>
      </c>
      <c r="L7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05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705" s="1" t="str">
        <f ca="1">IFERROR(__xludf.DUMMYFUNCTION("""COMPUTED_VALUE"""),"Design and Creative strategy in any company, Teaching in any of the institutes/colleges/online or offline, Build and develop a Team, Entrepreneur or Start Up")</f>
        <v>Design and Creative strategy in any company, Teaching in any of the institutes/colleges/online or offline, Build and develop a Team, Entrepreneur or Start Up</v>
      </c>
      <c r="O705" s="1" t="str">
        <f ca="1">IFERROR(__xludf.DUMMYFUNCTION("""COMPUTED_VALUE"""),"Manager who explains what is expected, sets a goal and helps achieve it")</f>
        <v>Manager who explains what is expected, sets a goal and helps achieve it</v>
      </c>
      <c r="P705" s="1" t="str">
        <f ca="1">IFERROR(__xludf.DUMMYFUNCTION("""COMPUTED_VALUE"""),"Work with 2 to 3 people in my team")</f>
        <v>Work with 2 to 3 people in my team</v>
      </c>
      <c r="Q705" s="1" t="str">
        <f ca="1">IFERROR(__xludf.DUMMYFUNCTION("""COMPUTED_VALUE"""),"Yes, I Understand this is gonna happen everywhere")</f>
        <v>Yes, I Understand this is gonna happen everywhere</v>
      </c>
      <c r="R705" s="1" t="str">
        <f ca="1">IFERROR(__xludf.DUMMYFUNCTION("""COMPUTED_VALUE"""),"This will be hard to do, but if it is the right company I would try")</f>
        <v>This will be hard to do, but if it is the right company I would try</v>
      </c>
      <c r="S705" s="1"/>
    </row>
    <row r="706" spans="1:19" ht="12.5" x14ac:dyDescent="0.25">
      <c r="A706" s="2">
        <f ca="1">IFERROR(__xludf.DUMMYFUNCTION("""COMPUTED_VALUE"""),45022.108504618)</f>
        <v>45022.108504618001</v>
      </c>
      <c r="B706" s="1" t="str">
        <f ca="1">IFERROR(__xludf.DUMMYFUNCTION("""COMPUTED_VALUE"""),"India")</f>
        <v>India</v>
      </c>
      <c r="C706" s="1">
        <f ca="1">IFERROR(__xludf.DUMMYFUNCTION("""COMPUTED_VALUE"""),560094)</f>
        <v>560094</v>
      </c>
      <c r="D706" s="1" t="str">
        <f ca="1">IFERROR(__xludf.DUMMYFUNCTION("""COMPUTED_VALUE"""),"Male")</f>
        <v>Male</v>
      </c>
      <c r="E706" s="1" t="str">
        <f ca="1">IFERROR(__xludf.DUMMYFUNCTION("""COMPUTED_VALUE"""),"People who have changed the world for better")</f>
        <v>People who have changed the world for better</v>
      </c>
      <c r="F706" s="1" t="str">
        <f ca="1">IFERROR(__xludf.DUMMYFUNCTION("""COMPUTED_VALUE"""),"Yes, I will earn and do that")</f>
        <v>Yes, I will earn and do that</v>
      </c>
      <c r="G706" s="1" t="str">
        <f ca="1">IFERROR(__xludf.DUMMYFUNCTION("""COMPUTED_VALUE"""),"Will work for 3 years or more")</f>
        <v>Will work for 3 years or more</v>
      </c>
      <c r="H706" s="1" t="str">
        <f ca="1">IFERROR(__xludf.DUMMYFUNCTION("""COMPUTED_VALUE"""),"No")</f>
        <v>No</v>
      </c>
      <c r="I706" s="1" t="str">
        <f ca="1">IFERROR(__xludf.DUMMYFUNCTION("""COMPUTED_VALUE"""),"Will NOT work for them")</f>
        <v>Will NOT work for them</v>
      </c>
      <c r="J706" s="1">
        <f ca="1">IFERROR(__xludf.DUMMYFUNCTION("""COMPUTED_VALUE"""),5)</f>
        <v>5</v>
      </c>
      <c r="K706" s="1" t="str">
        <f ca="1">IFERROR(__xludf.DUMMYFUNCTION("""COMPUTED_VALUE"""),"Fully Remote with Options to travel as and when needed")</f>
        <v>Fully Remote with Options to travel as and when needed</v>
      </c>
      <c r="L7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06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706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706" s="1" t="str">
        <f ca="1">IFERROR(__xludf.DUMMYFUNCTION("""COMPUTED_VALUE"""),"Manager who explains what is expected, sets a goal and helps achieve it")</f>
        <v>Manager who explains what is expected, sets a goal and helps achieve it</v>
      </c>
      <c r="P706" s="1" t="str">
        <f ca="1">IFERROR(__xludf.DUMMYFUNCTION("""COMPUTED_VALUE"""),"Work alone, Work with 2 to 3 people in my team")</f>
        <v>Work alone, Work with 2 to 3 people in my team</v>
      </c>
      <c r="Q706" s="1" t="str">
        <f ca="1">IFERROR(__xludf.DUMMYFUNCTION("""COMPUTED_VALUE"""),"I have NO other choice")</f>
        <v>I have NO other choice</v>
      </c>
      <c r="R706" s="1" t="str">
        <f ca="1">IFERROR(__xludf.DUMMYFUNCTION("""COMPUTED_VALUE"""),"This will be hard to do, but if it is the right company I would try")</f>
        <v>This will be hard to do, but if it is the right company I would try</v>
      </c>
      <c r="S706" s="1"/>
    </row>
    <row r="707" spans="1:19" ht="12.5" x14ac:dyDescent="0.25">
      <c r="A707" s="2">
        <f ca="1">IFERROR(__xludf.DUMMYFUNCTION("""COMPUTED_VALUE"""),45022.1750761342)</f>
        <v>45022.175076134197</v>
      </c>
      <c r="B707" s="1" t="str">
        <f ca="1">IFERROR(__xludf.DUMMYFUNCTION("""COMPUTED_VALUE"""),"India")</f>
        <v>India</v>
      </c>
      <c r="C707" s="1">
        <f ca="1">IFERROR(__xludf.DUMMYFUNCTION("""COMPUTED_VALUE"""),560050)</f>
        <v>560050</v>
      </c>
      <c r="D707" s="1" t="str">
        <f ca="1">IFERROR(__xludf.DUMMYFUNCTION("""COMPUTED_VALUE"""),"Male")</f>
        <v>Male</v>
      </c>
      <c r="E707" s="1" t="str">
        <f ca="1">IFERROR(__xludf.DUMMYFUNCTION("""COMPUTED_VALUE"""),"People from my circle, but not family members")</f>
        <v>People from my circle, but not family members</v>
      </c>
      <c r="F707" s="1" t="str">
        <f ca="1">IFERROR(__xludf.DUMMYFUNCTION("""COMPUTED_VALUE"""),"Yes, I will earn and do that")</f>
        <v>Yes, I will earn and do that</v>
      </c>
      <c r="G707" s="1" t="str">
        <f ca="1">IFERROR(__xludf.DUMMYFUNCTION("""COMPUTED_VALUE"""),"Will work for 3 years or more")</f>
        <v>Will work for 3 years or more</v>
      </c>
      <c r="H707" s="1" t="str">
        <f ca="1">IFERROR(__xludf.DUMMYFUNCTION("""COMPUTED_VALUE"""),"Yes")</f>
        <v>Yes</v>
      </c>
      <c r="I707" s="1" t="str">
        <f ca="1">IFERROR(__xludf.DUMMYFUNCTION("""COMPUTED_VALUE"""),"Will work for them")</f>
        <v>Will work for them</v>
      </c>
      <c r="J707" s="1">
        <f ca="1">IFERROR(__xludf.DUMMYFUNCTION("""COMPUTED_VALUE"""),10)</f>
        <v>10</v>
      </c>
      <c r="K707" s="1" t="str">
        <f ca="1">IFERROR(__xludf.DUMMYFUNCTION("""COMPUTED_VALUE"""),"Every Day Office Environment")</f>
        <v>Every Day Office Environment</v>
      </c>
      <c r="L7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07" s="1" t="str">
        <f ca="1">IFERROR(__xludf.DUMMYFUNCTION("""COMPUTED_VALUE"""),"Build and develop a Team, Design and Develop amazing software, Look deeply into Data and generate insights, An Artificial Intelligence Specialist / Talking to Robots")</f>
        <v>Build and develop a Team, Design and Develop amazing software, Look deeply into Data and generate insights, An Artificial Intelligence Specialist / Talking to Robots</v>
      </c>
      <c r="O707" s="1" t="str">
        <f ca="1">IFERROR(__xludf.DUMMYFUNCTION("""COMPUTED_VALUE"""),"Manager who explains what is expected, sets a goal and helps achieve it")</f>
        <v>Manager who explains what is expected, sets a goal and helps achieve it</v>
      </c>
      <c r="P707" s="1" t="str">
        <f ca="1">IFERROR(__xludf.DUMMYFUNCTION("""COMPUTED_VALUE"""),"Work with 5 to 6 people in my team")</f>
        <v>Work with 5 to 6 people in my team</v>
      </c>
      <c r="Q707" s="1" t="str">
        <f ca="1">IFERROR(__xludf.DUMMYFUNCTION("""COMPUTED_VALUE"""),"No")</f>
        <v>No</v>
      </c>
      <c r="R707" s="1" t="str">
        <f ca="1">IFERROR(__xludf.DUMMYFUNCTION("""COMPUTED_VALUE"""),"This will be hard to do, but if it is the right company I would try")</f>
        <v>This will be hard to do, but if it is the right company I would try</v>
      </c>
      <c r="S707" s="1"/>
    </row>
    <row r="708" spans="1:19" ht="12.5" x14ac:dyDescent="0.25">
      <c r="A708" s="2">
        <f ca="1">IFERROR(__xludf.DUMMYFUNCTION("""COMPUTED_VALUE"""),45022.2340270254)</f>
        <v>45022.234027025399</v>
      </c>
      <c r="B708" s="1" t="str">
        <f ca="1">IFERROR(__xludf.DUMMYFUNCTION("""COMPUTED_VALUE"""),"India")</f>
        <v>India</v>
      </c>
      <c r="C708" s="1">
        <f ca="1">IFERROR(__xludf.DUMMYFUNCTION("""COMPUTED_VALUE"""),577127)</f>
        <v>577127</v>
      </c>
      <c r="D708" s="1" t="str">
        <f ca="1">IFERROR(__xludf.DUMMYFUNCTION("""COMPUTED_VALUE"""),"Female")</f>
        <v>Female</v>
      </c>
      <c r="E708" s="1" t="str">
        <f ca="1">IFERROR(__xludf.DUMMYFUNCTION("""COMPUTED_VALUE"""),"Social Media like LinkedIn")</f>
        <v>Social Media like LinkedIn</v>
      </c>
      <c r="F708" s="1" t="str">
        <f ca="1">IFERROR(__xludf.DUMMYFUNCTION("""COMPUTED_VALUE"""),"No, But if someone could bare the cost I will")</f>
        <v>No, But if someone could bare the cost I will</v>
      </c>
      <c r="G708" s="1" t="str">
        <f ca="1">IFERROR(__xludf.DUMMYFUNCTION("""COMPUTED_VALUE"""),"Will work for 3 years or more")</f>
        <v>Will work for 3 years or more</v>
      </c>
      <c r="H708" s="1" t="str">
        <f ca="1">IFERROR(__xludf.DUMMYFUNCTION("""COMPUTED_VALUE"""),"No")</f>
        <v>No</v>
      </c>
      <c r="I708" s="1" t="str">
        <f ca="1">IFERROR(__xludf.DUMMYFUNCTION("""COMPUTED_VALUE"""),"Will NOT work for them")</f>
        <v>Will NOT work for them</v>
      </c>
      <c r="J708" s="1">
        <f ca="1">IFERROR(__xludf.DUMMYFUNCTION("""COMPUTED_VALUE"""),1)</f>
        <v>1</v>
      </c>
      <c r="K708" s="1" t="str">
        <f ca="1">IFERROR(__xludf.DUMMYFUNCTION("""COMPUTED_VALUE"""),"Fully Remote with Options to travel as and when needed")</f>
        <v>Fully Remote with Options to travel as and when needed</v>
      </c>
      <c r="L708" s="1" t="str">
        <f ca="1">IFERROR(__xludf.DUMMYFUNCTION("""COMPUTED_VALUE"""),"Employer who appreciates learning and enables that environment")</f>
        <v>Employer who appreciates learning and enables that environment</v>
      </c>
      <c r="M708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708" s="1" t="str">
        <f ca="1">IFERROR(__xludf.DUMMYFUNCTION("""COMPUTED_VALUE"""),"Design and Creative strategy in any company, Design and Develop amazing software, Work as a freelancer and do my thing my way, I Want to sell things/Sales")</f>
        <v>Design and Creative strategy in any company, Design and Develop amazing software, Work as a freelancer and do my thing my way, I Want to sell things/Sales</v>
      </c>
      <c r="O708" s="1" t="str">
        <f ca="1">IFERROR(__xludf.DUMMYFUNCTION("""COMPUTED_VALUE"""),"Manager who sets goal and helps me achieve it")</f>
        <v>Manager who sets goal and helps me achieve it</v>
      </c>
      <c r="P708" s="1" t="str">
        <f ca="1">IFERROR(__xludf.DUMMYFUNCTION("""COMPUTED_VALUE"""),"Work alone")</f>
        <v>Work alone</v>
      </c>
      <c r="Q708" s="1" t="str">
        <f ca="1">IFERROR(__xludf.DUMMYFUNCTION("""COMPUTED_VALUE"""),"Yes, I Understand this is gonna happen everywhere")</f>
        <v>Yes, I Understand this is gonna happen everywhere</v>
      </c>
      <c r="R708" s="1" t="str">
        <f ca="1">IFERROR(__xludf.DUMMYFUNCTION("""COMPUTED_VALUE"""),"Will work for 7 years or more")</f>
        <v>Will work for 7 years or more</v>
      </c>
      <c r="S708" s="1"/>
    </row>
    <row r="709" spans="1:19" ht="12.5" x14ac:dyDescent="0.25">
      <c r="A709" s="2">
        <f ca="1">IFERROR(__xludf.DUMMYFUNCTION("""COMPUTED_VALUE"""),45022.2463726967)</f>
        <v>45022.246372696703</v>
      </c>
      <c r="B709" s="1" t="str">
        <f ca="1">IFERROR(__xludf.DUMMYFUNCTION("""COMPUTED_VALUE"""),"India")</f>
        <v>India</v>
      </c>
      <c r="C709" s="1">
        <f ca="1">IFERROR(__xludf.DUMMYFUNCTION("""COMPUTED_VALUE"""),151001)</f>
        <v>151001</v>
      </c>
      <c r="D709" s="1" t="str">
        <f ca="1">IFERROR(__xludf.DUMMYFUNCTION("""COMPUTED_VALUE"""),"Male")</f>
        <v>Male</v>
      </c>
      <c r="E709" s="1" t="str">
        <f ca="1">IFERROR(__xludf.DUMMYFUNCTION("""COMPUTED_VALUE"""),"Influencers who had successful careers")</f>
        <v>Influencers who had successful careers</v>
      </c>
      <c r="F709" s="1" t="str">
        <f ca="1">IFERROR(__xludf.DUMMYFUNCTION("""COMPUTED_VALUE"""),"Yes, I will earn and do that")</f>
        <v>Yes, I will earn and do that</v>
      </c>
      <c r="G709" s="1" t="str">
        <f ca="1">IFERROR(__xludf.DUMMYFUNCTION("""COMPUTED_VALUE"""),"Will work for 3 years or more")</f>
        <v>Will work for 3 years or more</v>
      </c>
      <c r="H709" s="1" t="str">
        <f ca="1">IFERROR(__xludf.DUMMYFUNCTION("""COMPUTED_VALUE"""),"No")</f>
        <v>No</v>
      </c>
      <c r="I709" s="1" t="str">
        <f ca="1">IFERROR(__xludf.DUMMYFUNCTION("""COMPUTED_VALUE"""),"Will work for them")</f>
        <v>Will work for them</v>
      </c>
      <c r="J709" s="1">
        <f ca="1">IFERROR(__xludf.DUMMYFUNCTION("""COMPUTED_VALUE"""),6)</f>
        <v>6</v>
      </c>
      <c r="K709" s="1" t="str">
        <f ca="1">IFERROR(__xludf.DUMMYFUNCTION("""COMPUTED_VALUE"""),"Hybrid Working Environment with more than 15 days a month at office")</f>
        <v>Hybrid Working Environment with more than 15 days a month at office</v>
      </c>
      <c r="L7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0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09" s="1" t="str">
        <f ca="1">IFERROR(__xludf.DUMMYFUNCTION("""COMPUTED_VALUE"""),"Teaching in any of the institutes/colleges/online or offline, Manage and drive End-to-End Projects or Products, Look deeply into Data and generate insights, Work as a freelancer and do my thing my way")</f>
        <v>Teaching in any of the institutes/colleges/online or offline, Manage and drive End-to-End Projects or Products, Look deeply into Data and generate insights, Work as a freelancer and do my thing my way</v>
      </c>
      <c r="O709" s="1" t="str">
        <f ca="1">IFERROR(__xludf.DUMMYFUNCTION("""COMPUTED_VALUE"""),"Manager who explains what is expected, sets a goal and helps achieve it")</f>
        <v>Manager who explains what is expected, sets a goal and helps achieve it</v>
      </c>
      <c r="P709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709" s="1" t="str">
        <f ca="1">IFERROR(__xludf.DUMMYFUNCTION("""COMPUTED_VALUE"""),"Yes, I Understand this is gonna happen everywhere")</f>
        <v>Yes, I Understand this is gonna happen everywhere</v>
      </c>
      <c r="R709" s="1" t="str">
        <f ca="1">IFERROR(__xludf.DUMMYFUNCTION("""COMPUTED_VALUE"""),"This will be hard to do, but if it is the right company I would try")</f>
        <v>This will be hard to do, but if it is the right company I would try</v>
      </c>
      <c r="S709" s="1"/>
    </row>
    <row r="710" spans="1:19" ht="12.5" x14ac:dyDescent="0.25">
      <c r="A710" s="2">
        <f ca="1">IFERROR(__xludf.DUMMYFUNCTION("""COMPUTED_VALUE"""),45022.2503601041)</f>
        <v>45022.250360104103</v>
      </c>
      <c r="B710" s="1" t="str">
        <f ca="1">IFERROR(__xludf.DUMMYFUNCTION("""COMPUTED_VALUE"""),"Canada")</f>
        <v>Canada</v>
      </c>
      <c r="C710" s="1" t="str">
        <f ca="1">IFERROR(__xludf.DUMMYFUNCTION("""COMPUTED_VALUE"""),"N5v3c4")</f>
        <v>N5v3c4</v>
      </c>
      <c r="D710" s="1" t="str">
        <f ca="1">IFERROR(__xludf.DUMMYFUNCTION("""COMPUTED_VALUE"""),"Male")</f>
        <v>Male</v>
      </c>
      <c r="E710" s="1" t="str">
        <f ca="1">IFERROR(__xludf.DUMMYFUNCTION("""COMPUTED_VALUE"""),"Social Media like LinkedIn")</f>
        <v>Social Media like LinkedIn</v>
      </c>
      <c r="F710" s="1" t="str">
        <f ca="1">IFERROR(__xludf.DUMMYFUNCTION("""COMPUTED_VALUE"""),"Yes, I will earn and do that")</f>
        <v>Yes, I will earn and do that</v>
      </c>
      <c r="G710" s="1" t="str">
        <f ca="1">IFERROR(__xludf.DUMMYFUNCTION("""COMPUTED_VALUE"""),"Will work for 3 years or more")</f>
        <v>Will work for 3 years or more</v>
      </c>
      <c r="H710" s="1" t="str">
        <f ca="1">IFERROR(__xludf.DUMMYFUNCTION("""COMPUTED_VALUE"""),"No")</f>
        <v>No</v>
      </c>
      <c r="I710" s="1" t="str">
        <f ca="1">IFERROR(__xludf.DUMMYFUNCTION("""COMPUTED_VALUE"""),"Will NOT work for them")</f>
        <v>Will NOT work for them</v>
      </c>
      <c r="J710" s="1">
        <f ca="1">IFERROR(__xludf.DUMMYFUNCTION("""COMPUTED_VALUE"""),6)</f>
        <v>6</v>
      </c>
      <c r="K710" s="1" t="str">
        <f ca="1">IFERROR(__xludf.DUMMYFUNCTION("""COMPUTED_VALUE"""),"Fully Remote with Options to travel as and when needed")</f>
        <v>Fully Remote with Options to travel as and when needed</v>
      </c>
      <c r="L7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10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710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710" s="1" t="str">
        <f ca="1">IFERROR(__xludf.DUMMYFUNCTION("""COMPUTED_VALUE"""),"Manager who explains what is expected, sets a goal and helps achieve it")</f>
        <v>Manager who explains what is expected, sets a goal and helps achieve it</v>
      </c>
      <c r="P710" s="1" t="str">
        <f ca="1">IFERROR(__xludf.DUMMYFUNCTION("""COMPUTED_VALUE"""),"Work with 2 to 3 people in my team")</f>
        <v>Work with 2 to 3 people in my team</v>
      </c>
      <c r="Q710" s="1" t="str">
        <f ca="1">IFERROR(__xludf.DUMMYFUNCTION("""COMPUTED_VALUE"""),"I have NO other choice")</f>
        <v>I have NO other choice</v>
      </c>
      <c r="R710" s="1" t="str">
        <f ca="1">IFERROR(__xludf.DUMMYFUNCTION("""COMPUTED_VALUE"""),"This will be hard to do, but if it is the right company I would try")</f>
        <v>This will be hard to do, but if it is the right company I would try</v>
      </c>
      <c r="S710" s="1"/>
    </row>
    <row r="711" spans="1:19" ht="12.5" x14ac:dyDescent="0.25">
      <c r="A711" s="2">
        <f ca="1">IFERROR(__xludf.DUMMYFUNCTION("""COMPUTED_VALUE"""),45022.2517667592)</f>
        <v>45022.251766759196</v>
      </c>
      <c r="B711" s="1" t="str">
        <f ca="1">IFERROR(__xludf.DUMMYFUNCTION("""COMPUTED_VALUE"""),"India")</f>
        <v>India</v>
      </c>
      <c r="C711" s="1">
        <f ca="1">IFERROR(__xludf.DUMMYFUNCTION("""COMPUTED_VALUE"""),441009)</f>
        <v>441009</v>
      </c>
      <c r="D711" s="1" t="str">
        <f ca="1">IFERROR(__xludf.DUMMYFUNCTION("""COMPUTED_VALUE"""),"Male")</f>
        <v>Male</v>
      </c>
      <c r="E711" s="1" t="str">
        <f ca="1">IFERROR(__xludf.DUMMYFUNCTION("""COMPUTED_VALUE"""),"Social Media like LinkedIn")</f>
        <v>Social Media like LinkedIn</v>
      </c>
      <c r="F711" s="1" t="str">
        <f ca="1">IFERROR(__xludf.DUMMYFUNCTION("""COMPUTED_VALUE"""),"No I would not be pursuing Higher Education outside of India")</f>
        <v>No I would not be pursuing Higher Education outside of India</v>
      </c>
      <c r="G711" s="1" t="str">
        <f ca="1">IFERROR(__xludf.DUMMYFUNCTION("""COMPUTED_VALUE"""),"Will work for 3 years or more")</f>
        <v>Will work for 3 years or more</v>
      </c>
      <c r="H711" s="1" t="str">
        <f ca="1">IFERROR(__xludf.DUMMYFUNCTION("""COMPUTED_VALUE"""),"No")</f>
        <v>No</v>
      </c>
      <c r="I711" s="1" t="str">
        <f ca="1">IFERROR(__xludf.DUMMYFUNCTION("""COMPUTED_VALUE"""),"Will NOT work for them")</f>
        <v>Will NOT work for them</v>
      </c>
      <c r="J711" s="1">
        <f ca="1">IFERROR(__xludf.DUMMYFUNCTION("""COMPUTED_VALUE"""),7)</f>
        <v>7</v>
      </c>
      <c r="K711" s="1" t="str">
        <f ca="1">IFERROR(__xludf.DUMMYFUNCTION("""COMPUTED_VALUE"""),"Hybrid Working Environment with more than 15 days a month at office")</f>
        <v>Hybrid Working Environment with more than 15 days a month at office</v>
      </c>
      <c r="L7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1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11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711" s="1" t="str">
        <f ca="1">IFERROR(__xludf.DUMMYFUNCTION("""COMPUTED_VALUE"""),"Manager who explains what is expected, sets a goal and helps achieve it")</f>
        <v>Manager who explains what is expected, sets a goal and helps achieve it</v>
      </c>
      <c r="P711" s="1" t="str">
        <f ca="1">IFERROR(__xludf.DUMMYFUNCTION("""COMPUTED_VALUE"""),"Work with 5 to 6 people in my team")</f>
        <v>Work with 5 to 6 people in my team</v>
      </c>
      <c r="Q711" s="1" t="str">
        <f ca="1">IFERROR(__xludf.DUMMYFUNCTION("""COMPUTED_VALUE"""),"Yes, I Understand this is gonna happen everywhere")</f>
        <v>Yes, I Understand this is gonna happen everywhere</v>
      </c>
      <c r="R711" s="1" t="str">
        <f ca="1">IFERROR(__xludf.DUMMYFUNCTION("""COMPUTED_VALUE"""),"This will be hard to do, but if it is the right company I would try")</f>
        <v>This will be hard to do, but if it is the right company I would try</v>
      </c>
      <c r="S711" s="1"/>
    </row>
    <row r="712" spans="1:19" ht="12.5" x14ac:dyDescent="0.25">
      <c r="A712" s="2">
        <f ca="1">IFERROR(__xludf.DUMMYFUNCTION("""COMPUTED_VALUE"""),45022.2573698495)</f>
        <v>45022.257369849503</v>
      </c>
      <c r="B712" s="1" t="str">
        <f ca="1">IFERROR(__xludf.DUMMYFUNCTION("""COMPUTED_VALUE"""),"India")</f>
        <v>India</v>
      </c>
      <c r="C712" s="1">
        <f ca="1">IFERROR(__xludf.DUMMYFUNCTION("""COMPUTED_VALUE"""),201310)</f>
        <v>201310</v>
      </c>
      <c r="D712" s="1" t="str">
        <f ca="1">IFERROR(__xludf.DUMMYFUNCTION("""COMPUTED_VALUE"""),"Male")</f>
        <v>Male</v>
      </c>
      <c r="E712" s="1" t="str">
        <f ca="1">IFERROR(__xludf.DUMMYFUNCTION("""COMPUTED_VALUE"""),"People from my circle, but not family members")</f>
        <v>People from my circle, but not family members</v>
      </c>
      <c r="F712" s="1" t="str">
        <f ca="1">IFERROR(__xludf.DUMMYFUNCTION("""COMPUTED_VALUE"""),"No, But if someone could bare the cost I will")</f>
        <v>No, But if someone could bare the cost I will</v>
      </c>
      <c r="G712" s="1" t="str">
        <f ca="1">IFERROR(__xludf.DUMMYFUNCTION("""COMPUTED_VALUE"""),"This will be hard to do, but if it is the right company I would try")</f>
        <v>This will be hard to do, but if it is the right company I would try</v>
      </c>
      <c r="H712" s="1" t="str">
        <f ca="1">IFERROR(__xludf.DUMMYFUNCTION("""COMPUTED_VALUE"""),"No")</f>
        <v>No</v>
      </c>
      <c r="I712" s="1" t="str">
        <f ca="1">IFERROR(__xludf.DUMMYFUNCTION("""COMPUTED_VALUE"""),"Will NOT work for them")</f>
        <v>Will NOT work for them</v>
      </c>
      <c r="J712" s="1">
        <f ca="1">IFERROR(__xludf.DUMMYFUNCTION("""COMPUTED_VALUE"""),5)</f>
        <v>5</v>
      </c>
      <c r="K712" s="1" t="str">
        <f ca="1">IFERROR(__xludf.DUMMYFUNCTION("""COMPUTED_VALUE"""),"Hybrid Working Environment with more than 15 days a month at office")</f>
        <v>Hybrid Working Environment with more than 15 days a month at office</v>
      </c>
      <c r="L712" s="1" t="str">
        <f ca="1">IFERROR(__xludf.DUMMYFUNCTION("""COMPUTED_VALUE"""),"Employer who appreciates learning and enables that environment")</f>
        <v>Employer who appreciates learning and enables that environment</v>
      </c>
      <c r="M71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12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712" s="1" t="str">
        <f ca="1">IFERROR(__xludf.DUMMYFUNCTION("""COMPUTED_VALUE"""),"Manager who explains what is expected, sets a goal and helps achieve it")</f>
        <v>Manager who explains what is expected, sets a goal and helps achieve it</v>
      </c>
      <c r="P712" s="1" t="str">
        <f ca="1">IFERROR(__xludf.DUMMYFUNCTION("""COMPUTED_VALUE"""),"Work with 2 to 3 people in my team")</f>
        <v>Work with 2 to 3 people in my team</v>
      </c>
      <c r="Q712" s="1" t="str">
        <f ca="1">IFERROR(__xludf.DUMMYFUNCTION("""COMPUTED_VALUE"""),"Yes, I Understand this is gonna happen everywhere")</f>
        <v>Yes, I Understand this is gonna happen everywhere</v>
      </c>
      <c r="R712" s="1" t="str">
        <f ca="1">IFERROR(__xludf.DUMMYFUNCTION("""COMPUTED_VALUE"""),"This will be hard to do, but if it is the right company I would try")</f>
        <v>This will be hard to do, but if it is the right company I would try</v>
      </c>
      <c r="S712" s="1"/>
    </row>
    <row r="713" spans="1:19" ht="12.5" x14ac:dyDescent="0.25">
      <c r="A713" s="2">
        <f ca="1">IFERROR(__xludf.DUMMYFUNCTION("""COMPUTED_VALUE"""),45022.2981129398)</f>
        <v>45022.298112939803</v>
      </c>
      <c r="B713" s="1" t="str">
        <f ca="1">IFERROR(__xludf.DUMMYFUNCTION("""COMPUTED_VALUE"""),"India")</f>
        <v>India</v>
      </c>
      <c r="C713" s="1">
        <f ca="1">IFERROR(__xludf.DUMMYFUNCTION("""COMPUTED_VALUE"""),445402)</f>
        <v>445402</v>
      </c>
      <c r="D713" s="1" t="str">
        <f ca="1">IFERROR(__xludf.DUMMYFUNCTION("""COMPUTED_VALUE"""),"Male")</f>
        <v>Male</v>
      </c>
      <c r="E713" s="1" t="str">
        <f ca="1">IFERROR(__xludf.DUMMYFUNCTION("""COMPUTED_VALUE"""),"People who have changed the world for better")</f>
        <v>People who have changed the world for better</v>
      </c>
      <c r="F713" s="1" t="str">
        <f ca="1">IFERROR(__xludf.DUMMYFUNCTION("""COMPUTED_VALUE"""),"Yes, I will earn and do that")</f>
        <v>Yes, I will earn and do that</v>
      </c>
      <c r="G713" s="1" t="str">
        <f ca="1">IFERROR(__xludf.DUMMYFUNCTION("""COMPUTED_VALUE"""),"This will be hard to do, but if it is the right company I would try")</f>
        <v>This will be hard to do, but if it is the right company I would try</v>
      </c>
      <c r="H713" s="1" t="str">
        <f ca="1">IFERROR(__xludf.DUMMYFUNCTION("""COMPUTED_VALUE"""),"No")</f>
        <v>No</v>
      </c>
      <c r="I713" s="1" t="str">
        <f ca="1">IFERROR(__xludf.DUMMYFUNCTION("""COMPUTED_VALUE"""),"Will NOT work for them")</f>
        <v>Will NOT work for them</v>
      </c>
      <c r="J713" s="1">
        <f ca="1">IFERROR(__xludf.DUMMYFUNCTION("""COMPUTED_VALUE"""),10)</f>
        <v>10</v>
      </c>
      <c r="K713" s="1" t="str">
        <f ca="1">IFERROR(__xludf.DUMMYFUNCTION("""COMPUTED_VALUE"""),"Fully Remote with Options to travel as and when needed")</f>
        <v>Fully Remote with Options to travel as and when needed</v>
      </c>
      <c r="L713" s="1" t="str">
        <f ca="1">IFERROR(__xludf.DUMMYFUNCTION("""COMPUTED_VALUE"""),"Employer who appreciates learning and enables that environment")</f>
        <v>Employer who appreciates learning and enables that environment</v>
      </c>
      <c r="M713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713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713" s="1" t="str">
        <f ca="1">IFERROR(__xludf.DUMMYFUNCTION("""COMPUTED_VALUE"""),"Manager who sets unrealistic targets")</f>
        <v>Manager who sets unrealistic targets</v>
      </c>
      <c r="P713" s="1" t="str">
        <f ca="1">IFERROR(__xludf.DUMMYFUNCTION("""COMPUTED_VALUE"""),"Work with 2 to 3 people in my team")</f>
        <v>Work with 2 to 3 people in my team</v>
      </c>
      <c r="Q713" s="1" t="str">
        <f ca="1">IFERROR(__xludf.DUMMYFUNCTION("""COMPUTED_VALUE"""),"Yes, I Understand this is gonna happen everywhere")</f>
        <v>Yes, I Understand this is gonna happen everywhere</v>
      </c>
      <c r="R713" s="1" t="str">
        <f ca="1">IFERROR(__xludf.DUMMYFUNCTION("""COMPUTED_VALUE"""),"This will be hard to do, but if it is the right company I would try")</f>
        <v>This will be hard to do, but if it is the right company I would try</v>
      </c>
      <c r="S713" s="1"/>
    </row>
    <row r="714" spans="1:19" ht="12.5" x14ac:dyDescent="0.25">
      <c r="A714" s="2">
        <f ca="1">IFERROR(__xludf.DUMMYFUNCTION("""COMPUTED_VALUE"""),45022.3134262615)</f>
        <v>45022.313426261499</v>
      </c>
      <c r="B714" s="1" t="str">
        <f ca="1">IFERROR(__xludf.DUMMYFUNCTION("""COMPUTED_VALUE"""),"India")</f>
        <v>India</v>
      </c>
      <c r="C714" s="1">
        <f ca="1">IFERROR(__xludf.DUMMYFUNCTION("""COMPUTED_VALUE"""),110059)</f>
        <v>110059</v>
      </c>
      <c r="D714" s="1" t="str">
        <f ca="1">IFERROR(__xludf.DUMMYFUNCTION("""COMPUTED_VALUE"""),"Male")</f>
        <v>Male</v>
      </c>
      <c r="E714" s="1" t="str">
        <f ca="1">IFERROR(__xludf.DUMMYFUNCTION("""COMPUTED_VALUE"""),"Influencers who had successful careers")</f>
        <v>Influencers who had successful careers</v>
      </c>
      <c r="F714" s="1" t="str">
        <f ca="1">IFERROR(__xludf.DUMMYFUNCTION("""COMPUTED_VALUE"""),"Yes, I will earn and do that")</f>
        <v>Yes, I will earn and do that</v>
      </c>
      <c r="G714" s="1" t="str">
        <f ca="1">IFERROR(__xludf.DUMMYFUNCTION("""COMPUTED_VALUE"""),"No way")</f>
        <v>No way</v>
      </c>
      <c r="H714" s="1" t="str">
        <f ca="1">IFERROR(__xludf.DUMMYFUNCTION("""COMPUTED_VALUE"""),"Yes")</f>
        <v>Yes</v>
      </c>
      <c r="I714" s="1" t="str">
        <f ca="1">IFERROR(__xludf.DUMMYFUNCTION("""COMPUTED_VALUE"""),"Will NOT work for them")</f>
        <v>Will NOT work for them</v>
      </c>
      <c r="J714" s="1">
        <f ca="1">IFERROR(__xludf.DUMMYFUNCTION("""COMPUTED_VALUE"""),5)</f>
        <v>5</v>
      </c>
      <c r="K714" s="1" t="str">
        <f ca="1">IFERROR(__xludf.DUMMYFUNCTION("""COMPUTED_VALUE"""),"Fully Remote with No option to visit offices")</f>
        <v>Fully Remote with No option to visit offices</v>
      </c>
      <c r="L714" s="1" t="str">
        <f ca="1">IFERROR(__xludf.DUMMYFUNCTION("""COMPUTED_VALUE"""),"Employer who rewards learning and enables that environment")</f>
        <v>Employer who rewards learning and enables that environment</v>
      </c>
      <c r="M71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714" s="1" t="str">
        <f ca="1">IFERROR(__xludf.DUMMYFUNCTION("""COMPUTED_VALUE"""),"Business Operations in any organization, Work as a freelancer and do my thing my way, Become a content Creator in some platform, Manufacturing / Oil and Gas/ Construction / Hard Physical Work related")</f>
        <v>Business Operations in any organization, Work as a freelancer and do my thing my way, Become a content Creator in some platform, Manufacturing / Oil and Gas/ Construction / Hard Physical Work related</v>
      </c>
      <c r="O714" s="1" t="str">
        <f ca="1">IFERROR(__xludf.DUMMYFUNCTION("""COMPUTED_VALUE"""),"Manager who clearly describes what she/he needs")</f>
        <v>Manager who clearly describes what she/he needs</v>
      </c>
      <c r="P714" s="1" t="str">
        <f ca="1">IFERROR(__xludf.DUMMYFUNCTION("""COMPUTED_VALUE"""),"Work with 7 to 10 or more people in my team")</f>
        <v>Work with 7 to 10 or more people in my team</v>
      </c>
      <c r="Q714" s="1" t="str">
        <f ca="1">IFERROR(__xludf.DUMMYFUNCTION("""COMPUTED_VALUE"""),"I have NO other choice")</f>
        <v>I have NO other choice</v>
      </c>
      <c r="R714" s="1" t="str">
        <f ca="1">IFERROR(__xludf.DUMMYFUNCTION("""COMPUTED_VALUE"""),"No way")</f>
        <v>No way</v>
      </c>
      <c r="S714" s="1"/>
    </row>
    <row r="715" spans="1:19" ht="12.5" x14ac:dyDescent="0.25">
      <c r="A715" s="2">
        <f ca="1">IFERROR(__xludf.DUMMYFUNCTION("""COMPUTED_VALUE"""),45022.3277223958)</f>
        <v>45022.327722395799</v>
      </c>
      <c r="B715" s="1" t="str">
        <f ca="1">IFERROR(__xludf.DUMMYFUNCTION("""COMPUTED_VALUE"""),"India")</f>
        <v>India</v>
      </c>
      <c r="C715" s="1">
        <f ca="1">IFERROR(__xludf.DUMMYFUNCTION("""COMPUTED_VALUE"""),395009)</f>
        <v>395009</v>
      </c>
      <c r="D715" s="1" t="str">
        <f ca="1">IFERROR(__xludf.DUMMYFUNCTION("""COMPUTED_VALUE"""),"Female")</f>
        <v>Female</v>
      </c>
      <c r="E715" s="1" t="str">
        <f ca="1">IFERROR(__xludf.DUMMYFUNCTION("""COMPUTED_VALUE"""),"Influencers who had successful careers")</f>
        <v>Influencers who had successful careers</v>
      </c>
      <c r="F715" s="1" t="str">
        <f ca="1">IFERROR(__xludf.DUMMYFUNCTION("""COMPUTED_VALUE"""),"Yes, I will earn and do that")</f>
        <v>Yes, I will earn and do that</v>
      </c>
      <c r="G715" s="1" t="str">
        <f ca="1">IFERROR(__xludf.DUMMYFUNCTION("""COMPUTED_VALUE"""),"This will be hard to do, but if it is the right company I would try")</f>
        <v>This will be hard to do, but if it is the right company I would try</v>
      </c>
      <c r="H715" s="1" t="str">
        <f ca="1">IFERROR(__xludf.DUMMYFUNCTION("""COMPUTED_VALUE"""),"No")</f>
        <v>No</v>
      </c>
      <c r="I715" s="1" t="str">
        <f ca="1">IFERROR(__xludf.DUMMYFUNCTION("""COMPUTED_VALUE"""),"Will NOT work for them")</f>
        <v>Will NOT work for them</v>
      </c>
      <c r="J715" s="1">
        <f ca="1">IFERROR(__xludf.DUMMYFUNCTION("""COMPUTED_VALUE"""),5)</f>
        <v>5</v>
      </c>
      <c r="K715" s="1" t="str">
        <f ca="1">IFERROR(__xludf.DUMMYFUNCTION("""COMPUTED_VALUE"""),"Every Day Office Environment")</f>
        <v>Every Day Office Environment</v>
      </c>
      <c r="L7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1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715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715" s="1" t="str">
        <f ca="1">IFERROR(__xludf.DUMMYFUNCTION("""COMPUTED_VALUE"""),"Manager who explains what is expected, sets a goal and helps achieve it")</f>
        <v>Manager who explains what is expected, sets a goal and helps achieve it</v>
      </c>
      <c r="P715" s="1" t="str">
        <f ca="1">IFERROR(__xludf.DUMMYFUNCTION("""COMPUTED_VALUE"""),"Work with 5 to 6 people in my team")</f>
        <v>Work with 5 to 6 people in my team</v>
      </c>
      <c r="Q715" s="1" t="str">
        <f ca="1">IFERROR(__xludf.DUMMYFUNCTION("""COMPUTED_VALUE"""),"Yes, I Understand this is gonna happen everywhere")</f>
        <v>Yes, I Understand this is gonna happen everywhere</v>
      </c>
      <c r="R715" s="1" t="str">
        <f ca="1">IFERROR(__xludf.DUMMYFUNCTION("""COMPUTED_VALUE"""),"This will be hard to do, but if it is the right company I would try")</f>
        <v>This will be hard to do, but if it is the right company I would try</v>
      </c>
      <c r="S715" s="1"/>
    </row>
    <row r="716" spans="1:19" ht="12.5" x14ac:dyDescent="0.25">
      <c r="A716" s="2">
        <f ca="1">IFERROR(__xludf.DUMMYFUNCTION("""COMPUTED_VALUE"""),45022.3375505208)</f>
        <v>45022.337550520802</v>
      </c>
      <c r="B716" s="1" t="str">
        <f ca="1">IFERROR(__xludf.DUMMYFUNCTION("""COMPUTED_VALUE"""),"India")</f>
        <v>India</v>
      </c>
      <c r="C716" s="1">
        <f ca="1">IFERROR(__xludf.DUMMYFUNCTION("""COMPUTED_VALUE"""),462041)</f>
        <v>462041</v>
      </c>
      <c r="D716" s="1" t="str">
        <f ca="1">IFERROR(__xludf.DUMMYFUNCTION("""COMPUTED_VALUE"""),"Male")</f>
        <v>Male</v>
      </c>
      <c r="E716" s="1" t="str">
        <f ca="1">IFERROR(__xludf.DUMMYFUNCTION("""COMPUTED_VALUE"""),"My Parents")</f>
        <v>My Parents</v>
      </c>
      <c r="F716" s="1" t="str">
        <f ca="1">IFERROR(__xludf.DUMMYFUNCTION("""COMPUTED_VALUE"""),"Yes, I will earn and do that")</f>
        <v>Yes, I will earn and do that</v>
      </c>
      <c r="G716" s="1" t="str">
        <f ca="1">IFERROR(__xludf.DUMMYFUNCTION("""COMPUTED_VALUE"""),"This will be hard to do, but if it is the right company I would try")</f>
        <v>This will be hard to do, but if it is the right company I would try</v>
      </c>
      <c r="H716" s="1" t="str">
        <f ca="1">IFERROR(__xludf.DUMMYFUNCTION("""COMPUTED_VALUE"""),"No")</f>
        <v>No</v>
      </c>
      <c r="I716" s="1" t="str">
        <f ca="1">IFERROR(__xludf.DUMMYFUNCTION("""COMPUTED_VALUE"""),"Will NOT work for them")</f>
        <v>Will NOT work for them</v>
      </c>
      <c r="J716" s="1">
        <f ca="1">IFERROR(__xludf.DUMMYFUNCTION("""COMPUTED_VALUE"""),4)</f>
        <v>4</v>
      </c>
      <c r="K716" s="1" t="str">
        <f ca="1">IFERROR(__xludf.DUMMYFUNCTION("""COMPUTED_VALUE"""),"Fully Remote with Options to travel as and when needed")</f>
        <v>Fully Remote with Options to travel as and when needed</v>
      </c>
      <c r="L7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16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716" s="1" t="str">
        <f ca="1">IFERROR(__xludf.DUMMYFUNCTION("""COMPUTED_VALUE"""),"Business Operations in any organization, Look deeply into Data and generate insights, Entrepreneur or Start Up, Manufacturing / Oil and Gas/ Construction / Hard Physical Work related")</f>
        <v>Business Operations in any organization, Look deeply into Data and generate insights, Entrepreneur or Start Up, Manufacturing / Oil and Gas/ Construction / Hard Physical Work related</v>
      </c>
      <c r="O716" s="1" t="str">
        <f ca="1">IFERROR(__xludf.DUMMYFUNCTION("""COMPUTED_VALUE"""),"Manager who sets goal and helps me achieve it")</f>
        <v>Manager who sets goal and helps me achieve it</v>
      </c>
      <c r="P716" s="1" t="str">
        <f ca="1">IFERROR(__xludf.DUMMYFUNCTION("""COMPUTED_VALUE"""),"Work with 5 to 6 people in my team")</f>
        <v>Work with 5 to 6 people in my team</v>
      </c>
      <c r="Q716" s="1" t="str">
        <f ca="1">IFERROR(__xludf.DUMMYFUNCTION("""COMPUTED_VALUE"""),"Yes, I Understand this is gonna happen everywhere")</f>
        <v>Yes, I Understand this is gonna happen everywhere</v>
      </c>
      <c r="R716" s="1" t="str">
        <f ca="1">IFERROR(__xludf.DUMMYFUNCTION("""COMPUTED_VALUE"""),"No way")</f>
        <v>No way</v>
      </c>
      <c r="S716" s="1"/>
    </row>
    <row r="717" spans="1:19" ht="12.5" x14ac:dyDescent="0.25">
      <c r="A717" s="2">
        <f ca="1">IFERROR(__xludf.DUMMYFUNCTION("""COMPUTED_VALUE"""),45022.3699236458)</f>
        <v>45022.369923645798</v>
      </c>
      <c r="B717" s="1" t="str">
        <f ca="1">IFERROR(__xludf.DUMMYFUNCTION("""COMPUTED_VALUE"""),"India")</f>
        <v>India</v>
      </c>
      <c r="C717" s="1">
        <f ca="1">IFERROR(__xludf.DUMMYFUNCTION("""COMPUTED_VALUE"""),110077)</f>
        <v>110077</v>
      </c>
      <c r="D717" s="1" t="str">
        <f ca="1">IFERROR(__xludf.DUMMYFUNCTION("""COMPUTED_VALUE"""),"Male")</f>
        <v>Male</v>
      </c>
      <c r="E717" s="1" t="str">
        <f ca="1">IFERROR(__xludf.DUMMYFUNCTION("""COMPUTED_VALUE"""),"People from my circle, but not family members")</f>
        <v>People from my circle, but not family members</v>
      </c>
      <c r="F717" s="1" t="str">
        <f ca="1">IFERROR(__xludf.DUMMYFUNCTION("""COMPUTED_VALUE"""),"No I would not be pursuing Higher Education outside of India")</f>
        <v>No I would not be pursuing Higher Education outside of India</v>
      </c>
      <c r="G717" s="1" t="str">
        <f ca="1">IFERROR(__xludf.DUMMYFUNCTION("""COMPUTED_VALUE"""),"Will work for 3 years or more")</f>
        <v>Will work for 3 years or more</v>
      </c>
      <c r="H717" s="1" t="str">
        <f ca="1">IFERROR(__xludf.DUMMYFUNCTION("""COMPUTED_VALUE"""),"Yes")</f>
        <v>Yes</v>
      </c>
      <c r="I717" s="1" t="str">
        <f ca="1">IFERROR(__xludf.DUMMYFUNCTION("""COMPUTED_VALUE"""),"Will NOT work for them")</f>
        <v>Will NOT work for them</v>
      </c>
      <c r="J717" s="1">
        <f ca="1">IFERROR(__xludf.DUMMYFUNCTION("""COMPUTED_VALUE"""),7)</f>
        <v>7</v>
      </c>
      <c r="K717" s="1" t="str">
        <f ca="1">IFERROR(__xludf.DUMMYFUNCTION("""COMPUTED_VALUE"""),"Fully Remote with Options to travel as and when needed")</f>
        <v>Fully Remote with Options to travel as and when needed</v>
      </c>
      <c r="L7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1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717" s="1" t="str">
        <f ca="1">IFERROR(__xludf.DUMMYFUNCTION("""COMPUTED_VALUE"""),"Teaching in any of the institutes/colleges/online or offline, Business Operations in any organization, Build and develop a Team, Look deeply into Data and generate insights")</f>
        <v>Teaching in any of the institutes/colleges/online or offline, Business Operations in any organization, Build and develop a Team, Look deeply into Data and generate insights</v>
      </c>
      <c r="O717" s="1" t="str">
        <f ca="1">IFERROR(__xludf.DUMMYFUNCTION("""COMPUTED_VALUE"""),"Manager who explains what is expected, sets a goal and helps achieve it")</f>
        <v>Manager who explains what is expected, sets a goal and helps achieve it</v>
      </c>
      <c r="P717" s="1" t="str">
        <f ca="1">IFERROR(__xludf.DUMMYFUNCTION("""COMPUTED_VALUE"""),"Work with 2 to 3 people in my team")</f>
        <v>Work with 2 to 3 people in my team</v>
      </c>
      <c r="Q717" s="1" t="str">
        <f ca="1">IFERROR(__xludf.DUMMYFUNCTION("""COMPUTED_VALUE"""),"Yes, I Understand this is gonna happen everywhere")</f>
        <v>Yes, I Understand this is gonna happen everywhere</v>
      </c>
      <c r="R717" s="1" t="str">
        <f ca="1">IFERROR(__xludf.DUMMYFUNCTION("""COMPUTED_VALUE"""),"This will be hard to do, but if it is the right company I would try")</f>
        <v>This will be hard to do, but if it is the right company I would try</v>
      </c>
      <c r="S717" s="1"/>
    </row>
    <row r="718" spans="1:19" ht="12.5" x14ac:dyDescent="0.25">
      <c r="A718" s="2">
        <f ca="1">IFERROR(__xludf.DUMMYFUNCTION("""COMPUTED_VALUE"""),45022.3754539351)</f>
        <v>45022.375453935099</v>
      </c>
      <c r="B718" s="1" t="str">
        <f ca="1">IFERROR(__xludf.DUMMYFUNCTION("""COMPUTED_VALUE"""),"India")</f>
        <v>India</v>
      </c>
      <c r="C718" s="1">
        <f ca="1">IFERROR(__xludf.DUMMYFUNCTION("""COMPUTED_VALUE"""),400072)</f>
        <v>400072</v>
      </c>
      <c r="D718" s="1" t="str">
        <f ca="1">IFERROR(__xludf.DUMMYFUNCTION("""COMPUTED_VALUE"""),"Male")</f>
        <v>Male</v>
      </c>
      <c r="E718" s="1" t="str">
        <f ca="1">IFERROR(__xludf.DUMMYFUNCTION("""COMPUTED_VALUE"""),"People from my circle, but not family members")</f>
        <v>People from my circle, but not family members</v>
      </c>
      <c r="F718" s="1" t="str">
        <f ca="1">IFERROR(__xludf.DUMMYFUNCTION("""COMPUTED_VALUE"""),"Yes, I will earn and do that")</f>
        <v>Yes, I will earn and do that</v>
      </c>
      <c r="G718" s="1" t="str">
        <f ca="1">IFERROR(__xludf.DUMMYFUNCTION("""COMPUTED_VALUE"""),"Will work for 3 years or more")</f>
        <v>Will work for 3 years or more</v>
      </c>
      <c r="H718" s="1" t="str">
        <f ca="1">IFERROR(__xludf.DUMMYFUNCTION("""COMPUTED_VALUE"""),"No")</f>
        <v>No</v>
      </c>
      <c r="I718" s="1" t="str">
        <f ca="1">IFERROR(__xludf.DUMMYFUNCTION("""COMPUTED_VALUE"""),"Will NOT work for them")</f>
        <v>Will NOT work for them</v>
      </c>
      <c r="J718" s="1">
        <f ca="1">IFERROR(__xludf.DUMMYFUNCTION("""COMPUTED_VALUE"""),4)</f>
        <v>4</v>
      </c>
      <c r="K718" s="1" t="str">
        <f ca="1">IFERROR(__xludf.DUMMYFUNCTION("""COMPUTED_VALUE"""),"Hybrid Working Environment with more than 15 days a month at office")</f>
        <v>Hybrid Working Environment with more than 15 days a month at office</v>
      </c>
      <c r="L718" s="1" t="str">
        <f ca="1">IFERROR(__xludf.DUMMYFUNCTION("""COMPUTED_VALUE"""),"Employer who appreciates learning and enables that environment")</f>
        <v>Employer who appreciates learning and enables that environment</v>
      </c>
      <c r="M71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71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718" s="1" t="str">
        <f ca="1">IFERROR(__xludf.DUMMYFUNCTION("""COMPUTED_VALUE"""),"Manager who explains what is expected, sets a goal and helps achieve it")</f>
        <v>Manager who explains what is expected, sets a goal and helps achieve it</v>
      </c>
      <c r="P718" s="1" t="str">
        <f ca="1">IFERROR(__xludf.DUMMYFUNCTION("""COMPUTED_VALUE"""),"Work with more than 10 people in my team")</f>
        <v>Work with more than 10 people in my team</v>
      </c>
      <c r="Q718" s="1" t="str">
        <f ca="1">IFERROR(__xludf.DUMMYFUNCTION("""COMPUTED_VALUE"""),"Yes, I Understand this is gonna happen everywhere")</f>
        <v>Yes, I Understand this is gonna happen everywhere</v>
      </c>
      <c r="R718" s="1" t="str">
        <f ca="1">IFERROR(__xludf.DUMMYFUNCTION("""COMPUTED_VALUE"""),"This will be hard to do, but if it is the right company I would try")</f>
        <v>This will be hard to do, but if it is the right company I would try</v>
      </c>
      <c r="S718" s="1"/>
    </row>
    <row r="719" spans="1:19" ht="12.5" x14ac:dyDescent="0.25">
      <c r="A719" s="2">
        <f ca="1">IFERROR(__xludf.DUMMYFUNCTION("""COMPUTED_VALUE"""),45022.3808359722)</f>
        <v>45022.380835972202</v>
      </c>
      <c r="B719" s="1" t="str">
        <f ca="1">IFERROR(__xludf.DUMMYFUNCTION("""COMPUTED_VALUE"""),"India")</f>
        <v>India</v>
      </c>
      <c r="C719" s="1">
        <f ca="1">IFERROR(__xludf.DUMMYFUNCTION("""COMPUTED_VALUE"""),680508)</f>
        <v>680508</v>
      </c>
      <c r="D719" s="1" t="str">
        <f ca="1">IFERROR(__xludf.DUMMYFUNCTION("""COMPUTED_VALUE"""),"Male")</f>
        <v>Male</v>
      </c>
      <c r="E719" s="1" t="str">
        <f ca="1">IFERROR(__xludf.DUMMYFUNCTION("""COMPUTED_VALUE"""),"My Parents")</f>
        <v>My Parents</v>
      </c>
      <c r="F719" s="1" t="str">
        <f ca="1">IFERROR(__xludf.DUMMYFUNCTION("""COMPUTED_VALUE"""),"Yes, I will earn and do that")</f>
        <v>Yes, I will earn and do that</v>
      </c>
      <c r="G719" s="1" t="str">
        <f ca="1">IFERROR(__xludf.DUMMYFUNCTION("""COMPUTED_VALUE"""),"This will be hard to do, but if it is the right company I would try")</f>
        <v>This will be hard to do, but if it is the right company I would try</v>
      </c>
      <c r="H719" s="1" t="str">
        <f ca="1">IFERROR(__xludf.DUMMYFUNCTION("""COMPUTED_VALUE"""),"No")</f>
        <v>No</v>
      </c>
      <c r="I719" s="1" t="str">
        <f ca="1">IFERROR(__xludf.DUMMYFUNCTION("""COMPUTED_VALUE"""),"Will NOT work for them")</f>
        <v>Will NOT work for them</v>
      </c>
      <c r="J719" s="1">
        <f ca="1">IFERROR(__xludf.DUMMYFUNCTION("""COMPUTED_VALUE"""),9)</f>
        <v>9</v>
      </c>
      <c r="K719" s="1" t="str">
        <f ca="1">IFERROR(__xludf.DUMMYFUNCTION("""COMPUTED_VALUE"""),"Fully Remote with Options to travel as and when needed")</f>
        <v>Fully Remote with Options to travel as and when needed</v>
      </c>
      <c r="L719" s="1" t="str">
        <f ca="1">IFERROR(__xludf.DUMMYFUNCTION("""COMPUTED_VALUE"""),"Employer who rewards learning and enables that environment")</f>
        <v>Employer who rewards learning and enables that environment</v>
      </c>
      <c r="M719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719" s="1" t="str">
        <f ca="1">IFERROR(__xludf.DUMMYFUNCTION("""COMPUTED_VALUE"""),"Design and Creative strategy in any company, Build and develop a Team, I Want to sell things/Sales, Manufacturing / Oil and Gas/ Construction / Hard Physical Work related")</f>
        <v>Design and Creative strategy in any company, Build and develop a Team, I Want to sell things/Sales, Manufacturing / Oil and Gas/ Construction / Hard Physical Work related</v>
      </c>
      <c r="O719" s="1" t="str">
        <f ca="1">IFERROR(__xludf.DUMMYFUNCTION("""COMPUTED_VALUE"""),"Manager who clearly describes what she/he needs")</f>
        <v>Manager who clearly describes what she/he needs</v>
      </c>
      <c r="P719" s="1" t="str">
        <f ca="1">IFERROR(__xludf.DUMMYFUNCTION("""COMPUTED_VALUE"""),"Work with 5 to 6 people in my team")</f>
        <v>Work with 5 to 6 people in my team</v>
      </c>
      <c r="Q719" s="1" t="str">
        <f ca="1">IFERROR(__xludf.DUMMYFUNCTION("""COMPUTED_VALUE"""),"I have NO other choice")</f>
        <v>I have NO other choice</v>
      </c>
      <c r="R719" s="1" t="str">
        <f ca="1">IFERROR(__xludf.DUMMYFUNCTION("""COMPUTED_VALUE"""),"No way")</f>
        <v>No way</v>
      </c>
      <c r="S719" s="1"/>
    </row>
    <row r="720" spans="1:19" ht="12.5" x14ac:dyDescent="0.25">
      <c r="A720" s="2">
        <f ca="1">IFERROR(__xludf.DUMMYFUNCTION("""COMPUTED_VALUE"""),45022.3892279513)</f>
        <v>45022.389227951302</v>
      </c>
      <c r="B720" s="1" t="str">
        <f ca="1">IFERROR(__xludf.DUMMYFUNCTION("""COMPUTED_VALUE"""),"India")</f>
        <v>India</v>
      </c>
      <c r="C720" s="1">
        <f ca="1">IFERROR(__xludf.DUMMYFUNCTION("""COMPUTED_VALUE"""),670011)</f>
        <v>670011</v>
      </c>
      <c r="D720" s="1" t="str">
        <f ca="1">IFERROR(__xludf.DUMMYFUNCTION("""COMPUTED_VALUE"""),"Female")</f>
        <v>Female</v>
      </c>
      <c r="E720" s="1" t="str">
        <f ca="1">IFERROR(__xludf.DUMMYFUNCTION("""COMPUTED_VALUE"""),"Social Media like LinkedIn")</f>
        <v>Social Media like LinkedIn</v>
      </c>
      <c r="F720" s="1" t="str">
        <f ca="1">IFERROR(__xludf.DUMMYFUNCTION("""COMPUTED_VALUE"""),"No I would not be pursuing Higher Education outside of India")</f>
        <v>No I would not be pursuing Higher Education outside of India</v>
      </c>
      <c r="G720" s="1" t="str">
        <f ca="1">IFERROR(__xludf.DUMMYFUNCTION("""COMPUTED_VALUE"""),"This will be hard to do, but if it is the right company I would try")</f>
        <v>This will be hard to do, but if it is the right company I would try</v>
      </c>
      <c r="H720" s="1" t="str">
        <f ca="1">IFERROR(__xludf.DUMMYFUNCTION("""COMPUTED_VALUE"""),"No")</f>
        <v>No</v>
      </c>
      <c r="I720" s="1" t="str">
        <f ca="1">IFERROR(__xludf.DUMMYFUNCTION("""COMPUTED_VALUE"""),"Will NOT work for them")</f>
        <v>Will NOT work for them</v>
      </c>
      <c r="J720" s="1">
        <f ca="1">IFERROR(__xludf.DUMMYFUNCTION("""COMPUTED_VALUE"""),6)</f>
        <v>6</v>
      </c>
      <c r="K720" s="1" t="str">
        <f ca="1">IFERROR(__xludf.DUMMYFUNCTION("""COMPUTED_VALUE"""),"Hybrid Working Environment with more than 15 days a month at office")</f>
        <v>Hybrid Working Environment with more than 15 days a month at office</v>
      </c>
      <c r="L7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2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20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720" s="1" t="str">
        <f ca="1">IFERROR(__xludf.DUMMYFUNCTION("""COMPUTED_VALUE"""),"Manager who explains what is expected, sets a goal and helps achieve it")</f>
        <v>Manager who explains what is expected, sets a goal and helps achieve it</v>
      </c>
      <c r="P720" s="1" t="str">
        <f ca="1">IFERROR(__xludf.DUMMYFUNCTION("""COMPUTED_VALUE"""),"Work with 5 to 6 people in my team")</f>
        <v>Work with 5 to 6 people in my team</v>
      </c>
      <c r="Q720" s="1" t="str">
        <f ca="1">IFERROR(__xludf.DUMMYFUNCTION("""COMPUTED_VALUE"""),"No")</f>
        <v>No</v>
      </c>
      <c r="R720" s="1" t="str">
        <f ca="1">IFERROR(__xludf.DUMMYFUNCTION("""COMPUTED_VALUE"""),"No way")</f>
        <v>No way</v>
      </c>
      <c r="S720" s="1"/>
    </row>
    <row r="721" spans="1:19" ht="12.5" x14ac:dyDescent="0.25">
      <c r="A721" s="2">
        <f ca="1">IFERROR(__xludf.DUMMYFUNCTION("""COMPUTED_VALUE"""),45022.4110270833)</f>
        <v>45022.411027083297</v>
      </c>
      <c r="B721" s="1" t="str">
        <f ca="1">IFERROR(__xludf.DUMMYFUNCTION("""COMPUTED_VALUE"""),"India")</f>
        <v>India</v>
      </c>
      <c r="C721" s="1">
        <f ca="1">IFERROR(__xludf.DUMMYFUNCTION("""COMPUTED_VALUE"""),201009)</f>
        <v>201009</v>
      </c>
      <c r="D721" s="1" t="str">
        <f ca="1">IFERROR(__xludf.DUMMYFUNCTION("""COMPUTED_VALUE"""),"Female")</f>
        <v>Female</v>
      </c>
      <c r="E721" s="1" t="str">
        <f ca="1">IFERROR(__xludf.DUMMYFUNCTION("""COMPUTED_VALUE"""),"People from my circle, but not family members")</f>
        <v>People from my circle, but not family members</v>
      </c>
      <c r="F721" s="1" t="str">
        <f ca="1">IFERROR(__xludf.DUMMYFUNCTION("""COMPUTED_VALUE"""),"No, But if someone could bare the cost I will")</f>
        <v>No, But if someone could bare the cost I will</v>
      </c>
      <c r="G721" s="1" t="str">
        <f ca="1">IFERROR(__xludf.DUMMYFUNCTION("""COMPUTED_VALUE"""),"This will be hard to do, but if it is the right company I would try")</f>
        <v>This will be hard to do, but if it is the right company I would try</v>
      </c>
      <c r="H721" s="1" t="str">
        <f ca="1">IFERROR(__xludf.DUMMYFUNCTION("""COMPUTED_VALUE"""),"Yes")</f>
        <v>Yes</v>
      </c>
      <c r="I721" s="1" t="str">
        <f ca="1">IFERROR(__xludf.DUMMYFUNCTION("""COMPUTED_VALUE"""),"Will work for them")</f>
        <v>Will work for them</v>
      </c>
      <c r="J721" s="1">
        <f ca="1">IFERROR(__xludf.DUMMYFUNCTION("""COMPUTED_VALUE"""),6)</f>
        <v>6</v>
      </c>
      <c r="K721" s="1" t="str">
        <f ca="1">IFERROR(__xludf.DUMMYFUNCTION("""COMPUTED_VALUE"""),"Fully Remote with No option to visit offices")</f>
        <v>Fully Remote with No option to visit offices</v>
      </c>
      <c r="L721" s="1" t="str">
        <f ca="1">IFERROR(__xludf.DUMMYFUNCTION("""COMPUTED_VALUE"""),"Employer who appreciates learning and enables that environment")</f>
        <v>Employer who appreciates learning and enables that environment</v>
      </c>
      <c r="M72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21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721" s="1" t="str">
        <f ca="1">IFERROR(__xludf.DUMMYFUNCTION("""COMPUTED_VALUE"""),"Manager who explains what is expected, sets a goal and helps achieve it")</f>
        <v>Manager who explains what is expected, sets a goal and helps achieve it</v>
      </c>
      <c r="P721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721" s="1" t="str">
        <f ca="1">IFERROR(__xludf.DUMMYFUNCTION("""COMPUTED_VALUE"""),"Yes, I Understand this is gonna happen everywhere")</f>
        <v>Yes, I Understand this is gonna happen everywhere</v>
      </c>
      <c r="R721" s="1" t="str">
        <f ca="1">IFERROR(__xludf.DUMMYFUNCTION("""COMPUTED_VALUE"""),"No way")</f>
        <v>No way</v>
      </c>
      <c r="S721" s="1"/>
    </row>
    <row r="722" spans="1:19" ht="12.5" x14ac:dyDescent="0.25">
      <c r="A722" s="2">
        <f ca="1">IFERROR(__xludf.DUMMYFUNCTION("""COMPUTED_VALUE"""),45022.4126948495)</f>
        <v>45022.412694849503</v>
      </c>
      <c r="B722" s="1" t="str">
        <f ca="1">IFERROR(__xludf.DUMMYFUNCTION("""COMPUTED_VALUE"""),"India")</f>
        <v>India</v>
      </c>
      <c r="C722" s="1">
        <f ca="1">IFERROR(__xludf.DUMMYFUNCTION("""COMPUTED_VALUE"""),201009)</f>
        <v>201009</v>
      </c>
      <c r="D722" s="1" t="str">
        <f ca="1">IFERROR(__xludf.DUMMYFUNCTION("""COMPUTED_VALUE"""),"Male")</f>
        <v>Male</v>
      </c>
      <c r="E722" s="1" t="str">
        <f ca="1">IFERROR(__xludf.DUMMYFUNCTION("""COMPUTED_VALUE"""),"People who have changed the world for better")</f>
        <v>People who have changed the world for better</v>
      </c>
      <c r="F722" s="1" t="str">
        <f ca="1">IFERROR(__xludf.DUMMYFUNCTION("""COMPUTED_VALUE"""),"No, But if someone could bare the cost I will")</f>
        <v>No, But if someone could bare the cost I will</v>
      </c>
      <c r="G722" s="1" t="str">
        <f ca="1">IFERROR(__xludf.DUMMYFUNCTION("""COMPUTED_VALUE"""),"This will be hard to do, but if it is the right company I would try")</f>
        <v>This will be hard to do, but if it is the right company I would try</v>
      </c>
      <c r="H722" s="1" t="str">
        <f ca="1">IFERROR(__xludf.DUMMYFUNCTION("""COMPUTED_VALUE"""),"No")</f>
        <v>No</v>
      </c>
      <c r="I722" s="1" t="str">
        <f ca="1">IFERROR(__xludf.DUMMYFUNCTION("""COMPUTED_VALUE"""),"Will work for them")</f>
        <v>Will work for them</v>
      </c>
      <c r="J722" s="1">
        <f ca="1">IFERROR(__xludf.DUMMYFUNCTION("""COMPUTED_VALUE"""),10)</f>
        <v>10</v>
      </c>
      <c r="K722" s="1" t="str">
        <f ca="1">IFERROR(__xludf.DUMMYFUNCTION("""COMPUTED_VALUE"""),"Hybrid Working Environment with more than 15 days a month at office")</f>
        <v>Hybrid Working Environment with more than 15 days a month at office</v>
      </c>
      <c r="L7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2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722" s="1" t="str">
        <f ca="1">IFERROR(__xludf.DUMMYFUNCTION("""COMPUTED_VALUE"""),"Manage and drive End-to-End Projects or Products, Build and develop a Team, Design and Develop amazing software, Work as a freelancer and do my thing my way")</f>
        <v>Manage and drive End-to-End Projects or Products, Build and develop a Team, Design and Develop amazing software, Work as a freelancer and do my thing my way</v>
      </c>
      <c r="O722" s="1" t="str">
        <f ca="1">IFERROR(__xludf.DUMMYFUNCTION("""COMPUTED_VALUE"""),"Manager who explains what is expected, sets a goal and helps achieve it")</f>
        <v>Manager who explains what is expected, sets a goal and helps achieve it</v>
      </c>
      <c r="P722" s="1" t="str">
        <f ca="1">IFERROR(__xludf.DUMMYFUNCTION("""COMPUTED_VALUE"""),"Work alone, Work with 2 to 3 people in my team")</f>
        <v>Work alone, Work with 2 to 3 people in my team</v>
      </c>
      <c r="Q722" s="1" t="str">
        <f ca="1">IFERROR(__xludf.DUMMYFUNCTION("""COMPUTED_VALUE"""),"I have NO other choice")</f>
        <v>I have NO other choice</v>
      </c>
      <c r="R722" s="1" t="str">
        <f ca="1">IFERROR(__xludf.DUMMYFUNCTION("""COMPUTED_VALUE"""),"No way")</f>
        <v>No way</v>
      </c>
      <c r="S722" s="1"/>
    </row>
    <row r="723" spans="1:19" ht="12.5" x14ac:dyDescent="0.25">
      <c r="A723" s="2">
        <f ca="1">IFERROR(__xludf.DUMMYFUNCTION("""COMPUTED_VALUE"""),45022.4171973032)</f>
        <v>45022.417197303199</v>
      </c>
      <c r="B723" s="1" t="str">
        <f ca="1">IFERROR(__xludf.DUMMYFUNCTION("""COMPUTED_VALUE"""),"India")</f>
        <v>India</v>
      </c>
      <c r="C723" s="1">
        <f ca="1">IFERROR(__xludf.DUMMYFUNCTION("""COMPUTED_VALUE"""),500072)</f>
        <v>500072</v>
      </c>
      <c r="D723" s="1" t="str">
        <f ca="1">IFERROR(__xludf.DUMMYFUNCTION("""COMPUTED_VALUE"""),"Male")</f>
        <v>Male</v>
      </c>
      <c r="E723" s="1" t="str">
        <f ca="1">IFERROR(__xludf.DUMMYFUNCTION("""COMPUTED_VALUE"""),"Social Media like LinkedIn")</f>
        <v>Social Media like LinkedIn</v>
      </c>
      <c r="F723" s="1" t="str">
        <f ca="1">IFERROR(__xludf.DUMMYFUNCTION("""COMPUTED_VALUE"""),"Yes, I will earn and do that")</f>
        <v>Yes, I will earn and do that</v>
      </c>
      <c r="G723" s="1" t="str">
        <f ca="1">IFERROR(__xludf.DUMMYFUNCTION("""COMPUTED_VALUE"""),"Will work for 3 years or more")</f>
        <v>Will work for 3 years or more</v>
      </c>
      <c r="H723" s="1" t="str">
        <f ca="1">IFERROR(__xludf.DUMMYFUNCTION("""COMPUTED_VALUE"""),"Yes")</f>
        <v>Yes</v>
      </c>
      <c r="I723" s="1" t="str">
        <f ca="1">IFERROR(__xludf.DUMMYFUNCTION("""COMPUTED_VALUE"""),"Will NOT work for them")</f>
        <v>Will NOT work for them</v>
      </c>
      <c r="J723" s="1">
        <f ca="1">IFERROR(__xludf.DUMMYFUNCTION("""COMPUTED_VALUE"""),1)</f>
        <v>1</v>
      </c>
      <c r="K723" s="1" t="str">
        <f ca="1">IFERROR(__xludf.DUMMYFUNCTION("""COMPUTED_VALUE"""),"Fully Remote with Options to travel as and when needed")</f>
        <v>Fully Remote with Options to travel as and when needed</v>
      </c>
      <c r="L7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23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723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723" s="1" t="str">
        <f ca="1">IFERROR(__xludf.DUMMYFUNCTION("""COMPUTED_VALUE"""),"Manager who sets targets and expects me to achieve it")</f>
        <v>Manager who sets targets and expects me to achieve it</v>
      </c>
      <c r="P723" s="1" t="str">
        <f ca="1">IFERROR(__xludf.DUMMYFUNCTION("""COMPUTED_VALUE"""),"Work with more than 10 people in my team")</f>
        <v>Work with more than 10 people in my team</v>
      </c>
      <c r="Q723" s="1" t="str">
        <f ca="1">IFERROR(__xludf.DUMMYFUNCTION("""COMPUTED_VALUE"""),"Yes, I Understand this is gonna happen everywhere")</f>
        <v>Yes, I Understand this is gonna happen everywhere</v>
      </c>
      <c r="R723" s="1" t="str">
        <f ca="1">IFERROR(__xludf.DUMMYFUNCTION("""COMPUTED_VALUE"""),"Will work for 7 years or more")</f>
        <v>Will work for 7 years or more</v>
      </c>
      <c r="S723" s="1"/>
    </row>
    <row r="724" spans="1:19" ht="12.5" x14ac:dyDescent="0.25">
      <c r="A724" s="2">
        <f ca="1">IFERROR(__xludf.DUMMYFUNCTION("""COMPUTED_VALUE"""),45022.4183474074)</f>
        <v>45022.418347407402</v>
      </c>
      <c r="B724" s="1" t="str">
        <f ca="1">IFERROR(__xludf.DUMMYFUNCTION("""COMPUTED_VALUE"""),"India")</f>
        <v>India</v>
      </c>
      <c r="C724" s="1">
        <f ca="1">IFERROR(__xludf.DUMMYFUNCTION("""COMPUTED_VALUE"""),201009)</f>
        <v>201009</v>
      </c>
      <c r="D724" s="1" t="str">
        <f ca="1">IFERROR(__xludf.DUMMYFUNCTION("""COMPUTED_VALUE"""),"Female")</f>
        <v>Female</v>
      </c>
      <c r="E724" s="1" t="str">
        <f ca="1">IFERROR(__xludf.DUMMYFUNCTION("""COMPUTED_VALUE"""),"People who have changed the world for better")</f>
        <v>People who have changed the world for better</v>
      </c>
      <c r="F724" s="1" t="str">
        <f ca="1">IFERROR(__xludf.DUMMYFUNCTION("""COMPUTED_VALUE"""),"No, But if someone could bare the cost I will")</f>
        <v>No, But if someone could bare the cost I will</v>
      </c>
      <c r="G724" s="1" t="str">
        <f ca="1">IFERROR(__xludf.DUMMYFUNCTION("""COMPUTED_VALUE"""),"This will be hard to do, but if it is the right company I would try")</f>
        <v>This will be hard to do, but if it is the right company I would try</v>
      </c>
      <c r="H724" s="1" t="str">
        <f ca="1">IFERROR(__xludf.DUMMYFUNCTION("""COMPUTED_VALUE"""),"No")</f>
        <v>No</v>
      </c>
      <c r="I724" s="1" t="str">
        <f ca="1">IFERROR(__xludf.DUMMYFUNCTION("""COMPUTED_VALUE"""),"Will NOT work for them")</f>
        <v>Will NOT work for them</v>
      </c>
      <c r="J724" s="1">
        <f ca="1">IFERROR(__xludf.DUMMYFUNCTION("""COMPUTED_VALUE"""),2)</f>
        <v>2</v>
      </c>
      <c r="K724" s="1" t="str">
        <f ca="1">IFERROR(__xludf.DUMMYFUNCTION("""COMPUTED_VALUE"""),"Hybrid Working Environment with more than 15 days a month at office")</f>
        <v>Hybrid Working Environment with more than 15 days a month at office</v>
      </c>
      <c r="L724" s="1" t="str">
        <f ca="1">IFERROR(__xludf.DUMMYFUNCTION("""COMPUTED_VALUE"""),"Employer who rewards learning and enables that environment")</f>
        <v>Employer who rewards learning and enables that environment</v>
      </c>
      <c r="M72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724" s="1" t="str">
        <f ca="1">IFERROR(__xludf.DUMMYFUNCTION("""COMPUTED_VALUE"""),"Design and Creative strategy in any company, Teaching in any of the institutes/colleges/online or offline, Work in a BPO setup for some well known client, Work as a freelancer and do my thing my way")</f>
        <v>Design and Creative strategy in any company, Teaching in any of the institutes/colleges/online or offline, Work in a BPO setup for some well known client, Work as a freelancer and do my thing my way</v>
      </c>
      <c r="O724" s="1" t="str">
        <f ca="1">IFERROR(__xludf.DUMMYFUNCTION("""COMPUTED_VALUE"""),"Manager who sets targets and expects me to achieve it")</f>
        <v>Manager who sets targets and expects me to achieve it</v>
      </c>
      <c r="P724" s="1" t="str">
        <f ca="1">IFERROR(__xludf.DUMMYFUNCTION("""COMPUTED_VALUE"""),"Work alone")</f>
        <v>Work alone</v>
      </c>
      <c r="Q724" s="1" t="str">
        <f ca="1">IFERROR(__xludf.DUMMYFUNCTION("""COMPUTED_VALUE"""),"No")</f>
        <v>No</v>
      </c>
      <c r="R724" s="1" t="str">
        <f ca="1">IFERROR(__xludf.DUMMYFUNCTION("""COMPUTED_VALUE"""),"Will work for 7 years or more")</f>
        <v>Will work for 7 years or more</v>
      </c>
      <c r="S724" s="1"/>
    </row>
    <row r="725" spans="1:19" ht="12.5" x14ac:dyDescent="0.25">
      <c r="A725" s="2">
        <f ca="1">IFERROR(__xludf.DUMMYFUNCTION("""COMPUTED_VALUE"""),45022.4297910416)</f>
        <v>45022.429791041599</v>
      </c>
      <c r="B725" s="1" t="str">
        <f ca="1">IFERROR(__xludf.DUMMYFUNCTION("""COMPUTED_VALUE"""),"India")</f>
        <v>India</v>
      </c>
      <c r="C725" s="1">
        <f ca="1">IFERROR(__xludf.DUMMYFUNCTION("""COMPUTED_VALUE"""),110017)</f>
        <v>110017</v>
      </c>
      <c r="D725" s="1" t="str">
        <f ca="1">IFERROR(__xludf.DUMMYFUNCTION("""COMPUTED_VALUE"""),"Male")</f>
        <v>Male</v>
      </c>
      <c r="E725" s="1" t="str">
        <f ca="1">IFERROR(__xludf.DUMMYFUNCTION("""COMPUTED_VALUE"""),"People from my circle, but not family members")</f>
        <v>People from my circle, but not family members</v>
      </c>
      <c r="F725" s="1" t="str">
        <f ca="1">IFERROR(__xludf.DUMMYFUNCTION("""COMPUTED_VALUE"""),"Yes, I will earn and do that")</f>
        <v>Yes, I will earn and do that</v>
      </c>
      <c r="G725" s="1" t="str">
        <f ca="1">IFERROR(__xludf.DUMMYFUNCTION("""COMPUTED_VALUE"""),"This will be hard to do, but if it is the right company I would try")</f>
        <v>This will be hard to do, but if it is the right company I would try</v>
      </c>
      <c r="H725" s="1" t="str">
        <f ca="1">IFERROR(__xludf.DUMMYFUNCTION("""COMPUTED_VALUE"""),"No")</f>
        <v>No</v>
      </c>
      <c r="I725" s="1" t="str">
        <f ca="1">IFERROR(__xludf.DUMMYFUNCTION("""COMPUTED_VALUE"""),"Will NOT work for them")</f>
        <v>Will NOT work for them</v>
      </c>
      <c r="J725" s="1">
        <f ca="1">IFERROR(__xludf.DUMMYFUNCTION("""COMPUTED_VALUE"""),6)</f>
        <v>6</v>
      </c>
      <c r="K725" s="1" t="str">
        <f ca="1">IFERROR(__xludf.DUMMYFUNCTION("""COMPUTED_VALUE"""),"Fully Remote with Options to travel as and when needed")</f>
        <v>Fully Remote with Options to travel as and when needed</v>
      </c>
      <c r="L7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2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725" s="1" t="str">
        <f ca="1">IFERROR(__xludf.DUMMYFUNCTION("""COMPUTED_VALUE"""),"Manage and drive End-to-End Projects or Products, Work as a freelancer and do my thing my way, Entrepreneur or Start Up, An Artificial Intelligence Specialist / Talking to Robots")</f>
        <v>Manage and drive End-to-End Projects or Products, Work as a freelancer and do my thing my way, Entrepreneur or Start Up, An Artificial Intelligence Specialist / Talking to Robots</v>
      </c>
      <c r="O725" s="1" t="str">
        <f ca="1">IFERROR(__xludf.DUMMYFUNCTION("""COMPUTED_VALUE"""),"Manager who sets goal and helps me achieve it")</f>
        <v>Manager who sets goal and helps me achieve it</v>
      </c>
      <c r="P725" s="1" t="str">
        <f ca="1">IFERROR(__xludf.DUMMYFUNCTION("""COMPUTED_VALUE"""),"Work with 5 to 6 people in my team")</f>
        <v>Work with 5 to 6 people in my team</v>
      </c>
      <c r="Q725" s="1" t="str">
        <f ca="1">IFERROR(__xludf.DUMMYFUNCTION("""COMPUTED_VALUE"""),"Yes, I Understand this is gonna happen everywhere")</f>
        <v>Yes, I Understand this is gonna happen everywhere</v>
      </c>
      <c r="R725" s="1" t="str">
        <f ca="1">IFERROR(__xludf.DUMMYFUNCTION("""COMPUTED_VALUE"""),"No way")</f>
        <v>No way</v>
      </c>
      <c r="S725" s="1"/>
    </row>
    <row r="726" spans="1:19" ht="12.5" x14ac:dyDescent="0.25">
      <c r="A726" s="2">
        <f ca="1">IFERROR(__xludf.DUMMYFUNCTION("""COMPUTED_VALUE"""),45022.4314708217)</f>
        <v>45022.431470821699</v>
      </c>
      <c r="B726" s="1" t="str">
        <f ca="1">IFERROR(__xludf.DUMMYFUNCTION("""COMPUTED_VALUE"""),"India")</f>
        <v>India</v>
      </c>
      <c r="C726" s="1">
        <f ca="1">IFERROR(__xludf.DUMMYFUNCTION("""COMPUTED_VALUE"""),721422)</f>
        <v>721422</v>
      </c>
      <c r="D726" s="1" t="str">
        <f ca="1">IFERROR(__xludf.DUMMYFUNCTION("""COMPUTED_VALUE"""),"Male")</f>
        <v>Male</v>
      </c>
      <c r="E726" s="1" t="str">
        <f ca="1">IFERROR(__xludf.DUMMYFUNCTION("""COMPUTED_VALUE"""),"My Parents")</f>
        <v>My Parents</v>
      </c>
      <c r="F726" s="1" t="str">
        <f ca="1">IFERROR(__xludf.DUMMYFUNCTION("""COMPUTED_VALUE"""),"No I would not be pursuing Higher Education outside of India")</f>
        <v>No I would not be pursuing Higher Education outside of India</v>
      </c>
      <c r="G726" s="1" t="str">
        <f ca="1">IFERROR(__xludf.DUMMYFUNCTION("""COMPUTED_VALUE"""),"Will work for 3 years or more")</f>
        <v>Will work for 3 years or more</v>
      </c>
      <c r="H726" s="1" t="str">
        <f ca="1">IFERROR(__xludf.DUMMYFUNCTION("""COMPUTED_VALUE"""),"Yes")</f>
        <v>Yes</v>
      </c>
      <c r="I726" s="1" t="str">
        <f ca="1">IFERROR(__xludf.DUMMYFUNCTION("""COMPUTED_VALUE"""),"Will NOT work for them")</f>
        <v>Will NOT work for them</v>
      </c>
      <c r="J726" s="1">
        <f ca="1">IFERROR(__xludf.DUMMYFUNCTION("""COMPUTED_VALUE"""),4)</f>
        <v>4</v>
      </c>
      <c r="K726" s="1" t="str">
        <f ca="1">IFERROR(__xludf.DUMMYFUNCTION("""COMPUTED_VALUE"""),"Fully Remote with Options to travel as and when needed")</f>
        <v>Fully Remote with Options to travel as and when needed</v>
      </c>
      <c r="L726" s="1" t="str">
        <f ca="1">IFERROR(__xludf.DUMMYFUNCTION("""COMPUTED_VALUE"""),"Employer who rewards learning and enables that environment")</f>
        <v>Employer who rewards learning and enables that environment</v>
      </c>
      <c r="M726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726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726" s="1" t="str">
        <f ca="1">IFERROR(__xludf.DUMMYFUNCTION("""COMPUTED_VALUE"""),"Manager who clearly describes what she/he needs")</f>
        <v>Manager who clearly describes what she/he needs</v>
      </c>
      <c r="P726" s="1" t="str">
        <f ca="1">IFERROR(__xludf.DUMMYFUNCTION("""COMPUTED_VALUE"""),"Work with 2 to 3 people in my team, Work with 5 to 6 people in my team")</f>
        <v>Work with 2 to 3 people in my team, Work with 5 to 6 people in my team</v>
      </c>
      <c r="Q726" s="1" t="str">
        <f ca="1">IFERROR(__xludf.DUMMYFUNCTION("""COMPUTED_VALUE"""),"Yes, I Understand this is gonna happen everywhere")</f>
        <v>Yes, I Understand this is gonna happen everywhere</v>
      </c>
      <c r="R726" s="1" t="str">
        <f ca="1">IFERROR(__xludf.DUMMYFUNCTION("""COMPUTED_VALUE"""),"This will be hard to do, but if it is the right company I would try")</f>
        <v>This will be hard to do, but if it is the right company I would try</v>
      </c>
      <c r="S726" s="1"/>
    </row>
    <row r="727" spans="1:19" ht="12.5" x14ac:dyDescent="0.25">
      <c r="A727" s="2">
        <f ca="1">IFERROR(__xludf.DUMMYFUNCTION("""COMPUTED_VALUE"""),45022.4345817013)</f>
        <v>45022.434581701302</v>
      </c>
      <c r="B727" s="1" t="str">
        <f ca="1">IFERROR(__xludf.DUMMYFUNCTION("""COMPUTED_VALUE"""),"India")</f>
        <v>India</v>
      </c>
      <c r="C727" s="1">
        <f ca="1">IFERROR(__xludf.DUMMYFUNCTION("""COMPUTED_VALUE"""),400610)</f>
        <v>400610</v>
      </c>
      <c r="D727" s="1" t="str">
        <f ca="1">IFERROR(__xludf.DUMMYFUNCTION("""COMPUTED_VALUE"""),"Male")</f>
        <v>Male</v>
      </c>
      <c r="E727" s="1" t="str">
        <f ca="1">IFERROR(__xludf.DUMMYFUNCTION("""COMPUTED_VALUE"""),"Influencers who had successful careers")</f>
        <v>Influencers who had successful careers</v>
      </c>
      <c r="F727" s="1" t="str">
        <f ca="1">IFERROR(__xludf.DUMMYFUNCTION("""COMPUTED_VALUE"""),"No, But if someone could bare the cost I will")</f>
        <v>No, But if someone could bare the cost I will</v>
      </c>
      <c r="G727" s="1" t="str">
        <f ca="1">IFERROR(__xludf.DUMMYFUNCTION("""COMPUTED_VALUE"""),"Will work for 3 years or more")</f>
        <v>Will work for 3 years or more</v>
      </c>
      <c r="H727" s="1" t="str">
        <f ca="1">IFERROR(__xludf.DUMMYFUNCTION("""COMPUTED_VALUE"""),"No")</f>
        <v>No</v>
      </c>
      <c r="I727" s="1" t="str">
        <f ca="1">IFERROR(__xludf.DUMMYFUNCTION("""COMPUTED_VALUE"""),"Will NOT work for them")</f>
        <v>Will NOT work for them</v>
      </c>
      <c r="J727" s="1">
        <f ca="1">IFERROR(__xludf.DUMMYFUNCTION("""COMPUTED_VALUE"""),1)</f>
        <v>1</v>
      </c>
      <c r="K727" s="1" t="str">
        <f ca="1">IFERROR(__xludf.DUMMYFUNCTION("""COMPUTED_VALUE"""),"Hybrid Working Environment with more than 15 days a month at office")</f>
        <v>Hybrid Working Environment with more than 15 days a month at office</v>
      </c>
      <c r="L7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2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27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727" s="1" t="str">
        <f ca="1">IFERROR(__xludf.DUMMYFUNCTION("""COMPUTED_VALUE"""),"Manager who sets goal and helps me achieve it")</f>
        <v>Manager who sets goal and helps me achieve it</v>
      </c>
      <c r="P727" s="1" t="str">
        <f ca="1">IFERROR(__xludf.DUMMYFUNCTION("""COMPUTED_VALUE"""),"Work with more than 10 people in my team")</f>
        <v>Work with more than 10 people in my team</v>
      </c>
      <c r="Q727" s="1" t="str">
        <f ca="1">IFERROR(__xludf.DUMMYFUNCTION("""COMPUTED_VALUE"""),"No")</f>
        <v>No</v>
      </c>
      <c r="R727" s="1" t="str">
        <f ca="1">IFERROR(__xludf.DUMMYFUNCTION("""COMPUTED_VALUE"""),"This will be hard to do, but if it is the right company I would try")</f>
        <v>This will be hard to do, but if it is the right company I would try</v>
      </c>
      <c r="S727" s="1"/>
    </row>
    <row r="728" spans="1:19" ht="12.5" x14ac:dyDescent="0.25">
      <c r="A728" s="2">
        <f ca="1">IFERROR(__xludf.DUMMYFUNCTION("""COMPUTED_VALUE"""),45022.4359605902)</f>
        <v>45022.435960590199</v>
      </c>
      <c r="B728" s="1" t="str">
        <f ca="1">IFERROR(__xludf.DUMMYFUNCTION("""COMPUTED_VALUE"""),"India")</f>
        <v>India</v>
      </c>
      <c r="C728" s="1">
        <f ca="1">IFERROR(__xludf.DUMMYFUNCTION("""COMPUTED_VALUE"""),201301)</f>
        <v>201301</v>
      </c>
      <c r="D728" s="1" t="str">
        <f ca="1">IFERROR(__xludf.DUMMYFUNCTION("""COMPUTED_VALUE"""),"Male")</f>
        <v>Male</v>
      </c>
      <c r="E728" s="1" t="str">
        <f ca="1">IFERROR(__xludf.DUMMYFUNCTION("""COMPUTED_VALUE"""),"Social Media like LinkedIn")</f>
        <v>Social Media like LinkedIn</v>
      </c>
      <c r="F728" s="1" t="str">
        <f ca="1">IFERROR(__xludf.DUMMYFUNCTION("""COMPUTED_VALUE"""),"Yes, I will earn and do that")</f>
        <v>Yes, I will earn and do that</v>
      </c>
      <c r="G728" s="1" t="str">
        <f ca="1">IFERROR(__xludf.DUMMYFUNCTION("""COMPUTED_VALUE"""),"Will work for 3 years or more")</f>
        <v>Will work for 3 years or more</v>
      </c>
      <c r="H728" s="1" t="str">
        <f ca="1">IFERROR(__xludf.DUMMYFUNCTION("""COMPUTED_VALUE"""),"No")</f>
        <v>No</v>
      </c>
      <c r="I728" s="1" t="str">
        <f ca="1">IFERROR(__xludf.DUMMYFUNCTION("""COMPUTED_VALUE"""),"Will NOT work for them")</f>
        <v>Will NOT work for them</v>
      </c>
      <c r="J728" s="1">
        <f ca="1">IFERROR(__xludf.DUMMYFUNCTION("""COMPUTED_VALUE"""),9)</f>
        <v>9</v>
      </c>
      <c r="K728" s="1" t="str">
        <f ca="1">IFERROR(__xludf.DUMMYFUNCTION("""COMPUTED_VALUE"""),"Hybrid Working Environment with less than 3 days a month at office")</f>
        <v>Hybrid Working Environment with less than 3 days a month at office</v>
      </c>
      <c r="L728" s="1" t="str">
        <f ca="1">IFERROR(__xludf.DUMMYFUNCTION("""COMPUTED_VALUE"""),"Employer who appreciates learning and enables that environment")</f>
        <v>Employer who appreciates learning and enables that environment</v>
      </c>
      <c r="M72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28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728" s="1" t="str">
        <f ca="1">IFERROR(__xludf.DUMMYFUNCTION("""COMPUTED_VALUE"""),"Manager who clearly describes what she/he needs")</f>
        <v>Manager who clearly describes what she/he needs</v>
      </c>
      <c r="P728" s="1" t="str">
        <f ca="1">IFERROR(__xludf.DUMMYFUNCTION("""COMPUTED_VALUE"""),"Work with 5 to 6 people in my team")</f>
        <v>Work with 5 to 6 people in my team</v>
      </c>
      <c r="Q728" s="1" t="str">
        <f ca="1">IFERROR(__xludf.DUMMYFUNCTION("""COMPUTED_VALUE"""),"Yes, I Understand this is gonna happen everywhere")</f>
        <v>Yes, I Understand this is gonna happen everywhere</v>
      </c>
      <c r="R728" s="1" t="str">
        <f ca="1">IFERROR(__xludf.DUMMYFUNCTION("""COMPUTED_VALUE"""),"This will be hard to do, but if it is the right company I would try")</f>
        <v>This will be hard to do, but if it is the right company I would try</v>
      </c>
      <c r="S728" s="1"/>
    </row>
    <row r="729" spans="1:19" ht="12.5" x14ac:dyDescent="0.25">
      <c r="A729" s="2">
        <f ca="1">IFERROR(__xludf.DUMMYFUNCTION("""COMPUTED_VALUE"""),45022.4426861689)</f>
        <v>45022.442686168899</v>
      </c>
      <c r="B729" s="1" t="str">
        <f ca="1">IFERROR(__xludf.DUMMYFUNCTION("""COMPUTED_VALUE"""),"India")</f>
        <v>India</v>
      </c>
      <c r="C729" s="1">
        <f ca="1">IFERROR(__xludf.DUMMYFUNCTION("""COMPUTED_VALUE"""),201301)</f>
        <v>201301</v>
      </c>
      <c r="D729" s="1" t="str">
        <f ca="1">IFERROR(__xludf.DUMMYFUNCTION("""COMPUTED_VALUE"""),"Male")</f>
        <v>Male</v>
      </c>
      <c r="E729" s="1" t="str">
        <f ca="1">IFERROR(__xludf.DUMMYFUNCTION("""COMPUTED_VALUE"""),"My Parents")</f>
        <v>My Parents</v>
      </c>
      <c r="F729" s="1" t="str">
        <f ca="1">IFERROR(__xludf.DUMMYFUNCTION("""COMPUTED_VALUE"""),"Yes, I will earn and do that")</f>
        <v>Yes, I will earn and do that</v>
      </c>
      <c r="G729" s="1" t="str">
        <f ca="1">IFERROR(__xludf.DUMMYFUNCTION("""COMPUTED_VALUE"""),"Will work for 3 years or more")</f>
        <v>Will work for 3 years or more</v>
      </c>
      <c r="H729" s="1" t="str">
        <f ca="1">IFERROR(__xludf.DUMMYFUNCTION("""COMPUTED_VALUE"""),"No")</f>
        <v>No</v>
      </c>
      <c r="I729" s="1" t="str">
        <f ca="1">IFERROR(__xludf.DUMMYFUNCTION("""COMPUTED_VALUE"""),"Will NOT work for them")</f>
        <v>Will NOT work for them</v>
      </c>
      <c r="J729" s="1">
        <f ca="1">IFERROR(__xludf.DUMMYFUNCTION("""COMPUTED_VALUE"""),3)</f>
        <v>3</v>
      </c>
      <c r="K729" s="1" t="str">
        <f ca="1">IFERROR(__xludf.DUMMYFUNCTION("""COMPUTED_VALUE"""),"Hybrid Working Environment with more than 15 days a month at office")</f>
        <v>Hybrid Working Environment with more than 15 days a month at office</v>
      </c>
      <c r="L7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2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29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729" s="1" t="str">
        <f ca="1">IFERROR(__xludf.DUMMYFUNCTION("""COMPUTED_VALUE"""),"Manager who explains what is expected, sets a goal and helps achieve it")</f>
        <v>Manager who explains what is expected, sets a goal and helps achieve it</v>
      </c>
      <c r="P729" s="1" t="str">
        <f ca="1">IFERROR(__xludf.DUMMYFUNCTION("""COMPUTED_VALUE"""),"Work with 5 to 6 people in my team")</f>
        <v>Work with 5 to 6 people in my team</v>
      </c>
      <c r="Q729" s="1" t="str">
        <f ca="1">IFERROR(__xludf.DUMMYFUNCTION("""COMPUTED_VALUE"""),"Yes")</f>
        <v>Yes</v>
      </c>
      <c r="R729" s="1" t="str">
        <f ca="1">IFERROR(__xludf.DUMMYFUNCTION("""COMPUTED_VALUE"""),"Will work for 7 years or more")</f>
        <v>Will work for 7 years or more</v>
      </c>
      <c r="S729" s="1"/>
    </row>
    <row r="730" spans="1:19" ht="12.5" x14ac:dyDescent="0.25">
      <c r="A730" s="2">
        <f ca="1">IFERROR(__xludf.DUMMYFUNCTION("""COMPUTED_VALUE"""),45022.4460272453)</f>
        <v>45022.4460272453</v>
      </c>
      <c r="B730" s="1" t="str">
        <f ca="1">IFERROR(__xludf.DUMMYFUNCTION("""COMPUTED_VALUE"""),"India")</f>
        <v>India</v>
      </c>
      <c r="C730" s="1">
        <f ca="1">IFERROR(__xludf.DUMMYFUNCTION("""COMPUTED_VALUE"""),110059)</f>
        <v>110059</v>
      </c>
      <c r="D730" s="1" t="str">
        <f ca="1">IFERROR(__xludf.DUMMYFUNCTION("""COMPUTED_VALUE"""),"Female")</f>
        <v>Female</v>
      </c>
      <c r="E730" s="1" t="str">
        <f ca="1">IFERROR(__xludf.DUMMYFUNCTION("""COMPUTED_VALUE"""),"Social Media like LinkedIn")</f>
        <v>Social Media like LinkedIn</v>
      </c>
      <c r="F730" s="1" t="str">
        <f ca="1">IFERROR(__xludf.DUMMYFUNCTION("""COMPUTED_VALUE"""),"Yes, I will earn and do that")</f>
        <v>Yes, I will earn and do that</v>
      </c>
      <c r="G730" s="1" t="str">
        <f ca="1">IFERROR(__xludf.DUMMYFUNCTION("""COMPUTED_VALUE"""),"Will work for 3 years or more")</f>
        <v>Will work for 3 years or more</v>
      </c>
      <c r="H730" s="1" t="str">
        <f ca="1">IFERROR(__xludf.DUMMYFUNCTION("""COMPUTED_VALUE"""),"No")</f>
        <v>No</v>
      </c>
      <c r="I730" s="1" t="str">
        <f ca="1">IFERROR(__xludf.DUMMYFUNCTION("""COMPUTED_VALUE"""),"Will NOT work for them")</f>
        <v>Will NOT work for them</v>
      </c>
      <c r="J730" s="1">
        <f ca="1">IFERROR(__xludf.DUMMYFUNCTION("""COMPUTED_VALUE"""),3)</f>
        <v>3</v>
      </c>
      <c r="K730" s="1" t="str">
        <f ca="1">IFERROR(__xludf.DUMMYFUNCTION("""COMPUTED_VALUE"""),"Fully Remote with No option to visit offices")</f>
        <v>Fully Remote with No option to visit offices</v>
      </c>
      <c r="L730" s="1" t="str">
        <f ca="1">IFERROR(__xludf.DUMMYFUNCTION("""COMPUTED_VALUE"""),"Employer who appreciates learning and enables that environment")</f>
        <v>Employer who appreciates learning and enables that environment</v>
      </c>
      <c r="M73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30" s="1" t="str">
        <f ca="1">IFERROR(__xludf.DUMMYFUNCTION("""COMPUTED_VALUE"""),"Design and Creative strategy in any company, Business Operations in any organization, An Artificial Intelligence Specialist / Talking to Robots, Manufacturing / Oil and Gas/ Construction / Hard Physical Work related")</f>
        <v>Design and Creative strategy in any company, Business Operations in any organization, An Artificial Intelligence Specialist / Talking to Robots, Manufacturing / Oil and Gas/ Construction / Hard Physical Work related</v>
      </c>
      <c r="O730" s="1" t="str">
        <f ca="1">IFERROR(__xludf.DUMMYFUNCTION("""COMPUTED_VALUE"""),"Manager who clearly describes what she/he needs")</f>
        <v>Manager who clearly describes what she/he needs</v>
      </c>
      <c r="P730" s="1" t="str">
        <f ca="1">IFERROR(__xludf.DUMMYFUNCTION("""COMPUTED_VALUE"""),"Work with 2 to 3 people in my team")</f>
        <v>Work with 2 to 3 people in my team</v>
      </c>
      <c r="Q730" s="1" t="str">
        <f ca="1">IFERROR(__xludf.DUMMYFUNCTION("""COMPUTED_VALUE"""),"No")</f>
        <v>No</v>
      </c>
      <c r="R730" s="1" t="str">
        <f ca="1">IFERROR(__xludf.DUMMYFUNCTION("""COMPUTED_VALUE"""),"No way")</f>
        <v>No way</v>
      </c>
      <c r="S730" s="1"/>
    </row>
    <row r="731" spans="1:19" ht="12.5" x14ac:dyDescent="0.25">
      <c r="A731" s="2">
        <f ca="1">IFERROR(__xludf.DUMMYFUNCTION("""COMPUTED_VALUE"""),45022.451627905)</f>
        <v>45022.451627905</v>
      </c>
      <c r="B731" s="1" t="str">
        <f ca="1">IFERROR(__xludf.DUMMYFUNCTION("""COMPUTED_VALUE"""),"India")</f>
        <v>India</v>
      </c>
      <c r="C731" s="1">
        <f ca="1">IFERROR(__xludf.DUMMYFUNCTION("""COMPUTED_VALUE"""),110008)</f>
        <v>110008</v>
      </c>
      <c r="D731" s="1" t="str">
        <f ca="1">IFERROR(__xludf.DUMMYFUNCTION("""COMPUTED_VALUE"""),"Male")</f>
        <v>Male</v>
      </c>
      <c r="E731" s="1" t="str">
        <f ca="1">IFERROR(__xludf.DUMMYFUNCTION("""COMPUTED_VALUE"""),"Influencers who had successful careers")</f>
        <v>Influencers who had successful careers</v>
      </c>
      <c r="F731" s="1" t="str">
        <f ca="1">IFERROR(__xludf.DUMMYFUNCTION("""COMPUTED_VALUE"""),"Yes, I will earn and do that")</f>
        <v>Yes, I will earn and do that</v>
      </c>
      <c r="G731" s="1" t="str">
        <f ca="1">IFERROR(__xludf.DUMMYFUNCTION("""COMPUTED_VALUE"""),"Will work for 3 years or more")</f>
        <v>Will work for 3 years or more</v>
      </c>
      <c r="H731" s="1" t="str">
        <f ca="1">IFERROR(__xludf.DUMMYFUNCTION("""COMPUTED_VALUE"""),"Yes")</f>
        <v>Yes</v>
      </c>
      <c r="I731" s="1" t="str">
        <f ca="1">IFERROR(__xludf.DUMMYFUNCTION("""COMPUTED_VALUE"""),"Will work for them")</f>
        <v>Will work for them</v>
      </c>
      <c r="J731" s="1">
        <f ca="1">IFERROR(__xludf.DUMMYFUNCTION("""COMPUTED_VALUE"""),9)</f>
        <v>9</v>
      </c>
      <c r="K731" s="1" t="str">
        <f ca="1">IFERROR(__xludf.DUMMYFUNCTION("""COMPUTED_VALUE"""),"Fully Remote with No option to visit offices")</f>
        <v>Fully Remote with No option to visit offices</v>
      </c>
      <c r="L731" s="1" t="str">
        <f ca="1">IFERROR(__xludf.DUMMYFUNCTION("""COMPUTED_VALUE"""),"Employer who rewards learning and enables that environment")</f>
        <v>Employer who rewards learning and enables that environment</v>
      </c>
      <c r="M73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31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731" s="1" t="str">
        <f ca="1">IFERROR(__xludf.DUMMYFUNCTION("""COMPUTED_VALUE"""),"Manager who clearly describes what she/he needs")</f>
        <v>Manager who clearly describes what she/he needs</v>
      </c>
      <c r="P731" s="1" t="str">
        <f ca="1">IFERROR(__xludf.DUMMYFUNCTION("""COMPUTED_VALUE"""),"Work with 7 to 10 or more people in my team")</f>
        <v>Work with 7 to 10 or more people in my team</v>
      </c>
      <c r="Q731" s="1" t="str">
        <f ca="1">IFERROR(__xludf.DUMMYFUNCTION("""COMPUTED_VALUE"""),"I have NO other choice")</f>
        <v>I have NO other choice</v>
      </c>
      <c r="R731" s="1" t="str">
        <f ca="1">IFERROR(__xludf.DUMMYFUNCTION("""COMPUTED_VALUE"""),"This will be hard to do, but if it is the right company I would try")</f>
        <v>This will be hard to do, but if it is the right company I would try</v>
      </c>
      <c r="S731" s="1"/>
    </row>
    <row r="732" spans="1:19" ht="12.5" x14ac:dyDescent="0.25">
      <c r="A732" s="2">
        <f ca="1">IFERROR(__xludf.DUMMYFUNCTION("""COMPUTED_VALUE"""),45022.4557877199)</f>
        <v>45022.455787719897</v>
      </c>
      <c r="B732" s="1" t="str">
        <f ca="1">IFERROR(__xludf.DUMMYFUNCTION("""COMPUTED_VALUE"""),"India")</f>
        <v>India</v>
      </c>
      <c r="C732" s="1">
        <f ca="1">IFERROR(__xludf.DUMMYFUNCTION("""COMPUTED_VALUE"""),110067)</f>
        <v>110067</v>
      </c>
      <c r="D732" s="1" t="str">
        <f ca="1">IFERROR(__xludf.DUMMYFUNCTION("""COMPUTED_VALUE"""),"Female")</f>
        <v>Female</v>
      </c>
      <c r="E732" s="1" t="str">
        <f ca="1">IFERROR(__xludf.DUMMYFUNCTION("""COMPUTED_VALUE"""),"Influencers who had successful careers")</f>
        <v>Influencers who had successful careers</v>
      </c>
      <c r="F732" s="1" t="str">
        <f ca="1">IFERROR(__xludf.DUMMYFUNCTION("""COMPUTED_VALUE"""),"Yes, I will earn and do that")</f>
        <v>Yes, I will earn and do that</v>
      </c>
      <c r="G732" s="1" t="str">
        <f ca="1">IFERROR(__xludf.DUMMYFUNCTION("""COMPUTED_VALUE"""),"This will be hard to do, but if it is the right company I would try")</f>
        <v>This will be hard to do, but if it is the right company I would try</v>
      </c>
      <c r="H732" s="1" t="str">
        <f ca="1">IFERROR(__xludf.DUMMYFUNCTION("""COMPUTED_VALUE"""),"Yes")</f>
        <v>Yes</v>
      </c>
      <c r="I732" s="1" t="str">
        <f ca="1">IFERROR(__xludf.DUMMYFUNCTION("""COMPUTED_VALUE"""),"Will work for them")</f>
        <v>Will work for them</v>
      </c>
      <c r="J732" s="1">
        <f ca="1">IFERROR(__xludf.DUMMYFUNCTION("""COMPUTED_VALUE"""),8)</f>
        <v>8</v>
      </c>
      <c r="K732" s="1" t="str">
        <f ca="1">IFERROR(__xludf.DUMMYFUNCTION("""COMPUTED_VALUE"""),"Fully Remote with No option to visit offices")</f>
        <v>Fully Remote with No option to visit offices</v>
      </c>
      <c r="L732" s="1" t="str">
        <f ca="1">IFERROR(__xludf.DUMMYFUNCTION("""COMPUTED_VALUE"""),"Employer who appreciates learning and enables that environment")</f>
        <v>Employer who appreciates learning and enables that environment</v>
      </c>
      <c r="M73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32" s="1" t="str">
        <f ca="1">IFERROR(__xludf.DUMMYFUNCTION("""COMPUTED_VALUE"""),"Design and Creative strategy in any company, Teaching in any of the institutes/colleges/online or offline, Business Operations in any organization, Manufacturing / Oil and Gas/ Construction / Hard Physical Work related")</f>
        <v>Design and Creative strategy in any company, Teaching in any of the institutes/colleges/online or offline, Business Operations in any organization, Manufacturing / Oil and Gas/ Construction / Hard Physical Work related</v>
      </c>
      <c r="O732" s="1" t="str">
        <f ca="1">IFERROR(__xludf.DUMMYFUNCTION("""COMPUTED_VALUE"""),"Manager who clearly describes what she/he needs")</f>
        <v>Manager who clearly describes what she/he needs</v>
      </c>
      <c r="P732" s="1" t="str">
        <f ca="1">IFERROR(__xludf.DUMMYFUNCTION("""COMPUTED_VALUE"""),"Work with more than 10 people in my team")</f>
        <v>Work with more than 10 people in my team</v>
      </c>
      <c r="Q732" s="1" t="str">
        <f ca="1">IFERROR(__xludf.DUMMYFUNCTION("""COMPUTED_VALUE"""),"Yes")</f>
        <v>Yes</v>
      </c>
      <c r="R732" s="1" t="str">
        <f ca="1">IFERROR(__xludf.DUMMYFUNCTION("""COMPUTED_VALUE"""),"No way")</f>
        <v>No way</v>
      </c>
      <c r="S732" s="1"/>
    </row>
    <row r="733" spans="1:19" ht="12.5" x14ac:dyDescent="0.25">
      <c r="A733" s="2">
        <f ca="1">IFERROR(__xludf.DUMMYFUNCTION("""COMPUTED_VALUE"""),45022.4570683101)</f>
        <v>45022.457068310097</v>
      </c>
      <c r="B733" s="1" t="str">
        <f ca="1">IFERROR(__xludf.DUMMYFUNCTION("""COMPUTED_VALUE"""),"India")</f>
        <v>India</v>
      </c>
      <c r="C733" s="1">
        <f ca="1">IFERROR(__xludf.DUMMYFUNCTION("""COMPUTED_VALUE"""),122022)</f>
        <v>122022</v>
      </c>
      <c r="D733" s="1" t="str">
        <f ca="1">IFERROR(__xludf.DUMMYFUNCTION("""COMPUTED_VALUE"""),"Female")</f>
        <v>Female</v>
      </c>
      <c r="E733" s="1" t="str">
        <f ca="1">IFERROR(__xludf.DUMMYFUNCTION("""COMPUTED_VALUE"""),"Influencers who had successful careers")</f>
        <v>Influencers who had successful careers</v>
      </c>
      <c r="F733" s="1" t="str">
        <f ca="1">IFERROR(__xludf.DUMMYFUNCTION("""COMPUTED_VALUE"""),"Yes, I will earn and do that")</f>
        <v>Yes, I will earn and do that</v>
      </c>
      <c r="G733" s="1" t="str">
        <f ca="1">IFERROR(__xludf.DUMMYFUNCTION("""COMPUTED_VALUE"""),"Will work for 3 years or more")</f>
        <v>Will work for 3 years or more</v>
      </c>
      <c r="H733" s="1" t="str">
        <f ca="1">IFERROR(__xludf.DUMMYFUNCTION("""COMPUTED_VALUE"""),"No")</f>
        <v>No</v>
      </c>
      <c r="I733" s="1" t="str">
        <f ca="1">IFERROR(__xludf.DUMMYFUNCTION("""COMPUTED_VALUE"""),"Will NOT work for them")</f>
        <v>Will NOT work for them</v>
      </c>
      <c r="J733" s="1">
        <f ca="1">IFERROR(__xludf.DUMMYFUNCTION("""COMPUTED_VALUE"""),5)</f>
        <v>5</v>
      </c>
      <c r="K733" s="1" t="str">
        <f ca="1">IFERROR(__xludf.DUMMYFUNCTION("""COMPUTED_VALUE"""),"Fully Remote with Options to travel as and when needed")</f>
        <v>Fully Remote with Options to travel as and when needed</v>
      </c>
      <c r="L7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3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33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733" s="1" t="str">
        <f ca="1">IFERROR(__xludf.DUMMYFUNCTION("""COMPUTED_VALUE"""),"Manager who explains what is expected, sets a goal and helps achieve it")</f>
        <v>Manager who explains what is expected, sets a goal and helps achieve it</v>
      </c>
      <c r="P733" s="1" t="str">
        <f ca="1">IFERROR(__xludf.DUMMYFUNCTION("""COMPUTED_VALUE"""),"Work with 2 to 3 people in my team")</f>
        <v>Work with 2 to 3 people in my team</v>
      </c>
      <c r="Q733" s="1" t="str">
        <f ca="1">IFERROR(__xludf.DUMMYFUNCTION("""COMPUTED_VALUE"""),"No")</f>
        <v>No</v>
      </c>
      <c r="R733" s="1" t="str">
        <f ca="1">IFERROR(__xludf.DUMMYFUNCTION("""COMPUTED_VALUE"""),"Will work for 7 years or more")</f>
        <v>Will work for 7 years or more</v>
      </c>
      <c r="S733" s="1"/>
    </row>
    <row r="734" spans="1:19" ht="12.5" x14ac:dyDescent="0.25">
      <c r="A734" s="2">
        <f ca="1">IFERROR(__xludf.DUMMYFUNCTION("""COMPUTED_VALUE"""),45022.4617673842)</f>
        <v>45022.4617673842</v>
      </c>
      <c r="B734" s="1" t="str">
        <f ca="1">IFERROR(__xludf.DUMMYFUNCTION("""COMPUTED_VALUE"""),"India")</f>
        <v>India</v>
      </c>
      <c r="C734" s="1">
        <f ca="1">IFERROR(__xludf.DUMMYFUNCTION("""COMPUTED_VALUE"""),110078)</f>
        <v>110078</v>
      </c>
      <c r="D734" s="1" t="str">
        <f ca="1">IFERROR(__xludf.DUMMYFUNCTION("""COMPUTED_VALUE"""),"Male")</f>
        <v>Male</v>
      </c>
      <c r="E734" s="1" t="str">
        <f ca="1">IFERROR(__xludf.DUMMYFUNCTION("""COMPUTED_VALUE"""),"Influencers who had successful careers")</f>
        <v>Influencers who had successful careers</v>
      </c>
      <c r="F734" s="1" t="str">
        <f ca="1">IFERROR(__xludf.DUMMYFUNCTION("""COMPUTED_VALUE"""),"Yes, I will earn and do that")</f>
        <v>Yes, I will earn and do that</v>
      </c>
      <c r="G734" s="1" t="str">
        <f ca="1">IFERROR(__xludf.DUMMYFUNCTION("""COMPUTED_VALUE"""),"Will work for 3 years or more")</f>
        <v>Will work for 3 years or more</v>
      </c>
      <c r="H734" s="1" t="str">
        <f ca="1">IFERROR(__xludf.DUMMYFUNCTION("""COMPUTED_VALUE"""),"Yes")</f>
        <v>Yes</v>
      </c>
      <c r="I734" s="1" t="str">
        <f ca="1">IFERROR(__xludf.DUMMYFUNCTION("""COMPUTED_VALUE"""),"Will work for them")</f>
        <v>Will work for them</v>
      </c>
      <c r="J734" s="1">
        <f ca="1">IFERROR(__xludf.DUMMYFUNCTION("""COMPUTED_VALUE"""),10)</f>
        <v>10</v>
      </c>
      <c r="K734" s="1" t="str">
        <f ca="1">IFERROR(__xludf.DUMMYFUNCTION("""COMPUTED_VALUE"""),"Fully Remote with No option to visit offices")</f>
        <v>Fully Remote with No option to visit offices</v>
      </c>
      <c r="L734" s="1" t="str">
        <f ca="1">IFERROR(__xludf.DUMMYFUNCTION("""COMPUTED_VALUE"""),"Employer who appreciates learning and enables that environment")</f>
        <v>Employer who appreciates learning and enables that environment</v>
      </c>
      <c r="M734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734" s="1" t="str">
        <f ca="1">IFERROR(__xludf.DUMMYFUNCTION("""COMPUTED_VALUE"""),"Design and Creative strategy in any company, Business Operations in any organization, Manage and drive End-to-End Projects or Products, Manufacturing / Oil and Gas/ Construction / Hard Physical Work related")</f>
        <v>Design and Creative strategy in any company, Business Operations in any organization, Manage and drive End-to-End Projects or Products, Manufacturing / Oil and Gas/ Construction / Hard Physical Work related</v>
      </c>
      <c r="O734" s="1" t="str">
        <f ca="1">IFERROR(__xludf.DUMMYFUNCTION("""COMPUTED_VALUE"""),"Manager who sets goal and helps me achieve it")</f>
        <v>Manager who sets goal and helps me achieve it</v>
      </c>
      <c r="P734" s="1" t="str">
        <f ca="1">IFERROR(__xludf.DUMMYFUNCTION("""COMPUTED_VALUE"""),"Work with 7 to 10 or more people in my team")</f>
        <v>Work with 7 to 10 or more people in my team</v>
      </c>
      <c r="Q734" s="1" t="str">
        <f ca="1">IFERROR(__xludf.DUMMYFUNCTION("""COMPUTED_VALUE"""),"Yes")</f>
        <v>Yes</v>
      </c>
      <c r="R734" s="1" t="str">
        <f ca="1">IFERROR(__xludf.DUMMYFUNCTION("""COMPUTED_VALUE"""),"No way")</f>
        <v>No way</v>
      </c>
      <c r="S734" s="1"/>
    </row>
    <row r="735" spans="1:19" ht="12.5" x14ac:dyDescent="0.25">
      <c r="A735" s="2">
        <f ca="1">IFERROR(__xludf.DUMMYFUNCTION("""COMPUTED_VALUE"""),45022.4663414583)</f>
        <v>45022.466341458297</v>
      </c>
      <c r="B735" s="1" t="str">
        <f ca="1">IFERROR(__xludf.DUMMYFUNCTION("""COMPUTED_VALUE"""),"India")</f>
        <v>India</v>
      </c>
      <c r="C735" s="1">
        <f ca="1">IFERROR(__xludf.DUMMYFUNCTION("""COMPUTED_VALUE"""),442906)</f>
        <v>442906</v>
      </c>
      <c r="D735" s="1" t="str">
        <f ca="1">IFERROR(__xludf.DUMMYFUNCTION("""COMPUTED_VALUE"""),"Male")</f>
        <v>Male</v>
      </c>
      <c r="E735" s="1" t="str">
        <f ca="1">IFERROR(__xludf.DUMMYFUNCTION("""COMPUTED_VALUE"""),"My Parents")</f>
        <v>My Parents</v>
      </c>
      <c r="F735" s="1" t="str">
        <f ca="1">IFERROR(__xludf.DUMMYFUNCTION("""COMPUTED_VALUE"""),"No I would not be pursuing Higher Education outside of India")</f>
        <v>No I would not be pursuing Higher Education outside of India</v>
      </c>
      <c r="G735" s="1" t="str">
        <f ca="1">IFERROR(__xludf.DUMMYFUNCTION("""COMPUTED_VALUE"""),"This will be hard to do, but if it is the right company I would try")</f>
        <v>This will be hard to do, but if it is the right company I would try</v>
      </c>
      <c r="H735" s="1" t="str">
        <f ca="1">IFERROR(__xludf.DUMMYFUNCTION("""COMPUTED_VALUE"""),"Yes")</f>
        <v>Yes</v>
      </c>
      <c r="I735" s="1" t="str">
        <f ca="1">IFERROR(__xludf.DUMMYFUNCTION("""COMPUTED_VALUE"""),"Will work for them")</f>
        <v>Will work for them</v>
      </c>
      <c r="J735" s="1">
        <f ca="1">IFERROR(__xludf.DUMMYFUNCTION("""COMPUTED_VALUE"""),7)</f>
        <v>7</v>
      </c>
      <c r="K735" s="1" t="str">
        <f ca="1">IFERROR(__xludf.DUMMYFUNCTION("""COMPUTED_VALUE"""),"Every Day Office Environment")</f>
        <v>Every Day Office Environment</v>
      </c>
      <c r="L735" s="1" t="str">
        <f ca="1">IFERROR(__xludf.DUMMYFUNCTION("""COMPUTED_VALUE"""),"Employer who appreciates learning and enables that environment")</f>
        <v>Employer who appreciates learning and enables that environment</v>
      </c>
      <c r="M73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35" s="1" t="str">
        <f ca="1">IFERROR(__xludf.DUMMYFUNCTION("""COMPUTED_VALUE"""),"Teaching in any of the institutes/colleges/online or offline, Business Operations in any organization, Manage and drive End-to-End Projects or Products, Become a content Creator in some platform")</f>
        <v>Teaching in any of the institutes/colleges/online or offline, Business Operations in any organization, Manage and drive End-to-End Projects or Products, Become a content Creator in some platform</v>
      </c>
      <c r="O735" s="1" t="str">
        <f ca="1">IFERROR(__xludf.DUMMYFUNCTION("""COMPUTED_VALUE"""),"Manager who clearly describes what she/he needs")</f>
        <v>Manager who clearly describes what she/he needs</v>
      </c>
      <c r="P735" s="1" t="str">
        <f ca="1">IFERROR(__xludf.DUMMYFUNCTION("""COMPUTED_VALUE"""),"Work alone, Work with 2 to 3 people in my team")</f>
        <v>Work alone, Work with 2 to 3 people in my team</v>
      </c>
      <c r="Q735" s="1" t="str">
        <f ca="1">IFERROR(__xludf.DUMMYFUNCTION("""COMPUTED_VALUE"""),"Yes")</f>
        <v>Yes</v>
      </c>
      <c r="R735" s="1" t="str">
        <f ca="1">IFERROR(__xludf.DUMMYFUNCTION("""COMPUTED_VALUE"""),"This will be hard to do, but if it is the right company I would try")</f>
        <v>This will be hard to do, but if it is the right company I would try</v>
      </c>
      <c r="S735" s="1"/>
    </row>
    <row r="736" spans="1:19" ht="12.5" x14ac:dyDescent="0.25">
      <c r="A736" s="2">
        <f ca="1">IFERROR(__xludf.DUMMYFUNCTION("""COMPUTED_VALUE"""),45022.4684222106)</f>
        <v>45022.468422210601</v>
      </c>
      <c r="B736" s="1" t="str">
        <f ca="1">IFERROR(__xludf.DUMMYFUNCTION("""COMPUTED_VALUE"""),"India")</f>
        <v>India</v>
      </c>
      <c r="C736" s="1">
        <f ca="1">IFERROR(__xludf.DUMMYFUNCTION("""COMPUTED_VALUE"""),122102)</f>
        <v>122102</v>
      </c>
      <c r="D736" s="1" t="str">
        <f ca="1">IFERROR(__xludf.DUMMYFUNCTION("""COMPUTED_VALUE"""),"Female")</f>
        <v>Female</v>
      </c>
      <c r="E736" s="1" t="str">
        <f ca="1">IFERROR(__xludf.DUMMYFUNCTION("""COMPUTED_VALUE"""),"My Parents")</f>
        <v>My Parents</v>
      </c>
      <c r="F736" s="1" t="str">
        <f ca="1">IFERROR(__xludf.DUMMYFUNCTION("""COMPUTED_VALUE"""),"No I would not be pursuing Higher Education outside of India")</f>
        <v>No I would not be pursuing Higher Education outside of India</v>
      </c>
      <c r="G736" s="1" t="str">
        <f ca="1">IFERROR(__xludf.DUMMYFUNCTION("""COMPUTED_VALUE"""),"Will work for 3 years or more")</f>
        <v>Will work for 3 years or more</v>
      </c>
      <c r="H736" s="1" t="str">
        <f ca="1">IFERROR(__xludf.DUMMYFUNCTION("""COMPUTED_VALUE"""),"No")</f>
        <v>No</v>
      </c>
      <c r="I736" s="1" t="str">
        <f ca="1">IFERROR(__xludf.DUMMYFUNCTION("""COMPUTED_VALUE"""),"Will NOT work for them")</f>
        <v>Will NOT work for them</v>
      </c>
      <c r="J736" s="1">
        <f ca="1">IFERROR(__xludf.DUMMYFUNCTION("""COMPUTED_VALUE"""),1)</f>
        <v>1</v>
      </c>
      <c r="K736" s="1" t="str">
        <f ca="1">IFERROR(__xludf.DUMMYFUNCTION("""COMPUTED_VALUE"""),"Every Day Office Environment")</f>
        <v>Every Day Office Environment</v>
      </c>
      <c r="L736" s="1" t="str">
        <f ca="1">IFERROR(__xludf.DUMMYFUNCTION("""COMPUTED_VALUE"""),"Employer who appreciates learning and enables that environment")</f>
        <v>Employer who appreciates learning and enables that environment</v>
      </c>
      <c r="M736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736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736" s="1" t="str">
        <f ca="1">IFERROR(__xludf.DUMMYFUNCTION("""COMPUTED_VALUE"""),"Manager who sets goal and helps me achieve it")</f>
        <v>Manager who sets goal and helps me achieve it</v>
      </c>
      <c r="P736" s="1" t="str">
        <f ca="1">IFERROR(__xludf.DUMMYFUNCTION("""COMPUTED_VALUE"""),"Work with 5 to 6 people in my team")</f>
        <v>Work with 5 to 6 people in my team</v>
      </c>
      <c r="Q736" s="1" t="str">
        <f ca="1">IFERROR(__xludf.DUMMYFUNCTION("""COMPUTED_VALUE"""),"No")</f>
        <v>No</v>
      </c>
      <c r="R736" s="1" t="str">
        <f ca="1">IFERROR(__xludf.DUMMYFUNCTION("""COMPUTED_VALUE"""),"No way")</f>
        <v>No way</v>
      </c>
      <c r="S736" s="1"/>
    </row>
    <row r="737" spans="1:19" ht="12.5" x14ac:dyDescent="0.25">
      <c r="A737" s="2">
        <f ca="1">IFERROR(__xludf.DUMMYFUNCTION("""COMPUTED_VALUE"""),45022.4712688888)</f>
        <v>45022.471268888803</v>
      </c>
      <c r="B737" s="1" t="str">
        <f ca="1">IFERROR(__xludf.DUMMYFUNCTION("""COMPUTED_VALUE"""),"India")</f>
        <v>India</v>
      </c>
      <c r="C737" s="1">
        <f ca="1">IFERROR(__xludf.DUMMYFUNCTION("""COMPUTED_VALUE"""),110022)</f>
        <v>110022</v>
      </c>
      <c r="D737" s="1" t="str">
        <f ca="1">IFERROR(__xludf.DUMMYFUNCTION("""COMPUTED_VALUE"""),"Female")</f>
        <v>Female</v>
      </c>
      <c r="E737" s="1" t="str">
        <f ca="1">IFERROR(__xludf.DUMMYFUNCTION("""COMPUTED_VALUE"""),"Influencers who had successful careers")</f>
        <v>Influencers who had successful careers</v>
      </c>
      <c r="F737" s="1" t="str">
        <f ca="1">IFERROR(__xludf.DUMMYFUNCTION("""COMPUTED_VALUE"""),"No, But if someone could bare the cost I will")</f>
        <v>No, But if someone could bare the cost I will</v>
      </c>
      <c r="G737" s="1" t="str">
        <f ca="1">IFERROR(__xludf.DUMMYFUNCTION("""COMPUTED_VALUE"""),"Will work for 3 years or more")</f>
        <v>Will work for 3 years or more</v>
      </c>
      <c r="H737" s="1" t="str">
        <f ca="1">IFERROR(__xludf.DUMMYFUNCTION("""COMPUTED_VALUE"""),"Yes")</f>
        <v>Yes</v>
      </c>
      <c r="I737" s="1" t="str">
        <f ca="1">IFERROR(__xludf.DUMMYFUNCTION("""COMPUTED_VALUE"""),"Will work for them")</f>
        <v>Will work for them</v>
      </c>
      <c r="J737" s="1">
        <f ca="1">IFERROR(__xludf.DUMMYFUNCTION("""COMPUTED_VALUE"""),10)</f>
        <v>10</v>
      </c>
      <c r="K737" s="1" t="str">
        <f ca="1">IFERROR(__xludf.DUMMYFUNCTION("""COMPUTED_VALUE"""),"Fully Remote with No option to visit offices")</f>
        <v>Fully Remote with No option to visit offices</v>
      </c>
      <c r="L737" s="1" t="str">
        <f ca="1">IFERROR(__xludf.DUMMYFUNCTION("""COMPUTED_VALUE"""),"Employer who appreciates learning and enables that environment")</f>
        <v>Employer who appreciates learning and enables that environment</v>
      </c>
      <c r="M73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37" s="1" t="str">
        <f ca="1">IFERROR(__xludf.DUMMYFUNCTION("""COMPUTED_VALUE"""),"Design and Creative strategy in any company, Business Operations in any organization, Become a content Creator in some platform, Manufacturing / Oil and Gas/ Construction / Hard Physical Work related")</f>
        <v>Design and Creative strategy in any company, Business Operations in any organization, Become a content Creator in some platform, Manufacturing / Oil and Gas/ Construction / Hard Physical Work related</v>
      </c>
      <c r="O737" s="1" t="str">
        <f ca="1">IFERROR(__xludf.DUMMYFUNCTION("""COMPUTED_VALUE"""),"Manager who clearly describes what she/he needs")</f>
        <v>Manager who clearly describes what she/he needs</v>
      </c>
      <c r="P737" s="1" t="str">
        <f ca="1">IFERROR(__xludf.DUMMYFUNCTION("""COMPUTED_VALUE"""),"Work with 7 to 10 or more people in my team")</f>
        <v>Work with 7 to 10 or more people in my team</v>
      </c>
      <c r="Q737" s="1" t="str">
        <f ca="1">IFERROR(__xludf.DUMMYFUNCTION("""COMPUTED_VALUE"""),"Yes")</f>
        <v>Yes</v>
      </c>
      <c r="R737" s="1" t="str">
        <f ca="1">IFERROR(__xludf.DUMMYFUNCTION("""COMPUTED_VALUE"""),"No way")</f>
        <v>No way</v>
      </c>
      <c r="S737" s="1"/>
    </row>
    <row r="738" spans="1:19" ht="12.5" x14ac:dyDescent="0.25">
      <c r="A738" s="2">
        <f ca="1">IFERROR(__xludf.DUMMYFUNCTION("""COMPUTED_VALUE"""),45022.476614155)</f>
        <v>45022.476614154999</v>
      </c>
      <c r="B738" s="1" t="str">
        <f ca="1">IFERROR(__xludf.DUMMYFUNCTION("""COMPUTED_VALUE"""),"India")</f>
        <v>India</v>
      </c>
      <c r="C738" s="1">
        <f ca="1">IFERROR(__xludf.DUMMYFUNCTION("""COMPUTED_VALUE"""),110030)</f>
        <v>110030</v>
      </c>
      <c r="D738" s="1" t="str">
        <f ca="1">IFERROR(__xludf.DUMMYFUNCTION("""COMPUTED_VALUE"""),"Male")</f>
        <v>Male</v>
      </c>
      <c r="E738" s="1" t="str">
        <f ca="1">IFERROR(__xludf.DUMMYFUNCTION("""COMPUTED_VALUE"""),"My Parents")</f>
        <v>My Parents</v>
      </c>
      <c r="F738" s="1" t="str">
        <f ca="1">IFERROR(__xludf.DUMMYFUNCTION("""COMPUTED_VALUE"""),"Yes, I will earn and do that")</f>
        <v>Yes, I will earn and do that</v>
      </c>
      <c r="G738" s="1" t="str">
        <f ca="1">IFERROR(__xludf.DUMMYFUNCTION("""COMPUTED_VALUE"""),"This will be hard to do, but if it is the right company I would try")</f>
        <v>This will be hard to do, but if it is the right company I would try</v>
      </c>
      <c r="H738" s="1" t="str">
        <f ca="1">IFERROR(__xludf.DUMMYFUNCTION("""COMPUTED_VALUE"""),"No")</f>
        <v>No</v>
      </c>
      <c r="I738" s="1" t="str">
        <f ca="1">IFERROR(__xludf.DUMMYFUNCTION("""COMPUTED_VALUE"""),"Will NOT work for them")</f>
        <v>Will NOT work for them</v>
      </c>
      <c r="J738" s="1">
        <f ca="1">IFERROR(__xludf.DUMMYFUNCTION("""COMPUTED_VALUE"""),8)</f>
        <v>8</v>
      </c>
      <c r="K738" s="1" t="str">
        <f ca="1">IFERROR(__xludf.DUMMYFUNCTION("""COMPUTED_VALUE"""),"Hybrid Working Environment with less than 3 days a month at office")</f>
        <v>Hybrid Working Environment with less than 3 days a month at office</v>
      </c>
      <c r="L738" s="1" t="str">
        <f ca="1">IFERROR(__xludf.DUMMYFUNCTION("""COMPUTED_VALUE"""),"Employer who appreciates learning and enables that environment")</f>
        <v>Employer who appreciates learning and enables that environment</v>
      </c>
      <c r="M73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38" s="1" t="str">
        <f ca="1">IFERROR(__xludf.DUMMYFUNCTION("""COMPUTED_VALUE"""),"Manage and drive End-to-End Projects or Products, Build and develop a Team, Work as a freelancer and do my thing my way, Become a content Creator in some platform")</f>
        <v>Manage and drive End-to-End Projects or Products, Build and develop a Team, Work as a freelancer and do my thing my way, Become a content Creator in some platform</v>
      </c>
      <c r="O738" s="1" t="str">
        <f ca="1">IFERROR(__xludf.DUMMYFUNCTION("""COMPUTED_VALUE"""),"Manager who clearly describes what she/he needs")</f>
        <v>Manager who clearly describes what she/he needs</v>
      </c>
      <c r="P738" s="1" t="str">
        <f ca="1">IFERROR(__xludf.DUMMYFUNCTION("""COMPUTED_VALUE"""),"Work with 2 to 3 people in my team, Work with 5 to 6 people in my team")</f>
        <v>Work with 2 to 3 people in my team, Work with 5 to 6 people in my team</v>
      </c>
      <c r="Q738" s="1" t="str">
        <f ca="1">IFERROR(__xludf.DUMMYFUNCTION("""COMPUTED_VALUE"""),"No")</f>
        <v>No</v>
      </c>
      <c r="R738" s="1" t="str">
        <f ca="1">IFERROR(__xludf.DUMMYFUNCTION("""COMPUTED_VALUE"""),"No way")</f>
        <v>No way</v>
      </c>
      <c r="S738" s="1"/>
    </row>
    <row r="739" spans="1:19" ht="12.5" x14ac:dyDescent="0.25">
      <c r="A739" s="2">
        <f ca="1">IFERROR(__xludf.DUMMYFUNCTION("""COMPUTED_VALUE"""),45022.4806287847)</f>
        <v>45022.480628784702</v>
      </c>
      <c r="B739" s="1" t="str">
        <f ca="1">IFERROR(__xludf.DUMMYFUNCTION("""COMPUTED_VALUE"""),"India")</f>
        <v>India</v>
      </c>
      <c r="C739" s="1">
        <f ca="1">IFERROR(__xludf.DUMMYFUNCTION("""COMPUTED_VALUE"""),442902)</f>
        <v>442902</v>
      </c>
      <c r="D739" s="1" t="str">
        <f ca="1">IFERROR(__xludf.DUMMYFUNCTION("""COMPUTED_VALUE"""),"Male")</f>
        <v>Male</v>
      </c>
      <c r="E739" s="1" t="str">
        <f ca="1">IFERROR(__xludf.DUMMYFUNCTION("""COMPUTED_VALUE"""),"People from my circle, but not family members")</f>
        <v>People from my circle, but not family members</v>
      </c>
      <c r="F739" s="1" t="str">
        <f ca="1">IFERROR(__xludf.DUMMYFUNCTION("""COMPUTED_VALUE"""),"Yes, I will earn and do that")</f>
        <v>Yes, I will earn and do that</v>
      </c>
      <c r="G739" s="1" t="str">
        <f ca="1">IFERROR(__xludf.DUMMYFUNCTION("""COMPUTED_VALUE"""),"No way")</f>
        <v>No way</v>
      </c>
      <c r="H739" s="1" t="str">
        <f ca="1">IFERROR(__xludf.DUMMYFUNCTION("""COMPUTED_VALUE"""),"No")</f>
        <v>No</v>
      </c>
      <c r="I739" s="1" t="str">
        <f ca="1">IFERROR(__xludf.DUMMYFUNCTION("""COMPUTED_VALUE"""),"Will NOT work for them")</f>
        <v>Will NOT work for them</v>
      </c>
      <c r="J739" s="1">
        <f ca="1">IFERROR(__xludf.DUMMYFUNCTION("""COMPUTED_VALUE"""),1)</f>
        <v>1</v>
      </c>
      <c r="K739" s="1" t="str">
        <f ca="1">IFERROR(__xludf.DUMMYFUNCTION("""COMPUTED_VALUE"""),"Fully Remote with No option to visit offices")</f>
        <v>Fully Remote with No option to visit offices</v>
      </c>
      <c r="L739" s="1" t="str">
        <f ca="1">IFERROR(__xludf.DUMMYFUNCTION("""COMPUTED_VALUE"""),"Employer who rewards learning and enables that environment")</f>
        <v>Employer who rewards learning and enables that environment</v>
      </c>
      <c r="M73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739" s="1" t="str">
        <f ca="1">IFERROR(__xludf.DUMMYFUNCTION("""COMPUTED_VALUE"""),"Teaching in any of the institutes/colleges/online or offline, Look deeply into Data and generate insights, Work as a freelancer and do my thing my way, Become a content Creator in some platform")</f>
        <v>Teaching in any of the institutes/colleges/online or offline, Look deeply into Data and generate insights, Work as a freelancer and do my thing my way, Become a content Creator in some platform</v>
      </c>
      <c r="O739" s="1" t="str">
        <f ca="1">IFERROR(__xludf.DUMMYFUNCTION("""COMPUTED_VALUE"""),"Manager who explains what is expected, sets a goal and helps achieve it")</f>
        <v>Manager who explains what is expected, sets a goal and helps achieve it</v>
      </c>
      <c r="P739" s="1" t="str">
        <f ca="1">IFERROR(__xludf.DUMMYFUNCTION("""COMPUTED_VALUE"""),"Work with 5 to 6 people in my team")</f>
        <v>Work with 5 to 6 people in my team</v>
      </c>
      <c r="Q739" s="1" t="str">
        <f ca="1">IFERROR(__xludf.DUMMYFUNCTION("""COMPUTED_VALUE"""),"No")</f>
        <v>No</v>
      </c>
      <c r="R739" s="1" t="str">
        <f ca="1">IFERROR(__xludf.DUMMYFUNCTION("""COMPUTED_VALUE"""),"No way")</f>
        <v>No way</v>
      </c>
      <c r="S739" s="1"/>
    </row>
    <row r="740" spans="1:19" ht="12.5" x14ac:dyDescent="0.25">
      <c r="A740" s="2">
        <f ca="1">IFERROR(__xludf.DUMMYFUNCTION("""COMPUTED_VALUE"""),45022.486580787)</f>
        <v>45022.486580787001</v>
      </c>
      <c r="B740" s="1" t="str">
        <f ca="1">IFERROR(__xludf.DUMMYFUNCTION("""COMPUTED_VALUE"""),"India")</f>
        <v>India</v>
      </c>
      <c r="C740" s="1">
        <f ca="1">IFERROR(__xludf.DUMMYFUNCTION("""COMPUTED_VALUE"""),201014)</f>
        <v>201014</v>
      </c>
      <c r="D740" s="1" t="str">
        <f ca="1">IFERROR(__xludf.DUMMYFUNCTION("""COMPUTED_VALUE"""),"Male")</f>
        <v>Male</v>
      </c>
      <c r="E740" s="1" t="str">
        <f ca="1">IFERROR(__xludf.DUMMYFUNCTION("""COMPUTED_VALUE"""),"My Parents")</f>
        <v>My Parents</v>
      </c>
      <c r="F740" s="1" t="str">
        <f ca="1">IFERROR(__xludf.DUMMYFUNCTION("""COMPUTED_VALUE"""),"Yes, I will earn and do that")</f>
        <v>Yes, I will earn and do that</v>
      </c>
      <c r="G740" s="1" t="str">
        <f ca="1">IFERROR(__xludf.DUMMYFUNCTION("""COMPUTED_VALUE"""),"This will be hard to do, but if it is the right company I would try")</f>
        <v>This will be hard to do, but if it is the right company I would try</v>
      </c>
      <c r="H740" s="1" t="str">
        <f ca="1">IFERROR(__xludf.DUMMYFUNCTION("""COMPUTED_VALUE"""),"Yes")</f>
        <v>Yes</v>
      </c>
      <c r="I740" s="1" t="str">
        <f ca="1">IFERROR(__xludf.DUMMYFUNCTION("""COMPUTED_VALUE"""),"Will NOT work for them")</f>
        <v>Will NOT work for them</v>
      </c>
      <c r="J740" s="1">
        <f ca="1">IFERROR(__xludf.DUMMYFUNCTION("""COMPUTED_VALUE"""),8)</f>
        <v>8</v>
      </c>
      <c r="K740" s="1" t="str">
        <f ca="1">IFERROR(__xludf.DUMMYFUNCTION("""COMPUTED_VALUE"""),"Hybrid Working Environment with less than 3 days a month at office")</f>
        <v>Hybrid Working Environment with less than 3 days a month at office</v>
      </c>
      <c r="L740" s="1" t="str">
        <f ca="1">IFERROR(__xludf.DUMMYFUNCTION("""COMPUTED_VALUE"""),"Employer who appreciates learning and enables that environment")</f>
        <v>Employer who appreciates learning and enables that environment</v>
      </c>
      <c r="M74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40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740" s="1" t="str">
        <f ca="1">IFERROR(__xludf.DUMMYFUNCTION("""COMPUTED_VALUE"""),"Manager who clearly describes what she/he needs")</f>
        <v>Manager who clearly describes what she/he needs</v>
      </c>
      <c r="P740" s="1" t="str">
        <f ca="1">IFERROR(__xludf.DUMMYFUNCTION("""COMPUTED_VALUE"""),"Work with 5 to 6 people in my team")</f>
        <v>Work with 5 to 6 people in my team</v>
      </c>
      <c r="Q740" s="1" t="str">
        <f ca="1">IFERROR(__xludf.DUMMYFUNCTION("""COMPUTED_VALUE"""),"No")</f>
        <v>No</v>
      </c>
      <c r="R740" s="1" t="str">
        <f ca="1">IFERROR(__xludf.DUMMYFUNCTION("""COMPUTED_VALUE"""),"This will be hard to do, but if it is the right company I would try")</f>
        <v>This will be hard to do, but if it is the right company I would try</v>
      </c>
      <c r="S740" s="1"/>
    </row>
    <row r="741" spans="1:19" ht="12.5" x14ac:dyDescent="0.25">
      <c r="A741" s="2">
        <f ca="1">IFERROR(__xludf.DUMMYFUNCTION("""COMPUTED_VALUE"""),45022.4869817361)</f>
        <v>45022.486981736103</v>
      </c>
      <c r="B741" s="1" t="str">
        <f ca="1">IFERROR(__xludf.DUMMYFUNCTION("""COMPUTED_VALUE"""),"India")</f>
        <v>India</v>
      </c>
      <c r="C741" s="1">
        <f ca="1">IFERROR(__xludf.DUMMYFUNCTION("""COMPUTED_VALUE"""),110040)</f>
        <v>110040</v>
      </c>
      <c r="D741" s="1" t="str">
        <f ca="1">IFERROR(__xludf.DUMMYFUNCTION("""COMPUTED_VALUE"""),"Male")</f>
        <v>Male</v>
      </c>
      <c r="E741" s="1" t="str">
        <f ca="1">IFERROR(__xludf.DUMMYFUNCTION("""COMPUTED_VALUE"""),"My Parents")</f>
        <v>My Parents</v>
      </c>
      <c r="F741" s="1" t="str">
        <f ca="1">IFERROR(__xludf.DUMMYFUNCTION("""COMPUTED_VALUE"""),"Yes, I will earn and do that")</f>
        <v>Yes, I will earn and do that</v>
      </c>
      <c r="G741" s="1" t="str">
        <f ca="1">IFERROR(__xludf.DUMMYFUNCTION("""COMPUTED_VALUE"""),"Will work for 3 years or more")</f>
        <v>Will work for 3 years or more</v>
      </c>
      <c r="H741" s="1" t="str">
        <f ca="1">IFERROR(__xludf.DUMMYFUNCTION("""COMPUTED_VALUE"""),"No")</f>
        <v>No</v>
      </c>
      <c r="I741" s="1" t="str">
        <f ca="1">IFERROR(__xludf.DUMMYFUNCTION("""COMPUTED_VALUE"""),"Will NOT work for them")</f>
        <v>Will NOT work for them</v>
      </c>
      <c r="J741" s="1">
        <f ca="1">IFERROR(__xludf.DUMMYFUNCTION("""COMPUTED_VALUE"""),5)</f>
        <v>5</v>
      </c>
      <c r="K741" s="1" t="str">
        <f ca="1">IFERROR(__xludf.DUMMYFUNCTION("""COMPUTED_VALUE"""),"Hybrid Working Environment with less than 3 days a month at office")</f>
        <v>Hybrid Working Environment with less than 3 days a month at office</v>
      </c>
      <c r="L7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4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741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741" s="1" t="str">
        <f ca="1">IFERROR(__xludf.DUMMYFUNCTION("""COMPUTED_VALUE"""),"Manager who sets targets and expects me to achieve it")</f>
        <v>Manager who sets targets and expects me to achieve it</v>
      </c>
      <c r="P741" s="1" t="str">
        <f ca="1">IFERROR(__xludf.DUMMYFUNCTION("""COMPUTED_VALUE"""),"Work with 7 to 10 or more people in my team")</f>
        <v>Work with 7 to 10 or more people in my team</v>
      </c>
      <c r="Q741" s="1" t="str">
        <f ca="1">IFERROR(__xludf.DUMMYFUNCTION("""COMPUTED_VALUE"""),"Yes, I Understand this is gonna happen everywhere")</f>
        <v>Yes, I Understand this is gonna happen everywhere</v>
      </c>
      <c r="R741" s="1" t="str">
        <f ca="1">IFERROR(__xludf.DUMMYFUNCTION("""COMPUTED_VALUE"""),"This will be hard to do, but if it is the right company I would try")</f>
        <v>This will be hard to do, but if it is the right company I would try</v>
      </c>
      <c r="S741" s="1"/>
    </row>
    <row r="742" spans="1:19" ht="12.5" x14ac:dyDescent="0.25">
      <c r="A742" s="2">
        <f ca="1">IFERROR(__xludf.DUMMYFUNCTION("""COMPUTED_VALUE"""),45022.4883401736)</f>
        <v>45022.488340173601</v>
      </c>
      <c r="B742" s="1" t="str">
        <f ca="1">IFERROR(__xludf.DUMMYFUNCTION("""COMPUTED_VALUE"""),"India")</f>
        <v>India</v>
      </c>
      <c r="C742" s="1">
        <f ca="1">IFERROR(__xludf.DUMMYFUNCTION("""COMPUTED_VALUE"""),201301)</f>
        <v>201301</v>
      </c>
      <c r="D742" s="1" t="str">
        <f ca="1">IFERROR(__xludf.DUMMYFUNCTION("""COMPUTED_VALUE"""),"Male")</f>
        <v>Male</v>
      </c>
      <c r="E742" s="1" t="str">
        <f ca="1">IFERROR(__xludf.DUMMYFUNCTION("""COMPUTED_VALUE"""),"Influencers who had successful careers")</f>
        <v>Influencers who had successful careers</v>
      </c>
      <c r="F742" s="1" t="str">
        <f ca="1">IFERROR(__xludf.DUMMYFUNCTION("""COMPUTED_VALUE"""),"Yes, I will earn and do that")</f>
        <v>Yes, I will earn and do that</v>
      </c>
      <c r="G742" s="1" t="str">
        <f ca="1">IFERROR(__xludf.DUMMYFUNCTION("""COMPUTED_VALUE"""),"Will work for 3 years or more")</f>
        <v>Will work for 3 years or more</v>
      </c>
      <c r="H742" s="1" t="str">
        <f ca="1">IFERROR(__xludf.DUMMYFUNCTION("""COMPUTED_VALUE"""),"No")</f>
        <v>No</v>
      </c>
      <c r="I742" s="1" t="str">
        <f ca="1">IFERROR(__xludf.DUMMYFUNCTION("""COMPUTED_VALUE"""),"Will NOT work for them")</f>
        <v>Will NOT work for them</v>
      </c>
      <c r="J742" s="1">
        <f ca="1">IFERROR(__xludf.DUMMYFUNCTION("""COMPUTED_VALUE"""),1)</f>
        <v>1</v>
      </c>
      <c r="K742" s="1" t="str">
        <f ca="1">IFERROR(__xludf.DUMMYFUNCTION("""COMPUTED_VALUE"""),"Fully Remote with Options to travel as and when needed")</f>
        <v>Fully Remote with Options to travel as and when needed</v>
      </c>
      <c r="L7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4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742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742" s="1" t="str">
        <f ca="1">IFERROR(__xludf.DUMMYFUNCTION("""COMPUTED_VALUE"""),"Manager who explains what is expected, sets a goal and helps achieve it")</f>
        <v>Manager who explains what is expected, sets a goal and helps achieve it</v>
      </c>
      <c r="P742" s="1" t="str">
        <f ca="1">IFERROR(__xludf.DUMMYFUNCTION("""COMPUTED_VALUE"""),"Work with more than 10 people in my team")</f>
        <v>Work with more than 10 people in my team</v>
      </c>
      <c r="Q742" s="1" t="str">
        <f ca="1">IFERROR(__xludf.DUMMYFUNCTION("""COMPUTED_VALUE"""),"Yes, I Understand this is gonna happen everywhere")</f>
        <v>Yes, I Understand this is gonna happen everywhere</v>
      </c>
      <c r="R742" s="1" t="str">
        <f ca="1">IFERROR(__xludf.DUMMYFUNCTION("""COMPUTED_VALUE"""),"Will work for 7 years or more")</f>
        <v>Will work for 7 years or more</v>
      </c>
      <c r="S742" s="1"/>
    </row>
    <row r="743" spans="1:19" ht="12.5" x14ac:dyDescent="0.25">
      <c r="A743" s="2">
        <f ca="1">IFERROR(__xludf.DUMMYFUNCTION("""COMPUTED_VALUE"""),45022.4923237268)</f>
        <v>45022.492323726801</v>
      </c>
      <c r="B743" s="1" t="str">
        <f ca="1">IFERROR(__xludf.DUMMYFUNCTION("""COMPUTED_VALUE"""),"India")</f>
        <v>India</v>
      </c>
      <c r="C743" s="1">
        <f ca="1">IFERROR(__xludf.DUMMYFUNCTION("""COMPUTED_VALUE"""),110066)</f>
        <v>110066</v>
      </c>
      <c r="D743" s="1" t="str">
        <f ca="1">IFERROR(__xludf.DUMMYFUNCTION("""COMPUTED_VALUE"""),"Female")</f>
        <v>Female</v>
      </c>
      <c r="E743" s="1" t="str">
        <f ca="1">IFERROR(__xludf.DUMMYFUNCTION("""COMPUTED_VALUE"""),"People from my circle, but not family members")</f>
        <v>People from my circle, but not family members</v>
      </c>
      <c r="F743" s="1" t="str">
        <f ca="1">IFERROR(__xludf.DUMMYFUNCTION("""COMPUTED_VALUE"""),"No I would not be pursuing Higher Education outside of India")</f>
        <v>No I would not be pursuing Higher Education outside of India</v>
      </c>
      <c r="G743" s="1" t="str">
        <f ca="1">IFERROR(__xludf.DUMMYFUNCTION("""COMPUTED_VALUE"""),"Will work for 3 years or more")</f>
        <v>Will work for 3 years or more</v>
      </c>
      <c r="H743" s="1" t="str">
        <f ca="1">IFERROR(__xludf.DUMMYFUNCTION("""COMPUTED_VALUE"""),"No")</f>
        <v>No</v>
      </c>
      <c r="I743" s="1" t="str">
        <f ca="1">IFERROR(__xludf.DUMMYFUNCTION("""COMPUTED_VALUE"""),"Will NOT work for them")</f>
        <v>Will NOT work for them</v>
      </c>
      <c r="J743" s="1">
        <f ca="1">IFERROR(__xludf.DUMMYFUNCTION("""COMPUTED_VALUE"""),2)</f>
        <v>2</v>
      </c>
      <c r="K743" s="1" t="str">
        <f ca="1">IFERROR(__xludf.DUMMYFUNCTION("""COMPUTED_VALUE"""),"Hybrid Working Environment with more than 15 days a month at office")</f>
        <v>Hybrid Working Environment with more than 15 days a month at office</v>
      </c>
      <c r="L743" s="1" t="str">
        <f ca="1">IFERROR(__xludf.DUMMYFUNCTION("""COMPUTED_VALUE"""),"Employer who appreciates learning and enables that environment")</f>
        <v>Employer who appreciates learning and enables that environment</v>
      </c>
      <c r="M7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43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743" s="1" t="str">
        <f ca="1">IFERROR(__xludf.DUMMYFUNCTION("""COMPUTED_VALUE"""),"Manager who clearly describes what she/he needs")</f>
        <v>Manager who clearly describes what she/he needs</v>
      </c>
      <c r="P743" s="1" t="str">
        <f ca="1">IFERROR(__xludf.DUMMYFUNCTION("""COMPUTED_VALUE"""),"Work with 2 to 3 people in my team")</f>
        <v>Work with 2 to 3 people in my team</v>
      </c>
      <c r="Q743" s="1" t="str">
        <f ca="1">IFERROR(__xludf.DUMMYFUNCTION("""COMPUTED_VALUE"""),"Yes, I Understand this is gonna happen everywhere")</f>
        <v>Yes, I Understand this is gonna happen everywhere</v>
      </c>
      <c r="R743" s="1" t="str">
        <f ca="1">IFERROR(__xludf.DUMMYFUNCTION("""COMPUTED_VALUE"""),"Will work for 7 years or more")</f>
        <v>Will work for 7 years or more</v>
      </c>
      <c r="S743" s="1"/>
    </row>
    <row r="744" spans="1:19" ht="12.5" x14ac:dyDescent="0.25">
      <c r="A744" s="2">
        <f ca="1">IFERROR(__xludf.DUMMYFUNCTION("""COMPUTED_VALUE"""),45022.4941508564)</f>
        <v>45022.494150856401</v>
      </c>
      <c r="B744" s="1" t="str">
        <f ca="1">IFERROR(__xludf.DUMMYFUNCTION("""COMPUTED_VALUE"""),"India")</f>
        <v>India</v>
      </c>
      <c r="C744" s="1">
        <f ca="1">IFERROR(__xludf.DUMMYFUNCTION("""COMPUTED_VALUE"""),342001)</f>
        <v>342001</v>
      </c>
      <c r="D744" s="1" t="str">
        <f ca="1">IFERROR(__xludf.DUMMYFUNCTION("""COMPUTED_VALUE"""),"Female")</f>
        <v>Female</v>
      </c>
      <c r="E744" s="1" t="str">
        <f ca="1">IFERROR(__xludf.DUMMYFUNCTION("""COMPUTED_VALUE"""),"People who have changed the world for better")</f>
        <v>People who have changed the world for better</v>
      </c>
      <c r="F744" s="1" t="str">
        <f ca="1">IFERROR(__xludf.DUMMYFUNCTION("""COMPUTED_VALUE"""),"Yes, I will earn and do that")</f>
        <v>Yes, I will earn and do that</v>
      </c>
      <c r="G744" s="1" t="str">
        <f ca="1">IFERROR(__xludf.DUMMYFUNCTION("""COMPUTED_VALUE"""),"This will be hard to do, but if it is the right company I would try")</f>
        <v>This will be hard to do, but if it is the right company I would try</v>
      </c>
      <c r="H744" s="1" t="str">
        <f ca="1">IFERROR(__xludf.DUMMYFUNCTION("""COMPUTED_VALUE"""),"No")</f>
        <v>No</v>
      </c>
      <c r="I744" s="1" t="str">
        <f ca="1">IFERROR(__xludf.DUMMYFUNCTION("""COMPUTED_VALUE"""),"Will NOT work for them")</f>
        <v>Will NOT work for them</v>
      </c>
      <c r="J744" s="1">
        <f ca="1">IFERROR(__xludf.DUMMYFUNCTION("""COMPUTED_VALUE"""),4)</f>
        <v>4</v>
      </c>
      <c r="K744" s="1" t="str">
        <f ca="1">IFERROR(__xludf.DUMMYFUNCTION("""COMPUTED_VALUE"""),"Hybrid Working Environment with more than 15 days a month at office")</f>
        <v>Hybrid Working Environment with more than 15 days a month at office</v>
      </c>
      <c r="L744" s="1" t="str">
        <f ca="1">IFERROR(__xludf.DUMMYFUNCTION("""COMPUTED_VALUE"""),"Employer who rewards learning and enables that environment")</f>
        <v>Employer who rewards learning and enables that environment</v>
      </c>
      <c r="M74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44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744" s="1" t="str">
        <f ca="1">IFERROR(__xludf.DUMMYFUNCTION("""COMPUTED_VALUE"""),"Manager who explains what is expected, sets a goal and helps achieve it")</f>
        <v>Manager who explains what is expected, sets a goal and helps achieve it</v>
      </c>
      <c r="P744" s="1" t="str">
        <f ca="1">IFERROR(__xludf.DUMMYFUNCTION("""COMPUTED_VALUE"""),"Work with more than 10 people in my team")</f>
        <v>Work with more than 10 people in my team</v>
      </c>
      <c r="Q744" s="1" t="str">
        <f ca="1">IFERROR(__xludf.DUMMYFUNCTION("""COMPUTED_VALUE"""),"No")</f>
        <v>No</v>
      </c>
      <c r="R744" s="1" t="str">
        <f ca="1">IFERROR(__xludf.DUMMYFUNCTION("""COMPUTED_VALUE"""),"This will be hard to do, but if it is the right company I would try")</f>
        <v>This will be hard to do, but if it is the right company I would try</v>
      </c>
      <c r="S744" s="1"/>
    </row>
    <row r="745" spans="1:19" ht="12.5" x14ac:dyDescent="0.25">
      <c r="A745" s="2">
        <f ca="1">IFERROR(__xludf.DUMMYFUNCTION("""COMPUTED_VALUE"""),45022.499346331)</f>
        <v>45022.499346331002</v>
      </c>
      <c r="B745" s="1" t="str">
        <f ca="1">IFERROR(__xludf.DUMMYFUNCTION("""COMPUTED_VALUE"""),"India")</f>
        <v>India</v>
      </c>
      <c r="C745" s="1">
        <f ca="1">IFERROR(__xludf.DUMMYFUNCTION("""COMPUTED_VALUE"""),201301)</f>
        <v>201301</v>
      </c>
      <c r="D745" s="1" t="str">
        <f ca="1">IFERROR(__xludf.DUMMYFUNCTION("""COMPUTED_VALUE"""),"Male")</f>
        <v>Male</v>
      </c>
      <c r="E745" s="1" t="str">
        <f ca="1">IFERROR(__xludf.DUMMYFUNCTION("""COMPUTED_VALUE"""),"My Parents")</f>
        <v>My Parents</v>
      </c>
      <c r="F745" s="1" t="str">
        <f ca="1">IFERROR(__xludf.DUMMYFUNCTION("""COMPUTED_VALUE"""),"No, But if someone could bare the cost I will")</f>
        <v>No, But if someone could bare the cost I will</v>
      </c>
      <c r="G745" s="1" t="str">
        <f ca="1">IFERROR(__xludf.DUMMYFUNCTION("""COMPUTED_VALUE"""),"Will work for 3 years or more")</f>
        <v>Will work for 3 years or more</v>
      </c>
      <c r="H745" s="1" t="str">
        <f ca="1">IFERROR(__xludf.DUMMYFUNCTION("""COMPUTED_VALUE"""),"No")</f>
        <v>No</v>
      </c>
      <c r="I745" s="1" t="str">
        <f ca="1">IFERROR(__xludf.DUMMYFUNCTION("""COMPUTED_VALUE"""),"Will NOT work for them")</f>
        <v>Will NOT work for them</v>
      </c>
      <c r="J745" s="1">
        <f ca="1">IFERROR(__xludf.DUMMYFUNCTION("""COMPUTED_VALUE"""),6)</f>
        <v>6</v>
      </c>
      <c r="K745" s="1" t="str">
        <f ca="1">IFERROR(__xludf.DUMMYFUNCTION("""COMPUTED_VALUE"""),"Hybrid Working Environment with more than 15 days a month at office")</f>
        <v>Hybrid Working Environment with more than 15 days a month at office</v>
      </c>
      <c r="L745" s="1" t="str">
        <f ca="1">IFERROR(__xludf.DUMMYFUNCTION("""COMPUTED_VALUE"""),"Employer who rewards learning and enables that environment")</f>
        <v>Employer who rewards learning and enables that environment</v>
      </c>
      <c r="M74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745" s="1" t="str">
        <f ca="1">IFERROR(__xludf.DUMMYFUNCTION("""COMPUTED_VALUE"""),"Manage and drive End-to-End Projects or Products, Design and Develop amazing software, Look deeply into Data and generate insights, An Artificial Intelligence Specialist / Talking to Robots")</f>
        <v>Manage and drive End-to-End Projects or Products, Design and Develop amazing software, Look deeply into Data and generate insights, An Artificial Intelligence Specialist / Talking to Robots</v>
      </c>
      <c r="O745" s="1" t="str">
        <f ca="1">IFERROR(__xludf.DUMMYFUNCTION("""COMPUTED_VALUE"""),"Manager who explains what is expected, sets a goal and helps achieve it")</f>
        <v>Manager who explains what is expected, sets a goal and helps achieve it</v>
      </c>
      <c r="P745" s="1" t="str">
        <f ca="1">IFERROR(__xludf.DUMMYFUNCTION("""COMPUTED_VALUE"""),"Work alone, Work with 2 to 3 people in my team")</f>
        <v>Work alone, Work with 2 to 3 people in my team</v>
      </c>
      <c r="Q745" s="1" t="str">
        <f ca="1">IFERROR(__xludf.DUMMYFUNCTION("""COMPUTED_VALUE"""),"Yes, I Understand this is gonna happen everywhere")</f>
        <v>Yes, I Understand this is gonna happen everywhere</v>
      </c>
      <c r="R745" s="1" t="str">
        <f ca="1">IFERROR(__xludf.DUMMYFUNCTION("""COMPUTED_VALUE"""),"This will be hard to do, but if it is the right company I would try")</f>
        <v>This will be hard to do, but if it is the right company I would try</v>
      </c>
      <c r="S745" s="1"/>
    </row>
    <row r="746" spans="1:19" ht="12.5" x14ac:dyDescent="0.25">
      <c r="A746" s="2">
        <f ca="1">IFERROR(__xludf.DUMMYFUNCTION("""COMPUTED_VALUE"""),45022.5078878125)</f>
        <v>45022.507887812499</v>
      </c>
      <c r="B746" s="1" t="str">
        <f ca="1">IFERROR(__xludf.DUMMYFUNCTION("""COMPUTED_VALUE"""),"India")</f>
        <v>India</v>
      </c>
      <c r="C746" s="1">
        <f ca="1">IFERROR(__xludf.DUMMYFUNCTION("""COMPUTED_VALUE"""),110045)</f>
        <v>110045</v>
      </c>
      <c r="D746" s="1" t="str">
        <f ca="1">IFERROR(__xludf.DUMMYFUNCTION("""COMPUTED_VALUE"""),"Male")</f>
        <v>Male</v>
      </c>
      <c r="E746" s="1" t="str">
        <f ca="1">IFERROR(__xludf.DUMMYFUNCTION("""COMPUTED_VALUE"""),"My Parents")</f>
        <v>My Parents</v>
      </c>
      <c r="F746" s="1" t="str">
        <f ca="1">IFERROR(__xludf.DUMMYFUNCTION("""COMPUTED_VALUE"""),"No I would not be pursuing Higher Education outside of India")</f>
        <v>No I would not be pursuing Higher Education outside of India</v>
      </c>
      <c r="G746" s="1" t="str">
        <f ca="1">IFERROR(__xludf.DUMMYFUNCTION("""COMPUTED_VALUE"""),"Will work for 3 years or more")</f>
        <v>Will work for 3 years or more</v>
      </c>
      <c r="H746" s="1" t="str">
        <f ca="1">IFERROR(__xludf.DUMMYFUNCTION("""COMPUTED_VALUE"""),"No")</f>
        <v>No</v>
      </c>
      <c r="I746" s="1" t="str">
        <f ca="1">IFERROR(__xludf.DUMMYFUNCTION("""COMPUTED_VALUE"""),"Will NOT work for them")</f>
        <v>Will NOT work for them</v>
      </c>
      <c r="J746" s="1">
        <f ca="1">IFERROR(__xludf.DUMMYFUNCTION("""COMPUTED_VALUE"""),1)</f>
        <v>1</v>
      </c>
      <c r="K746" s="1" t="str">
        <f ca="1">IFERROR(__xludf.DUMMYFUNCTION("""COMPUTED_VALUE"""),"Every Day Office Environment")</f>
        <v>Every Day Office Environment</v>
      </c>
      <c r="L7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4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746" s="1" t="str">
        <f ca="1">IFERROR(__xludf.DUMMYFUNCTION("""COMPUTED_VALUE"""),"Design and Creative strategy in any company, Build and develop a Team, Look deeply into Data and generate insights, Become a content Creator in some platform")</f>
        <v>Design and Creative strategy in any company, Build and develop a Team, Look deeply into Data and generate insights, Become a content Creator in some platform</v>
      </c>
      <c r="O746" s="1" t="str">
        <f ca="1">IFERROR(__xludf.DUMMYFUNCTION("""COMPUTED_VALUE"""),"Manager who sets goal and helps me achieve it")</f>
        <v>Manager who sets goal and helps me achieve it</v>
      </c>
      <c r="P746" s="1" t="str">
        <f ca="1">IFERROR(__xludf.DUMMYFUNCTION("""COMPUTED_VALUE"""),"Work with 2 to 3 people in my team")</f>
        <v>Work with 2 to 3 people in my team</v>
      </c>
      <c r="Q746" s="1" t="str">
        <f ca="1">IFERROR(__xludf.DUMMYFUNCTION("""COMPUTED_VALUE"""),"Yes, I Understand this is gonna happen everywhere")</f>
        <v>Yes, I Understand this is gonna happen everywhere</v>
      </c>
      <c r="R746" s="1" t="str">
        <f ca="1">IFERROR(__xludf.DUMMYFUNCTION("""COMPUTED_VALUE"""),"Will work for 7 years or more")</f>
        <v>Will work for 7 years or more</v>
      </c>
      <c r="S746" s="1"/>
    </row>
    <row r="747" spans="1:19" ht="12.5" x14ac:dyDescent="0.25">
      <c r="A747" s="2">
        <f ca="1">IFERROR(__xludf.DUMMYFUNCTION("""COMPUTED_VALUE"""),45022.5094477777)</f>
        <v>45022.509447777702</v>
      </c>
      <c r="B747" s="1" t="str">
        <f ca="1">IFERROR(__xludf.DUMMYFUNCTION("""COMPUTED_VALUE"""),"India")</f>
        <v>India</v>
      </c>
      <c r="C747" s="1">
        <f ca="1">IFERROR(__xludf.DUMMYFUNCTION("""COMPUTED_VALUE"""),855107)</f>
        <v>855107</v>
      </c>
      <c r="D747" s="1" t="str">
        <f ca="1">IFERROR(__xludf.DUMMYFUNCTION("""COMPUTED_VALUE"""),"Male")</f>
        <v>Male</v>
      </c>
      <c r="E747" s="1" t="str">
        <f ca="1">IFERROR(__xludf.DUMMYFUNCTION("""COMPUTED_VALUE"""),"Social Media like LinkedIn")</f>
        <v>Social Media like LinkedIn</v>
      </c>
      <c r="F747" s="1" t="str">
        <f ca="1">IFERROR(__xludf.DUMMYFUNCTION("""COMPUTED_VALUE"""),"No I would not be pursuing Higher Education outside of India")</f>
        <v>No I would not be pursuing Higher Education outside of India</v>
      </c>
      <c r="G747" s="1" t="str">
        <f ca="1">IFERROR(__xludf.DUMMYFUNCTION("""COMPUTED_VALUE"""),"Will work for 3 years or more")</f>
        <v>Will work for 3 years or more</v>
      </c>
      <c r="H747" s="1" t="str">
        <f ca="1">IFERROR(__xludf.DUMMYFUNCTION("""COMPUTED_VALUE"""),"No")</f>
        <v>No</v>
      </c>
      <c r="I747" s="1" t="str">
        <f ca="1">IFERROR(__xludf.DUMMYFUNCTION("""COMPUTED_VALUE"""),"Will NOT work for them")</f>
        <v>Will NOT work for them</v>
      </c>
      <c r="J747" s="1">
        <f ca="1">IFERROR(__xludf.DUMMYFUNCTION("""COMPUTED_VALUE"""),6)</f>
        <v>6</v>
      </c>
      <c r="K747" s="1" t="str">
        <f ca="1">IFERROR(__xludf.DUMMYFUNCTION("""COMPUTED_VALUE"""),"Hybrid Working Environment with more than 15 days a month at office")</f>
        <v>Hybrid Working Environment with more than 15 days a month at office</v>
      </c>
      <c r="L7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4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47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747" s="1" t="str">
        <f ca="1">IFERROR(__xludf.DUMMYFUNCTION("""COMPUTED_VALUE"""),"Manager who explains what is expected, sets a goal and helps achieve it")</f>
        <v>Manager who explains what is expected, sets a goal and helps achieve it</v>
      </c>
      <c r="P74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747" s="1" t="str">
        <f ca="1">IFERROR(__xludf.DUMMYFUNCTION("""COMPUTED_VALUE"""),"Yes, I Understand this is gonna happen everywhere")</f>
        <v>Yes, I Understand this is gonna happen everywhere</v>
      </c>
      <c r="R747" s="1" t="str">
        <f ca="1">IFERROR(__xludf.DUMMYFUNCTION("""COMPUTED_VALUE"""),"This will be hard to do, but if it is the right company I would try")</f>
        <v>This will be hard to do, but if it is the right company I would try</v>
      </c>
      <c r="S747" s="1"/>
    </row>
    <row r="748" spans="1:19" ht="12.5" x14ac:dyDescent="0.25">
      <c r="A748" s="2">
        <f ca="1">IFERROR(__xludf.DUMMYFUNCTION("""COMPUTED_VALUE"""),45022.5180433217)</f>
        <v>45022.518043321703</v>
      </c>
      <c r="B748" s="1" t="str">
        <f ca="1">IFERROR(__xludf.DUMMYFUNCTION("""COMPUTED_VALUE"""),"India")</f>
        <v>India</v>
      </c>
      <c r="C748" s="1">
        <f ca="1">IFERROR(__xludf.DUMMYFUNCTION("""COMPUTED_VALUE"""),521002)</f>
        <v>521002</v>
      </c>
      <c r="D748" s="1" t="str">
        <f ca="1">IFERROR(__xludf.DUMMYFUNCTION("""COMPUTED_VALUE"""),"Female")</f>
        <v>Female</v>
      </c>
      <c r="E748" s="1" t="str">
        <f ca="1">IFERROR(__xludf.DUMMYFUNCTION("""COMPUTED_VALUE"""),"My Parents")</f>
        <v>My Parents</v>
      </c>
      <c r="F748" s="1" t="str">
        <f ca="1">IFERROR(__xludf.DUMMYFUNCTION("""COMPUTED_VALUE"""),"No, But if someone could bare the cost I will")</f>
        <v>No, But if someone could bare the cost I will</v>
      </c>
      <c r="G748" s="1" t="str">
        <f ca="1">IFERROR(__xludf.DUMMYFUNCTION("""COMPUTED_VALUE"""),"This will be hard to do, but if it is the right company I would try")</f>
        <v>This will be hard to do, but if it is the right company I would try</v>
      </c>
      <c r="H748" s="1" t="str">
        <f ca="1">IFERROR(__xludf.DUMMYFUNCTION("""COMPUTED_VALUE"""),"No")</f>
        <v>No</v>
      </c>
      <c r="I748" s="1" t="str">
        <f ca="1">IFERROR(__xludf.DUMMYFUNCTION("""COMPUTED_VALUE"""),"Will NOT work for them")</f>
        <v>Will NOT work for them</v>
      </c>
      <c r="J748" s="1">
        <f ca="1">IFERROR(__xludf.DUMMYFUNCTION("""COMPUTED_VALUE"""),4)</f>
        <v>4</v>
      </c>
      <c r="K748" s="1" t="str">
        <f ca="1">IFERROR(__xludf.DUMMYFUNCTION("""COMPUTED_VALUE"""),"Hybrid Working Environment with more than 15 days a month at office")</f>
        <v>Hybrid Working Environment with more than 15 days a month at office</v>
      </c>
      <c r="L7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4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48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748" s="1" t="str">
        <f ca="1">IFERROR(__xludf.DUMMYFUNCTION("""COMPUTED_VALUE"""),"Manager who explains what is expected, sets a goal and helps achieve it")</f>
        <v>Manager who explains what is expected, sets a goal and helps achieve it</v>
      </c>
      <c r="P748" s="1" t="str">
        <f ca="1">IFERROR(__xludf.DUMMYFUNCTION("""COMPUTED_VALUE"""),"Work with 2 to 3 people in my team")</f>
        <v>Work with 2 to 3 people in my team</v>
      </c>
      <c r="Q748" s="1" t="str">
        <f ca="1">IFERROR(__xludf.DUMMYFUNCTION("""COMPUTED_VALUE"""),"No")</f>
        <v>No</v>
      </c>
      <c r="R748" s="1" t="str">
        <f ca="1">IFERROR(__xludf.DUMMYFUNCTION("""COMPUTED_VALUE"""),"This will be hard to do, but if it is the right company I would try")</f>
        <v>This will be hard to do, but if it is the right company I would try</v>
      </c>
      <c r="S748" s="1"/>
    </row>
    <row r="749" spans="1:19" ht="12.5" x14ac:dyDescent="0.25">
      <c r="A749" s="2">
        <f ca="1">IFERROR(__xludf.DUMMYFUNCTION("""COMPUTED_VALUE"""),45022.5214991435)</f>
        <v>45022.521499143499</v>
      </c>
      <c r="B749" s="1" t="str">
        <f ca="1">IFERROR(__xludf.DUMMYFUNCTION("""COMPUTED_VALUE"""),"India")</f>
        <v>India</v>
      </c>
      <c r="C749" s="1">
        <f ca="1">IFERROR(__xludf.DUMMYFUNCTION("""COMPUTED_VALUE"""),442001)</f>
        <v>442001</v>
      </c>
      <c r="D749" s="1" t="str">
        <f ca="1">IFERROR(__xludf.DUMMYFUNCTION("""COMPUTED_VALUE"""),"Female")</f>
        <v>Female</v>
      </c>
      <c r="E749" s="1" t="str">
        <f ca="1">IFERROR(__xludf.DUMMYFUNCTION("""COMPUTED_VALUE"""),"Social Media like LinkedIn")</f>
        <v>Social Media like LinkedIn</v>
      </c>
      <c r="F749" s="1" t="str">
        <f ca="1">IFERROR(__xludf.DUMMYFUNCTION("""COMPUTED_VALUE"""),"No, But if someone could bare the cost I will")</f>
        <v>No, But if someone could bare the cost I will</v>
      </c>
      <c r="G749" s="1" t="str">
        <f ca="1">IFERROR(__xludf.DUMMYFUNCTION("""COMPUTED_VALUE"""),"This will be hard to do, but if it is the right company I would try")</f>
        <v>This will be hard to do, but if it is the right company I would try</v>
      </c>
      <c r="H749" s="1" t="str">
        <f ca="1">IFERROR(__xludf.DUMMYFUNCTION("""COMPUTED_VALUE"""),"No")</f>
        <v>No</v>
      </c>
      <c r="I749" s="1" t="str">
        <f ca="1">IFERROR(__xludf.DUMMYFUNCTION("""COMPUTED_VALUE"""),"Will NOT work for them")</f>
        <v>Will NOT work for them</v>
      </c>
      <c r="J749" s="1">
        <f ca="1">IFERROR(__xludf.DUMMYFUNCTION("""COMPUTED_VALUE"""),9)</f>
        <v>9</v>
      </c>
      <c r="K749" s="1" t="str">
        <f ca="1">IFERROR(__xludf.DUMMYFUNCTION("""COMPUTED_VALUE"""),"Fully Remote with Options to travel as and when needed")</f>
        <v>Fully Remote with Options to travel as and when needed</v>
      </c>
      <c r="L7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4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49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749" s="1" t="str">
        <f ca="1">IFERROR(__xludf.DUMMYFUNCTION("""COMPUTED_VALUE"""),"Manager who sets goal and helps me achieve it")</f>
        <v>Manager who sets goal and helps me achieve it</v>
      </c>
      <c r="P749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749" s="1" t="str">
        <f ca="1">IFERROR(__xludf.DUMMYFUNCTION("""COMPUTED_VALUE"""),"I have NO other choice")</f>
        <v>I have NO other choice</v>
      </c>
      <c r="R749" s="1" t="str">
        <f ca="1">IFERROR(__xludf.DUMMYFUNCTION("""COMPUTED_VALUE"""),"This will be hard to do, but if it is the right company I would try")</f>
        <v>This will be hard to do, but if it is the right company I would try</v>
      </c>
      <c r="S749" s="1"/>
    </row>
    <row r="750" spans="1:19" ht="12.5" x14ac:dyDescent="0.25">
      <c r="A750" s="2">
        <f ca="1">IFERROR(__xludf.DUMMYFUNCTION("""COMPUTED_VALUE"""),45022.5275921412)</f>
        <v>45022.527592141203</v>
      </c>
      <c r="B750" s="1" t="str">
        <f ca="1">IFERROR(__xludf.DUMMYFUNCTION("""COMPUTED_VALUE"""),"India")</f>
        <v>India</v>
      </c>
      <c r="C750" s="1">
        <f ca="1">IFERROR(__xludf.DUMMYFUNCTION("""COMPUTED_VALUE"""),521165)</f>
        <v>521165</v>
      </c>
      <c r="D750" s="1" t="str">
        <f ca="1">IFERROR(__xludf.DUMMYFUNCTION("""COMPUTED_VALUE"""),"Male")</f>
        <v>Male</v>
      </c>
      <c r="E750" s="1" t="str">
        <f ca="1">IFERROR(__xludf.DUMMYFUNCTION("""COMPUTED_VALUE"""),"Social Media like LinkedIn")</f>
        <v>Social Media like LinkedIn</v>
      </c>
      <c r="F750" s="1" t="str">
        <f ca="1">IFERROR(__xludf.DUMMYFUNCTION("""COMPUTED_VALUE"""),"No I would not be pursuing Higher Education outside of India")</f>
        <v>No I would not be pursuing Higher Education outside of India</v>
      </c>
      <c r="G750" s="1" t="str">
        <f ca="1">IFERROR(__xludf.DUMMYFUNCTION("""COMPUTED_VALUE"""),"This will be hard to do, but if it is the right company I would try")</f>
        <v>This will be hard to do, but if it is the right company I would try</v>
      </c>
      <c r="H750" s="1" t="str">
        <f ca="1">IFERROR(__xludf.DUMMYFUNCTION("""COMPUTED_VALUE"""),"No")</f>
        <v>No</v>
      </c>
      <c r="I750" s="1" t="str">
        <f ca="1">IFERROR(__xludf.DUMMYFUNCTION("""COMPUTED_VALUE"""),"Will work for them")</f>
        <v>Will work for them</v>
      </c>
      <c r="J750" s="1">
        <f ca="1">IFERROR(__xludf.DUMMYFUNCTION("""COMPUTED_VALUE"""),9)</f>
        <v>9</v>
      </c>
      <c r="K750" s="1" t="str">
        <f ca="1">IFERROR(__xludf.DUMMYFUNCTION("""COMPUTED_VALUE"""),"Fully Remote with Options to travel as and when needed")</f>
        <v>Fully Remote with Options to travel as and when needed</v>
      </c>
      <c r="L750" s="1" t="str">
        <f ca="1">IFERROR(__xludf.DUMMYFUNCTION("""COMPUTED_VALUE"""),"Employer who rewards learning and enables that environment")</f>
        <v>Employer who rewards learning and enables that environment</v>
      </c>
      <c r="M75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750" s="1" t="str">
        <f ca="1">IFERROR(__xludf.DUMMYFUNCTION("""COMPUTED_VALUE"""),"Build and develop a Team, Design and Develop amazing software, Work as a freelancer and do my thing my way, Entrepreneur or Start Up")</f>
        <v>Build and develop a Team, Design and Develop amazing software, Work as a freelancer and do my thing my way, Entrepreneur or Start Up</v>
      </c>
      <c r="O750" s="1" t="str">
        <f ca="1">IFERROR(__xludf.DUMMYFUNCTION("""COMPUTED_VALUE"""),"Manager who sets goal and helps me achieve it")</f>
        <v>Manager who sets goal and helps me achieve it</v>
      </c>
      <c r="P750" s="1" t="str">
        <f ca="1">IFERROR(__xludf.DUMMYFUNCTION("""COMPUTED_VALUE"""),"Work with 5 to 6 people in my team")</f>
        <v>Work with 5 to 6 people in my team</v>
      </c>
      <c r="Q750" s="1" t="str">
        <f ca="1">IFERROR(__xludf.DUMMYFUNCTION("""COMPUTED_VALUE"""),"Yes, I Understand this is gonna happen everywhere")</f>
        <v>Yes, I Understand this is gonna happen everywhere</v>
      </c>
      <c r="R750" s="1" t="str">
        <f ca="1">IFERROR(__xludf.DUMMYFUNCTION("""COMPUTED_VALUE"""),"No way")</f>
        <v>No way</v>
      </c>
      <c r="S750" s="1"/>
    </row>
    <row r="751" spans="1:19" ht="12.5" x14ac:dyDescent="0.25">
      <c r="A751" s="2">
        <f ca="1">IFERROR(__xludf.DUMMYFUNCTION("""COMPUTED_VALUE"""),45022.5300930439)</f>
        <v>45022.530093043897</v>
      </c>
      <c r="B751" s="1" t="str">
        <f ca="1">IFERROR(__xludf.DUMMYFUNCTION("""COMPUTED_VALUE"""),"India")</f>
        <v>India</v>
      </c>
      <c r="C751" s="1">
        <f ca="1">IFERROR(__xludf.DUMMYFUNCTION("""COMPUTED_VALUE"""),110022)</f>
        <v>110022</v>
      </c>
      <c r="D751" s="1" t="str">
        <f ca="1">IFERROR(__xludf.DUMMYFUNCTION("""COMPUTED_VALUE"""),"Female")</f>
        <v>Female</v>
      </c>
      <c r="E751" s="1" t="str">
        <f ca="1">IFERROR(__xludf.DUMMYFUNCTION("""COMPUTED_VALUE"""),"People who have changed the world for better")</f>
        <v>People who have changed the world for better</v>
      </c>
      <c r="F751" s="1" t="str">
        <f ca="1">IFERROR(__xludf.DUMMYFUNCTION("""COMPUTED_VALUE"""),"No I would not be pursuing Higher Education outside of India")</f>
        <v>No I would not be pursuing Higher Education outside of India</v>
      </c>
      <c r="G751" s="1" t="str">
        <f ca="1">IFERROR(__xludf.DUMMYFUNCTION("""COMPUTED_VALUE"""),"This will be hard to do, but if it is the right company I would try")</f>
        <v>This will be hard to do, but if it is the right company I would try</v>
      </c>
      <c r="H751" s="1" t="str">
        <f ca="1">IFERROR(__xludf.DUMMYFUNCTION("""COMPUTED_VALUE"""),"Yes")</f>
        <v>Yes</v>
      </c>
      <c r="I751" s="1" t="str">
        <f ca="1">IFERROR(__xludf.DUMMYFUNCTION("""COMPUTED_VALUE"""),"Will work for them")</f>
        <v>Will work for them</v>
      </c>
      <c r="J751" s="1">
        <f ca="1">IFERROR(__xludf.DUMMYFUNCTION("""COMPUTED_VALUE"""),7)</f>
        <v>7</v>
      </c>
      <c r="K751" s="1" t="str">
        <f ca="1">IFERROR(__xludf.DUMMYFUNCTION("""COMPUTED_VALUE"""),"Hybrid Working Environment with more than 15 days a month at office")</f>
        <v>Hybrid Working Environment with more than 15 days a month at office</v>
      </c>
      <c r="L751" s="1" t="str">
        <f ca="1">IFERROR(__xludf.DUMMYFUNCTION("""COMPUTED_VALUE"""),"Employer who rewards learning and enables that environment")</f>
        <v>Employer who rewards learning and enables that environment</v>
      </c>
      <c r="M75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751" s="1" t="str">
        <f ca="1">IFERROR(__xludf.DUMMYFUNCTION("""COMPUTED_VALUE"""),"Design and Creative strategy in any company, Teaching in any of the institutes/colleges/online or offline, Design and Develop amazing software, Become a content Creator in some platform")</f>
        <v>Design and Creative strategy in any company, Teaching in any of the institutes/colleges/online or offline, Design and Develop amazing software, Become a content Creator in some platform</v>
      </c>
      <c r="O751" s="1" t="str">
        <f ca="1">IFERROR(__xludf.DUMMYFUNCTION("""COMPUTED_VALUE"""),"Manager who sets goal and helps me achieve it")</f>
        <v>Manager who sets goal and helps me achieve it</v>
      </c>
      <c r="P751" s="1" t="str">
        <f ca="1">IFERROR(__xludf.DUMMYFUNCTION("""COMPUTED_VALUE"""),"Work alone")</f>
        <v>Work alone</v>
      </c>
      <c r="Q751" s="1" t="str">
        <f ca="1">IFERROR(__xludf.DUMMYFUNCTION("""COMPUTED_VALUE"""),"Yes, I Understand this is gonna happen everywhere")</f>
        <v>Yes, I Understand this is gonna happen everywhere</v>
      </c>
      <c r="R751" s="1" t="str">
        <f ca="1">IFERROR(__xludf.DUMMYFUNCTION("""COMPUTED_VALUE"""),"No way")</f>
        <v>No way</v>
      </c>
      <c r="S751" s="1"/>
    </row>
    <row r="752" spans="1:19" ht="12.5" x14ac:dyDescent="0.25">
      <c r="A752" s="2">
        <f ca="1">IFERROR(__xludf.DUMMYFUNCTION("""COMPUTED_VALUE"""),45022.5307184143)</f>
        <v>45022.530718414302</v>
      </c>
      <c r="B752" s="1" t="str">
        <f ca="1">IFERROR(__xludf.DUMMYFUNCTION("""COMPUTED_VALUE"""),"India")</f>
        <v>India</v>
      </c>
      <c r="C752" s="1">
        <f ca="1">IFERROR(__xludf.DUMMYFUNCTION("""COMPUTED_VALUE"""),560028)</f>
        <v>560028</v>
      </c>
      <c r="D752" s="1" t="str">
        <f ca="1">IFERROR(__xludf.DUMMYFUNCTION("""COMPUTED_VALUE"""),"Male")</f>
        <v>Male</v>
      </c>
      <c r="E752" s="1" t="str">
        <f ca="1">IFERROR(__xludf.DUMMYFUNCTION("""COMPUTED_VALUE"""),"People who have changed the world for better")</f>
        <v>People who have changed the world for better</v>
      </c>
      <c r="F752" s="1" t="str">
        <f ca="1">IFERROR(__xludf.DUMMYFUNCTION("""COMPUTED_VALUE"""),"Yes, I will earn and do that")</f>
        <v>Yes, I will earn and do that</v>
      </c>
      <c r="G752" s="1" t="str">
        <f ca="1">IFERROR(__xludf.DUMMYFUNCTION("""COMPUTED_VALUE"""),"This will be hard to do, but if it is the right company I would try")</f>
        <v>This will be hard to do, but if it is the right company I would try</v>
      </c>
      <c r="H752" s="1" t="str">
        <f ca="1">IFERROR(__xludf.DUMMYFUNCTION("""COMPUTED_VALUE"""),"No")</f>
        <v>No</v>
      </c>
      <c r="I752" s="1" t="str">
        <f ca="1">IFERROR(__xludf.DUMMYFUNCTION("""COMPUTED_VALUE"""),"Will NOT work for them")</f>
        <v>Will NOT work for them</v>
      </c>
      <c r="J752" s="1">
        <f ca="1">IFERROR(__xludf.DUMMYFUNCTION("""COMPUTED_VALUE"""),7)</f>
        <v>7</v>
      </c>
      <c r="K752" s="1" t="str">
        <f ca="1">IFERROR(__xludf.DUMMYFUNCTION("""COMPUTED_VALUE"""),"Hybrid Working Environment with less than 3 days a month at office")</f>
        <v>Hybrid Working Environment with less than 3 days a month at office</v>
      </c>
      <c r="L7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5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52" s="1" t="str">
        <f ca="1">IFERROR(__xludf.DUMMYFUNCTION("""COMPUTED_VALUE"""),"Manage and drive End-to-End Projects or Products, Build and develop a Team, Design and Develop amazing software, Entrepreneur or Start Up")</f>
        <v>Manage and drive End-to-End Projects or Products, Build and develop a Team, Design and Develop amazing software, Entrepreneur or Start Up</v>
      </c>
      <c r="O752" s="1" t="str">
        <f ca="1">IFERROR(__xludf.DUMMYFUNCTION("""COMPUTED_VALUE"""),"Manager who sets goal and helps me achieve it")</f>
        <v>Manager who sets goal and helps me achieve it</v>
      </c>
      <c r="P752" s="1" t="str">
        <f ca="1">IFERROR(__xludf.DUMMYFUNCTION("""COMPUTED_VALUE"""),"Work with 7 to 10 or more people in my team")</f>
        <v>Work with 7 to 10 or more people in my team</v>
      </c>
      <c r="Q752" s="1" t="str">
        <f ca="1">IFERROR(__xludf.DUMMYFUNCTION("""COMPUTED_VALUE"""),"No")</f>
        <v>No</v>
      </c>
      <c r="R752" s="1" t="str">
        <f ca="1">IFERROR(__xludf.DUMMYFUNCTION("""COMPUTED_VALUE"""),"No way")</f>
        <v>No way</v>
      </c>
      <c r="S752" s="1"/>
    </row>
    <row r="753" spans="1:19" ht="12.5" x14ac:dyDescent="0.25">
      <c r="A753" s="2">
        <f ca="1">IFERROR(__xludf.DUMMYFUNCTION("""COMPUTED_VALUE"""),45022.5312215393)</f>
        <v>45022.531221539299</v>
      </c>
      <c r="B753" s="1" t="str">
        <f ca="1">IFERROR(__xludf.DUMMYFUNCTION("""COMPUTED_VALUE"""),"India")</f>
        <v>India</v>
      </c>
      <c r="C753" s="1">
        <f ca="1">IFERROR(__xludf.DUMMYFUNCTION("""COMPUTED_VALUE"""),641045)</f>
        <v>641045</v>
      </c>
      <c r="D753" s="1" t="str">
        <f ca="1">IFERROR(__xludf.DUMMYFUNCTION("""COMPUTED_VALUE"""),"Male")</f>
        <v>Male</v>
      </c>
      <c r="E753" s="1" t="str">
        <f ca="1">IFERROR(__xludf.DUMMYFUNCTION("""COMPUTED_VALUE"""),"My Parents")</f>
        <v>My Parents</v>
      </c>
      <c r="F753" s="1" t="str">
        <f ca="1">IFERROR(__xludf.DUMMYFUNCTION("""COMPUTED_VALUE"""),"No, But if someone could bare the cost I will")</f>
        <v>No, But if someone could bare the cost I will</v>
      </c>
      <c r="G753" s="1" t="str">
        <f ca="1">IFERROR(__xludf.DUMMYFUNCTION("""COMPUTED_VALUE"""),"This will be hard to do, but if it is the right company I would try")</f>
        <v>This will be hard to do, but if it is the right company I would try</v>
      </c>
      <c r="H753" s="1" t="str">
        <f ca="1">IFERROR(__xludf.DUMMYFUNCTION("""COMPUTED_VALUE"""),"Yes")</f>
        <v>Yes</v>
      </c>
      <c r="I753" s="1" t="str">
        <f ca="1">IFERROR(__xludf.DUMMYFUNCTION("""COMPUTED_VALUE"""),"Will work for them")</f>
        <v>Will work for them</v>
      </c>
      <c r="J753" s="1">
        <f ca="1">IFERROR(__xludf.DUMMYFUNCTION("""COMPUTED_VALUE"""),7)</f>
        <v>7</v>
      </c>
      <c r="K753" s="1" t="str">
        <f ca="1">IFERROR(__xludf.DUMMYFUNCTION("""COMPUTED_VALUE"""),"Fully Remote with Options to travel as and when needed")</f>
        <v>Fully Remote with Options to travel as and when needed</v>
      </c>
      <c r="L753" s="1" t="str">
        <f ca="1">IFERROR(__xludf.DUMMYFUNCTION("""COMPUTED_VALUE"""),"Employer who appreciates learning and enables that environment")</f>
        <v>Employer who appreciates learning and enables that environment</v>
      </c>
      <c r="M753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753" s="1" t="str">
        <f ca="1">IFERROR(__xludf.DUMMYFUNCTION("""COMPUTED_VALUE"""),"Build and develop a Team, Become a content Creator in some platform, I Want to sell things/Sales, An Artificial Intelligence Specialist / Talking to Robots")</f>
        <v>Build and develop a Team, Become a content Creator in some platform, I Want to sell things/Sales, An Artificial Intelligence Specialist / Talking to Robots</v>
      </c>
      <c r="O753" s="1" t="str">
        <f ca="1">IFERROR(__xludf.DUMMYFUNCTION("""COMPUTED_VALUE"""),"Manager who explains what is expected, sets a goal and helps achieve it")</f>
        <v>Manager who explains what is expected, sets a goal and helps achieve it</v>
      </c>
      <c r="P753" s="1" t="str">
        <f ca="1">IFERROR(__xludf.DUMMYFUNCTION("""COMPUTED_VALUE"""),"Work alone")</f>
        <v>Work alone</v>
      </c>
      <c r="Q753" s="1" t="str">
        <f ca="1">IFERROR(__xludf.DUMMYFUNCTION("""COMPUTED_VALUE"""),"No")</f>
        <v>No</v>
      </c>
      <c r="R753" s="1" t="str">
        <f ca="1">IFERROR(__xludf.DUMMYFUNCTION("""COMPUTED_VALUE"""),"This will be hard to do, but if it is the right company I would try")</f>
        <v>This will be hard to do, but if it is the right company I would try</v>
      </c>
      <c r="S753" s="1"/>
    </row>
    <row r="754" spans="1:19" ht="12.5" x14ac:dyDescent="0.25">
      <c r="A754" s="2">
        <f ca="1">IFERROR(__xludf.DUMMYFUNCTION("""COMPUTED_VALUE"""),45022.5383153819)</f>
        <v>45022.538315381898</v>
      </c>
      <c r="B754" s="1" t="str">
        <f ca="1">IFERROR(__xludf.DUMMYFUNCTION("""COMPUTED_VALUE"""),"India")</f>
        <v>India</v>
      </c>
      <c r="C754" s="1">
        <f ca="1">IFERROR(__xludf.DUMMYFUNCTION("""COMPUTED_VALUE"""),110077)</f>
        <v>110077</v>
      </c>
      <c r="D754" s="1" t="str">
        <f ca="1">IFERROR(__xludf.DUMMYFUNCTION("""COMPUTED_VALUE"""),"Female")</f>
        <v>Female</v>
      </c>
      <c r="E754" s="1" t="str">
        <f ca="1">IFERROR(__xludf.DUMMYFUNCTION("""COMPUTED_VALUE"""),"Influencers who had successful careers")</f>
        <v>Influencers who had successful careers</v>
      </c>
      <c r="F754" s="1" t="str">
        <f ca="1">IFERROR(__xludf.DUMMYFUNCTION("""COMPUTED_VALUE"""),"No I would not be pursuing Higher Education outside of India")</f>
        <v>No I would not be pursuing Higher Education outside of India</v>
      </c>
      <c r="G754" s="1" t="str">
        <f ca="1">IFERROR(__xludf.DUMMYFUNCTION("""COMPUTED_VALUE"""),"This will be hard to do, but if it is the right company I would try")</f>
        <v>This will be hard to do, but if it is the right company I would try</v>
      </c>
      <c r="H754" s="1" t="str">
        <f ca="1">IFERROR(__xludf.DUMMYFUNCTION("""COMPUTED_VALUE"""),"No")</f>
        <v>No</v>
      </c>
      <c r="I754" s="1" t="str">
        <f ca="1">IFERROR(__xludf.DUMMYFUNCTION("""COMPUTED_VALUE"""),"Will NOT work for them")</f>
        <v>Will NOT work for them</v>
      </c>
      <c r="J754" s="1">
        <f ca="1">IFERROR(__xludf.DUMMYFUNCTION("""COMPUTED_VALUE"""),3)</f>
        <v>3</v>
      </c>
      <c r="K754" s="1" t="str">
        <f ca="1">IFERROR(__xludf.DUMMYFUNCTION("""COMPUTED_VALUE"""),"Fully Remote with Options to travel as and when needed")</f>
        <v>Fully Remote with Options to travel as and when needed</v>
      </c>
      <c r="L7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5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54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754" s="1" t="str">
        <f ca="1">IFERROR(__xludf.DUMMYFUNCTION("""COMPUTED_VALUE"""),"Manager who explains what is expected, sets a goal and helps achieve it")</f>
        <v>Manager who explains what is expected, sets a goal and helps achieve it</v>
      </c>
      <c r="P754" s="1" t="str">
        <f ca="1">IFERROR(__xludf.DUMMYFUNCTION("""COMPUTED_VALUE"""),"Work with 2 to 3 people in my team")</f>
        <v>Work with 2 to 3 people in my team</v>
      </c>
      <c r="Q754" s="1" t="str">
        <f ca="1">IFERROR(__xludf.DUMMYFUNCTION("""COMPUTED_VALUE"""),"Yes, I Understand this is gonna happen everywhere")</f>
        <v>Yes, I Understand this is gonna happen everywhere</v>
      </c>
      <c r="R754" s="1" t="str">
        <f ca="1">IFERROR(__xludf.DUMMYFUNCTION("""COMPUTED_VALUE"""),"No way")</f>
        <v>No way</v>
      </c>
      <c r="S754" s="1"/>
    </row>
    <row r="755" spans="1:19" ht="12.5" x14ac:dyDescent="0.25">
      <c r="A755" s="2">
        <f ca="1">IFERROR(__xludf.DUMMYFUNCTION("""COMPUTED_VALUE"""),45022.5383874074)</f>
        <v>45022.538387407403</v>
      </c>
      <c r="B755" s="1" t="str">
        <f ca="1">IFERROR(__xludf.DUMMYFUNCTION("""COMPUTED_VALUE"""),"India")</f>
        <v>India</v>
      </c>
      <c r="C755" s="1">
        <f ca="1">IFERROR(__xludf.DUMMYFUNCTION("""COMPUTED_VALUE"""),521163)</f>
        <v>521163</v>
      </c>
      <c r="D755" s="1" t="str">
        <f ca="1">IFERROR(__xludf.DUMMYFUNCTION("""COMPUTED_VALUE"""),"Male")</f>
        <v>Male</v>
      </c>
      <c r="E755" s="1" t="str">
        <f ca="1">IFERROR(__xludf.DUMMYFUNCTION("""COMPUTED_VALUE"""),"My Parents")</f>
        <v>My Parents</v>
      </c>
      <c r="F755" s="1" t="str">
        <f ca="1">IFERROR(__xludf.DUMMYFUNCTION("""COMPUTED_VALUE"""),"No, But if someone could bare the cost I will")</f>
        <v>No, But if someone could bare the cost I will</v>
      </c>
      <c r="G755" s="1" t="str">
        <f ca="1">IFERROR(__xludf.DUMMYFUNCTION("""COMPUTED_VALUE"""),"This will be hard to do, but if it is the right company I would try")</f>
        <v>This will be hard to do, but if it is the right company I would try</v>
      </c>
      <c r="H755" s="1" t="str">
        <f ca="1">IFERROR(__xludf.DUMMYFUNCTION("""COMPUTED_VALUE"""),"No")</f>
        <v>No</v>
      </c>
      <c r="I755" s="1" t="str">
        <f ca="1">IFERROR(__xludf.DUMMYFUNCTION("""COMPUTED_VALUE"""),"Will NOT work for them")</f>
        <v>Will NOT work for them</v>
      </c>
      <c r="J755" s="1">
        <f ca="1">IFERROR(__xludf.DUMMYFUNCTION("""COMPUTED_VALUE"""),5)</f>
        <v>5</v>
      </c>
      <c r="K755" s="1" t="str">
        <f ca="1">IFERROR(__xludf.DUMMYFUNCTION("""COMPUTED_VALUE"""),"Fully Remote with Options to travel as and when needed")</f>
        <v>Fully Remote with Options to travel as and when needed</v>
      </c>
      <c r="L7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5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55" s="1" t="str">
        <f ca="1">IFERROR(__xludf.DUMMYFUNCTION("""COMPUTED_VALUE"""),"Teaching in any of the institutes/colleges/online or offline, Build and develop a Team, Design and Develop amazing software, Become a content Creator in some platform")</f>
        <v>Teaching in any of the institutes/colleges/online or offline, Build and develop a Team, Design and Develop amazing software, Become a content Creator in some platform</v>
      </c>
      <c r="O755" s="1" t="str">
        <f ca="1">IFERROR(__xludf.DUMMYFUNCTION("""COMPUTED_VALUE"""),"Manager who explains what is expected, sets a goal and helps achieve it")</f>
        <v>Manager who explains what is expected, sets a goal and helps achieve it</v>
      </c>
      <c r="P755" s="1" t="str">
        <f ca="1">IFERROR(__xludf.DUMMYFUNCTION("""COMPUTED_VALUE"""),"Work with 5 to 6 people in my team")</f>
        <v>Work with 5 to 6 people in my team</v>
      </c>
      <c r="Q755" s="1" t="str">
        <f ca="1">IFERROR(__xludf.DUMMYFUNCTION("""COMPUTED_VALUE"""),"Yes, I Understand this is gonna happen everywhere")</f>
        <v>Yes, I Understand this is gonna happen everywhere</v>
      </c>
      <c r="R755" s="1" t="str">
        <f ca="1">IFERROR(__xludf.DUMMYFUNCTION("""COMPUTED_VALUE"""),"This will be hard to do, but if it is the right company I would try")</f>
        <v>This will be hard to do, but if it is the right company I would try</v>
      </c>
      <c r="S755" s="1"/>
    </row>
    <row r="756" spans="1:19" ht="12.5" x14ac:dyDescent="0.25">
      <c r="A756" s="2">
        <f ca="1">IFERROR(__xludf.DUMMYFUNCTION("""COMPUTED_VALUE"""),45022.5399110995)</f>
        <v>45022.539911099499</v>
      </c>
      <c r="B756" s="1" t="str">
        <f ca="1">IFERROR(__xludf.DUMMYFUNCTION("""COMPUTED_VALUE"""),"India")</f>
        <v>India</v>
      </c>
      <c r="C756" s="1">
        <f ca="1">IFERROR(__xludf.DUMMYFUNCTION("""COMPUTED_VALUE"""),560029)</f>
        <v>560029</v>
      </c>
      <c r="D756" s="1" t="str">
        <f ca="1">IFERROR(__xludf.DUMMYFUNCTION("""COMPUTED_VALUE"""),"Male")</f>
        <v>Male</v>
      </c>
      <c r="E756" s="1" t="str">
        <f ca="1">IFERROR(__xludf.DUMMYFUNCTION("""COMPUTED_VALUE"""),"Social Media like LinkedIn")</f>
        <v>Social Media like LinkedIn</v>
      </c>
      <c r="F756" s="1" t="str">
        <f ca="1">IFERROR(__xludf.DUMMYFUNCTION("""COMPUTED_VALUE"""),"No, But if someone could bare the cost I will")</f>
        <v>No, But if someone could bare the cost I will</v>
      </c>
      <c r="G756" s="1" t="str">
        <f ca="1">IFERROR(__xludf.DUMMYFUNCTION("""COMPUTED_VALUE"""),"This will be hard to do, but if it is the right company I would try")</f>
        <v>This will be hard to do, but if it is the right company I would try</v>
      </c>
      <c r="H756" s="1" t="str">
        <f ca="1">IFERROR(__xludf.DUMMYFUNCTION("""COMPUTED_VALUE"""),"No")</f>
        <v>No</v>
      </c>
      <c r="I756" s="1" t="str">
        <f ca="1">IFERROR(__xludf.DUMMYFUNCTION("""COMPUTED_VALUE"""),"Will NOT work for them")</f>
        <v>Will NOT work for them</v>
      </c>
      <c r="J756" s="1">
        <f ca="1">IFERROR(__xludf.DUMMYFUNCTION("""COMPUTED_VALUE"""),1)</f>
        <v>1</v>
      </c>
      <c r="K756" s="1" t="str">
        <f ca="1">IFERROR(__xludf.DUMMYFUNCTION("""COMPUTED_VALUE"""),"Hybrid Working Environment with more than 15 days a month at office")</f>
        <v>Hybrid Working Environment with more than 15 days a month at office</v>
      </c>
      <c r="L7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5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756" s="1" t="str">
        <f ca="1">IFERROR(__xludf.DUMMYFUNCTION("""COMPUTED_VALUE"""),"Build and develop a Team, Design and Develop amazing software, Work as a freelancer and do my thing my way, An Artificial Intelligence Specialist / Talking to Robots")</f>
        <v>Build and develop a Team, Design and Develop amazing software, Work as a freelancer and do my thing my way, An Artificial Intelligence Specialist / Talking to Robots</v>
      </c>
      <c r="O756" s="1" t="str">
        <f ca="1">IFERROR(__xludf.DUMMYFUNCTION("""COMPUTED_VALUE"""),"Manager who sets goal and helps me achieve it")</f>
        <v>Manager who sets goal and helps me achieve it</v>
      </c>
      <c r="P756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756" s="1" t="str">
        <f ca="1">IFERROR(__xludf.DUMMYFUNCTION("""COMPUTED_VALUE"""),"Yes, I Understand this is gonna happen everywhere")</f>
        <v>Yes, I Understand this is gonna happen everywhere</v>
      </c>
      <c r="R756" s="1" t="str">
        <f ca="1">IFERROR(__xludf.DUMMYFUNCTION("""COMPUTED_VALUE"""),"No way")</f>
        <v>No way</v>
      </c>
      <c r="S756" s="1"/>
    </row>
    <row r="757" spans="1:19" ht="12.5" x14ac:dyDescent="0.25">
      <c r="A757" s="2">
        <f ca="1">IFERROR(__xludf.DUMMYFUNCTION("""COMPUTED_VALUE"""),45022.540764618)</f>
        <v>45022.540764618003</v>
      </c>
      <c r="B757" s="1" t="str">
        <f ca="1">IFERROR(__xludf.DUMMYFUNCTION("""COMPUTED_VALUE"""),"India")</f>
        <v>India</v>
      </c>
      <c r="C757" s="1">
        <f ca="1">IFERROR(__xludf.DUMMYFUNCTION("""COMPUTED_VALUE"""),560029)</f>
        <v>560029</v>
      </c>
      <c r="D757" s="1" t="str">
        <f ca="1">IFERROR(__xludf.DUMMYFUNCTION("""COMPUTED_VALUE"""),"Male")</f>
        <v>Male</v>
      </c>
      <c r="E757" s="1" t="str">
        <f ca="1">IFERROR(__xludf.DUMMYFUNCTION("""COMPUTED_VALUE"""),"My Parents")</f>
        <v>My Parents</v>
      </c>
      <c r="F757" s="1" t="str">
        <f ca="1">IFERROR(__xludf.DUMMYFUNCTION("""COMPUTED_VALUE"""),"No, But if someone could bare the cost I will")</f>
        <v>No, But if someone could bare the cost I will</v>
      </c>
      <c r="G757" s="1" t="str">
        <f ca="1">IFERROR(__xludf.DUMMYFUNCTION("""COMPUTED_VALUE"""),"This will be hard to do, but if it is the right company I would try")</f>
        <v>This will be hard to do, but if it is the right company I would try</v>
      </c>
      <c r="H757" s="1" t="str">
        <f ca="1">IFERROR(__xludf.DUMMYFUNCTION("""COMPUTED_VALUE"""),"No")</f>
        <v>No</v>
      </c>
      <c r="I757" s="1" t="str">
        <f ca="1">IFERROR(__xludf.DUMMYFUNCTION("""COMPUTED_VALUE"""),"Will NOT work for them")</f>
        <v>Will NOT work for them</v>
      </c>
      <c r="J757" s="1">
        <f ca="1">IFERROR(__xludf.DUMMYFUNCTION("""COMPUTED_VALUE"""),3)</f>
        <v>3</v>
      </c>
      <c r="K757" s="1" t="str">
        <f ca="1">IFERROR(__xludf.DUMMYFUNCTION("""COMPUTED_VALUE"""),"Fully Remote with Options to travel as and when needed")</f>
        <v>Fully Remote with Options to travel as and when needed</v>
      </c>
      <c r="L7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5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757" s="1" t="str">
        <f ca="1">IFERROR(__xludf.DUMMYFUNCTION("""COMPUTED_VALUE"""),"Build and develop a Team, Look deeply into Data and generate insights, I Want to sell things/Sales, An Artificial Intelligence Specialist / Talking to Robots")</f>
        <v>Build and develop a Team, Look deeply into Data and generate insights, I Want to sell things/Sales, An Artificial Intelligence Specialist / Talking to Robots</v>
      </c>
      <c r="O757" s="1" t="str">
        <f ca="1">IFERROR(__xludf.DUMMYFUNCTION("""COMPUTED_VALUE"""),"Manager who sets goal and helps me achieve it")</f>
        <v>Manager who sets goal and helps me achieve it</v>
      </c>
      <c r="P757" s="1" t="str">
        <f ca="1">IFERROR(__xludf.DUMMYFUNCTION("""COMPUTED_VALUE"""),"Work with 7 to 10 or more people in my team")</f>
        <v>Work with 7 to 10 or more people in my team</v>
      </c>
      <c r="Q757" s="1" t="str">
        <f ca="1">IFERROR(__xludf.DUMMYFUNCTION("""COMPUTED_VALUE"""),"No")</f>
        <v>No</v>
      </c>
      <c r="R757" s="1" t="str">
        <f ca="1">IFERROR(__xludf.DUMMYFUNCTION("""COMPUTED_VALUE"""),"This will be hard to do, but if it is the right company I would try")</f>
        <v>This will be hard to do, but if it is the right company I would try</v>
      </c>
      <c r="S757" s="1"/>
    </row>
    <row r="758" spans="1:19" ht="12.5" x14ac:dyDescent="0.25">
      <c r="A758" s="2">
        <f ca="1">IFERROR(__xludf.DUMMYFUNCTION("""COMPUTED_VALUE"""),45022.5514951273)</f>
        <v>45022.5514951273</v>
      </c>
      <c r="B758" s="1" t="str">
        <f ca="1">IFERROR(__xludf.DUMMYFUNCTION("""COMPUTED_VALUE"""),"India")</f>
        <v>India</v>
      </c>
      <c r="C758" s="1">
        <f ca="1">IFERROR(__xludf.DUMMYFUNCTION("""COMPUTED_VALUE"""),431810)</f>
        <v>431810</v>
      </c>
      <c r="D758" s="1" t="str">
        <f ca="1">IFERROR(__xludf.DUMMYFUNCTION("""COMPUTED_VALUE"""),"Male")</f>
        <v>Male</v>
      </c>
      <c r="E758" s="1" t="str">
        <f ca="1">IFERROR(__xludf.DUMMYFUNCTION("""COMPUTED_VALUE"""),"Influencers who had successful careers")</f>
        <v>Influencers who had successful careers</v>
      </c>
      <c r="F758" s="1" t="str">
        <f ca="1">IFERROR(__xludf.DUMMYFUNCTION("""COMPUTED_VALUE"""),"No, But if someone could bare the cost I will")</f>
        <v>No, But if someone could bare the cost I will</v>
      </c>
      <c r="G758" s="1" t="str">
        <f ca="1">IFERROR(__xludf.DUMMYFUNCTION("""COMPUTED_VALUE"""),"This will be hard to do, but if it is the right company I would try")</f>
        <v>This will be hard to do, but if it is the right company I would try</v>
      </c>
      <c r="H758" s="1" t="str">
        <f ca="1">IFERROR(__xludf.DUMMYFUNCTION("""COMPUTED_VALUE"""),"Yes")</f>
        <v>Yes</v>
      </c>
      <c r="I758" s="1" t="str">
        <f ca="1">IFERROR(__xludf.DUMMYFUNCTION("""COMPUTED_VALUE"""),"Will work for them")</f>
        <v>Will work for them</v>
      </c>
      <c r="J758" s="1">
        <f ca="1">IFERROR(__xludf.DUMMYFUNCTION("""COMPUTED_VALUE"""),9)</f>
        <v>9</v>
      </c>
      <c r="K758" s="1" t="str">
        <f ca="1">IFERROR(__xludf.DUMMYFUNCTION("""COMPUTED_VALUE"""),"Fully Remote with Options to travel as and when needed")</f>
        <v>Fully Remote with Options to travel as and when needed</v>
      </c>
      <c r="L758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758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758" s="1" t="str">
        <f ca="1">IFERROR(__xludf.DUMMYFUNCTION("""COMPUTED_VALUE"""),"Become a content Creator in some platform, Entrepreneur or Start Up, I Want to sell things/Sales, An Artificial Intelligence Specialist / Talking to Robots")</f>
        <v>Become a content Creator in some platform, Entrepreneur or Start Up, I Want to sell things/Sales, An Artificial Intelligence Specialist / Talking to Robots</v>
      </c>
      <c r="O758" s="1" t="str">
        <f ca="1">IFERROR(__xludf.DUMMYFUNCTION("""COMPUTED_VALUE"""),"Manager who explains what is expected, sets a goal and helps achieve it")</f>
        <v>Manager who explains what is expected, sets a goal and helps achieve it</v>
      </c>
      <c r="P758" s="1" t="str">
        <f ca="1">IFERROR(__xludf.DUMMYFUNCTION("""COMPUTED_VALUE"""),"Work with 5 to 6 people in my team")</f>
        <v>Work with 5 to 6 people in my team</v>
      </c>
      <c r="Q758" s="1" t="str">
        <f ca="1">IFERROR(__xludf.DUMMYFUNCTION("""COMPUTED_VALUE"""),"Yes, I Understand this is gonna happen everywhere")</f>
        <v>Yes, I Understand this is gonna happen everywhere</v>
      </c>
      <c r="R758" s="1" t="str">
        <f ca="1">IFERROR(__xludf.DUMMYFUNCTION("""COMPUTED_VALUE"""),"This will be hard to do, but if it is the right company I would try")</f>
        <v>This will be hard to do, but if it is the right company I would try</v>
      </c>
      <c r="S758" s="1"/>
    </row>
    <row r="759" spans="1:19" ht="12.5" x14ac:dyDescent="0.25">
      <c r="A759" s="2">
        <f ca="1">IFERROR(__xludf.DUMMYFUNCTION("""COMPUTED_VALUE"""),45022.5620576504)</f>
        <v>45022.562057650401</v>
      </c>
      <c r="B759" s="1" t="str">
        <f ca="1">IFERROR(__xludf.DUMMYFUNCTION("""COMPUTED_VALUE"""),"India")</f>
        <v>India</v>
      </c>
      <c r="C759" s="1">
        <f ca="1">IFERROR(__xludf.DUMMYFUNCTION("""COMPUTED_VALUE"""),431001)</f>
        <v>431001</v>
      </c>
      <c r="D759" s="1" t="str">
        <f ca="1">IFERROR(__xludf.DUMMYFUNCTION("""COMPUTED_VALUE"""),"Male")</f>
        <v>Male</v>
      </c>
      <c r="E759" s="1" t="str">
        <f ca="1">IFERROR(__xludf.DUMMYFUNCTION("""COMPUTED_VALUE"""),"Social Media like LinkedIn")</f>
        <v>Social Media like LinkedIn</v>
      </c>
      <c r="F759" s="1" t="str">
        <f ca="1">IFERROR(__xludf.DUMMYFUNCTION("""COMPUTED_VALUE"""),"Yes, I will earn and do that")</f>
        <v>Yes, I will earn and do that</v>
      </c>
      <c r="G759" s="1" t="str">
        <f ca="1">IFERROR(__xludf.DUMMYFUNCTION("""COMPUTED_VALUE"""),"This will be hard to do, but if it is the right company I would try")</f>
        <v>This will be hard to do, but if it is the right company I would try</v>
      </c>
      <c r="H759" s="1" t="str">
        <f ca="1">IFERROR(__xludf.DUMMYFUNCTION("""COMPUTED_VALUE"""),"No")</f>
        <v>No</v>
      </c>
      <c r="I759" s="1" t="str">
        <f ca="1">IFERROR(__xludf.DUMMYFUNCTION("""COMPUTED_VALUE"""),"Will NOT work for them")</f>
        <v>Will NOT work for them</v>
      </c>
      <c r="J759" s="1">
        <f ca="1">IFERROR(__xludf.DUMMYFUNCTION("""COMPUTED_VALUE"""),5)</f>
        <v>5</v>
      </c>
      <c r="K759" s="1" t="str">
        <f ca="1">IFERROR(__xludf.DUMMYFUNCTION("""COMPUTED_VALUE"""),"Fully Remote with No option to visit offices")</f>
        <v>Fully Remote with No option to visit offices</v>
      </c>
      <c r="L7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5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759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759" s="1" t="str">
        <f ca="1">IFERROR(__xludf.DUMMYFUNCTION("""COMPUTED_VALUE"""),"Manager who explains what is expected, sets a goal and helps achieve it")</f>
        <v>Manager who explains what is expected, sets a goal and helps achieve it</v>
      </c>
      <c r="P759" s="1" t="str">
        <f ca="1">IFERROR(__xludf.DUMMYFUNCTION("""COMPUTED_VALUE"""),"Work with 5 to 6 people in my team")</f>
        <v>Work with 5 to 6 people in my team</v>
      </c>
      <c r="Q759" s="1" t="str">
        <f ca="1">IFERROR(__xludf.DUMMYFUNCTION("""COMPUTED_VALUE"""),"Yes, I Understand this is gonna happen everywhere")</f>
        <v>Yes, I Understand this is gonna happen everywhere</v>
      </c>
      <c r="R759" s="1" t="str">
        <f ca="1">IFERROR(__xludf.DUMMYFUNCTION("""COMPUTED_VALUE"""),"No way")</f>
        <v>No way</v>
      </c>
      <c r="S759" s="1"/>
    </row>
    <row r="760" spans="1:19" ht="12.5" x14ac:dyDescent="0.25">
      <c r="A760" s="2">
        <f ca="1">IFERROR(__xludf.DUMMYFUNCTION("""COMPUTED_VALUE"""),45022.5666586458)</f>
        <v>45022.566658645803</v>
      </c>
      <c r="B760" s="1" t="str">
        <f ca="1">IFERROR(__xludf.DUMMYFUNCTION("""COMPUTED_VALUE"""),"India")</f>
        <v>India</v>
      </c>
      <c r="C760" s="1">
        <f ca="1">IFERROR(__xludf.DUMMYFUNCTION("""COMPUTED_VALUE"""),110045)</f>
        <v>110045</v>
      </c>
      <c r="D760" s="1" t="str">
        <f ca="1">IFERROR(__xludf.DUMMYFUNCTION("""COMPUTED_VALUE"""),"Male")</f>
        <v>Male</v>
      </c>
      <c r="E760" s="1" t="str">
        <f ca="1">IFERROR(__xludf.DUMMYFUNCTION("""COMPUTED_VALUE"""),"Social Media like LinkedIn")</f>
        <v>Social Media like LinkedIn</v>
      </c>
      <c r="F760" s="1" t="str">
        <f ca="1">IFERROR(__xludf.DUMMYFUNCTION("""COMPUTED_VALUE"""),"Yes, I will earn and do that")</f>
        <v>Yes, I will earn and do that</v>
      </c>
      <c r="G760" s="1" t="str">
        <f ca="1">IFERROR(__xludf.DUMMYFUNCTION("""COMPUTED_VALUE"""),"Will work for 3 years or more")</f>
        <v>Will work for 3 years or more</v>
      </c>
      <c r="H760" s="1" t="str">
        <f ca="1">IFERROR(__xludf.DUMMYFUNCTION("""COMPUTED_VALUE"""),"No")</f>
        <v>No</v>
      </c>
      <c r="I760" s="1" t="str">
        <f ca="1">IFERROR(__xludf.DUMMYFUNCTION("""COMPUTED_VALUE"""),"Will NOT work for them")</f>
        <v>Will NOT work for them</v>
      </c>
      <c r="J760" s="1">
        <f ca="1">IFERROR(__xludf.DUMMYFUNCTION("""COMPUTED_VALUE"""),8)</f>
        <v>8</v>
      </c>
      <c r="K760" s="1" t="str">
        <f ca="1">IFERROR(__xludf.DUMMYFUNCTION("""COMPUTED_VALUE"""),"Fully Remote with Options to travel as and when needed")</f>
        <v>Fully Remote with Options to travel as and when needed</v>
      </c>
      <c r="L7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6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760" s="1" t="str">
        <f ca="1">IFERROR(__xludf.DUMMYFUNCTION("""COMPUTED_VALUE"""),"Manage and drive End-to-End Projects or Products, Build and develop a Team, Design and Develop amazing software, An Artificial Intelligence Specialist / Talking to Robots")</f>
        <v>Manage and drive End-to-End Projects or Products, Build and develop a Team, Design and Develop amazing software, An Artificial Intelligence Specialist / Talking to Robots</v>
      </c>
      <c r="O760" s="1" t="str">
        <f ca="1">IFERROR(__xludf.DUMMYFUNCTION("""COMPUTED_VALUE"""),"Manager who explains what is expected, sets a goal and helps achieve it")</f>
        <v>Manager who explains what is expected, sets a goal and helps achieve it</v>
      </c>
      <c r="P760" s="1" t="str">
        <f ca="1">IFERROR(__xludf.DUMMYFUNCTION("""COMPUTED_VALUE"""),"Work with 2 to 3 people in my team")</f>
        <v>Work with 2 to 3 people in my team</v>
      </c>
      <c r="Q760" s="1" t="str">
        <f ca="1">IFERROR(__xludf.DUMMYFUNCTION("""COMPUTED_VALUE"""),"Yes, I Understand this is gonna happen everywhere")</f>
        <v>Yes, I Understand this is gonna happen everywhere</v>
      </c>
      <c r="R760" s="1" t="str">
        <f ca="1">IFERROR(__xludf.DUMMYFUNCTION("""COMPUTED_VALUE"""),"Will work for 7 years or more")</f>
        <v>Will work for 7 years or more</v>
      </c>
      <c r="S760" s="1"/>
    </row>
    <row r="761" spans="1:19" ht="12.5" x14ac:dyDescent="0.25">
      <c r="A761" s="2">
        <f ca="1">IFERROR(__xludf.DUMMYFUNCTION("""COMPUTED_VALUE"""),45022.5689937615)</f>
        <v>45022.568993761502</v>
      </c>
      <c r="B761" s="1" t="str">
        <f ca="1">IFERROR(__xludf.DUMMYFUNCTION("""COMPUTED_VALUE"""),"India")</f>
        <v>India</v>
      </c>
      <c r="C761" s="1">
        <f ca="1">IFERROR(__xludf.DUMMYFUNCTION("""COMPUTED_VALUE"""),577201)</f>
        <v>577201</v>
      </c>
      <c r="D761" s="1" t="str">
        <f ca="1">IFERROR(__xludf.DUMMYFUNCTION("""COMPUTED_VALUE"""),"Female")</f>
        <v>Female</v>
      </c>
      <c r="E761" s="1" t="str">
        <f ca="1">IFERROR(__xludf.DUMMYFUNCTION("""COMPUTED_VALUE"""),"People who have changed the world for better")</f>
        <v>People who have changed the world for better</v>
      </c>
      <c r="F761" s="1" t="str">
        <f ca="1">IFERROR(__xludf.DUMMYFUNCTION("""COMPUTED_VALUE"""),"No, But if someone could bare the cost I will")</f>
        <v>No, But if someone could bare the cost I will</v>
      </c>
      <c r="G761" s="1" t="str">
        <f ca="1">IFERROR(__xludf.DUMMYFUNCTION("""COMPUTED_VALUE"""),"This will be hard to do, but if it is the right company I would try")</f>
        <v>This will be hard to do, but if it is the right company I would try</v>
      </c>
      <c r="H761" s="1" t="str">
        <f ca="1">IFERROR(__xludf.DUMMYFUNCTION("""COMPUTED_VALUE"""),"No")</f>
        <v>No</v>
      </c>
      <c r="I761" s="1" t="str">
        <f ca="1">IFERROR(__xludf.DUMMYFUNCTION("""COMPUTED_VALUE"""),"Will NOT work for them")</f>
        <v>Will NOT work for them</v>
      </c>
      <c r="J761" s="1">
        <f ca="1">IFERROR(__xludf.DUMMYFUNCTION("""COMPUTED_VALUE"""),5)</f>
        <v>5</v>
      </c>
      <c r="K761" s="1" t="str">
        <f ca="1">IFERROR(__xludf.DUMMYFUNCTION("""COMPUTED_VALUE"""),"Hybrid Working Environment with more than 15 days a month at office")</f>
        <v>Hybrid Working Environment with more than 15 days a month at office</v>
      </c>
      <c r="L761" s="1" t="str">
        <f ca="1">IFERROR(__xludf.DUMMYFUNCTION("""COMPUTED_VALUE"""),"Employer who rewards learning and enables that environment")</f>
        <v>Employer who rewards learning and enables that environment</v>
      </c>
      <c r="M76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761" s="1" t="str">
        <f ca="1">IFERROR(__xludf.DUMMYFUNCTION("""COMPUTED_VALUE"""),"Business Operations in any organization, Design and Develop amazing software, Entrepreneur or Start Up, An Artificial Intelligence Specialist / Talking to Robots")</f>
        <v>Business Operations in any organization, Design and Develop amazing software, Entrepreneur or Start Up, An Artificial Intelligence Specialist / Talking to Robots</v>
      </c>
      <c r="O761" s="1" t="str">
        <f ca="1">IFERROR(__xludf.DUMMYFUNCTION("""COMPUTED_VALUE"""),"Manager who explains what is expected, sets a goal and helps achieve it")</f>
        <v>Manager who explains what is expected, sets a goal and helps achieve it</v>
      </c>
      <c r="P761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761" s="1" t="str">
        <f ca="1">IFERROR(__xludf.DUMMYFUNCTION("""COMPUTED_VALUE"""),"Yes, I Understand this is gonna happen everywhere")</f>
        <v>Yes, I Understand this is gonna happen everywhere</v>
      </c>
      <c r="R761" s="1" t="str">
        <f ca="1">IFERROR(__xludf.DUMMYFUNCTION("""COMPUTED_VALUE"""),"This will be hard to do, but if it is the right company I would try")</f>
        <v>This will be hard to do, but if it is the right company I would try</v>
      </c>
      <c r="S761" s="1"/>
    </row>
    <row r="762" spans="1:19" ht="12.5" x14ac:dyDescent="0.25">
      <c r="A762" s="2">
        <f ca="1">IFERROR(__xludf.DUMMYFUNCTION("""COMPUTED_VALUE"""),45022.5745396064)</f>
        <v>45022.574539606401</v>
      </c>
      <c r="B762" s="1" t="str">
        <f ca="1">IFERROR(__xludf.DUMMYFUNCTION("""COMPUTED_VALUE"""),"India")</f>
        <v>India</v>
      </c>
      <c r="C762" s="1">
        <f ca="1">IFERROR(__xludf.DUMMYFUNCTION("""COMPUTED_VALUE"""),110057)</f>
        <v>110057</v>
      </c>
      <c r="D762" s="1" t="str">
        <f ca="1">IFERROR(__xludf.DUMMYFUNCTION("""COMPUTED_VALUE"""),"Male")</f>
        <v>Male</v>
      </c>
      <c r="E762" s="1" t="str">
        <f ca="1">IFERROR(__xludf.DUMMYFUNCTION("""COMPUTED_VALUE"""),"Influencers who had successful careers")</f>
        <v>Influencers who had successful careers</v>
      </c>
      <c r="F762" s="1" t="str">
        <f ca="1">IFERROR(__xludf.DUMMYFUNCTION("""COMPUTED_VALUE"""),"Yes, I will earn and do that")</f>
        <v>Yes, I will earn and do that</v>
      </c>
      <c r="G762" s="1" t="str">
        <f ca="1">IFERROR(__xludf.DUMMYFUNCTION("""COMPUTED_VALUE"""),"Will work for 3 years or more")</f>
        <v>Will work for 3 years or more</v>
      </c>
      <c r="H762" s="1" t="str">
        <f ca="1">IFERROR(__xludf.DUMMYFUNCTION("""COMPUTED_VALUE"""),"Yes")</f>
        <v>Yes</v>
      </c>
      <c r="I762" s="1" t="str">
        <f ca="1">IFERROR(__xludf.DUMMYFUNCTION("""COMPUTED_VALUE"""),"Will NOT work for them")</f>
        <v>Will NOT work for them</v>
      </c>
      <c r="J762" s="1">
        <f ca="1">IFERROR(__xludf.DUMMYFUNCTION("""COMPUTED_VALUE"""),9)</f>
        <v>9</v>
      </c>
      <c r="K762" s="1" t="str">
        <f ca="1">IFERROR(__xludf.DUMMYFUNCTION("""COMPUTED_VALUE"""),"Fully Remote with Options to travel as and when needed")</f>
        <v>Fully Remote with Options to travel as and when needed</v>
      </c>
      <c r="L7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6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762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762" s="1" t="str">
        <f ca="1">IFERROR(__xludf.DUMMYFUNCTION("""COMPUTED_VALUE"""),"Manager who sets goal and helps me achieve it")</f>
        <v>Manager who sets goal and helps me achieve it</v>
      </c>
      <c r="P762" s="1" t="str">
        <f ca="1">IFERROR(__xludf.DUMMYFUNCTION("""COMPUTED_VALUE"""),"Work with 7 to 10 or more people in my team")</f>
        <v>Work with 7 to 10 or more people in my team</v>
      </c>
      <c r="Q762" s="1" t="str">
        <f ca="1">IFERROR(__xludf.DUMMYFUNCTION("""COMPUTED_VALUE"""),"I have NO other choice")</f>
        <v>I have NO other choice</v>
      </c>
      <c r="R762" s="1" t="str">
        <f ca="1">IFERROR(__xludf.DUMMYFUNCTION("""COMPUTED_VALUE"""),"This will be hard to do, but if it is the right company I would try")</f>
        <v>This will be hard to do, but if it is the right company I would try</v>
      </c>
      <c r="S762" s="1"/>
    </row>
    <row r="763" spans="1:19" ht="12.5" x14ac:dyDescent="0.25">
      <c r="A763" s="2">
        <f ca="1">IFERROR(__xludf.DUMMYFUNCTION("""COMPUTED_VALUE"""),45022.576988449)</f>
        <v>45022.576988449</v>
      </c>
      <c r="B763" s="1" t="str">
        <f ca="1">IFERROR(__xludf.DUMMYFUNCTION("""COMPUTED_VALUE"""),"India")</f>
        <v>India</v>
      </c>
      <c r="C763" s="1">
        <f ca="1">IFERROR(__xludf.DUMMYFUNCTION("""COMPUTED_VALUE"""),110085)</f>
        <v>110085</v>
      </c>
      <c r="D763" s="1" t="str">
        <f ca="1">IFERROR(__xludf.DUMMYFUNCTION("""COMPUTED_VALUE"""),"Female")</f>
        <v>Female</v>
      </c>
      <c r="E763" s="1" t="str">
        <f ca="1">IFERROR(__xludf.DUMMYFUNCTION("""COMPUTED_VALUE"""),"Influencers who had successful careers")</f>
        <v>Influencers who had successful careers</v>
      </c>
      <c r="F763" s="1" t="str">
        <f ca="1">IFERROR(__xludf.DUMMYFUNCTION("""COMPUTED_VALUE"""),"Yes, I will earn and do that")</f>
        <v>Yes, I will earn and do that</v>
      </c>
      <c r="G763" s="1" t="str">
        <f ca="1">IFERROR(__xludf.DUMMYFUNCTION("""COMPUTED_VALUE"""),"Will work for 3 years or more")</f>
        <v>Will work for 3 years or more</v>
      </c>
      <c r="H763" s="1" t="str">
        <f ca="1">IFERROR(__xludf.DUMMYFUNCTION("""COMPUTED_VALUE"""),"No")</f>
        <v>No</v>
      </c>
      <c r="I763" s="1" t="str">
        <f ca="1">IFERROR(__xludf.DUMMYFUNCTION("""COMPUTED_VALUE"""),"Will NOT work for them")</f>
        <v>Will NOT work for them</v>
      </c>
      <c r="J763" s="1">
        <f ca="1">IFERROR(__xludf.DUMMYFUNCTION("""COMPUTED_VALUE"""),5)</f>
        <v>5</v>
      </c>
      <c r="K763" s="1" t="str">
        <f ca="1">IFERROR(__xludf.DUMMYFUNCTION("""COMPUTED_VALUE"""),"Every Day Office Environment")</f>
        <v>Every Day Office Environment</v>
      </c>
      <c r="L7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6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763" s="1" t="str">
        <f ca="1">IFERROR(__xludf.DUMMYFUNCTION("""COMPUTED_VALUE"""),"Business Operations in any organization, Look deeply into Data and generate insights, Work as a freelancer and do my thing my way, I Want to sell things/Sales")</f>
        <v>Business Operations in any organization, Look deeply into Data and generate insights, Work as a freelancer and do my thing my way, I Want to sell things/Sales</v>
      </c>
      <c r="O763" s="1" t="str">
        <f ca="1">IFERROR(__xludf.DUMMYFUNCTION("""COMPUTED_VALUE"""),"Manager who sets goal and helps me achieve it")</f>
        <v>Manager who sets goal and helps me achieve it</v>
      </c>
      <c r="P763" s="1" t="str">
        <f ca="1">IFERROR(__xludf.DUMMYFUNCTION("""COMPUTED_VALUE"""),"Work with 7 to 10 or more people in my team")</f>
        <v>Work with 7 to 10 or more people in my team</v>
      </c>
      <c r="Q763" s="1" t="str">
        <f ca="1">IFERROR(__xludf.DUMMYFUNCTION("""COMPUTED_VALUE"""),"Yes, I Understand this is gonna happen everywhere")</f>
        <v>Yes, I Understand this is gonna happen everywhere</v>
      </c>
      <c r="R763" s="1" t="str">
        <f ca="1">IFERROR(__xludf.DUMMYFUNCTION("""COMPUTED_VALUE"""),"This will be hard to do, but if it is the right company I would try")</f>
        <v>This will be hard to do, but if it is the right company I would try</v>
      </c>
      <c r="S763" s="1"/>
    </row>
    <row r="764" spans="1:19" ht="12.5" x14ac:dyDescent="0.25">
      <c r="A764" s="2">
        <f ca="1">IFERROR(__xludf.DUMMYFUNCTION("""COMPUTED_VALUE"""),45022.5783013426)</f>
        <v>45022.578301342597</v>
      </c>
      <c r="B764" s="1" t="str">
        <f ca="1">IFERROR(__xludf.DUMMYFUNCTION("""COMPUTED_VALUE"""),"India")</f>
        <v>India</v>
      </c>
      <c r="C764" s="1">
        <f ca="1">IFERROR(__xludf.DUMMYFUNCTION("""COMPUTED_VALUE"""),110018)</f>
        <v>110018</v>
      </c>
      <c r="D764" s="1" t="str">
        <f ca="1">IFERROR(__xludf.DUMMYFUNCTION("""COMPUTED_VALUE"""),"Female")</f>
        <v>Female</v>
      </c>
      <c r="E764" s="1" t="str">
        <f ca="1">IFERROR(__xludf.DUMMYFUNCTION("""COMPUTED_VALUE"""),"My Parents")</f>
        <v>My Parents</v>
      </c>
      <c r="F764" s="1" t="str">
        <f ca="1">IFERROR(__xludf.DUMMYFUNCTION("""COMPUTED_VALUE"""),"No I would not be pursuing Higher Education outside of India")</f>
        <v>No I would not be pursuing Higher Education outside of India</v>
      </c>
      <c r="G764" s="1" t="str">
        <f ca="1">IFERROR(__xludf.DUMMYFUNCTION("""COMPUTED_VALUE"""),"Will work for 3 years or more")</f>
        <v>Will work for 3 years or more</v>
      </c>
      <c r="H764" s="1" t="str">
        <f ca="1">IFERROR(__xludf.DUMMYFUNCTION("""COMPUTED_VALUE"""),"No")</f>
        <v>No</v>
      </c>
      <c r="I764" s="1" t="str">
        <f ca="1">IFERROR(__xludf.DUMMYFUNCTION("""COMPUTED_VALUE"""),"Will NOT work for them")</f>
        <v>Will NOT work for them</v>
      </c>
      <c r="J764" s="1">
        <f ca="1">IFERROR(__xludf.DUMMYFUNCTION("""COMPUTED_VALUE"""),7)</f>
        <v>7</v>
      </c>
      <c r="K764" s="1" t="str">
        <f ca="1">IFERROR(__xludf.DUMMYFUNCTION("""COMPUTED_VALUE"""),"Hybrid Working Environment with less than 3 days a month at office")</f>
        <v>Hybrid Working Environment with less than 3 days a month at office</v>
      </c>
      <c r="L764" s="1" t="str">
        <f ca="1">IFERROR(__xludf.DUMMYFUNCTION("""COMPUTED_VALUE"""),"Employer who appreciates learning and enables that environment")</f>
        <v>Employer who appreciates learning and enables that environment</v>
      </c>
      <c r="M76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64" s="1" t="str">
        <f ca="1">IFERROR(__xludf.DUMMYFUNCTION("""COMPUTED_VALUE"""),"Business Operations in any organization, Build and develop a Team, Work as a freelancer and do my thing my way, An Artificial Intelligence Specialist / Talking to Robots")</f>
        <v>Business Operations in any organization, Build and develop a Team, Work as a freelancer and do my thing my way, An Artificial Intelligence Specialist / Talking to Robots</v>
      </c>
      <c r="O764" s="1" t="str">
        <f ca="1">IFERROR(__xludf.DUMMYFUNCTION("""COMPUTED_VALUE"""),"Manager who sets goal and helps me achieve it")</f>
        <v>Manager who sets goal and helps me achieve it</v>
      </c>
      <c r="P764" s="1" t="str">
        <f ca="1">IFERROR(__xludf.DUMMYFUNCTION("""COMPUTED_VALUE"""),"Work with 7 to 10 or more people in my team")</f>
        <v>Work with 7 to 10 or more people in my team</v>
      </c>
      <c r="Q764" s="1" t="str">
        <f ca="1">IFERROR(__xludf.DUMMYFUNCTION("""COMPUTED_VALUE"""),"No")</f>
        <v>No</v>
      </c>
      <c r="R764" s="1" t="str">
        <f ca="1">IFERROR(__xludf.DUMMYFUNCTION("""COMPUTED_VALUE"""),"Will work for 7 years or more")</f>
        <v>Will work for 7 years or more</v>
      </c>
      <c r="S764" s="1"/>
    </row>
    <row r="765" spans="1:19" ht="12.5" x14ac:dyDescent="0.25">
      <c r="A765" s="2">
        <f ca="1">IFERROR(__xludf.DUMMYFUNCTION("""COMPUTED_VALUE"""),45022.5816137847)</f>
        <v>45022.5816137847</v>
      </c>
      <c r="B765" s="1" t="str">
        <f ca="1">IFERROR(__xludf.DUMMYFUNCTION("""COMPUTED_VALUE"""),"India")</f>
        <v>India</v>
      </c>
      <c r="C765" s="1">
        <f ca="1">IFERROR(__xludf.DUMMYFUNCTION("""COMPUTED_VALUE"""),515775)</f>
        <v>515775</v>
      </c>
      <c r="D765" s="1" t="str">
        <f ca="1">IFERROR(__xludf.DUMMYFUNCTION("""COMPUTED_VALUE"""),"Male")</f>
        <v>Male</v>
      </c>
      <c r="E765" s="1" t="str">
        <f ca="1">IFERROR(__xludf.DUMMYFUNCTION("""COMPUTED_VALUE"""),"My Parents")</f>
        <v>My Parents</v>
      </c>
      <c r="F765" s="1" t="str">
        <f ca="1">IFERROR(__xludf.DUMMYFUNCTION("""COMPUTED_VALUE"""),"Yes, I will earn and do that")</f>
        <v>Yes, I will earn and do that</v>
      </c>
      <c r="G765" s="1" t="str">
        <f ca="1">IFERROR(__xludf.DUMMYFUNCTION("""COMPUTED_VALUE"""),"Will work for 3 years or more")</f>
        <v>Will work for 3 years or more</v>
      </c>
      <c r="H765" s="1" t="str">
        <f ca="1">IFERROR(__xludf.DUMMYFUNCTION("""COMPUTED_VALUE"""),"Yes")</f>
        <v>Yes</v>
      </c>
      <c r="I765" s="1" t="str">
        <f ca="1">IFERROR(__xludf.DUMMYFUNCTION("""COMPUTED_VALUE"""),"Will work for them")</f>
        <v>Will work for them</v>
      </c>
      <c r="J765" s="1">
        <f ca="1">IFERROR(__xludf.DUMMYFUNCTION("""COMPUTED_VALUE"""),3)</f>
        <v>3</v>
      </c>
      <c r="K765" s="1" t="str">
        <f ca="1">IFERROR(__xludf.DUMMYFUNCTION("""COMPUTED_VALUE"""),"Every Day Office Environment")</f>
        <v>Every Day Office Environment</v>
      </c>
      <c r="L765" s="1" t="str">
        <f ca="1">IFERROR(__xludf.DUMMYFUNCTION("""COMPUTED_VALUE"""),"Employer who appreciates learning and enables that environment")</f>
        <v>Employer who appreciates learning and enables that environment</v>
      </c>
      <c r="M76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65" s="1" t="str">
        <f ca="1">IFERROR(__xludf.DUMMYFUNCTION("""COMPUTED_VALUE"""),"Design and Creative strategy in any company, Teaching in any of the institutes/colleges/online or offline, Business Operations in any organization, Work in a BPO setup for some well known client")</f>
        <v>Design and Creative strategy in any company, Teaching in any of the institutes/colleges/online or offline, Business Operations in any organization, Work in a BPO setup for some well known client</v>
      </c>
      <c r="O765" s="1" t="str">
        <f ca="1">IFERROR(__xludf.DUMMYFUNCTION("""COMPUTED_VALUE"""),"Manager who sets targets and expects me to achieve it")</f>
        <v>Manager who sets targets and expects me to achieve it</v>
      </c>
      <c r="P765" s="1" t="str">
        <f ca="1">IFERROR(__xludf.DUMMYFUNCTION("""COMPUTED_VALUE"""),"Work with 5 to 6 people in my team")</f>
        <v>Work with 5 to 6 people in my team</v>
      </c>
      <c r="Q765" s="1" t="str">
        <f ca="1">IFERROR(__xludf.DUMMYFUNCTION("""COMPUTED_VALUE"""),"Yes, I Understand this is gonna happen everywhere")</f>
        <v>Yes, I Understand this is gonna happen everywhere</v>
      </c>
      <c r="R765" s="1" t="str">
        <f ca="1">IFERROR(__xludf.DUMMYFUNCTION("""COMPUTED_VALUE"""),"Will work for 7 years or more")</f>
        <v>Will work for 7 years or more</v>
      </c>
      <c r="S765" s="1"/>
    </row>
    <row r="766" spans="1:19" ht="12.5" x14ac:dyDescent="0.25">
      <c r="A766" s="2">
        <f ca="1">IFERROR(__xludf.DUMMYFUNCTION("""COMPUTED_VALUE"""),45022.5838014467)</f>
        <v>45022.583801446701</v>
      </c>
      <c r="B766" s="1" t="str">
        <f ca="1">IFERROR(__xludf.DUMMYFUNCTION("""COMPUTED_VALUE"""),"India")</f>
        <v>India</v>
      </c>
      <c r="C766" s="1">
        <f ca="1">IFERROR(__xludf.DUMMYFUNCTION("""COMPUTED_VALUE"""),122010)</f>
        <v>122010</v>
      </c>
      <c r="D766" s="1" t="str">
        <f ca="1">IFERROR(__xludf.DUMMYFUNCTION("""COMPUTED_VALUE"""),"Male")</f>
        <v>Male</v>
      </c>
      <c r="E766" s="1" t="str">
        <f ca="1">IFERROR(__xludf.DUMMYFUNCTION("""COMPUTED_VALUE"""),"People who have changed the world for better")</f>
        <v>People who have changed the world for better</v>
      </c>
      <c r="F766" s="1" t="str">
        <f ca="1">IFERROR(__xludf.DUMMYFUNCTION("""COMPUTED_VALUE"""),"Yes, I will earn and do that")</f>
        <v>Yes, I will earn and do that</v>
      </c>
      <c r="G766" s="1" t="str">
        <f ca="1">IFERROR(__xludf.DUMMYFUNCTION("""COMPUTED_VALUE"""),"Will work for 3 years or more")</f>
        <v>Will work for 3 years or more</v>
      </c>
      <c r="H766" s="1" t="str">
        <f ca="1">IFERROR(__xludf.DUMMYFUNCTION("""COMPUTED_VALUE"""),"No")</f>
        <v>No</v>
      </c>
      <c r="I766" s="1" t="str">
        <f ca="1">IFERROR(__xludf.DUMMYFUNCTION("""COMPUTED_VALUE"""),"Will work for them")</f>
        <v>Will work for them</v>
      </c>
      <c r="J766" s="1">
        <f ca="1">IFERROR(__xludf.DUMMYFUNCTION("""COMPUTED_VALUE"""),8)</f>
        <v>8</v>
      </c>
      <c r="K766" s="1" t="str">
        <f ca="1">IFERROR(__xludf.DUMMYFUNCTION("""COMPUTED_VALUE"""),"Fully Remote with No option to visit offices")</f>
        <v>Fully Remote with No option to visit offices</v>
      </c>
      <c r="L766" s="1" t="str">
        <f ca="1">IFERROR(__xludf.DUMMYFUNCTION("""COMPUTED_VALUE"""),"Employer who appreciates learning and enables that environment")</f>
        <v>Employer who appreciates learning and enables that environment</v>
      </c>
      <c r="M76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66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766" s="1" t="str">
        <f ca="1">IFERROR(__xludf.DUMMYFUNCTION("""COMPUTED_VALUE"""),"Manager who sets goal and helps me achieve it")</f>
        <v>Manager who sets goal and helps me achieve it</v>
      </c>
      <c r="P766" s="1" t="str">
        <f ca="1">IFERROR(__xludf.DUMMYFUNCTION("""COMPUTED_VALUE"""),"Work with 2 to 3 people in my team")</f>
        <v>Work with 2 to 3 people in my team</v>
      </c>
      <c r="Q766" s="1" t="str">
        <f ca="1">IFERROR(__xludf.DUMMYFUNCTION("""COMPUTED_VALUE"""),"Yes, I Understand this is gonna happen everywhere")</f>
        <v>Yes, I Understand this is gonna happen everywhere</v>
      </c>
      <c r="R766" s="1" t="str">
        <f ca="1">IFERROR(__xludf.DUMMYFUNCTION("""COMPUTED_VALUE"""),"This will be hard to do, but if it is the right company I would try")</f>
        <v>This will be hard to do, but if it is the right company I would try</v>
      </c>
      <c r="S766" s="1"/>
    </row>
    <row r="767" spans="1:19" ht="12.5" x14ac:dyDescent="0.25">
      <c r="A767" s="2">
        <f ca="1">IFERROR(__xludf.DUMMYFUNCTION("""COMPUTED_VALUE"""),45022.6001559838)</f>
        <v>45022.600155983797</v>
      </c>
      <c r="B767" s="1" t="str">
        <f ca="1">IFERROR(__xludf.DUMMYFUNCTION("""COMPUTED_VALUE"""),"India")</f>
        <v>India</v>
      </c>
      <c r="C767" s="1">
        <f ca="1">IFERROR(__xludf.DUMMYFUNCTION("""COMPUTED_VALUE"""),401105)</f>
        <v>401105</v>
      </c>
      <c r="D767" s="1" t="str">
        <f ca="1">IFERROR(__xludf.DUMMYFUNCTION("""COMPUTED_VALUE"""),"Male")</f>
        <v>Male</v>
      </c>
      <c r="E767" s="1" t="str">
        <f ca="1">IFERROR(__xludf.DUMMYFUNCTION("""COMPUTED_VALUE"""),"Influencers who had successful careers")</f>
        <v>Influencers who had successful careers</v>
      </c>
      <c r="F767" s="1" t="str">
        <f ca="1">IFERROR(__xludf.DUMMYFUNCTION("""COMPUTED_VALUE"""),"No, But if someone could bare the cost I will")</f>
        <v>No, But if someone could bare the cost I will</v>
      </c>
      <c r="G767" s="1" t="str">
        <f ca="1">IFERROR(__xludf.DUMMYFUNCTION("""COMPUTED_VALUE"""),"This will be hard to do, but if it is the right company I would try")</f>
        <v>This will be hard to do, but if it is the right company I would try</v>
      </c>
      <c r="H767" s="1" t="str">
        <f ca="1">IFERROR(__xludf.DUMMYFUNCTION("""COMPUTED_VALUE"""),"No")</f>
        <v>No</v>
      </c>
      <c r="I767" s="1" t="str">
        <f ca="1">IFERROR(__xludf.DUMMYFUNCTION("""COMPUTED_VALUE"""),"Will NOT work for them")</f>
        <v>Will NOT work for them</v>
      </c>
      <c r="J767" s="1">
        <f ca="1">IFERROR(__xludf.DUMMYFUNCTION("""COMPUTED_VALUE"""),6)</f>
        <v>6</v>
      </c>
      <c r="K767" s="1" t="str">
        <f ca="1">IFERROR(__xludf.DUMMYFUNCTION("""COMPUTED_VALUE"""),"Fully Remote with Options to travel as and when needed")</f>
        <v>Fully Remote with Options to travel as and when needed</v>
      </c>
      <c r="L7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6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767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767" s="1" t="str">
        <f ca="1">IFERROR(__xludf.DUMMYFUNCTION("""COMPUTED_VALUE"""),"Manager who explains what is expected, sets a goal and helps achieve it")</f>
        <v>Manager who explains what is expected, sets a goal and helps achieve it</v>
      </c>
      <c r="P767" s="1" t="str">
        <f ca="1">IFERROR(__xludf.DUMMYFUNCTION("""COMPUTED_VALUE"""),"Work with 2 to 3 people in my team")</f>
        <v>Work with 2 to 3 people in my team</v>
      </c>
      <c r="Q767" s="1" t="str">
        <f ca="1">IFERROR(__xludf.DUMMYFUNCTION("""COMPUTED_VALUE"""),"Yes, I Understand this is gonna happen everywhere")</f>
        <v>Yes, I Understand this is gonna happen everywhere</v>
      </c>
      <c r="R767" s="1" t="str">
        <f ca="1">IFERROR(__xludf.DUMMYFUNCTION("""COMPUTED_VALUE"""),"No way")</f>
        <v>No way</v>
      </c>
      <c r="S767" s="1"/>
    </row>
    <row r="768" spans="1:19" ht="12.5" x14ac:dyDescent="0.25">
      <c r="A768" s="2">
        <f ca="1">IFERROR(__xludf.DUMMYFUNCTION("""COMPUTED_VALUE"""),45022.6062017708)</f>
        <v>45022.606201770803</v>
      </c>
      <c r="B768" s="1" t="str">
        <f ca="1">IFERROR(__xludf.DUMMYFUNCTION("""COMPUTED_VALUE"""),"India")</f>
        <v>India</v>
      </c>
      <c r="C768" s="1">
        <f ca="1">IFERROR(__xludf.DUMMYFUNCTION("""COMPUTED_VALUE"""),535218)</f>
        <v>535218</v>
      </c>
      <c r="D768" s="1" t="str">
        <f ca="1">IFERROR(__xludf.DUMMYFUNCTION("""COMPUTED_VALUE"""),"Male")</f>
        <v>Male</v>
      </c>
      <c r="E768" s="1" t="str">
        <f ca="1">IFERROR(__xludf.DUMMYFUNCTION("""COMPUTED_VALUE"""),"My Parents")</f>
        <v>My Parents</v>
      </c>
      <c r="F768" s="1" t="str">
        <f ca="1">IFERROR(__xludf.DUMMYFUNCTION("""COMPUTED_VALUE"""),"No I would not be pursuing Higher Education outside of India")</f>
        <v>No I would not be pursuing Higher Education outside of India</v>
      </c>
      <c r="G768" s="1" t="str">
        <f ca="1">IFERROR(__xludf.DUMMYFUNCTION("""COMPUTED_VALUE"""),"Will work for 3 years or more")</f>
        <v>Will work for 3 years or more</v>
      </c>
      <c r="H768" s="1" t="str">
        <f ca="1">IFERROR(__xludf.DUMMYFUNCTION("""COMPUTED_VALUE"""),"No")</f>
        <v>No</v>
      </c>
      <c r="I768" s="1" t="str">
        <f ca="1">IFERROR(__xludf.DUMMYFUNCTION("""COMPUTED_VALUE"""),"Will NOT work for them")</f>
        <v>Will NOT work for them</v>
      </c>
      <c r="J768" s="1">
        <f ca="1">IFERROR(__xludf.DUMMYFUNCTION("""COMPUTED_VALUE"""),5)</f>
        <v>5</v>
      </c>
      <c r="K768" s="1" t="str">
        <f ca="1">IFERROR(__xludf.DUMMYFUNCTION("""COMPUTED_VALUE"""),"Hybrid Working Environment with more than 15 days a month at office")</f>
        <v>Hybrid Working Environment with more than 15 days a month at office</v>
      </c>
      <c r="L768" s="1" t="str">
        <f ca="1">IFERROR(__xludf.DUMMYFUNCTION("""COMPUTED_VALUE"""),"Employer who rewards learning and enables that environment")</f>
        <v>Employer who rewards learning and enables that environment</v>
      </c>
      <c r="M76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68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768" s="1" t="str">
        <f ca="1">IFERROR(__xludf.DUMMYFUNCTION("""COMPUTED_VALUE"""),"Manager who clearly describes what she/he needs")</f>
        <v>Manager who clearly describes what she/he needs</v>
      </c>
      <c r="P76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768" s="1" t="str">
        <f ca="1">IFERROR(__xludf.DUMMYFUNCTION("""COMPUTED_VALUE"""),"Yes, I Understand this is gonna happen everywhere")</f>
        <v>Yes, I Understand this is gonna happen everywhere</v>
      </c>
      <c r="R768" s="1" t="str">
        <f ca="1">IFERROR(__xludf.DUMMYFUNCTION("""COMPUTED_VALUE"""),"This will be hard to do, but if it is the right company I would try")</f>
        <v>This will be hard to do, but if it is the right company I would try</v>
      </c>
      <c r="S768" s="1"/>
    </row>
    <row r="769" spans="1:19" ht="12.5" x14ac:dyDescent="0.25">
      <c r="A769" s="2">
        <f ca="1">IFERROR(__xludf.DUMMYFUNCTION("""COMPUTED_VALUE"""),45022.6066152777)</f>
        <v>45022.606615277698</v>
      </c>
      <c r="B769" s="1" t="str">
        <f ca="1">IFERROR(__xludf.DUMMYFUNCTION("""COMPUTED_VALUE"""),"India")</f>
        <v>India</v>
      </c>
      <c r="C769" s="1">
        <f ca="1">IFERROR(__xludf.DUMMYFUNCTION("""COMPUTED_VALUE"""),401105)</f>
        <v>401105</v>
      </c>
      <c r="D769" s="1" t="str">
        <f ca="1">IFERROR(__xludf.DUMMYFUNCTION("""COMPUTED_VALUE"""),"Male")</f>
        <v>Male</v>
      </c>
      <c r="E769" s="1" t="str">
        <f ca="1">IFERROR(__xludf.DUMMYFUNCTION("""COMPUTED_VALUE"""),"Influencers who had successful careers")</f>
        <v>Influencers who had successful careers</v>
      </c>
      <c r="F769" s="1" t="str">
        <f ca="1">IFERROR(__xludf.DUMMYFUNCTION("""COMPUTED_VALUE"""),"Yes, I will earn and do that")</f>
        <v>Yes, I will earn and do that</v>
      </c>
      <c r="G769" s="1" t="str">
        <f ca="1">IFERROR(__xludf.DUMMYFUNCTION("""COMPUTED_VALUE"""),"Will work for 3 years or more")</f>
        <v>Will work for 3 years or more</v>
      </c>
      <c r="H769" s="1" t="str">
        <f ca="1">IFERROR(__xludf.DUMMYFUNCTION("""COMPUTED_VALUE"""),"No")</f>
        <v>No</v>
      </c>
      <c r="I769" s="1" t="str">
        <f ca="1">IFERROR(__xludf.DUMMYFUNCTION("""COMPUTED_VALUE"""),"Will NOT work for them")</f>
        <v>Will NOT work for them</v>
      </c>
      <c r="J769" s="1">
        <f ca="1">IFERROR(__xludf.DUMMYFUNCTION("""COMPUTED_VALUE"""),5)</f>
        <v>5</v>
      </c>
      <c r="K769" s="1" t="str">
        <f ca="1">IFERROR(__xludf.DUMMYFUNCTION("""COMPUTED_VALUE"""),"Every Day Office Environment")</f>
        <v>Every Day Office Environment</v>
      </c>
      <c r="L7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6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69" s="1" t="str">
        <f ca="1">IFERROR(__xludf.DUMMYFUNCTION("""COMPUTED_VALUE"""),"Manage and drive End-to-End Projects or Products, Build and develop a Team, Look deeply into Data and generate insights, Work as a freelancer and do my thing my way")</f>
        <v>Manage and drive End-to-End Projects or Products, Build and develop a Team, Look deeply into Data and generate insights, Work as a freelancer and do my thing my way</v>
      </c>
      <c r="O769" s="1" t="str">
        <f ca="1">IFERROR(__xludf.DUMMYFUNCTION("""COMPUTED_VALUE"""),"Manager who explains what is expected, sets a goal and helps achieve it")</f>
        <v>Manager who explains what is expected, sets a goal and helps achieve it</v>
      </c>
      <c r="P769" s="1" t="str">
        <f ca="1">IFERROR(__xludf.DUMMYFUNCTION("""COMPUTED_VALUE"""),"Work with 2 to 3 people in my team")</f>
        <v>Work with 2 to 3 people in my team</v>
      </c>
      <c r="Q769" s="1" t="str">
        <f ca="1">IFERROR(__xludf.DUMMYFUNCTION("""COMPUTED_VALUE"""),"Yes, I Understand this is gonna happen everywhere")</f>
        <v>Yes, I Understand this is gonna happen everywhere</v>
      </c>
      <c r="R769" s="1" t="str">
        <f ca="1">IFERROR(__xludf.DUMMYFUNCTION("""COMPUTED_VALUE"""),"This will be hard to do, but if it is the right company I would try")</f>
        <v>This will be hard to do, but if it is the right company I would try</v>
      </c>
      <c r="S769" s="1"/>
    </row>
    <row r="770" spans="1:19" ht="12.5" x14ac:dyDescent="0.25">
      <c r="A770" s="2">
        <f ca="1">IFERROR(__xludf.DUMMYFUNCTION("""COMPUTED_VALUE"""),45022.606674456)</f>
        <v>45022.606674456001</v>
      </c>
      <c r="B770" s="1" t="str">
        <f ca="1">IFERROR(__xludf.DUMMYFUNCTION("""COMPUTED_VALUE"""),"India")</f>
        <v>India</v>
      </c>
      <c r="C770" s="1">
        <f ca="1">IFERROR(__xludf.DUMMYFUNCTION("""COMPUTED_VALUE"""),110077)</f>
        <v>110077</v>
      </c>
      <c r="D770" s="1" t="str">
        <f ca="1">IFERROR(__xludf.DUMMYFUNCTION("""COMPUTED_VALUE"""),"Male")</f>
        <v>Male</v>
      </c>
      <c r="E770" s="1" t="str">
        <f ca="1">IFERROR(__xludf.DUMMYFUNCTION("""COMPUTED_VALUE"""),"Social Media like LinkedIn")</f>
        <v>Social Media like LinkedIn</v>
      </c>
      <c r="F770" s="1" t="str">
        <f ca="1">IFERROR(__xludf.DUMMYFUNCTION("""COMPUTED_VALUE"""),"No, But if someone could bare the cost I will")</f>
        <v>No, But if someone could bare the cost I will</v>
      </c>
      <c r="G770" s="1" t="str">
        <f ca="1">IFERROR(__xludf.DUMMYFUNCTION("""COMPUTED_VALUE"""),"This will be hard to do, but if it is the right company I would try")</f>
        <v>This will be hard to do, but if it is the right company I would try</v>
      </c>
      <c r="H770" s="1" t="str">
        <f ca="1">IFERROR(__xludf.DUMMYFUNCTION("""COMPUTED_VALUE"""),"No")</f>
        <v>No</v>
      </c>
      <c r="I770" s="1" t="str">
        <f ca="1">IFERROR(__xludf.DUMMYFUNCTION("""COMPUTED_VALUE"""),"Will work for them")</f>
        <v>Will work for them</v>
      </c>
      <c r="J770" s="1">
        <f ca="1">IFERROR(__xludf.DUMMYFUNCTION("""COMPUTED_VALUE"""),5)</f>
        <v>5</v>
      </c>
      <c r="K770" s="1" t="str">
        <f ca="1">IFERROR(__xludf.DUMMYFUNCTION("""COMPUTED_VALUE"""),"Fully Remote with No option to visit offices")</f>
        <v>Fully Remote with No option to visit offices</v>
      </c>
      <c r="L7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70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770" s="1" t="str">
        <f ca="1">IFERROR(__xludf.DUMMYFUNCTION("""COMPUTED_VALUE"""),"Design and Creative strategy in any company, Business Operations in any organization, Design and Develop amazing software, Work as a freelancer and do my thing my way")</f>
        <v>Design and Creative strategy in any company, Business Operations in any organization, Design and Develop amazing software, Work as a freelancer and do my thing my way</v>
      </c>
      <c r="O770" s="1" t="str">
        <f ca="1">IFERROR(__xludf.DUMMYFUNCTION("""COMPUTED_VALUE"""),"Manager who sets targets and expects me to achieve it")</f>
        <v>Manager who sets targets and expects me to achieve it</v>
      </c>
      <c r="P770" s="1" t="str">
        <f ca="1">IFERROR(__xludf.DUMMYFUNCTION("""COMPUTED_VALUE"""),"Work alone, Work with 7 to 10 or more people in my team, Work with more than 10 people in my team")</f>
        <v>Work alone, Work with 7 to 10 or more people in my team, Work with more than 10 people in my team</v>
      </c>
      <c r="Q770" s="1" t="str">
        <f ca="1">IFERROR(__xludf.DUMMYFUNCTION("""COMPUTED_VALUE"""),"Yes, I Understand this is gonna happen everywhere")</f>
        <v>Yes, I Understand this is gonna happen everywhere</v>
      </c>
      <c r="R770" s="1" t="str">
        <f ca="1">IFERROR(__xludf.DUMMYFUNCTION("""COMPUTED_VALUE"""),"No way")</f>
        <v>No way</v>
      </c>
      <c r="S770" s="1"/>
    </row>
    <row r="771" spans="1:19" ht="12.5" x14ac:dyDescent="0.25">
      <c r="A771" s="2">
        <f ca="1">IFERROR(__xludf.DUMMYFUNCTION("""COMPUTED_VALUE"""),45022.6173563888)</f>
        <v>45022.617356388801</v>
      </c>
      <c r="B771" s="1" t="str">
        <f ca="1">IFERROR(__xludf.DUMMYFUNCTION("""COMPUTED_VALUE"""),"India")</f>
        <v>India</v>
      </c>
      <c r="C771" s="1">
        <f ca="1">IFERROR(__xludf.DUMMYFUNCTION("""COMPUTED_VALUE"""),401105)</f>
        <v>401105</v>
      </c>
      <c r="D771" s="1" t="str">
        <f ca="1">IFERROR(__xludf.DUMMYFUNCTION("""COMPUTED_VALUE"""),"Male")</f>
        <v>Male</v>
      </c>
      <c r="E771" s="1" t="str">
        <f ca="1">IFERROR(__xludf.DUMMYFUNCTION("""COMPUTED_VALUE"""),"Influencers who had successful careers")</f>
        <v>Influencers who had successful careers</v>
      </c>
      <c r="F771" s="1" t="str">
        <f ca="1">IFERROR(__xludf.DUMMYFUNCTION("""COMPUTED_VALUE"""),"No I would not be pursuing Higher Education outside of India")</f>
        <v>No I would not be pursuing Higher Education outside of India</v>
      </c>
      <c r="G771" s="1" t="str">
        <f ca="1">IFERROR(__xludf.DUMMYFUNCTION("""COMPUTED_VALUE"""),"Will work for 3 years or more")</f>
        <v>Will work for 3 years or more</v>
      </c>
      <c r="H771" s="1" t="str">
        <f ca="1">IFERROR(__xludf.DUMMYFUNCTION("""COMPUTED_VALUE"""),"No")</f>
        <v>No</v>
      </c>
      <c r="I771" s="1" t="str">
        <f ca="1">IFERROR(__xludf.DUMMYFUNCTION("""COMPUTED_VALUE"""),"Will work for them")</f>
        <v>Will work for them</v>
      </c>
      <c r="J771" s="1">
        <f ca="1">IFERROR(__xludf.DUMMYFUNCTION("""COMPUTED_VALUE"""),6)</f>
        <v>6</v>
      </c>
      <c r="K771" s="1" t="str">
        <f ca="1">IFERROR(__xludf.DUMMYFUNCTION("""COMPUTED_VALUE"""),"Hybrid Working Environment with less than 3 days a month at office")</f>
        <v>Hybrid Working Environment with less than 3 days a month at office</v>
      </c>
      <c r="L771" s="1" t="str">
        <f ca="1">IFERROR(__xludf.DUMMYFUNCTION("""COMPUTED_VALUE"""),"Employer who appreciates learning and enables that environment")</f>
        <v>Employer who appreciates learning and enables that environment</v>
      </c>
      <c r="M77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71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771" s="1" t="str">
        <f ca="1">IFERROR(__xludf.DUMMYFUNCTION("""COMPUTED_VALUE"""),"Manager who sets targets and expects me to achieve it")</f>
        <v>Manager who sets targets and expects me to achieve it</v>
      </c>
      <c r="P771" s="1" t="str">
        <f ca="1">IFERROR(__xludf.DUMMYFUNCTION("""COMPUTED_VALUE"""),"Work with 2 to 3 people in my team")</f>
        <v>Work with 2 to 3 people in my team</v>
      </c>
      <c r="Q771" s="1" t="str">
        <f ca="1">IFERROR(__xludf.DUMMYFUNCTION("""COMPUTED_VALUE"""),"Yes, I Understand this is gonna happen everywhere")</f>
        <v>Yes, I Understand this is gonna happen everywhere</v>
      </c>
      <c r="R771" s="1" t="str">
        <f ca="1">IFERROR(__xludf.DUMMYFUNCTION("""COMPUTED_VALUE"""),"This will be hard to do, but if it is the right company I would try")</f>
        <v>This will be hard to do, but if it is the right company I would try</v>
      </c>
      <c r="S771" s="1"/>
    </row>
    <row r="772" spans="1:19" ht="12.5" x14ac:dyDescent="0.25">
      <c r="A772" s="2">
        <f ca="1">IFERROR(__xludf.DUMMYFUNCTION("""COMPUTED_VALUE"""),45022.617568125)</f>
        <v>45022.617568125002</v>
      </c>
      <c r="B772" s="1" t="str">
        <f ca="1">IFERROR(__xludf.DUMMYFUNCTION("""COMPUTED_VALUE"""),"India")</f>
        <v>India</v>
      </c>
      <c r="C772" s="1">
        <f ca="1">IFERROR(__xludf.DUMMYFUNCTION("""COMPUTED_VALUE"""),400086)</f>
        <v>400086</v>
      </c>
      <c r="D772" s="1" t="str">
        <f ca="1">IFERROR(__xludf.DUMMYFUNCTION("""COMPUTED_VALUE"""),"Female")</f>
        <v>Female</v>
      </c>
      <c r="E772" s="1" t="str">
        <f ca="1">IFERROR(__xludf.DUMMYFUNCTION("""COMPUTED_VALUE"""),"People who have changed the world for better")</f>
        <v>People who have changed the world for better</v>
      </c>
      <c r="F772" s="1" t="str">
        <f ca="1">IFERROR(__xludf.DUMMYFUNCTION("""COMPUTED_VALUE"""),"No I would not be pursuing Higher Education outside of India")</f>
        <v>No I would not be pursuing Higher Education outside of India</v>
      </c>
      <c r="G772" s="1" t="str">
        <f ca="1">IFERROR(__xludf.DUMMYFUNCTION("""COMPUTED_VALUE"""),"This will be hard to do, but if it is the right company I would try")</f>
        <v>This will be hard to do, but if it is the right company I would try</v>
      </c>
      <c r="H772" s="1" t="str">
        <f ca="1">IFERROR(__xludf.DUMMYFUNCTION("""COMPUTED_VALUE"""),"No")</f>
        <v>No</v>
      </c>
      <c r="I772" s="1" t="str">
        <f ca="1">IFERROR(__xludf.DUMMYFUNCTION("""COMPUTED_VALUE"""),"Will NOT work for them")</f>
        <v>Will NOT work for them</v>
      </c>
      <c r="J772" s="1">
        <f ca="1">IFERROR(__xludf.DUMMYFUNCTION("""COMPUTED_VALUE"""),10)</f>
        <v>10</v>
      </c>
      <c r="K772" s="1" t="str">
        <f ca="1">IFERROR(__xludf.DUMMYFUNCTION("""COMPUTED_VALUE"""),"Fully Remote with Options to travel as and when needed")</f>
        <v>Fully Remote with Options to travel as and when needed</v>
      </c>
      <c r="L772" s="1" t="str">
        <f ca="1">IFERROR(__xludf.DUMMYFUNCTION("""COMPUTED_VALUE"""),"Employer who appreciates learning and enables that environment")</f>
        <v>Employer who appreciates learning and enables that environment</v>
      </c>
      <c r="M77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72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772" s="1" t="str">
        <f ca="1">IFERROR(__xludf.DUMMYFUNCTION("""COMPUTED_VALUE"""),"Manager who clearly describes what she/he needs")</f>
        <v>Manager who clearly describes what she/he needs</v>
      </c>
      <c r="P772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772" s="1" t="str">
        <f ca="1">IFERROR(__xludf.DUMMYFUNCTION("""COMPUTED_VALUE"""),"Yes, I Understand this is gonna happen everywhere")</f>
        <v>Yes, I Understand this is gonna happen everywhere</v>
      </c>
      <c r="R772" s="1" t="str">
        <f ca="1">IFERROR(__xludf.DUMMYFUNCTION("""COMPUTED_VALUE"""),"This will be hard to do, but if it is the right company I would try")</f>
        <v>This will be hard to do, but if it is the right company I would try</v>
      </c>
      <c r="S772" s="1"/>
    </row>
    <row r="773" spans="1:19" ht="12.5" x14ac:dyDescent="0.25">
      <c r="A773" s="2">
        <f ca="1">IFERROR(__xludf.DUMMYFUNCTION("""COMPUTED_VALUE"""),45022.6175771296)</f>
        <v>45022.617577129597</v>
      </c>
      <c r="B773" s="1" t="str">
        <f ca="1">IFERROR(__xludf.DUMMYFUNCTION("""COMPUTED_VALUE"""),"India")</f>
        <v>India</v>
      </c>
      <c r="C773" s="1">
        <f ca="1">IFERROR(__xludf.DUMMYFUNCTION("""COMPUTED_VALUE"""),122001)</f>
        <v>122001</v>
      </c>
      <c r="D773" s="1" t="str">
        <f ca="1">IFERROR(__xludf.DUMMYFUNCTION("""COMPUTED_VALUE"""),"Male")</f>
        <v>Male</v>
      </c>
      <c r="E773" s="1" t="str">
        <f ca="1">IFERROR(__xludf.DUMMYFUNCTION("""COMPUTED_VALUE"""),"Social Media like LinkedIn")</f>
        <v>Social Media like LinkedIn</v>
      </c>
      <c r="F773" s="1" t="str">
        <f ca="1">IFERROR(__xludf.DUMMYFUNCTION("""COMPUTED_VALUE"""),"No I would not be pursuing Higher Education outside of India")</f>
        <v>No I would not be pursuing Higher Education outside of India</v>
      </c>
      <c r="G773" s="1" t="str">
        <f ca="1">IFERROR(__xludf.DUMMYFUNCTION("""COMPUTED_VALUE"""),"Will work for 3 years or more")</f>
        <v>Will work for 3 years or more</v>
      </c>
      <c r="H773" s="1" t="str">
        <f ca="1">IFERROR(__xludf.DUMMYFUNCTION("""COMPUTED_VALUE"""),"No")</f>
        <v>No</v>
      </c>
      <c r="I773" s="1" t="str">
        <f ca="1">IFERROR(__xludf.DUMMYFUNCTION("""COMPUTED_VALUE"""),"Will NOT work for them")</f>
        <v>Will NOT work for them</v>
      </c>
      <c r="J773" s="1">
        <f ca="1">IFERROR(__xludf.DUMMYFUNCTION("""COMPUTED_VALUE"""),5)</f>
        <v>5</v>
      </c>
      <c r="K773" s="1" t="str">
        <f ca="1">IFERROR(__xludf.DUMMYFUNCTION("""COMPUTED_VALUE"""),"Hybrid Working Environment with less than 3 days a month at office")</f>
        <v>Hybrid Working Environment with less than 3 days a month at office</v>
      </c>
      <c r="L773" s="1" t="str">
        <f ca="1">IFERROR(__xludf.DUMMYFUNCTION("""COMPUTED_VALUE"""),"Employer who rewards learning and enables that environment")</f>
        <v>Employer who rewards learning and enables that environment</v>
      </c>
      <c r="M77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77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773" s="1" t="str">
        <f ca="1">IFERROR(__xludf.DUMMYFUNCTION("""COMPUTED_VALUE"""),"Manager who explains what is expected, sets a goal and helps achieve it")</f>
        <v>Manager who explains what is expected, sets a goal and helps achieve it</v>
      </c>
      <c r="P773" s="1" t="str">
        <f ca="1">IFERROR(__xludf.DUMMYFUNCTION("""COMPUTED_VALUE"""),"Work with 7 to 10 or more people in my team")</f>
        <v>Work with 7 to 10 or more people in my team</v>
      </c>
      <c r="Q773" s="1" t="str">
        <f ca="1">IFERROR(__xludf.DUMMYFUNCTION("""COMPUTED_VALUE"""),"Yes, I Understand this is gonna happen everywhere")</f>
        <v>Yes, I Understand this is gonna happen everywhere</v>
      </c>
      <c r="R773" s="1" t="str">
        <f ca="1">IFERROR(__xludf.DUMMYFUNCTION("""COMPUTED_VALUE"""),"This will be hard to do, but if it is the right company I would try")</f>
        <v>This will be hard to do, but if it is the right company I would try</v>
      </c>
      <c r="S773" s="1"/>
    </row>
    <row r="774" spans="1:19" ht="12.5" x14ac:dyDescent="0.25">
      <c r="A774" s="2">
        <f ca="1">IFERROR(__xludf.DUMMYFUNCTION("""COMPUTED_VALUE"""),45022.6264064467)</f>
        <v>45022.626406446703</v>
      </c>
      <c r="B774" s="1" t="str">
        <f ca="1">IFERROR(__xludf.DUMMYFUNCTION("""COMPUTED_VALUE"""),"India")</f>
        <v>India</v>
      </c>
      <c r="C774" s="1">
        <f ca="1">IFERROR(__xludf.DUMMYFUNCTION("""COMPUTED_VALUE"""),401107)</f>
        <v>401107</v>
      </c>
      <c r="D774" s="1" t="str">
        <f ca="1">IFERROR(__xludf.DUMMYFUNCTION("""COMPUTED_VALUE"""),"Male")</f>
        <v>Male</v>
      </c>
      <c r="E774" s="1" t="str">
        <f ca="1">IFERROR(__xludf.DUMMYFUNCTION("""COMPUTED_VALUE"""),"My Parents")</f>
        <v>My Parents</v>
      </c>
      <c r="F774" s="1" t="str">
        <f ca="1">IFERROR(__xludf.DUMMYFUNCTION("""COMPUTED_VALUE"""),"No I would not be pursuing Higher Education outside of India")</f>
        <v>No I would not be pursuing Higher Education outside of India</v>
      </c>
      <c r="G774" s="1" t="str">
        <f ca="1">IFERROR(__xludf.DUMMYFUNCTION("""COMPUTED_VALUE"""),"Will work for 3 years or more")</f>
        <v>Will work for 3 years or more</v>
      </c>
      <c r="H774" s="1" t="str">
        <f ca="1">IFERROR(__xludf.DUMMYFUNCTION("""COMPUTED_VALUE"""),"No")</f>
        <v>No</v>
      </c>
      <c r="I774" s="1" t="str">
        <f ca="1">IFERROR(__xludf.DUMMYFUNCTION("""COMPUTED_VALUE"""),"Will work for them")</f>
        <v>Will work for them</v>
      </c>
      <c r="J774" s="1">
        <f ca="1">IFERROR(__xludf.DUMMYFUNCTION("""COMPUTED_VALUE"""),7)</f>
        <v>7</v>
      </c>
      <c r="K774" s="1" t="str">
        <f ca="1">IFERROR(__xludf.DUMMYFUNCTION("""COMPUTED_VALUE"""),"Every Day Office Environment")</f>
        <v>Every Day Office Environment</v>
      </c>
      <c r="L7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7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74" s="1" t="str">
        <f ca="1">IFERROR(__xludf.DUMMYFUNCTION("""COMPUTED_VALUE"""),"Build and develop a Team, Design and Develop amazing software, Look deeply into Data and generate insights, An Artificial Intelligence Specialist / Talking to Robots")</f>
        <v>Build and develop a Team, Design and Develop amazing software, Look deeply into Data and generate insights, An Artificial Intelligence Specialist / Talking to Robots</v>
      </c>
      <c r="O774" s="1" t="str">
        <f ca="1">IFERROR(__xludf.DUMMYFUNCTION("""COMPUTED_VALUE"""),"Manager who sets unrealistic targets")</f>
        <v>Manager who sets unrealistic targets</v>
      </c>
      <c r="P774" s="1" t="str">
        <f ca="1">IFERROR(__xludf.DUMMYFUNCTION("""COMPUTED_VALUE"""),"Work with 2 to 3 people in my team")</f>
        <v>Work with 2 to 3 people in my team</v>
      </c>
      <c r="Q774" s="1" t="str">
        <f ca="1">IFERROR(__xludf.DUMMYFUNCTION("""COMPUTED_VALUE"""),"No")</f>
        <v>No</v>
      </c>
      <c r="R774" s="1" t="str">
        <f ca="1">IFERROR(__xludf.DUMMYFUNCTION("""COMPUTED_VALUE"""),"No way")</f>
        <v>No way</v>
      </c>
      <c r="S774" s="1"/>
    </row>
    <row r="775" spans="1:19" ht="12.5" x14ac:dyDescent="0.25">
      <c r="A775" s="2">
        <f ca="1">IFERROR(__xludf.DUMMYFUNCTION("""COMPUTED_VALUE"""),45022.6289756481)</f>
        <v>45022.628975648098</v>
      </c>
      <c r="B775" s="1" t="str">
        <f ca="1">IFERROR(__xludf.DUMMYFUNCTION("""COMPUTED_VALUE"""),"India")</f>
        <v>India</v>
      </c>
      <c r="C775" s="1">
        <f ca="1">IFERROR(__xludf.DUMMYFUNCTION("""COMPUTED_VALUE"""),122001)</f>
        <v>122001</v>
      </c>
      <c r="D775" s="1" t="str">
        <f ca="1">IFERROR(__xludf.DUMMYFUNCTION("""COMPUTED_VALUE"""),"Male")</f>
        <v>Male</v>
      </c>
      <c r="E775" s="1" t="str">
        <f ca="1">IFERROR(__xludf.DUMMYFUNCTION("""COMPUTED_VALUE"""),"People from my circle, but not family members")</f>
        <v>People from my circle, but not family members</v>
      </c>
      <c r="F775" s="1" t="str">
        <f ca="1">IFERROR(__xludf.DUMMYFUNCTION("""COMPUTED_VALUE"""),"No I would not be pursuing Higher Education outside of India")</f>
        <v>No I would not be pursuing Higher Education outside of India</v>
      </c>
      <c r="G775" s="1" t="str">
        <f ca="1">IFERROR(__xludf.DUMMYFUNCTION("""COMPUTED_VALUE"""),"Will work for 3 years or more")</f>
        <v>Will work for 3 years or more</v>
      </c>
      <c r="H775" s="1" t="str">
        <f ca="1">IFERROR(__xludf.DUMMYFUNCTION("""COMPUTED_VALUE"""),"Yes")</f>
        <v>Yes</v>
      </c>
      <c r="I775" s="1" t="str">
        <f ca="1">IFERROR(__xludf.DUMMYFUNCTION("""COMPUTED_VALUE"""),"Will NOT work for them")</f>
        <v>Will NOT work for them</v>
      </c>
      <c r="J775" s="1">
        <f ca="1">IFERROR(__xludf.DUMMYFUNCTION("""COMPUTED_VALUE"""),5)</f>
        <v>5</v>
      </c>
      <c r="K775" s="1" t="str">
        <f ca="1">IFERROR(__xludf.DUMMYFUNCTION("""COMPUTED_VALUE"""),"Fully Remote with Options to travel as and when needed")</f>
        <v>Fully Remote with Options to travel as and when needed</v>
      </c>
      <c r="L7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75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775" s="1" t="str">
        <f ca="1">IFERROR(__xludf.DUMMYFUNCTION("""COMPUTED_VALUE"""),"Business Operations in any organization, Build and develop a Team, Design and Develop amazing software, An Artificial Intelligence Specialist / Talking to Robots")</f>
        <v>Business Operations in any organization, Build and develop a Team, Design and Develop amazing software, An Artificial Intelligence Specialist / Talking to Robots</v>
      </c>
      <c r="O775" s="1" t="str">
        <f ca="1">IFERROR(__xludf.DUMMYFUNCTION("""COMPUTED_VALUE"""),"Manager who sets goal and helps me achieve it")</f>
        <v>Manager who sets goal and helps me achieve it</v>
      </c>
      <c r="P775" s="1" t="str">
        <f ca="1">IFERROR(__xludf.DUMMYFUNCTION("""COMPUTED_VALUE"""),"Work with 2 to 3 people in my team")</f>
        <v>Work with 2 to 3 people in my team</v>
      </c>
      <c r="Q775" s="1" t="str">
        <f ca="1">IFERROR(__xludf.DUMMYFUNCTION("""COMPUTED_VALUE"""),"No")</f>
        <v>No</v>
      </c>
      <c r="R775" s="1" t="str">
        <f ca="1">IFERROR(__xludf.DUMMYFUNCTION("""COMPUTED_VALUE"""),"This will be hard to do, but if it is the right company I would try")</f>
        <v>This will be hard to do, but if it is the right company I would try</v>
      </c>
      <c r="S775" s="1"/>
    </row>
    <row r="776" spans="1:19" ht="12.5" x14ac:dyDescent="0.25">
      <c r="A776" s="2">
        <f ca="1">IFERROR(__xludf.DUMMYFUNCTION("""COMPUTED_VALUE"""),45022.6415342939)</f>
        <v>45022.6415342939</v>
      </c>
      <c r="B776" s="1" t="str">
        <f ca="1">IFERROR(__xludf.DUMMYFUNCTION("""COMPUTED_VALUE"""),"India")</f>
        <v>India</v>
      </c>
      <c r="C776" s="1">
        <f ca="1">IFERROR(__xludf.DUMMYFUNCTION("""COMPUTED_VALUE"""),400067)</f>
        <v>400067</v>
      </c>
      <c r="D776" s="1" t="str">
        <f ca="1">IFERROR(__xludf.DUMMYFUNCTION("""COMPUTED_VALUE"""),"Female")</f>
        <v>Female</v>
      </c>
      <c r="E776" s="1" t="str">
        <f ca="1">IFERROR(__xludf.DUMMYFUNCTION("""COMPUTED_VALUE"""),"People who have changed the world for better")</f>
        <v>People who have changed the world for better</v>
      </c>
      <c r="F776" s="1" t="str">
        <f ca="1">IFERROR(__xludf.DUMMYFUNCTION("""COMPUTED_VALUE"""),"Yes, I will earn and do that")</f>
        <v>Yes, I will earn and do that</v>
      </c>
      <c r="G776" s="1" t="str">
        <f ca="1">IFERROR(__xludf.DUMMYFUNCTION("""COMPUTED_VALUE"""),"No way")</f>
        <v>No way</v>
      </c>
      <c r="H776" s="1" t="str">
        <f ca="1">IFERROR(__xludf.DUMMYFUNCTION("""COMPUTED_VALUE"""),"No")</f>
        <v>No</v>
      </c>
      <c r="I776" s="1" t="str">
        <f ca="1">IFERROR(__xludf.DUMMYFUNCTION("""COMPUTED_VALUE"""),"Will NOT work for them")</f>
        <v>Will NOT work for them</v>
      </c>
      <c r="J776" s="1">
        <f ca="1">IFERROR(__xludf.DUMMYFUNCTION("""COMPUTED_VALUE"""),3)</f>
        <v>3</v>
      </c>
      <c r="K776" s="1" t="str">
        <f ca="1">IFERROR(__xludf.DUMMYFUNCTION("""COMPUTED_VALUE"""),"Hybrid Working Environment with more than 15 days a month at office")</f>
        <v>Hybrid Working Environment with more than 15 days a month at office</v>
      </c>
      <c r="L776" s="1" t="str">
        <f ca="1">IFERROR(__xludf.DUMMYFUNCTION("""COMPUTED_VALUE"""),"Employer who rewards learning and enables that environment")</f>
        <v>Employer who rewards learning and enables that environment</v>
      </c>
      <c r="M77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776" s="1" t="str">
        <f ca="1">IFERROR(__xludf.DUMMYFUNCTION("""COMPUTED_VALUE"""),"Business Operations in any organization, Look deeply into Data and generate insights, Become a content Creator in some platform, An Artificial Intelligence Specialist / Talking to Robots")</f>
        <v>Business Operations in any organization, Look deeply into Data and generate insights, Become a content Creator in some platform, An Artificial Intelligence Specialist / Talking to Robots</v>
      </c>
      <c r="O776" s="1" t="str">
        <f ca="1">IFERROR(__xludf.DUMMYFUNCTION("""COMPUTED_VALUE"""),"Manager who sets targets and expects me to achieve it")</f>
        <v>Manager who sets targets and expects me to achieve it</v>
      </c>
      <c r="P776" s="1" t="str">
        <f ca="1">IFERROR(__xludf.DUMMYFUNCTION("""COMPUTED_VALUE"""),"Work with 5 to 6 people in my team")</f>
        <v>Work with 5 to 6 people in my team</v>
      </c>
      <c r="Q776" s="1" t="str">
        <f ca="1">IFERROR(__xludf.DUMMYFUNCTION("""COMPUTED_VALUE"""),"No")</f>
        <v>No</v>
      </c>
      <c r="R776" s="1" t="str">
        <f ca="1">IFERROR(__xludf.DUMMYFUNCTION("""COMPUTED_VALUE"""),"No way")</f>
        <v>No way</v>
      </c>
      <c r="S776" s="1"/>
    </row>
    <row r="777" spans="1:19" ht="12.5" x14ac:dyDescent="0.25">
      <c r="A777" s="2">
        <f ca="1">IFERROR(__xludf.DUMMYFUNCTION("""COMPUTED_VALUE"""),45022.6485037037)</f>
        <v>45022.648503703698</v>
      </c>
      <c r="B777" s="1" t="str">
        <f ca="1">IFERROR(__xludf.DUMMYFUNCTION("""COMPUTED_VALUE"""),"United States of America")</f>
        <v>United States of America</v>
      </c>
      <c r="C777" s="1">
        <f ca="1">IFERROR(__xludf.DUMMYFUNCTION("""COMPUTED_VALUE"""),61455)</f>
        <v>61455</v>
      </c>
      <c r="D777" s="1" t="str">
        <f ca="1">IFERROR(__xludf.DUMMYFUNCTION("""COMPUTED_VALUE"""),"Male")</f>
        <v>Male</v>
      </c>
      <c r="E777" s="1" t="str">
        <f ca="1">IFERROR(__xludf.DUMMYFUNCTION("""COMPUTED_VALUE"""),"My Parents")</f>
        <v>My Parents</v>
      </c>
      <c r="F777" s="1" t="str">
        <f ca="1">IFERROR(__xludf.DUMMYFUNCTION("""COMPUTED_VALUE"""),"Yes, I will earn and do that")</f>
        <v>Yes, I will earn and do that</v>
      </c>
      <c r="G777" s="1" t="str">
        <f ca="1">IFERROR(__xludf.DUMMYFUNCTION("""COMPUTED_VALUE"""),"No way")</f>
        <v>No way</v>
      </c>
      <c r="H777" s="1" t="str">
        <f ca="1">IFERROR(__xludf.DUMMYFUNCTION("""COMPUTED_VALUE"""),"Yes")</f>
        <v>Yes</v>
      </c>
      <c r="I777" s="1" t="str">
        <f ca="1">IFERROR(__xludf.DUMMYFUNCTION("""COMPUTED_VALUE"""),"Will NOT work for them")</f>
        <v>Will NOT work for them</v>
      </c>
      <c r="J777" s="1">
        <f ca="1">IFERROR(__xludf.DUMMYFUNCTION("""COMPUTED_VALUE"""),8)</f>
        <v>8</v>
      </c>
      <c r="K777" s="1" t="str">
        <f ca="1">IFERROR(__xludf.DUMMYFUNCTION("""COMPUTED_VALUE"""),"Fully Remote with Options to travel as and when needed")</f>
        <v>Fully Remote with Options to travel as and when needed</v>
      </c>
      <c r="L777" s="1" t="str">
        <f ca="1">IFERROR(__xludf.DUMMYFUNCTION("""COMPUTED_VALUE"""),"Employer who appreciates learning and enables that environment")</f>
        <v>Employer who appreciates learning and enables that environment</v>
      </c>
      <c r="M77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777" s="1" t="str">
        <f ca="1">IFERROR(__xludf.DUMMYFUNCTION("""COMPUTED_VALUE"""),"Manage and drive End-to-End Projects or Products, Build and develop a Team, Design and Develop amazing software, Become a content Creator in some platform")</f>
        <v>Manage and drive End-to-End Projects or Products, Build and develop a Team, Design and Develop amazing software, Become a content Creator in some platform</v>
      </c>
      <c r="O777" s="1" t="str">
        <f ca="1">IFERROR(__xludf.DUMMYFUNCTION("""COMPUTED_VALUE"""),"Manager who clearly describes what she/he needs")</f>
        <v>Manager who clearly describes what she/he needs</v>
      </c>
      <c r="P777" s="1" t="str">
        <f ca="1">IFERROR(__xludf.DUMMYFUNCTION("""COMPUTED_VALUE"""),"Work with 5 to 6 people in my team")</f>
        <v>Work with 5 to 6 people in my team</v>
      </c>
      <c r="Q777" s="1" t="str">
        <f ca="1">IFERROR(__xludf.DUMMYFUNCTION("""COMPUTED_VALUE"""),"No")</f>
        <v>No</v>
      </c>
      <c r="R777" s="1" t="str">
        <f ca="1">IFERROR(__xludf.DUMMYFUNCTION("""COMPUTED_VALUE"""),"No way")</f>
        <v>No way</v>
      </c>
      <c r="S777" s="1"/>
    </row>
    <row r="778" spans="1:19" ht="12.5" x14ac:dyDescent="0.25">
      <c r="A778" s="2">
        <f ca="1">IFERROR(__xludf.DUMMYFUNCTION("""COMPUTED_VALUE"""),45022.6487885416)</f>
        <v>45022.648788541599</v>
      </c>
      <c r="B778" s="1" t="str">
        <f ca="1">IFERROR(__xludf.DUMMYFUNCTION("""COMPUTED_VALUE"""),"India")</f>
        <v>India</v>
      </c>
      <c r="C778" s="1">
        <f ca="1">IFERROR(__xludf.DUMMYFUNCTION("""COMPUTED_VALUE"""),507115)</f>
        <v>507115</v>
      </c>
      <c r="D778" s="1" t="str">
        <f ca="1">IFERROR(__xludf.DUMMYFUNCTION("""COMPUTED_VALUE"""),"Male")</f>
        <v>Male</v>
      </c>
      <c r="E778" s="1" t="str">
        <f ca="1">IFERROR(__xludf.DUMMYFUNCTION("""COMPUTED_VALUE"""),"My Parents")</f>
        <v>My Parents</v>
      </c>
      <c r="F778" s="1" t="str">
        <f ca="1">IFERROR(__xludf.DUMMYFUNCTION("""COMPUTED_VALUE"""),"Yes, I will earn and do that")</f>
        <v>Yes, I will earn and do that</v>
      </c>
      <c r="G778" s="1" t="str">
        <f ca="1">IFERROR(__xludf.DUMMYFUNCTION("""COMPUTED_VALUE"""),"This will be hard to do, but if it is the right company I would try")</f>
        <v>This will be hard to do, but if it is the right company I would try</v>
      </c>
      <c r="H778" s="1" t="str">
        <f ca="1">IFERROR(__xludf.DUMMYFUNCTION("""COMPUTED_VALUE"""),"No")</f>
        <v>No</v>
      </c>
      <c r="I778" s="1" t="str">
        <f ca="1">IFERROR(__xludf.DUMMYFUNCTION("""COMPUTED_VALUE"""),"Will NOT work for them")</f>
        <v>Will NOT work for them</v>
      </c>
      <c r="J778" s="1">
        <f ca="1">IFERROR(__xludf.DUMMYFUNCTION("""COMPUTED_VALUE"""),5)</f>
        <v>5</v>
      </c>
      <c r="K778" s="1" t="str">
        <f ca="1">IFERROR(__xludf.DUMMYFUNCTION("""COMPUTED_VALUE"""),"Fully Remote with Options to travel as and when needed")</f>
        <v>Fully Remote with Options to travel as and when needed</v>
      </c>
      <c r="L778" s="1" t="str">
        <f ca="1">IFERROR(__xludf.DUMMYFUNCTION("""COMPUTED_VALUE"""),"Employer who appreciates learning and enables that environment")</f>
        <v>Employer who appreciates learning and enables that environment</v>
      </c>
      <c r="M77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778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778" s="1" t="str">
        <f ca="1">IFERROR(__xludf.DUMMYFUNCTION("""COMPUTED_VALUE"""),"Manager who clearly describes what she/he needs")</f>
        <v>Manager who clearly describes what she/he needs</v>
      </c>
      <c r="P778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778" s="1" t="str">
        <f ca="1">IFERROR(__xludf.DUMMYFUNCTION("""COMPUTED_VALUE"""),"Yes, I Understand this is gonna happen everywhere")</f>
        <v>Yes, I Understand this is gonna happen everywhere</v>
      </c>
      <c r="R778" s="1" t="str">
        <f ca="1">IFERROR(__xludf.DUMMYFUNCTION("""COMPUTED_VALUE"""),"No way")</f>
        <v>No way</v>
      </c>
      <c r="S778" s="1"/>
    </row>
    <row r="779" spans="1:19" ht="12.5" x14ac:dyDescent="0.25">
      <c r="A779" s="2">
        <f ca="1">IFERROR(__xludf.DUMMYFUNCTION("""COMPUTED_VALUE"""),45022.6492488194)</f>
        <v>45022.649248819398</v>
      </c>
      <c r="B779" s="1" t="str">
        <f ca="1">IFERROR(__xludf.DUMMYFUNCTION("""COMPUTED_VALUE"""),"India")</f>
        <v>India</v>
      </c>
      <c r="C779" s="1">
        <f ca="1">IFERROR(__xludf.DUMMYFUNCTION("""COMPUTED_VALUE"""),507002)</f>
        <v>507002</v>
      </c>
      <c r="D779" s="1" t="str">
        <f ca="1">IFERROR(__xludf.DUMMYFUNCTION("""COMPUTED_VALUE"""),"Male")</f>
        <v>Male</v>
      </c>
      <c r="E779" s="1" t="str">
        <f ca="1">IFERROR(__xludf.DUMMYFUNCTION("""COMPUTED_VALUE"""),"People who have changed the world for better")</f>
        <v>People who have changed the world for better</v>
      </c>
      <c r="F779" s="1" t="str">
        <f ca="1">IFERROR(__xludf.DUMMYFUNCTION("""COMPUTED_VALUE"""),"Yes, I will earn and do that")</f>
        <v>Yes, I will earn and do that</v>
      </c>
      <c r="G779" s="1" t="str">
        <f ca="1">IFERROR(__xludf.DUMMYFUNCTION("""COMPUTED_VALUE"""),"Will work for 3 years or more")</f>
        <v>Will work for 3 years or more</v>
      </c>
      <c r="H779" s="1" t="str">
        <f ca="1">IFERROR(__xludf.DUMMYFUNCTION("""COMPUTED_VALUE"""),"Yes")</f>
        <v>Yes</v>
      </c>
      <c r="I779" s="1" t="str">
        <f ca="1">IFERROR(__xludf.DUMMYFUNCTION("""COMPUTED_VALUE"""),"Will work for them")</f>
        <v>Will work for them</v>
      </c>
      <c r="J779" s="1">
        <f ca="1">IFERROR(__xludf.DUMMYFUNCTION("""COMPUTED_VALUE"""),10)</f>
        <v>10</v>
      </c>
      <c r="K779" s="1" t="str">
        <f ca="1">IFERROR(__xludf.DUMMYFUNCTION("""COMPUTED_VALUE"""),"Hybrid Working Environment with less than 3 days a month at office")</f>
        <v>Hybrid Working Environment with less than 3 days a month at office</v>
      </c>
      <c r="L779" s="1" t="str">
        <f ca="1">IFERROR(__xludf.DUMMYFUNCTION("""COMPUTED_VALUE"""),"Employer who appreciates learning and enables that environment")</f>
        <v>Employer who appreciates learning and enables that environment</v>
      </c>
      <c r="M77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79" s="1" t="str">
        <f ca="1">IFERROR(__xludf.DUMMYFUNCTION("""COMPUTED_VALUE"""),"Design and Creative strategy in any company, I Want to sell things/Sales, An Artificial Intelligence Specialist / Talking to Robots, Manufacturing / Oil and Gas/ Construction / Hard Physical Work related")</f>
        <v>Design and Creative strategy in any company, I Want to sell things/Sales, An Artificial Intelligence Specialist / Talking to Robots, Manufacturing / Oil and Gas/ Construction / Hard Physical Work related</v>
      </c>
      <c r="O779" s="1" t="str">
        <f ca="1">IFERROR(__xludf.DUMMYFUNCTION("""COMPUTED_VALUE"""),"Manager who sets goal and helps me achieve it")</f>
        <v>Manager who sets goal and helps me achieve it</v>
      </c>
      <c r="P779" s="1" t="str">
        <f ca="1">IFERROR(__xludf.DUMMYFUNCTION("""COMPUTED_VALUE"""),"Work with more than 10 people in my team")</f>
        <v>Work with more than 10 people in my team</v>
      </c>
      <c r="Q779" s="1" t="str">
        <f ca="1">IFERROR(__xludf.DUMMYFUNCTION("""COMPUTED_VALUE"""),"Yes")</f>
        <v>Yes</v>
      </c>
      <c r="R779" s="1" t="str">
        <f ca="1">IFERROR(__xludf.DUMMYFUNCTION("""COMPUTED_VALUE"""),"Will work for 7 years or more")</f>
        <v>Will work for 7 years or more</v>
      </c>
      <c r="S779" s="1"/>
    </row>
    <row r="780" spans="1:19" ht="12.5" x14ac:dyDescent="0.25">
      <c r="A780" s="2">
        <f ca="1">IFERROR(__xludf.DUMMYFUNCTION("""COMPUTED_VALUE"""),45022.6502233796)</f>
        <v>45022.650223379598</v>
      </c>
      <c r="B780" s="1" t="str">
        <f ca="1">IFERROR(__xludf.DUMMYFUNCTION("""COMPUTED_VALUE"""),"India")</f>
        <v>India</v>
      </c>
      <c r="C780" s="1">
        <f ca="1">IFERROR(__xludf.DUMMYFUNCTION("""COMPUTED_VALUE"""),380054)</f>
        <v>380054</v>
      </c>
      <c r="D780" s="1" t="str">
        <f ca="1">IFERROR(__xludf.DUMMYFUNCTION("""COMPUTED_VALUE"""),"Female")</f>
        <v>Female</v>
      </c>
      <c r="E780" s="1" t="str">
        <f ca="1">IFERROR(__xludf.DUMMYFUNCTION("""COMPUTED_VALUE"""),"My Parents")</f>
        <v>My Parents</v>
      </c>
      <c r="F780" s="1" t="str">
        <f ca="1">IFERROR(__xludf.DUMMYFUNCTION("""COMPUTED_VALUE"""),"No I would not be pursuing Higher Education outside of India")</f>
        <v>No I would not be pursuing Higher Education outside of India</v>
      </c>
      <c r="G780" s="1" t="str">
        <f ca="1">IFERROR(__xludf.DUMMYFUNCTION("""COMPUTED_VALUE"""),"Will work for 3 years or more")</f>
        <v>Will work for 3 years or more</v>
      </c>
      <c r="H780" s="1" t="str">
        <f ca="1">IFERROR(__xludf.DUMMYFUNCTION("""COMPUTED_VALUE"""),"Yes")</f>
        <v>Yes</v>
      </c>
      <c r="I780" s="1" t="str">
        <f ca="1">IFERROR(__xludf.DUMMYFUNCTION("""COMPUTED_VALUE"""),"Will NOT work for them")</f>
        <v>Will NOT work for them</v>
      </c>
      <c r="J780" s="1">
        <f ca="1">IFERROR(__xludf.DUMMYFUNCTION("""COMPUTED_VALUE"""),10)</f>
        <v>10</v>
      </c>
      <c r="K780" s="1" t="str">
        <f ca="1">IFERROR(__xludf.DUMMYFUNCTION("""COMPUTED_VALUE"""),"Every Day Office Environment")</f>
        <v>Every Day Office Environment</v>
      </c>
      <c r="L7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80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780" s="1" t="str">
        <f ca="1">IFERROR(__xludf.DUMMYFUNCTION("""COMPUTED_VALUE"""),"Work as a freelancer and do my thing my way, Entrepreneur or Start Up, I Want to sell things/Sales, Manufacturing / Oil and Gas/ Construction / Hard Physical Work related")</f>
        <v>Work as a freelancer and do my thing my way, Entrepreneur or Start Up, I Want to sell things/Sales, Manufacturing / Oil and Gas/ Construction / Hard Physical Work related</v>
      </c>
      <c r="O780" s="1" t="str">
        <f ca="1">IFERROR(__xludf.DUMMYFUNCTION("""COMPUTED_VALUE"""),"Manager who explains what is expected, sets a goal and helps achieve it")</f>
        <v>Manager who explains what is expected, sets a goal and helps achieve it</v>
      </c>
      <c r="P780" s="1" t="str">
        <f ca="1">IFERROR(__xludf.DUMMYFUNCTION("""COMPUTED_VALUE"""),"Work with more than 10 people in my team")</f>
        <v>Work with more than 10 people in my team</v>
      </c>
      <c r="Q780" s="1" t="str">
        <f ca="1">IFERROR(__xludf.DUMMYFUNCTION("""COMPUTED_VALUE"""),"Yes, I Understand this is gonna happen everywhere")</f>
        <v>Yes, I Understand this is gonna happen everywhere</v>
      </c>
      <c r="R780" s="1" t="str">
        <f ca="1">IFERROR(__xludf.DUMMYFUNCTION("""COMPUTED_VALUE"""),"This will be hard to do, but if it is the right company I would try")</f>
        <v>This will be hard to do, but if it is the right company I would try</v>
      </c>
      <c r="S780" s="1"/>
    </row>
    <row r="781" spans="1:19" ht="12.5" x14ac:dyDescent="0.25">
      <c r="A781" s="2">
        <f ca="1">IFERROR(__xludf.DUMMYFUNCTION("""COMPUTED_VALUE"""),45022.6503503935)</f>
        <v>45022.650350393502</v>
      </c>
      <c r="B781" s="1" t="str">
        <f ca="1">IFERROR(__xludf.DUMMYFUNCTION("""COMPUTED_VALUE"""),"India")</f>
        <v>India</v>
      </c>
      <c r="C781" s="1">
        <f ca="1">IFERROR(__xludf.DUMMYFUNCTION("""COMPUTED_VALUE"""),507001)</f>
        <v>507001</v>
      </c>
      <c r="D781" s="1" t="str">
        <f ca="1">IFERROR(__xludf.DUMMYFUNCTION("""COMPUTED_VALUE"""),"Male")</f>
        <v>Male</v>
      </c>
      <c r="E781" s="1" t="str">
        <f ca="1">IFERROR(__xludf.DUMMYFUNCTION("""COMPUTED_VALUE"""),"Influencers who had successful careers")</f>
        <v>Influencers who had successful careers</v>
      </c>
      <c r="F781" s="1" t="str">
        <f ca="1">IFERROR(__xludf.DUMMYFUNCTION("""COMPUTED_VALUE"""),"Yes, I will earn and do that")</f>
        <v>Yes, I will earn and do that</v>
      </c>
      <c r="G781" s="1" t="str">
        <f ca="1">IFERROR(__xludf.DUMMYFUNCTION("""COMPUTED_VALUE"""),"This will be hard to do, but if it is the right company I would try")</f>
        <v>This will be hard to do, but if it is the right company I would try</v>
      </c>
      <c r="H781" s="1" t="str">
        <f ca="1">IFERROR(__xludf.DUMMYFUNCTION("""COMPUTED_VALUE"""),"No")</f>
        <v>No</v>
      </c>
      <c r="I781" s="1" t="str">
        <f ca="1">IFERROR(__xludf.DUMMYFUNCTION("""COMPUTED_VALUE"""),"Will NOT work for them")</f>
        <v>Will NOT work for them</v>
      </c>
      <c r="J781" s="1">
        <f ca="1">IFERROR(__xludf.DUMMYFUNCTION("""COMPUTED_VALUE"""),7)</f>
        <v>7</v>
      </c>
      <c r="K781" s="1" t="str">
        <f ca="1">IFERROR(__xludf.DUMMYFUNCTION("""COMPUTED_VALUE"""),"Fully Remote with Options to travel as and when needed")</f>
        <v>Fully Remote with Options to travel as and when needed</v>
      </c>
      <c r="L781" s="1" t="str">
        <f ca="1">IFERROR(__xludf.DUMMYFUNCTION("""COMPUTED_VALUE"""),"Employer who rewards learning and enables that environment")</f>
        <v>Employer who rewards learning and enables that environment</v>
      </c>
      <c r="M781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781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781" s="1" t="str">
        <f ca="1">IFERROR(__xludf.DUMMYFUNCTION("""COMPUTED_VALUE"""),"Manager who explains what is expected, sets a goal and helps achieve it")</f>
        <v>Manager who explains what is expected, sets a goal and helps achieve it</v>
      </c>
      <c r="P781" s="1" t="str">
        <f ca="1">IFERROR(__xludf.DUMMYFUNCTION("""COMPUTED_VALUE"""),"Work with 2 to 3 people in my team")</f>
        <v>Work with 2 to 3 people in my team</v>
      </c>
      <c r="Q781" s="1" t="str">
        <f ca="1">IFERROR(__xludf.DUMMYFUNCTION("""COMPUTED_VALUE"""),"Yes, I Understand this is gonna happen everywhere")</f>
        <v>Yes, I Understand this is gonna happen everywhere</v>
      </c>
      <c r="R781" s="1" t="str">
        <f ca="1">IFERROR(__xludf.DUMMYFUNCTION("""COMPUTED_VALUE"""),"This will be hard to do, but if it is the right company I would try")</f>
        <v>This will be hard to do, but if it is the right company I would try</v>
      </c>
      <c r="S781" s="1"/>
    </row>
    <row r="782" spans="1:19" ht="12.5" x14ac:dyDescent="0.25">
      <c r="A782" s="2">
        <f ca="1">IFERROR(__xludf.DUMMYFUNCTION("""COMPUTED_VALUE"""),45022.6505352777)</f>
        <v>45022.650535277702</v>
      </c>
      <c r="B782" s="1" t="str">
        <f ca="1">IFERROR(__xludf.DUMMYFUNCTION("""COMPUTED_VALUE"""),"India")</f>
        <v>India</v>
      </c>
      <c r="C782" s="1">
        <f ca="1">IFERROR(__xludf.DUMMYFUNCTION("""COMPUTED_VALUE"""),560096)</f>
        <v>560096</v>
      </c>
      <c r="D782" s="1" t="str">
        <f ca="1">IFERROR(__xludf.DUMMYFUNCTION("""COMPUTED_VALUE"""),"Female")</f>
        <v>Female</v>
      </c>
      <c r="E782" s="1" t="str">
        <f ca="1">IFERROR(__xludf.DUMMYFUNCTION("""COMPUTED_VALUE"""),"People who have changed the world for better")</f>
        <v>People who have changed the world for better</v>
      </c>
      <c r="F782" s="1" t="str">
        <f ca="1">IFERROR(__xludf.DUMMYFUNCTION("""COMPUTED_VALUE"""),"No, But if someone could bare the cost I will")</f>
        <v>No, But if someone could bare the cost I will</v>
      </c>
      <c r="G782" s="1" t="str">
        <f ca="1">IFERROR(__xludf.DUMMYFUNCTION("""COMPUTED_VALUE"""),"This will be hard to do, but if it is the right company I would try")</f>
        <v>This will be hard to do, but if it is the right company I would try</v>
      </c>
      <c r="H782" s="1" t="str">
        <f ca="1">IFERROR(__xludf.DUMMYFUNCTION("""COMPUTED_VALUE"""),"No")</f>
        <v>No</v>
      </c>
      <c r="I782" s="1" t="str">
        <f ca="1">IFERROR(__xludf.DUMMYFUNCTION("""COMPUTED_VALUE"""),"Will NOT work for them")</f>
        <v>Will NOT work for them</v>
      </c>
      <c r="J782" s="1">
        <f ca="1">IFERROR(__xludf.DUMMYFUNCTION("""COMPUTED_VALUE"""),5)</f>
        <v>5</v>
      </c>
      <c r="K782" s="1" t="str">
        <f ca="1">IFERROR(__xludf.DUMMYFUNCTION("""COMPUTED_VALUE"""),"Hybrid Working Environment with more than 15 days a month at office")</f>
        <v>Hybrid Working Environment with more than 15 days a month at office</v>
      </c>
      <c r="L782" s="1" t="str">
        <f ca="1">IFERROR(__xludf.DUMMYFUNCTION("""COMPUTED_VALUE"""),"Employer who rewards learning and enables that environment")</f>
        <v>Employer who rewards learning and enables that environment</v>
      </c>
      <c r="M78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82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782" s="1" t="str">
        <f ca="1">IFERROR(__xludf.DUMMYFUNCTION("""COMPUTED_VALUE"""),"Manager who explains what is expected, sets a goal and helps achieve it")</f>
        <v>Manager who explains what is expected, sets a goal and helps achieve it</v>
      </c>
      <c r="P782" s="1" t="str">
        <f ca="1">IFERROR(__xludf.DUMMYFUNCTION("""COMPUTED_VALUE"""),"Work with 2 to 3 people in my team, Work with 5 to 6 people in my team")</f>
        <v>Work with 2 to 3 people in my team, Work with 5 to 6 people in my team</v>
      </c>
      <c r="Q782" s="1" t="str">
        <f ca="1">IFERROR(__xludf.DUMMYFUNCTION("""COMPUTED_VALUE"""),"No")</f>
        <v>No</v>
      </c>
      <c r="R782" s="1" t="str">
        <f ca="1">IFERROR(__xludf.DUMMYFUNCTION("""COMPUTED_VALUE"""),"This will be hard to do, but if it is the right company I would try")</f>
        <v>This will be hard to do, but if it is the right company I would try</v>
      </c>
      <c r="S782" s="1"/>
    </row>
    <row r="783" spans="1:19" ht="12.5" x14ac:dyDescent="0.25">
      <c r="A783" s="2">
        <f ca="1">IFERROR(__xludf.DUMMYFUNCTION("""COMPUTED_VALUE"""),45022.6526775463)</f>
        <v>45022.652677546299</v>
      </c>
      <c r="B783" s="1" t="str">
        <f ca="1">IFERROR(__xludf.DUMMYFUNCTION("""COMPUTED_VALUE"""),"India")</f>
        <v>India</v>
      </c>
      <c r="C783" s="1">
        <f ca="1">IFERROR(__xludf.DUMMYFUNCTION("""COMPUTED_VALUE"""),380006)</f>
        <v>380006</v>
      </c>
      <c r="D783" s="1" t="str">
        <f ca="1">IFERROR(__xludf.DUMMYFUNCTION("""COMPUTED_VALUE"""),"Male")</f>
        <v>Male</v>
      </c>
      <c r="E783" s="1" t="str">
        <f ca="1">IFERROR(__xludf.DUMMYFUNCTION("""COMPUTED_VALUE"""),"People who have changed the world for better")</f>
        <v>People who have changed the world for better</v>
      </c>
      <c r="F783" s="1" t="str">
        <f ca="1">IFERROR(__xludf.DUMMYFUNCTION("""COMPUTED_VALUE"""),"No, But if someone could bare the cost I will")</f>
        <v>No, But if someone could bare the cost I will</v>
      </c>
      <c r="G783" s="1" t="str">
        <f ca="1">IFERROR(__xludf.DUMMYFUNCTION("""COMPUTED_VALUE"""),"Will work for 3 years or more")</f>
        <v>Will work for 3 years or more</v>
      </c>
      <c r="H783" s="1" t="str">
        <f ca="1">IFERROR(__xludf.DUMMYFUNCTION("""COMPUTED_VALUE"""),"No")</f>
        <v>No</v>
      </c>
      <c r="I783" s="1" t="str">
        <f ca="1">IFERROR(__xludf.DUMMYFUNCTION("""COMPUTED_VALUE"""),"Will NOT work for them")</f>
        <v>Will NOT work for them</v>
      </c>
      <c r="J783" s="1">
        <f ca="1">IFERROR(__xludf.DUMMYFUNCTION("""COMPUTED_VALUE"""),3)</f>
        <v>3</v>
      </c>
      <c r="K783" s="1" t="str">
        <f ca="1">IFERROR(__xludf.DUMMYFUNCTION("""COMPUTED_VALUE"""),"Fully Remote with Options to travel as and when needed")</f>
        <v>Fully Remote with Options to travel as and when needed</v>
      </c>
      <c r="L7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8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783" s="1" t="str">
        <f ca="1">IFERROR(__xludf.DUMMYFUNCTION("""COMPUTED_VALUE"""),"Business Operations in any organization, Manage and drive End-to-End Projects or Products, Build and develop a Team, Work as a freelancer and do my thing my way")</f>
        <v>Business Operations in any organization, Manage and drive End-to-End Projects or Products, Build and develop a Team, Work as a freelancer and do my thing my way</v>
      </c>
      <c r="O783" s="1" t="str">
        <f ca="1">IFERROR(__xludf.DUMMYFUNCTION("""COMPUTED_VALUE"""),"Manager who explains what is expected, sets a goal and helps achieve it")</f>
        <v>Manager who explains what is expected, sets a goal and helps achieve it</v>
      </c>
      <c r="P783" s="1" t="str">
        <f ca="1">IFERROR(__xludf.DUMMYFUNCTION("""COMPUTED_VALUE"""),"Work with 5 to 6 people in my team")</f>
        <v>Work with 5 to 6 people in my team</v>
      </c>
      <c r="Q783" s="1" t="str">
        <f ca="1">IFERROR(__xludf.DUMMYFUNCTION("""COMPUTED_VALUE"""),"No")</f>
        <v>No</v>
      </c>
      <c r="R783" s="1" t="str">
        <f ca="1">IFERROR(__xludf.DUMMYFUNCTION("""COMPUTED_VALUE"""),"This will be hard to do, but if it is the right company I would try")</f>
        <v>This will be hard to do, but if it is the right company I would try</v>
      </c>
      <c r="S783" s="1"/>
    </row>
    <row r="784" spans="1:19" ht="12.5" x14ac:dyDescent="0.25">
      <c r="A784" s="2">
        <f ca="1">IFERROR(__xludf.DUMMYFUNCTION("""COMPUTED_VALUE"""),45022.654706956)</f>
        <v>45022.654706955997</v>
      </c>
      <c r="B784" s="1" t="str">
        <f ca="1">IFERROR(__xludf.DUMMYFUNCTION("""COMPUTED_VALUE"""),"India")</f>
        <v>India</v>
      </c>
      <c r="C784" s="1">
        <f ca="1">IFERROR(__xludf.DUMMYFUNCTION("""COMPUTED_VALUE"""),507001)</f>
        <v>507001</v>
      </c>
      <c r="D784" s="1" t="str">
        <f ca="1">IFERROR(__xludf.DUMMYFUNCTION("""COMPUTED_VALUE"""),"Female")</f>
        <v>Female</v>
      </c>
      <c r="E784" s="1" t="str">
        <f ca="1">IFERROR(__xludf.DUMMYFUNCTION("""COMPUTED_VALUE"""),"Influencers who had successful careers")</f>
        <v>Influencers who had successful careers</v>
      </c>
      <c r="F784" s="1" t="str">
        <f ca="1">IFERROR(__xludf.DUMMYFUNCTION("""COMPUTED_VALUE"""),"No I would not be pursuing Higher Education outside of India")</f>
        <v>No I would not be pursuing Higher Education outside of India</v>
      </c>
      <c r="G784" s="1" t="str">
        <f ca="1">IFERROR(__xludf.DUMMYFUNCTION("""COMPUTED_VALUE"""),"This will be hard to do, but if it is the right company I would try")</f>
        <v>This will be hard to do, but if it is the right company I would try</v>
      </c>
      <c r="H784" s="1" t="str">
        <f ca="1">IFERROR(__xludf.DUMMYFUNCTION("""COMPUTED_VALUE"""),"Yes")</f>
        <v>Yes</v>
      </c>
      <c r="I784" s="1" t="str">
        <f ca="1">IFERROR(__xludf.DUMMYFUNCTION("""COMPUTED_VALUE"""),"Will NOT work for them")</f>
        <v>Will NOT work for them</v>
      </c>
      <c r="J784" s="1">
        <f ca="1">IFERROR(__xludf.DUMMYFUNCTION("""COMPUTED_VALUE"""),6)</f>
        <v>6</v>
      </c>
      <c r="K784" s="1" t="str">
        <f ca="1">IFERROR(__xludf.DUMMYFUNCTION("""COMPUTED_VALUE"""),"Hybrid Working Environment with less than 3 days a month at office")</f>
        <v>Hybrid Working Environment with less than 3 days a month at office</v>
      </c>
      <c r="L784" s="1" t="str">
        <f ca="1">IFERROR(__xludf.DUMMYFUNCTION("""COMPUTED_VALUE"""),"Employer who rewards learning and enables that environment")</f>
        <v>Employer who rewards learning and enables that environment</v>
      </c>
      <c r="M78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784" s="1" t="str">
        <f ca="1">IFERROR(__xludf.DUMMYFUNCTION("""COMPUTED_VALUE"""),"Design and Creative strategy in any company, Build and develop a Team, An Artificial Intelligence Specialist / Talking to Robots, Manufacturing / Oil and Gas/ Construction / Hard Physical Work related")</f>
        <v>Design and Creative strategy in any company, Build and develop a Team, An Artificial Intelligence Specialist / Talking to Robots, Manufacturing / Oil and Gas/ Construction / Hard Physical Work related</v>
      </c>
      <c r="O784" s="1" t="str">
        <f ca="1">IFERROR(__xludf.DUMMYFUNCTION("""COMPUTED_VALUE"""),"Manager who explains what is expected, sets a goal and helps achieve it")</f>
        <v>Manager who explains what is expected, sets a goal and helps achieve it</v>
      </c>
      <c r="P784" s="1" t="str">
        <f ca="1">IFERROR(__xludf.DUMMYFUNCTION("""COMPUTED_VALUE"""),"Work with 2 to 3 people in my team")</f>
        <v>Work with 2 to 3 people in my team</v>
      </c>
      <c r="Q784" s="1" t="str">
        <f ca="1">IFERROR(__xludf.DUMMYFUNCTION("""COMPUTED_VALUE"""),"Yes, I Understand this is gonna happen everywhere")</f>
        <v>Yes, I Understand this is gonna happen everywhere</v>
      </c>
      <c r="R784" s="1" t="str">
        <f ca="1">IFERROR(__xludf.DUMMYFUNCTION("""COMPUTED_VALUE"""),"No way")</f>
        <v>No way</v>
      </c>
      <c r="S784" s="1"/>
    </row>
    <row r="785" spans="1:19" ht="12.5" x14ac:dyDescent="0.25">
      <c r="A785" s="2">
        <f ca="1">IFERROR(__xludf.DUMMYFUNCTION("""COMPUTED_VALUE"""),45022.6601119675)</f>
        <v>45022.660111967503</v>
      </c>
      <c r="B785" s="1" t="str">
        <f ca="1">IFERROR(__xludf.DUMMYFUNCTION("""COMPUTED_VALUE"""),"India")</f>
        <v>India</v>
      </c>
      <c r="C785" s="1">
        <f ca="1">IFERROR(__xludf.DUMMYFUNCTION("""COMPUTED_VALUE"""),380026)</f>
        <v>380026</v>
      </c>
      <c r="D785" s="1" t="str">
        <f ca="1">IFERROR(__xludf.DUMMYFUNCTION("""COMPUTED_VALUE"""),"Male")</f>
        <v>Male</v>
      </c>
      <c r="E785" s="1" t="str">
        <f ca="1">IFERROR(__xludf.DUMMYFUNCTION("""COMPUTED_VALUE"""),"My Parents")</f>
        <v>My Parents</v>
      </c>
      <c r="F785" s="1" t="str">
        <f ca="1">IFERROR(__xludf.DUMMYFUNCTION("""COMPUTED_VALUE"""),"No I would not be pursuing Higher Education outside of India")</f>
        <v>No I would not be pursuing Higher Education outside of India</v>
      </c>
      <c r="G785" s="1" t="str">
        <f ca="1">IFERROR(__xludf.DUMMYFUNCTION("""COMPUTED_VALUE"""),"This will be hard to do, but if it is the right company I would try")</f>
        <v>This will be hard to do, but if it is the right company I would try</v>
      </c>
      <c r="H785" s="1" t="str">
        <f ca="1">IFERROR(__xludf.DUMMYFUNCTION("""COMPUTED_VALUE"""),"No")</f>
        <v>No</v>
      </c>
      <c r="I785" s="1" t="str">
        <f ca="1">IFERROR(__xludf.DUMMYFUNCTION("""COMPUTED_VALUE"""),"Will NOT work for them")</f>
        <v>Will NOT work for them</v>
      </c>
      <c r="J785" s="1">
        <f ca="1">IFERROR(__xludf.DUMMYFUNCTION("""COMPUTED_VALUE"""),5)</f>
        <v>5</v>
      </c>
      <c r="K785" s="1" t="str">
        <f ca="1">IFERROR(__xludf.DUMMYFUNCTION("""COMPUTED_VALUE"""),"Hybrid Working Environment with more than 15 days a month at office")</f>
        <v>Hybrid Working Environment with more than 15 days a month at office</v>
      </c>
      <c r="L785" s="1" t="str">
        <f ca="1">IFERROR(__xludf.DUMMYFUNCTION("""COMPUTED_VALUE"""),"Employer who rewards learning and enables that environment")</f>
        <v>Employer who rewards learning and enables that environment</v>
      </c>
      <c r="M78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85" s="1" t="str">
        <f ca="1">IFERROR(__xludf.DUMMYFUNCTION("""COMPUTED_VALUE"""),"Design and Creative strategy in any company, Teaching in any of the institutes/colleges/online or offline, Become a content Creator in some platform, Manufacturing / Oil and Gas/ Construction / Hard Physical Work related")</f>
        <v>Design and Creative strategy in any company, Teaching in any of the institutes/colleges/online or offline, Become a content Creator in some platform, Manufacturing / Oil and Gas/ Construction / Hard Physical Work related</v>
      </c>
      <c r="O785" s="1" t="str">
        <f ca="1">IFERROR(__xludf.DUMMYFUNCTION("""COMPUTED_VALUE"""),"Manager who sets goal and helps me achieve it")</f>
        <v>Manager who sets goal and helps me achieve it</v>
      </c>
      <c r="P785" s="1" t="str">
        <f ca="1">IFERROR(__xludf.DUMMYFUNCTION("""COMPUTED_VALUE"""),"Work with more than 10 people in my team")</f>
        <v>Work with more than 10 people in my team</v>
      </c>
      <c r="Q785" s="1" t="str">
        <f ca="1">IFERROR(__xludf.DUMMYFUNCTION("""COMPUTED_VALUE"""),"No")</f>
        <v>No</v>
      </c>
      <c r="R785" s="1" t="str">
        <f ca="1">IFERROR(__xludf.DUMMYFUNCTION("""COMPUTED_VALUE"""),"This will be hard to do, but if it is the right company I would try")</f>
        <v>This will be hard to do, but if it is the right company I would try</v>
      </c>
      <c r="S785" s="1"/>
    </row>
    <row r="786" spans="1:19" ht="12.5" x14ac:dyDescent="0.25">
      <c r="A786" s="2">
        <f ca="1">IFERROR(__xludf.DUMMYFUNCTION("""COMPUTED_VALUE"""),45022.673158993)</f>
        <v>45022.673158992999</v>
      </c>
      <c r="B786" s="1" t="str">
        <f ca="1">IFERROR(__xludf.DUMMYFUNCTION("""COMPUTED_VALUE"""),"Others")</f>
        <v>Others</v>
      </c>
      <c r="C786" s="1">
        <f ca="1">IFERROR(__xludf.DUMMYFUNCTION("""COMPUTED_VALUE"""),2911)</f>
        <v>2911</v>
      </c>
      <c r="D786" s="1" t="str">
        <f ca="1">IFERROR(__xludf.DUMMYFUNCTION("""COMPUTED_VALUE"""),"Female")</f>
        <v>Female</v>
      </c>
      <c r="E786" s="1" t="str">
        <f ca="1">IFERROR(__xludf.DUMMYFUNCTION("""COMPUTED_VALUE"""),"People who have changed the world for better")</f>
        <v>People who have changed the world for better</v>
      </c>
      <c r="F786" s="1" t="str">
        <f ca="1">IFERROR(__xludf.DUMMYFUNCTION("""COMPUTED_VALUE"""),"Yes, I will earn and do that")</f>
        <v>Yes, I will earn and do that</v>
      </c>
      <c r="G786" s="1" t="str">
        <f ca="1">IFERROR(__xludf.DUMMYFUNCTION("""COMPUTED_VALUE"""),"Will work for 3 years or more")</f>
        <v>Will work for 3 years or more</v>
      </c>
      <c r="H786" s="1" t="str">
        <f ca="1">IFERROR(__xludf.DUMMYFUNCTION("""COMPUTED_VALUE"""),"No")</f>
        <v>No</v>
      </c>
      <c r="I786" s="1" t="str">
        <f ca="1">IFERROR(__xludf.DUMMYFUNCTION("""COMPUTED_VALUE"""),"Will NOT work for them")</f>
        <v>Will NOT work for them</v>
      </c>
      <c r="J786" s="1">
        <f ca="1">IFERROR(__xludf.DUMMYFUNCTION("""COMPUTED_VALUE"""),10)</f>
        <v>10</v>
      </c>
      <c r="K786" s="1" t="str">
        <f ca="1">IFERROR(__xludf.DUMMYFUNCTION("""COMPUTED_VALUE"""),"Fully Remote with Options to travel as and when needed")</f>
        <v>Fully Remote with Options to travel as and when needed</v>
      </c>
      <c r="L786" s="1" t="str">
        <f ca="1">IFERROR(__xludf.DUMMYFUNCTION("""COMPUTED_VALUE"""),"Employer who appreciates learning and enables that environment")</f>
        <v>Employer who appreciates learning and enables that environment</v>
      </c>
      <c r="M78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86" s="1" t="str">
        <f ca="1">IFERROR(__xludf.DUMMYFUNCTION("""COMPUTED_VALUE"""),"Business Operations in any organization, Build and develop a Team, Design and Develop amazing software, Look deeply into Data and generate insights")</f>
        <v>Business Operations in any organization, Build and develop a Team, Design and Develop amazing software, Look deeply into Data and generate insights</v>
      </c>
      <c r="O786" s="1" t="str">
        <f ca="1">IFERROR(__xludf.DUMMYFUNCTION("""COMPUTED_VALUE"""),"Manager who explains what is expected, sets a goal and helps achieve it")</f>
        <v>Manager who explains what is expected, sets a goal and helps achieve it</v>
      </c>
      <c r="P786" s="1" t="str">
        <f ca="1">IFERROR(__xludf.DUMMYFUNCTION("""COMPUTED_VALUE"""),"Work with more than 10 people in my team")</f>
        <v>Work with more than 10 people in my team</v>
      </c>
      <c r="Q786" s="1" t="str">
        <f ca="1">IFERROR(__xludf.DUMMYFUNCTION("""COMPUTED_VALUE"""),"Yes, I Understand this is gonna happen everywhere")</f>
        <v>Yes, I Understand this is gonna happen everywhere</v>
      </c>
      <c r="R786" s="1" t="str">
        <f ca="1">IFERROR(__xludf.DUMMYFUNCTION("""COMPUTED_VALUE"""),"This will be hard to do, but if it is the right company I would try")</f>
        <v>This will be hard to do, but if it is the right company I would try</v>
      </c>
      <c r="S786" s="1"/>
    </row>
    <row r="787" spans="1:19" ht="12.5" x14ac:dyDescent="0.25">
      <c r="A787" s="2">
        <f ca="1">IFERROR(__xludf.DUMMYFUNCTION("""COMPUTED_VALUE"""),45022.6771887615)</f>
        <v>45022.677188761503</v>
      </c>
      <c r="B787" s="1" t="str">
        <f ca="1">IFERROR(__xludf.DUMMYFUNCTION("""COMPUTED_VALUE"""),"India")</f>
        <v>India</v>
      </c>
      <c r="C787" s="1">
        <f ca="1">IFERROR(__xludf.DUMMYFUNCTION("""COMPUTED_VALUE"""),380054)</f>
        <v>380054</v>
      </c>
      <c r="D787" s="1" t="str">
        <f ca="1">IFERROR(__xludf.DUMMYFUNCTION("""COMPUTED_VALUE"""),"Female")</f>
        <v>Female</v>
      </c>
      <c r="E787" s="1" t="str">
        <f ca="1">IFERROR(__xludf.DUMMYFUNCTION("""COMPUTED_VALUE"""),"People from my circle, but not family members")</f>
        <v>People from my circle, but not family members</v>
      </c>
      <c r="F787" s="1" t="str">
        <f ca="1">IFERROR(__xludf.DUMMYFUNCTION("""COMPUTED_VALUE"""),"Yes, I will earn and do that")</f>
        <v>Yes, I will earn and do that</v>
      </c>
      <c r="G787" s="1" t="str">
        <f ca="1">IFERROR(__xludf.DUMMYFUNCTION("""COMPUTED_VALUE"""),"Will work for 3 years or more")</f>
        <v>Will work for 3 years or more</v>
      </c>
      <c r="H787" s="1" t="str">
        <f ca="1">IFERROR(__xludf.DUMMYFUNCTION("""COMPUTED_VALUE"""),"Yes")</f>
        <v>Yes</v>
      </c>
      <c r="I787" s="1" t="str">
        <f ca="1">IFERROR(__xludf.DUMMYFUNCTION("""COMPUTED_VALUE"""),"Will NOT work for them")</f>
        <v>Will NOT work for them</v>
      </c>
      <c r="J787" s="1">
        <f ca="1">IFERROR(__xludf.DUMMYFUNCTION("""COMPUTED_VALUE"""),9)</f>
        <v>9</v>
      </c>
      <c r="K787" s="1" t="str">
        <f ca="1">IFERROR(__xludf.DUMMYFUNCTION("""COMPUTED_VALUE"""),"Hybrid Working Environment with more than 15 days a month at office")</f>
        <v>Hybrid Working Environment with more than 15 days a month at office</v>
      </c>
      <c r="L787" s="1" t="str">
        <f ca="1">IFERROR(__xludf.DUMMYFUNCTION("""COMPUTED_VALUE"""),"Employer who rewards learning and enables that environment")</f>
        <v>Employer who rewards learning and enables that environment</v>
      </c>
      <c r="M78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787" s="1" t="str">
        <f ca="1">IFERROR(__xludf.DUMMYFUNCTION("""COMPUTED_VALUE"""),"Business Operations in any organization, Manage and drive End-to-End Projects or Products, Build and develop a Team, I Want to sell things/Sales")</f>
        <v>Business Operations in any organization, Manage and drive End-to-End Projects or Products, Build and develop a Team, I Want to sell things/Sales</v>
      </c>
      <c r="O787" s="1" t="str">
        <f ca="1">IFERROR(__xludf.DUMMYFUNCTION("""COMPUTED_VALUE"""),"Manager who explains what is expected, sets a goal and helps achieve it")</f>
        <v>Manager who explains what is expected, sets a goal and helps achieve it</v>
      </c>
      <c r="P787" s="1" t="str">
        <f ca="1">IFERROR(__xludf.DUMMYFUNCTION("""COMPUTED_VALUE"""),"Work with 5 to 6 people in my team")</f>
        <v>Work with 5 to 6 people in my team</v>
      </c>
      <c r="Q787" s="1" t="str">
        <f ca="1">IFERROR(__xludf.DUMMYFUNCTION("""COMPUTED_VALUE"""),"I have NO other choice")</f>
        <v>I have NO other choice</v>
      </c>
      <c r="R787" s="1" t="str">
        <f ca="1">IFERROR(__xludf.DUMMYFUNCTION("""COMPUTED_VALUE"""),"This will be hard to do, but if it is the right company I would try")</f>
        <v>This will be hard to do, but if it is the right company I would try</v>
      </c>
      <c r="S787" s="1"/>
    </row>
    <row r="788" spans="1:19" ht="12.5" x14ac:dyDescent="0.25">
      <c r="A788" s="2">
        <f ca="1">IFERROR(__xludf.DUMMYFUNCTION("""COMPUTED_VALUE"""),45022.6776432638)</f>
        <v>45022.6776432638</v>
      </c>
      <c r="B788" s="1" t="str">
        <f ca="1">IFERROR(__xludf.DUMMYFUNCTION("""COMPUTED_VALUE"""),"India")</f>
        <v>India</v>
      </c>
      <c r="C788" s="1">
        <f ca="1">IFERROR(__xludf.DUMMYFUNCTION("""COMPUTED_VALUE"""),173212)</f>
        <v>173212</v>
      </c>
      <c r="D788" s="1" t="str">
        <f ca="1">IFERROR(__xludf.DUMMYFUNCTION("""COMPUTED_VALUE"""),"Male")</f>
        <v>Male</v>
      </c>
      <c r="E788" s="1" t="str">
        <f ca="1">IFERROR(__xludf.DUMMYFUNCTION("""COMPUTED_VALUE"""),"My Parents")</f>
        <v>My Parents</v>
      </c>
      <c r="F788" s="1" t="str">
        <f ca="1">IFERROR(__xludf.DUMMYFUNCTION("""COMPUTED_VALUE"""),"No I would not be pursuing Higher Education outside of India")</f>
        <v>No I would not be pursuing Higher Education outside of India</v>
      </c>
      <c r="G788" s="1" t="str">
        <f ca="1">IFERROR(__xludf.DUMMYFUNCTION("""COMPUTED_VALUE"""),"This will be hard to do, but if it is the right company I would try")</f>
        <v>This will be hard to do, but if it is the right company I would try</v>
      </c>
      <c r="H788" s="1" t="str">
        <f ca="1">IFERROR(__xludf.DUMMYFUNCTION("""COMPUTED_VALUE"""),"No")</f>
        <v>No</v>
      </c>
      <c r="I788" s="1" t="str">
        <f ca="1">IFERROR(__xludf.DUMMYFUNCTION("""COMPUTED_VALUE"""),"Will NOT work for them")</f>
        <v>Will NOT work for them</v>
      </c>
      <c r="J788" s="1">
        <f ca="1">IFERROR(__xludf.DUMMYFUNCTION("""COMPUTED_VALUE"""),5)</f>
        <v>5</v>
      </c>
      <c r="K788" s="1" t="str">
        <f ca="1">IFERROR(__xludf.DUMMYFUNCTION("""COMPUTED_VALUE"""),"Fully Remote with Options to travel as and when needed")</f>
        <v>Fully Remote with Options to travel as and when needed</v>
      </c>
      <c r="L7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8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88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788" s="1" t="str">
        <f ca="1">IFERROR(__xludf.DUMMYFUNCTION("""COMPUTED_VALUE"""),"Manager who explains what is expected, sets a goal and helps achieve it")</f>
        <v>Manager who explains what is expected, sets a goal and helps achieve it</v>
      </c>
      <c r="P788" s="1" t="str">
        <f ca="1">IFERROR(__xludf.DUMMYFUNCTION("""COMPUTED_VALUE"""),"Work with 2 to 3 people in my team")</f>
        <v>Work with 2 to 3 people in my team</v>
      </c>
      <c r="Q788" s="1" t="str">
        <f ca="1">IFERROR(__xludf.DUMMYFUNCTION("""COMPUTED_VALUE"""),"Yes, I Understand this is gonna happen everywhere")</f>
        <v>Yes, I Understand this is gonna happen everywhere</v>
      </c>
      <c r="R788" s="1" t="str">
        <f ca="1">IFERROR(__xludf.DUMMYFUNCTION("""COMPUTED_VALUE"""),"This will be hard to do, but if it is the right company I would try")</f>
        <v>This will be hard to do, but if it is the right company I would try</v>
      </c>
      <c r="S788" s="1"/>
    </row>
    <row r="789" spans="1:19" ht="12.5" x14ac:dyDescent="0.25">
      <c r="A789" s="2">
        <f ca="1">IFERROR(__xludf.DUMMYFUNCTION("""COMPUTED_VALUE"""),45022.6815000347)</f>
        <v>45022.681500034698</v>
      </c>
      <c r="B789" s="1" t="str">
        <f ca="1">IFERROR(__xludf.DUMMYFUNCTION("""COMPUTED_VALUE"""),"India")</f>
        <v>India</v>
      </c>
      <c r="C789" s="1">
        <f ca="1">IFERROR(__xludf.DUMMYFUNCTION("""COMPUTED_VALUE"""),507002)</f>
        <v>507002</v>
      </c>
      <c r="D789" s="1" t="str">
        <f ca="1">IFERROR(__xludf.DUMMYFUNCTION("""COMPUTED_VALUE"""),"Female")</f>
        <v>Female</v>
      </c>
      <c r="E789" s="1" t="str">
        <f ca="1">IFERROR(__xludf.DUMMYFUNCTION("""COMPUTED_VALUE"""),"People from my circle, but not family members")</f>
        <v>People from my circle, but not family members</v>
      </c>
      <c r="F789" s="1" t="str">
        <f ca="1">IFERROR(__xludf.DUMMYFUNCTION("""COMPUTED_VALUE"""),"No I would not be pursuing Higher Education outside of India")</f>
        <v>No I would not be pursuing Higher Education outside of India</v>
      </c>
      <c r="G789" s="1" t="str">
        <f ca="1">IFERROR(__xludf.DUMMYFUNCTION("""COMPUTED_VALUE"""),"Will work for 3 years or more")</f>
        <v>Will work for 3 years or more</v>
      </c>
      <c r="H789" s="1" t="str">
        <f ca="1">IFERROR(__xludf.DUMMYFUNCTION("""COMPUTED_VALUE"""),"Yes")</f>
        <v>Yes</v>
      </c>
      <c r="I789" s="1" t="str">
        <f ca="1">IFERROR(__xludf.DUMMYFUNCTION("""COMPUTED_VALUE"""),"Will NOT work for them")</f>
        <v>Will NOT work for them</v>
      </c>
      <c r="J789" s="1">
        <f ca="1">IFERROR(__xludf.DUMMYFUNCTION("""COMPUTED_VALUE"""),10)</f>
        <v>10</v>
      </c>
      <c r="K789" s="1" t="str">
        <f ca="1">IFERROR(__xludf.DUMMYFUNCTION("""COMPUTED_VALUE"""),"Fully Remote with No option to visit offices")</f>
        <v>Fully Remote with No option to visit offices</v>
      </c>
      <c r="L789" s="1" t="str">
        <f ca="1">IFERROR(__xludf.DUMMYFUNCTION("""COMPUTED_VALUE"""),"Employer who rewards learning and enables that environment")</f>
        <v>Employer who rewards learning and enables that environment</v>
      </c>
      <c r="M78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89" s="1" t="str">
        <f ca="1">IFERROR(__xludf.DUMMYFUNCTION("""COMPUTED_VALUE"""),"Business Operations in any organization, Manage and drive End-to-End Projects or Products, Work as a freelancer and do my thing my way, Entrepreneur or Start Up")</f>
        <v>Business Operations in any organization, Manage and drive End-to-End Projects or Products, Work as a freelancer and do my thing my way, Entrepreneur or Start Up</v>
      </c>
      <c r="O789" s="1" t="str">
        <f ca="1">IFERROR(__xludf.DUMMYFUNCTION("""COMPUTED_VALUE"""),"Manager who sets goal and helps me achieve it")</f>
        <v>Manager who sets goal and helps me achieve it</v>
      </c>
      <c r="P789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789" s="1" t="str">
        <f ca="1">IFERROR(__xludf.DUMMYFUNCTION("""COMPUTED_VALUE"""),"Yes, I Understand this is gonna happen everywhere")</f>
        <v>Yes, I Understand this is gonna happen everywhere</v>
      </c>
      <c r="R789" s="1" t="str">
        <f ca="1">IFERROR(__xludf.DUMMYFUNCTION("""COMPUTED_VALUE"""),"This will be hard to do, but if it is the right company I would try")</f>
        <v>This will be hard to do, but if it is the right company I would try</v>
      </c>
      <c r="S789" s="1"/>
    </row>
    <row r="790" spans="1:19" ht="12.5" x14ac:dyDescent="0.25">
      <c r="A790" s="2">
        <f ca="1">IFERROR(__xludf.DUMMYFUNCTION("""COMPUTED_VALUE"""),45022.685182662)</f>
        <v>45022.685182661997</v>
      </c>
      <c r="B790" s="1" t="str">
        <f ca="1">IFERROR(__xludf.DUMMYFUNCTION("""COMPUTED_VALUE"""),"India")</f>
        <v>India</v>
      </c>
      <c r="C790" s="1">
        <f ca="1">IFERROR(__xludf.DUMMYFUNCTION("""COMPUTED_VALUE"""),110001)</f>
        <v>110001</v>
      </c>
      <c r="D790" s="1" t="str">
        <f ca="1">IFERROR(__xludf.DUMMYFUNCTION("""COMPUTED_VALUE"""),"Female")</f>
        <v>Female</v>
      </c>
      <c r="E790" s="1" t="str">
        <f ca="1">IFERROR(__xludf.DUMMYFUNCTION("""COMPUTED_VALUE"""),"People who have changed the world for better")</f>
        <v>People who have changed the world for better</v>
      </c>
      <c r="F790" s="1" t="str">
        <f ca="1">IFERROR(__xludf.DUMMYFUNCTION("""COMPUTED_VALUE"""),"Yes, I will earn and do that")</f>
        <v>Yes, I will earn and do that</v>
      </c>
      <c r="G790" s="1" t="str">
        <f ca="1">IFERROR(__xludf.DUMMYFUNCTION("""COMPUTED_VALUE"""),"Will work for 3 years or more")</f>
        <v>Will work for 3 years or more</v>
      </c>
      <c r="H790" s="1" t="str">
        <f ca="1">IFERROR(__xludf.DUMMYFUNCTION("""COMPUTED_VALUE"""),"Yes")</f>
        <v>Yes</v>
      </c>
      <c r="I790" s="1" t="str">
        <f ca="1">IFERROR(__xludf.DUMMYFUNCTION("""COMPUTED_VALUE"""),"Will work for them")</f>
        <v>Will work for them</v>
      </c>
      <c r="J790" s="1">
        <f ca="1">IFERROR(__xludf.DUMMYFUNCTION("""COMPUTED_VALUE"""),1)</f>
        <v>1</v>
      </c>
      <c r="K790" s="1" t="str">
        <f ca="1">IFERROR(__xludf.DUMMYFUNCTION("""COMPUTED_VALUE"""),"Every Day Office Environment")</f>
        <v>Every Day Office Environment</v>
      </c>
      <c r="L790" s="1" t="str">
        <f ca="1">IFERROR(__xludf.DUMMYFUNCTION("""COMPUTED_VALUE"""),"Employer who rewards learning and enables that environment")</f>
        <v>Employer who rewards learning and enables that environment</v>
      </c>
      <c r="M79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90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790" s="1" t="str">
        <f ca="1">IFERROR(__xludf.DUMMYFUNCTION("""COMPUTED_VALUE"""),"Manager who sets goal and helps me achieve it")</f>
        <v>Manager who sets goal and helps me achieve it</v>
      </c>
      <c r="P790" s="1" t="str">
        <f ca="1">IFERROR(__xludf.DUMMYFUNCTION("""COMPUTED_VALUE"""),"Work with more than 10 people in my team")</f>
        <v>Work with more than 10 people in my team</v>
      </c>
      <c r="Q790" s="1" t="str">
        <f ca="1">IFERROR(__xludf.DUMMYFUNCTION("""COMPUTED_VALUE"""),"No")</f>
        <v>No</v>
      </c>
      <c r="R790" s="1" t="str">
        <f ca="1">IFERROR(__xludf.DUMMYFUNCTION("""COMPUTED_VALUE"""),"Will work for 7 years or more")</f>
        <v>Will work for 7 years or more</v>
      </c>
      <c r="S790" s="1"/>
    </row>
    <row r="791" spans="1:19" ht="12.5" x14ac:dyDescent="0.25">
      <c r="A791" s="2">
        <f ca="1">IFERROR(__xludf.DUMMYFUNCTION("""COMPUTED_VALUE"""),45022.6899167129)</f>
        <v>45022.689916712901</v>
      </c>
      <c r="B791" s="1" t="str">
        <f ca="1">IFERROR(__xludf.DUMMYFUNCTION("""COMPUTED_VALUE"""),"India")</f>
        <v>India</v>
      </c>
      <c r="C791" s="1">
        <f ca="1">IFERROR(__xludf.DUMMYFUNCTION("""COMPUTED_VALUE"""),500032)</f>
        <v>500032</v>
      </c>
      <c r="D791" s="1" t="str">
        <f ca="1">IFERROR(__xludf.DUMMYFUNCTION("""COMPUTED_VALUE"""),"Male")</f>
        <v>Male</v>
      </c>
      <c r="E791" s="1" t="str">
        <f ca="1">IFERROR(__xludf.DUMMYFUNCTION("""COMPUTED_VALUE"""),"People who have changed the world for better")</f>
        <v>People who have changed the world for better</v>
      </c>
      <c r="F791" s="1" t="str">
        <f ca="1">IFERROR(__xludf.DUMMYFUNCTION("""COMPUTED_VALUE"""),"Yes, I will earn and do that")</f>
        <v>Yes, I will earn and do that</v>
      </c>
      <c r="G791" s="1" t="str">
        <f ca="1">IFERROR(__xludf.DUMMYFUNCTION("""COMPUTED_VALUE"""),"Will work for 3 years or more")</f>
        <v>Will work for 3 years or more</v>
      </c>
      <c r="H791" s="1" t="str">
        <f ca="1">IFERROR(__xludf.DUMMYFUNCTION("""COMPUTED_VALUE"""),"No")</f>
        <v>No</v>
      </c>
      <c r="I791" s="1" t="str">
        <f ca="1">IFERROR(__xludf.DUMMYFUNCTION("""COMPUTED_VALUE"""),"Will NOT work for them")</f>
        <v>Will NOT work for them</v>
      </c>
      <c r="J791" s="1">
        <f ca="1">IFERROR(__xludf.DUMMYFUNCTION("""COMPUTED_VALUE"""),5)</f>
        <v>5</v>
      </c>
      <c r="K791" s="1" t="str">
        <f ca="1">IFERROR(__xludf.DUMMYFUNCTION("""COMPUTED_VALUE"""),"Hybrid Working Environment with more than 15 days a month at office")</f>
        <v>Hybrid Working Environment with more than 15 days a month at office</v>
      </c>
      <c r="L7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9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91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791" s="1" t="str">
        <f ca="1">IFERROR(__xludf.DUMMYFUNCTION("""COMPUTED_VALUE"""),"Manager who explains what is expected, sets a goal and helps achieve it")</f>
        <v>Manager who explains what is expected, sets a goal and helps achieve it</v>
      </c>
      <c r="P791" s="1" t="str">
        <f ca="1">IFERROR(__xludf.DUMMYFUNCTION("""COMPUTED_VALUE"""),"Work with 7 to 10 or more people in my team")</f>
        <v>Work with 7 to 10 or more people in my team</v>
      </c>
      <c r="Q791" s="1" t="str">
        <f ca="1">IFERROR(__xludf.DUMMYFUNCTION("""COMPUTED_VALUE"""),"Yes, I Understand this is gonna happen everywhere")</f>
        <v>Yes, I Understand this is gonna happen everywhere</v>
      </c>
      <c r="R791" s="1" t="str">
        <f ca="1">IFERROR(__xludf.DUMMYFUNCTION("""COMPUTED_VALUE"""),"This will be hard to do, but if it is the right company I would try")</f>
        <v>This will be hard to do, but if it is the right company I would try</v>
      </c>
      <c r="S791" s="1"/>
    </row>
    <row r="792" spans="1:19" ht="12.5" x14ac:dyDescent="0.25">
      <c r="A792" s="2">
        <f ca="1">IFERROR(__xludf.DUMMYFUNCTION("""COMPUTED_VALUE"""),45022.7095099652)</f>
        <v>45022.7095099652</v>
      </c>
      <c r="B792" s="1" t="str">
        <f ca="1">IFERROR(__xludf.DUMMYFUNCTION("""COMPUTED_VALUE"""),"India")</f>
        <v>India</v>
      </c>
      <c r="C792" s="1">
        <f ca="1">IFERROR(__xludf.DUMMYFUNCTION("""COMPUTED_VALUE"""),110059)</f>
        <v>110059</v>
      </c>
      <c r="D792" s="1" t="str">
        <f ca="1">IFERROR(__xludf.DUMMYFUNCTION("""COMPUTED_VALUE"""),"Female")</f>
        <v>Female</v>
      </c>
      <c r="E792" s="1" t="str">
        <f ca="1">IFERROR(__xludf.DUMMYFUNCTION("""COMPUTED_VALUE"""),"Influencers who had successful careers")</f>
        <v>Influencers who had successful careers</v>
      </c>
      <c r="F792" s="1" t="str">
        <f ca="1">IFERROR(__xludf.DUMMYFUNCTION("""COMPUTED_VALUE"""),"Yes, I will earn and do that")</f>
        <v>Yes, I will earn and do that</v>
      </c>
      <c r="G792" s="1" t="str">
        <f ca="1">IFERROR(__xludf.DUMMYFUNCTION("""COMPUTED_VALUE"""),"Will work for 3 years or more")</f>
        <v>Will work for 3 years or more</v>
      </c>
      <c r="H792" s="1" t="str">
        <f ca="1">IFERROR(__xludf.DUMMYFUNCTION("""COMPUTED_VALUE"""),"Yes")</f>
        <v>Yes</v>
      </c>
      <c r="I792" s="1" t="str">
        <f ca="1">IFERROR(__xludf.DUMMYFUNCTION("""COMPUTED_VALUE"""),"Will work for them")</f>
        <v>Will work for them</v>
      </c>
      <c r="J792" s="1">
        <f ca="1">IFERROR(__xludf.DUMMYFUNCTION("""COMPUTED_VALUE"""),10)</f>
        <v>10</v>
      </c>
      <c r="K792" s="1" t="str">
        <f ca="1">IFERROR(__xludf.DUMMYFUNCTION("""COMPUTED_VALUE"""),"Fully Remote with Options to travel as and when needed")</f>
        <v>Fully Remote with Options to travel as and when needed</v>
      </c>
      <c r="L792" s="1" t="str">
        <f ca="1">IFERROR(__xludf.DUMMYFUNCTION("""COMPUTED_VALUE"""),"Employer who rewards learning and enables that environment")</f>
        <v>Employer who rewards learning and enables that environment</v>
      </c>
      <c r="M79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792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792" s="1" t="str">
        <f ca="1">IFERROR(__xludf.DUMMYFUNCTION("""COMPUTED_VALUE"""),"Manager who explains what is expected, sets a goal and helps achieve it")</f>
        <v>Manager who explains what is expected, sets a goal and helps achieve it</v>
      </c>
      <c r="P792" s="1" t="str">
        <f ca="1">IFERROR(__xludf.DUMMYFUNCTION("""COMPUTED_VALUE"""),"Work alone, Work with 2 to 3 people in my team")</f>
        <v>Work alone, Work with 2 to 3 people in my team</v>
      </c>
      <c r="Q792" s="1" t="str">
        <f ca="1">IFERROR(__xludf.DUMMYFUNCTION("""COMPUTED_VALUE"""),"Yes, I Understand this is gonna happen everywhere")</f>
        <v>Yes, I Understand this is gonna happen everywhere</v>
      </c>
      <c r="R792" s="1" t="str">
        <f ca="1">IFERROR(__xludf.DUMMYFUNCTION("""COMPUTED_VALUE"""),"This will be hard to do, but if it is the right company I would try")</f>
        <v>This will be hard to do, but if it is the right company I would try</v>
      </c>
      <c r="S792" s="1"/>
    </row>
    <row r="793" spans="1:19" ht="12.5" x14ac:dyDescent="0.25">
      <c r="A793" s="2">
        <f ca="1">IFERROR(__xludf.DUMMYFUNCTION("""COMPUTED_VALUE"""),45022.7134775347)</f>
        <v>45022.7134775347</v>
      </c>
      <c r="B793" s="1" t="str">
        <f ca="1">IFERROR(__xludf.DUMMYFUNCTION("""COMPUTED_VALUE"""),"India")</f>
        <v>India</v>
      </c>
      <c r="C793" s="1">
        <f ca="1">IFERROR(__xludf.DUMMYFUNCTION("""COMPUTED_VALUE"""),110063)</f>
        <v>110063</v>
      </c>
      <c r="D793" s="1" t="str">
        <f ca="1">IFERROR(__xludf.DUMMYFUNCTION("""COMPUTED_VALUE"""),"Male")</f>
        <v>Male</v>
      </c>
      <c r="E793" s="1" t="str">
        <f ca="1">IFERROR(__xludf.DUMMYFUNCTION("""COMPUTED_VALUE"""),"My Parents")</f>
        <v>My Parents</v>
      </c>
      <c r="F793" s="1" t="str">
        <f ca="1">IFERROR(__xludf.DUMMYFUNCTION("""COMPUTED_VALUE"""),"Yes, I will earn and do that")</f>
        <v>Yes, I will earn and do that</v>
      </c>
      <c r="G793" s="1" t="str">
        <f ca="1">IFERROR(__xludf.DUMMYFUNCTION("""COMPUTED_VALUE"""),"Will work for 3 years or more")</f>
        <v>Will work for 3 years or more</v>
      </c>
      <c r="H793" s="1" t="str">
        <f ca="1">IFERROR(__xludf.DUMMYFUNCTION("""COMPUTED_VALUE"""),"Yes")</f>
        <v>Yes</v>
      </c>
      <c r="I793" s="1" t="str">
        <f ca="1">IFERROR(__xludf.DUMMYFUNCTION("""COMPUTED_VALUE"""),"Will work for them")</f>
        <v>Will work for them</v>
      </c>
      <c r="J793" s="1">
        <f ca="1">IFERROR(__xludf.DUMMYFUNCTION("""COMPUTED_VALUE"""),3)</f>
        <v>3</v>
      </c>
      <c r="K793" s="1" t="str">
        <f ca="1">IFERROR(__xludf.DUMMYFUNCTION("""COMPUTED_VALUE"""),"Hybrid Working Environment with less than 3 days a month at office")</f>
        <v>Hybrid Working Environment with less than 3 days a month at office</v>
      </c>
      <c r="L793" s="1" t="str">
        <f ca="1">IFERROR(__xludf.DUMMYFUNCTION("""COMPUTED_VALUE"""),"Employer who appreciates learning and enables that environment")</f>
        <v>Employer who appreciates learning and enables that environment</v>
      </c>
      <c r="M79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793" s="1" t="str">
        <f ca="1">IFERROR(__xludf.DUMMYFUNCTION("""COMPUTED_VALUE"""),"Teaching in any of the institutes/colleges/online or offline, Build and develop a Team, Look deeply into Data and generate insights, Become a content Creator in some platform")</f>
        <v>Teaching in any of the institutes/colleges/online or offline, Build and develop a Team, Look deeply into Data and generate insights, Become a content Creator in some platform</v>
      </c>
      <c r="O793" s="1" t="str">
        <f ca="1">IFERROR(__xludf.DUMMYFUNCTION("""COMPUTED_VALUE"""),"Manager who sets targets and expects me to achieve it")</f>
        <v>Manager who sets targets and expects me to achieve it</v>
      </c>
      <c r="P793" s="1" t="str">
        <f ca="1">IFERROR(__xludf.DUMMYFUNCTION("""COMPUTED_VALUE"""),"Work with 7 to 10 or more people in my team")</f>
        <v>Work with 7 to 10 or more people in my team</v>
      </c>
      <c r="Q793" s="1" t="str">
        <f ca="1">IFERROR(__xludf.DUMMYFUNCTION("""COMPUTED_VALUE"""),"Yes, I Understand this is gonna happen everywhere")</f>
        <v>Yes, I Understand this is gonna happen everywhere</v>
      </c>
      <c r="R793" s="1" t="str">
        <f ca="1">IFERROR(__xludf.DUMMYFUNCTION("""COMPUTED_VALUE"""),"No way")</f>
        <v>No way</v>
      </c>
      <c r="S793" s="1"/>
    </row>
    <row r="794" spans="1:19" ht="12.5" x14ac:dyDescent="0.25">
      <c r="A794" s="2">
        <f ca="1">IFERROR(__xludf.DUMMYFUNCTION("""COMPUTED_VALUE"""),45022.715279375)</f>
        <v>45022.715279374999</v>
      </c>
      <c r="B794" s="1" t="str">
        <f ca="1">IFERROR(__xludf.DUMMYFUNCTION("""COMPUTED_VALUE"""),"India")</f>
        <v>India</v>
      </c>
      <c r="C794" s="1">
        <f ca="1">IFERROR(__xludf.DUMMYFUNCTION("""COMPUTED_VALUE"""),380007)</f>
        <v>380007</v>
      </c>
      <c r="D794" s="1" t="str">
        <f ca="1">IFERROR(__xludf.DUMMYFUNCTION("""COMPUTED_VALUE"""),"Female")</f>
        <v>Female</v>
      </c>
      <c r="E794" s="1" t="str">
        <f ca="1">IFERROR(__xludf.DUMMYFUNCTION("""COMPUTED_VALUE"""),"My Parents")</f>
        <v>My Parents</v>
      </c>
      <c r="F794" s="1" t="str">
        <f ca="1">IFERROR(__xludf.DUMMYFUNCTION("""COMPUTED_VALUE"""),"No I would not be pursuing Higher Education outside of India")</f>
        <v>No I would not be pursuing Higher Education outside of India</v>
      </c>
      <c r="G794" s="1" t="str">
        <f ca="1">IFERROR(__xludf.DUMMYFUNCTION("""COMPUTED_VALUE"""),"This will be hard to do, but if it is the right company I would try")</f>
        <v>This will be hard to do, but if it is the right company I would try</v>
      </c>
      <c r="H794" s="1" t="str">
        <f ca="1">IFERROR(__xludf.DUMMYFUNCTION("""COMPUTED_VALUE"""),"No")</f>
        <v>No</v>
      </c>
      <c r="I794" s="1" t="str">
        <f ca="1">IFERROR(__xludf.DUMMYFUNCTION("""COMPUTED_VALUE"""),"Will NOT work for them")</f>
        <v>Will NOT work for them</v>
      </c>
      <c r="J794" s="1">
        <f ca="1">IFERROR(__xludf.DUMMYFUNCTION("""COMPUTED_VALUE"""),2)</f>
        <v>2</v>
      </c>
      <c r="K794" s="1" t="str">
        <f ca="1">IFERROR(__xludf.DUMMYFUNCTION("""COMPUTED_VALUE"""),"Every Day Office Environment")</f>
        <v>Every Day Office Environment</v>
      </c>
      <c r="L794" s="1" t="str">
        <f ca="1">IFERROR(__xludf.DUMMYFUNCTION("""COMPUTED_VALUE"""),"Employer who rewards learning and enables that environment")</f>
        <v>Employer who rewards learning and enables that environment</v>
      </c>
      <c r="M79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794" s="1" t="str">
        <f ca="1">IFERROR(__xludf.DUMMYFUNCTION("""COMPUTED_VALUE"""),"Design and Creative strategy in any company, Business Operations in any organization, Look deeply into Data and generate insights, I Want to sell things/Sales")</f>
        <v>Design and Creative strategy in any company, Business Operations in any organization, Look deeply into Data and generate insights, I Want to sell things/Sales</v>
      </c>
      <c r="O794" s="1" t="str">
        <f ca="1">IFERROR(__xludf.DUMMYFUNCTION("""COMPUTED_VALUE"""),"Manager who clearly describes what she/he needs")</f>
        <v>Manager who clearly describes what she/he needs</v>
      </c>
      <c r="P794" s="1" t="str">
        <f ca="1">IFERROR(__xludf.DUMMYFUNCTION("""COMPUTED_VALUE"""),"Work with 5 to 6 people in my team")</f>
        <v>Work with 5 to 6 people in my team</v>
      </c>
      <c r="Q794" s="1" t="str">
        <f ca="1">IFERROR(__xludf.DUMMYFUNCTION("""COMPUTED_VALUE"""),"No")</f>
        <v>No</v>
      </c>
      <c r="R794" s="1" t="str">
        <f ca="1">IFERROR(__xludf.DUMMYFUNCTION("""COMPUTED_VALUE"""),"No way")</f>
        <v>No way</v>
      </c>
      <c r="S794" s="1"/>
    </row>
    <row r="795" spans="1:19" ht="12.5" x14ac:dyDescent="0.25">
      <c r="A795" s="2">
        <f ca="1">IFERROR(__xludf.DUMMYFUNCTION("""COMPUTED_VALUE"""),45022.7185759722)</f>
        <v>45022.718575972198</v>
      </c>
      <c r="B795" s="1" t="str">
        <f ca="1">IFERROR(__xludf.DUMMYFUNCTION("""COMPUTED_VALUE"""),"India")</f>
        <v>India</v>
      </c>
      <c r="C795" s="1">
        <f ca="1">IFERROR(__xludf.DUMMYFUNCTION("""COMPUTED_VALUE"""),500032)</f>
        <v>500032</v>
      </c>
      <c r="D795" s="1" t="str">
        <f ca="1">IFERROR(__xludf.DUMMYFUNCTION("""COMPUTED_VALUE"""),"Male")</f>
        <v>Male</v>
      </c>
      <c r="E795" s="1" t="str">
        <f ca="1">IFERROR(__xludf.DUMMYFUNCTION("""COMPUTED_VALUE"""),"My Parents")</f>
        <v>My Parents</v>
      </c>
      <c r="F795" s="1" t="str">
        <f ca="1">IFERROR(__xludf.DUMMYFUNCTION("""COMPUTED_VALUE"""),"No, But if someone could bare the cost I will")</f>
        <v>No, But if someone could bare the cost I will</v>
      </c>
      <c r="G795" s="1" t="str">
        <f ca="1">IFERROR(__xludf.DUMMYFUNCTION("""COMPUTED_VALUE"""),"Will work for 3 years or more")</f>
        <v>Will work for 3 years or more</v>
      </c>
      <c r="H795" s="1" t="str">
        <f ca="1">IFERROR(__xludf.DUMMYFUNCTION("""COMPUTED_VALUE"""),"Yes")</f>
        <v>Yes</v>
      </c>
      <c r="I795" s="1" t="str">
        <f ca="1">IFERROR(__xludf.DUMMYFUNCTION("""COMPUTED_VALUE"""),"Will work for them")</f>
        <v>Will work for them</v>
      </c>
      <c r="J795" s="1">
        <f ca="1">IFERROR(__xludf.DUMMYFUNCTION("""COMPUTED_VALUE"""),8)</f>
        <v>8</v>
      </c>
      <c r="K795" s="1" t="str">
        <f ca="1">IFERROR(__xludf.DUMMYFUNCTION("""COMPUTED_VALUE"""),"Fully Remote with No option to visit offices")</f>
        <v>Fully Remote with No option to visit offices</v>
      </c>
      <c r="L7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95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795" s="1" t="str">
        <f ca="1">IFERROR(__xludf.DUMMYFUNCTION("""COMPUTED_VALUE"""),"Teaching in any of the institutes/colleges/online or offline, Business Operations in any organization, Work in a BPO setup for some well known client, Work as a freelancer and do my thing my way")</f>
        <v>Teaching in any of the institutes/colleges/online or offline, Business Operations in any organization, Work in a BPO setup for some well known client, Work as a freelancer and do my thing my way</v>
      </c>
      <c r="O795" s="1" t="str">
        <f ca="1">IFERROR(__xludf.DUMMYFUNCTION("""COMPUTED_VALUE"""),"Manager who clearly describes what she/he needs")</f>
        <v>Manager who clearly describes what she/he needs</v>
      </c>
      <c r="P795" s="1" t="str">
        <f ca="1">IFERROR(__xludf.DUMMYFUNCTION("""COMPUTED_VALUE"""),"Work with 5 to 6 people in my team")</f>
        <v>Work with 5 to 6 people in my team</v>
      </c>
      <c r="Q795" s="1" t="str">
        <f ca="1">IFERROR(__xludf.DUMMYFUNCTION("""COMPUTED_VALUE"""),"Yes, I Understand this is gonna happen everywhere")</f>
        <v>Yes, I Understand this is gonna happen everywhere</v>
      </c>
      <c r="R795" s="1" t="str">
        <f ca="1">IFERROR(__xludf.DUMMYFUNCTION("""COMPUTED_VALUE"""),"Will work for 7 years or more")</f>
        <v>Will work for 7 years or more</v>
      </c>
      <c r="S795" s="1"/>
    </row>
    <row r="796" spans="1:19" ht="12.5" x14ac:dyDescent="0.25">
      <c r="A796" s="2">
        <f ca="1">IFERROR(__xludf.DUMMYFUNCTION("""COMPUTED_VALUE"""),45022.7253363773)</f>
        <v>45022.725336377298</v>
      </c>
      <c r="B796" s="1" t="str">
        <f ca="1">IFERROR(__xludf.DUMMYFUNCTION("""COMPUTED_VALUE"""),"India")</f>
        <v>India</v>
      </c>
      <c r="C796" s="1">
        <f ca="1">IFERROR(__xludf.DUMMYFUNCTION("""COMPUTED_VALUE"""),507002)</f>
        <v>507002</v>
      </c>
      <c r="D796" s="1" t="str">
        <f ca="1">IFERROR(__xludf.DUMMYFUNCTION("""COMPUTED_VALUE"""),"Female")</f>
        <v>Female</v>
      </c>
      <c r="E796" s="1" t="str">
        <f ca="1">IFERROR(__xludf.DUMMYFUNCTION("""COMPUTED_VALUE"""),"People who have changed the world for better")</f>
        <v>People who have changed the world for better</v>
      </c>
      <c r="F796" s="1" t="str">
        <f ca="1">IFERROR(__xludf.DUMMYFUNCTION("""COMPUTED_VALUE"""),"Yes, I will earn and do that")</f>
        <v>Yes, I will earn and do that</v>
      </c>
      <c r="G796" s="1" t="str">
        <f ca="1">IFERROR(__xludf.DUMMYFUNCTION("""COMPUTED_VALUE"""),"Will work for 3 years or more")</f>
        <v>Will work for 3 years or more</v>
      </c>
      <c r="H796" s="1" t="str">
        <f ca="1">IFERROR(__xludf.DUMMYFUNCTION("""COMPUTED_VALUE"""),"Yes")</f>
        <v>Yes</v>
      </c>
      <c r="I796" s="1" t="str">
        <f ca="1">IFERROR(__xludf.DUMMYFUNCTION("""COMPUTED_VALUE"""),"Will work for them")</f>
        <v>Will work for them</v>
      </c>
      <c r="J796" s="1">
        <f ca="1">IFERROR(__xludf.DUMMYFUNCTION("""COMPUTED_VALUE"""),7)</f>
        <v>7</v>
      </c>
      <c r="K796" s="1" t="str">
        <f ca="1">IFERROR(__xludf.DUMMYFUNCTION("""COMPUTED_VALUE"""),"Every Day Office Environment")</f>
        <v>Every Day Office Environment</v>
      </c>
      <c r="L7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9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796" s="1" t="str">
        <f ca="1">IFERROR(__xludf.DUMMYFUNCTION("""COMPUTED_VALUE"""),"Design and Creative strategy in any company, Manage and drive End-to-End Projects or Products, Work as a freelancer and do my thing my way, Entrepreneur or Start Up")</f>
        <v>Design and Creative strategy in any company, Manage and drive End-to-End Projects or Products, Work as a freelancer and do my thing my way, Entrepreneur or Start Up</v>
      </c>
      <c r="O796" s="1" t="str">
        <f ca="1">IFERROR(__xludf.DUMMYFUNCTION("""COMPUTED_VALUE"""),"Manager who clearly describes what she/he needs")</f>
        <v>Manager who clearly describes what she/he needs</v>
      </c>
      <c r="P796" s="1" t="str">
        <f ca="1">IFERROR(__xludf.DUMMYFUNCTION("""COMPUTED_VALUE"""),"Work alone, Work with 2 to 3 people in my team")</f>
        <v>Work alone, Work with 2 to 3 people in my team</v>
      </c>
      <c r="Q796" s="1" t="str">
        <f ca="1">IFERROR(__xludf.DUMMYFUNCTION("""COMPUTED_VALUE"""),"Yes, I Understand this is gonna happen everywhere")</f>
        <v>Yes, I Understand this is gonna happen everywhere</v>
      </c>
      <c r="R796" s="1" t="str">
        <f ca="1">IFERROR(__xludf.DUMMYFUNCTION("""COMPUTED_VALUE"""),"This will be hard to do, but if it is the right company I would try")</f>
        <v>This will be hard to do, but if it is the right company I would try</v>
      </c>
      <c r="S796" s="1"/>
    </row>
    <row r="797" spans="1:19" ht="12.5" x14ac:dyDescent="0.25">
      <c r="A797" s="2">
        <f ca="1">IFERROR(__xludf.DUMMYFUNCTION("""COMPUTED_VALUE"""),45022.7329243402)</f>
        <v>45022.732924340198</v>
      </c>
      <c r="B797" s="1" t="str">
        <f ca="1">IFERROR(__xludf.DUMMYFUNCTION("""COMPUTED_VALUE"""),"India")</f>
        <v>India</v>
      </c>
      <c r="C797" s="1">
        <f ca="1">IFERROR(__xludf.DUMMYFUNCTION("""COMPUTED_VALUE"""),641035)</f>
        <v>641035</v>
      </c>
      <c r="D797" s="1" t="str">
        <f ca="1">IFERROR(__xludf.DUMMYFUNCTION("""COMPUTED_VALUE"""),"Male")</f>
        <v>Male</v>
      </c>
      <c r="E797" s="1" t="str">
        <f ca="1">IFERROR(__xludf.DUMMYFUNCTION("""COMPUTED_VALUE"""),"Influencers who had successful careers")</f>
        <v>Influencers who had successful careers</v>
      </c>
      <c r="F797" s="1" t="str">
        <f ca="1">IFERROR(__xludf.DUMMYFUNCTION("""COMPUTED_VALUE"""),"No I would not be pursuing Higher Education outside of India")</f>
        <v>No I would not be pursuing Higher Education outside of India</v>
      </c>
      <c r="G797" s="1" t="str">
        <f ca="1">IFERROR(__xludf.DUMMYFUNCTION("""COMPUTED_VALUE"""),"This will be hard to do, but if it is the right company I would try")</f>
        <v>This will be hard to do, but if it is the right company I would try</v>
      </c>
      <c r="H797" s="1" t="str">
        <f ca="1">IFERROR(__xludf.DUMMYFUNCTION("""COMPUTED_VALUE"""),"No")</f>
        <v>No</v>
      </c>
      <c r="I797" s="1" t="str">
        <f ca="1">IFERROR(__xludf.DUMMYFUNCTION("""COMPUTED_VALUE"""),"Will work for them")</f>
        <v>Will work for them</v>
      </c>
      <c r="J797" s="1">
        <f ca="1">IFERROR(__xludf.DUMMYFUNCTION("""COMPUTED_VALUE"""),3)</f>
        <v>3</v>
      </c>
      <c r="K797" s="1" t="str">
        <f ca="1">IFERROR(__xludf.DUMMYFUNCTION("""COMPUTED_VALUE"""),"Hybrid Working Environment with less than 3 days a month at office")</f>
        <v>Hybrid Working Environment with less than 3 days a month at office</v>
      </c>
      <c r="L797" s="1" t="str">
        <f ca="1">IFERROR(__xludf.DUMMYFUNCTION("""COMPUTED_VALUE"""),"Employer who appreciates learning and enables that environment")</f>
        <v>Employer who appreciates learning and enables that environment</v>
      </c>
      <c r="M79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97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797" s="1" t="str">
        <f ca="1">IFERROR(__xludf.DUMMYFUNCTION("""COMPUTED_VALUE"""),"Manager who sets goal and helps me achieve it")</f>
        <v>Manager who sets goal and helps me achieve it</v>
      </c>
      <c r="P797" s="1" t="str">
        <f ca="1">IFERROR(__xludf.DUMMYFUNCTION("""COMPUTED_VALUE"""),"Work with more than 10 people in my team")</f>
        <v>Work with more than 10 people in my team</v>
      </c>
      <c r="Q797" s="1" t="str">
        <f ca="1">IFERROR(__xludf.DUMMYFUNCTION("""COMPUTED_VALUE"""),"Yes, I Understand this is gonna happen everywhere")</f>
        <v>Yes, I Understand this is gonna happen everywhere</v>
      </c>
      <c r="R797" s="1" t="str">
        <f ca="1">IFERROR(__xludf.DUMMYFUNCTION("""COMPUTED_VALUE"""),"This will be hard to do, but if it is the right company I would try")</f>
        <v>This will be hard to do, but if it is the right company I would try</v>
      </c>
      <c r="S797" s="1"/>
    </row>
    <row r="798" spans="1:19" ht="12.5" x14ac:dyDescent="0.25">
      <c r="A798" s="2">
        <f ca="1">IFERROR(__xludf.DUMMYFUNCTION("""COMPUTED_VALUE"""),45022.7389106365)</f>
        <v>45022.738910636501</v>
      </c>
      <c r="B798" s="1" t="str">
        <f ca="1">IFERROR(__xludf.DUMMYFUNCTION("""COMPUTED_VALUE"""),"India")</f>
        <v>India</v>
      </c>
      <c r="C798" s="1">
        <f ca="1">IFERROR(__xludf.DUMMYFUNCTION("""COMPUTED_VALUE"""),380058)</f>
        <v>380058</v>
      </c>
      <c r="D798" s="1" t="str">
        <f ca="1">IFERROR(__xludf.DUMMYFUNCTION("""COMPUTED_VALUE"""),"Female")</f>
        <v>Female</v>
      </c>
      <c r="E798" s="1" t="str">
        <f ca="1">IFERROR(__xludf.DUMMYFUNCTION("""COMPUTED_VALUE"""),"My Parents")</f>
        <v>My Parents</v>
      </c>
      <c r="F798" s="1" t="str">
        <f ca="1">IFERROR(__xludf.DUMMYFUNCTION("""COMPUTED_VALUE"""),"No I would not be pursuing Higher Education outside of India")</f>
        <v>No I would not be pursuing Higher Education outside of India</v>
      </c>
      <c r="G798" s="1" t="str">
        <f ca="1">IFERROR(__xludf.DUMMYFUNCTION("""COMPUTED_VALUE"""),"This will be hard to do, but if it is the right company I would try")</f>
        <v>This will be hard to do, but if it is the right company I would try</v>
      </c>
      <c r="H798" s="1" t="str">
        <f ca="1">IFERROR(__xludf.DUMMYFUNCTION("""COMPUTED_VALUE"""),"No")</f>
        <v>No</v>
      </c>
      <c r="I798" s="1" t="str">
        <f ca="1">IFERROR(__xludf.DUMMYFUNCTION("""COMPUTED_VALUE"""),"Will NOT work for them")</f>
        <v>Will NOT work for them</v>
      </c>
      <c r="J798" s="1">
        <f ca="1">IFERROR(__xludf.DUMMYFUNCTION("""COMPUTED_VALUE"""),1)</f>
        <v>1</v>
      </c>
      <c r="K798" s="1" t="str">
        <f ca="1">IFERROR(__xludf.DUMMYFUNCTION("""COMPUTED_VALUE"""),"Every Day Office Environment")</f>
        <v>Every Day Office Environment</v>
      </c>
      <c r="L798" s="1" t="str">
        <f ca="1">IFERROR(__xludf.DUMMYFUNCTION("""COMPUTED_VALUE"""),"Employer who appreciates learning and enables that environment")</f>
        <v>Employer who appreciates learning and enables that environment</v>
      </c>
      <c r="M79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798" s="1" t="str">
        <f ca="1">IFERROR(__xludf.DUMMYFUNCTION("""COMPUTED_VALUE"""),"Design and Creative strategy in any company, Teaching in any of the institutes/colleges/online or offline, Work as a freelancer and do my thing my way, Entrepreneur or Start Up")</f>
        <v>Design and Creative strategy in any company, Teaching in any of the institutes/colleges/online or offline, Work as a freelancer and do my thing my way, Entrepreneur or Start Up</v>
      </c>
      <c r="O798" s="1" t="str">
        <f ca="1">IFERROR(__xludf.DUMMYFUNCTION("""COMPUTED_VALUE"""),"Manager who sets goal and helps me achieve it")</f>
        <v>Manager who sets goal and helps me achieve it</v>
      </c>
      <c r="P798" s="1" t="str">
        <f ca="1">IFERROR(__xludf.DUMMYFUNCTION("""COMPUTED_VALUE"""),"Work with 5 to 6 people in my team")</f>
        <v>Work with 5 to 6 people in my team</v>
      </c>
      <c r="Q798" s="1" t="str">
        <f ca="1">IFERROR(__xludf.DUMMYFUNCTION("""COMPUTED_VALUE"""),"Yes, I Understand this is gonna happen everywhere")</f>
        <v>Yes, I Understand this is gonna happen everywhere</v>
      </c>
      <c r="R798" s="1" t="str">
        <f ca="1">IFERROR(__xludf.DUMMYFUNCTION("""COMPUTED_VALUE"""),"No way")</f>
        <v>No way</v>
      </c>
      <c r="S798" s="1"/>
    </row>
    <row r="799" spans="1:19" ht="12.5" x14ac:dyDescent="0.25">
      <c r="A799" s="2">
        <f ca="1">IFERROR(__xludf.DUMMYFUNCTION("""COMPUTED_VALUE"""),45022.7458083101)</f>
        <v>45022.745808310101</v>
      </c>
      <c r="B799" s="1" t="str">
        <f ca="1">IFERROR(__xludf.DUMMYFUNCTION("""COMPUTED_VALUE"""),"India")</f>
        <v>India</v>
      </c>
      <c r="C799" s="1">
        <f ca="1">IFERROR(__xludf.DUMMYFUNCTION("""COMPUTED_VALUE"""),382330)</f>
        <v>382330</v>
      </c>
      <c r="D799" s="1" t="str">
        <f ca="1">IFERROR(__xludf.DUMMYFUNCTION("""COMPUTED_VALUE"""),"Male")</f>
        <v>Male</v>
      </c>
      <c r="E799" s="1" t="str">
        <f ca="1">IFERROR(__xludf.DUMMYFUNCTION("""COMPUTED_VALUE"""),"People who have changed the world for better")</f>
        <v>People who have changed the world for better</v>
      </c>
      <c r="F799" s="1" t="str">
        <f ca="1">IFERROR(__xludf.DUMMYFUNCTION("""COMPUTED_VALUE"""),"Yes, I will earn and do that")</f>
        <v>Yes, I will earn and do that</v>
      </c>
      <c r="G799" s="1" t="str">
        <f ca="1">IFERROR(__xludf.DUMMYFUNCTION("""COMPUTED_VALUE"""),"This will be hard to do, but if it is the right company I would try")</f>
        <v>This will be hard to do, but if it is the right company I would try</v>
      </c>
      <c r="H799" s="1" t="str">
        <f ca="1">IFERROR(__xludf.DUMMYFUNCTION("""COMPUTED_VALUE"""),"No")</f>
        <v>No</v>
      </c>
      <c r="I799" s="1" t="str">
        <f ca="1">IFERROR(__xludf.DUMMYFUNCTION("""COMPUTED_VALUE"""),"Will NOT work for them")</f>
        <v>Will NOT work for them</v>
      </c>
      <c r="J799" s="1">
        <f ca="1">IFERROR(__xludf.DUMMYFUNCTION("""COMPUTED_VALUE"""),9)</f>
        <v>9</v>
      </c>
      <c r="K799" s="1" t="str">
        <f ca="1">IFERROR(__xludf.DUMMYFUNCTION("""COMPUTED_VALUE"""),"Every Day Office Environment")</f>
        <v>Every Day Office Environment</v>
      </c>
      <c r="L7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79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799" s="1" t="str">
        <f ca="1">IFERROR(__xludf.DUMMYFUNCTION("""COMPUTED_VALUE"""),"Teaching in any of the institutes/colleges/online or offline, Build and develop a Team, Entrepreneur or Start Up, An Artificial Intelligence Specialist / Talking to Robots")</f>
        <v>Teaching in any of the institutes/colleges/online or offline, Build and develop a Team, Entrepreneur or Start Up, An Artificial Intelligence Specialist / Talking to Robots</v>
      </c>
      <c r="O799" s="1" t="str">
        <f ca="1">IFERROR(__xludf.DUMMYFUNCTION("""COMPUTED_VALUE"""),"Manager who sets goal and helps me achieve it")</f>
        <v>Manager who sets goal and helps me achieve it</v>
      </c>
      <c r="P799" s="1" t="str">
        <f ca="1">IFERROR(__xludf.DUMMYFUNCTION("""COMPUTED_VALUE"""),"Work with 2 to 3 people in my team")</f>
        <v>Work with 2 to 3 people in my team</v>
      </c>
      <c r="Q799" s="1" t="str">
        <f ca="1">IFERROR(__xludf.DUMMYFUNCTION("""COMPUTED_VALUE"""),"Yes")</f>
        <v>Yes</v>
      </c>
      <c r="R799" s="1" t="str">
        <f ca="1">IFERROR(__xludf.DUMMYFUNCTION("""COMPUTED_VALUE"""),"No way")</f>
        <v>No way</v>
      </c>
      <c r="S799" s="1"/>
    </row>
    <row r="800" spans="1:19" ht="12.5" x14ac:dyDescent="0.25">
      <c r="A800" s="2">
        <f ca="1">IFERROR(__xludf.DUMMYFUNCTION("""COMPUTED_VALUE"""),45022.7498213541)</f>
        <v>45022.749821354097</v>
      </c>
      <c r="B800" s="1" t="str">
        <f ca="1">IFERROR(__xludf.DUMMYFUNCTION("""COMPUTED_VALUE"""),"India")</f>
        <v>India</v>
      </c>
      <c r="C800" s="1">
        <f ca="1">IFERROR(__xludf.DUMMYFUNCTION("""COMPUTED_VALUE"""),621214)</f>
        <v>621214</v>
      </c>
      <c r="D800" s="1" t="str">
        <f ca="1">IFERROR(__xludf.DUMMYFUNCTION("""COMPUTED_VALUE"""),"Male")</f>
        <v>Male</v>
      </c>
      <c r="E800" s="1" t="str">
        <f ca="1">IFERROR(__xludf.DUMMYFUNCTION("""COMPUTED_VALUE"""),"People who have changed the world for better")</f>
        <v>People who have changed the world for better</v>
      </c>
      <c r="F800" s="1" t="str">
        <f ca="1">IFERROR(__xludf.DUMMYFUNCTION("""COMPUTED_VALUE"""),"Yes, I will earn and do that")</f>
        <v>Yes, I will earn and do that</v>
      </c>
      <c r="G800" s="1" t="str">
        <f ca="1">IFERROR(__xludf.DUMMYFUNCTION("""COMPUTED_VALUE"""),"This will be hard to do, but if it is the right company I would try")</f>
        <v>This will be hard to do, but if it is the right company I would try</v>
      </c>
      <c r="H800" s="1" t="str">
        <f ca="1">IFERROR(__xludf.DUMMYFUNCTION("""COMPUTED_VALUE"""),"No")</f>
        <v>No</v>
      </c>
      <c r="I800" s="1" t="str">
        <f ca="1">IFERROR(__xludf.DUMMYFUNCTION("""COMPUTED_VALUE"""),"Will NOT work for them")</f>
        <v>Will NOT work for them</v>
      </c>
      <c r="J800" s="1">
        <f ca="1">IFERROR(__xludf.DUMMYFUNCTION("""COMPUTED_VALUE"""),1)</f>
        <v>1</v>
      </c>
      <c r="K800" s="1" t="str">
        <f ca="1">IFERROR(__xludf.DUMMYFUNCTION("""COMPUTED_VALUE"""),"Every Day Office Environment")</f>
        <v>Every Day Office Environment</v>
      </c>
      <c r="L8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0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800" s="1" t="str">
        <f ca="1">IFERROR(__xludf.DUMMYFUNCTION("""COMPUTED_VALUE"""),"Teaching in any of the institutes/colleges/online or offline, Business Operations in any organization, Build and develop a Team, Become a content Creator in some platform")</f>
        <v>Teaching in any of the institutes/colleges/online or offline, Business Operations in any organization, Build and develop a Team, Become a content Creator in some platform</v>
      </c>
      <c r="O800" s="1" t="str">
        <f ca="1">IFERROR(__xludf.DUMMYFUNCTION("""COMPUTED_VALUE"""),"Manager who explains what is expected, sets a goal and helps achieve it")</f>
        <v>Manager who explains what is expected, sets a goal and helps achieve it</v>
      </c>
      <c r="P800" s="1" t="str">
        <f ca="1">IFERROR(__xludf.DUMMYFUNCTION("""COMPUTED_VALUE"""),"Work alone")</f>
        <v>Work alone</v>
      </c>
      <c r="Q800" s="1" t="str">
        <f ca="1">IFERROR(__xludf.DUMMYFUNCTION("""COMPUTED_VALUE"""),"Yes, I Understand this is gonna happen everywhere")</f>
        <v>Yes, I Understand this is gonna happen everywhere</v>
      </c>
      <c r="R800" s="1" t="str">
        <f ca="1">IFERROR(__xludf.DUMMYFUNCTION("""COMPUTED_VALUE"""),"This will be hard to do, but if it is the right company I would try")</f>
        <v>This will be hard to do, but if it is the right company I would try</v>
      </c>
      <c r="S800" s="1"/>
    </row>
    <row r="801" spans="1:19" ht="12.5" x14ac:dyDescent="0.25">
      <c r="A801" s="2">
        <f ca="1">IFERROR(__xludf.DUMMYFUNCTION("""COMPUTED_VALUE"""),45022.756032118)</f>
        <v>45022.756032117999</v>
      </c>
      <c r="B801" s="1" t="str">
        <f ca="1">IFERROR(__xludf.DUMMYFUNCTION("""COMPUTED_VALUE"""),"India")</f>
        <v>India</v>
      </c>
      <c r="C801" s="1">
        <f ca="1">IFERROR(__xludf.DUMMYFUNCTION("""COMPUTED_VALUE"""),110077)</f>
        <v>110077</v>
      </c>
      <c r="D801" s="1" t="str">
        <f ca="1">IFERROR(__xludf.DUMMYFUNCTION("""COMPUTED_VALUE"""),"Female")</f>
        <v>Female</v>
      </c>
      <c r="E801" s="1" t="str">
        <f ca="1">IFERROR(__xludf.DUMMYFUNCTION("""COMPUTED_VALUE"""),"My Parents")</f>
        <v>My Parents</v>
      </c>
      <c r="F801" s="1" t="str">
        <f ca="1">IFERROR(__xludf.DUMMYFUNCTION("""COMPUTED_VALUE"""),"No I would not be pursuing Higher Education outside of India")</f>
        <v>No I would not be pursuing Higher Education outside of India</v>
      </c>
      <c r="G801" s="1" t="str">
        <f ca="1">IFERROR(__xludf.DUMMYFUNCTION("""COMPUTED_VALUE"""),"Will work for 3 years or more")</f>
        <v>Will work for 3 years or more</v>
      </c>
      <c r="H801" s="1" t="str">
        <f ca="1">IFERROR(__xludf.DUMMYFUNCTION("""COMPUTED_VALUE"""),"No")</f>
        <v>No</v>
      </c>
      <c r="I801" s="1" t="str">
        <f ca="1">IFERROR(__xludf.DUMMYFUNCTION("""COMPUTED_VALUE"""),"Will NOT work for them")</f>
        <v>Will NOT work for them</v>
      </c>
      <c r="J801" s="1">
        <f ca="1">IFERROR(__xludf.DUMMYFUNCTION("""COMPUTED_VALUE"""),6)</f>
        <v>6</v>
      </c>
      <c r="K801" s="1" t="str">
        <f ca="1">IFERROR(__xludf.DUMMYFUNCTION("""COMPUTED_VALUE"""),"Hybrid Working Environment with more than 15 days a month at office")</f>
        <v>Hybrid Working Environment with more than 15 days a month at office</v>
      </c>
      <c r="L8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0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01" s="1" t="str">
        <f ca="1">IFERROR(__xludf.DUMMYFUNCTION("""COMPUTED_VALUE"""),"Design and Creative strategy in any company, Teaching in any of the institutes/colleges/online or offline, Work in a BPO setup for some well known client, Become a content Creator in some platform")</f>
        <v>Design and Creative strategy in any company, Teaching in any of the institutes/colleges/online or offline, Work in a BPO setup for some well known client, Become a content Creator in some platform</v>
      </c>
      <c r="O801" s="1" t="str">
        <f ca="1">IFERROR(__xludf.DUMMYFUNCTION("""COMPUTED_VALUE"""),"Manager who sets targets and expects me to achieve it")</f>
        <v>Manager who sets targets and expects me to achieve it</v>
      </c>
      <c r="P801" s="1" t="str">
        <f ca="1">IFERROR(__xludf.DUMMYFUNCTION("""COMPUTED_VALUE"""),"Work alone, Work with 5 to 6 people in my team")</f>
        <v>Work alone, Work with 5 to 6 people in my team</v>
      </c>
      <c r="Q801" s="1" t="str">
        <f ca="1">IFERROR(__xludf.DUMMYFUNCTION("""COMPUTED_VALUE"""),"No")</f>
        <v>No</v>
      </c>
      <c r="R801" s="1" t="str">
        <f ca="1">IFERROR(__xludf.DUMMYFUNCTION("""COMPUTED_VALUE"""),"Will work for 7 years or more")</f>
        <v>Will work for 7 years or more</v>
      </c>
      <c r="S801" s="1"/>
    </row>
    <row r="802" spans="1:19" ht="12.5" x14ac:dyDescent="0.25">
      <c r="A802" s="2">
        <f ca="1">IFERROR(__xludf.DUMMYFUNCTION("""COMPUTED_VALUE"""),45022.7584979976)</f>
        <v>45022.758497997602</v>
      </c>
      <c r="B802" s="1" t="str">
        <f ca="1">IFERROR(__xludf.DUMMYFUNCTION("""COMPUTED_VALUE"""),"India")</f>
        <v>India</v>
      </c>
      <c r="C802" s="1">
        <f ca="1">IFERROR(__xludf.DUMMYFUNCTION("""COMPUTED_VALUE"""),522101)</f>
        <v>522101</v>
      </c>
      <c r="D802" s="1" t="str">
        <f ca="1">IFERROR(__xludf.DUMMYFUNCTION("""COMPUTED_VALUE"""),"Female")</f>
        <v>Female</v>
      </c>
      <c r="E802" s="1" t="str">
        <f ca="1">IFERROR(__xludf.DUMMYFUNCTION("""COMPUTED_VALUE"""),"People who have changed the world for better")</f>
        <v>People who have changed the world for better</v>
      </c>
      <c r="F802" s="1" t="str">
        <f ca="1">IFERROR(__xludf.DUMMYFUNCTION("""COMPUTED_VALUE"""),"No I would not be pursuing Higher Education outside of India")</f>
        <v>No I would not be pursuing Higher Education outside of India</v>
      </c>
      <c r="G802" s="1" t="str">
        <f ca="1">IFERROR(__xludf.DUMMYFUNCTION("""COMPUTED_VALUE"""),"This will be hard to do, but if it is the right company I would try")</f>
        <v>This will be hard to do, but if it is the right company I would try</v>
      </c>
      <c r="H802" s="1" t="str">
        <f ca="1">IFERROR(__xludf.DUMMYFUNCTION("""COMPUTED_VALUE"""),"No")</f>
        <v>No</v>
      </c>
      <c r="I802" s="1" t="str">
        <f ca="1">IFERROR(__xludf.DUMMYFUNCTION("""COMPUTED_VALUE"""),"Will NOT work for them")</f>
        <v>Will NOT work for them</v>
      </c>
      <c r="J802" s="1">
        <f ca="1">IFERROR(__xludf.DUMMYFUNCTION("""COMPUTED_VALUE"""),5)</f>
        <v>5</v>
      </c>
      <c r="K802" s="1" t="str">
        <f ca="1">IFERROR(__xludf.DUMMYFUNCTION("""COMPUTED_VALUE"""),"Fully Remote with No option to visit offices")</f>
        <v>Fully Remote with No option to visit offices</v>
      </c>
      <c r="L8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0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02" s="1" t="str">
        <f ca="1">IFERROR(__xludf.DUMMYFUNCTION("""COMPUTED_VALUE"""),"Design and Creative strategy in any company, Teaching in any of the institutes/colleges/online or offline, Design and Develop amazing software, Work as a freelancer and do my thing my way")</f>
        <v>Design and Creative strategy in any company, Teaching in any of the institutes/colleges/online or offline, Design and Develop amazing software, Work as a freelancer and do my thing my way</v>
      </c>
      <c r="O802" s="1" t="str">
        <f ca="1">IFERROR(__xludf.DUMMYFUNCTION("""COMPUTED_VALUE"""),"Manager who clearly describes what she/he needs")</f>
        <v>Manager who clearly describes what she/he needs</v>
      </c>
      <c r="P802" s="1" t="str">
        <f ca="1">IFERROR(__xludf.DUMMYFUNCTION("""COMPUTED_VALUE"""),"Work with 2 to 3 people in my team, Work with 5 to 6 people in my team")</f>
        <v>Work with 2 to 3 people in my team, Work with 5 to 6 people in my team</v>
      </c>
      <c r="Q802" s="1" t="str">
        <f ca="1">IFERROR(__xludf.DUMMYFUNCTION("""COMPUTED_VALUE"""),"Yes, I Understand this is gonna happen everywhere")</f>
        <v>Yes, I Understand this is gonna happen everywhere</v>
      </c>
      <c r="R802" s="1" t="str">
        <f ca="1">IFERROR(__xludf.DUMMYFUNCTION("""COMPUTED_VALUE"""),"This will be hard to do, but if it is the right company I would try")</f>
        <v>This will be hard to do, but if it is the right company I would try</v>
      </c>
      <c r="S802" s="1"/>
    </row>
    <row r="803" spans="1:19" ht="12.5" x14ac:dyDescent="0.25">
      <c r="A803" s="2">
        <f ca="1">IFERROR(__xludf.DUMMYFUNCTION("""COMPUTED_VALUE"""),45022.7604213888)</f>
        <v>45022.760421388797</v>
      </c>
      <c r="B803" s="1" t="str">
        <f ca="1">IFERROR(__xludf.DUMMYFUNCTION("""COMPUTED_VALUE"""),"India")</f>
        <v>India</v>
      </c>
      <c r="C803" s="1">
        <f ca="1">IFERROR(__xludf.DUMMYFUNCTION("""COMPUTED_VALUE"""),500097)</f>
        <v>500097</v>
      </c>
      <c r="D803" s="1" t="str">
        <f ca="1">IFERROR(__xludf.DUMMYFUNCTION("""COMPUTED_VALUE"""),"Male")</f>
        <v>Male</v>
      </c>
      <c r="E803" s="1" t="str">
        <f ca="1">IFERROR(__xludf.DUMMYFUNCTION("""COMPUTED_VALUE"""),"Social Media like LinkedIn")</f>
        <v>Social Media like LinkedIn</v>
      </c>
      <c r="F803" s="1" t="str">
        <f ca="1">IFERROR(__xludf.DUMMYFUNCTION("""COMPUTED_VALUE"""),"Yes, I will earn and do that")</f>
        <v>Yes, I will earn and do that</v>
      </c>
      <c r="G803" s="1" t="str">
        <f ca="1">IFERROR(__xludf.DUMMYFUNCTION("""COMPUTED_VALUE"""),"This will be hard to do, but if it is the right company I would try")</f>
        <v>This will be hard to do, but if it is the right company I would try</v>
      </c>
      <c r="H803" s="1" t="str">
        <f ca="1">IFERROR(__xludf.DUMMYFUNCTION("""COMPUTED_VALUE"""),"No")</f>
        <v>No</v>
      </c>
      <c r="I803" s="1" t="str">
        <f ca="1">IFERROR(__xludf.DUMMYFUNCTION("""COMPUTED_VALUE"""),"Will NOT work for them")</f>
        <v>Will NOT work for them</v>
      </c>
      <c r="J803" s="1">
        <f ca="1">IFERROR(__xludf.DUMMYFUNCTION("""COMPUTED_VALUE"""),10)</f>
        <v>10</v>
      </c>
      <c r="K803" s="1" t="str">
        <f ca="1">IFERROR(__xludf.DUMMYFUNCTION("""COMPUTED_VALUE"""),"Hybrid Working Environment with more than 15 days a month at office")</f>
        <v>Hybrid Working Environment with more than 15 days a month at office</v>
      </c>
      <c r="L8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0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03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803" s="1" t="str">
        <f ca="1">IFERROR(__xludf.DUMMYFUNCTION("""COMPUTED_VALUE"""),"Manager who explains what is expected, sets a goal and helps achieve it")</f>
        <v>Manager who explains what is expected, sets a goal and helps achieve it</v>
      </c>
      <c r="P803" s="1" t="str">
        <f ca="1">IFERROR(__xludf.DUMMYFUNCTION("""COMPUTED_VALUE"""),"Work alone, Work with 2 to 3 people in my team, Work with more than 10 people in my team")</f>
        <v>Work alone, Work with 2 to 3 people in my team, Work with more than 10 people in my team</v>
      </c>
      <c r="Q803" s="1" t="str">
        <f ca="1">IFERROR(__xludf.DUMMYFUNCTION("""COMPUTED_VALUE"""),"Yes, I Understand this is gonna happen everywhere")</f>
        <v>Yes, I Understand this is gonna happen everywhere</v>
      </c>
      <c r="R803" s="1" t="str">
        <f ca="1">IFERROR(__xludf.DUMMYFUNCTION("""COMPUTED_VALUE"""),"This will be hard to do, but if it is the right company I would try")</f>
        <v>This will be hard to do, but if it is the right company I would try</v>
      </c>
      <c r="S803" s="1"/>
    </row>
    <row r="804" spans="1:19" ht="12.5" x14ac:dyDescent="0.25">
      <c r="A804" s="2">
        <f ca="1">IFERROR(__xludf.DUMMYFUNCTION("""COMPUTED_VALUE"""),45022.7608049537)</f>
        <v>45022.760804953701</v>
      </c>
      <c r="B804" s="1" t="str">
        <f ca="1">IFERROR(__xludf.DUMMYFUNCTION("""COMPUTED_VALUE"""),"India")</f>
        <v>India</v>
      </c>
      <c r="C804" s="1">
        <f ca="1">IFERROR(__xludf.DUMMYFUNCTION("""COMPUTED_VALUE"""),500086)</f>
        <v>500086</v>
      </c>
      <c r="D804" s="1" t="str">
        <f ca="1">IFERROR(__xludf.DUMMYFUNCTION("""COMPUTED_VALUE"""),"Female")</f>
        <v>Female</v>
      </c>
      <c r="E804" s="1" t="str">
        <f ca="1">IFERROR(__xludf.DUMMYFUNCTION("""COMPUTED_VALUE"""),"My Parents")</f>
        <v>My Parents</v>
      </c>
      <c r="F804" s="1" t="str">
        <f ca="1">IFERROR(__xludf.DUMMYFUNCTION("""COMPUTED_VALUE"""),"No I would not be pursuing Higher Education outside of India")</f>
        <v>No I would not be pursuing Higher Education outside of India</v>
      </c>
      <c r="G804" s="1" t="str">
        <f ca="1">IFERROR(__xludf.DUMMYFUNCTION("""COMPUTED_VALUE"""),"This will be hard to do, but if it is the right company I would try")</f>
        <v>This will be hard to do, but if it is the right company I would try</v>
      </c>
      <c r="H804" s="1" t="str">
        <f ca="1">IFERROR(__xludf.DUMMYFUNCTION("""COMPUTED_VALUE"""),"No")</f>
        <v>No</v>
      </c>
      <c r="I804" s="1" t="str">
        <f ca="1">IFERROR(__xludf.DUMMYFUNCTION("""COMPUTED_VALUE"""),"Will NOT work for them")</f>
        <v>Will NOT work for them</v>
      </c>
      <c r="J804" s="1">
        <f ca="1">IFERROR(__xludf.DUMMYFUNCTION("""COMPUTED_VALUE"""),4)</f>
        <v>4</v>
      </c>
      <c r="K804" s="1" t="str">
        <f ca="1">IFERROR(__xludf.DUMMYFUNCTION("""COMPUTED_VALUE"""),"Fully Remote with Options to travel as and when needed")</f>
        <v>Fully Remote with Options to travel as and when needed</v>
      </c>
      <c r="L8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0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04" s="1" t="str">
        <f ca="1">IFERROR(__xludf.DUMMYFUNCTION("""COMPUTED_VALUE"""),"Manage and drive End-to-End Projects or Products, Build and develop a Team, Look deeply into Data and generate insights, Become a content Creator in some platform")</f>
        <v>Manage and drive End-to-End Projects or Products, Build and develop a Team, Look deeply into Data and generate insights, Become a content Creator in some platform</v>
      </c>
      <c r="O804" s="1" t="str">
        <f ca="1">IFERROR(__xludf.DUMMYFUNCTION("""COMPUTED_VALUE"""),"Manager who explains what is expected, sets a goal and helps achieve it")</f>
        <v>Manager who explains what is expected, sets a goal and helps achieve it</v>
      </c>
      <c r="P804" s="1" t="str">
        <f ca="1">IFERROR(__xludf.DUMMYFUNCTION("""COMPUTED_VALUE"""),"Work with 5 to 6 people in my team")</f>
        <v>Work with 5 to 6 people in my team</v>
      </c>
      <c r="Q804" s="1" t="str">
        <f ca="1">IFERROR(__xludf.DUMMYFUNCTION("""COMPUTED_VALUE"""),"No")</f>
        <v>No</v>
      </c>
      <c r="R804" s="1" t="str">
        <f ca="1">IFERROR(__xludf.DUMMYFUNCTION("""COMPUTED_VALUE"""),"No way")</f>
        <v>No way</v>
      </c>
      <c r="S804" s="1"/>
    </row>
    <row r="805" spans="1:19" ht="12.5" x14ac:dyDescent="0.25">
      <c r="A805" s="2">
        <f ca="1">IFERROR(__xludf.DUMMYFUNCTION("""COMPUTED_VALUE"""),45022.7613984143)</f>
        <v>45022.761398414303</v>
      </c>
      <c r="B805" s="1" t="str">
        <f ca="1">IFERROR(__xludf.DUMMYFUNCTION("""COMPUTED_VALUE"""),"India")</f>
        <v>India</v>
      </c>
      <c r="C805" s="1">
        <f ca="1">IFERROR(__xludf.DUMMYFUNCTION("""COMPUTED_VALUE"""),623525)</f>
        <v>623525</v>
      </c>
      <c r="D805" s="1" t="str">
        <f ca="1">IFERROR(__xludf.DUMMYFUNCTION("""COMPUTED_VALUE"""),"Female")</f>
        <v>Female</v>
      </c>
      <c r="E805" s="1" t="str">
        <f ca="1">IFERROR(__xludf.DUMMYFUNCTION("""COMPUTED_VALUE"""),"Social Media like LinkedIn")</f>
        <v>Social Media like LinkedIn</v>
      </c>
      <c r="F805" s="1" t="str">
        <f ca="1">IFERROR(__xludf.DUMMYFUNCTION("""COMPUTED_VALUE"""),"No I would not be pursuing Higher Education outside of India")</f>
        <v>No I would not be pursuing Higher Education outside of India</v>
      </c>
      <c r="G805" s="1" t="str">
        <f ca="1">IFERROR(__xludf.DUMMYFUNCTION("""COMPUTED_VALUE"""),"This will be hard to do, but if it is the right company I would try")</f>
        <v>This will be hard to do, but if it is the right company I would try</v>
      </c>
      <c r="H805" s="1" t="str">
        <f ca="1">IFERROR(__xludf.DUMMYFUNCTION("""COMPUTED_VALUE"""),"No")</f>
        <v>No</v>
      </c>
      <c r="I805" s="1" t="str">
        <f ca="1">IFERROR(__xludf.DUMMYFUNCTION("""COMPUTED_VALUE"""),"Will NOT work for them")</f>
        <v>Will NOT work for them</v>
      </c>
      <c r="J805" s="1">
        <f ca="1">IFERROR(__xludf.DUMMYFUNCTION("""COMPUTED_VALUE"""),1)</f>
        <v>1</v>
      </c>
      <c r="K805" s="1" t="str">
        <f ca="1">IFERROR(__xludf.DUMMYFUNCTION("""COMPUTED_VALUE"""),"Every Day Office Environment")</f>
        <v>Every Day Office Environment</v>
      </c>
      <c r="L805" s="1" t="str">
        <f ca="1">IFERROR(__xludf.DUMMYFUNCTION("""COMPUTED_VALUE"""),"Employer who appreciates learning and enables that environment")</f>
        <v>Employer who appreciates learning and enables that environment</v>
      </c>
      <c r="M80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805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805" s="1" t="str">
        <f ca="1">IFERROR(__xludf.DUMMYFUNCTION("""COMPUTED_VALUE"""),"Manager who explains what is expected, sets a goal and helps achieve it")</f>
        <v>Manager who explains what is expected, sets a goal and helps achieve it</v>
      </c>
      <c r="P805" s="1" t="str">
        <f ca="1">IFERROR(__xludf.DUMMYFUNCTION("""COMPUTED_VALUE"""),"Work with more than 10 people in my team")</f>
        <v>Work with more than 10 people in my team</v>
      </c>
      <c r="Q805" s="1" t="str">
        <f ca="1">IFERROR(__xludf.DUMMYFUNCTION("""COMPUTED_VALUE"""),"Yes, I Understand this is gonna happen everywhere")</f>
        <v>Yes, I Understand this is gonna happen everywhere</v>
      </c>
      <c r="R805" s="1" t="str">
        <f ca="1">IFERROR(__xludf.DUMMYFUNCTION("""COMPUTED_VALUE"""),"This will be hard to do, but if it is the right company I would try")</f>
        <v>This will be hard to do, but if it is the right company I would try</v>
      </c>
      <c r="S805" s="1"/>
    </row>
    <row r="806" spans="1:19" ht="12.5" x14ac:dyDescent="0.25">
      <c r="A806" s="2">
        <f ca="1">IFERROR(__xludf.DUMMYFUNCTION("""COMPUTED_VALUE"""),45022.7726913425)</f>
        <v>45022.772691342499</v>
      </c>
      <c r="B806" s="1" t="str">
        <f ca="1">IFERROR(__xludf.DUMMYFUNCTION("""COMPUTED_VALUE"""),"Others")</f>
        <v>Others</v>
      </c>
      <c r="C806" s="1">
        <f ca="1">IFERROR(__xludf.DUMMYFUNCTION("""COMPUTED_VALUE"""),522236)</f>
        <v>522236</v>
      </c>
      <c r="D806" s="1" t="str">
        <f ca="1">IFERROR(__xludf.DUMMYFUNCTION("""COMPUTED_VALUE"""),"Male")</f>
        <v>Male</v>
      </c>
      <c r="E806" s="1" t="str">
        <f ca="1">IFERROR(__xludf.DUMMYFUNCTION("""COMPUTED_VALUE"""),"Influencers who had successful careers")</f>
        <v>Influencers who had successful careers</v>
      </c>
      <c r="F806" s="1" t="str">
        <f ca="1">IFERROR(__xludf.DUMMYFUNCTION("""COMPUTED_VALUE"""),"Yes, I will earn and do that")</f>
        <v>Yes, I will earn and do that</v>
      </c>
      <c r="G806" s="1" t="str">
        <f ca="1">IFERROR(__xludf.DUMMYFUNCTION("""COMPUTED_VALUE"""),"Will work for 3 years or more")</f>
        <v>Will work for 3 years or more</v>
      </c>
      <c r="H806" s="1" t="str">
        <f ca="1">IFERROR(__xludf.DUMMYFUNCTION("""COMPUTED_VALUE"""),"Yes")</f>
        <v>Yes</v>
      </c>
      <c r="I806" s="1" t="str">
        <f ca="1">IFERROR(__xludf.DUMMYFUNCTION("""COMPUTED_VALUE"""),"Will work for them")</f>
        <v>Will work for them</v>
      </c>
      <c r="J806" s="1">
        <f ca="1">IFERROR(__xludf.DUMMYFUNCTION("""COMPUTED_VALUE"""),10)</f>
        <v>10</v>
      </c>
      <c r="K806" s="1" t="str">
        <f ca="1">IFERROR(__xludf.DUMMYFUNCTION("""COMPUTED_VALUE"""),"Fully Remote with Options to travel as and when needed")</f>
        <v>Fully Remote with Options to travel as and when needed</v>
      </c>
      <c r="L8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0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806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806" s="1" t="str">
        <f ca="1">IFERROR(__xludf.DUMMYFUNCTION("""COMPUTED_VALUE"""),"Manager who sets targets and expects me to achieve it")</f>
        <v>Manager who sets targets and expects me to achieve it</v>
      </c>
      <c r="P806" s="1" t="str">
        <f ca="1">IFERROR(__xludf.DUMMYFUNCTION("""COMPUTED_VALUE"""),"Work with 7 to 10 or more people in my team")</f>
        <v>Work with 7 to 10 or more people in my team</v>
      </c>
      <c r="Q806" s="1" t="str">
        <f ca="1">IFERROR(__xludf.DUMMYFUNCTION("""COMPUTED_VALUE"""),"Yes")</f>
        <v>Yes</v>
      </c>
      <c r="R806" s="1" t="str">
        <f ca="1">IFERROR(__xludf.DUMMYFUNCTION("""COMPUTED_VALUE"""),"Will work for 7 years or more")</f>
        <v>Will work for 7 years or more</v>
      </c>
      <c r="S806" s="1"/>
    </row>
    <row r="807" spans="1:19" ht="12.5" x14ac:dyDescent="0.25">
      <c r="A807" s="2">
        <f ca="1">IFERROR(__xludf.DUMMYFUNCTION("""COMPUTED_VALUE"""),45022.7751719213)</f>
        <v>45022.775171921297</v>
      </c>
      <c r="B807" s="1" t="str">
        <f ca="1">IFERROR(__xludf.DUMMYFUNCTION("""COMPUTED_VALUE"""),"India")</f>
        <v>India</v>
      </c>
      <c r="C807" s="1">
        <f ca="1">IFERROR(__xludf.DUMMYFUNCTION("""COMPUTED_VALUE"""),522101)</f>
        <v>522101</v>
      </c>
      <c r="D807" s="1" t="str">
        <f ca="1">IFERROR(__xludf.DUMMYFUNCTION("""COMPUTED_VALUE"""),"Female")</f>
        <v>Female</v>
      </c>
      <c r="E807" s="1" t="str">
        <f ca="1">IFERROR(__xludf.DUMMYFUNCTION("""COMPUTED_VALUE"""),"People from my circle, but not family members")</f>
        <v>People from my circle, but not family members</v>
      </c>
      <c r="F807" s="1" t="str">
        <f ca="1">IFERROR(__xludf.DUMMYFUNCTION("""COMPUTED_VALUE"""),"No, But if someone could bare the cost I will")</f>
        <v>No, But if someone could bare the cost I will</v>
      </c>
      <c r="G807" s="1" t="str">
        <f ca="1">IFERROR(__xludf.DUMMYFUNCTION("""COMPUTED_VALUE"""),"Will work for 3 years or more")</f>
        <v>Will work for 3 years or more</v>
      </c>
      <c r="H807" s="1" t="str">
        <f ca="1">IFERROR(__xludf.DUMMYFUNCTION("""COMPUTED_VALUE"""),"Yes")</f>
        <v>Yes</v>
      </c>
      <c r="I807" s="1" t="str">
        <f ca="1">IFERROR(__xludf.DUMMYFUNCTION("""COMPUTED_VALUE"""),"Will work for them")</f>
        <v>Will work for them</v>
      </c>
      <c r="J807" s="1">
        <f ca="1">IFERROR(__xludf.DUMMYFUNCTION("""COMPUTED_VALUE"""),7)</f>
        <v>7</v>
      </c>
      <c r="K807" s="1" t="str">
        <f ca="1">IFERROR(__xludf.DUMMYFUNCTION("""COMPUTED_VALUE"""),"Hybrid Working Environment with more than 15 days a month at office")</f>
        <v>Hybrid Working Environment with more than 15 days a month at office</v>
      </c>
      <c r="L807" s="1" t="str">
        <f ca="1">IFERROR(__xludf.DUMMYFUNCTION("""COMPUTED_VALUE"""),"Employer who appreciates learning and enables that environment")</f>
        <v>Employer who appreciates learning and enables that environment</v>
      </c>
      <c r="M80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07" s="1" t="str">
        <f ca="1">IFERROR(__xludf.DUMMYFUNCTION("""COMPUTED_VALUE"""),"Manage and drive End-to-End Projects or Products, Build and develop a Team, Look deeply into Data and generate insights, I Want to sell things/Sales")</f>
        <v>Manage and drive End-to-End Projects or Products, Build and develop a Team, Look deeply into Data and generate insights, I Want to sell things/Sales</v>
      </c>
      <c r="O807" s="1" t="str">
        <f ca="1">IFERROR(__xludf.DUMMYFUNCTION("""COMPUTED_VALUE"""),"Manager who sets goal and helps me achieve it")</f>
        <v>Manager who sets goal and helps me achieve it</v>
      </c>
      <c r="P807" s="1" t="str">
        <f ca="1">IFERROR(__xludf.DUMMYFUNCTION("""COMPUTED_VALUE"""),"Work with 5 to 6 people in my team")</f>
        <v>Work with 5 to 6 people in my team</v>
      </c>
      <c r="Q807" s="1" t="str">
        <f ca="1">IFERROR(__xludf.DUMMYFUNCTION("""COMPUTED_VALUE"""),"Yes, I Understand this is gonna happen everywhere")</f>
        <v>Yes, I Understand this is gonna happen everywhere</v>
      </c>
      <c r="R807" s="1" t="str">
        <f ca="1">IFERROR(__xludf.DUMMYFUNCTION("""COMPUTED_VALUE"""),"This will be hard to do, but if it is the right company I would try")</f>
        <v>This will be hard to do, but if it is the right company I would try</v>
      </c>
      <c r="S807" s="1"/>
    </row>
    <row r="808" spans="1:19" ht="12.5" x14ac:dyDescent="0.25">
      <c r="A808" s="2">
        <f ca="1">IFERROR(__xludf.DUMMYFUNCTION("""COMPUTED_VALUE"""),45022.7763347569)</f>
        <v>45022.776334756898</v>
      </c>
      <c r="B808" s="1" t="str">
        <f ca="1">IFERROR(__xludf.DUMMYFUNCTION("""COMPUTED_VALUE"""),"India")</f>
        <v>India</v>
      </c>
      <c r="C808" s="1">
        <f ca="1">IFERROR(__xludf.DUMMYFUNCTION("""COMPUTED_VALUE"""),411060)</f>
        <v>411060</v>
      </c>
      <c r="D808" s="1" t="str">
        <f ca="1">IFERROR(__xludf.DUMMYFUNCTION("""COMPUTED_VALUE"""),"Female")</f>
        <v>Female</v>
      </c>
      <c r="E808" s="1" t="str">
        <f ca="1">IFERROR(__xludf.DUMMYFUNCTION("""COMPUTED_VALUE"""),"People from my circle, but not family members")</f>
        <v>People from my circle, but not family members</v>
      </c>
      <c r="F808" s="1" t="str">
        <f ca="1">IFERROR(__xludf.DUMMYFUNCTION("""COMPUTED_VALUE"""),"No, But if someone could bare the cost I will")</f>
        <v>No, But if someone could bare the cost I will</v>
      </c>
      <c r="G808" s="1" t="str">
        <f ca="1">IFERROR(__xludf.DUMMYFUNCTION("""COMPUTED_VALUE"""),"This will be hard to do, but if it is the right company I would try")</f>
        <v>This will be hard to do, but if it is the right company I would try</v>
      </c>
      <c r="H808" s="1" t="str">
        <f ca="1">IFERROR(__xludf.DUMMYFUNCTION("""COMPUTED_VALUE"""),"No")</f>
        <v>No</v>
      </c>
      <c r="I808" s="1" t="str">
        <f ca="1">IFERROR(__xludf.DUMMYFUNCTION("""COMPUTED_VALUE"""),"Will NOT work for them")</f>
        <v>Will NOT work for them</v>
      </c>
      <c r="J808" s="1">
        <f ca="1">IFERROR(__xludf.DUMMYFUNCTION("""COMPUTED_VALUE"""),7)</f>
        <v>7</v>
      </c>
      <c r="K808" s="1" t="str">
        <f ca="1">IFERROR(__xludf.DUMMYFUNCTION("""COMPUTED_VALUE"""),"Fully Remote with Options to travel as and when needed")</f>
        <v>Fully Remote with Options to travel as and when needed</v>
      </c>
      <c r="L808" s="1" t="str">
        <f ca="1">IFERROR(__xludf.DUMMYFUNCTION("""COMPUTED_VALUE"""),"Employer who appreciates learning and enables that environment")</f>
        <v>Employer who appreciates learning and enables that environment</v>
      </c>
      <c r="M80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0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808" s="1" t="str">
        <f ca="1">IFERROR(__xludf.DUMMYFUNCTION("""COMPUTED_VALUE"""),"Manager who explains what is expected, sets a goal and helps achieve it")</f>
        <v>Manager who explains what is expected, sets a goal and helps achieve it</v>
      </c>
      <c r="P808" s="1" t="str">
        <f ca="1">IFERROR(__xludf.DUMMYFUNCTION("""COMPUTED_VALUE"""),"Work with 5 to 6 people in my team")</f>
        <v>Work with 5 to 6 people in my team</v>
      </c>
      <c r="Q808" s="1" t="str">
        <f ca="1">IFERROR(__xludf.DUMMYFUNCTION("""COMPUTED_VALUE"""),"No")</f>
        <v>No</v>
      </c>
      <c r="R808" s="1" t="str">
        <f ca="1">IFERROR(__xludf.DUMMYFUNCTION("""COMPUTED_VALUE"""),"This will be hard to do, but if it is the right company I would try")</f>
        <v>This will be hard to do, but if it is the right company I would try</v>
      </c>
      <c r="S808" s="1"/>
    </row>
    <row r="809" spans="1:19" ht="12.5" x14ac:dyDescent="0.25">
      <c r="A809" s="2">
        <f ca="1">IFERROR(__xludf.DUMMYFUNCTION("""COMPUTED_VALUE"""),45022.7817862037)</f>
        <v>45022.781786203697</v>
      </c>
      <c r="B809" s="1" t="str">
        <f ca="1">IFERROR(__xludf.DUMMYFUNCTION("""COMPUTED_VALUE"""),"India")</f>
        <v>India</v>
      </c>
      <c r="C809" s="1">
        <f ca="1">IFERROR(__xludf.DUMMYFUNCTION("""COMPUTED_VALUE"""),500049)</f>
        <v>500049</v>
      </c>
      <c r="D809" s="1" t="str">
        <f ca="1">IFERROR(__xludf.DUMMYFUNCTION("""COMPUTED_VALUE"""),"Female")</f>
        <v>Female</v>
      </c>
      <c r="E809" s="1" t="str">
        <f ca="1">IFERROR(__xludf.DUMMYFUNCTION("""COMPUTED_VALUE"""),"My Parents")</f>
        <v>My Parents</v>
      </c>
      <c r="F809" s="1" t="str">
        <f ca="1">IFERROR(__xludf.DUMMYFUNCTION("""COMPUTED_VALUE"""),"Yes, I will earn and do that")</f>
        <v>Yes, I will earn and do that</v>
      </c>
      <c r="G809" s="1" t="str">
        <f ca="1">IFERROR(__xludf.DUMMYFUNCTION("""COMPUTED_VALUE"""),"This will be hard to do, but if it is the right company I would try")</f>
        <v>This will be hard to do, but if it is the right company I would try</v>
      </c>
      <c r="H809" s="1" t="str">
        <f ca="1">IFERROR(__xludf.DUMMYFUNCTION("""COMPUTED_VALUE"""),"No")</f>
        <v>No</v>
      </c>
      <c r="I809" s="1" t="str">
        <f ca="1">IFERROR(__xludf.DUMMYFUNCTION("""COMPUTED_VALUE"""),"Will NOT work for them")</f>
        <v>Will NOT work for them</v>
      </c>
      <c r="J809" s="1">
        <f ca="1">IFERROR(__xludf.DUMMYFUNCTION("""COMPUTED_VALUE"""),6)</f>
        <v>6</v>
      </c>
      <c r="K809" s="1" t="str">
        <f ca="1">IFERROR(__xludf.DUMMYFUNCTION("""COMPUTED_VALUE"""),"Hybrid Working Environment with more than 15 days a month at office")</f>
        <v>Hybrid Working Environment with more than 15 days a month at office</v>
      </c>
      <c r="L809" s="1" t="str">
        <f ca="1">IFERROR(__xludf.DUMMYFUNCTION("""COMPUTED_VALUE"""),"Employer who appreciates learning and enables that environment")</f>
        <v>Employer who appreciates learning and enables that environment</v>
      </c>
      <c r="M809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809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809" s="1" t="str">
        <f ca="1">IFERROR(__xludf.DUMMYFUNCTION("""COMPUTED_VALUE"""),"Manager who clearly describes what she/he needs")</f>
        <v>Manager who clearly describes what she/he needs</v>
      </c>
      <c r="P809" s="1" t="str">
        <f ca="1">IFERROR(__xludf.DUMMYFUNCTION("""COMPUTED_VALUE"""),"Work with 2 to 3 people in my team")</f>
        <v>Work with 2 to 3 people in my team</v>
      </c>
      <c r="Q809" s="1" t="str">
        <f ca="1">IFERROR(__xludf.DUMMYFUNCTION("""COMPUTED_VALUE"""),"Yes, I Understand this is gonna happen everywhere")</f>
        <v>Yes, I Understand this is gonna happen everywhere</v>
      </c>
      <c r="R809" s="1" t="str">
        <f ca="1">IFERROR(__xludf.DUMMYFUNCTION("""COMPUTED_VALUE"""),"This will be hard to do, but if it is the right company I would try")</f>
        <v>This will be hard to do, but if it is the right company I would try</v>
      </c>
      <c r="S809" s="1"/>
    </row>
    <row r="810" spans="1:19" ht="12.5" x14ac:dyDescent="0.25">
      <c r="A810" s="2">
        <f ca="1">IFERROR(__xludf.DUMMYFUNCTION("""COMPUTED_VALUE"""),45022.7896251851)</f>
        <v>45022.789625185098</v>
      </c>
      <c r="B810" s="1" t="str">
        <f ca="1">IFERROR(__xludf.DUMMYFUNCTION("""COMPUTED_VALUE"""),"India")</f>
        <v>India</v>
      </c>
      <c r="C810" s="1">
        <f ca="1">IFERROR(__xludf.DUMMYFUNCTION("""COMPUTED_VALUE"""),523001)</f>
        <v>523001</v>
      </c>
      <c r="D810" s="1" t="str">
        <f ca="1">IFERROR(__xludf.DUMMYFUNCTION("""COMPUTED_VALUE"""),"Male")</f>
        <v>Male</v>
      </c>
      <c r="E810" s="1" t="str">
        <f ca="1">IFERROR(__xludf.DUMMYFUNCTION("""COMPUTED_VALUE"""),"People who have changed the world for better")</f>
        <v>People who have changed the world for better</v>
      </c>
      <c r="F810" s="1" t="str">
        <f ca="1">IFERROR(__xludf.DUMMYFUNCTION("""COMPUTED_VALUE"""),"No I would not be pursuing Higher Education outside of India")</f>
        <v>No I would not be pursuing Higher Education outside of India</v>
      </c>
      <c r="G810" s="1" t="str">
        <f ca="1">IFERROR(__xludf.DUMMYFUNCTION("""COMPUTED_VALUE"""),"No way")</f>
        <v>No way</v>
      </c>
      <c r="H810" s="1" t="str">
        <f ca="1">IFERROR(__xludf.DUMMYFUNCTION("""COMPUTED_VALUE"""),"No")</f>
        <v>No</v>
      </c>
      <c r="I810" s="1" t="str">
        <f ca="1">IFERROR(__xludf.DUMMYFUNCTION("""COMPUTED_VALUE"""),"Will NOT work for them")</f>
        <v>Will NOT work for them</v>
      </c>
      <c r="J810" s="1">
        <f ca="1">IFERROR(__xludf.DUMMYFUNCTION("""COMPUTED_VALUE"""),1)</f>
        <v>1</v>
      </c>
      <c r="K810" s="1" t="str">
        <f ca="1">IFERROR(__xludf.DUMMYFUNCTION("""COMPUTED_VALUE"""),"Hybrid Working Environment with less than 3 days a month at office")</f>
        <v>Hybrid Working Environment with less than 3 days a month at office</v>
      </c>
      <c r="L8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1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810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810" s="1" t="str">
        <f ca="1">IFERROR(__xludf.DUMMYFUNCTION("""COMPUTED_VALUE"""),"Manager who sets goal and helps me achieve it")</f>
        <v>Manager who sets goal and helps me achieve it</v>
      </c>
      <c r="P810" s="1" t="str">
        <f ca="1">IFERROR(__xludf.DUMMYFUNCTION("""COMPUTED_VALUE"""),"Work with 5 to 6 people in my team")</f>
        <v>Work with 5 to 6 people in my team</v>
      </c>
      <c r="Q810" s="1" t="str">
        <f ca="1">IFERROR(__xludf.DUMMYFUNCTION("""COMPUTED_VALUE"""),"Yes")</f>
        <v>Yes</v>
      </c>
      <c r="R810" s="1" t="str">
        <f ca="1">IFERROR(__xludf.DUMMYFUNCTION("""COMPUTED_VALUE"""),"This will be hard to do, but if it is the right company I would try")</f>
        <v>This will be hard to do, but if it is the right company I would try</v>
      </c>
      <c r="S810" s="1"/>
    </row>
    <row r="811" spans="1:19" ht="12.5" x14ac:dyDescent="0.25">
      <c r="A811" s="2">
        <f ca="1">IFERROR(__xludf.DUMMYFUNCTION("""COMPUTED_VALUE"""),45022.796869618)</f>
        <v>45022.796869618003</v>
      </c>
      <c r="B811" s="1" t="str">
        <f ca="1">IFERROR(__xludf.DUMMYFUNCTION("""COMPUTED_VALUE"""),"India")</f>
        <v>India</v>
      </c>
      <c r="C811" s="1">
        <f ca="1">IFERROR(__xludf.DUMMYFUNCTION("""COMPUTED_VALUE"""),507002)</f>
        <v>507002</v>
      </c>
      <c r="D811" s="1" t="str">
        <f ca="1">IFERROR(__xludf.DUMMYFUNCTION("""COMPUTED_VALUE"""),"Male")</f>
        <v>Male</v>
      </c>
      <c r="E811" s="1" t="str">
        <f ca="1">IFERROR(__xludf.DUMMYFUNCTION("""COMPUTED_VALUE"""),"People who have changed the world for better")</f>
        <v>People who have changed the world for better</v>
      </c>
      <c r="F811" s="1" t="str">
        <f ca="1">IFERROR(__xludf.DUMMYFUNCTION("""COMPUTED_VALUE"""),"Yes, I will earn and do that")</f>
        <v>Yes, I will earn and do that</v>
      </c>
      <c r="G811" s="1" t="str">
        <f ca="1">IFERROR(__xludf.DUMMYFUNCTION("""COMPUTED_VALUE"""),"This will be hard to do, but if it is the right company I would try")</f>
        <v>This will be hard to do, but if it is the right company I would try</v>
      </c>
      <c r="H811" s="1" t="str">
        <f ca="1">IFERROR(__xludf.DUMMYFUNCTION("""COMPUTED_VALUE"""),"No")</f>
        <v>No</v>
      </c>
      <c r="I811" s="1" t="str">
        <f ca="1">IFERROR(__xludf.DUMMYFUNCTION("""COMPUTED_VALUE"""),"Will work for them")</f>
        <v>Will work for them</v>
      </c>
      <c r="J811" s="1">
        <f ca="1">IFERROR(__xludf.DUMMYFUNCTION("""COMPUTED_VALUE"""),9)</f>
        <v>9</v>
      </c>
      <c r="K811" s="1" t="str">
        <f ca="1">IFERROR(__xludf.DUMMYFUNCTION("""COMPUTED_VALUE"""),"Fully Remote with Options to travel as and when needed")</f>
        <v>Fully Remote with Options to travel as and when needed</v>
      </c>
      <c r="L811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81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11" s="1" t="str">
        <f ca="1">IFERROR(__xludf.DUMMYFUNCTION("""COMPUTED_VALUE"""),"Manage and drive End-to-End Projects or Products, Design and Develop amazing software, Work in a BPO setup for some well known client, An Artificial Intelligence Specialist / Talking to Robots")</f>
        <v>Manage and drive End-to-End Projects or Products, Design and Develop amazing software, Work in a BPO setup for some well known client, An Artificial Intelligence Specialist / Talking to Robots</v>
      </c>
      <c r="O811" s="1" t="str">
        <f ca="1">IFERROR(__xludf.DUMMYFUNCTION("""COMPUTED_VALUE"""),"Manager who explains what is expected, sets a goal and helps achieve it")</f>
        <v>Manager who explains what is expected, sets a goal and helps achieve it</v>
      </c>
      <c r="P811" s="1" t="str">
        <f ca="1">IFERROR(__xludf.DUMMYFUNCTION("""COMPUTED_VALUE"""),"Work with 7 to 10 or more people in my team")</f>
        <v>Work with 7 to 10 or more people in my team</v>
      </c>
      <c r="Q811" s="1" t="str">
        <f ca="1">IFERROR(__xludf.DUMMYFUNCTION("""COMPUTED_VALUE"""),"Yes")</f>
        <v>Yes</v>
      </c>
      <c r="R811" s="1" t="str">
        <f ca="1">IFERROR(__xludf.DUMMYFUNCTION("""COMPUTED_VALUE"""),"This will be hard to do, but if it is the right company I would try")</f>
        <v>This will be hard to do, but if it is the right company I would try</v>
      </c>
      <c r="S811" s="1"/>
    </row>
    <row r="812" spans="1:19" ht="12.5" x14ac:dyDescent="0.25">
      <c r="A812" s="2">
        <f ca="1">IFERROR(__xludf.DUMMYFUNCTION("""COMPUTED_VALUE"""),45022.8094249537)</f>
        <v>45022.809424953703</v>
      </c>
      <c r="B812" s="1" t="str">
        <f ca="1">IFERROR(__xludf.DUMMYFUNCTION("""COMPUTED_VALUE"""),"India")</f>
        <v>India</v>
      </c>
      <c r="C812" s="1">
        <f ca="1">IFERROR(__xludf.DUMMYFUNCTION("""COMPUTED_VALUE"""),380001)</f>
        <v>380001</v>
      </c>
      <c r="D812" s="1" t="str">
        <f ca="1">IFERROR(__xludf.DUMMYFUNCTION("""COMPUTED_VALUE"""),"Male")</f>
        <v>Male</v>
      </c>
      <c r="E812" s="1" t="str">
        <f ca="1">IFERROR(__xludf.DUMMYFUNCTION("""COMPUTED_VALUE"""),"My Parents")</f>
        <v>My Parents</v>
      </c>
      <c r="F812" s="1" t="str">
        <f ca="1">IFERROR(__xludf.DUMMYFUNCTION("""COMPUTED_VALUE"""),"No I would not be pursuing Higher Education outside of India")</f>
        <v>No I would not be pursuing Higher Education outside of India</v>
      </c>
      <c r="G812" s="1" t="str">
        <f ca="1">IFERROR(__xludf.DUMMYFUNCTION("""COMPUTED_VALUE"""),"This will be hard to do, but if it is the right company I would try")</f>
        <v>This will be hard to do, but if it is the right company I would try</v>
      </c>
      <c r="H812" s="1" t="str">
        <f ca="1">IFERROR(__xludf.DUMMYFUNCTION("""COMPUTED_VALUE"""),"No")</f>
        <v>No</v>
      </c>
      <c r="I812" s="1" t="str">
        <f ca="1">IFERROR(__xludf.DUMMYFUNCTION("""COMPUTED_VALUE"""),"Will NOT work for them")</f>
        <v>Will NOT work for them</v>
      </c>
      <c r="J812" s="1">
        <f ca="1">IFERROR(__xludf.DUMMYFUNCTION("""COMPUTED_VALUE"""),1)</f>
        <v>1</v>
      </c>
      <c r="K812" s="1" t="str">
        <f ca="1">IFERROR(__xludf.DUMMYFUNCTION("""COMPUTED_VALUE"""),"Every Day Office Environment")</f>
        <v>Every Day Office Environment</v>
      </c>
      <c r="L812" s="1" t="str">
        <f ca="1">IFERROR(__xludf.DUMMYFUNCTION("""COMPUTED_VALUE"""),"Employer who appreciates learning and enables that environment")</f>
        <v>Employer who appreciates learning and enables that environment</v>
      </c>
      <c r="M81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812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812" s="1" t="str">
        <f ca="1">IFERROR(__xludf.DUMMYFUNCTION("""COMPUTED_VALUE"""),"Manager who sets targets and expects me to achieve it")</f>
        <v>Manager who sets targets and expects me to achieve it</v>
      </c>
      <c r="P812" s="1" t="str">
        <f ca="1">IFERROR(__xludf.DUMMYFUNCTION("""COMPUTED_VALUE"""),"Work with 2 to 3 people in my team")</f>
        <v>Work with 2 to 3 people in my team</v>
      </c>
      <c r="Q812" s="1" t="str">
        <f ca="1">IFERROR(__xludf.DUMMYFUNCTION("""COMPUTED_VALUE"""),"Yes, I Understand this is gonna happen everywhere")</f>
        <v>Yes, I Understand this is gonna happen everywhere</v>
      </c>
      <c r="R812" s="1" t="str">
        <f ca="1">IFERROR(__xludf.DUMMYFUNCTION("""COMPUTED_VALUE"""),"This will be hard to do, but if it is the right company I would try")</f>
        <v>This will be hard to do, but if it is the right company I would try</v>
      </c>
      <c r="S812" s="1"/>
    </row>
    <row r="813" spans="1:19" ht="12.5" x14ac:dyDescent="0.25">
      <c r="A813" s="2">
        <f ca="1">IFERROR(__xludf.DUMMYFUNCTION("""COMPUTED_VALUE"""),45022.8246184837)</f>
        <v>45022.824618483697</v>
      </c>
      <c r="B813" s="1" t="str">
        <f ca="1">IFERROR(__xludf.DUMMYFUNCTION("""COMPUTED_VALUE"""),"India")</f>
        <v>India</v>
      </c>
      <c r="C813" s="1">
        <f ca="1">IFERROR(__xludf.DUMMYFUNCTION("""COMPUTED_VALUE"""),57001)</f>
        <v>57001</v>
      </c>
      <c r="D813" s="1" t="str">
        <f ca="1">IFERROR(__xludf.DUMMYFUNCTION("""COMPUTED_VALUE"""),"Male")</f>
        <v>Male</v>
      </c>
      <c r="E813" s="1" t="str">
        <f ca="1">IFERROR(__xludf.DUMMYFUNCTION("""COMPUTED_VALUE"""),"My Parents")</f>
        <v>My Parents</v>
      </c>
      <c r="F813" s="1" t="str">
        <f ca="1">IFERROR(__xludf.DUMMYFUNCTION("""COMPUTED_VALUE"""),"No I would not be pursuing Higher Education outside of India")</f>
        <v>No I would not be pursuing Higher Education outside of India</v>
      </c>
      <c r="G813" s="1" t="str">
        <f ca="1">IFERROR(__xludf.DUMMYFUNCTION("""COMPUTED_VALUE"""),"This will be hard to do, but if it is the right company I would try")</f>
        <v>This will be hard to do, but if it is the right company I would try</v>
      </c>
      <c r="H813" s="1" t="str">
        <f ca="1">IFERROR(__xludf.DUMMYFUNCTION("""COMPUTED_VALUE"""),"No")</f>
        <v>No</v>
      </c>
      <c r="I813" s="1" t="str">
        <f ca="1">IFERROR(__xludf.DUMMYFUNCTION("""COMPUTED_VALUE"""),"Will NOT work for them")</f>
        <v>Will NOT work for them</v>
      </c>
      <c r="J813" s="1">
        <f ca="1">IFERROR(__xludf.DUMMYFUNCTION("""COMPUTED_VALUE"""),7)</f>
        <v>7</v>
      </c>
      <c r="K813" s="1" t="str">
        <f ca="1">IFERROR(__xludf.DUMMYFUNCTION("""COMPUTED_VALUE"""),"Fully Remote with Options to travel as and when needed")</f>
        <v>Fully Remote with Options to travel as and when needed</v>
      </c>
      <c r="L8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1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813" s="1" t="str">
        <f ca="1">IFERROR(__xludf.DUMMYFUNCTION("""COMPUTED_VALUE"""),"Business Operations in any organization, Manage and drive End-to-End Projects or Products, Work as a freelancer and do my thing my way, Manufacturing / Oil and Gas/ Construction / Hard Physical Work related")</f>
        <v>Business Operations in any organization, Manage and drive End-to-End Projects or Products, Work as a freelancer and do my thing my way, Manufacturing / Oil and Gas/ Construction / Hard Physical Work related</v>
      </c>
      <c r="O813" s="1" t="str">
        <f ca="1">IFERROR(__xludf.DUMMYFUNCTION("""COMPUTED_VALUE"""),"Manager who clearly describes what she/he needs")</f>
        <v>Manager who clearly describes what she/he needs</v>
      </c>
      <c r="P813" s="1" t="str">
        <f ca="1">IFERROR(__xludf.DUMMYFUNCTION("""COMPUTED_VALUE"""),"Work with 2 to 3 people in my team")</f>
        <v>Work with 2 to 3 people in my team</v>
      </c>
      <c r="Q813" s="1" t="str">
        <f ca="1">IFERROR(__xludf.DUMMYFUNCTION("""COMPUTED_VALUE"""),"Yes, I Understand this is gonna happen everywhere")</f>
        <v>Yes, I Understand this is gonna happen everywhere</v>
      </c>
      <c r="R813" s="1" t="str">
        <f ca="1">IFERROR(__xludf.DUMMYFUNCTION("""COMPUTED_VALUE"""),"No way")</f>
        <v>No way</v>
      </c>
      <c r="S813" s="1"/>
    </row>
    <row r="814" spans="1:19" ht="12.5" x14ac:dyDescent="0.25">
      <c r="A814" s="2">
        <f ca="1">IFERROR(__xludf.DUMMYFUNCTION("""COMPUTED_VALUE"""),45022.8283942824)</f>
        <v>45022.828394282398</v>
      </c>
      <c r="B814" s="1" t="str">
        <f ca="1">IFERROR(__xludf.DUMMYFUNCTION("""COMPUTED_VALUE"""),"India")</f>
        <v>India</v>
      </c>
      <c r="C814" s="1">
        <f ca="1">IFERROR(__xludf.DUMMYFUNCTION("""COMPUTED_VALUE"""),521165)</f>
        <v>521165</v>
      </c>
      <c r="D814" s="1" t="str">
        <f ca="1">IFERROR(__xludf.DUMMYFUNCTION("""COMPUTED_VALUE"""),"Female")</f>
        <v>Female</v>
      </c>
      <c r="E814" s="1" t="str">
        <f ca="1">IFERROR(__xludf.DUMMYFUNCTION("""COMPUTED_VALUE"""),"My Parents")</f>
        <v>My Parents</v>
      </c>
      <c r="F814" s="1" t="str">
        <f ca="1">IFERROR(__xludf.DUMMYFUNCTION("""COMPUTED_VALUE"""),"No I would not be pursuing Higher Education outside of India")</f>
        <v>No I would not be pursuing Higher Education outside of India</v>
      </c>
      <c r="G814" s="1" t="str">
        <f ca="1">IFERROR(__xludf.DUMMYFUNCTION("""COMPUTED_VALUE"""),"This will be hard to do, but if it is the right company I would try")</f>
        <v>This will be hard to do, but if it is the right company I would try</v>
      </c>
      <c r="H814" s="1" t="str">
        <f ca="1">IFERROR(__xludf.DUMMYFUNCTION("""COMPUTED_VALUE"""),"No")</f>
        <v>No</v>
      </c>
      <c r="I814" s="1" t="str">
        <f ca="1">IFERROR(__xludf.DUMMYFUNCTION("""COMPUTED_VALUE"""),"Will NOT work for them")</f>
        <v>Will NOT work for them</v>
      </c>
      <c r="J814" s="1">
        <f ca="1">IFERROR(__xludf.DUMMYFUNCTION("""COMPUTED_VALUE"""),5)</f>
        <v>5</v>
      </c>
      <c r="K814" s="1" t="str">
        <f ca="1">IFERROR(__xludf.DUMMYFUNCTION("""COMPUTED_VALUE"""),"Every Day Office Environment")</f>
        <v>Every Day Office Environment</v>
      </c>
      <c r="L814" s="1" t="str">
        <f ca="1">IFERROR(__xludf.DUMMYFUNCTION("""COMPUTED_VALUE"""),"Employer who rewards learning and enables that environment")</f>
        <v>Employer who rewards learning and enables that environment</v>
      </c>
      <c r="M814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814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814" s="1" t="str">
        <f ca="1">IFERROR(__xludf.DUMMYFUNCTION("""COMPUTED_VALUE"""),"Manager who sets goal and helps me achieve it")</f>
        <v>Manager who sets goal and helps me achieve it</v>
      </c>
      <c r="P814" s="1" t="str">
        <f ca="1">IFERROR(__xludf.DUMMYFUNCTION("""COMPUTED_VALUE"""),"Work with 2 to 3 people in my team")</f>
        <v>Work with 2 to 3 people in my team</v>
      </c>
      <c r="Q814" s="1" t="str">
        <f ca="1">IFERROR(__xludf.DUMMYFUNCTION("""COMPUTED_VALUE"""),"No")</f>
        <v>No</v>
      </c>
      <c r="R814" s="1" t="str">
        <f ca="1">IFERROR(__xludf.DUMMYFUNCTION("""COMPUTED_VALUE"""),"Will work for 7 years or more")</f>
        <v>Will work for 7 years or more</v>
      </c>
      <c r="S814" s="1"/>
    </row>
    <row r="815" spans="1:19" ht="12.5" x14ac:dyDescent="0.25">
      <c r="A815" s="2">
        <f ca="1">IFERROR(__xludf.DUMMYFUNCTION("""COMPUTED_VALUE"""),45022.8289780439)</f>
        <v>45022.828978043901</v>
      </c>
      <c r="B815" s="1" t="str">
        <f ca="1">IFERROR(__xludf.DUMMYFUNCTION("""COMPUTED_VALUE"""),"India")</f>
        <v>India</v>
      </c>
      <c r="C815" s="1">
        <f ca="1">IFERROR(__xludf.DUMMYFUNCTION("""COMPUTED_VALUE"""),421306)</f>
        <v>421306</v>
      </c>
      <c r="D815" s="1" t="str">
        <f ca="1">IFERROR(__xludf.DUMMYFUNCTION("""COMPUTED_VALUE"""),"Male")</f>
        <v>Male</v>
      </c>
      <c r="E815" s="1" t="str">
        <f ca="1">IFERROR(__xludf.DUMMYFUNCTION("""COMPUTED_VALUE"""),"People from my circle, but not family members")</f>
        <v>People from my circle, but not family members</v>
      </c>
      <c r="F815" s="1" t="str">
        <f ca="1">IFERROR(__xludf.DUMMYFUNCTION("""COMPUTED_VALUE"""),"Yes, I will earn and do that")</f>
        <v>Yes, I will earn and do that</v>
      </c>
      <c r="G815" s="1" t="str">
        <f ca="1">IFERROR(__xludf.DUMMYFUNCTION("""COMPUTED_VALUE"""),"This will be hard to do, but if it is the right company I would try")</f>
        <v>This will be hard to do, but if it is the right company I would try</v>
      </c>
      <c r="H815" s="1" t="str">
        <f ca="1">IFERROR(__xludf.DUMMYFUNCTION("""COMPUTED_VALUE"""),"No")</f>
        <v>No</v>
      </c>
      <c r="I815" s="1" t="str">
        <f ca="1">IFERROR(__xludf.DUMMYFUNCTION("""COMPUTED_VALUE"""),"Will NOT work for them")</f>
        <v>Will NOT work for them</v>
      </c>
      <c r="J815" s="1">
        <f ca="1">IFERROR(__xludf.DUMMYFUNCTION("""COMPUTED_VALUE"""),9)</f>
        <v>9</v>
      </c>
      <c r="K815" s="1" t="str">
        <f ca="1">IFERROR(__xludf.DUMMYFUNCTION("""COMPUTED_VALUE"""),"Fully Remote with Options to travel as and when needed")</f>
        <v>Fully Remote with Options to travel as and when needed</v>
      </c>
      <c r="L8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1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15" s="1" t="str">
        <f ca="1">IFERROR(__xludf.DUMMYFUNCTION("""COMPUTED_VALUE"""),"Business Operations in any organization, Build and develop a Team, Become a content Creator in some platform, An Artificial Intelligence Specialist / Talking to Robots")</f>
        <v>Business Operations in any organization, Build and develop a Team, Become a content Creator in some platform, An Artificial Intelligence Specialist / Talking to Robots</v>
      </c>
      <c r="O815" s="1" t="str">
        <f ca="1">IFERROR(__xludf.DUMMYFUNCTION("""COMPUTED_VALUE"""),"Manager who explains what is expected, sets a goal and helps achieve it")</f>
        <v>Manager who explains what is expected, sets a goal and helps achieve it</v>
      </c>
      <c r="P815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815" s="1" t="str">
        <f ca="1">IFERROR(__xludf.DUMMYFUNCTION("""COMPUTED_VALUE"""),"Yes, I Understand this is gonna happen everywhere")</f>
        <v>Yes, I Understand this is gonna happen everywhere</v>
      </c>
      <c r="R815" s="1" t="str">
        <f ca="1">IFERROR(__xludf.DUMMYFUNCTION("""COMPUTED_VALUE"""),"No way")</f>
        <v>No way</v>
      </c>
      <c r="S815" s="1"/>
    </row>
    <row r="816" spans="1:19" ht="12.5" x14ac:dyDescent="0.25">
      <c r="A816" s="2">
        <f ca="1">IFERROR(__xludf.DUMMYFUNCTION("""COMPUTED_VALUE"""),45022.8319156134)</f>
        <v>45022.831915613402</v>
      </c>
      <c r="B816" s="1" t="str">
        <f ca="1">IFERROR(__xludf.DUMMYFUNCTION("""COMPUTED_VALUE"""),"India")</f>
        <v>India</v>
      </c>
      <c r="C816" s="1">
        <f ca="1">IFERROR(__xludf.DUMMYFUNCTION("""COMPUTED_VALUE"""),440024)</f>
        <v>440024</v>
      </c>
      <c r="D816" s="1" t="str">
        <f ca="1">IFERROR(__xludf.DUMMYFUNCTION("""COMPUTED_VALUE"""),"Female")</f>
        <v>Female</v>
      </c>
      <c r="E816" s="1" t="str">
        <f ca="1">IFERROR(__xludf.DUMMYFUNCTION("""COMPUTED_VALUE"""),"People from my circle, but not family members")</f>
        <v>People from my circle, but not family members</v>
      </c>
      <c r="F816" s="1" t="str">
        <f ca="1">IFERROR(__xludf.DUMMYFUNCTION("""COMPUTED_VALUE"""),"Yes, I will earn and do that")</f>
        <v>Yes, I will earn and do that</v>
      </c>
      <c r="G816" s="1" t="str">
        <f ca="1">IFERROR(__xludf.DUMMYFUNCTION("""COMPUTED_VALUE"""),"This will be hard to do, but if it is the right company I would try")</f>
        <v>This will be hard to do, but if it is the right company I would try</v>
      </c>
      <c r="H816" s="1" t="str">
        <f ca="1">IFERROR(__xludf.DUMMYFUNCTION("""COMPUTED_VALUE"""),"No")</f>
        <v>No</v>
      </c>
      <c r="I816" s="1" t="str">
        <f ca="1">IFERROR(__xludf.DUMMYFUNCTION("""COMPUTED_VALUE"""),"Will work for them")</f>
        <v>Will work for them</v>
      </c>
      <c r="J816" s="1">
        <f ca="1">IFERROR(__xludf.DUMMYFUNCTION("""COMPUTED_VALUE"""),5)</f>
        <v>5</v>
      </c>
      <c r="K816" s="1" t="str">
        <f ca="1">IFERROR(__xludf.DUMMYFUNCTION("""COMPUTED_VALUE"""),"Fully Remote with Options to travel as and when needed")</f>
        <v>Fully Remote with Options to travel as and when needed</v>
      </c>
      <c r="L8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1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16" s="1" t="str">
        <f ca="1">IFERROR(__xludf.DUMMYFUNCTION("""COMPUTED_VALUE"""),"Teaching in any of the institutes/colleges/online or offline, Look deeply into Data and generate insights, Work as a freelancer and do my thing my way, Entrepreneur or Start Up")</f>
        <v>Teaching in any of the institutes/colleges/online or offline, Look deeply into Data and generate insights, Work as a freelancer and do my thing my way, Entrepreneur or Start Up</v>
      </c>
      <c r="O816" s="1" t="str">
        <f ca="1">IFERROR(__xludf.DUMMYFUNCTION("""COMPUTED_VALUE"""),"Manager who explains what is expected, sets a goal and helps achieve it")</f>
        <v>Manager who explains what is expected, sets a goal and helps achieve it</v>
      </c>
      <c r="P816" s="1" t="str">
        <f ca="1">IFERROR(__xludf.DUMMYFUNCTION("""COMPUTED_VALUE"""),"Work alone, Work with 5 to 6 people in my team")</f>
        <v>Work alone, Work with 5 to 6 people in my team</v>
      </c>
      <c r="Q816" s="1" t="str">
        <f ca="1">IFERROR(__xludf.DUMMYFUNCTION("""COMPUTED_VALUE"""),"No")</f>
        <v>No</v>
      </c>
      <c r="R816" s="1" t="str">
        <f ca="1">IFERROR(__xludf.DUMMYFUNCTION("""COMPUTED_VALUE"""),"No way")</f>
        <v>No way</v>
      </c>
      <c r="S816" s="1"/>
    </row>
    <row r="817" spans="1:19" ht="12.5" x14ac:dyDescent="0.25">
      <c r="A817" s="2">
        <f ca="1">IFERROR(__xludf.DUMMYFUNCTION("""COMPUTED_VALUE"""),45022.8359663078)</f>
        <v>45022.835966307801</v>
      </c>
      <c r="B817" s="1" t="str">
        <f ca="1">IFERROR(__xludf.DUMMYFUNCTION("""COMPUTED_VALUE"""),"India")</f>
        <v>India</v>
      </c>
      <c r="C817" s="1">
        <f ca="1">IFERROR(__xludf.DUMMYFUNCTION("""COMPUTED_VALUE"""),400607)</f>
        <v>400607</v>
      </c>
      <c r="D817" s="1" t="str">
        <f ca="1">IFERROR(__xludf.DUMMYFUNCTION("""COMPUTED_VALUE"""),"Male")</f>
        <v>Male</v>
      </c>
      <c r="E817" s="1" t="str">
        <f ca="1">IFERROR(__xludf.DUMMYFUNCTION("""COMPUTED_VALUE"""),"People who have changed the world for better")</f>
        <v>People who have changed the world for better</v>
      </c>
      <c r="F817" s="1" t="str">
        <f ca="1">IFERROR(__xludf.DUMMYFUNCTION("""COMPUTED_VALUE"""),"Yes, I will earn and do that")</f>
        <v>Yes, I will earn and do that</v>
      </c>
      <c r="G817" s="1" t="str">
        <f ca="1">IFERROR(__xludf.DUMMYFUNCTION("""COMPUTED_VALUE"""),"This will be hard to do, but if it is the right company I would try")</f>
        <v>This will be hard to do, but if it is the right company I would try</v>
      </c>
      <c r="H817" s="1" t="str">
        <f ca="1">IFERROR(__xludf.DUMMYFUNCTION("""COMPUTED_VALUE"""),"No")</f>
        <v>No</v>
      </c>
      <c r="I817" s="1" t="str">
        <f ca="1">IFERROR(__xludf.DUMMYFUNCTION("""COMPUTED_VALUE"""),"Will NOT work for them")</f>
        <v>Will NOT work for them</v>
      </c>
      <c r="J817" s="1">
        <f ca="1">IFERROR(__xludf.DUMMYFUNCTION("""COMPUTED_VALUE"""),1)</f>
        <v>1</v>
      </c>
      <c r="K817" s="1" t="str">
        <f ca="1">IFERROR(__xludf.DUMMYFUNCTION("""COMPUTED_VALUE"""),"Hybrid Working Environment with more than 15 days a month at office")</f>
        <v>Hybrid Working Environment with more than 15 days a month at office</v>
      </c>
      <c r="L8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1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817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817" s="1" t="str">
        <f ca="1">IFERROR(__xludf.DUMMYFUNCTION("""COMPUTED_VALUE"""),"Manager who sets targets and expects me to achieve it")</f>
        <v>Manager who sets targets and expects me to achieve it</v>
      </c>
      <c r="P817" s="1" t="str">
        <f ca="1">IFERROR(__xludf.DUMMYFUNCTION("""COMPUTED_VALUE"""),"Work with 2 to 3 people in my team, Work with 5 to 6 people in my team")</f>
        <v>Work with 2 to 3 people in my team, Work with 5 to 6 people in my team</v>
      </c>
      <c r="Q817" s="1" t="str">
        <f ca="1">IFERROR(__xludf.DUMMYFUNCTION("""COMPUTED_VALUE"""),"Yes, I Understand this is gonna happen everywhere")</f>
        <v>Yes, I Understand this is gonna happen everywhere</v>
      </c>
      <c r="R817" s="1" t="str">
        <f ca="1">IFERROR(__xludf.DUMMYFUNCTION("""COMPUTED_VALUE"""),"No way")</f>
        <v>No way</v>
      </c>
      <c r="S817" s="1"/>
    </row>
    <row r="818" spans="1:19" ht="12.5" x14ac:dyDescent="0.25">
      <c r="A818" s="2">
        <f ca="1">IFERROR(__xludf.DUMMYFUNCTION("""COMPUTED_VALUE"""),45022.8368635069)</f>
        <v>45022.836863506898</v>
      </c>
      <c r="B818" s="1" t="str">
        <f ca="1">IFERROR(__xludf.DUMMYFUNCTION("""COMPUTED_VALUE"""),"India")</f>
        <v>India</v>
      </c>
      <c r="C818" s="1">
        <f ca="1">IFERROR(__xludf.DUMMYFUNCTION("""COMPUTED_VALUE"""),522001)</f>
        <v>522001</v>
      </c>
      <c r="D818" s="1" t="str">
        <f ca="1">IFERROR(__xludf.DUMMYFUNCTION("""COMPUTED_VALUE"""),"Male")</f>
        <v>Male</v>
      </c>
      <c r="E818" s="1" t="str">
        <f ca="1">IFERROR(__xludf.DUMMYFUNCTION("""COMPUTED_VALUE"""),"People from my circle, but not family members")</f>
        <v>People from my circle, but not family members</v>
      </c>
      <c r="F818" s="1" t="str">
        <f ca="1">IFERROR(__xludf.DUMMYFUNCTION("""COMPUTED_VALUE"""),"No I would not be pursuing Higher Education outside of India")</f>
        <v>No I would not be pursuing Higher Education outside of India</v>
      </c>
      <c r="G818" s="1" t="str">
        <f ca="1">IFERROR(__xludf.DUMMYFUNCTION("""COMPUTED_VALUE"""),"Will work for 3 years or more")</f>
        <v>Will work for 3 years or more</v>
      </c>
      <c r="H818" s="1" t="str">
        <f ca="1">IFERROR(__xludf.DUMMYFUNCTION("""COMPUTED_VALUE"""),"No")</f>
        <v>No</v>
      </c>
      <c r="I818" s="1" t="str">
        <f ca="1">IFERROR(__xludf.DUMMYFUNCTION("""COMPUTED_VALUE"""),"Will NOT work for them")</f>
        <v>Will NOT work for them</v>
      </c>
      <c r="J818" s="1">
        <f ca="1">IFERROR(__xludf.DUMMYFUNCTION("""COMPUTED_VALUE"""),7)</f>
        <v>7</v>
      </c>
      <c r="K818" s="1" t="str">
        <f ca="1">IFERROR(__xludf.DUMMYFUNCTION("""COMPUTED_VALUE"""),"Fully Remote with Options to travel as and when needed")</f>
        <v>Fully Remote with Options to travel as and when needed</v>
      </c>
      <c r="L8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1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18" s="1" t="str">
        <f ca="1">IFERROR(__xludf.DUMMYFUNCTION("""COMPUTED_VALUE"""),"Business Operations in any organization, Build and develop a Team, Design and Develop amazing software, Entrepreneur or Start Up")</f>
        <v>Business Operations in any organization, Build and develop a Team, Design and Develop amazing software, Entrepreneur or Start Up</v>
      </c>
      <c r="O818" s="1" t="str">
        <f ca="1">IFERROR(__xludf.DUMMYFUNCTION("""COMPUTED_VALUE"""),"Manager who explains what is expected, sets a goal and helps achieve it")</f>
        <v>Manager who explains what is expected, sets a goal and helps achieve it</v>
      </c>
      <c r="P818" s="1" t="str">
        <f ca="1">IFERROR(__xludf.DUMMYFUNCTION("""COMPUTED_VALUE"""),"Work with 2 to 3 people in my team, Work with 5 to 6 people in my team")</f>
        <v>Work with 2 to 3 people in my team, Work with 5 to 6 people in my team</v>
      </c>
      <c r="Q818" s="1" t="str">
        <f ca="1">IFERROR(__xludf.DUMMYFUNCTION("""COMPUTED_VALUE"""),"No")</f>
        <v>No</v>
      </c>
      <c r="R818" s="1" t="str">
        <f ca="1">IFERROR(__xludf.DUMMYFUNCTION("""COMPUTED_VALUE"""),"This will be hard to do, but if it is the right company I would try")</f>
        <v>This will be hard to do, but if it is the right company I would try</v>
      </c>
      <c r="S818" s="1"/>
    </row>
    <row r="819" spans="1:19" ht="12.5" x14ac:dyDescent="0.25">
      <c r="A819" s="2">
        <f ca="1">IFERROR(__xludf.DUMMYFUNCTION("""COMPUTED_VALUE"""),45022.8427504861)</f>
        <v>45022.842750486103</v>
      </c>
      <c r="B819" s="1" t="str">
        <f ca="1">IFERROR(__xludf.DUMMYFUNCTION("""COMPUTED_VALUE"""),"India")</f>
        <v>India</v>
      </c>
      <c r="C819" s="1">
        <f ca="1">IFERROR(__xludf.DUMMYFUNCTION("""COMPUTED_VALUE"""),400709)</f>
        <v>400709</v>
      </c>
      <c r="D819" s="1" t="str">
        <f ca="1">IFERROR(__xludf.DUMMYFUNCTION("""COMPUTED_VALUE"""),"Male")</f>
        <v>Male</v>
      </c>
      <c r="E819" s="1" t="str">
        <f ca="1">IFERROR(__xludf.DUMMYFUNCTION("""COMPUTED_VALUE"""),"My Parents")</f>
        <v>My Parents</v>
      </c>
      <c r="F819" s="1" t="str">
        <f ca="1">IFERROR(__xludf.DUMMYFUNCTION("""COMPUTED_VALUE"""),"No I would not be pursuing Higher Education outside of India")</f>
        <v>No I would not be pursuing Higher Education outside of India</v>
      </c>
      <c r="G819" s="1" t="str">
        <f ca="1">IFERROR(__xludf.DUMMYFUNCTION("""COMPUTED_VALUE"""),"No way")</f>
        <v>No way</v>
      </c>
      <c r="H819" s="1" t="str">
        <f ca="1">IFERROR(__xludf.DUMMYFUNCTION("""COMPUTED_VALUE"""),"Yes")</f>
        <v>Yes</v>
      </c>
      <c r="I819" s="1" t="str">
        <f ca="1">IFERROR(__xludf.DUMMYFUNCTION("""COMPUTED_VALUE"""),"Will work for them")</f>
        <v>Will work for them</v>
      </c>
      <c r="J819" s="1">
        <f ca="1">IFERROR(__xludf.DUMMYFUNCTION("""COMPUTED_VALUE"""),3)</f>
        <v>3</v>
      </c>
      <c r="K819" s="1" t="str">
        <f ca="1">IFERROR(__xludf.DUMMYFUNCTION("""COMPUTED_VALUE"""),"Hybrid Working Environment with more than 15 days a month at office")</f>
        <v>Hybrid Working Environment with more than 15 days a month at office</v>
      </c>
      <c r="L81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819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819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819" s="1" t="str">
        <f ca="1">IFERROR(__xludf.DUMMYFUNCTION("""COMPUTED_VALUE"""),"Manager who sets targets and expects me to achieve it")</f>
        <v>Manager who sets targets and expects me to achieve it</v>
      </c>
      <c r="P819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819" s="1" t="str">
        <f ca="1">IFERROR(__xludf.DUMMYFUNCTION("""COMPUTED_VALUE"""),"Yes, I Understand this is gonna happen everywhere")</f>
        <v>Yes, I Understand this is gonna happen everywhere</v>
      </c>
      <c r="R819" s="1" t="str">
        <f ca="1">IFERROR(__xludf.DUMMYFUNCTION("""COMPUTED_VALUE"""),"This will be hard to do, but if it is the right company I would try")</f>
        <v>This will be hard to do, but if it is the right company I would try</v>
      </c>
      <c r="S819" s="1"/>
    </row>
    <row r="820" spans="1:19" ht="12.5" x14ac:dyDescent="0.25">
      <c r="A820" s="2">
        <f ca="1">IFERROR(__xludf.DUMMYFUNCTION("""COMPUTED_VALUE"""),45022.847370706)</f>
        <v>45022.847370705997</v>
      </c>
      <c r="B820" s="1" t="str">
        <f ca="1">IFERROR(__xludf.DUMMYFUNCTION("""COMPUTED_VALUE"""),"India")</f>
        <v>India</v>
      </c>
      <c r="C820" s="1" t="str">
        <f ca="1">IFERROR(__xludf.DUMMYFUNCTION("""COMPUTED_VALUE"""),"000000")</f>
        <v>000000</v>
      </c>
      <c r="D820" s="1" t="str">
        <f ca="1">IFERROR(__xludf.DUMMYFUNCTION("""COMPUTED_VALUE"""),"Female")</f>
        <v>Female</v>
      </c>
      <c r="E820" s="1" t="str">
        <f ca="1">IFERROR(__xludf.DUMMYFUNCTION("""COMPUTED_VALUE"""),"People who have changed the world for better")</f>
        <v>People who have changed the world for better</v>
      </c>
      <c r="F820" s="1" t="str">
        <f ca="1">IFERROR(__xludf.DUMMYFUNCTION("""COMPUTED_VALUE"""),"No I would not be pursuing Higher Education outside of India")</f>
        <v>No I would not be pursuing Higher Education outside of India</v>
      </c>
      <c r="G820" s="1" t="str">
        <f ca="1">IFERROR(__xludf.DUMMYFUNCTION("""COMPUTED_VALUE"""),"No way")</f>
        <v>No way</v>
      </c>
      <c r="H820" s="1" t="str">
        <f ca="1">IFERROR(__xludf.DUMMYFUNCTION("""COMPUTED_VALUE"""),"Yes")</f>
        <v>Yes</v>
      </c>
      <c r="I820" s="1" t="str">
        <f ca="1">IFERROR(__xludf.DUMMYFUNCTION("""COMPUTED_VALUE"""),"Will work for them")</f>
        <v>Will work for them</v>
      </c>
      <c r="J820" s="1">
        <f ca="1">IFERROR(__xludf.DUMMYFUNCTION("""COMPUTED_VALUE"""),5)</f>
        <v>5</v>
      </c>
      <c r="K820" s="1" t="str">
        <f ca="1">IFERROR(__xludf.DUMMYFUNCTION("""COMPUTED_VALUE"""),"Fully Remote with No option to visit offices")</f>
        <v>Fully Remote with No option to visit offices</v>
      </c>
      <c r="L8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2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820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820" s="1" t="str">
        <f ca="1">IFERROR(__xludf.DUMMYFUNCTION("""COMPUTED_VALUE"""),"Manager who sets unrealistic targets")</f>
        <v>Manager who sets unrealistic targets</v>
      </c>
      <c r="P820" s="1" t="str">
        <f ca="1">IFERROR(__xludf.DUMMYFUNCTION("""COMPUTED_VALUE"""),"Work with more than 10 people in my team")</f>
        <v>Work with more than 10 people in my team</v>
      </c>
      <c r="Q820" s="1" t="str">
        <f ca="1">IFERROR(__xludf.DUMMYFUNCTION("""COMPUTED_VALUE"""),"Yes, I Understand this is gonna happen everywhere")</f>
        <v>Yes, I Understand this is gonna happen everywhere</v>
      </c>
      <c r="R820" s="1" t="str">
        <f ca="1">IFERROR(__xludf.DUMMYFUNCTION("""COMPUTED_VALUE"""),"No way")</f>
        <v>No way</v>
      </c>
      <c r="S820" s="1"/>
    </row>
    <row r="821" spans="1:19" ht="12.5" x14ac:dyDescent="0.25">
      <c r="A821" s="2">
        <f ca="1">IFERROR(__xludf.DUMMYFUNCTION("""COMPUTED_VALUE"""),45022.8529682175)</f>
        <v>45022.852968217499</v>
      </c>
      <c r="B821" s="1" t="str">
        <f ca="1">IFERROR(__xludf.DUMMYFUNCTION("""COMPUTED_VALUE"""),"India")</f>
        <v>India</v>
      </c>
      <c r="C821" s="1">
        <f ca="1">IFERROR(__xludf.DUMMYFUNCTION("""COMPUTED_VALUE"""),400068)</f>
        <v>400068</v>
      </c>
      <c r="D821" s="1" t="str">
        <f ca="1">IFERROR(__xludf.DUMMYFUNCTION("""COMPUTED_VALUE"""),"Male")</f>
        <v>Male</v>
      </c>
      <c r="E821" s="1" t="str">
        <f ca="1">IFERROR(__xludf.DUMMYFUNCTION("""COMPUTED_VALUE"""),"My Parents")</f>
        <v>My Parents</v>
      </c>
      <c r="F821" s="1" t="str">
        <f ca="1">IFERROR(__xludf.DUMMYFUNCTION("""COMPUTED_VALUE"""),"Yes, I will earn and do that")</f>
        <v>Yes, I will earn and do that</v>
      </c>
      <c r="G821" s="1" t="str">
        <f ca="1">IFERROR(__xludf.DUMMYFUNCTION("""COMPUTED_VALUE"""),"This will be hard to do, but if it is the right company I would try")</f>
        <v>This will be hard to do, but if it is the right company I would try</v>
      </c>
      <c r="H821" s="1" t="str">
        <f ca="1">IFERROR(__xludf.DUMMYFUNCTION("""COMPUTED_VALUE"""),"Yes")</f>
        <v>Yes</v>
      </c>
      <c r="I821" s="1" t="str">
        <f ca="1">IFERROR(__xludf.DUMMYFUNCTION("""COMPUTED_VALUE"""),"Will NOT work for them")</f>
        <v>Will NOT work for them</v>
      </c>
      <c r="J821" s="1">
        <f ca="1">IFERROR(__xludf.DUMMYFUNCTION("""COMPUTED_VALUE"""),5)</f>
        <v>5</v>
      </c>
      <c r="K821" s="1" t="str">
        <f ca="1">IFERROR(__xludf.DUMMYFUNCTION("""COMPUTED_VALUE"""),"Hybrid Working Environment with more than 15 days a month at office")</f>
        <v>Hybrid Working Environment with more than 15 days a month at office</v>
      </c>
      <c r="L8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2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21" s="1" t="str">
        <f ca="1">IFERROR(__xludf.DUMMYFUNCTION("""COMPUTED_VALUE"""),"Build and develop a Team, Look deeply into Data and generate insights, Entrepreneur or Start Up, An Artificial Intelligence Specialist / Talking to Robots")</f>
        <v>Build and develop a Team, Look deeply into Data and generate insights, Entrepreneur or Start Up, An Artificial Intelligence Specialist / Talking to Robots</v>
      </c>
      <c r="O821" s="1" t="str">
        <f ca="1">IFERROR(__xludf.DUMMYFUNCTION("""COMPUTED_VALUE"""),"Manager who explains what is expected, sets a goal and helps achieve it")</f>
        <v>Manager who explains what is expected, sets a goal and helps achieve it</v>
      </c>
      <c r="P821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821" s="1" t="str">
        <f ca="1">IFERROR(__xludf.DUMMYFUNCTION("""COMPUTED_VALUE"""),"Yes, I Understand this is gonna happen everywhere")</f>
        <v>Yes, I Understand this is gonna happen everywhere</v>
      </c>
      <c r="R821" s="1" t="str">
        <f ca="1">IFERROR(__xludf.DUMMYFUNCTION("""COMPUTED_VALUE"""),"This will be hard to do, but if it is the right company I would try")</f>
        <v>This will be hard to do, but if it is the right company I would try</v>
      </c>
      <c r="S821" s="1"/>
    </row>
    <row r="822" spans="1:19" ht="12.5" x14ac:dyDescent="0.25">
      <c r="A822" s="2">
        <f ca="1">IFERROR(__xludf.DUMMYFUNCTION("""COMPUTED_VALUE"""),45022.8667558101)</f>
        <v>45022.866755810101</v>
      </c>
      <c r="B822" s="1" t="str">
        <f ca="1">IFERROR(__xludf.DUMMYFUNCTION("""COMPUTED_VALUE"""),"United States of America")</f>
        <v>United States of America</v>
      </c>
      <c r="C822" s="1">
        <f ca="1">IFERROR(__xludf.DUMMYFUNCTION("""COMPUTED_VALUE"""),44114)</f>
        <v>44114</v>
      </c>
      <c r="D822" s="1" t="str">
        <f ca="1">IFERROR(__xludf.DUMMYFUNCTION("""COMPUTED_VALUE"""),"Male")</f>
        <v>Male</v>
      </c>
      <c r="E822" s="1" t="str">
        <f ca="1">IFERROR(__xludf.DUMMYFUNCTION("""COMPUTED_VALUE"""),"Influencers who had successful careers")</f>
        <v>Influencers who had successful careers</v>
      </c>
      <c r="F822" s="1" t="str">
        <f ca="1">IFERROR(__xludf.DUMMYFUNCTION("""COMPUTED_VALUE"""),"Yes, I will earn and do that")</f>
        <v>Yes, I will earn and do that</v>
      </c>
      <c r="G822" s="1" t="str">
        <f ca="1">IFERROR(__xludf.DUMMYFUNCTION("""COMPUTED_VALUE"""),"This will be hard to do, but if it is the right company I would try")</f>
        <v>This will be hard to do, but if it is the right company I would try</v>
      </c>
      <c r="H822" s="1" t="str">
        <f ca="1">IFERROR(__xludf.DUMMYFUNCTION("""COMPUTED_VALUE"""),"No")</f>
        <v>No</v>
      </c>
      <c r="I822" s="1" t="str">
        <f ca="1">IFERROR(__xludf.DUMMYFUNCTION("""COMPUTED_VALUE"""),"Will work for them")</f>
        <v>Will work for them</v>
      </c>
      <c r="J822" s="1">
        <f ca="1">IFERROR(__xludf.DUMMYFUNCTION("""COMPUTED_VALUE"""),9)</f>
        <v>9</v>
      </c>
      <c r="K822" s="1" t="str">
        <f ca="1">IFERROR(__xludf.DUMMYFUNCTION("""COMPUTED_VALUE"""),"Hybrid Working Environment with less than 3 days a month at office")</f>
        <v>Hybrid Working Environment with less than 3 days a month at office</v>
      </c>
      <c r="L8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2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22" s="1" t="str">
        <f ca="1">IFERROR(__xludf.DUMMYFUNCTION("""COMPUTED_VALUE"""),"Business Operations in any organization, Look deeply into Data and generate insights, Become a content Creator in some platform, Entrepreneur or Start Up")</f>
        <v>Business Operations in any organization, Look deeply into Data and generate insights, Become a content Creator in some platform, Entrepreneur or Start Up</v>
      </c>
      <c r="O822" s="1" t="str">
        <f ca="1">IFERROR(__xludf.DUMMYFUNCTION("""COMPUTED_VALUE"""),"Manager who explains what is expected, sets a goal and helps achieve it")</f>
        <v>Manager who explains what is expected, sets a goal and helps achieve it</v>
      </c>
      <c r="P822" s="1" t="str">
        <f ca="1">IFERROR(__xludf.DUMMYFUNCTION("""COMPUTED_VALUE"""),"Work with 5 to 6 people in my team")</f>
        <v>Work with 5 to 6 people in my team</v>
      </c>
      <c r="Q822" s="1" t="str">
        <f ca="1">IFERROR(__xludf.DUMMYFUNCTION("""COMPUTED_VALUE"""),"Yes, I Understand this is gonna happen everywhere")</f>
        <v>Yes, I Understand this is gonna happen everywhere</v>
      </c>
      <c r="R822" s="1" t="str">
        <f ca="1">IFERROR(__xludf.DUMMYFUNCTION("""COMPUTED_VALUE"""),"This will be hard to do, but if it is the right company I would try")</f>
        <v>This will be hard to do, but if it is the right company I would try</v>
      </c>
      <c r="S822" s="1"/>
    </row>
    <row r="823" spans="1:19" ht="12.5" x14ac:dyDescent="0.25">
      <c r="A823" s="2">
        <f ca="1">IFERROR(__xludf.DUMMYFUNCTION("""COMPUTED_VALUE"""),45022.8823366898)</f>
        <v>45022.8823366898</v>
      </c>
      <c r="B823" s="1" t="str">
        <f ca="1">IFERROR(__xludf.DUMMYFUNCTION("""COMPUTED_VALUE"""),"India")</f>
        <v>India</v>
      </c>
      <c r="C823" s="1">
        <f ca="1">IFERROR(__xludf.DUMMYFUNCTION("""COMPUTED_VALUE"""),522212)</f>
        <v>522212</v>
      </c>
      <c r="D823" s="1" t="str">
        <f ca="1">IFERROR(__xludf.DUMMYFUNCTION("""COMPUTED_VALUE"""),"Female")</f>
        <v>Female</v>
      </c>
      <c r="E823" s="1" t="str">
        <f ca="1">IFERROR(__xludf.DUMMYFUNCTION("""COMPUTED_VALUE"""),"People who have changed the world for better")</f>
        <v>People who have changed the world for better</v>
      </c>
      <c r="F823" s="1" t="str">
        <f ca="1">IFERROR(__xludf.DUMMYFUNCTION("""COMPUTED_VALUE"""),"No I would not be pursuing Higher Education outside of India")</f>
        <v>No I would not be pursuing Higher Education outside of India</v>
      </c>
      <c r="G823" s="1" t="str">
        <f ca="1">IFERROR(__xludf.DUMMYFUNCTION("""COMPUTED_VALUE"""),"This will be hard to do, but if it is the right company I would try")</f>
        <v>This will be hard to do, but if it is the right company I would try</v>
      </c>
      <c r="H823" s="1" t="str">
        <f ca="1">IFERROR(__xludf.DUMMYFUNCTION("""COMPUTED_VALUE"""),"No")</f>
        <v>No</v>
      </c>
      <c r="I823" s="1" t="str">
        <f ca="1">IFERROR(__xludf.DUMMYFUNCTION("""COMPUTED_VALUE"""),"Will NOT work for them")</f>
        <v>Will NOT work for them</v>
      </c>
      <c r="J823" s="1">
        <f ca="1">IFERROR(__xludf.DUMMYFUNCTION("""COMPUTED_VALUE"""),8)</f>
        <v>8</v>
      </c>
      <c r="K823" s="1" t="str">
        <f ca="1">IFERROR(__xludf.DUMMYFUNCTION("""COMPUTED_VALUE"""),"Every Day Office Environment")</f>
        <v>Every Day Office Environment</v>
      </c>
      <c r="L8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2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23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823" s="1" t="str">
        <f ca="1">IFERROR(__xludf.DUMMYFUNCTION("""COMPUTED_VALUE"""),"Manager who explains what is expected, sets a goal and helps achieve it")</f>
        <v>Manager who explains what is expected, sets a goal and helps achieve it</v>
      </c>
      <c r="P823" s="1" t="str">
        <f ca="1">IFERROR(__xludf.DUMMYFUNCTION("""COMPUTED_VALUE"""),"Work with 5 to 6 people in my team")</f>
        <v>Work with 5 to 6 people in my team</v>
      </c>
      <c r="Q823" s="1" t="str">
        <f ca="1">IFERROR(__xludf.DUMMYFUNCTION("""COMPUTED_VALUE"""),"Yes, I Understand this is gonna happen everywhere")</f>
        <v>Yes, I Understand this is gonna happen everywhere</v>
      </c>
      <c r="R823" s="1" t="str">
        <f ca="1">IFERROR(__xludf.DUMMYFUNCTION("""COMPUTED_VALUE"""),"No way")</f>
        <v>No way</v>
      </c>
      <c r="S823" s="1"/>
    </row>
    <row r="824" spans="1:19" ht="12.5" x14ac:dyDescent="0.25">
      <c r="A824" s="2">
        <f ca="1">IFERROR(__xludf.DUMMYFUNCTION("""COMPUTED_VALUE"""),45022.8881923148)</f>
        <v>45022.8881923148</v>
      </c>
      <c r="B824" s="1" t="str">
        <f ca="1">IFERROR(__xludf.DUMMYFUNCTION("""COMPUTED_VALUE"""),"Others")</f>
        <v>Others</v>
      </c>
      <c r="C824" s="1" t="str">
        <f ca="1">IFERROR(__xludf.DUMMYFUNCTION("""COMPUTED_VALUE"""),"02-781")</f>
        <v>02-781</v>
      </c>
      <c r="D824" s="1" t="str">
        <f ca="1">IFERROR(__xludf.DUMMYFUNCTION("""COMPUTED_VALUE"""),"Female")</f>
        <v>Female</v>
      </c>
      <c r="E824" s="1" t="str">
        <f ca="1">IFERROR(__xludf.DUMMYFUNCTION("""COMPUTED_VALUE"""),"People from my circle, but not family members")</f>
        <v>People from my circle, but not family members</v>
      </c>
      <c r="F824" s="1" t="str">
        <f ca="1">IFERROR(__xludf.DUMMYFUNCTION("""COMPUTED_VALUE"""),"No I would not be pursuing Higher Education outside of India")</f>
        <v>No I would not be pursuing Higher Education outside of India</v>
      </c>
      <c r="G824" s="1" t="str">
        <f ca="1">IFERROR(__xludf.DUMMYFUNCTION("""COMPUTED_VALUE"""),"Will work for 3 years or more")</f>
        <v>Will work for 3 years or more</v>
      </c>
      <c r="H824" s="1" t="str">
        <f ca="1">IFERROR(__xludf.DUMMYFUNCTION("""COMPUTED_VALUE"""),"No")</f>
        <v>No</v>
      </c>
      <c r="I824" s="1" t="str">
        <f ca="1">IFERROR(__xludf.DUMMYFUNCTION("""COMPUTED_VALUE"""),"Will NOT work for them")</f>
        <v>Will NOT work for them</v>
      </c>
      <c r="J824" s="1">
        <f ca="1">IFERROR(__xludf.DUMMYFUNCTION("""COMPUTED_VALUE"""),1)</f>
        <v>1</v>
      </c>
      <c r="K824" s="1" t="str">
        <f ca="1">IFERROR(__xludf.DUMMYFUNCTION("""COMPUTED_VALUE"""),"Every Day Office Environment")</f>
        <v>Every Day Office Environment</v>
      </c>
      <c r="L824" s="1" t="str">
        <f ca="1">IFERROR(__xludf.DUMMYFUNCTION("""COMPUTED_VALUE"""),"Employer who rewards learning and enables that environment")</f>
        <v>Employer who rewards learning and enables that environment</v>
      </c>
      <c r="M82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24" s="1" t="str">
        <f ca="1">IFERROR(__xludf.DUMMYFUNCTION("""COMPUTED_VALUE"""),"Design and Creative strategy in any company, Business Operations in any organization, Become a content Creator in some platform, I Want to sell things/Sales")</f>
        <v>Design and Creative strategy in any company, Business Operations in any organization, Become a content Creator in some platform, I Want to sell things/Sales</v>
      </c>
      <c r="O824" s="1" t="str">
        <f ca="1">IFERROR(__xludf.DUMMYFUNCTION("""COMPUTED_VALUE"""),"Manager who explains what is expected, sets a goal and helps achieve it")</f>
        <v>Manager who explains what is expected, sets a goal and helps achieve it</v>
      </c>
      <c r="P824" s="1" t="str">
        <f ca="1">IFERROR(__xludf.DUMMYFUNCTION("""COMPUTED_VALUE"""),"Work with 7 to 10 or more people in my team")</f>
        <v>Work with 7 to 10 or more people in my team</v>
      </c>
      <c r="Q824" s="1" t="str">
        <f ca="1">IFERROR(__xludf.DUMMYFUNCTION("""COMPUTED_VALUE"""),"Yes, I Understand this is gonna happen everywhere")</f>
        <v>Yes, I Understand this is gonna happen everywhere</v>
      </c>
      <c r="R824" s="1" t="str">
        <f ca="1">IFERROR(__xludf.DUMMYFUNCTION("""COMPUTED_VALUE"""),"This will be hard to do, but if it is the right company I would try")</f>
        <v>This will be hard to do, but if it is the right company I would try</v>
      </c>
      <c r="S824" s="1"/>
    </row>
    <row r="825" spans="1:19" ht="12.5" x14ac:dyDescent="0.25">
      <c r="A825" s="2">
        <f ca="1">IFERROR(__xludf.DUMMYFUNCTION("""COMPUTED_VALUE"""),45022.8895086921)</f>
        <v>45022.889508692097</v>
      </c>
      <c r="B825" s="1" t="str">
        <f ca="1">IFERROR(__xludf.DUMMYFUNCTION("""COMPUTED_VALUE"""),"India")</f>
        <v>India</v>
      </c>
      <c r="C825" s="1">
        <f ca="1">IFERROR(__xludf.DUMMYFUNCTION("""COMPUTED_VALUE"""),641105)</f>
        <v>641105</v>
      </c>
      <c r="D825" s="1" t="str">
        <f ca="1">IFERROR(__xludf.DUMMYFUNCTION("""COMPUTED_VALUE"""),"Male")</f>
        <v>Male</v>
      </c>
      <c r="E825" s="1" t="str">
        <f ca="1">IFERROR(__xludf.DUMMYFUNCTION("""COMPUTED_VALUE"""),"People who have changed the world for better")</f>
        <v>People who have changed the world for better</v>
      </c>
      <c r="F825" s="1" t="str">
        <f ca="1">IFERROR(__xludf.DUMMYFUNCTION("""COMPUTED_VALUE"""),"No I would not be pursuing Higher Education outside of India")</f>
        <v>No I would not be pursuing Higher Education outside of India</v>
      </c>
      <c r="G825" s="1" t="str">
        <f ca="1">IFERROR(__xludf.DUMMYFUNCTION("""COMPUTED_VALUE"""),"This will be hard to do, but if it is the right company I would try")</f>
        <v>This will be hard to do, but if it is the right company I would try</v>
      </c>
      <c r="H825" s="1" t="str">
        <f ca="1">IFERROR(__xludf.DUMMYFUNCTION("""COMPUTED_VALUE"""),"Yes")</f>
        <v>Yes</v>
      </c>
      <c r="I825" s="1" t="str">
        <f ca="1">IFERROR(__xludf.DUMMYFUNCTION("""COMPUTED_VALUE"""),"Will work for them")</f>
        <v>Will work for them</v>
      </c>
      <c r="J825" s="1">
        <f ca="1">IFERROR(__xludf.DUMMYFUNCTION("""COMPUTED_VALUE"""),10)</f>
        <v>10</v>
      </c>
      <c r="K825" s="1" t="str">
        <f ca="1">IFERROR(__xludf.DUMMYFUNCTION("""COMPUTED_VALUE"""),"Hybrid Working Environment with more than 15 days a month at office")</f>
        <v>Hybrid Working Environment with more than 15 days a month at office</v>
      </c>
      <c r="L8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2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25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825" s="1" t="str">
        <f ca="1">IFERROR(__xludf.DUMMYFUNCTION("""COMPUTED_VALUE"""),"Manager who explains what is expected, sets a goal and helps achieve it")</f>
        <v>Manager who explains what is expected, sets a goal and helps achieve it</v>
      </c>
      <c r="P825" s="1" t="str">
        <f ca="1">IFERROR(__xludf.DUMMYFUNCTION("""COMPUTED_VALUE"""),"Work with 5 to 6 people in my team")</f>
        <v>Work with 5 to 6 people in my team</v>
      </c>
      <c r="Q825" s="1" t="str">
        <f ca="1">IFERROR(__xludf.DUMMYFUNCTION("""COMPUTED_VALUE"""),"Yes, I Understand this is gonna happen everywhere")</f>
        <v>Yes, I Understand this is gonna happen everywhere</v>
      </c>
      <c r="R825" s="1" t="str">
        <f ca="1">IFERROR(__xludf.DUMMYFUNCTION("""COMPUTED_VALUE"""),"This will be hard to do, but if it is the right company I would try")</f>
        <v>This will be hard to do, but if it is the right company I would try</v>
      </c>
      <c r="S825" s="1"/>
    </row>
    <row r="826" spans="1:19" ht="12.5" x14ac:dyDescent="0.25">
      <c r="A826" s="2">
        <f ca="1">IFERROR(__xludf.DUMMYFUNCTION("""COMPUTED_VALUE"""),45022.8985792476)</f>
        <v>45022.898579247601</v>
      </c>
      <c r="B826" s="1" t="str">
        <f ca="1">IFERROR(__xludf.DUMMYFUNCTION("""COMPUTED_VALUE"""),"India")</f>
        <v>India</v>
      </c>
      <c r="C826" s="1">
        <f ca="1">IFERROR(__xludf.DUMMYFUNCTION("""COMPUTED_VALUE"""),400603)</f>
        <v>400603</v>
      </c>
      <c r="D826" s="1" t="str">
        <f ca="1">IFERROR(__xludf.DUMMYFUNCTION("""COMPUTED_VALUE"""),"Female")</f>
        <v>Female</v>
      </c>
      <c r="E826" s="1" t="str">
        <f ca="1">IFERROR(__xludf.DUMMYFUNCTION("""COMPUTED_VALUE"""),"People from my circle, but not family members")</f>
        <v>People from my circle, but not family members</v>
      </c>
      <c r="F826" s="1" t="str">
        <f ca="1">IFERROR(__xludf.DUMMYFUNCTION("""COMPUTED_VALUE"""),"Yes, I will earn and do that")</f>
        <v>Yes, I will earn and do that</v>
      </c>
      <c r="G826" s="1" t="str">
        <f ca="1">IFERROR(__xludf.DUMMYFUNCTION("""COMPUTED_VALUE"""),"This will be hard to do, but if it is the right company I would try")</f>
        <v>This will be hard to do, but if it is the right company I would try</v>
      </c>
      <c r="H826" s="1" t="str">
        <f ca="1">IFERROR(__xludf.DUMMYFUNCTION("""COMPUTED_VALUE"""),"Yes")</f>
        <v>Yes</v>
      </c>
      <c r="I826" s="1" t="str">
        <f ca="1">IFERROR(__xludf.DUMMYFUNCTION("""COMPUTED_VALUE"""),"Will work for them")</f>
        <v>Will work for them</v>
      </c>
      <c r="J826" s="1">
        <f ca="1">IFERROR(__xludf.DUMMYFUNCTION("""COMPUTED_VALUE"""),5)</f>
        <v>5</v>
      </c>
      <c r="K826" s="1" t="str">
        <f ca="1">IFERROR(__xludf.DUMMYFUNCTION("""COMPUTED_VALUE"""),"Hybrid Working Environment with less than 3 days a month at office")</f>
        <v>Hybrid Working Environment with less than 3 days a month at office</v>
      </c>
      <c r="L8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2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826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826" s="1" t="str">
        <f ca="1">IFERROR(__xludf.DUMMYFUNCTION("""COMPUTED_VALUE"""),"Manager who explains what is expected, sets a goal and helps achieve it")</f>
        <v>Manager who explains what is expected, sets a goal and helps achieve it</v>
      </c>
      <c r="P826" s="1" t="str">
        <f ca="1">IFERROR(__xludf.DUMMYFUNCTION("""COMPUTED_VALUE"""),"Work with 2 to 3 people in my team")</f>
        <v>Work with 2 to 3 people in my team</v>
      </c>
      <c r="Q826" s="1" t="str">
        <f ca="1">IFERROR(__xludf.DUMMYFUNCTION("""COMPUTED_VALUE"""),"No")</f>
        <v>No</v>
      </c>
      <c r="R826" s="1" t="str">
        <f ca="1">IFERROR(__xludf.DUMMYFUNCTION("""COMPUTED_VALUE"""),"No way")</f>
        <v>No way</v>
      </c>
      <c r="S826" s="1"/>
    </row>
    <row r="827" spans="1:19" ht="12.5" x14ac:dyDescent="0.25">
      <c r="A827" s="2">
        <f ca="1">IFERROR(__xludf.DUMMYFUNCTION("""COMPUTED_VALUE"""),45022.9450558333)</f>
        <v>45022.945055833297</v>
      </c>
      <c r="B827" s="1" t="str">
        <f ca="1">IFERROR(__xludf.DUMMYFUNCTION("""COMPUTED_VALUE"""),"India")</f>
        <v>India</v>
      </c>
      <c r="C827" s="1">
        <f ca="1">IFERROR(__xludf.DUMMYFUNCTION("""COMPUTED_VALUE"""),670002)</f>
        <v>670002</v>
      </c>
      <c r="D827" s="1" t="str">
        <f ca="1">IFERROR(__xludf.DUMMYFUNCTION("""COMPUTED_VALUE"""),"Male")</f>
        <v>Male</v>
      </c>
      <c r="E827" s="1" t="str">
        <f ca="1">IFERROR(__xludf.DUMMYFUNCTION("""COMPUTED_VALUE"""),"Social Media like LinkedIn")</f>
        <v>Social Media like LinkedIn</v>
      </c>
      <c r="F827" s="1" t="str">
        <f ca="1">IFERROR(__xludf.DUMMYFUNCTION("""COMPUTED_VALUE"""),"Yes, I will earn and do that")</f>
        <v>Yes, I will earn and do that</v>
      </c>
      <c r="G827" s="1" t="str">
        <f ca="1">IFERROR(__xludf.DUMMYFUNCTION("""COMPUTED_VALUE"""),"Will work for 3 years or more")</f>
        <v>Will work for 3 years or more</v>
      </c>
      <c r="H827" s="1" t="str">
        <f ca="1">IFERROR(__xludf.DUMMYFUNCTION("""COMPUTED_VALUE"""),"No")</f>
        <v>No</v>
      </c>
      <c r="I827" s="1" t="str">
        <f ca="1">IFERROR(__xludf.DUMMYFUNCTION("""COMPUTED_VALUE"""),"Will NOT work for them")</f>
        <v>Will NOT work for them</v>
      </c>
      <c r="J827" s="1">
        <f ca="1">IFERROR(__xludf.DUMMYFUNCTION("""COMPUTED_VALUE"""),1)</f>
        <v>1</v>
      </c>
      <c r="K827" s="1" t="str">
        <f ca="1">IFERROR(__xludf.DUMMYFUNCTION("""COMPUTED_VALUE"""),"Hybrid Working Environment with less than 3 days a month at office")</f>
        <v>Hybrid Working Environment with less than 3 days a month at office</v>
      </c>
      <c r="L827" s="1" t="str">
        <f ca="1">IFERROR(__xludf.DUMMYFUNCTION("""COMPUTED_VALUE"""),"Employer who rewards learning and enables that environment")</f>
        <v>Employer who rewards learning and enables that environment</v>
      </c>
      <c r="M82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827" s="1" t="str">
        <f ca="1">IFERROR(__xludf.DUMMYFUNCTION("""COMPUTED_VALUE"""),"Build and develop a Team, Design and Develop amazing software, Look deeply into Data and generate insights, Entrepreneur or Start Up")</f>
        <v>Build and develop a Team, Design and Develop amazing software, Look deeply into Data and generate insights, Entrepreneur or Start Up</v>
      </c>
      <c r="O827" s="1" t="str">
        <f ca="1">IFERROR(__xludf.DUMMYFUNCTION("""COMPUTED_VALUE"""),"Manager who sets targets and expects me to achieve it")</f>
        <v>Manager who sets targets and expects me to achieve it</v>
      </c>
      <c r="P827" s="1" t="str">
        <f ca="1">IFERROR(__xludf.DUMMYFUNCTION("""COMPUTED_VALUE"""),"Work with 7 to 10 or more people in my team")</f>
        <v>Work with 7 to 10 or more people in my team</v>
      </c>
      <c r="Q827" s="1" t="str">
        <f ca="1">IFERROR(__xludf.DUMMYFUNCTION("""COMPUTED_VALUE"""),"No")</f>
        <v>No</v>
      </c>
      <c r="R827" s="1" t="str">
        <f ca="1">IFERROR(__xludf.DUMMYFUNCTION("""COMPUTED_VALUE"""),"Will work for 7 years or more")</f>
        <v>Will work for 7 years or more</v>
      </c>
      <c r="S827" s="1"/>
    </row>
    <row r="828" spans="1:19" ht="12.5" x14ac:dyDescent="0.25">
      <c r="A828" s="2">
        <f ca="1">IFERROR(__xludf.DUMMYFUNCTION("""COMPUTED_VALUE"""),45022.9527128009)</f>
        <v>45022.952712800899</v>
      </c>
      <c r="B828" s="1" t="str">
        <f ca="1">IFERROR(__xludf.DUMMYFUNCTION("""COMPUTED_VALUE"""),"India")</f>
        <v>India</v>
      </c>
      <c r="C828" s="1">
        <f ca="1">IFERROR(__xludf.DUMMYFUNCTION("""COMPUTED_VALUE"""),751012)</f>
        <v>751012</v>
      </c>
      <c r="D828" s="1" t="str">
        <f ca="1">IFERROR(__xludf.DUMMYFUNCTION("""COMPUTED_VALUE"""),"Male")</f>
        <v>Male</v>
      </c>
      <c r="E828" s="1" t="str">
        <f ca="1">IFERROR(__xludf.DUMMYFUNCTION("""COMPUTED_VALUE"""),"People who have changed the world for better")</f>
        <v>People who have changed the world for better</v>
      </c>
      <c r="F828" s="1" t="str">
        <f ca="1">IFERROR(__xludf.DUMMYFUNCTION("""COMPUTED_VALUE"""),"Yes, I will earn and do that")</f>
        <v>Yes, I will earn and do that</v>
      </c>
      <c r="G828" s="1" t="str">
        <f ca="1">IFERROR(__xludf.DUMMYFUNCTION("""COMPUTED_VALUE"""),"Will work for 3 years or more")</f>
        <v>Will work for 3 years or more</v>
      </c>
      <c r="H828" s="1" t="str">
        <f ca="1">IFERROR(__xludf.DUMMYFUNCTION("""COMPUTED_VALUE"""),"No")</f>
        <v>No</v>
      </c>
      <c r="I828" s="1" t="str">
        <f ca="1">IFERROR(__xludf.DUMMYFUNCTION("""COMPUTED_VALUE"""),"Will NOT work for them")</f>
        <v>Will NOT work for them</v>
      </c>
      <c r="J828" s="1">
        <f ca="1">IFERROR(__xludf.DUMMYFUNCTION("""COMPUTED_VALUE"""),8)</f>
        <v>8</v>
      </c>
      <c r="K828" s="1" t="str">
        <f ca="1">IFERROR(__xludf.DUMMYFUNCTION("""COMPUTED_VALUE"""),"Hybrid Working Environment with more than 15 days a month at office")</f>
        <v>Hybrid Working Environment with more than 15 days a month at office</v>
      </c>
      <c r="L828" s="1" t="str">
        <f ca="1">IFERROR(__xludf.DUMMYFUNCTION("""COMPUTED_VALUE"""),"Employer who appreciates learning and enables that environment")</f>
        <v>Employer who appreciates learning and enables that environment</v>
      </c>
      <c r="M82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28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828" s="1" t="str">
        <f ca="1">IFERROR(__xludf.DUMMYFUNCTION("""COMPUTED_VALUE"""),"Manager who explains what is expected, sets a goal and helps achieve it")</f>
        <v>Manager who explains what is expected, sets a goal and helps achieve it</v>
      </c>
      <c r="P828" s="1" t="str">
        <f ca="1">IFERROR(__xludf.DUMMYFUNCTION("""COMPUTED_VALUE"""),"Work with 2 to 3 people in my team, Work with 5 to 6 people in my team")</f>
        <v>Work with 2 to 3 people in my team, Work with 5 to 6 people in my team</v>
      </c>
      <c r="Q828" s="1" t="str">
        <f ca="1">IFERROR(__xludf.DUMMYFUNCTION("""COMPUTED_VALUE"""),"Yes, I Understand this is gonna happen everywhere")</f>
        <v>Yes, I Understand this is gonna happen everywhere</v>
      </c>
      <c r="R828" s="1" t="str">
        <f ca="1">IFERROR(__xludf.DUMMYFUNCTION("""COMPUTED_VALUE"""),"This will be hard to do, but if it is the right company I would try")</f>
        <v>This will be hard to do, but if it is the right company I would try</v>
      </c>
      <c r="S828" s="1"/>
    </row>
    <row r="829" spans="1:19" ht="12.5" x14ac:dyDescent="0.25">
      <c r="A829" s="2">
        <f ca="1">IFERROR(__xludf.DUMMYFUNCTION("""COMPUTED_VALUE"""),45022.9842512962)</f>
        <v>45022.984251296199</v>
      </c>
      <c r="B829" s="1" t="str">
        <f ca="1">IFERROR(__xludf.DUMMYFUNCTION("""COMPUTED_VALUE"""),"India")</f>
        <v>India</v>
      </c>
      <c r="C829" s="1">
        <f ca="1">IFERROR(__xludf.DUMMYFUNCTION("""COMPUTED_VALUE"""),400022)</f>
        <v>400022</v>
      </c>
      <c r="D829" s="1" t="str">
        <f ca="1">IFERROR(__xludf.DUMMYFUNCTION("""COMPUTED_VALUE"""),"Female")</f>
        <v>Female</v>
      </c>
      <c r="E829" s="1" t="str">
        <f ca="1">IFERROR(__xludf.DUMMYFUNCTION("""COMPUTED_VALUE"""),"My Parents")</f>
        <v>My Parents</v>
      </c>
      <c r="F829" s="1" t="str">
        <f ca="1">IFERROR(__xludf.DUMMYFUNCTION("""COMPUTED_VALUE"""),"Yes, I will earn and do that")</f>
        <v>Yes, I will earn and do that</v>
      </c>
      <c r="G829" s="1" t="str">
        <f ca="1">IFERROR(__xludf.DUMMYFUNCTION("""COMPUTED_VALUE"""),"No way")</f>
        <v>No way</v>
      </c>
      <c r="H829" s="1" t="str">
        <f ca="1">IFERROR(__xludf.DUMMYFUNCTION("""COMPUTED_VALUE"""),"No")</f>
        <v>No</v>
      </c>
      <c r="I829" s="1" t="str">
        <f ca="1">IFERROR(__xludf.DUMMYFUNCTION("""COMPUTED_VALUE"""),"Will NOT work for them")</f>
        <v>Will NOT work for them</v>
      </c>
      <c r="J829" s="1">
        <f ca="1">IFERROR(__xludf.DUMMYFUNCTION("""COMPUTED_VALUE"""),5)</f>
        <v>5</v>
      </c>
      <c r="K829" s="1" t="str">
        <f ca="1">IFERROR(__xludf.DUMMYFUNCTION("""COMPUTED_VALUE"""),"Fully Remote with Options to travel as and when needed")</f>
        <v>Fully Remote with Options to travel as and when needed</v>
      </c>
      <c r="L829" s="1" t="str">
        <f ca="1">IFERROR(__xludf.DUMMYFUNCTION("""COMPUTED_VALUE"""),"Employer who appreciates learning and enables that environment")</f>
        <v>Employer who appreciates learning and enables that environment</v>
      </c>
      <c r="M82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29" s="1" t="str">
        <f ca="1">IFERROR(__xludf.DUMMYFUNCTION("""COMPUTED_VALUE"""),"Teaching in any of the institutes/colleges/online or offline, Business Operations in any organization, Manage and drive End-to-End Projects or Products, Work as a freelancer and do my thing my way")</f>
        <v>Teaching in any of the institutes/colleges/online or offline, Business Operations in any organization, Manage and drive End-to-End Projects or Products, Work as a freelancer and do my thing my way</v>
      </c>
      <c r="O829" s="1" t="str">
        <f ca="1">IFERROR(__xludf.DUMMYFUNCTION("""COMPUTED_VALUE"""),"Manager who explains what is expected, sets a goal and helps achieve it")</f>
        <v>Manager who explains what is expected, sets a goal and helps achieve it</v>
      </c>
      <c r="P829" s="1" t="str">
        <f ca="1">IFERROR(__xludf.DUMMYFUNCTION("""COMPUTED_VALUE"""),"Work with 5 to 6 people in my team")</f>
        <v>Work with 5 to 6 people in my team</v>
      </c>
      <c r="Q829" s="1" t="str">
        <f ca="1">IFERROR(__xludf.DUMMYFUNCTION("""COMPUTED_VALUE"""),"Yes, I Understand this is gonna happen everywhere")</f>
        <v>Yes, I Understand this is gonna happen everywhere</v>
      </c>
      <c r="R829" s="1" t="str">
        <f ca="1">IFERROR(__xludf.DUMMYFUNCTION("""COMPUTED_VALUE"""),"No way")</f>
        <v>No way</v>
      </c>
      <c r="S829" s="1"/>
    </row>
    <row r="830" spans="1:19" ht="12.5" x14ac:dyDescent="0.25">
      <c r="A830" s="2">
        <f ca="1">IFERROR(__xludf.DUMMYFUNCTION("""COMPUTED_VALUE"""),45023.0013674421)</f>
        <v>45023.001367442099</v>
      </c>
      <c r="B830" s="1" t="str">
        <f ca="1">IFERROR(__xludf.DUMMYFUNCTION("""COMPUTED_VALUE"""),"India")</f>
        <v>India</v>
      </c>
      <c r="C830" s="1">
        <f ca="1">IFERROR(__xludf.DUMMYFUNCTION("""COMPUTED_VALUE"""),688529)</f>
        <v>688529</v>
      </c>
      <c r="D830" s="1" t="str">
        <f ca="1">IFERROR(__xludf.DUMMYFUNCTION("""COMPUTED_VALUE"""),"Female")</f>
        <v>Female</v>
      </c>
      <c r="E830" s="1" t="str">
        <f ca="1">IFERROR(__xludf.DUMMYFUNCTION("""COMPUTED_VALUE"""),"My Parents")</f>
        <v>My Parents</v>
      </c>
      <c r="F830" s="1" t="str">
        <f ca="1">IFERROR(__xludf.DUMMYFUNCTION("""COMPUTED_VALUE"""),"Yes, I will earn and do that")</f>
        <v>Yes, I will earn and do that</v>
      </c>
      <c r="G830" s="1" t="str">
        <f ca="1">IFERROR(__xludf.DUMMYFUNCTION("""COMPUTED_VALUE"""),"This will be hard to do, but if it is the right company I would try")</f>
        <v>This will be hard to do, but if it is the right company I would try</v>
      </c>
      <c r="H830" s="1" t="str">
        <f ca="1">IFERROR(__xludf.DUMMYFUNCTION("""COMPUTED_VALUE"""),"No")</f>
        <v>No</v>
      </c>
      <c r="I830" s="1" t="str">
        <f ca="1">IFERROR(__xludf.DUMMYFUNCTION("""COMPUTED_VALUE"""),"Will NOT work for them")</f>
        <v>Will NOT work for them</v>
      </c>
      <c r="J830" s="1">
        <f ca="1">IFERROR(__xludf.DUMMYFUNCTION("""COMPUTED_VALUE"""),8)</f>
        <v>8</v>
      </c>
      <c r="K830" s="1" t="str">
        <f ca="1">IFERROR(__xludf.DUMMYFUNCTION("""COMPUTED_VALUE"""),"Every Day Office Environment")</f>
        <v>Every Day Office Environment</v>
      </c>
      <c r="L8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30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830" s="1" t="str">
        <f ca="1">IFERROR(__xludf.DUMMYFUNCTION("""COMPUTED_VALUE"""),"Design and Creative strategy in any company, Teaching in any of the institutes/colleges/online or offline, Business Operations in any organization, I Want to sell things/Sales")</f>
        <v>Design and Creative strategy in any company, Teaching in any of the institutes/colleges/online or offline, Business Operations in any organization, I Want to sell things/Sales</v>
      </c>
      <c r="O830" s="1" t="str">
        <f ca="1">IFERROR(__xludf.DUMMYFUNCTION("""COMPUTED_VALUE"""),"Manager who clearly describes what she/he needs")</f>
        <v>Manager who clearly describes what she/he needs</v>
      </c>
      <c r="P830" s="1" t="str">
        <f ca="1">IFERROR(__xludf.DUMMYFUNCTION("""COMPUTED_VALUE"""),"Work with 5 to 6 people in my team")</f>
        <v>Work with 5 to 6 people in my team</v>
      </c>
      <c r="Q830" s="1" t="str">
        <f ca="1">IFERROR(__xludf.DUMMYFUNCTION("""COMPUTED_VALUE"""),"No")</f>
        <v>No</v>
      </c>
      <c r="R830" s="1" t="str">
        <f ca="1">IFERROR(__xludf.DUMMYFUNCTION("""COMPUTED_VALUE"""),"This will be hard to do, but if it is the right company I would try")</f>
        <v>This will be hard to do, but if it is the right company I would try</v>
      </c>
      <c r="S830" s="1"/>
    </row>
    <row r="831" spans="1:19" ht="12.5" x14ac:dyDescent="0.25">
      <c r="A831" s="2">
        <f ca="1">IFERROR(__xludf.DUMMYFUNCTION("""COMPUTED_VALUE"""),45023.0227275578)</f>
        <v>45023.0227275578</v>
      </c>
      <c r="B831" s="1" t="str">
        <f ca="1">IFERROR(__xludf.DUMMYFUNCTION("""COMPUTED_VALUE"""),"India")</f>
        <v>India</v>
      </c>
      <c r="C831" s="1">
        <f ca="1">IFERROR(__xludf.DUMMYFUNCTION("""COMPUTED_VALUE"""),190020)</f>
        <v>190020</v>
      </c>
      <c r="D831" s="1" t="str">
        <f ca="1">IFERROR(__xludf.DUMMYFUNCTION("""COMPUTED_VALUE"""),"Female")</f>
        <v>Female</v>
      </c>
      <c r="E831" s="1" t="str">
        <f ca="1">IFERROR(__xludf.DUMMYFUNCTION("""COMPUTED_VALUE"""),"Social Media like LinkedIn")</f>
        <v>Social Media like LinkedIn</v>
      </c>
      <c r="F831" s="1" t="str">
        <f ca="1">IFERROR(__xludf.DUMMYFUNCTION("""COMPUTED_VALUE"""),"No I would not be pursuing Higher Education outside of India")</f>
        <v>No I would not be pursuing Higher Education outside of India</v>
      </c>
      <c r="G831" s="1" t="str">
        <f ca="1">IFERROR(__xludf.DUMMYFUNCTION("""COMPUTED_VALUE"""),"No way")</f>
        <v>No way</v>
      </c>
      <c r="H831" s="1" t="str">
        <f ca="1">IFERROR(__xludf.DUMMYFUNCTION("""COMPUTED_VALUE"""),"No")</f>
        <v>No</v>
      </c>
      <c r="I831" s="1" t="str">
        <f ca="1">IFERROR(__xludf.DUMMYFUNCTION("""COMPUTED_VALUE"""),"Will NOT work for them")</f>
        <v>Will NOT work for them</v>
      </c>
      <c r="J831" s="1">
        <f ca="1">IFERROR(__xludf.DUMMYFUNCTION("""COMPUTED_VALUE"""),10)</f>
        <v>10</v>
      </c>
      <c r="K831" s="1" t="str">
        <f ca="1">IFERROR(__xludf.DUMMYFUNCTION("""COMPUTED_VALUE"""),"Fully Remote with No option to visit offices")</f>
        <v>Fully Remote with No option to visit offices</v>
      </c>
      <c r="L831" s="1" t="str">
        <f ca="1">IFERROR(__xludf.DUMMYFUNCTION("""COMPUTED_VALUE"""),"Employer who rewards learning and enables that environment")</f>
        <v>Employer who rewards learning and enables that environment</v>
      </c>
      <c r="M831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831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831" s="1" t="str">
        <f ca="1">IFERROR(__xludf.DUMMYFUNCTION("""COMPUTED_VALUE"""),"Manager who explains what is expected, sets a goal and helps achieve it")</f>
        <v>Manager who explains what is expected, sets a goal and helps achieve it</v>
      </c>
      <c r="P831" s="1" t="str">
        <f ca="1">IFERROR(__xludf.DUMMYFUNCTION("""COMPUTED_VALUE"""),"Work with 7 to 10 or more people in my team")</f>
        <v>Work with 7 to 10 or more people in my team</v>
      </c>
      <c r="Q831" s="1" t="str">
        <f ca="1">IFERROR(__xludf.DUMMYFUNCTION("""COMPUTED_VALUE"""),"Yes, I Understand this is gonna happen everywhere")</f>
        <v>Yes, I Understand this is gonna happen everywhere</v>
      </c>
      <c r="R831" s="1" t="str">
        <f ca="1">IFERROR(__xludf.DUMMYFUNCTION("""COMPUTED_VALUE"""),"No way")</f>
        <v>No way</v>
      </c>
      <c r="S831" s="1"/>
    </row>
    <row r="832" spans="1:19" ht="12.5" x14ac:dyDescent="0.25">
      <c r="A832" s="2">
        <f ca="1">IFERROR(__xludf.DUMMYFUNCTION("""COMPUTED_VALUE"""),45023.0585349768)</f>
        <v>45023.058534976801</v>
      </c>
      <c r="B832" s="1" t="str">
        <f ca="1">IFERROR(__xludf.DUMMYFUNCTION("""COMPUTED_VALUE"""),"India")</f>
        <v>India</v>
      </c>
      <c r="C832" s="1">
        <f ca="1">IFERROR(__xludf.DUMMYFUNCTION("""COMPUTED_VALUE"""),500074)</f>
        <v>500074</v>
      </c>
      <c r="D832" s="1" t="str">
        <f ca="1">IFERROR(__xludf.DUMMYFUNCTION("""COMPUTED_VALUE"""),"Male")</f>
        <v>Male</v>
      </c>
      <c r="E832" s="1" t="str">
        <f ca="1">IFERROR(__xludf.DUMMYFUNCTION("""COMPUTED_VALUE"""),"People who have changed the world for better")</f>
        <v>People who have changed the world for better</v>
      </c>
      <c r="F832" s="1" t="str">
        <f ca="1">IFERROR(__xludf.DUMMYFUNCTION("""COMPUTED_VALUE"""),"Yes, I will earn and do that")</f>
        <v>Yes, I will earn and do that</v>
      </c>
      <c r="G832" s="1" t="str">
        <f ca="1">IFERROR(__xludf.DUMMYFUNCTION("""COMPUTED_VALUE"""),"This will be hard to do, but if it is the right company I would try")</f>
        <v>This will be hard to do, but if it is the right company I would try</v>
      </c>
      <c r="H832" s="1" t="str">
        <f ca="1">IFERROR(__xludf.DUMMYFUNCTION("""COMPUTED_VALUE"""),"No")</f>
        <v>No</v>
      </c>
      <c r="I832" s="1" t="str">
        <f ca="1">IFERROR(__xludf.DUMMYFUNCTION("""COMPUTED_VALUE"""),"Will NOT work for them")</f>
        <v>Will NOT work for them</v>
      </c>
      <c r="J832" s="1">
        <f ca="1">IFERROR(__xludf.DUMMYFUNCTION("""COMPUTED_VALUE"""),7)</f>
        <v>7</v>
      </c>
      <c r="K832" s="1" t="str">
        <f ca="1">IFERROR(__xludf.DUMMYFUNCTION("""COMPUTED_VALUE"""),"Fully Remote with No option to visit offices")</f>
        <v>Fully Remote with No option to visit offices</v>
      </c>
      <c r="L8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32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832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832" s="1" t="str">
        <f ca="1">IFERROR(__xludf.DUMMYFUNCTION("""COMPUTED_VALUE"""),"Manager who sets goal and helps me achieve it")</f>
        <v>Manager who sets goal and helps me achieve it</v>
      </c>
      <c r="P832" s="1" t="str">
        <f ca="1">IFERROR(__xludf.DUMMYFUNCTION("""COMPUTED_VALUE"""),"Work with 2 to 3 people in my team")</f>
        <v>Work with 2 to 3 people in my team</v>
      </c>
      <c r="Q832" s="1" t="str">
        <f ca="1">IFERROR(__xludf.DUMMYFUNCTION("""COMPUTED_VALUE"""),"No")</f>
        <v>No</v>
      </c>
      <c r="R832" s="1" t="str">
        <f ca="1">IFERROR(__xludf.DUMMYFUNCTION("""COMPUTED_VALUE"""),"No way")</f>
        <v>No way</v>
      </c>
      <c r="S832" s="1"/>
    </row>
    <row r="833" spans="1:19" ht="12.5" x14ac:dyDescent="0.25">
      <c r="A833" s="2">
        <f ca="1">IFERROR(__xludf.DUMMYFUNCTION("""COMPUTED_VALUE"""),45023.2530901388)</f>
        <v>45023.253090138802</v>
      </c>
      <c r="B833" s="1" t="str">
        <f ca="1">IFERROR(__xludf.DUMMYFUNCTION("""COMPUTED_VALUE"""),"India")</f>
        <v>India</v>
      </c>
      <c r="C833" s="1">
        <f ca="1">IFERROR(__xludf.DUMMYFUNCTION("""COMPUTED_VALUE"""),110078)</f>
        <v>110078</v>
      </c>
      <c r="D833" s="1" t="str">
        <f ca="1">IFERROR(__xludf.DUMMYFUNCTION("""COMPUTED_VALUE"""),"Male")</f>
        <v>Male</v>
      </c>
      <c r="E833" s="1" t="str">
        <f ca="1">IFERROR(__xludf.DUMMYFUNCTION("""COMPUTED_VALUE"""),"My Parents")</f>
        <v>My Parents</v>
      </c>
      <c r="F833" s="1" t="str">
        <f ca="1">IFERROR(__xludf.DUMMYFUNCTION("""COMPUTED_VALUE"""),"Yes, I will earn and do that")</f>
        <v>Yes, I will earn and do that</v>
      </c>
      <c r="G833" s="1" t="str">
        <f ca="1">IFERROR(__xludf.DUMMYFUNCTION("""COMPUTED_VALUE"""),"Will work for 3 years or more")</f>
        <v>Will work for 3 years or more</v>
      </c>
      <c r="H833" s="1" t="str">
        <f ca="1">IFERROR(__xludf.DUMMYFUNCTION("""COMPUTED_VALUE"""),"No")</f>
        <v>No</v>
      </c>
      <c r="I833" s="1" t="str">
        <f ca="1">IFERROR(__xludf.DUMMYFUNCTION("""COMPUTED_VALUE"""),"Will NOT work for them")</f>
        <v>Will NOT work for them</v>
      </c>
      <c r="J833" s="1">
        <f ca="1">IFERROR(__xludf.DUMMYFUNCTION("""COMPUTED_VALUE"""),8)</f>
        <v>8</v>
      </c>
      <c r="K833" s="1" t="str">
        <f ca="1">IFERROR(__xludf.DUMMYFUNCTION("""COMPUTED_VALUE"""),"Every Day Office Environment")</f>
        <v>Every Day Office Environment</v>
      </c>
      <c r="L833" s="1" t="str">
        <f ca="1">IFERROR(__xludf.DUMMYFUNCTION("""COMPUTED_VALUE"""),"Employer who appreciates learning and enables that environment")</f>
        <v>Employer who appreciates learning and enables that environment</v>
      </c>
      <c r="M83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33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833" s="1" t="str">
        <f ca="1">IFERROR(__xludf.DUMMYFUNCTION("""COMPUTED_VALUE"""),"Manager who clearly describes what she/he needs")</f>
        <v>Manager who clearly describes what she/he needs</v>
      </c>
      <c r="P833" s="1" t="str">
        <f ca="1">IFERROR(__xludf.DUMMYFUNCTION("""COMPUTED_VALUE"""),"Work with 5 to 6 people in my team")</f>
        <v>Work with 5 to 6 people in my team</v>
      </c>
      <c r="Q833" s="1" t="str">
        <f ca="1">IFERROR(__xludf.DUMMYFUNCTION("""COMPUTED_VALUE"""),"Yes, I Understand this is gonna happen everywhere")</f>
        <v>Yes, I Understand this is gonna happen everywhere</v>
      </c>
      <c r="R833" s="1" t="str">
        <f ca="1">IFERROR(__xludf.DUMMYFUNCTION("""COMPUTED_VALUE"""),"Will work for 7 years or more")</f>
        <v>Will work for 7 years or more</v>
      </c>
      <c r="S833" s="1"/>
    </row>
    <row r="834" spans="1:19" ht="12.5" x14ac:dyDescent="0.25">
      <c r="A834" s="2">
        <f ca="1">IFERROR(__xludf.DUMMYFUNCTION("""COMPUTED_VALUE"""),45023.2829494212)</f>
        <v>45023.282949421198</v>
      </c>
      <c r="B834" s="1" t="str">
        <f ca="1">IFERROR(__xludf.DUMMYFUNCTION("""COMPUTED_VALUE"""),"India")</f>
        <v>India</v>
      </c>
      <c r="C834" s="1">
        <f ca="1">IFERROR(__xludf.DUMMYFUNCTION("""COMPUTED_VALUE"""),247667)</f>
        <v>247667</v>
      </c>
      <c r="D834" s="1" t="str">
        <f ca="1">IFERROR(__xludf.DUMMYFUNCTION("""COMPUTED_VALUE"""),"Female")</f>
        <v>Female</v>
      </c>
      <c r="E834" s="1" t="str">
        <f ca="1">IFERROR(__xludf.DUMMYFUNCTION("""COMPUTED_VALUE"""),"People from my circle, but not family members")</f>
        <v>People from my circle, but not family members</v>
      </c>
      <c r="F834" s="1" t="str">
        <f ca="1">IFERROR(__xludf.DUMMYFUNCTION("""COMPUTED_VALUE"""),"Yes, I will earn and do that")</f>
        <v>Yes, I will earn and do that</v>
      </c>
      <c r="G834" s="1" t="str">
        <f ca="1">IFERROR(__xludf.DUMMYFUNCTION("""COMPUTED_VALUE"""),"Will work for 3 years or more")</f>
        <v>Will work for 3 years or more</v>
      </c>
      <c r="H834" s="1" t="str">
        <f ca="1">IFERROR(__xludf.DUMMYFUNCTION("""COMPUTED_VALUE"""),"No")</f>
        <v>No</v>
      </c>
      <c r="I834" s="1" t="str">
        <f ca="1">IFERROR(__xludf.DUMMYFUNCTION("""COMPUTED_VALUE"""),"Will NOT work for them")</f>
        <v>Will NOT work for them</v>
      </c>
      <c r="J834" s="1">
        <f ca="1">IFERROR(__xludf.DUMMYFUNCTION("""COMPUTED_VALUE"""),7)</f>
        <v>7</v>
      </c>
      <c r="K834" s="1" t="str">
        <f ca="1">IFERROR(__xludf.DUMMYFUNCTION("""COMPUTED_VALUE"""),"Fully Remote with Options to travel as and when needed")</f>
        <v>Fully Remote with Options to travel as and when needed</v>
      </c>
      <c r="L8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3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34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834" s="1" t="str">
        <f ca="1">IFERROR(__xludf.DUMMYFUNCTION("""COMPUTED_VALUE"""),"Manager who explains what is expected, sets a goal and helps achieve it")</f>
        <v>Manager who explains what is expected, sets a goal and helps achieve it</v>
      </c>
      <c r="P834" s="1" t="str">
        <f ca="1">IFERROR(__xludf.DUMMYFUNCTION("""COMPUTED_VALUE"""),"Work with 2 to 3 people in my team, Work with 5 to 6 people in my team")</f>
        <v>Work with 2 to 3 people in my team, Work with 5 to 6 people in my team</v>
      </c>
      <c r="Q834" s="1" t="str">
        <f ca="1">IFERROR(__xludf.DUMMYFUNCTION("""COMPUTED_VALUE"""),"Yes, I Understand this is gonna happen everywhere")</f>
        <v>Yes, I Understand this is gonna happen everywhere</v>
      </c>
      <c r="R834" s="1" t="str">
        <f ca="1">IFERROR(__xludf.DUMMYFUNCTION("""COMPUTED_VALUE"""),"This will be hard to do, but if it is the right company I would try")</f>
        <v>This will be hard to do, but if it is the right company I would try</v>
      </c>
      <c r="S834" s="1"/>
    </row>
    <row r="835" spans="1:19" ht="12.5" x14ac:dyDescent="0.25">
      <c r="A835" s="2">
        <f ca="1">IFERROR(__xludf.DUMMYFUNCTION("""COMPUTED_VALUE"""),45023.3115559259)</f>
        <v>45023.311555925902</v>
      </c>
      <c r="B835" s="1" t="str">
        <f ca="1">IFERROR(__xludf.DUMMYFUNCTION("""COMPUTED_VALUE"""),"India")</f>
        <v>India</v>
      </c>
      <c r="C835" s="1">
        <f ca="1">IFERROR(__xludf.DUMMYFUNCTION("""COMPUTED_VALUE"""),625010)</f>
        <v>625010</v>
      </c>
      <c r="D835" s="1" t="str">
        <f ca="1">IFERROR(__xludf.DUMMYFUNCTION("""COMPUTED_VALUE"""),"Female")</f>
        <v>Female</v>
      </c>
      <c r="E835" s="1" t="str">
        <f ca="1">IFERROR(__xludf.DUMMYFUNCTION("""COMPUTED_VALUE"""),"Influencers who had successful careers")</f>
        <v>Influencers who had successful careers</v>
      </c>
      <c r="F835" s="1" t="str">
        <f ca="1">IFERROR(__xludf.DUMMYFUNCTION("""COMPUTED_VALUE"""),"No, But if someone could bare the cost I will")</f>
        <v>No, But if someone could bare the cost I will</v>
      </c>
      <c r="G835" s="1" t="str">
        <f ca="1">IFERROR(__xludf.DUMMYFUNCTION("""COMPUTED_VALUE"""),"Will work for 3 years or more")</f>
        <v>Will work for 3 years or more</v>
      </c>
      <c r="H835" s="1" t="str">
        <f ca="1">IFERROR(__xludf.DUMMYFUNCTION("""COMPUTED_VALUE"""),"No")</f>
        <v>No</v>
      </c>
      <c r="I835" s="1" t="str">
        <f ca="1">IFERROR(__xludf.DUMMYFUNCTION("""COMPUTED_VALUE"""),"Will NOT work for them")</f>
        <v>Will NOT work for them</v>
      </c>
      <c r="J835" s="1">
        <f ca="1">IFERROR(__xludf.DUMMYFUNCTION("""COMPUTED_VALUE"""),5)</f>
        <v>5</v>
      </c>
      <c r="K835" s="1" t="str">
        <f ca="1">IFERROR(__xludf.DUMMYFUNCTION("""COMPUTED_VALUE"""),"Hybrid Working Environment with less than 3 days a month at office")</f>
        <v>Hybrid Working Environment with less than 3 days a month at office</v>
      </c>
      <c r="L835" s="1" t="str">
        <f ca="1">IFERROR(__xludf.DUMMYFUNCTION("""COMPUTED_VALUE"""),"Employer who rewards learning and enables that environment")</f>
        <v>Employer who rewards learning and enables that environment</v>
      </c>
      <c r="M83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35" s="1" t="str">
        <f ca="1">IFERROR(__xludf.DUMMYFUNCTION("""COMPUTED_VALUE"""),"Manage and drive End-to-End Projects or Products, Build and develop a Team, Look deeply into Data and generate insights, I Want to sell things/Sales")</f>
        <v>Manage and drive End-to-End Projects or Products, Build and develop a Team, Look deeply into Data and generate insights, I Want to sell things/Sales</v>
      </c>
      <c r="O835" s="1" t="str">
        <f ca="1">IFERROR(__xludf.DUMMYFUNCTION("""COMPUTED_VALUE"""),"Manager who explains what is expected, sets a goal and helps achieve it")</f>
        <v>Manager who explains what is expected, sets a goal and helps achieve it</v>
      </c>
      <c r="P835" s="1" t="str">
        <f ca="1">IFERROR(__xludf.DUMMYFUNCTION("""COMPUTED_VALUE"""),"Work with 7 to 10 or more people in my team")</f>
        <v>Work with 7 to 10 or more people in my team</v>
      </c>
      <c r="Q835" s="1" t="str">
        <f ca="1">IFERROR(__xludf.DUMMYFUNCTION("""COMPUTED_VALUE"""),"Yes, I Understand this is gonna happen everywhere")</f>
        <v>Yes, I Understand this is gonna happen everywhere</v>
      </c>
      <c r="R835" s="1" t="str">
        <f ca="1">IFERROR(__xludf.DUMMYFUNCTION("""COMPUTED_VALUE"""),"This will be hard to do, but if it is the right company I would try")</f>
        <v>This will be hard to do, but if it is the right company I would try</v>
      </c>
      <c r="S835" s="1"/>
    </row>
    <row r="836" spans="1:19" ht="12.5" x14ac:dyDescent="0.25">
      <c r="A836" s="2">
        <f ca="1">IFERROR(__xludf.DUMMYFUNCTION("""COMPUTED_VALUE"""),45023.3708238078)</f>
        <v>45023.370823807803</v>
      </c>
      <c r="B836" s="1" t="str">
        <f ca="1">IFERROR(__xludf.DUMMYFUNCTION("""COMPUTED_VALUE"""),"India")</f>
        <v>India</v>
      </c>
      <c r="C836" s="1">
        <f ca="1">IFERROR(__xludf.DUMMYFUNCTION("""COMPUTED_VALUE"""),400607)</f>
        <v>400607</v>
      </c>
      <c r="D836" s="1" t="str">
        <f ca="1">IFERROR(__xludf.DUMMYFUNCTION("""COMPUTED_VALUE"""),"Female")</f>
        <v>Female</v>
      </c>
      <c r="E836" s="1" t="str">
        <f ca="1">IFERROR(__xludf.DUMMYFUNCTION("""COMPUTED_VALUE"""),"Influencers who had successful careers")</f>
        <v>Influencers who had successful careers</v>
      </c>
      <c r="F836" s="1" t="str">
        <f ca="1">IFERROR(__xludf.DUMMYFUNCTION("""COMPUTED_VALUE"""),"Yes, I will earn and do that")</f>
        <v>Yes, I will earn and do that</v>
      </c>
      <c r="G836" s="1" t="str">
        <f ca="1">IFERROR(__xludf.DUMMYFUNCTION("""COMPUTED_VALUE"""),"This will be hard to do, but if it is the right company I would try")</f>
        <v>This will be hard to do, but if it is the right company I would try</v>
      </c>
      <c r="H836" s="1" t="str">
        <f ca="1">IFERROR(__xludf.DUMMYFUNCTION("""COMPUTED_VALUE"""),"Yes")</f>
        <v>Yes</v>
      </c>
      <c r="I836" s="1" t="str">
        <f ca="1">IFERROR(__xludf.DUMMYFUNCTION("""COMPUTED_VALUE"""),"Will NOT work for them")</f>
        <v>Will NOT work for them</v>
      </c>
      <c r="J836" s="1">
        <f ca="1">IFERROR(__xludf.DUMMYFUNCTION("""COMPUTED_VALUE"""),6)</f>
        <v>6</v>
      </c>
      <c r="K836" s="1" t="str">
        <f ca="1">IFERROR(__xludf.DUMMYFUNCTION("""COMPUTED_VALUE"""),"Fully Remote with Options to travel as and when needed")</f>
        <v>Fully Remote with Options to travel as and when needed</v>
      </c>
      <c r="L8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3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836" s="1" t="str">
        <f ca="1">IFERROR(__xludf.DUMMYFUNCTION("""COMPUTED_VALUE"""),"Design and Creative strategy in any company, Design and Develop amazing software, Become a content Creator in some platform, Entrepreneur or Start Up")</f>
        <v>Design and Creative strategy in any company, Design and Develop amazing software, Become a content Creator in some platform, Entrepreneur or Start Up</v>
      </c>
      <c r="O836" s="1" t="str">
        <f ca="1">IFERROR(__xludf.DUMMYFUNCTION("""COMPUTED_VALUE"""),"Manager who clearly describes what she/he needs")</f>
        <v>Manager who clearly describes what she/he needs</v>
      </c>
      <c r="P836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836" s="1" t="str">
        <f ca="1">IFERROR(__xludf.DUMMYFUNCTION("""COMPUTED_VALUE"""),"Yes, I Understand this is gonna happen everywhere")</f>
        <v>Yes, I Understand this is gonna happen everywhere</v>
      </c>
      <c r="R836" s="1" t="str">
        <f ca="1">IFERROR(__xludf.DUMMYFUNCTION("""COMPUTED_VALUE"""),"No way")</f>
        <v>No way</v>
      </c>
      <c r="S836" s="1"/>
    </row>
    <row r="837" spans="1:19" ht="12.5" x14ac:dyDescent="0.25">
      <c r="A837" s="2">
        <f ca="1">IFERROR(__xludf.DUMMYFUNCTION("""COMPUTED_VALUE"""),45023.3731447337)</f>
        <v>45023.373144733698</v>
      </c>
      <c r="B837" s="1" t="str">
        <f ca="1">IFERROR(__xludf.DUMMYFUNCTION("""COMPUTED_VALUE"""),"India")</f>
        <v>India</v>
      </c>
      <c r="C837" s="1">
        <f ca="1">IFERROR(__xludf.DUMMYFUNCTION("""COMPUTED_VALUE"""),600125)</f>
        <v>600125</v>
      </c>
      <c r="D837" s="1" t="str">
        <f ca="1">IFERROR(__xludf.DUMMYFUNCTION("""COMPUTED_VALUE"""),"Male")</f>
        <v>Male</v>
      </c>
      <c r="E837" s="1" t="str">
        <f ca="1">IFERROR(__xludf.DUMMYFUNCTION("""COMPUTED_VALUE"""),"People who have changed the world for better")</f>
        <v>People who have changed the world for better</v>
      </c>
      <c r="F837" s="1" t="str">
        <f ca="1">IFERROR(__xludf.DUMMYFUNCTION("""COMPUTED_VALUE"""),"No I would not be pursuing Higher Education outside of India")</f>
        <v>No I would not be pursuing Higher Education outside of India</v>
      </c>
      <c r="G837" s="1" t="str">
        <f ca="1">IFERROR(__xludf.DUMMYFUNCTION("""COMPUTED_VALUE"""),"Will work for 3 years or more")</f>
        <v>Will work for 3 years or more</v>
      </c>
      <c r="H837" s="1" t="str">
        <f ca="1">IFERROR(__xludf.DUMMYFUNCTION("""COMPUTED_VALUE"""),"No")</f>
        <v>No</v>
      </c>
      <c r="I837" s="1" t="str">
        <f ca="1">IFERROR(__xludf.DUMMYFUNCTION("""COMPUTED_VALUE"""),"Will NOT work for them")</f>
        <v>Will NOT work for them</v>
      </c>
      <c r="J837" s="1">
        <f ca="1">IFERROR(__xludf.DUMMYFUNCTION("""COMPUTED_VALUE"""),7)</f>
        <v>7</v>
      </c>
      <c r="K837" s="1" t="str">
        <f ca="1">IFERROR(__xludf.DUMMYFUNCTION("""COMPUTED_VALUE"""),"Every Day Office Environment")</f>
        <v>Every Day Office Environment</v>
      </c>
      <c r="L8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3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37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837" s="1" t="str">
        <f ca="1">IFERROR(__xludf.DUMMYFUNCTION("""COMPUTED_VALUE"""),"Manager who clearly describes what she/he needs")</f>
        <v>Manager who clearly describes what she/he needs</v>
      </c>
      <c r="P837" s="1" t="str">
        <f ca="1">IFERROR(__xludf.DUMMYFUNCTION("""COMPUTED_VALUE"""),"Work with 7 to 10 or more people in my team")</f>
        <v>Work with 7 to 10 or more people in my team</v>
      </c>
      <c r="Q837" s="1" t="str">
        <f ca="1">IFERROR(__xludf.DUMMYFUNCTION("""COMPUTED_VALUE"""),"Yes, I Understand this is gonna happen everywhere")</f>
        <v>Yes, I Understand this is gonna happen everywhere</v>
      </c>
      <c r="R837" s="1" t="str">
        <f ca="1">IFERROR(__xludf.DUMMYFUNCTION("""COMPUTED_VALUE"""),"This will be hard to do, but if it is the right company I would try")</f>
        <v>This will be hard to do, but if it is the right company I would try</v>
      </c>
      <c r="S837" s="1"/>
    </row>
    <row r="838" spans="1:19" ht="12.5" x14ac:dyDescent="0.25">
      <c r="A838" s="2">
        <f ca="1">IFERROR(__xludf.DUMMYFUNCTION("""COMPUTED_VALUE"""),45023.380565787)</f>
        <v>45023.380565787003</v>
      </c>
      <c r="B838" s="1" t="str">
        <f ca="1">IFERROR(__xludf.DUMMYFUNCTION("""COMPUTED_VALUE"""),"India")</f>
        <v>India</v>
      </c>
      <c r="C838" s="1">
        <f ca="1">IFERROR(__xludf.DUMMYFUNCTION("""COMPUTED_VALUE"""),560043)</f>
        <v>560043</v>
      </c>
      <c r="D838" s="1" t="str">
        <f ca="1">IFERROR(__xludf.DUMMYFUNCTION("""COMPUTED_VALUE"""),"Male")</f>
        <v>Male</v>
      </c>
      <c r="E838" s="1" t="str">
        <f ca="1">IFERROR(__xludf.DUMMYFUNCTION("""COMPUTED_VALUE"""),"People who have changed the world for better")</f>
        <v>People who have changed the world for better</v>
      </c>
      <c r="F838" s="1" t="str">
        <f ca="1">IFERROR(__xludf.DUMMYFUNCTION("""COMPUTED_VALUE"""),"Yes, I will earn and do that")</f>
        <v>Yes, I will earn and do that</v>
      </c>
      <c r="G838" s="1" t="str">
        <f ca="1">IFERROR(__xludf.DUMMYFUNCTION("""COMPUTED_VALUE"""),"This will be hard to do, but if it is the right company I would try")</f>
        <v>This will be hard to do, but if it is the right company I would try</v>
      </c>
      <c r="H838" s="1" t="str">
        <f ca="1">IFERROR(__xludf.DUMMYFUNCTION("""COMPUTED_VALUE"""),"No")</f>
        <v>No</v>
      </c>
      <c r="I838" s="1" t="str">
        <f ca="1">IFERROR(__xludf.DUMMYFUNCTION("""COMPUTED_VALUE"""),"Will NOT work for them")</f>
        <v>Will NOT work for them</v>
      </c>
      <c r="J838" s="1">
        <f ca="1">IFERROR(__xludf.DUMMYFUNCTION("""COMPUTED_VALUE"""),6)</f>
        <v>6</v>
      </c>
      <c r="K838" s="1" t="str">
        <f ca="1">IFERROR(__xludf.DUMMYFUNCTION("""COMPUTED_VALUE"""),"Hybrid Working Environment with more than 15 days a month at office")</f>
        <v>Hybrid Working Environment with more than 15 days a month at office</v>
      </c>
      <c r="L8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3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38" s="1" t="str">
        <f ca="1">IFERROR(__xludf.DUMMYFUNCTION("""COMPUTED_VALUE"""),"Design and Creative strategy in any company, Business Operations in any organization, Become a content Creator in some platform, I Want to sell things/Sales")</f>
        <v>Design and Creative strategy in any company, Business Operations in any organization, Become a content Creator in some platform, I Want to sell things/Sales</v>
      </c>
      <c r="O838" s="1" t="str">
        <f ca="1">IFERROR(__xludf.DUMMYFUNCTION("""COMPUTED_VALUE"""),"Manager who explains what is expected, sets a goal and helps achieve it")</f>
        <v>Manager who explains what is expected, sets a goal and helps achieve it</v>
      </c>
      <c r="P838" s="1" t="str">
        <f ca="1">IFERROR(__xludf.DUMMYFUNCTION("""COMPUTED_VALUE"""),"Work with 5 to 6 people in my team")</f>
        <v>Work with 5 to 6 people in my team</v>
      </c>
      <c r="Q838" s="1" t="str">
        <f ca="1">IFERROR(__xludf.DUMMYFUNCTION("""COMPUTED_VALUE"""),"Yes, I Understand this is gonna happen everywhere")</f>
        <v>Yes, I Understand this is gonna happen everywhere</v>
      </c>
      <c r="R838" s="1" t="str">
        <f ca="1">IFERROR(__xludf.DUMMYFUNCTION("""COMPUTED_VALUE"""),"This will be hard to do, but if it is the right company I would try")</f>
        <v>This will be hard to do, but if it is the right company I would try</v>
      </c>
      <c r="S838" s="1"/>
    </row>
    <row r="839" spans="1:19" ht="12.5" x14ac:dyDescent="0.25">
      <c r="A839" s="2">
        <f ca="1">IFERROR(__xludf.DUMMYFUNCTION("""COMPUTED_VALUE"""),45023.445409699)</f>
        <v>45023.445409699001</v>
      </c>
      <c r="B839" s="1" t="str">
        <f ca="1">IFERROR(__xludf.DUMMYFUNCTION("""COMPUTED_VALUE"""),"India")</f>
        <v>India</v>
      </c>
      <c r="C839" s="1">
        <f ca="1">IFERROR(__xludf.DUMMYFUNCTION("""COMPUTED_VALUE"""),400607)</f>
        <v>400607</v>
      </c>
      <c r="D839" s="1" t="str">
        <f ca="1">IFERROR(__xludf.DUMMYFUNCTION("""COMPUTED_VALUE"""),"Male")</f>
        <v>Male</v>
      </c>
      <c r="E839" s="1" t="str">
        <f ca="1">IFERROR(__xludf.DUMMYFUNCTION("""COMPUTED_VALUE"""),"People from my circle, but not family members")</f>
        <v>People from my circle, but not family members</v>
      </c>
      <c r="F839" s="1" t="str">
        <f ca="1">IFERROR(__xludf.DUMMYFUNCTION("""COMPUTED_VALUE"""),"No, But if someone could bare the cost I will")</f>
        <v>No, But if someone could bare the cost I will</v>
      </c>
      <c r="G839" s="1" t="str">
        <f ca="1">IFERROR(__xludf.DUMMYFUNCTION("""COMPUTED_VALUE"""),"Will work for 3 years or more")</f>
        <v>Will work for 3 years or more</v>
      </c>
      <c r="H839" s="1" t="str">
        <f ca="1">IFERROR(__xludf.DUMMYFUNCTION("""COMPUTED_VALUE"""),"Yes")</f>
        <v>Yes</v>
      </c>
      <c r="I839" s="1" t="str">
        <f ca="1">IFERROR(__xludf.DUMMYFUNCTION("""COMPUTED_VALUE"""),"Will NOT work for them")</f>
        <v>Will NOT work for them</v>
      </c>
      <c r="J839" s="1">
        <f ca="1">IFERROR(__xludf.DUMMYFUNCTION("""COMPUTED_VALUE"""),9)</f>
        <v>9</v>
      </c>
      <c r="K839" s="1" t="str">
        <f ca="1">IFERROR(__xludf.DUMMYFUNCTION("""COMPUTED_VALUE"""),"Hybrid Working Environment with less than 3 days a month at office")</f>
        <v>Hybrid Working Environment with less than 3 days a month at office</v>
      </c>
      <c r="L839" s="1" t="str">
        <f ca="1">IFERROR(__xludf.DUMMYFUNCTION("""COMPUTED_VALUE"""),"Employer who rewards learning and enables that environment")</f>
        <v>Employer who rewards learning and enables that environment</v>
      </c>
      <c r="M83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839" s="1" t="str">
        <f ca="1">IFERROR(__xludf.DUMMYFUNCTION("""COMPUTED_VALUE"""),"Design and Creative strategy in any company, Business Operations in any organization, Build and develop a Team, I Want to sell things/Sales")</f>
        <v>Design and Creative strategy in any company, Business Operations in any organization, Build and develop a Team, I Want to sell things/Sales</v>
      </c>
      <c r="O839" s="1" t="str">
        <f ca="1">IFERROR(__xludf.DUMMYFUNCTION("""COMPUTED_VALUE"""),"Manager who sets goal and helps me achieve it")</f>
        <v>Manager who sets goal and helps me achieve it</v>
      </c>
      <c r="P839" s="1" t="str">
        <f ca="1">IFERROR(__xludf.DUMMYFUNCTION("""COMPUTED_VALUE"""),"Work with 2 to 3 people in my team")</f>
        <v>Work with 2 to 3 people in my team</v>
      </c>
      <c r="Q839" s="1" t="str">
        <f ca="1">IFERROR(__xludf.DUMMYFUNCTION("""COMPUTED_VALUE"""),"Yes, I Understand this is gonna happen everywhere")</f>
        <v>Yes, I Understand this is gonna happen everywhere</v>
      </c>
      <c r="R839" s="1" t="str">
        <f ca="1">IFERROR(__xludf.DUMMYFUNCTION("""COMPUTED_VALUE"""),"This will be hard to do, but if it is the right company I would try")</f>
        <v>This will be hard to do, but if it is the right company I would try</v>
      </c>
      <c r="S839" s="1"/>
    </row>
    <row r="840" spans="1:19" ht="12.5" x14ac:dyDescent="0.25">
      <c r="A840" s="2">
        <f ca="1">IFERROR(__xludf.DUMMYFUNCTION("""COMPUTED_VALUE"""),45023.4506556018)</f>
        <v>45023.450655601802</v>
      </c>
      <c r="B840" s="1" t="str">
        <f ca="1">IFERROR(__xludf.DUMMYFUNCTION("""COMPUTED_VALUE"""),"India")</f>
        <v>India</v>
      </c>
      <c r="C840" s="1">
        <f ca="1">IFERROR(__xludf.DUMMYFUNCTION("""COMPUTED_VALUE"""),382424)</f>
        <v>382424</v>
      </c>
      <c r="D840" s="1" t="str">
        <f ca="1">IFERROR(__xludf.DUMMYFUNCTION("""COMPUTED_VALUE"""),"Female")</f>
        <v>Female</v>
      </c>
      <c r="E840" s="1" t="str">
        <f ca="1">IFERROR(__xludf.DUMMYFUNCTION("""COMPUTED_VALUE"""),"People who have changed the world for better")</f>
        <v>People who have changed the world for better</v>
      </c>
      <c r="F840" s="1" t="str">
        <f ca="1">IFERROR(__xludf.DUMMYFUNCTION("""COMPUTED_VALUE"""),"Yes, I will earn and do that")</f>
        <v>Yes, I will earn and do that</v>
      </c>
      <c r="G840" s="1" t="str">
        <f ca="1">IFERROR(__xludf.DUMMYFUNCTION("""COMPUTED_VALUE"""),"Will work for 3 years or more")</f>
        <v>Will work for 3 years or more</v>
      </c>
      <c r="H840" s="1" t="str">
        <f ca="1">IFERROR(__xludf.DUMMYFUNCTION("""COMPUTED_VALUE"""),"No")</f>
        <v>No</v>
      </c>
      <c r="I840" s="1" t="str">
        <f ca="1">IFERROR(__xludf.DUMMYFUNCTION("""COMPUTED_VALUE"""),"Will NOT work for them")</f>
        <v>Will NOT work for them</v>
      </c>
      <c r="J840" s="1">
        <f ca="1">IFERROR(__xludf.DUMMYFUNCTION("""COMPUTED_VALUE"""),5)</f>
        <v>5</v>
      </c>
      <c r="K840" s="1" t="str">
        <f ca="1">IFERROR(__xludf.DUMMYFUNCTION("""COMPUTED_VALUE"""),"Fully Remote with Options to travel as and when needed")</f>
        <v>Fully Remote with Options to travel as and when needed</v>
      </c>
      <c r="L8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4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840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840" s="1" t="str">
        <f ca="1">IFERROR(__xludf.DUMMYFUNCTION("""COMPUTED_VALUE"""),"Manager who explains what is expected, sets a goal and helps achieve it")</f>
        <v>Manager who explains what is expected, sets a goal and helps achieve it</v>
      </c>
      <c r="P840" s="1" t="str">
        <f ca="1">IFERROR(__xludf.DUMMYFUNCTION("""COMPUTED_VALUE"""),"Work with 2 to 3 people in my team")</f>
        <v>Work with 2 to 3 people in my team</v>
      </c>
      <c r="Q840" s="1" t="str">
        <f ca="1">IFERROR(__xludf.DUMMYFUNCTION("""COMPUTED_VALUE"""),"Yes, I Understand this is gonna happen everywhere")</f>
        <v>Yes, I Understand this is gonna happen everywhere</v>
      </c>
      <c r="R840" s="1" t="str">
        <f ca="1">IFERROR(__xludf.DUMMYFUNCTION("""COMPUTED_VALUE"""),"This will be hard to do, but if it is the right company I would try")</f>
        <v>This will be hard to do, but if it is the right company I would try</v>
      </c>
      <c r="S840" s="1"/>
    </row>
    <row r="841" spans="1:19" ht="12.5" x14ac:dyDescent="0.25">
      <c r="A841" s="2">
        <f ca="1">IFERROR(__xludf.DUMMYFUNCTION("""COMPUTED_VALUE"""),45023.4657532291)</f>
        <v>45023.465753229102</v>
      </c>
      <c r="B841" s="1" t="str">
        <f ca="1">IFERROR(__xludf.DUMMYFUNCTION("""COMPUTED_VALUE"""),"India")</f>
        <v>India</v>
      </c>
      <c r="C841" s="1">
        <f ca="1">IFERROR(__xludf.DUMMYFUNCTION("""COMPUTED_VALUE"""),400607)</f>
        <v>400607</v>
      </c>
      <c r="D841" s="1" t="str">
        <f ca="1">IFERROR(__xludf.DUMMYFUNCTION("""COMPUTED_VALUE"""),"Male")</f>
        <v>Male</v>
      </c>
      <c r="E841" s="1" t="str">
        <f ca="1">IFERROR(__xludf.DUMMYFUNCTION("""COMPUTED_VALUE"""),"My Parents")</f>
        <v>My Parents</v>
      </c>
      <c r="F841" s="1" t="str">
        <f ca="1">IFERROR(__xludf.DUMMYFUNCTION("""COMPUTED_VALUE"""),"Yes, I will earn and do that")</f>
        <v>Yes, I will earn and do that</v>
      </c>
      <c r="G841" s="1" t="str">
        <f ca="1">IFERROR(__xludf.DUMMYFUNCTION("""COMPUTED_VALUE"""),"No way")</f>
        <v>No way</v>
      </c>
      <c r="H841" s="1" t="str">
        <f ca="1">IFERROR(__xludf.DUMMYFUNCTION("""COMPUTED_VALUE"""),"Yes")</f>
        <v>Yes</v>
      </c>
      <c r="I841" s="1" t="str">
        <f ca="1">IFERROR(__xludf.DUMMYFUNCTION("""COMPUTED_VALUE"""),"Will NOT work for them")</f>
        <v>Will NOT work for them</v>
      </c>
      <c r="J841" s="1">
        <f ca="1">IFERROR(__xludf.DUMMYFUNCTION("""COMPUTED_VALUE"""),6)</f>
        <v>6</v>
      </c>
      <c r="K841" s="1" t="str">
        <f ca="1">IFERROR(__xludf.DUMMYFUNCTION("""COMPUTED_VALUE"""),"Hybrid Working Environment with less than 3 days a month at office")</f>
        <v>Hybrid Working Environment with less than 3 days a month at office</v>
      </c>
      <c r="L841" s="1" t="str">
        <f ca="1">IFERROR(__xludf.DUMMYFUNCTION("""COMPUTED_VALUE"""),"Employer who appreciates learning and enables that environment")</f>
        <v>Employer who appreciates learning and enables that environment</v>
      </c>
      <c r="M841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841" s="1" t="str">
        <f ca="1">IFERROR(__xludf.DUMMYFUNCTION("""COMPUTED_VALUE"""),"Design and Creative strategy in any company, Business Operations in any organization, Manage and drive End-to-End Projects or Products, I Want to sell things/Sales")</f>
        <v>Design and Creative strategy in any company, Business Operations in any organization, Manage and drive End-to-End Projects or Products, I Want to sell things/Sales</v>
      </c>
      <c r="O841" s="1" t="str">
        <f ca="1">IFERROR(__xludf.DUMMYFUNCTION("""COMPUTED_VALUE"""),"Manager who sets targets and expects me to achieve it")</f>
        <v>Manager who sets targets and expects me to achieve it</v>
      </c>
      <c r="P841" s="1" t="str">
        <f ca="1">IFERROR(__xludf.DUMMYFUNCTION("""COMPUTED_VALUE"""),"Work with more than 10 people in my team")</f>
        <v>Work with more than 10 people in my team</v>
      </c>
      <c r="Q841" s="1" t="str">
        <f ca="1">IFERROR(__xludf.DUMMYFUNCTION("""COMPUTED_VALUE"""),"Yes, I Understand this is gonna happen everywhere")</f>
        <v>Yes, I Understand this is gonna happen everywhere</v>
      </c>
      <c r="R841" s="1" t="str">
        <f ca="1">IFERROR(__xludf.DUMMYFUNCTION("""COMPUTED_VALUE"""),"No way")</f>
        <v>No way</v>
      </c>
      <c r="S841" s="1"/>
    </row>
    <row r="842" spans="1:19" ht="12.5" x14ac:dyDescent="0.25">
      <c r="A842" s="2">
        <f ca="1">IFERROR(__xludf.DUMMYFUNCTION("""COMPUTED_VALUE"""),45023.4738119213)</f>
        <v>45023.4738119213</v>
      </c>
      <c r="B842" s="1" t="str">
        <f ca="1">IFERROR(__xludf.DUMMYFUNCTION("""COMPUTED_VALUE"""),"India")</f>
        <v>India</v>
      </c>
      <c r="C842" s="1">
        <f ca="1">IFERROR(__xludf.DUMMYFUNCTION("""COMPUTED_VALUE"""),400607)</f>
        <v>400607</v>
      </c>
      <c r="D842" s="1" t="str">
        <f ca="1">IFERROR(__xludf.DUMMYFUNCTION("""COMPUTED_VALUE"""),"Male")</f>
        <v>Male</v>
      </c>
      <c r="E842" s="1" t="str">
        <f ca="1">IFERROR(__xludf.DUMMYFUNCTION("""COMPUTED_VALUE"""),"People who have changed the world for better")</f>
        <v>People who have changed the world for better</v>
      </c>
      <c r="F842" s="1" t="str">
        <f ca="1">IFERROR(__xludf.DUMMYFUNCTION("""COMPUTED_VALUE"""),"No I would not be pursuing Higher Education outside of India")</f>
        <v>No I would not be pursuing Higher Education outside of India</v>
      </c>
      <c r="G842" s="1" t="str">
        <f ca="1">IFERROR(__xludf.DUMMYFUNCTION("""COMPUTED_VALUE"""),"This will be hard to do, but if it is the right company I would try")</f>
        <v>This will be hard to do, but if it is the right company I would try</v>
      </c>
      <c r="H842" s="1" t="str">
        <f ca="1">IFERROR(__xludf.DUMMYFUNCTION("""COMPUTED_VALUE"""),"Yes")</f>
        <v>Yes</v>
      </c>
      <c r="I842" s="1" t="str">
        <f ca="1">IFERROR(__xludf.DUMMYFUNCTION("""COMPUTED_VALUE"""),"Will work for them")</f>
        <v>Will work for them</v>
      </c>
      <c r="J842" s="1">
        <f ca="1">IFERROR(__xludf.DUMMYFUNCTION("""COMPUTED_VALUE"""),8)</f>
        <v>8</v>
      </c>
      <c r="K842" s="1" t="str">
        <f ca="1">IFERROR(__xludf.DUMMYFUNCTION("""COMPUTED_VALUE"""),"Hybrid Working Environment with more than 15 days a month at office")</f>
        <v>Hybrid Working Environment with more than 15 days a month at office</v>
      </c>
      <c r="L8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4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42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842" s="1" t="str">
        <f ca="1">IFERROR(__xludf.DUMMYFUNCTION("""COMPUTED_VALUE"""),"Manager who explains what is expected, sets a goal and helps achieve it")</f>
        <v>Manager who explains what is expected, sets a goal and helps achieve it</v>
      </c>
      <c r="P842" s="1" t="str">
        <f ca="1">IFERROR(__xludf.DUMMYFUNCTION("""COMPUTED_VALUE"""),"Work with 7 to 10 or more people in my team")</f>
        <v>Work with 7 to 10 or more people in my team</v>
      </c>
      <c r="Q842" s="1" t="str">
        <f ca="1">IFERROR(__xludf.DUMMYFUNCTION("""COMPUTED_VALUE"""),"Yes, I Understand this is gonna happen everywhere")</f>
        <v>Yes, I Understand this is gonna happen everywhere</v>
      </c>
      <c r="R842" s="1" t="str">
        <f ca="1">IFERROR(__xludf.DUMMYFUNCTION("""COMPUTED_VALUE"""),"This will be hard to do, but if it is the right company I would try")</f>
        <v>This will be hard to do, but if it is the right company I would try</v>
      </c>
      <c r="S842" s="1"/>
    </row>
    <row r="843" spans="1:19" ht="12.5" x14ac:dyDescent="0.25">
      <c r="A843" s="2">
        <f ca="1">IFERROR(__xludf.DUMMYFUNCTION("""COMPUTED_VALUE"""),45023.5013237037)</f>
        <v>45023.501323703698</v>
      </c>
      <c r="B843" s="1" t="str">
        <f ca="1">IFERROR(__xludf.DUMMYFUNCTION("""COMPUTED_VALUE"""),"India")</f>
        <v>India</v>
      </c>
      <c r="C843" s="1">
        <f ca="1">IFERROR(__xludf.DUMMYFUNCTION("""COMPUTED_VALUE"""),533001)</f>
        <v>533001</v>
      </c>
      <c r="D843" s="1" t="str">
        <f ca="1">IFERROR(__xludf.DUMMYFUNCTION("""COMPUTED_VALUE"""),"Male")</f>
        <v>Male</v>
      </c>
      <c r="E843" s="1" t="str">
        <f ca="1">IFERROR(__xludf.DUMMYFUNCTION("""COMPUTED_VALUE"""),"Influencers who had successful careers")</f>
        <v>Influencers who had successful careers</v>
      </c>
      <c r="F843" s="1" t="str">
        <f ca="1">IFERROR(__xludf.DUMMYFUNCTION("""COMPUTED_VALUE"""),"No I would not be pursuing Higher Education outside of India")</f>
        <v>No I would not be pursuing Higher Education outside of India</v>
      </c>
      <c r="G843" s="1" t="str">
        <f ca="1">IFERROR(__xludf.DUMMYFUNCTION("""COMPUTED_VALUE"""),"This will be hard to do, but if it is the right company I would try")</f>
        <v>This will be hard to do, but if it is the right company I would try</v>
      </c>
      <c r="H843" s="1" t="str">
        <f ca="1">IFERROR(__xludf.DUMMYFUNCTION("""COMPUTED_VALUE"""),"No")</f>
        <v>No</v>
      </c>
      <c r="I843" s="1" t="str">
        <f ca="1">IFERROR(__xludf.DUMMYFUNCTION("""COMPUTED_VALUE"""),"Will NOT work for them")</f>
        <v>Will NOT work for them</v>
      </c>
      <c r="J843" s="1">
        <f ca="1">IFERROR(__xludf.DUMMYFUNCTION("""COMPUTED_VALUE"""),10)</f>
        <v>10</v>
      </c>
      <c r="K843" s="1" t="str">
        <f ca="1">IFERROR(__xludf.DUMMYFUNCTION("""COMPUTED_VALUE"""),"Fully Remote with Options to travel as and when needed")</f>
        <v>Fully Remote with Options to travel as and when needed</v>
      </c>
      <c r="L8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43" s="1" t="str">
        <f ca="1">IFERROR(__xludf.DUMMYFUNCTION("""COMPUTED_VALUE"""),"Teaching in any of the institutes/colleges/online or offline, Look deeply into Data and generate insights, Work as a freelancer and do my thing my way, Become a content Creator in some platform")</f>
        <v>Teaching in any of the institutes/colleges/online or offline, Look deeply into Data and generate insights, Work as a freelancer and do my thing my way, Become a content Creator in some platform</v>
      </c>
      <c r="O843" s="1" t="str">
        <f ca="1">IFERROR(__xludf.DUMMYFUNCTION("""COMPUTED_VALUE"""),"Manager who explains what is expected, sets a goal and helps achieve it")</f>
        <v>Manager who explains what is expected, sets a goal and helps achieve it</v>
      </c>
      <c r="P843" s="1" t="str">
        <f ca="1">IFERROR(__xludf.DUMMYFUNCTION("""COMPUTED_VALUE"""),"Work with more than 10 people in my team")</f>
        <v>Work with more than 10 people in my team</v>
      </c>
      <c r="Q843" s="1" t="str">
        <f ca="1">IFERROR(__xludf.DUMMYFUNCTION("""COMPUTED_VALUE"""),"Yes, I Understand this is gonna happen everywhere")</f>
        <v>Yes, I Understand this is gonna happen everywhere</v>
      </c>
      <c r="R843" s="1" t="str">
        <f ca="1">IFERROR(__xludf.DUMMYFUNCTION("""COMPUTED_VALUE"""),"This will be hard to do, but if it is the right company I would try")</f>
        <v>This will be hard to do, but if it is the right company I would try</v>
      </c>
      <c r="S843" s="1"/>
    </row>
    <row r="844" spans="1:19" ht="12.5" x14ac:dyDescent="0.25">
      <c r="A844" s="2">
        <f ca="1">IFERROR(__xludf.DUMMYFUNCTION("""COMPUTED_VALUE"""),45023.5098894097)</f>
        <v>45023.509889409703</v>
      </c>
      <c r="B844" s="1" t="str">
        <f ca="1">IFERROR(__xludf.DUMMYFUNCTION("""COMPUTED_VALUE"""),"India")</f>
        <v>India</v>
      </c>
      <c r="C844" s="1">
        <f ca="1">IFERROR(__xludf.DUMMYFUNCTION("""COMPUTED_VALUE"""),612001)</f>
        <v>612001</v>
      </c>
      <c r="D844" s="1" t="str">
        <f ca="1">IFERROR(__xludf.DUMMYFUNCTION("""COMPUTED_VALUE"""),"Male")</f>
        <v>Male</v>
      </c>
      <c r="E844" s="1" t="str">
        <f ca="1">IFERROR(__xludf.DUMMYFUNCTION("""COMPUTED_VALUE"""),"Influencers who had successful careers")</f>
        <v>Influencers who had successful careers</v>
      </c>
      <c r="F844" s="1" t="str">
        <f ca="1">IFERROR(__xludf.DUMMYFUNCTION("""COMPUTED_VALUE"""),"Yes, I will earn and do that")</f>
        <v>Yes, I will earn and do that</v>
      </c>
      <c r="G844" s="1" t="str">
        <f ca="1">IFERROR(__xludf.DUMMYFUNCTION("""COMPUTED_VALUE"""),"Will work for 3 years or more")</f>
        <v>Will work for 3 years or more</v>
      </c>
      <c r="H844" s="1" t="str">
        <f ca="1">IFERROR(__xludf.DUMMYFUNCTION("""COMPUTED_VALUE"""),"No")</f>
        <v>No</v>
      </c>
      <c r="I844" s="1" t="str">
        <f ca="1">IFERROR(__xludf.DUMMYFUNCTION("""COMPUTED_VALUE"""),"Will NOT work for them")</f>
        <v>Will NOT work for them</v>
      </c>
      <c r="J844" s="1">
        <f ca="1">IFERROR(__xludf.DUMMYFUNCTION("""COMPUTED_VALUE"""),8)</f>
        <v>8</v>
      </c>
      <c r="K844" s="1" t="str">
        <f ca="1">IFERROR(__xludf.DUMMYFUNCTION("""COMPUTED_VALUE"""),"Fully Remote with Options to travel as and when needed")</f>
        <v>Fully Remote with Options to travel as and when needed</v>
      </c>
      <c r="L844" s="1" t="str">
        <f ca="1">IFERROR(__xludf.DUMMYFUNCTION("""COMPUTED_VALUE"""),"Employer who appreciates learning and enables that environment")</f>
        <v>Employer who appreciates learning and enables that environment</v>
      </c>
      <c r="M844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44" s="1" t="str">
        <f ca="1">IFERROR(__xludf.DUMMYFUNCTION("""COMPUTED_VALUE"""),"Design and Creative strategy in any company, Design and Develop amazing software, Look deeply into Data and generate insights, Entrepreneur or Start Up")</f>
        <v>Design and Creative strategy in any company, Design and Develop amazing software, Look deeply into Data and generate insights, Entrepreneur or Start Up</v>
      </c>
      <c r="O844" s="1" t="str">
        <f ca="1">IFERROR(__xludf.DUMMYFUNCTION("""COMPUTED_VALUE"""),"Manager who explains what is expected, sets a goal and helps achieve it")</f>
        <v>Manager who explains what is expected, sets a goal and helps achieve it</v>
      </c>
      <c r="P844" s="1" t="str">
        <f ca="1">IFERROR(__xludf.DUMMYFUNCTION("""COMPUTED_VALUE"""),"Work with more than 10 people in my team")</f>
        <v>Work with more than 10 people in my team</v>
      </c>
      <c r="Q844" s="1" t="str">
        <f ca="1">IFERROR(__xludf.DUMMYFUNCTION("""COMPUTED_VALUE"""),"Yes")</f>
        <v>Yes</v>
      </c>
      <c r="R844" s="1" t="str">
        <f ca="1">IFERROR(__xludf.DUMMYFUNCTION("""COMPUTED_VALUE"""),"Will work for 7 years or more")</f>
        <v>Will work for 7 years or more</v>
      </c>
      <c r="S844" s="1"/>
    </row>
    <row r="845" spans="1:19" ht="12.5" x14ac:dyDescent="0.25">
      <c r="A845" s="2">
        <f ca="1">IFERROR(__xludf.DUMMYFUNCTION("""COMPUTED_VALUE"""),45023.5266821759)</f>
        <v>45023.5266821759</v>
      </c>
      <c r="B845" s="1" t="str">
        <f ca="1">IFERROR(__xludf.DUMMYFUNCTION("""COMPUTED_VALUE"""),"India")</f>
        <v>India</v>
      </c>
      <c r="C845" s="1">
        <f ca="1">IFERROR(__xludf.DUMMYFUNCTION("""COMPUTED_VALUE"""),441002)</f>
        <v>441002</v>
      </c>
      <c r="D845" s="1" t="str">
        <f ca="1">IFERROR(__xludf.DUMMYFUNCTION("""COMPUTED_VALUE"""),"Male")</f>
        <v>Male</v>
      </c>
      <c r="E845" s="1" t="str">
        <f ca="1">IFERROR(__xludf.DUMMYFUNCTION("""COMPUTED_VALUE"""),"My Parents")</f>
        <v>My Parents</v>
      </c>
      <c r="F845" s="1" t="str">
        <f ca="1">IFERROR(__xludf.DUMMYFUNCTION("""COMPUTED_VALUE"""),"No, But if someone could bare the cost I will")</f>
        <v>No, But if someone could bare the cost I will</v>
      </c>
      <c r="G845" s="1" t="str">
        <f ca="1">IFERROR(__xludf.DUMMYFUNCTION("""COMPUTED_VALUE"""),"No way")</f>
        <v>No way</v>
      </c>
      <c r="H845" s="1" t="str">
        <f ca="1">IFERROR(__xludf.DUMMYFUNCTION("""COMPUTED_VALUE"""),"No")</f>
        <v>No</v>
      </c>
      <c r="I845" s="1" t="str">
        <f ca="1">IFERROR(__xludf.DUMMYFUNCTION("""COMPUTED_VALUE"""),"Will NOT work for them")</f>
        <v>Will NOT work for them</v>
      </c>
      <c r="J845" s="1">
        <f ca="1">IFERROR(__xludf.DUMMYFUNCTION("""COMPUTED_VALUE"""),2)</f>
        <v>2</v>
      </c>
      <c r="K845" s="1" t="str">
        <f ca="1">IFERROR(__xludf.DUMMYFUNCTION("""COMPUTED_VALUE"""),"Fully Remote with No option to visit offices")</f>
        <v>Fully Remote with No option to visit offices</v>
      </c>
      <c r="L845" s="1" t="str">
        <f ca="1">IFERROR(__xludf.DUMMYFUNCTION("""COMPUTED_VALUE"""),"Employer who appreciates learning and enables that environment")</f>
        <v>Employer who appreciates learning and enables that environment</v>
      </c>
      <c r="M84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45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845" s="1" t="str">
        <f ca="1">IFERROR(__xludf.DUMMYFUNCTION("""COMPUTED_VALUE"""),"Manager who sets goal and helps me achieve it")</f>
        <v>Manager who sets goal and helps me achieve it</v>
      </c>
      <c r="P845" s="1" t="str">
        <f ca="1">IFERROR(__xludf.DUMMYFUNCTION("""COMPUTED_VALUE"""),"Work with more than 10 people in my team")</f>
        <v>Work with more than 10 people in my team</v>
      </c>
      <c r="Q845" s="1" t="str">
        <f ca="1">IFERROR(__xludf.DUMMYFUNCTION("""COMPUTED_VALUE"""),"No")</f>
        <v>No</v>
      </c>
      <c r="R845" s="1" t="str">
        <f ca="1">IFERROR(__xludf.DUMMYFUNCTION("""COMPUTED_VALUE"""),"No way")</f>
        <v>No way</v>
      </c>
      <c r="S845" s="1"/>
    </row>
    <row r="846" spans="1:19" ht="12.5" x14ac:dyDescent="0.25">
      <c r="A846" s="2">
        <f ca="1">IFERROR(__xludf.DUMMYFUNCTION("""COMPUTED_VALUE"""),45023.678251736)</f>
        <v>45023.678251736099</v>
      </c>
      <c r="B846" s="1" t="str">
        <f ca="1">IFERROR(__xludf.DUMMYFUNCTION("""COMPUTED_VALUE"""),"India")</f>
        <v>India</v>
      </c>
      <c r="C846" s="1">
        <f ca="1">IFERROR(__xludf.DUMMYFUNCTION("""COMPUTED_VALUE"""),507001)</f>
        <v>507001</v>
      </c>
      <c r="D846" s="1" t="str">
        <f ca="1">IFERROR(__xludf.DUMMYFUNCTION("""COMPUTED_VALUE"""),"Male")</f>
        <v>Male</v>
      </c>
      <c r="E846" s="1" t="str">
        <f ca="1">IFERROR(__xludf.DUMMYFUNCTION("""COMPUTED_VALUE"""),"My Parents")</f>
        <v>My Parents</v>
      </c>
      <c r="F846" s="1" t="str">
        <f ca="1">IFERROR(__xludf.DUMMYFUNCTION("""COMPUTED_VALUE"""),"No, But if someone could bare the cost I will")</f>
        <v>No, But if someone could bare the cost I will</v>
      </c>
      <c r="G846" s="1" t="str">
        <f ca="1">IFERROR(__xludf.DUMMYFUNCTION("""COMPUTED_VALUE"""),"Will work for 3 years or more")</f>
        <v>Will work for 3 years or more</v>
      </c>
      <c r="H846" s="1" t="str">
        <f ca="1">IFERROR(__xludf.DUMMYFUNCTION("""COMPUTED_VALUE"""),"No")</f>
        <v>No</v>
      </c>
      <c r="I846" s="1" t="str">
        <f ca="1">IFERROR(__xludf.DUMMYFUNCTION("""COMPUTED_VALUE"""),"Will NOT work for them")</f>
        <v>Will NOT work for them</v>
      </c>
      <c r="J846" s="1">
        <f ca="1">IFERROR(__xludf.DUMMYFUNCTION("""COMPUTED_VALUE"""),4)</f>
        <v>4</v>
      </c>
      <c r="K846" s="1" t="str">
        <f ca="1">IFERROR(__xludf.DUMMYFUNCTION("""COMPUTED_VALUE"""),"Every Day Office Environment")</f>
        <v>Every Day Office Environment</v>
      </c>
      <c r="L846" s="1" t="str">
        <f ca="1">IFERROR(__xludf.DUMMYFUNCTION("""COMPUTED_VALUE"""),"Employer who appreciates learning and enables that environment")</f>
        <v>Employer who appreciates learning and enables that environment</v>
      </c>
      <c r="M84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846" s="1" t="str">
        <f ca="1">IFERROR(__xludf.DUMMYFUNCTION("""COMPUTED_VALUE"""),"Teaching in any of the institutes/colleges/online or offline, Manage and drive End-to-End Projects or Products, Look deeply into Data and generate insights, Work as a freelancer and do my thing my way")</f>
        <v>Teaching in any of the institutes/colleges/online or offline, Manage and drive End-to-End Projects or Products, Look deeply into Data and generate insights, Work as a freelancer and do my thing my way</v>
      </c>
      <c r="O846" s="1" t="str">
        <f ca="1">IFERROR(__xludf.DUMMYFUNCTION("""COMPUTED_VALUE"""),"Manager who sets goal and helps me achieve it")</f>
        <v>Manager who sets goal and helps me achieve it</v>
      </c>
      <c r="P846" s="1" t="str">
        <f ca="1">IFERROR(__xludf.DUMMYFUNCTION("""COMPUTED_VALUE"""),"Work with 5 to 6 people in my team")</f>
        <v>Work with 5 to 6 people in my team</v>
      </c>
      <c r="Q846" s="1" t="str">
        <f ca="1">IFERROR(__xludf.DUMMYFUNCTION("""COMPUTED_VALUE"""),"Yes, I Understand this is gonna happen everywhere")</f>
        <v>Yes, I Understand this is gonna happen everywhere</v>
      </c>
      <c r="R846" s="1" t="str">
        <f ca="1">IFERROR(__xludf.DUMMYFUNCTION("""COMPUTED_VALUE"""),"This will be hard to do, but if it is the right company I would try")</f>
        <v>This will be hard to do, but if it is the right company I would try</v>
      </c>
      <c r="S846" s="1"/>
    </row>
    <row r="847" spans="1:19" ht="12.5" x14ac:dyDescent="0.25">
      <c r="A847" s="2">
        <f ca="1">IFERROR(__xludf.DUMMYFUNCTION("""COMPUTED_VALUE"""),45023.6788496643)</f>
        <v>45023.678849664298</v>
      </c>
      <c r="B847" s="1" t="str">
        <f ca="1">IFERROR(__xludf.DUMMYFUNCTION("""COMPUTED_VALUE"""),"India")</f>
        <v>India</v>
      </c>
      <c r="C847" s="1">
        <f ca="1">IFERROR(__xludf.DUMMYFUNCTION("""COMPUTED_VALUE"""),201310)</f>
        <v>201310</v>
      </c>
      <c r="D847" s="1" t="str">
        <f ca="1">IFERROR(__xludf.DUMMYFUNCTION("""COMPUTED_VALUE"""),"Female")</f>
        <v>Female</v>
      </c>
      <c r="E847" s="1" t="str">
        <f ca="1">IFERROR(__xludf.DUMMYFUNCTION("""COMPUTED_VALUE"""),"My Parents")</f>
        <v>My Parents</v>
      </c>
      <c r="F847" s="1" t="str">
        <f ca="1">IFERROR(__xludf.DUMMYFUNCTION("""COMPUTED_VALUE"""),"Yes, I will earn and do that")</f>
        <v>Yes, I will earn and do that</v>
      </c>
      <c r="G847" s="1" t="str">
        <f ca="1">IFERROR(__xludf.DUMMYFUNCTION("""COMPUTED_VALUE"""),"This will be hard to do, but if it is the right company I would try")</f>
        <v>This will be hard to do, but if it is the right company I would try</v>
      </c>
      <c r="H847" s="1" t="str">
        <f ca="1">IFERROR(__xludf.DUMMYFUNCTION("""COMPUTED_VALUE"""),"No")</f>
        <v>No</v>
      </c>
      <c r="I847" s="1" t="str">
        <f ca="1">IFERROR(__xludf.DUMMYFUNCTION("""COMPUTED_VALUE"""),"Will NOT work for them")</f>
        <v>Will NOT work for them</v>
      </c>
      <c r="J847" s="1">
        <f ca="1">IFERROR(__xludf.DUMMYFUNCTION("""COMPUTED_VALUE"""),5)</f>
        <v>5</v>
      </c>
      <c r="K847" s="1" t="str">
        <f ca="1">IFERROR(__xludf.DUMMYFUNCTION("""COMPUTED_VALUE"""),"Hybrid Working Environment with more than 15 days a month at office")</f>
        <v>Hybrid Working Environment with more than 15 days a month at office</v>
      </c>
      <c r="L8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4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47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847" s="1" t="str">
        <f ca="1">IFERROR(__xludf.DUMMYFUNCTION("""COMPUTED_VALUE"""),"Manager who explains what is expected, sets a goal and helps achieve it")</f>
        <v>Manager who explains what is expected, sets a goal and helps achieve it</v>
      </c>
      <c r="P847" s="1" t="str">
        <f ca="1">IFERROR(__xludf.DUMMYFUNCTION("""COMPUTED_VALUE"""),"Work with 5 to 6 people in my team")</f>
        <v>Work with 5 to 6 people in my team</v>
      </c>
      <c r="Q847" s="1" t="str">
        <f ca="1">IFERROR(__xludf.DUMMYFUNCTION("""COMPUTED_VALUE"""),"Yes, I Understand this is gonna happen everywhere")</f>
        <v>Yes, I Understand this is gonna happen everywhere</v>
      </c>
      <c r="R847" s="1" t="str">
        <f ca="1">IFERROR(__xludf.DUMMYFUNCTION("""COMPUTED_VALUE"""),"This will be hard to do, but if it is the right company I would try")</f>
        <v>This will be hard to do, but if it is the right company I would try</v>
      </c>
      <c r="S847" s="1"/>
    </row>
    <row r="848" spans="1:19" ht="12.5" x14ac:dyDescent="0.25">
      <c r="A848" s="2">
        <f ca="1">IFERROR(__xludf.DUMMYFUNCTION("""COMPUTED_VALUE"""),45023.7052649884)</f>
        <v>45023.705264988399</v>
      </c>
      <c r="B848" s="1" t="str">
        <f ca="1">IFERROR(__xludf.DUMMYFUNCTION("""COMPUTED_VALUE"""),"India")</f>
        <v>India</v>
      </c>
      <c r="C848" s="1">
        <f ca="1">IFERROR(__xludf.DUMMYFUNCTION("""COMPUTED_VALUE"""),221103)</f>
        <v>221103</v>
      </c>
      <c r="D848" s="1" t="str">
        <f ca="1">IFERROR(__xludf.DUMMYFUNCTION("""COMPUTED_VALUE"""),"Male")</f>
        <v>Male</v>
      </c>
      <c r="E848" s="1" t="str">
        <f ca="1">IFERROR(__xludf.DUMMYFUNCTION("""COMPUTED_VALUE"""),"My Parents")</f>
        <v>My Parents</v>
      </c>
      <c r="F848" s="1" t="str">
        <f ca="1">IFERROR(__xludf.DUMMYFUNCTION("""COMPUTED_VALUE"""),"Yes, I will earn and do that")</f>
        <v>Yes, I will earn and do that</v>
      </c>
      <c r="G848" s="1" t="str">
        <f ca="1">IFERROR(__xludf.DUMMYFUNCTION("""COMPUTED_VALUE"""),"This will be hard to do, but if it is the right company I would try")</f>
        <v>This will be hard to do, but if it is the right company I would try</v>
      </c>
      <c r="H848" s="1" t="str">
        <f ca="1">IFERROR(__xludf.DUMMYFUNCTION("""COMPUTED_VALUE"""),"No")</f>
        <v>No</v>
      </c>
      <c r="I848" s="1" t="str">
        <f ca="1">IFERROR(__xludf.DUMMYFUNCTION("""COMPUTED_VALUE"""),"Will NOT work for them")</f>
        <v>Will NOT work for them</v>
      </c>
      <c r="J848" s="1">
        <f ca="1">IFERROR(__xludf.DUMMYFUNCTION("""COMPUTED_VALUE"""),1)</f>
        <v>1</v>
      </c>
      <c r="K848" s="1" t="str">
        <f ca="1">IFERROR(__xludf.DUMMYFUNCTION("""COMPUTED_VALUE"""),"Hybrid Working Environment with more than 15 days a month at office")</f>
        <v>Hybrid Working Environment with more than 15 days a month at office</v>
      </c>
      <c r="L8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4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48" s="1" t="str">
        <f ca="1">IFERROR(__xludf.DUMMYFUNCTION("""COMPUTED_VALUE"""),"Teaching in any of the institutes/colleges/online or offline, Business Operations in any organization, Become a content Creator in some platform, An Artificial Intelligence Specialist / Talking to Robots")</f>
        <v>Teaching in any of the institutes/colleges/online or offline, Business Operations in any organization, Become a content Creator in some platform, An Artificial Intelligence Specialist / Talking to Robots</v>
      </c>
      <c r="O848" s="1" t="str">
        <f ca="1">IFERROR(__xludf.DUMMYFUNCTION("""COMPUTED_VALUE"""),"Manager who explains what is expected, sets a goal and helps achieve it")</f>
        <v>Manager who explains what is expected, sets a goal and helps achieve it</v>
      </c>
      <c r="P848" s="1" t="str">
        <f ca="1">IFERROR(__xludf.DUMMYFUNCTION("""COMPUTED_VALUE"""),"Work with more than 10 people in my team")</f>
        <v>Work with more than 10 people in my team</v>
      </c>
      <c r="Q848" s="1" t="str">
        <f ca="1">IFERROR(__xludf.DUMMYFUNCTION("""COMPUTED_VALUE"""),"No")</f>
        <v>No</v>
      </c>
      <c r="R848" s="1" t="str">
        <f ca="1">IFERROR(__xludf.DUMMYFUNCTION("""COMPUTED_VALUE"""),"No way")</f>
        <v>No way</v>
      </c>
      <c r="S848" s="1"/>
    </row>
    <row r="849" spans="1:19" ht="12.5" x14ac:dyDescent="0.25">
      <c r="A849" s="2">
        <f ca="1">IFERROR(__xludf.DUMMYFUNCTION("""COMPUTED_VALUE"""),45023.7394117244)</f>
        <v>45023.739411724498</v>
      </c>
      <c r="B849" s="1" t="str">
        <f ca="1">IFERROR(__xludf.DUMMYFUNCTION("""COMPUTED_VALUE"""),"India")</f>
        <v>India</v>
      </c>
      <c r="C849" s="1">
        <f ca="1">IFERROR(__xludf.DUMMYFUNCTION("""COMPUTED_VALUE"""),221010)</f>
        <v>221010</v>
      </c>
      <c r="D849" s="1" t="str">
        <f ca="1">IFERROR(__xludf.DUMMYFUNCTION("""COMPUTED_VALUE"""),"Female")</f>
        <v>Female</v>
      </c>
      <c r="E849" s="1" t="str">
        <f ca="1">IFERROR(__xludf.DUMMYFUNCTION("""COMPUTED_VALUE"""),"People who have changed the world for better")</f>
        <v>People who have changed the world for better</v>
      </c>
      <c r="F849" s="1" t="str">
        <f ca="1">IFERROR(__xludf.DUMMYFUNCTION("""COMPUTED_VALUE"""),"No I would not be pursuing Higher Education outside of India")</f>
        <v>No I would not be pursuing Higher Education outside of India</v>
      </c>
      <c r="G849" s="1" t="str">
        <f ca="1">IFERROR(__xludf.DUMMYFUNCTION("""COMPUTED_VALUE"""),"This will be hard to do, but if it is the right company I would try")</f>
        <v>This will be hard to do, but if it is the right company I would try</v>
      </c>
      <c r="H849" s="1" t="str">
        <f ca="1">IFERROR(__xludf.DUMMYFUNCTION("""COMPUTED_VALUE"""),"No")</f>
        <v>No</v>
      </c>
      <c r="I849" s="1" t="str">
        <f ca="1">IFERROR(__xludf.DUMMYFUNCTION("""COMPUTED_VALUE"""),"Will NOT work for them")</f>
        <v>Will NOT work for them</v>
      </c>
      <c r="J849" s="1">
        <f ca="1">IFERROR(__xludf.DUMMYFUNCTION("""COMPUTED_VALUE"""),4)</f>
        <v>4</v>
      </c>
      <c r="K849" s="1" t="str">
        <f ca="1">IFERROR(__xludf.DUMMYFUNCTION("""COMPUTED_VALUE"""),"Fully Remote with Options to travel as and when needed")</f>
        <v>Fully Remote with Options to travel as and when needed</v>
      </c>
      <c r="L849" s="1" t="str">
        <f ca="1">IFERROR(__xludf.DUMMYFUNCTION("""COMPUTED_VALUE"""),"Employer who appreciates learning and enables that environment")</f>
        <v>Employer who appreciates learning and enables that environment</v>
      </c>
      <c r="M84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49" s="1" t="str">
        <f ca="1">IFERROR(__xludf.DUMMYFUNCTION("""COMPUTED_VALUE"""),"Design and Creative strategy in any company, Teaching in any of the institutes/colleges/online or offline, Build and develop a Team, Work as a freelancer and do my thing my way")</f>
        <v>Design and Creative strategy in any company, Teaching in any of the institutes/colleges/online or offline, Build and develop a Team, Work as a freelancer and do my thing my way</v>
      </c>
      <c r="O849" s="1" t="str">
        <f ca="1">IFERROR(__xludf.DUMMYFUNCTION("""COMPUTED_VALUE"""),"Manager who explains what is expected, sets a goal and helps achieve it")</f>
        <v>Manager who explains what is expected, sets a goal and helps achieve it</v>
      </c>
      <c r="P849" s="1" t="str">
        <f ca="1">IFERROR(__xludf.DUMMYFUNCTION("""COMPUTED_VALUE"""),"Work with 7 to 10 or more people in my team")</f>
        <v>Work with 7 to 10 or more people in my team</v>
      </c>
      <c r="Q849" s="1" t="str">
        <f ca="1">IFERROR(__xludf.DUMMYFUNCTION("""COMPUTED_VALUE"""),"Yes, I Understand this is gonna happen everywhere")</f>
        <v>Yes, I Understand this is gonna happen everywhere</v>
      </c>
      <c r="R849" s="1" t="str">
        <f ca="1">IFERROR(__xludf.DUMMYFUNCTION("""COMPUTED_VALUE"""),"This will be hard to do, but if it is the right company I would try")</f>
        <v>This will be hard to do, but if it is the right company I would try</v>
      </c>
      <c r="S849" s="1"/>
    </row>
    <row r="850" spans="1:19" ht="12.5" x14ac:dyDescent="0.25">
      <c r="A850" s="2">
        <f ca="1">IFERROR(__xludf.DUMMYFUNCTION("""COMPUTED_VALUE"""),45023.7433845023)</f>
        <v>45023.743384502297</v>
      </c>
      <c r="B850" s="1" t="str">
        <f ca="1">IFERROR(__xludf.DUMMYFUNCTION("""COMPUTED_VALUE"""),"India")</f>
        <v>India</v>
      </c>
      <c r="C850" s="1">
        <f ca="1">IFERROR(__xludf.DUMMYFUNCTION("""COMPUTED_VALUE"""),251001)</f>
        <v>251001</v>
      </c>
      <c r="D850" s="1" t="str">
        <f ca="1">IFERROR(__xludf.DUMMYFUNCTION("""COMPUTED_VALUE"""),"Female")</f>
        <v>Female</v>
      </c>
      <c r="E850" s="1" t="str">
        <f ca="1">IFERROR(__xludf.DUMMYFUNCTION("""COMPUTED_VALUE"""),"My Parents")</f>
        <v>My Parents</v>
      </c>
      <c r="F850" s="1" t="str">
        <f ca="1">IFERROR(__xludf.DUMMYFUNCTION("""COMPUTED_VALUE"""),"No I would not be pursuing Higher Education outside of India")</f>
        <v>No I would not be pursuing Higher Education outside of India</v>
      </c>
      <c r="G850" s="1" t="str">
        <f ca="1">IFERROR(__xludf.DUMMYFUNCTION("""COMPUTED_VALUE"""),"This will be hard to do, but if it is the right company I would try")</f>
        <v>This will be hard to do, but if it is the right company I would try</v>
      </c>
      <c r="H850" s="1" t="str">
        <f ca="1">IFERROR(__xludf.DUMMYFUNCTION("""COMPUTED_VALUE"""),"No")</f>
        <v>No</v>
      </c>
      <c r="I850" s="1" t="str">
        <f ca="1">IFERROR(__xludf.DUMMYFUNCTION("""COMPUTED_VALUE"""),"Will NOT work for them")</f>
        <v>Will NOT work for them</v>
      </c>
      <c r="J850" s="1">
        <f ca="1">IFERROR(__xludf.DUMMYFUNCTION("""COMPUTED_VALUE"""),4)</f>
        <v>4</v>
      </c>
      <c r="K850" s="1" t="str">
        <f ca="1">IFERROR(__xludf.DUMMYFUNCTION("""COMPUTED_VALUE"""),"Fully Remote with Options to travel as and when needed")</f>
        <v>Fully Remote with Options to travel as and when needed</v>
      </c>
      <c r="L850" s="1" t="str">
        <f ca="1">IFERROR(__xludf.DUMMYFUNCTION("""COMPUTED_VALUE"""),"Employer who appreciates learning and enables that environment")</f>
        <v>Employer who appreciates learning and enables that environment</v>
      </c>
      <c r="M85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50" s="1" t="str">
        <f ca="1">IFERROR(__xludf.DUMMYFUNCTION("""COMPUTED_VALUE"""),"Teaching in any of the institutes/colleges/online or offline, Business Operations in any organization, Manage and drive End-to-End Projects or Products, Look deeply into Data and generate insights")</f>
        <v>Teaching in any of the institutes/colleges/online or offline, Business Operations in any organization, Manage and drive End-to-End Projects or Products, Look deeply into Data and generate insights</v>
      </c>
      <c r="O850" s="1" t="str">
        <f ca="1">IFERROR(__xludf.DUMMYFUNCTION("""COMPUTED_VALUE"""),"Manager who explains what is expected, sets a goal and helps achieve it")</f>
        <v>Manager who explains what is expected, sets a goal and helps achieve it</v>
      </c>
      <c r="P850" s="1" t="str">
        <f ca="1">IFERROR(__xludf.DUMMYFUNCTION("""COMPUTED_VALUE"""),"Work with 2 to 3 people in my team")</f>
        <v>Work with 2 to 3 people in my team</v>
      </c>
      <c r="Q850" s="1" t="str">
        <f ca="1">IFERROR(__xludf.DUMMYFUNCTION("""COMPUTED_VALUE"""),"Yes, I Understand this is gonna happen everywhere")</f>
        <v>Yes, I Understand this is gonna happen everywhere</v>
      </c>
      <c r="R850" s="1" t="str">
        <f ca="1">IFERROR(__xludf.DUMMYFUNCTION("""COMPUTED_VALUE"""),"This will be hard to do, but if it is the right company I would try")</f>
        <v>This will be hard to do, but if it is the right company I would try</v>
      </c>
      <c r="S850" s="1"/>
    </row>
    <row r="851" spans="1:19" ht="12.5" x14ac:dyDescent="0.25">
      <c r="A851" s="2">
        <f ca="1">IFERROR(__xludf.DUMMYFUNCTION("""COMPUTED_VALUE"""),45023.8195882638)</f>
        <v>45023.819588263803</v>
      </c>
      <c r="B851" s="1" t="str">
        <f ca="1">IFERROR(__xludf.DUMMYFUNCTION("""COMPUTED_VALUE"""),"India")</f>
        <v>India</v>
      </c>
      <c r="C851" s="1">
        <f ca="1">IFERROR(__xludf.DUMMYFUNCTION("""COMPUTED_VALUE"""),203001)</f>
        <v>203001</v>
      </c>
      <c r="D851" s="1" t="str">
        <f ca="1">IFERROR(__xludf.DUMMYFUNCTION("""COMPUTED_VALUE"""),"Female")</f>
        <v>Female</v>
      </c>
      <c r="E851" s="1" t="str">
        <f ca="1">IFERROR(__xludf.DUMMYFUNCTION("""COMPUTED_VALUE"""),"My Parents")</f>
        <v>My Parents</v>
      </c>
      <c r="F851" s="1" t="str">
        <f ca="1">IFERROR(__xludf.DUMMYFUNCTION("""COMPUTED_VALUE"""),"No I would not be pursuing Higher Education outside of India")</f>
        <v>No I would not be pursuing Higher Education outside of India</v>
      </c>
      <c r="G851" s="1" t="str">
        <f ca="1">IFERROR(__xludf.DUMMYFUNCTION("""COMPUTED_VALUE"""),"This will be hard to do, but if it is the right company I would try")</f>
        <v>This will be hard to do, but if it is the right company I would try</v>
      </c>
      <c r="H851" s="1" t="str">
        <f ca="1">IFERROR(__xludf.DUMMYFUNCTION("""COMPUTED_VALUE"""),"No")</f>
        <v>No</v>
      </c>
      <c r="I851" s="1" t="str">
        <f ca="1">IFERROR(__xludf.DUMMYFUNCTION("""COMPUTED_VALUE"""),"Will NOT work for them")</f>
        <v>Will NOT work for them</v>
      </c>
      <c r="J851" s="1">
        <f ca="1">IFERROR(__xludf.DUMMYFUNCTION("""COMPUTED_VALUE"""),5)</f>
        <v>5</v>
      </c>
      <c r="K851" s="1" t="str">
        <f ca="1">IFERROR(__xludf.DUMMYFUNCTION("""COMPUTED_VALUE"""),"Fully Remote with Options to travel as and when needed")</f>
        <v>Fully Remote with Options to travel as and when needed</v>
      </c>
      <c r="L8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5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851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851" s="1" t="str">
        <f ca="1">IFERROR(__xludf.DUMMYFUNCTION("""COMPUTED_VALUE"""),"Manager who explains what is expected, sets a goal and helps achieve it")</f>
        <v>Manager who explains what is expected, sets a goal and helps achieve it</v>
      </c>
      <c r="P851" s="1" t="str">
        <f ca="1">IFERROR(__xludf.DUMMYFUNCTION("""COMPUTED_VALUE"""),"Work with 2 to 3 people in my team")</f>
        <v>Work with 2 to 3 people in my team</v>
      </c>
      <c r="Q851" s="1" t="str">
        <f ca="1">IFERROR(__xludf.DUMMYFUNCTION("""COMPUTED_VALUE"""),"I have NO other choice")</f>
        <v>I have NO other choice</v>
      </c>
      <c r="R851" s="1" t="str">
        <f ca="1">IFERROR(__xludf.DUMMYFUNCTION("""COMPUTED_VALUE"""),"This will be hard to do, but if it is the right company I would try")</f>
        <v>This will be hard to do, but if it is the right company I would try</v>
      </c>
      <c r="S851" s="1"/>
    </row>
    <row r="852" spans="1:19" ht="12.5" x14ac:dyDescent="0.25">
      <c r="A852" s="2">
        <f ca="1">IFERROR(__xludf.DUMMYFUNCTION("""COMPUTED_VALUE"""),45023.8232391782)</f>
        <v>45023.8232391782</v>
      </c>
      <c r="B852" s="1" t="str">
        <f ca="1">IFERROR(__xludf.DUMMYFUNCTION("""COMPUTED_VALUE"""),"India")</f>
        <v>India</v>
      </c>
      <c r="C852" s="1">
        <f ca="1">IFERROR(__xludf.DUMMYFUNCTION("""COMPUTED_VALUE"""),522508)</f>
        <v>522508</v>
      </c>
      <c r="D852" s="1" t="str">
        <f ca="1">IFERROR(__xludf.DUMMYFUNCTION("""COMPUTED_VALUE"""),"Male")</f>
        <v>Male</v>
      </c>
      <c r="E852" s="1" t="str">
        <f ca="1">IFERROR(__xludf.DUMMYFUNCTION("""COMPUTED_VALUE"""),"My Parents")</f>
        <v>My Parents</v>
      </c>
      <c r="F852" s="1" t="str">
        <f ca="1">IFERROR(__xludf.DUMMYFUNCTION("""COMPUTED_VALUE"""),"No I would not be pursuing Higher Education outside of India")</f>
        <v>No I would not be pursuing Higher Education outside of India</v>
      </c>
      <c r="G852" s="1" t="str">
        <f ca="1">IFERROR(__xludf.DUMMYFUNCTION("""COMPUTED_VALUE"""),"Will work for 3 years or more")</f>
        <v>Will work for 3 years or more</v>
      </c>
      <c r="H852" s="1" t="str">
        <f ca="1">IFERROR(__xludf.DUMMYFUNCTION("""COMPUTED_VALUE"""),"Yes")</f>
        <v>Yes</v>
      </c>
      <c r="I852" s="1" t="str">
        <f ca="1">IFERROR(__xludf.DUMMYFUNCTION("""COMPUTED_VALUE"""),"Will work for them")</f>
        <v>Will work for them</v>
      </c>
      <c r="J852" s="1">
        <f ca="1">IFERROR(__xludf.DUMMYFUNCTION("""COMPUTED_VALUE"""),10)</f>
        <v>10</v>
      </c>
      <c r="K852" s="1" t="str">
        <f ca="1">IFERROR(__xludf.DUMMYFUNCTION("""COMPUTED_VALUE"""),"Every Day Office Environment")</f>
        <v>Every Day Office Environment</v>
      </c>
      <c r="L852" s="1" t="str">
        <f ca="1">IFERROR(__xludf.DUMMYFUNCTION("""COMPUTED_VALUE"""),"Employer who appreciates learning and enables that environment")</f>
        <v>Employer who appreciates learning and enables that environment</v>
      </c>
      <c r="M85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852" s="1" t="str">
        <f ca="1">IFERROR(__xludf.DUMMYFUNCTION("""COMPUTED_VALUE"""),"Teaching in any of the institutes/colleges/online or offline, Business Operations in any organization, Design and Develop amazing software, Work in a BPO setup for some well known client")</f>
        <v>Teaching in any of the institutes/colleges/online or offline, Business Operations in any organization, Design and Develop amazing software, Work in a BPO setup for some well known client</v>
      </c>
      <c r="O852" s="1" t="str">
        <f ca="1">IFERROR(__xludf.DUMMYFUNCTION("""COMPUTED_VALUE"""),"Manager who sets goal and helps me achieve it")</f>
        <v>Manager who sets goal and helps me achieve it</v>
      </c>
      <c r="P852" s="1" t="str">
        <f ca="1">IFERROR(__xludf.DUMMYFUNCTION("""COMPUTED_VALUE"""),"Work with more than 10 people in my team")</f>
        <v>Work with more than 10 people in my team</v>
      </c>
      <c r="Q852" s="1" t="str">
        <f ca="1">IFERROR(__xludf.DUMMYFUNCTION("""COMPUTED_VALUE"""),"Yes")</f>
        <v>Yes</v>
      </c>
      <c r="R852" s="1" t="str">
        <f ca="1">IFERROR(__xludf.DUMMYFUNCTION("""COMPUTED_VALUE"""),"This will be hard to do, but if it is the right company I would try")</f>
        <v>This will be hard to do, but if it is the right company I would try</v>
      </c>
      <c r="S852" s="1"/>
    </row>
    <row r="853" spans="1:19" ht="12.5" x14ac:dyDescent="0.25">
      <c r="A853" s="2">
        <f ca="1">IFERROR(__xludf.DUMMYFUNCTION("""COMPUTED_VALUE"""),45023.8238914236)</f>
        <v>45023.823891423599</v>
      </c>
      <c r="B853" s="1" t="str">
        <f ca="1">IFERROR(__xludf.DUMMYFUNCTION("""COMPUTED_VALUE"""),"India")</f>
        <v>India</v>
      </c>
      <c r="C853" s="1">
        <f ca="1">IFERROR(__xludf.DUMMYFUNCTION("""COMPUTED_VALUE"""),243006)</f>
        <v>243006</v>
      </c>
      <c r="D853" s="1" t="str">
        <f ca="1">IFERROR(__xludf.DUMMYFUNCTION("""COMPUTED_VALUE"""),"Male")</f>
        <v>Male</v>
      </c>
      <c r="E853" s="1" t="str">
        <f ca="1">IFERROR(__xludf.DUMMYFUNCTION("""COMPUTED_VALUE"""),"People who have changed the world for better")</f>
        <v>People who have changed the world for better</v>
      </c>
      <c r="F853" s="1" t="str">
        <f ca="1">IFERROR(__xludf.DUMMYFUNCTION("""COMPUTED_VALUE"""),"No I would not be pursuing Higher Education outside of India")</f>
        <v>No I would not be pursuing Higher Education outside of India</v>
      </c>
      <c r="G853" s="1" t="str">
        <f ca="1">IFERROR(__xludf.DUMMYFUNCTION("""COMPUTED_VALUE"""),"This will be hard to do, but if it is the right company I would try")</f>
        <v>This will be hard to do, but if it is the right company I would try</v>
      </c>
      <c r="H853" s="1" t="str">
        <f ca="1">IFERROR(__xludf.DUMMYFUNCTION("""COMPUTED_VALUE"""),"No")</f>
        <v>No</v>
      </c>
      <c r="I853" s="1" t="str">
        <f ca="1">IFERROR(__xludf.DUMMYFUNCTION("""COMPUTED_VALUE"""),"Will NOT work for them")</f>
        <v>Will NOT work for them</v>
      </c>
      <c r="J853" s="1">
        <f ca="1">IFERROR(__xludf.DUMMYFUNCTION("""COMPUTED_VALUE"""),1)</f>
        <v>1</v>
      </c>
      <c r="K853" s="1" t="str">
        <f ca="1">IFERROR(__xludf.DUMMYFUNCTION("""COMPUTED_VALUE"""),"Fully Remote with No option to visit offices")</f>
        <v>Fully Remote with No option to visit offices</v>
      </c>
      <c r="L853" s="1" t="str">
        <f ca="1">IFERROR(__xludf.DUMMYFUNCTION("""COMPUTED_VALUE"""),"Employer who appreciates learning and enables that environment")</f>
        <v>Employer who appreciates learning and enables that environment</v>
      </c>
      <c r="M85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53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853" s="1" t="str">
        <f ca="1">IFERROR(__xludf.DUMMYFUNCTION("""COMPUTED_VALUE"""),"Manager who explains what is expected, sets a goal and helps achieve it")</f>
        <v>Manager who explains what is expected, sets a goal and helps achieve it</v>
      </c>
      <c r="P853" s="1" t="str">
        <f ca="1">IFERROR(__xludf.DUMMYFUNCTION("""COMPUTED_VALUE"""),"Work alone")</f>
        <v>Work alone</v>
      </c>
      <c r="Q853" s="1" t="str">
        <f ca="1">IFERROR(__xludf.DUMMYFUNCTION("""COMPUTED_VALUE"""),"No")</f>
        <v>No</v>
      </c>
      <c r="R853" s="1" t="str">
        <f ca="1">IFERROR(__xludf.DUMMYFUNCTION("""COMPUTED_VALUE"""),"This will be hard to do, but if it is the right company I would try")</f>
        <v>This will be hard to do, but if it is the right company I would try</v>
      </c>
      <c r="S853" s="1"/>
    </row>
    <row r="854" spans="1:19" ht="12.5" x14ac:dyDescent="0.25">
      <c r="A854" s="2">
        <f ca="1">IFERROR(__xludf.DUMMYFUNCTION("""COMPUTED_VALUE"""),45023.8248920254)</f>
        <v>45023.824892025397</v>
      </c>
      <c r="B854" s="1" t="str">
        <f ca="1">IFERROR(__xludf.DUMMYFUNCTION("""COMPUTED_VALUE"""),"India")</f>
        <v>India</v>
      </c>
      <c r="C854" s="1">
        <f ca="1">IFERROR(__xludf.DUMMYFUNCTION("""COMPUTED_VALUE"""),110076)</f>
        <v>110076</v>
      </c>
      <c r="D854" s="1" t="str">
        <f ca="1">IFERROR(__xludf.DUMMYFUNCTION("""COMPUTED_VALUE"""),"Female")</f>
        <v>Female</v>
      </c>
      <c r="E854" s="1" t="str">
        <f ca="1">IFERROR(__xludf.DUMMYFUNCTION("""COMPUTED_VALUE"""),"People who have changed the world for better")</f>
        <v>People who have changed the world for better</v>
      </c>
      <c r="F854" s="1" t="str">
        <f ca="1">IFERROR(__xludf.DUMMYFUNCTION("""COMPUTED_VALUE"""),"Yes, I will earn and do that")</f>
        <v>Yes, I will earn and do that</v>
      </c>
      <c r="G854" s="1" t="str">
        <f ca="1">IFERROR(__xludf.DUMMYFUNCTION("""COMPUTED_VALUE"""),"This will be hard to do, but if it is the right company I would try")</f>
        <v>This will be hard to do, but if it is the right company I would try</v>
      </c>
      <c r="H854" s="1" t="str">
        <f ca="1">IFERROR(__xludf.DUMMYFUNCTION("""COMPUTED_VALUE"""),"No")</f>
        <v>No</v>
      </c>
      <c r="I854" s="1" t="str">
        <f ca="1">IFERROR(__xludf.DUMMYFUNCTION("""COMPUTED_VALUE"""),"Will NOT work for them")</f>
        <v>Will NOT work for them</v>
      </c>
      <c r="J854" s="1">
        <f ca="1">IFERROR(__xludf.DUMMYFUNCTION("""COMPUTED_VALUE"""),6)</f>
        <v>6</v>
      </c>
      <c r="K854" s="1" t="str">
        <f ca="1">IFERROR(__xludf.DUMMYFUNCTION("""COMPUTED_VALUE"""),"Hybrid Working Environment with more than 15 days a month at office")</f>
        <v>Hybrid Working Environment with more than 15 days a month at office</v>
      </c>
      <c r="L8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5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54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854" s="1" t="str">
        <f ca="1">IFERROR(__xludf.DUMMYFUNCTION("""COMPUTED_VALUE"""),"Manager who explains what is expected, sets a goal and helps achieve it")</f>
        <v>Manager who explains what is expected, sets a goal and helps achieve it</v>
      </c>
      <c r="P854" s="1" t="str">
        <f ca="1">IFERROR(__xludf.DUMMYFUNCTION("""COMPUTED_VALUE"""),"Work with 5 to 6 people in my team")</f>
        <v>Work with 5 to 6 people in my team</v>
      </c>
      <c r="Q854" s="1" t="str">
        <f ca="1">IFERROR(__xludf.DUMMYFUNCTION("""COMPUTED_VALUE"""),"Yes, I Understand this is gonna happen everywhere")</f>
        <v>Yes, I Understand this is gonna happen everywhere</v>
      </c>
      <c r="R854" s="1" t="str">
        <f ca="1">IFERROR(__xludf.DUMMYFUNCTION("""COMPUTED_VALUE"""),"This will be hard to do, but if it is the right company I would try")</f>
        <v>This will be hard to do, but if it is the right company I would try</v>
      </c>
      <c r="S854" s="1"/>
    </row>
    <row r="855" spans="1:19" ht="12.5" x14ac:dyDescent="0.25">
      <c r="A855" s="2">
        <f ca="1">IFERROR(__xludf.DUMMYFUNCTION("""COMPUTED_VALUE"""),45023.8315256828)</f>
        <v>45023.831525682799</v>
      </c>
      <c r="B855" s="1" t="str">
        <f ca="1">IFERROR(__xludf.DUMMYFUNCTION("""COMPUTED_VALUE"""),"India")</f>
        <v>India</v>
      </c>
      <c r="C855" s="1">
        <f ca="1">IFERROR(__xludf.DUMMYFUNCTION("""COMPUTED_VALUE"""),227405)</f>
        <v>227405</v>
      </c>
      <c r="D855" s="1" t="str">
        <f ca="1">IFERROR(__xludf.DUMMYFUNCTION("""COMPUTED_VALUE"""),"Male")</f>
        <v>Male</v>
      </c>
      <c r="E855" s="1" t="str">
        <f ca="1">IFERROR(__xludf.DUMMYFUNCTION("""COMPUTED_VALUE"""),"Influencers who had successful careers")</f>
        <v>Influencers who had successful careers</v>
      </c>
      <c r="F855" s="1" t="str">
        <f ca="1">IFERROR(__xludf.DUMMYFUNCTION("""COMPUTED_VALUE"""),"Yes, I will earn and do that")</f>
        <v>Yes, I will earn and do that</v>
      </c>
      <c r="G855" s="1" t="str">
        <f ca="1">IFERROR(__xludf.DUMMYFUNCTION("""COMPUTED_VALUE"""),"Will work for 3 years or more")</f>
        <v>Will work for 3 years or more</v>
      </c>
      <c r="H855" s="1" t="str">
        <f ca="1">IFERROR(__xludf.DUMMYFUNCTION("""COMPUTED_VALUE"""),"No")</f>
        <v>No</v>
      </c>
      <c r="I855" s="1" t="str">
        <f ca="1">IFERROR(__xludf.DUMMYFUNCTION("""COMPUTED_VALUE"""),"Will work for them")</f>
        <v>Will work for them</v>
      </c>
      <c r="J855" s="1">
        <f ca="1">IFERROR(__xludf.DUMMYFUNCTION("""COMPUTED_VALUE"""),7)</f>
        <v>7</v>
      </c>
      <c r="K855" s="1" t="str">
        <f ca="1">IFERROR(__xludf.DUMMYFUNCTION("""COMPUTED_VALUE"""),"Hybrid Working Environment with more than 15 days a month at office")</f>
        <v>Hybrid Working Environment with more than 15 days a month at office</v>
      </c>
      <c r="L8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5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55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855" s="1" t="str">
        <f ca="1">IFERROR(__xludf.DUMMYFUNCTION("""COMPUTED_VALUE"""),"Manager who explains what is expected, sets a goal and helps achieve it")</f>
        <v>Manager who explains what is expected, sets a goal and helps achieve it</v>
      </c>
      <c r="P855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855" s="1" t="str">
        <f ca="1">IFERROR(__xludf.DUMMYFUNCTION("""COMPUTED_VALUE"""),"No")</f>
        <v>No</v>
      </c>
      <c r="R855" s="1" t="str">
        <f ca="1">IFERROR(__xludf.DUMMYFUNCTION("""COMPUTED_VALUE"""),"Will work for 7 years or more")</f>
        <v>Will work for 7 years or more</v>
      </c>
      <c r="S855" s="1"/>
    </row>
    <row r="856" spans="1:19" ht="12.5" x14ac:dyDescent="0.25">
      <c r="A856" s="2">
        <f ca="1">IFERROR(__xludf.DUMMYFUNCTION("""COMPUTED_VALUE"""),45023.8337852777)</f>
        <v>45023.833785277697</v>
      </c>
      <c r="B856" s="1" t="str">
        <f ca="1">IFERROR(__xludf.DUMMYFUNCTION("""COMPUTED_VALUE"""),"India")</f>
        <v>India</v>
      </c>
      <c r="C856" s="1">
        <f ca="1">IFERROR(__xludf.DUMMYFUNCTION("""COMPUTED_VALUE"""),110084)</f>
        <v>110084</v>
      </c>
      <c r="D856" s="1" t="str">
        <f ca="1">IFERROR(__xludf.DUMMYFUNCTION("""COMPUTED_VALUE"""),"Female")</f>
        <v>Female</v>
      </c>
      <c r="E856" s="1" t="str">
        <f ca="1">IFERROR(__xludf.DUMMYFUNCTION("""COMPUTED_VALUE"""),"My Parents")</f>
        <v>My Parents</v>
      </c>
      <c r="F856" s="1" t="str">
        <f ca="1">IFERROR(__xludf.DUMMYFUNCTION("""COMPUTED_VALUE"""),"No I would not be pursuing Higher Education outside of India")</f>
        <v>No I would not be pursuing Higher Education outside of India</v>
      </c>
      <c r="G856" s="1" t="str">
        <f ca="1">IFERROR(__xludf.DUMMYFUNCTION("""COMPUTED_VALUE"""),"This will be hard to do, but if it is the right company I would try")</f>
        <v>This will be hard to do, but if it is the right company I would try</v>
      </c>
      <c r="H856" s="1" t="str">
        <f ca="1">IFERROR(__xludf.DUMMYFUNCTION("""COMPUTED_VALUE"""),"No")</f>
        <v>No</v>
      </c>
      <c r="I856" s="1" t="str">
        <f ca="1">IFERROR(__xludf.DUMMYFUNCTION("""COMPUTED_VALUE"""),"Will NOT work for them")</f>
        <v>Will NOT work for them</v>
      </c>
      <c r="J856" s="1">
        <f ca="1">IFERROR(__xludf.DUMMYFUNCTION("""COMPUTED_VALUE"""),6)</f>
        <v>6</v>
      </c>
      <c r="K856" s="1" t="str">
        <f ca="1">IFERROR(__xludf.DUMMYFUNCTION("""COMPUTED_VALUE"""),"Hybrid Working Environment with more than 15 days a month at office")</f>
        <v>Hybrid Working Environment with more than 15 days a month at office</v>
      </c>
      <c r="L8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5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56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856" s="1" t="str">
        <f ca="1">IFERROR(__xludf.DUMMYFUNCTION("""COMPUTED_VALUE"""),"Manager who explains what is expected, sets a goal and helps achieve it")</f>
        <v>Manager who explains what is expected, sets a goal and helps achieve it</v>
      </c>
      <c r="P856" s="1" t="str">
        <f ca="1">IFERROR(__xludf.DUMMYFUNCTION("""COMPUTED_VALUE"""),"Work with 2 to 3 people in my team, Work with 5 to 6 people in my team")</f>
        <v>Work with 2 to 3 people in my team, Work with 5 to 6 people in my team</v>
      </c>
      <c r="Q856" s="1" t="str">
        <f ca="1">IFERROR(__xludf.DUMMYFUNCTION("""COMPUTED_VALUE"""),"Yes, I Understand this is gonna happen everywhere")</f>
        <v>Yes, I Understand this is gonna happen everywhere</v>
      </c>
      <c r="R856" s="1" t="str">
        <f ca="1">IFERROR(__xludf.DUMMYFUNCTION("""COMPUTED_VALUE"""),"This will be hard to do, but if it is the right company I would try")</f>
        <v>This will be hard to do, but if it is the right company I would try</v>
      </c>
      <c r="S856" s="1"/>
    </row>
    <row r="857" spans="1:19" ht="12.5" x14ac:dyDescent="0.25">
      <c r="A857" s="2">
        <f ca="1">IFERROR(__xludf.DUMMYFUNCTION("""COMPUTED_VALUE"""),45023.8368476851)</f>
        <v>45023.836847685103</v>
      </c>
      <c r="B857" s="1" t="str">
        <f ca="1">IFERROR(__xludf.DUMMYFUNCTION("""COMPUTED_VALUE"""),"India")</f>
        <v>India</v>
      </c>
      <c r="C857" s="1" t="str">
        <f ca="1">IFERROR(__xludf.DUMMYFUNCTION("""COMPUTED_VALUE"""),"0129")</f>
        <v>0129</v>
      </c>
      <c r="D857" s="1" t="str">
        <f ca="1">IFERROR(__xludf.DUMMYFUNCTION("""COMPUTED_VALUE"""),"Male")</f>
        <v>Male</v>
      </c>
      <c r="E857" s="1" t="str">
        <f ca="1">IFERROR(__xludf.DUMMYFUNCTION("""COMPUTED_VALUE"""),"People from my circle, but not family members")</f>
        <v>People from my circle, but not family members</v>
      </c>
      <c r="F857" s="1" t="str">
        <f ca="1">IFERROR(__xludf.DUMMYFUNCTION("""COMPUTED_VALUE"""),"Yes, I will earn and do that")</f>
        <v>Yes, I will earn and do that</v>
      </c>
      <c r="G857" s="1" t="str">
        <f ca="1">IFERROR(__xludf.DUMMYFUNCTION("""COMPUTED_VALUE"""),"This will be hard to do, but if it is the right company I would try")</f>
        <v>This will be hard to do, but if it is the right company I would try</v>
      </c>
      <c r="H857" s="1" t="str">
        <f ca="1">IFERROR(__xludf.DUMMYFUNCTION("""COMPUTED_VALUE"""),"Yes")</f>
        <v>Yes</v>
      </c>
      <c r="I857" s="1" t="str">
        <f ca="1">IFERROR(__xludf.DUMMYFUNCTION("""COMPUTED_VALUE"""),"Will NOT work for them")</f>
        <v>Will NOT work for them</v>
      </c>
      <c r="J857" s="1">
        <f ca="1">IFERROR(__xludf.DUMMYFUNCTION("""COMPUTED_VALUE"""),10)</f>
        <v>10</v>
      </c>
      <c r="K857" s="1" t="str">
        <f ca="1">IFERROR(__xludf.DUMMYFUNCTION("""COMPUTED_VALUE"""),"Hybrid Working Environment with more than 15 days a month at office")</f>
        <v>Hybrid Working Environment with more than 15 days a month at office</v>
      </c>
      <c r="L8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5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857" s="1" t="str">
        <f ca="1">IFERROR(__xludf.DUMMYFUNCTION("""COMPUTED_VALUE"""),"Design and Creative strategy in any company, Teaching in any of the institutes/colleges/online or offline, Manage and drive End-to-End Projects or Products, Manufacturing / Oil and Gas/ Construction / Hard Physical Work related")</f>
        <v>Design and Creative strategy in any company, Teaching in any of the institutes/colleges/online or offline, Manage and drive End-to-End Projects or Products, Manufacturing / Oil and Gas/ Construction / Hard Physical Work related</v>
      </c>
      <c r="O857" s="1" t="str">
        <f ca="1">IFERROR(__xludf.DUMMYFUNCTION("""COMPUTED_VALUE"""),"Manager who sets goal and helps me achieve it")</f>
        <v>Manager who sets goal and helps me achieve it</v>
      </c>
      <c r="P85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857" s="1" t="str">
        <f ca="1">IFERROR(__xludf.DUMMYFUNCTION("""COMPUTED_VALUE"""),"Yes, I Understand this is gonna happen everywhere")</f>
        <v>Yes, I Understand this is gonna happen everywhere</v>
      </c>
      <c r="R857" s="1" t="str">
        <f ca="1">IFERROR(__xludf.DUMMYFUNCTION("""COMPUTED_VALUE"""),"This will be hard to do, but if it is the right company I would try")</f>
        <v>This will be hard to do, but if it is the right company I would try</v>
      </c>
      <c r="S857" s="1"/>
    </row>
    <row r="858" spans="1:19" ht="12.5" x14ac:dyDescent="0.25">
      <c r="A858" s="2">
        <f ca="1">IFERROR(__xludf.DUMMYFUNCTION("""COMPUTED_VALUE"""),45023.8377436458)</f>
        <v>45023.837743645803</v>
      </c>
      <c r="B858" s="1" t="str">
        <f ca="1">IFERROR(__xludf.DUMMYFUNCTION("""COMPUTED_VALUE"""),"India")</f>
        <v>India</v>
      </c>
      <c r="C858" s="1">
        <f ca="1">IFERROR(__xludf.DUMMYFUNCTION("""COMPUTED_VALUE"""),517501)</f>
        <v>517501</v>
      </c>
      <c r="D858" s="1" t="str">
        <f ca="1">IFERROR(__xludf.DUMMYFUNCTION("""COMPUTED_VALUE"""),"Female")</f>
        <v>Female</v>
      </c>
      <c r="E858" s="1" t="str">
        <f ca="1">IFERROR(__xludf.DUMMYFUNCTION("""COMPUTED_VALUE"""),"My Parents")</f>
        <v>My Parents</v>
      </c>
      <c r="F858" s="1" t="str">
        <f ca="1">IFERROR(__xludf.DUMMYFUNCTION("""COMPUTED_VALUE"""),"No, But if someone could bare the cost I will")</f>
        <v>No, But if someone could bare the cost I will</v>
      </c>
      <c r="G858" s="1" t="str">
        <f ca="1">IFERROR(__xludf.DUMMYFUNCTION("""COMPUTED_VALUE"""),"This will be hard to do, but if it is the right company I would try")</f>
        <v>This will be hard to do, but if it is the right company I would try</v>
      </c>
      <c r="H858" s="1" t="str">
        <f ca="1">IFERROR(__xludf.DUMMYFUNCTION("""COMPUTED_VALUE"""),"No")</f>
        <v>No</v>
      </c>
      <c r="I858" s="1" t="str">
        <f ca="1">IFERROR(__xludf.DUMMYFUNCTION("""COMPUTED_VALUE"""),"Will NOT work for them")</f>
        <v>Will NOT work for them</v>
      </c>
      <c r="J858" s="1">
        <f ca="1">IFERROR(__xludf.DUMMYFUNCTION("""COMPUTED_VALUE"""),7)</f>
        <v>7</v>
      </c>
      <c r="K858" s="1" t="str">
        <f ca="1">IFERROR(__xludf.DUMMYFUNCTION("""COMPUTED_VALUE"""),"Every Day Office Environment")</f>
        <v>Every Day Office Environment</v>
      </c>
      <c r="L8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5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58" s="1" t="str">
        <f ca="1">IFERROR(__xludf.DUMMYFUNCTION("""COMPUTED_VALUE"""),"Design and Creative strategy in any company, Manage and drive End-to-End Projects or Products, Build and develop a Team, Become a content Creator in some platform")</f>
        <v>Design and Creative strategy in any company, Manage and drive End-to-End Projects or Products, Build and develop a Team, Become a content Creator in some platform</v>
      </c>
      <c r="O858" s="1" t="str">
        <f ca="1">IFERROR(__xludf.DUMMYFUNCTION("""COMPUTED_VALUE"""),"Manager who sets goal and helps me achieve it")</f>
        <v>Manager who sets goal and helps me achieve it</v>
      </c>
      <c r="P858" s="1" t="str">
        <f ca="1">IFERROR(__xludf.DUMMYFUNCTION("""COMPUTED_VALUE"""),"Work with 5 to 6 people in my team")</f>
        <v>Work with 5 to 6 people in my team</v>
      </c>
      <c r="Q858" s="1" t="str">
        <f ca="1">IFERROR(__xludf.DUMMYFUNCTION("""COMPUTED_VALUE"""),"Yes, I Understand this is gonna happen everywhere")</f>
        <v>Yes, I Understand this is gonna happen everywhere</v>
      </c>
      <c r="R858" s="1" t="str">
        <f ca="1">IFERROR(__xludf.DUMMYFUNCTION("""COMPUTED_VALUE"""),"This will be hard to do, but if it is the right company I would try")</f>
        <v>This will be hard to do, but if it is the right company I would try</v>
      </c>
      <c r="S858" s="1"/>
    </row>
    <row r="859" spans="1:19" ht="12.5" x14ac:dyDescent="0.25">
      <c r="A859" s="2">
        <f ca="1">IFERROR(__xludf.DUMMYFUNCTION("""COMPUTED_VALUE"""),45023.8448366782)</f>
        <v>45023.844836678203</v>
      </c>
      <c r="B859" s="1" t="str">
        <f ca="1">IFERROR(__xludf.DUMMYFUNCTION("""COMPUTED_VALUE"""),"India")</f>
        <v>India</v>
      </c>
      <c r="C859" s="1">
        <f ca="1">IFERROR(__xludf.DUMMYFUNCTION("""COMPUTED_VALUE"""),517503)</f>
        <v>517503</v>
      </c>
      <c r="D859" s="1" t="str">
        <f ca="1">IFERROR(__xludf.DUMMYFUNCTION("""COMPUTED_VALUE"""),"Female")</f>
        <v>Female</v>
      </c>
      <c r="E859" s="1" t="str">
        <f ca="1">IFERROR(__xludf.DUMMYFUNCTION("""COMPUTED_VALUE"""),"Influencers who had successful careers")</f>
        <v>Influencers who had successful careers</v>
      </c>
      <c r="F859" s="1" t="str">
        <f ca="1">IFERROR(__xludf.DUMMYFUNCTION("""COMPUTED_VALUE"""),"Yes, I will earn and do that")</f>
        <v>Yes, I will earn and do that</v>
      </c>
      <c r="G859" s="1" t="str">
        <f ca="1">IFERROR(__xludf.DUMMYFUNCTION("""COMPUTED_VALUE"""),"This will be hard to do, but if it is the right company I would try")</f>
        <v>This will be hard to do, but if it is the right company I would try</v>
      </c>
      <c r="H859" s="1" t="str">
        <f ca="1">IFERROR(__xludf.DUMMYFUNCTION("""COMPUTED_VALUE"""),"No")</f>
        <v>No</v>
      </c>
      <c r="I859" s="1" t="str">
        <f ca="1">IFERROR(__xludf.DUMMYFUNCTION("""COMPUTED_VALUE"""),"Will NOT work for them")</f>
        <v>Will NOT work for them</v>
      </c>
      <c r="J859" s="1">
        <f ca="1">IFERROR(__xludf.DUMMYFUNCTION("""COMPUTED_VALUE"""),4)</f>
        <v>4</v>
      </c>
      <c r="K859" s="1" t="str">
        <f ca="1">IFERROR(__xludf.DUMMYFUNCTION("""COMPUTED_VALUE"""),"Every Day Office Environment")</f>
        <v>Every Day Office Environment</v>
      </c>
      <c r="L859" s="1" t="str">
        <f ca="1">IFERROR(__xludf.DUMMYFUNCTION("""COMPUTED_VALUE"""),"Employer who appreciates learning and enables that environment")</f>
        <v>Employer who appreciates learning and enables that environment</v>
      </c>
      <c r="M859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859" s="1" t="str">
        <f ca="1">IFERROR(__xludf.DUMMYFUNCTION("""COMPUTED_VALUE"""),"Design and Creative strategy in any company, Design and Develop amazing software, Look deeply into Data and generate insights, Work as a freelancer and do my thing my way")</f>
        <v>Design and Creative strategy in any company, Design and Develop amazing software, Look deeply into Data and generate insights, Work as a freelancer and do my thing my way</v>
      </c>
      <c r="O859" s="1" t="str">
        <f ca="1">IFERROR(__xludf.DUMMYFUNCTION("""COMPUTED_VALUE"""),"Manager who explains what is expected, sets a goal and helps achieve it")</f>
        <v>Manager who explains what is expected, sets a goal and helps achieve it</v>
      </c>
      <c r="P859" s="1" t="str">
        <f ca="1">IFERROR(__xludf.DUMMYFUNCTION("""COMPUTED_VALUE"""),"Work with 5 to 6 people in my team")</f>
        <v>Work with 5 to 6 people in my team</v>
      </c>
      <c r="Q859" s="1" t="str">
        <f ca="1">IFERROR(__xludf.DUMMYFUNCTION("""COMPUTED_VALUE"""),"No")</f>
        <v>No</v>
      </c>
      <c r="R859" s="1" t="str">
        <f ca="1">IFERROR(__xludf.DUMMYFUNCTION("""COMPUTED_VALUE"""),"This will be hard to do, but if it is the right company I would try")</f>
        <v>This will be hard to do, but if it is the right company I would try</v>
      </c>
      <c r="S859" s="1"/>
    </row>
    <row r="860" spans="1:19" ht="12.5" x14ac:dyDescent="0.25">
      <c r="A860" s="2">
        <f ca="1">IFERROR(__xludf.DUMMYFUNCTION("""COMPUTED_VALUE"""),45023.8545601504)</f>
        <v>45023.854560150401</v>
      </c>
      <c r="B860" s="1" t="str">
        <f ca="1">IFERROR(__xludf.DUMMYFUNCTION("""COMPUTED_VALUE"""),"India")</f>
        <v>India</v>
      </c>
      <c r="C860" s="1">
        <f ca="1">IFERROR(__xludf.DUMMYFUNCTION("""COMPUTED_VALUE"""),560087)</f>
        <v>560087</v>
      </c>
      <c r="D860" s="1" t="str">
        <f ca="1">IFERROR(__xludf.DUMMYFUNCTION("""COMPUTED_VALUE"""),"Male")</f>
        <v>Male</v>
      </c>
      <c r="E860" s="1" t="str">
        <f ca="1">IFERROR(__xludf.DUMMYFUNCTION("""COMPUTED_VALUE"""),"People from my circle, but not family members")</f>
        <v>People from my circle, but not family members</v>
      </c>
      <c r="F860" s="1" t="str">
        <f ca="1">IFERROR(__xludf.DUMMYFUNCTION("""COMPUTED_VALUE"""),"Yes, I will earn and do that")</f>
        <v>Yes, I will earn and do that</v>
      </c>
      <c r="G860" s="1" t="str">
        <f ca="1">IFERROR(__xludf.DUMMYFUNCTION("""COMPUTED_VALUE"""),"Will work for 3 years or more")</f>
        <v>Will work for 3 years or more</v>
      </c>
      <c r="H860" s="1" t="str">
        <f ca="1">IFERROR(__xludf.DUMMYFUNCTION("""COMPUTED_VALUE"""),"Yes")</f>
        <v>Yes</v>
      </c>
      <c r="I860" s="1" t="str">
        <f ca="1">IFERROR(__xludf.DUMMYFUNCTION("""COMPUTED_VALUE"""),"Will NOT work for them")</f>
        <v>Will NOT work for them</v>
      </c>
      <c r="J860" s="1">
        <f ca="1">IFERROR(__xludf.DUMMYFUNCTION("""COMPUTED_VALUE"""),6)</f>
        <v>6</v>
      </c>
      <c r="K860" s="1" t="str">
        <f ca="1">IFERROR(__xludf.DUMMYFUNCTION("""COMPUTED_VALUE"""),"Hybrid Working Environment with more than 15 days a month at office")</f>
        <v>Hybrid Working Environment with more than 15 days a month at office</v>
      </c>
      <c r="L8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6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60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860" s="1" t="str">
        <f ca="1">IFERROR(__xludf.DUMMYFUNCTION("""COMPUTED_VALUE"""),"Manager who explains what is expected, sets a goal and helps achieve it")</f>
        <v>Manager who explains what is expected, sets a goal and helps achieve it</v>
      </c>
      <c r="P86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860" s="1" t="str">
        <f ca="1">IFERROR(__xludf.DUMMYFUNCTION("""COMPUTED_VALUE"""),"I have NO other choice")</f>
        <v>I have NO other choice</v>
      </c>
      <c r="R860" s="1" t="str">
        <f ca="1">IFERROR(__xludf.DUMMYFUNCTION("""COMPUTED_VALUE"""),"This will be hard to do, but if it is the right company I would try")</f>
        <v>This will be hard to do, but if it is the right company I would try</v>
      </c>
      <c r="S860" s="1"/>
    </row>
    <row r="861" spans="1:19" ht="12.5" x14ac:dyDescent="0.25">
      <c r="A861" s="2">
        <f ca="1">IFERROR(__xludf.DUMMYFUNCTION("""COMPUTED_VALUE"""),45023.8568832175)</f>
        <v>45023.856883217501</v>
      </c>
      <c r="B861" s="1" t="str">
        <f ca="1">IFERROR(__xludf.DUMMYFUNCTION("""COMPUTED_VALUE"""),"India")</f>
        <v>India</v>
      </c>
      <c r="C861" s="1">
        <f ca="1">IFERROR(__xludf.DUMMYFUNCTION("""COMPUTED_VALUE"""),517510)</f>
        <v>517510</v>
      </c>
      <c r="D861" s="1" t="str">
        <f ca="1">IFERROR(__xludf.DUMMYFUNCTION("""COMPUTED_VALUE"""),"Female")</f>
        <v>Female</v>
      </c>
      <c r="E861" s="1" t="str">
        <f ca="1">IFERROR(__xludf.DUMMYFUNCTION("""COMPUTED_VALUE"""),"Social Media like LinkedIn")</f>
        <v>Social Media like LinkedIn</v>
      </c>
      <c r="F861" s="1" t="str">
        <f ca="1">IFERROR(__xludf.DUMMYFUNCTION("""COMPUTED_VALUE"""),"Yes, I will earn and do that")</f>
        <v>Yes, I will earn and do that</v>
      </c>
      <c r="G861" s="1" t="str">
        <f ca="1">IFERROR(__xludf.DUMMYFUNCTION("""COMPUTED_VALUE"""),"Will work for 3 years or more")</f>
        <v>Will work for 3 years or more</v>
      </c>
      <c r="H861" s="1" t="str">
        <f ca="1">IFERROR(__xludf.DUMMYFUNCTION("""COMPUTED_VALUE"""),"No")</f>
        <v>No</v>
      </c>
      <c r="I861" s="1" t="str">
        <f ca="1">IFERROR(__xludf.DUMMYFUNCTION("""COMPUTED_VALUE"""),"Will NOT work for them")</f>
        <v>Will NOT work for them</v>
      </c>
      <c r="J861" s="1">
        <f ca="1">IFERROR(__xludf.DUMMYFUNCTION("""COMPUTED_VALUE"""),10)</f>
        <v>10</v>
      </c>
      <c r="K861" s="1" t="str">
        <f ca="1">IFERROR(__xludf.DUMMYFUNCTION("""COMPUTED_VALUE"""),"Fully Remote with No option to visit offices")</f>
        <v>Fully Remote with No option to visit offices</v>
      </c>
      <c r="L861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861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861" s="1" t="str">
        <f ca="1">IFERROR(__xludf.DUMMYFUNCTION("""COMPUTED_VALUE"""),"Entrepreneur or Start Up, I Want to sell things/Sales, An Artificial Intelligence Specialist / Talking to Robots, Manufacturing / Oil and Gas/ Construction / Hard Physical Work related")</f>
        <v>Entrepreneur or Start Up, I Want to sell things/Sales, An Artificial Intelligence Specialist / Talking to Robots, Manufacturing / Oil and Gas/ Construction / Hard Physical Work related</v>
      </c>
      <c r="O861" s="1" t="str">
        <f ca="1">IFERROR(__xludf.DUMMYFUNCTION("""COMPUTED_VALUE"""),"Manager who sets unrealistic targets")</f>
        <v>Manager who sets unrealistic targets</v>
      </c>
      <c r="P861" s="1" t="str">
        <f ca="1">IFERROR(__xludf.DUMMYFUNCTION("""COMPUTED_VALUE"""),"Work with more than 10 people in my team")</f>
        <v>Work with more than 10 people in my team</v>
      </c>
      <c r="Q861" s="1" t="str">
        <f ca="1">IFERROR(__xludf.DUMMYFUNCTION("""COMPUTED_VALUE"""),"I have NO other choice")</f>
        <v>I have NO other choice</v>
      </c>
      <c r="R861" s="1" t="str">
        <f ca="1">IFERROR(__xludf.DUMMYFUNCTION("""COMPUTED_VALUE"""),"Will work for 7 years or more")</f>
        <v>Will work for 7 years or more</v>
      </c>
      <c r="S861" s="1"/>
    </row>
    <row r="862" spans="1:19" ht="12.5" x14ac:dyDescent="0.25">
      <c r="A862" s="2">
        <f ca="1">IFERROR(__xludf.DUMMYFUNCTION("""COMPUTED_VALUE"""),45023.8649776157)</f>
        <v>45023.864977615704</v>
      </c>
      <c r="B862" s="1" t="str">
        <f ca="1">IFERROR(__xludf.DUMMYFUNCTION("""COMPUTED_VALUE"""),"India")</f>
        <v>India</v>
      </c>
      <c r="C862" s="1">
        <f ca="1">IFERROR(__xludf.DUMMYFUNCTION("""COMPUTED_VALUE"""),560087)</f>
        <v>560087</v>
      </c>
      <c r="D862" s="1" t="str">
        <f ca="1">IFERROR(__xludf.DUMMYFUNCTION("""COMPUTED_VALUE"""),"Female")</f>
        <v>Female</v>
      </c>
      <c r="E862" s="1" t="str">
        <f ca="1">IFERROR(__xludf.DUMMYFUNCTION("""COMPUTED_VALUE"""),"People who have changed the world for better")</f>
        <v>People who have changed the world for better</v>
      </c>
      <c r="F862" s="1" t="str">
        <f ca="1">IFERROR(__xludf.DUMMYFUNCTION("""COMPUTED_VALUE"""),"No, But if someone could bare the cost I will")</f>
        <v>No, But if someone could bare the cost I will</v>
      </c>
      <c r="G862" s="1" t="str">
        <f ca="1">IFERROR(__xludf.DUMMYFUNCTION("""COMPUTED_VALUE"""),"Will work for 3 years or more")</f>
        <v>Will work for 3 years or more</v>
      </c>
      <c r="H862" s="1" t="str">
        <f ca="1">IFERROR(__xludf.DUMMYFUNCTION("""COMPUTED_VALUE"""),"Yes")</f>
        <v>Yes</v>
      </c>
      <c r="I862" s="1" t="str">
        <f ca="1">IFERROR(__xludf.DUMMYFUNCTION("""COMPUTED_VALUE"""),"Will NOT work for them")</f>
        <v>Will NOT work for them</v>
      </c>
      <c r="J862" s="1">
        <f ca="1">IFERROR(__xludf.DUMMYFUNCTION("""COMPUTED_VALUE"""),7)</f>
        <v>7</v>
      </c>
      <c r="K862" s="1" t="str">
        <f ca="1">IFERROR(__xludf.DUMMYFUNCTION("""COMPUTED_VALUE"""),"Hybrid Working Environment with less than 3 days a month at office")</f>
        <v>Hybrid Working Environment with less than 3 days a month at office</v>
      </c>
      <c r="L862" s="1" t="str">
        <f ca="1">IFERROR(__xludf.DUMMYFUNCTION("""COMPUTED_VALUE"""),"Employer who appreciates learning and enables that environment")</f>
        <v>Employer who appreciates learning and enables that environment</v>
      </c>
      <c r="M86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62" s="1" t="str">
        <f ca="1">IFERROR(__xludf.DUMMYFUNCTION("""COMPUTED_VALUE"""),"Design and Develop amazing software, Look deeply into Data and generate insights, Work as a freelancer and do my thing my way, Entrepreneur or Start Up")</f>
        <v>Design and Develop amazing software, Look deeply into Data and generate insights, Work as a freelancer and do my thing my way, Entrepreneur or Start Up</v>
      </c>
      <c r="O862" s="1" t="str">
        <f ca="1">IFERROR(__xludf.DUMMYFUNCTION("""COMPUTED_VALUE"""),"Manager who explains what is expected, sets a goal and helps achieve it")</f>
        <v>Manager who explains what is expected, sets a goal and helps achieve it</v>
      </c>
      <c r="P862" s="1" t="str">
        <f ca="1">IFERROR(__xludf.DUMMYFUNCTION("""COMPUTED_VALUE"""),"Work with more than 10 people in my team")</f>
        <v>Work with more than 10 people in my team</v>
      </c>
      <c r="Q862" s="1" t="str">
        <f ca="1">IFERROR(__xludf.DUMMYFUNCTION("""COMPUTED_VALUE"""),"No")</f>
        <v>No</v>
      </c>
      <c r="R862" s="1" t="str">
        <f ca="1">IFERROR(__xludf.DUMMYFUNCTION("""COMPUTED_VALUE"""),"This will be hard to do, but if it is the right company I would try")</f>
        <v>This will be hard to do, but if it is the right company I would try</v>
      </c>
      <c r="S862" s="1"/>
    </row>
    <row r="863" spans="1:19" ht="12.5" x14ac:dyDescent="0.25">
      <c r="A863" s="2">
        <f ca="1">IFERROR(__xludf.DUMMYFUNCTION("""COMPUTED_VALUE"""),45023.8753691435)</f>
        <v>45023.875369143498</v>
      </c>
      <c r="B863" s="1" t="str">
        <f ca="1">IFERROR(__xludf.DUMMYFUNCTION("""COMPUTED_VALUE"""),"United States of America")</f>
        <v>United States of America</v>
      </c>
      <c r="C863" s="1">
        <f ca="1">IFERROR(__xludf.DUMMYFUNCTION("""COMPUTED_VALUE"""),99010)</f>
        <v>99010</v>
      </c>
      <c r="D863" s="1" t="str">
        <f ca="1">IFERROR(__xludf.DUMMYFUNCTION("""COMPUTED_VALUE"""),"Male")</f>
        <v>Male</v>
      </c>
      <c r="E863" s="1" t="str">
        <f ca="1">IFERROR(__xludf.DUMMYFUNCTION("""COMPUTED_VALUE"""),"My Parents")</f>
        <v>My Parents</v>
      </c>
      <c r="F863" s="1" t="str">
        <f ca="1">IFERROR(__xludf.DUMMYFUNCTION("""COMPUTED_VALUE"""),"No I would not be pursuing Higher Education outside of India")</f>
        <v>No I would not be pursuing Higher Education outside of India</v>
      </c>
      <c r="G863" s="1" t="str">
        <f ca="1">IFERROR(__xludf.DUMMYFUNCTION("""COMPUTED_VALUE"""),"This will be hard to do, but if it is the right company I would try")</f>
        <v>This will be hard to do, but if it is the right company I would try</v>
      </c>
      <c r="H863" s="1" t="str">
        <f ca="1">IFERROR(__xludf.DUMMYFUNCTION("""COMPUTED_VALUE"""),"No")</f>
        <v>No</v>
      </c>
      <c r="I863" s="1" t="str">
        <f ca="1">IFERROR(__xludf.DUMMYFUNCTION("""COMPUTED_VALUE"""),"Will NOT work for them")</f>
        <v>Will NOT work for them</v>
      </c>
      <c r="J863" s="1">
        <f ca="1">IFERROR(__xludf.DUMMYFUNCTION("""COMPUTED_VALUE"""),5)</f>
        <v>5</v>
      </c>
      <c r="K863" s="1" t="str">
        <f ca="1">IFERROR(__xludf.DUMMYFUNCTION("""COMPUTED_VALUE"""),"Fully Remote with Options to travel as and when needed")</f>
        <v>Fully Remote with Options to travel as and when needed</v>
      </c>
      <c r="L863" s="1" t="str">
        <f ca="1">IFERROR(__xludf.DUMMYFUNCTION("""COMPUTED_VALUE"""),"Employer who rewards learning and enables that environment")</f>
        <v>Employer who rewards learning and enables that environment</v>
      </c>
      <c r="M86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63" s="1" t="str">
        <f ca="1">IFERROR(__xludf.DUMMYFUNCTION("""COMPUTED_VALUE"""),"Manage and drive End-to-End Projects or Products, Look deeply into Data and generate insights, Entrepreneur or Start Up, An Artificial Intelligence Specialist / Talking to Robots")</f>
        <v>Manage and drive End-to-End Projects or Products, Look deeply into Data and generate insights, Entrepreneur or Start Up, An Artificial Intelligence Specialist / Talking to Robots</v>
      </c>
      <c r="O863" s="1" t="str">
        <f ca="1">IFERROR(__xludf.DUMMYFUNCTION("""COMPUTED_VALUE"""),"Manager who clearly describes what she/he needs")</f>
        <v>Manager who clearly describes what she/he needs</v>
      </c>
      <c r="P863" s="1" t="str">
        <f ca="1">IFERROR(__xludf.DUMMYFUNCTION("""COMPUTED_VALUE"""),"Work with 2 to 3 people in my team")</f>
        <v>Work with 2 to 3 people in my team</v>
      </c>
      <c r="Q863" s="1" t="str">
        <f ca="1">IFERROR(__xludf.DUMMYFUNCTION("""COMPUTED_VALUE"""),"Yes, I Understand this is gonna happen everywhere")</f>
        <v>Yes, I Understand this is gonna happen everywhere</v>
      </c>
      <c r="R863" s="1" t="str">
        <f ca="1">IFERROR(__xludf.DUMMYFUNCTION("""COMPUTED_VALUE"""),"This will be hard to do, but if it is the right company I would try")</f>
        <v>This will be hard to do, but if it is the right company I would try</v>
      </c>
      <c r="S863" s="1"/>
    </row>
    <row r="864" spans="1:19" ht="12.5" x14ac:dyDescent="0.25">
      <c r="A864" s="2">
        <f ca="1">IFERROR(__xludf.DUMMYFUNCTION("""COMPUTED_VALUE"""),45023.8797899421)</f>
        <v>45023.879789942097</v>
      </c>
      <c r="B864" s="1" t="str">
        <f ca="1">IFERROR(__xludf.DUMMYFUNCTION("""COMPUTED_VALUE"""),"India")</f>
        <v>India</v>
      </c>
      <c r="C864" s="1">
        <f ca="1">IFERROR(__xludf.DUMMYFUNCTION("""COMPUTED_VALUE"""),110053)</f>
        <v>110053</v>
      </c>
      <c r="D864" s="1" t="str">
        <f ca="1">IFERROR(__xludf.DUMMYFUNCTION("""COMPUTED_VALUE"""),"Male")</f>
        <v>Male</v>
      </c>
      <c r="E864" s="1" t="str">
        <f ca="1">IFERROR(__xludf.DUMMYFUNCTION("""COMPUTED_VALUE"""),"My Parents")</f>
        <v>My Parents</v>
      </c>
      <c r="F864" s="1" t="str">
        <f ca="1">IFERROR(__xludf.DUMMYFUNCTION("""COMPUTED_VALUE"""),"No I would not be pursuing Higher Education outside of India")</f>
        <v>No I would not be pursuing Higher Education outside of India</v>
      </c>
      <c r="G864" s="1" t="str">
        <f ca="1">IFERROR(__xludf.DUMMYFUNCTION("""COMPUTED_VALUE"""),"This will be hard to do, but if it is the right company I would try")</f>
        <v>This will be hard to do, but if it is the right company I would try</v>
      </c>
      <c r="H864" s="1" t="str">
        <f ca="1">IFERROR(__xludf.DUMMYFUNCTION("""COMPUTED_VALUE"""),"No")</f>
        <v>No</v>
      </c>
      <c r="I864" s="1" t="str">
        <f ca="1">IFERROR(__xludf.DUMMYFUNCTION("""COMPUTED_VALUE"""),"Will NOT work for them")</f>
        <v>Will NOT work for them</v>
      </c>
      <c r="J864" s="1">
        <f ca="1">IFERROR(__xludf.DUMMYFUNCTION("""COMPUTED_VALUE"""),3)</f>
        <v>3</v>
      </c>
      <c r="K864" s="1" t="str">
        <f ca="1">IFERROR(__xludf.DUMMYFUNCTION("""COMPUTED_VALUE"""),"Hybrid Working Environment with more than 15 days a month at office")</f>
        <v>Hybrid Working Environment with more than 15 days a month at office</v>
      </c>
      <c r="L8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6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64" s="1" t="str">
        <f ca="1">IFERROR(__xludf.DUMMYFUNCTION("""COMPUTED_VALUE"""),"Business Operations in any organization, Build and develop a Team, Look deeply into Data and generate insights, Work as a freelancer and do my thing my way")</f>
        <v>Business Operations in any organization, Build and develop a Team, Look deeply into Data and generate insights, Work as a freelancer and do my thing my way</v>
      </c>
      <c r="O864" s="1" t="str">
        <f ca="1">IFERROR(__xludf.DUMMYFUNCTION("""COMPUTED_VALUE"""),"Manager who clearly describes what she/he needs")</f>
        <v>Manager who clearly describes what she/he needs</v>
      </c>
      <c r="P864" s="1" t="str">
        <f ca="1">IFERROR(__xludf.DUMMYFUNCTION("""COMPUTED_VALUE"""),"Work with 5 to 6 people in my team")</f>
        <v>Work with 5 to 6 people in my team</v>
      </c>
      <c r="Q864" s="1" t="str">
        <f ca="1">IFERROR(__xludf.DUMMYFUNCTION("""COMPUTED_VALUE"""),"No")</f>
        <v>No</v>
      </c>
      <c r="R864" s="1" t="str">
        <f ca="1">IFERROR(__xludf.DUMMYFUNCTION("""COMPUTED_VALUE"""),"This will be hard to do, but if it is the right company I would try")</f>
        <v>This will be hard to do, but if it is the right company I would try</v>
      </c>
      <c r="S864" s="1"/>
    </row>
    <row r="865" spans="1:19" ht="12.5" x14ac:dyDescent="0.25">
      <c r="A865" s="2">
        <f ca="1">IFERROR(__xludf.DUMMYFUNCTION("""COMPUTED_VALUE"""),45023.8871960995)</f>
        <v>45023.887196099502</v>
      </c>
      <c r="B865" s="1" t="str">
        <f ca="1">IFERROR(__xludf.DUMMYFUNCTION("""COMPUTED_VALUE"""),"India")</f>
        <v>India</v>
      </c>
      <c r="C865" s="1">
        <f ca="1">IFERROR(__xludf.DUMMYFUNCTION("""COMPUTED_VALUE"""),283204)</f>
        <v>283204</v>
      </c>
      <c r="D865" s="1" t="str">
        <f ca="1">IFERROR(__xludf.DUMMYFUNCTION("""COMPUTED_VALUE"""),"Female")</f>
        <v>Female</v>
      </c>
      <c r="E865" s="1" t="str">
        <f ca="1">IFERROR(__xludf.DUMMYFUNCTION("""COMPUTED_VALUE"""),"Influencers who had successful careers")</f>
        <v>Influencers who had successful careers</v>
      </c>
      <c r="F865" s="1" t="str">
        <f ca="1">IFERROR(__xludf.DUMMYFUNCTION("""COMPUTED_VALUE"""),"No I would not be pursuing Higher Education outside of India")</f>
        <v>No I would not be pursuing Higher Education outside of India</v>
      </c>
      <c r="G865" s="1" t="str">
        <f ca="1">IFERROR(__xludf.DUMMYFUNCTION("""COMPUTED_VALUE"""),"Will work for 3 years or more")</f>
        <v>Will work for 3 years or more</v>
      </c>
      <c r="H865" s="1" t="str">
        <f ca="1">IFERROR(__xludf.DUMMYFUNCTION("""COMPUTED_VALUE"""),"No")</f>
        <v>No</v>
      </c>
      <c r="I865" s="1" t="str">
        <f ca="1">IFERROR(__xludf.DUMMYFUNCTION("""COMPUTED_VALUE"""),"Will NOT work for them")</f>
        <v>Will NOT work for them</v>
      </c>
      <c r="J865" s="1">
        <f ca="1">IFERROR(__xludf.DUMMYFUNCTION("""COMPUTED_VALUE"""),5)</f>
        <v>5</v>
      </c>
      <c r="K865" s="1" t="str">
        <f ca="1">IFERROR(__xludf.DUMMYFUNCTION("""COMPUTED_VALUE"""),"Hybrid Working Environment with more than 15 days a month at office")</f>
        <v>Hybrid Working Environment with more than 15 days a month at office</v>
      </c>
      <c r="L865" s="1" t="str">
        <f ca="1">IFERROR(__xludf.DUMMYFUNCTION("""COMPUTED_VALUE"""),"Employer who appreciates learning and enables that environment")</f>
        <v>Employer who appreciates learning and enables that environment</v>
      </c>
      <c r="M86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865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865" s="1" t="str">
        <f ca="1">IFERROR(__xludf.DUMMYFUNCTION("""COMPUTED_VALUE"""),"Manager who sets goal and helps me achieve it")</f>
        <v>Manager who sets goal and helps me achieve it</v>
      </c>
      <c r="P865" s="1" t="str">
        <f ca="1">IFERROR(__xludf.DUMMYFUNCTION("""COMPUTED_VALUE"""),"Work with 5 to 6 people in my team")</f>
        <v>Work with 5 to 6 people in my team</v>
      </c>
      <c r="Q865" s="1" t="str">
        <f ca="1">IFERROR(__xludf.DUMMYFUNCTION("""COMPUTED_VALUE"""),"No")</f>
        <v>No</v>
      </c>
      <c r="R865" s="1" t="str">
        <f ca="1">IFERROR(__xludf.DUMMYFUNCTION("""COMPUTED_VALUE"""),"This will be hard to do, but if it is the right company I would try")</f>
        <v>This will be hard to do, but if it is the right company I would try</v>
      </c>
      <c r="S865" s="1"/>
    </row>
    <row r="866" spans="1:19" ht="12.5" x14ac:dyDescent="0.25">
      <c r="A866" s="2">
        <f ca="1">IFERROR(__xludf.DUMMYFUNCTION("""COMPUTED_VALUE"""),45023.8951908564)</f>
        <v>45023.895190856398</v>
      </c>
      <c r="B866" s="1" t="str">
        <f ca="1">IFERROR(__xludf.DUMMYFUNCTION("""COMPUTED_VALUE"""),"India")</f>
        <v>India</v>
      </c>
      <c r="C866" s="1">
        <f ca="1">IFERROR(__xludf.DUMMYFUNCTION("""COMPUTED_VALUE"""),560094)</f>
        <v>560094</v>
      </c>
      <c r="D866" s="1" t="str">
        <f ca="1">IFERROR(__xludf.DUMMYFUNCTION("""COMPUTED_VALUE"""),"Female")</f>
        <v>Female</v>
      </c>
      <c r="E866" s="1" t="str">
        <f ca="1">IFERROR(__xludf.DUMMYFUNCTION("""COMPUTED_VALUE"""),"Influencers who had successful careers")</f>
        <v>Influencers who had successful careers</v>
      </c>
      <c r="F866" s="1" t="str">
        <f ca="1">IFERROR(__xludf.DUMMYFUNCTION("""COMPUTED_VALUE"""),"No, But if someone could bare the cost I will")</f>
        <v>No, But if someone could bare the cost I will</v>
      </c>
      <c r="G866" s="1" t="str">
        <f ca="1">IFERROR(__xludf.DUMMYFUNCTION("""COMPUTED_VALUE"""),"This will be hard to do, but if it is the right company I would try")</f>
        <v>This will be hard to do, but if it is the right company I would try</v>
      </c>
      <c r="H866" s="1" t="str">
        <f ca="1">IFERROR(__xludf.DUMMYFUNCTION("""COMPUTED_VALUE"""),"No")</f>
        <v>No</v>
      </c>
      <c r="I866" s="1" t="str">
        <f ca="1">IFERROR(__xludf.DUMMYFUNCTION("""COMPUTED_VALUE"""),"Will NOT work for them")</f>
        <v>Will NOT work for them</v>
      </c>
      <c r="J866" s="1">
        <f ca="1">IFERROR(__xludf.DUMMYFUNCTION("""COMPUTED_VALUE"""),4)</f>
        <v>4</v>
      </c>
      <c r="K866" s="1" t="str">
        <f ca="1">IFERROR(__xludf.DUMMYFUNCTION("""COMPUTED_VALUE"""),"Hybrid Working Environment with more than 15 days a month at office")</f>
        <v>Hybrid Working Environment with more than 15 days a month at office</v>
      </c>
      <c r="L8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6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66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866" s="1" t="str">
        <f ca="1">IFERROR(__xludf.DUMMYFUNCTION("""COMPUTED_VALUE"""),"Manager who explains what is expected, sets a goal and helps achieve it")</f>
        <v>Manager who explains what is expected, sets a goal and helps achieve it</v>
      </c>
      <c r="P866" s="1" t="str">
        <f ca="1">IFERROR(__xludf.DUMMYFUNCTION("""COMPUTED_VALUE"""),"Work with 2 to 3 people in my team")</f>
        <v>Work with 2 to 3 people in my team</v>
      </c>
      <c r="Q866" s="1" t="str">
        <f ca="1">IFERROR(__xludf.DUMMYFUNCTION("""COMPUTED_VALUE"""),"Yes, I Understand this is gonna happen everywhere")</f>
        <v>Yes, I Understand this is gonna happen everywhere</v>
      </c>
      <c r="R866" s="1" t="str">
        <f ca="1">IFERROR(__xludf.DUMMYFUNCTION("""COMPUTED_VALUE"""),"This will be hard to do, but if it is the right company I would try")</f>
        <v>This will be hard to do, but if it is the right company I would try</v>
      </c>
      <c r="S866" s="1"/>
    </row>
    <row r="867" spans="1:19" ht="12.5" x14ac:dyDescent="0.25">
      <c r="A867" s="2">
        <f ca="1">IFERROR(__xludf.DUMMYFUNCTION("""COMPUTED_VALUE"""),45023.9045330902)</f>
        <v>45023.904533090201</v>
      </c>
      <c r="B867" s="1" t="str">
        <f ca="1">IFERROR(__xludf.DUMMYFUNCTION("""COMPUTED_VALUE"""),"India")</f>
        <v>India</v>
      </c>
      <c r="C867" s="1">
        <f ca="1">IFERROR(__xludf.DUMMYFUNCTION("""COMPUTED_VALUE"""),110022)</f>
        <v>110022</v>
      </c>
      <c r="D867" s="1" t="str">
        <f ca="1">IFERROR(__xludf.DUMMYFUNCTION("""COMPUTED_VALUE"""),"Male")</f>
        <v>Male</v>
      </c>
      <c r="E867" s="1" t="str">
        <f ca="1">IFERROR(__xludf.DUMMYFUNCTION("""COMPUTED_VALUE"""),"My Parents")</f>
        <v>My Parents</v>
      </c>
      <c r="F867" s="1" t="str">
        <f ca="1">IFERROR(__xludf.DUMMYFUNCTION("""COMPUTED_VALUE"""),"No I would not be pursuing Higher Education outside of India")</f>
        <v>No I would not be pursuing Higher Education outside of India</v>
      </c>
      <c r="G867" s="1" t="str">
        <f ca="1">IFERROR(__xludf.DUMMYFUNCTION("""COMPUTED_VALUE"""),"This will be hard to do, but if it is the right company I would try")</f>
        <v>This will be hard to do, but if it is the right company I would try</v>
      </c>
      <c r="H867" s="1" t="str">
        <f ca="1">IFERROR(__xludf.DUMMYFUNCTION("""COMPUTED_VALUE"""),"No")</f>
        <v>No</v>
      </c>
      <c r="I867" s="1" t="str">
        <f ca="1">IFERROR(__xludf.DUMMYFUNCTION("""COMPUTED_VALUE"""),"Will work for them")</f>
        <v>Will work for them</v>
      </c>
      <c r="J867" s="1">
        <f ca="1">IFERROR(__xludf.DUMMYFUNCTION("""COMPUTED_VALUE"""),5)</f>
        <v>5</v>
      </c>
      <c r="K867" s="1" t="str">
        <f ca="1">IFERROR(__xludf.DUMMYFUNCTION("""COMPUTED_VALUE"""),"Every Day Office Environment")</f>
        <v>Every Day Office Environment</v>
      </c>
      <c r="L867" s="1" t="str">
        <f ca="1">IFERROR(__xludf.DUMMYFUNCTION("""COMPUTED_VALUE"""),"Employer who appreciates learning and enables that environment")</f>
        <v>Employer who appreciates learning and enables that environment</v>
      </c>
      <c r="M86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867" s="1" t="str">
        <f ca="1">IFERROR(__xludf.DUMMYFUNCTION("""COMPUTED_VALUE"""),"Manage and drive End-to-End Projects or Products, Design and Develop amazing software, Become a content Creator in some platform, Manufacturing / Oil and Gas/ Construction / Hard Physical Work related")</f>
        <v>Manage and drive End-to-End Projects or Products, Design and Develop amazing software, Become a content Creator in some platform, Manufacturing / Oil and Gas/ Construction / Hard Physical Work related</v>
      </c>
      <c r="O867" s="1" t="str">
        <f ca="1">IFERROR(__xludf.DUMMYFUNCTION("""COMPUTED_VALUE"""),"Manager who explains what is expected, sets a goal and helps achieve it")</f>
        <v>Manager who explains what is expected, sets a goal and helps achieve it</v>
      </c>
      <c r="P867" s="1" t="str">
        <f ca="1">IFERROR(__xludf.DUMMYFUNCTION("""COMPUTED_VALUE"""),"Work with 5 to 6 people in my team")</f>
        <v>Work with 5 to 6 people in my team</v>
      </c>
      <c r="Q867" s="1" t="str">
        <f ca="1">IFERROR(__xludf.DUMMYFUNCTION("""COMPUTED_VALUE"""),"Yes, I Understand this is gonna happen everywhere")</f>
        <v>Yes, I Understand this is gonna happen everywhere</v>
      </c>
      <c r="R867" s="1" t="str">
        <f ca="1">IFERROR(__xludf.DUMMYFUNCTION("""COMPUTED_VALUE"""),"This will be hard to do, but if it is the right company I would try")</f>
        <v>This will be hard to do, but if it is the right company I would try</v>
      </c>
      <c r="S867" s="1"/>
    </row>
    <row r="868" spans="1:19" ht="12.5" x14ac:dyDescent="0.25">
      <c r="A868" s="2">
        <f ca="1">IFERROR(__xludf.DUMMYFUNCTION("""COMPUTED_VALUE"""),45023.9072580324)</f>
        <v>45023.907258032399</v>
      </c>
      <c r="B868" s="1" t="str">
        <f ca="1">IFERROR(__xludf.DUMMYFUNCTION("""COMPUTED_VALUE"""),"India")</f>
        <v>India</v>
      </c>
      <c r="C868" s="1">
        <f ca="1">IFERROR(__xludf.DUMMYFUNCTION("""COMPUTED_VALUE"""),560093)</f>
        <v>560093</v>
      </c>
      <c r="D868" s="1" t="str">
        <f ca="1">IFERROR(__xludf.DUMMYFUNCTION("""COMPUTED_VALUE"""),"Female")</f>
        <v>Female</v>
      </c>
      <c r="E868" s="1" t="str">
        <f ca="1">IFERROR(__xludf.DUMMYFUNCTION("""COMPUTED_VALUE"""),"People who have changed the world for better")</f>
        <v>People who have changed the world for better</v>
      </c>
      <c r="F868" s="1" t="str">
        <f ca="1">IFERROR(__xludf.DUMMYFUNCTION("""COMPUTED_VALUE"""),"Yes, I will earn and do that")</f>
        <v>Yes, I will earn and do that</v>
      </c>
      <c r="G868" s="1" t="str">
        <f ca="1">IFERROR(__xludf.DUMMYFUNCTION("""COMPUTED_VALUE"""),"Will work for 3 years or more")</f>
        <v>Will work for 3 years or more</v>
      </c>
      <c r="H868" s="1" t="str">
        <f ca="1">IFERROR(__xludf.DUMMYFUNCTION("""COMPUTED_VALUE"""),"Yes")</f>
        <v>Yes</v>
      </c>
      <c r="I868" s="1" t="str">
        <f ca="1">IFERROR(__xludf.DUMMYFUNCTION("""COMPUTED_VALUE"""),"Will NOT work for them")</f>
        <v>Will NOT work for them</v>
      </c>
      <c r="J868" s="1">
        <f ca="1">IFERROR(__xludf.DUMMYFUNCTION("""COMPUTED_VALUE"""),5)</f>
        <v>5</v>
      </c>
      <c r="K868" s="1" t="str">
        <f ca="1">IFERROR(__xludf.DUMMYFUNCTION("""COMPUTED_VALUE"""),"Hybrid Working Environment with less than 3 days a month at office")</f>
        <v>Hybrid Working Environment with less than 3 days a month at office</v>
      </c>
      <c r="L868" s="1" t="str">
        <f ca="1">IFERROR(__xludf.DUMMYFUNCTION("""COMPUTED_VALUE"""),"Employer who appreciates learning and enables that environment")</f>
        <v>Employer who appreciates learning and enables that environment</v>
      </c>
      <c r="M86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68" s="1" t="str">
        <f ca="1">IFERROR(__xludf.DUMMYFUNCTION("""COMPUTED_VALUE"""),"Teaching in any of the institutes/colleges/online or offline, Business Operations in any organization, I Want to sell things/Sales, An Artificial Intelligence Specialist / Talking to Robots")</f>
        <v>Teaching in any of the institutes/colleges/online or offline, Business Operations in any organization, I Want to sell things/Sales, An Artificial Intelligence Specialist / Talking to Robots</v>
      </c>
      <c r="O868" s="1" t="str">
        <f ca="1">IFERROR(__xludf.DUMMYFUNCTION("""COMPUTED_VALUE"""),"Manager who sets goal and helps me achieve it")</f>
        <v>Manager who sets goal and helps me achieve it</v>
      </c>
      <c r="P868" s="1" t="str">
        <f ca="1">IFERROR(__xludf.DUMMYFUNCTION("""COMPUTED_VALUE"""),"Work with 5 to 6 people in my team")</f>
        <v>Work with 5 to 6 people in my team</v>
      </c>
      <c r="Q868" s="1" t="str">
        <f ca="1">IFERROR(__xludf.DUMMYFUNCTION("""COMPUTED_VALUE"""),"No")</f>
        <v>No</v>
      </c>
      <c r="R868" s="1" t="str">
        <f ca="1">IFERROR(__xludf.DUMMYFUNCTION("""COMPUTED_VALUE"""),"Will work for 7 years or more")</f>
        <v>Will work for 7 years or more</v>
      </c>
      <c r="S868" s="1"/>
    </row>
    <row r="869" spans="1:19" ht="12.5" x14ac:dyDescent="0.25">
      <c r="A869" s="2">
        <f ca="1">IFERROR(__xludf.DUMMYFUNCTION("""COMPUTED_VALUE"""),45023.916051574)</f>
        <v>45023.916051574</v>
      </c>
      <c r="B869" s="1" t="str">
        <f ca="1">IFERROR(__xludf.DUMMYFUNCTION("""COMPUTED_VALUE"""),"India")</f>
        <v>India</v>
      </c>
      <c r="C869" s="1">
        <f ca="1">IFERROR(__xludf.DUMMYFUNCTION("""COMPUTED_VALUE"""),245304)</f>
        <v>245304</v>
      </c>
      <c r="D869" s="1" t="str">
        <f ca="1">IFERROR(__xludf.DUMMYFUNCTION("""COMPUTED_VALUE"""),"Female")</f>
        <v>Female</v>
      </c>
      <c r="E869" s="1" t="str">
        <f ca="1">IFERROR(__xludf.DUMMYFUNCTION("""COMPUTED_VALUE"""),"People who have changed the world for better")</f>
        <v>People who have changed the world for better</v>
      </c>
      <c r="F869" s="1" t="str">
        <f ca="1">IFERROR(__xludf.DUMMYFUNCTION("""COMPUTED_VALUE"""),"Yes, I will earn and do that")</f>
        <v>Yes, I will earn and do that</v>
      </c>
      <c r="G869" s="1" t="str">
        <f ca="1">IFERROR(__xludf.DUMMYFUNCTION("""COMPUTED_VALUE"""),"This will be hard to do, but if it is the right company I would try")</f>
        <v>This will be hard to do, but if it is the right company I would try</v>
      </c>
      <c r="H869" s="1" t="str">
        <f ca="1">IFERROR(__xludf.DUMMYFUNCTION("""COMPUTED_VALUE"""),"Yes")</f>
        <v>Yes</v>
      </c>
      <c r="I869" s="1" t="str">
        <f ca="1">IFERROR(__xludf.DUMMYFUNCTION("""COMPUTED_VALUE"""),"Will work for them")</f>
        <v>Will work for them</v>
      </c>
      <c r="J869" s="1">
        <f ca="1">IFERROR(__xludf.DUMMYFUNCTION("""COMPUTED_VALUE"""),1)</f>
        <v>1</v>
      </c>
      <c r="K869" s="1" t="str">
        <f ca="1">IFERROR(__xludf.DUMMYFUNCTION("""COMPUTED_VALUE"""),"Fully Remote with Options to travel as and when needed")</f>
        <v>Fully Remote with Options to travel as and when needed</v>
      </c>
      <c r="L8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6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69" s="1" t="str">
        <f ca="1">IFERROR(__xludf.DUMMYFUNCTION("""COMPUTED_VALUE"""),"Design and Creative strategy in any company, Look deeply into Data and generate insights, Become a content Creator in some platform, Entrepreneur or Start Up")</f>
        <v>Design and Creative strategy in any company, Look deeply into Data and generate insights, Become a content Creator in some platform, Entrepreneur or Start Up</v>
      </c>
      <c r="O869" s="1" t="str">
        <f ca="1">IFERROR(__xludf.DUMMYFUNCTION("""COMPUTED_VALUE"""),"Manager who sets targets and expects me to achieve it")</f>
        <v>Manager who sets targets and expects me to achieve it</v>
      </c>
      <c r="P869" s="1" t="str">
        <f ca="1">IFERROR(__xludf.DUMMYFUNCTION("""COMPUTED_VALUE"""),"Work with 5 to 6 people in my team")</f>
        <v>Work with 5 to 6 people in my team</v>
      </c>
      <c r="Q869" s="1" t="str">
        <f ca="1">IFERROR(__xludf.DUMMYFUNCTION("""COMPUTED_VALUE"""),"Yes")</f>
        <v>Yes</v>
      </c>
      <c r="R869" s="1" t="str">
        <f ca="1">IFERROR(__xludf.DUMMYFUNCTION("""COMPUTED_VALUE"""),"No way")</f>
        <v>No way</v>
      </c>
      <c r="S869" s="1"/>
    </row>
    <row r="870" spans="1:19" ht="12.5" x14ac:dyDescent="0.25">
      <c r="A870" s="2">
        <f ca="1">IFERROR(__xludf.DUMMYFUNCTION("""COMPUTED_VALUE"""),45023.9239154166)</f>
        <v>45023.923915416599</v>
      </c>
      <c r="B870" s="1" t="str">
        <f ca="1">IFERROR(__xludf.DUMMYFUNCTION("""COMPUTED_VALUE"""),"India")</f>
        <v>India</v>
      </c>
      <c r="C870" s="1">
        <f ca="1">IFERROR(__xludf.DUMMYFUNCTION("""COMPUTED_VALUE"""),226010)</f>
        <v>226010</v>
      </c>
      <c r="D870" s="1" t="str">
        <f ca="1">IFERROR(__xludf.DUMMYFUNCTION("""COMPUTED_VALUE"""),"Female")</f>
        <v>Female</v>
      </c>
      <c r="E870" s="1" t="str">
        <f ca="1">IFERROR(__xludf.DUMMYFUNCTION("""COMPUTED_VALUE"""),"People who have changed the world for better")</f>
        <v>People who have changed the world for better</v>
      </c>
      <c r="F870" s="1" t="str">
        <f ca="1">IFERROR(__xludf.DUMMYFUNCTION("""COMPUTED_VALUE"""),"Yes, I will earn and do that")</f>
        <v>Yes, I will earn and do that</v>
      </c>
      <c r="G870" s="1" t="str">
        <f ca="1">IFERROR(__xludf.DUMMYFUNCTION("""COMPUTED_VALUE"""),"This will be hard to do, but if it is the right company I would try")</f>
        <v>This will be hard to do, but if it is the right company I would try</v>
      </c>
      <c r="H870" s="1" t="str">
        <f ca="1">IFERROR(__xludf.DUMMYFUNCTION("""COMPUTED_VALUE"""),"No")</f>
        <v>No</v>
      </c>
      <c r="I870" s="1" t="str">
        <f ca="1">IFERROR(__xludf.DUMMYFUNCTION("""COMPUTED_VALUE"""),"Will NOT work for them")</f>
        <v>Will NOT work for them</v>
      </c>
      <c r="J870" s="1">
        <f ca="1">IFERROR(__xludf.DUMMYFUNCTION("""COMPUTED_VALUE"""),10)</f>
        <v>10</v>
      </c>
      <c r="K870" s="1" t="str">
        <f ca="1">IFERROR(__xludf.DUMMYFUNCTION("""COMPUTED_VALUE"""),"Hybrid Working Environment with more than 15 days a month at office")</f>
        <v>Hybrid Working Environment with more than 15 days a month at office</v>
      </c>
      <c r="L870" s="1" t="str">
        <f ca="1">IFERROR(__xludf.DUMMYFUNCTION("""COMPUTED_VALUE"""),"Employer who appreciates learning and enables that environment")</f>
        <v>Employer who appreciates learning and enables that environment</v>
      </c>
      <c r="M87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870" s="1" t="str">
        <f ca="1">IFERROR(__xludf.DUMMYFUNCTION("""COMPUTED_VALUE"""),"Teaching in any of the institutes/colleges/online or offline, Build and develop a Team, Design and Develop amazing software, Look deeply into Data and generate insights")</f>
        <v>Teaching in any of the institutes/colleges/online or offline, Build and develop a Team, Design and Develop amazing software, Look deeply into Data and generate insights</v>
      </c>
      <c r="O870" s="1" t="str">
        <f ca="1">IFERROR(__xludf.DUMMYFUNCTION("""COMPUTED_VALUE"""),"Manager who sets goal and helps me achieve it")</f>
        <v>Manager who sets goal and helps me achieve it</v>
      </c>
      <c r="P870" s="1" t="str">
        <f ca="1">IFERROR(__xludf.DUMMYFUNCTION("""COMPUTED_VALUE"""),"Work with 2 to 3 people in my team")</f>
        <v>Work with 2 to 3 people in my team</v>
      </c>
      <c r="Q870" s="1" t="str">
        <f ca="1">IFERROR(__xludf.DUMMYFUNCTION("""COMPUTED_VALUE"""),"Yes, I Understand this is gonna happen everywhere")</f>
        <v>Yes, I Understand this is gonna happen everywhere</v>
      </c>
      <c r="R870" s="1" t="str">
        <f ca="1">IFERROR(__xludf.DUMMYFUNCTION("""COMPUTED_VALUE"""),"This will be hard to do, but if it is the right company I would try")</f>
        <v>This will be hard to do, but if it is the right company I would try</v>
      </c>
      <c r="S870" s="1"/>
    </row>
    <row r="871" spans="1:19" ht="12.5" x14ac:dyDescent="0.25">
      <c r="A871" s="2">
        <f ca="1">IFERROR(__xludf.DUMMYFUNCTION("""COMPUTED_VALUE"""),45023.9286025231)</f>
        <v>45023.928602523098</v>
      </c>
      <c r="B871" s="1" t="str">
        <f ca="1">IFERROR(__xludf.DUMMYFUNCTION("""COMPUTED_VALUE"""),"India")</f>
        <v>India</v>
      </c>
      <c r="C871" s="1">
        <f ca="1">IFERROR(__xludf.DUMMYFUNCTION("""COMPUTED_VALUE"""),201310)</f>
        <v>201310</v>
      </c>
      <c r="D871" s="1" t="str">
        <f ca="1">IFERROR(__xludf.DUMMYFUNCTION("""COMPUTED_VALUE"""),"Male")</f>
        <v>Male</v>
      </c>
      <c r="E871" s="1" t="str">
        <f ca="1">IFERROR(__xludf.DUMMYFUNCTION("""COMPUTED_VALUE"""),"Influencers who had successful careers")</f>
        <v>Influencers who had successful careers</v>
      </c>
      <c r="F871" s="1" t="str">
        <f ca="1">IFERROR(__xludf.DUMMYFUNCTION("""COMPUTED_VALUE"""),"No, But if someone could bare the cost I will")</f>
        <v>No, But if someone could bare the cost I will</v>
      </c>
      <c r="G871" s="1" t="str">
        <f ca="1">IFERROR(__xludf.DUMMYFUNCTION("""COMPUTED_VALUE"""),"This will be hard to do, but if it is the right company I would try")</f>
        <v>This will be hard to do, but if it is the right company I would try</v>
      </c>
      <c r="H871" s="1" t="str">
        <f ca="1">IFERROR(__xludf.DUMMYFUNCTION("""COMPUTED_VALUE"""),"Yes")</f>
        <v>Yes</v>
      </c>
      <c r="I871" s="1" t="str">
        <f ca="1">IFERROR(__xludf.DUMMYFUNCTION("""COMPUTED_VALUE"""),"Will work for them")</f>
        <v>Will work for them</v>
      </c>
      <c r="J871" s="1">
        <f ca="1">IFERROR(__xludf.DUMMYFUNCTION("""COMPUTED_VALUE"""),9)</f>
        <v>9</v>
      </c>
      <c r="K871" s="1" t="str">
        <f ca="1">IFERROR(__xludf.DUMMYFUNCTION("""COMPUTED_VALUE"""),"Fully Remote with Options to travel as and when needed")</f>
        <v>Fully Remote with Options to travel as and when needed</v>
      </c>
      <c r="L8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7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71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871" s="1" t="str">
        <f ca="1">IFERROR(__xludf.DUMMYFUNCTION("""COMPUTED_VALUE"""),"Manager who sets unrealistic targets")</f>
        <v>Manager who sets unrealistic targets</v>
      </c>
      <c r="P871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871" s="1" t="str">
        <f ca="1">IFERROR(__xludf.DUMMYFUNCTION("""COMPUTED_VALUE"""),"Yes, I Understand this is gonna happen everywhere")</f>
        <v>Yes, I Understand this is gonna happen everywhere</v>
      </c>
      <c r="R871" s="1" t="str">
        <f ca="1">IFERROR(__xludf.DUMMYFUNCTION("""COMPUTED_VALUE"""),"This will be hard to do, but if it is the right company I would try")</f>
        <v>This will be hard to do, but if it is the right company I would try</v>
      </c>
      <c r="S871" s="1"/>
    </row>
    <row r="872" spans="1:19" ht="12.5" x14ac:dyDescent="0.25">
      <c r="A872" s="2">
        <f ca="1">IFERROR(__xludf.DUMMYFUNCTION("""COMPUTED_VALUE"""),45023.94684375)</f>
        <v>45023.946843750004</v>
      </c>
      <c r="B872" s="1" t="str">
        <f ca="1">IFERROR(__xludf.DUMMYFUNCTION("""COMPUTED_VALUE"""),"India")</f>
        <v>India</v>
      </c>
      <c r="C872" s="1">
        <f ca="1">IFERROR(__xludf.DUMMYFUNCTION("""COMPUTED_VALUE"""),600130)</f>
        <v>600130</v>
      </c>
      <c r="D872" s="1" t="str">
        <f ca="1">IFERROR(__xludf.DUMMYFUNCTION("""COMPUTED_VALUE"""),"Female")</f>
        <v>Female</v>
      </c>
      <c r="E872" s="1" t="str">
        <f ca="1">IFERROR(__xludf.DUMMYFUNCTION("""COMPUTED_VALUE"""),"My Parents")</f>
        <v>My Parents</v>
      </c>
      <c r="F872" s="1" t="str">
        <f ca="1">IFERROR(__xludf.DUMMYFUNCTION("""COMPUTED_VALUE"""),"No I would not be pursuing Higher Education outside of India")</f>
        <v>No I would not be pursuing Higher Education outside of India</v>
      </c>
      <c r="G872" s="1" t="str">
        <f ca="1">IFERROR(__xludf.DUMMYFUNCTION("""COMPUTED_VALUE"""),"Will work for 3 years or more")</f>
        <v>Will work for 3 years or more</v>
      </c>
      <c r="H872" s="1" t="str">
        <f ca="1">IFERROR(__xludf.DUMMYFUNCTION("""COMPUTED_VALUE"""),"No")</f>
        <v>No</v>
      </c>
      <c r="I872" s="1" t="str">
        <f ca="1">IFERROR(__xludf.DUMMYFUNCTION("""COMPUTED_VALUE"""),"Will NOT work for them")</f>
        <v>Will NOT work for them</v>
      </c>
      <c r="J872" s="1">
        <f ca="1">IFERROR(__xludf.DUMMYFUNCTION("""COMPUTED_VALUE"""),6)</f>
        <v>6</v>
      </c>
      <c r="K872" s="1" t="str">
        <f ca="1">IFERROR(__xludf.DUMMYFUNCTION("""COMPUTED_VALUE"""),"Fully Remote with Options to travel as and when needed")</f>
        <v>Fully Remote with Options to travel as and when needed</v>
      </c>
      <c r="L8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7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72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872" s="1" t="str">
        <f ca="1">IFERROR(__xludf.DUMMYFUNCTION("""COMPUTED_VALUE"""),"Manager who explains what is expected, sets a goal and helps achieve it")</f>
        <v>Manager who explains what is expected, sets a goal and helps achieve it</v>
      </c>
      <c r="P872" s="1" t="str">
        <f ca="1">IFERROR(__xludf.DUMMYFUNCTION("""COMPUTED_VALUE"""),"Work with 2 to 3 people in my team")</f>
        <v>Work with 2 to 3 people in my team</v>
      </c>
      <c r="Q872" s="1" t="str">
        <f ca="1">IFERROR(__xludf.DUMMYFUNCTION("""COMPUTED_VALUE"""),"No")</f>
        <v>No</v>
      </c>
      <c r="R872" s="1" t="str">
        <f ca="1">IFERROR(__xludf.DUMMYFUNCTION("""COMPUTED_VALUE"""),"This will be hard to do, but if it is the right company I would try")</f>
        <v>This will be hard to do, but if it is the right company I would try</v>
      </c>
      <c r="S872" s="1"/>
    </row>
    <row r="873" spans="1:19" ht="12.5" x14ac:dyDescent="0.25">
      <c r="A873" s="2">
        <f ca="1">IFERROR(__xludf.DUMMYFUNCTION("""COMPUTED_VALUE"""),45023.965929618)</f>
        <v>45023.965929618003</v>
      </c>
      <c r="B873" s="1" t="str">
        <f ca="1">IFERROR(__xludf.DUMMYFUNCTION("""COMPUTED_VALUE"""),"India")</f>
        <v>India</v>
      </c>
      <c r="C873" s="1">
        <f ca="1">IFERROR(__xludf.DUMMYFUNCTION("""COMPUTED_VALUE"""),560055)</f>
        <v>560055</v>
      </c>
      <c r="D873" s="1" t="str">
        <f ca="1">IFERROR(__xludf.DUMMYFUNCTION("""COMPUTED_VALUE"""),"Female")</f>
        <v>Female</v>
      </c>
      <c r="E873" s="1" t="str">
        <f ca="1">IFERROR(__xludf.DUMMYFUNCTION("""COMPUTED_VALUE"""),"My Parents")</f>
        <v>My Parents</v>
      </c>
      <c r="F873" s="1" t="str">
        <f ca="1">IFERROR(__xludf.DUMMYFUNCTION("""COMPUTED_VALUE"""),"No I would not be pursuing Higher Education outside of India")</f>
        <v>No I would not be pursuing Higher Education outside of India</v>
      </c>
      <c r="G873" s="1" t="str">
        <f ca="1">IFERROR(__xludf.DUMMYFUNCTION("""COMPUTED_VALUE"""),"Will work for 3 years or more")</f>
        <v>Will work for 3 years or more</v>
      </c>
      <c r="H873" s="1" t="str">
        <f ca="1">IFERROR(__xludf.DUMMYFUNCTION("""COMPUTED_VALUE"""),"No")</f>
        <v>No</v>
      </c>
      <c r="I873" s="1" t="str">
        <f ca="1">IFERROR(__xludf.DUMMYFUNCTION("""COMPUTED_VALUE"""),"Will NOT work for them")</f>
        <v>Will NOT work for them</v>
      </c>
      <c r="J873" s="1">
        <f ca="1">IFERROR(__xludf.DUMMYFUNCTION("""COMPUTED_VALUE"""),1)</f>
        <v>1</v>
      </c>
      <c r="K873" s="1" t="str">
        <f ca="1">IFERROR(__xludf.DUMMYFUNCTION("""COMPUTED_VALUE"""),"Hybrid Working Environment with less than 3 days a month at office")</f>
        <v>Hybrid Working Environment with less than 3 days a month at office</v>
      </c>
      <c r="L873" s="1" t="str">
        <f ca="1">IFERROR(__xludf.DUMMYFUNCTION("""COMPUTED_VALUE"""),"Employer who appreciates learning and enables that environment")</f>
        <v>Employer who appreciates learning and enables that environment</v>
      </c>
      <c r="M87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873" s="1" t="str">
        <f ca="1">IFERROR(__xludf.DUMMYFUNCTION("""COMPUTED_VALUE"""),"Manage and drive End-to-End Projects or Products, Build and develop a Team, Work in a BPO setup for some well known client, Work as a freelancer and do my thing my way")</f>
        <v>Manage and drive End-to-End Projects or Products, Build and develop a Team, Work in a BPO setup for some well known client, Work as a freelancer and do my thing my way</v>
      </c>
      <c r="O873" s="1" t="str">
        <f ca="1">IFERROR(__xludf.DUMMYFUNCTION("""COMPUTED_VALUE"""),"Manager who explains what is expected, sets a goal and helps achieve it")</f>
        <v>Manager who explains what is expected, sets a goal and helps achieve it</v>
      </c>
      <c r="P873" s="1" t="str">
        <f ca="1">IFERROR(__xludf.DUMMYFUNCTION("""COMPUTED_VALUE"""),"Work with 5 to 6 people in my team")</f>
        <v>Work with 5 to 6 people in my team</v>
      </c>
      <c r="Q873" s="1" t="str">
        <f ca="1">IFERROR(__xludf.DUMMYFUNCTION("""COMPUTED_VALUE"""),"No")</f>
        <v>No</v>
      </c>
      <c r="R873" s="1" t="str">
        <f ca="1">IFERROR(__xludf.DUMMYFUNCTION("""COMPUTED_VALUE"""),"No way")</f>
        <v>No way</v>
      </c>
      <c r="S873" s="1"/>
    </row>
    <row r="874" spans="1:19" ht="12.5" x14ac:dyDescent="0.25">
      <c r="A874" s="2">
        <f ca="1">IFERROR(__xludf.DUMMYFUNCTION("""COMPUTED_VALUE"""),45023.9689065972)</f>
        <v>45023.968906597198</v>
      </c>
      <c r="B874" s="1" t="str">
        <f ca="1">IFERROR(__xludf.DUMMYFUNCTION("""COMPUTED_VALUE"""),"India")</f>
        <v>India</v>
      </c>
      <c r="C874" s="1">
        <f ca="1">IFERROR(__xludf.DUMMYFUNCTION("""COMPUTED_VALUE"""),400084)</f>
        <v>400084</v>
      </c>
      <c r="D874" s="1" t="str">
        <f ca="1">IFERROR(__xludf.DUMMYFUNCTION("""COMPUTED_VALUE"""),"Male")</f>
        <v>Male</v>
      </c>
      <c r="E874" s="1" t="str">
        <f ca="1">IFERROR(__xludf.DUMMYFUNCTION("""COMPUTED_VALUE"""),"My Parents")</f>
        <v>My Parents</v>
      </c>
      <c r="F874" s="1" t="str">
        <f ca="1">IFERROR(__xludf.DUMMYFUNCTION("""COMPUTED_VALUE"""),"No, But if someone could bare the cost I will")</f>
        <v>No, But if someone could bare the cost I will</v>
      </c>
      <c r="G874" s="1" t="str">
        <f ca="1">IFERROR(__xludf.DUMMYFUNCTION("""COMPUTED_VALUE"""),"Will work for 3 years or more")</f>
        <v>Will work for 3 years or more</v>
      </c>
      <c r="H874" s="1" t="str">
        <f ca="1">IFERROR(__xludf.DUMMYFUNCTION("""COMPUTED_VALUE"""),"No")</f>
        <v>No</v>
      </c>
      <c r="I874" s="1" t="str">
        <f ca="1">IFERROR(__xludf.DUMMYFUNCTION("""COMPUTED_VALUE"""),"Will NOT work for them")</f>
        <v>Will NOT work for them</v>
      </c>
      <c r="J874" s="1">
        <f ca="1">IFERROR(__xludf.DUMMYFUNCTION("""COMPUTED_VALUE"""),8)</f>
        <v>8</v>
      </c>
      <c r="K874" s="1" t="str">
        <f ca="1">IFERROR(__xludf.DUMMYFUNCTION("""COMPUTED_VALUE"""),"Hybrid Working Environment with more than 15 days a month at office")</f>
        <v>Hybrid Working Environment with more than 15 days a month at office</v>
      </c>
      <c r="L8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7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7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874" s="1" t="str">
        <f ca="1">IFERROR(__xludf.DUMMYFUNCTION("""COMPUTED_VALUE"""),"Manager who explains what is expected, sets a goal and helps achieve it")</f>
        <v>Manager who explains what is expected, sets a goal and helps achieve it</v>
      </c>
      <c r="P874" s="1" t="str">
        <f ca="1">IFERROR(__xludf.DUMMYFUNCTION("""COMPUTED_VALUE"""),"Work with 5 to 6 people in my team")</f>
        <v>Work with 5 to 6 people in my team</v>
      </c>
      <c r="Q874" s="1" t="str">
        <f ca="1">IFERROR(__xludf.DUMMYFUNCTION("""COMPUTED_VALUE"""),"Yes, I Understand this is gonna happen everywhere")</f>
        <v>Yes, I Understand this is gonna happen everywhere</v>
      </c>
      <c r="R874" s="1" t="str">
        <f ca="1">IFERROR(__xludf.DUMMYFUNCTION("""COMPUTED_VALUE"""),"This will be hard to do, but if it is the right company I would try")</f>
        <v>This will be hard to do, but if it is the right company I would try</v>
      </c>
      <c r="S874" s="1"/>
    </row>
    <row r="875" spans="1:19" ht="12.5" x14ac:dyDescent="0.25">
      <c r="A875" s="2">
        <f ca="1">IFERROR(__xludf.DUMMYFUNCTION("""COMPUTED_VALUE"""),45023.9705521527)</f>
        <v>45023.970552152699</v>
      </c>
      <c r="B875" s="1" t="str">
        <f ca="1">IFERROR(__xludf.DUMMYFUNCTION("""COMPUTED_VALUE"""),"India")</f>
        <v>India</v>
      </c>
      <c r="C875" s="1">
        <f ca="1">IFERROR(__xludf.DUMMYFUNCTION("""COMPUTED_VALUE"""),452016)</f>
        <v>452016</v>
      </c>
      <c r="D875" s="1" t="str">
        <f ca="1">IFERROR(__xludf.DUMMYFUNCTION("""COMPUTED_VALUE"""),"Female")</f>
        <v>Female</v>
      </c>
      <c r="E875" s="1" t="str">
        <f ca="1">IFERROR(__xludf.DUMMYFUNCTION("""COMPUTED_VALUE"""),"Influencers who had successful careers")</f>
        <v>Influencers who had successful careers</v>
      </c>
      <c r="F875" s="1" t="str">
        <f ca="1">IFERROR(__xludf.DUMMYFUNCTION("""COMPUTED_VALUE"""),"Yes, I will earn and do that")</f>
        <v>Yes, I will earn and do that</v>
      </c>
      <c r="G875" s="1" t="str">
        <f ca="1">IFERROR(__xludf.DUMMYFUNCTION("""COMPUTED_VALUE"""),"This will be hard to do, but if it is the right company I would try")</f>
        <v>This will be hard to do, but if it is the right company I would try</v>
      </c>
      <c r="H875" s="1" t="str">
        <f ca="1">IFERROR(__xludf.DUMMYFUNCTION("""COMPUTED_VALUE"""),"Yes")</f>
        <v>Yes</v>
      </c>
      <c r="I875" s="1" t="str">
        <f ca="1">IFERROR(__xludf.DUMMYFUNCTION("""COMPUTED_VALUE"""),"Will work for them")</f>
        <v>Will work for them</v>
      </c>
      <c r="J875" s="1">
        <f ca="1">IFERROR(__xludf.DUMMYFUNCTION("""COMPUTED_VALUE"""),4)</f>
        <v>4</v>
      </c>
      <c r="K875" s="1" t="str">
        <f ca="1">IFERROR(__xludf.DUMMYFUNCTION("""COMPUTED_VALUE"""),"Fully Remote with Options to travel as and when needed")</f>
        <v>Fully Remote with Options to travel as and when needed</v>
      </c>
      <c r="L8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7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75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875" s="1" t="str">
        <f ca="1">IFERROR(__xludf.DUMMYFUNCTION("""COMPUTED_VALUE"""),"Manager who clearly describes what she/he needs")</f>
        <v>Manager who clearly describes what she/he needs</v>
      </c>
      <c r="P875" s="1" t="str">
        <f ca="1">IFERROR(__xludf.DUMMYFUNCTION("""COMPUTED_VALUE"""),"Work with 5 to 6 people in my team")</f>
        <v>Work with 5 to 6 people in my team</v>
      </c>
      <c r="Q875" s="1" t="str">
        <f ca="1">IFERROR(__xludf.DUMMYFUNCTION("""COMPUTED_VALUE"""),"Yes, I Understand this is gonna happen everywhere")</f>
        <v>Yes, I Understand this is gonna happen everywhere</v>
      </c>
      <c r="R875" s="1" t="str">
        <f ca="1">IFERROR(__xludf.DUMMYFUNCTION("""COMPUTED_VALUE"""),"This will be hard to do, but if it is the right company I would try")</f>
        <v>This will be hard to do, but if it is the right company I would try</v>
      </c>
      <c r="S875" s="1"/>
    </row>
    <row r="876" spans="1:19" ht="12.5" x14ac:dyDescent="0.25">
      <c r="A876" s="2">
        <f ca="1">IFERROR(__xludf.DUMMYFUNCTION("""COMPUTED_VALUE"""),45023.9743827776)</f>
        <v>45023.974382777698</v>
      </c>
      <c r="B876" s="1" t="str">
        <f ca="1">IFERROR(__xludf.DUMMYFUNCTION("""COMPUTED_VALUE"""),"India")</f>
        <v>India</v>
      </c>
      <c r="C876" s="1">
        <f ca="1">IFERROR(__xludf.DUMMYFUNCTION("""COMPUTED_VALUE"""),211001)</f>
        <v>211001</v>
      </c>
      <c r="D876" s="1" t="str">
        <f ca="1">IFERROR(__xludf.DUMMYFUNCTION("""COMPUTED_VALUE"""),"Male")</f>
        <v>Male</v>
      </c>
      <c r="E876" s="1" t="str">
        <f ca="1">IFERROR(__xludf.DUMMYFUNCTION("""COMPUTED_VALUE"""),"My Parents")</f>
        <v>My Parents</v>
      </c>
      <c r="F876" s="1" t="str">
        <f ca="1">IFERROR(__xludf.DUMMYFUNCTION("""COMPUTED_VALUE"""),"No I would not be pursuing Higher Education outside of India")</f>
        <v>No I would not be pursuing Higher Education outside of India</v>
      </c>
      <c r="G876" s="1" t="str">
        <f ca="1">IFERROR(__xludf.DUMMYFUNCTION("""COMPUTED_VALUE"""),"No way")</f>
        <v>No way</v>
      </c>
      <c r="H876" s="1" t="str">
        <f ca="1">IFERROR(__xludf.DUMMYFUNCTION("""COMPUTED_VALUE"""),"No")</f>
        <v>No</v>
      </c>
      <c r="I876" s="1" t="str">
        <f ca="1">IFERROR(__xludf.DUMMYFUNCTION("""COMPUTED_VALUE"""),"Will NOT work for them")</f>
        <v>Will NOT work for them</v>
      </c>
      <c r="J876" s="1">
        <f ca="1">IFERROR(__xludf.DUMMYFUNCTION("""COMPUTED_VALUE"""),8)</f>
        <v>8</v>
      </c>
      <c r="K876" s="1" t="str">
        <f ca="1">IFERROR(__xludf.DUMMYFUNCTION("""COMPUTED_VALUE"""),"Every Day Office Environment")</f>
        <v>Every Day Office Environment</v>
      </c>
      <c r="L876" s="1" t="str">
        <f ca="1">IFERROR(__xludf.DUMMYFUNCTION("""COMPUTED_VALUE"""),"Employer who appreciates learning and enables that environment")</f>
        <v>Employer who appreciates learning and enables that environment</v>
      </c>
      <c r="M8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76" s="1" t="str">
        <f ca="1">IFERROR(__xludf.DUMMYFUNCTION("""COMPUTED_VALUE"""),"Teaching in any of the institutes/colleges/online or offline, Build and develop a Team, Become a content Creator in some platform, Entrepreneur or Start Up")</f>
        <v>Teaching in any of the institutes/colleges/online or offline, Build and develop a Team, Become a content Creator in some platform, Entrepreneur or Start Up</v>
      </c>
      <c r="O876" s="1" t="str">
        <f ca="1">IFERROR(__xludf.DUMMYFUNCTION("""COMPUTED_VALUE"""),"Manager who clearly describes what she/he needs")</f>
        <v>Manager who clearly describes what she/he needs</v>
      </c>
      <c r="P876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876" s="1" t="str">
        <f ca="1">IFERROR(__xludf.DUMMYFUNCTION("""COMPUTED_VALUE"""),"Yes, I Understand this is gonna happen everywhere")</f>
        <v>Yes, I Understand this is gonna happen everywhere</v>
      </c>
      <c r="R876" s="1" t="str">
        <f ca="1">IFERROR(__xludf.DUMMYFUNCTION("""COMPUTED_VALUE"""),"No way")</f>
        <v>No way</v>
      </c>
      <c r="S876" s="1"/>
    </row>
    <row r="877" spans="1:19" ht="12.5" x14ac:dyDescent="0.25">
      <c r="A877" s="2">
        <f ca="1">IFERROR(__xludf.DUMMYFUNCTION("""COMPUTED_VALUE"""),45023.9758841088)</f>
        <v>45023.975884108797</v>
      </c>
      <c r="B877" s="1" t="str">
        <f ca="1">IFERROR(__xludf.DUMMYFUNCTION("""COMPUTED_VALUE"""),"India")</f>
        <v>India</v>
      </c>
      <c r="C877" s="1">
        <f ca="1">IFERROR(__xludf.DUMMYFUNCTION("""COMPUTED_VALUE"""),400067)</f>
        <v>400067</v>
      </c>
      <c r="D877" s="1" t="str">
        <f ca="1">IFERROR(__xludf.DUMMYFUNCTION("""COMPUTED_VALUE"""),"Male")</f>
        <v>Male</v>
      </c>
      <c r="E877" s="1" t="str">
        <f ca="1">IFERROR(__xludf.DUMMYFUNCTION("""COMPUTED_VALUE"""),"My Parents")</f>
        <v>My Parents</v>
      </c>
      <c r="F877" s="1" t="str">
        <f ca="1">IFERROR(__xludf.DUMMYFUNCTION("""COMPUTED_VALUE"""),"Yes, I will earn and do that")</f>
        <v>Yes, I will earn and do that</v>
      </c>
      <c r="G877" s="1" t="str">
        <f ca="1">IFERROR(__xludf.DUMMYFUNCTION("""COMPUTED_VALUE"""),"No way")</f>
        <v>No way</v>
      </c>
      <c r="H877" s="1" t="str">
        <f ca="1">IFERROR(__xludf.DUMMYFUNCTION("""COMPUTED_VALUE"""),"Yes")</f>
        <v>Yes</v>
      </c>
      <c r="I877" s="1" t="str">
        <f ca="1">IFERROR(__xludf.DUMMYFUNCTION("""COMPUTED_VALUE"""),"Will NOT work for them")</f>
        <v>Will NOT work for them</v>
      </c>
      <c r="J877" s="1">
        <f ca="1">IFERROR(__xludf.DUMMYFUNCTION("""COMPUTED_VALUE"""),10)</f>
        <v>10</v>
      </c>
      <c r="K877" s="1" t="str">
        <f ca="1">IFERROR(__xludf.DUMMYFUNCTION("""COMPUTED_VALUE"""),"Fully Remote with No option to visit offices")</f>
        <v>Fully Remote with No option to visit offices</v>
      </c>
      <c r="L877" s="1" t="str">
        <f ca="1">IFERROR(__xludf.DUMMYFUNCTION("""COMPUTED_VALUE"""),"Employer who rewards learning and enables that environment")</f>
        <v>Employer who rewards learning and enables that environment</v>
      </c>
      <c r="M87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77" s="1" t="str">
        <f ca="1">IFERROR(__xludf.DUMMYFUNCTION("""COMPUTED_VALUE"""),"Business Operations in any organization, Manage and drive End-to-End Projects or Products, Work in a BPO setup for some well known client, Work as a freelancer and do my thing my way")</f>
        <v>Business Operations in any organization, Manage and drive End-to-End Projects or Products, Work in a BPO setup for some well known client, Work as a freelancer and do my thing my way</v>
      </c>
      <c r="O877" s="1" t="str">
        <f ca="1">IFERROR(__xludf.DUMMYFUNCTION("""COMPUTED_VALUE"""),"Manager who explains what is expected, sets a goal and helps achieve it")</f>
        <v>Manager who explains what is expected, sets a goal and helps achieve it</v>
      </c>
      <c r="P877" s="1" t="str">
        <f ca="1">IFERROR(__xludf.DUMMYFUNCTION("""COMPUTED_VALUE"""),"Work with 2 to 3 people in my team")</f>
        <v>Work with 2 to 3 people in my team</v>
      </c>
      <c r="Q877" s="1" t="str">
        <f ca="1">IFERROR(__xludf.DUMMYFUNCTION("""COMPUTED_VALUE"""),"No")</f>
        <v>No</v>
      </c>
      <c r="R877" s="1" t="str">
        <f ca="1">IFERROR(__xludf.DUMMYFUNCTION("""COMPUTED_VALUE"""),"No way")</f>
        <v>No way</v>
      </c>
      <c r="S877" s="1"/>
    </row>
    <row r="878" spans="1:19" ht="12.5" x14ac:dyDescent="0.25">
      <c r="A878" s="2">
        <f ca="1">IFERROR(__xludf.DUMMYFUNCTION("""COMPUTED_VALUE"""),45023.9974641666)</f>
        <v>45023.997464166598</v>
      </c>
      <c r="B878" s="1" t="str">
        <f ca="1">IFERROR(__xludf.DUMMYFUNCTION("""COMPUTED_VALUE"""),"India")</f>
        <v>India</v>
      </c>
      <c r="C878" s="1">
        <f ca="1">IFERROR(__xludf.DUMMYFUNCTION("""COMPUTED_VALUE"""),500041)</f>
        <v>500041</v>
      </c>
      <c r="D878" s="1" t="str">
        <f ca="1">IFERROR(__xludf.DUMMYFUNCTION("""COMPUTED_VALUE"""),"Female")</f>
        <v>Female</v>
      </c>
      <c r="E878" s="1" t="str">
        <f ca="1">IFERROR(__xludf.DUMMYFUNCTION("""COMPUTED_VALUE"""),"People who have changed the world for better")</f>
        <v>People who have changed the world for better</v>
      </c>
      <c r="F878" s="1" t="str">
        <f ca="1">IFERROR(__xludf.DUMMYFUNCTION("""COMPUTED_VALUE"""),"Yes, I will earn and do that")</f>
        <v>Yes, I will earn and do that</v>
      </c>
      <c r="G878" s="1" t="str">
        <f ca="1">IFERROR(__xludf.DUMMYFUNCTION("""COMPUTED_VALUE"""),"This will be hard to do, but if it is the right company I would try")</f>
        <v>This will be hard to do, but if it is the right company I would try</v>
      </c>
      <c r="H878" s="1" t="str">
        <f ca="1">IFERROR(__xludf.DUMMYFUNCTION("""COMPUTED_VALUE"""),"No")</f>
        <v>No</v>
      </c>
      <c r="I878" s="1" t="str">
        <f ca="1">IFERROR(__xludf.DUMMYFUNCTION("""COMPUTED_VALUE"""),"Will work for them")</f>
        <v>Will work for them</v>
      </c>
      <c r="J878" s="1">
        <f ca="1">IFERROR(__xludf.DUMMYFUNCTION("""COMPUTED_VALUE"""),7)</f>
        <v>7</v>
      </c>
      <c r="K878" s="1" t="str">
        <f ca="1">IFERROR(__xludf.DUMMYFUNCTION("""COMPUTED_VALUE"""),"Fully Remote with Options to travel as and when needed")</f>
        <v>Fully Remote with Options to travel as and when needed</v>
      </c>
      <c r="L878" s="1" t="str">
        <f ca="1">IFERROR(__xludf.DUMMYFUNCTION("""COMPUTED_VALUE"""),"Employer who appreciates learning and enables that environment")</f>
        <v>Employer who appreciates learning and enables that environment</v>
      </c>
      <c r="M87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78" s="1" t="str">
        <f ca="1">IFERROR(__xludf.DUMMYFUNCTION("""COMPUTED_VALUE"""),"Design and Creative strategy in any company, Build and develop a Team, Design and Develop amazing software, Work as a freelancer and do my thing my way")</f>
        <v>Design and Creative strategy in any company, Build and develop a Team, Design and Develop amazing software, Work as a freelancer and do my thing my way</v>
      </c>
      <c r="O878" s="1" t="str">
        <f ca="1">IFERROR(__xludf.DUMMYFUNCTION("""COMPUTED_VALUE"""),"Manager who clearly describes what she/he needs")</f>
        <v>Manager who clearly describes what she/he needs</v>
      </c>
      <c r="P87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878" s="1" t="str">
        <f ca="1">IFERROR(__xludf.DUMMYFUNCTION("""COMPUTED_VALUE"""),"Yes, I Understand this is gonna happen everywhere")</f>
        <v>Yes, I Understand this is gonna happen everywhere</v>
      </c>
      <c r="R878" s="1" t="str">
        <f ca="1">IFERROR(__xludf.DUMMYFUNCTION("""COMPUTED_VALUE"""),"This will be hard to do, but if it is the right company I would try")</f>
        <v>This will be hard to do, but if it is the right company I would try</v>
      </c>
      <c r="S878" s="1"/>
    </row>
    <row r="879" spans="1:19" ht="12.5" x14ac:dyDescent="0.25">
      <c r="A879" s="2">
        <f ca="1">IFERROR(__xludf.DUMMYFUNCTION("""COMPUTED_VALUE"""),45024.0100396412)</f>
        <v>45024.010039641202</v>
      </c>
      <c r="B879" s="1" t="str">
        <f ca="1">IFERROR(__xludf.DUMMYFUNCTION("""COMPUTED_VALUE"""),"India")</f>
        <v>India</v>
      </c>
      <c r="C879" s="1">
        <f ca="1">IFERROR(__xludf.DUMMYFUNCTION("""COMPUTED_VALUE"""),400086)</f>
        <v>400086</v>
      </c>
      <c r="D879" s="1" t="str">
        <f ca="1">IFERROR(__xludf.DUMMYFUNCTION("""COMPUTED_VALUE"""),"Male")</f>
        <v>Male</v>
      </c>
      <c r="E879" s="1" t="str">
        <f ca="1">IFERROR(__xludf.DUMMYFUNCTION("""COMPUTED_VALUE"""),"My Parents")</f>
        <v>My Parents</v>
      </c>
      <c r="F879" s="1" t="str">
        <f ca="1">IFERROR(__xludf.DUMMYFUNCTION("""COMPUTED_VALUE"""),"No I would not be pursuing Higher Education outside of India")</f>
        <v>No I would not be pursuing Higher Education outside of India</v>
      </c>
      <c r="G879" s="1" t="str">
        <f ca="1">IFERROR(__xludf.DUMMYFUNCTION("""COMPUTED_VALUE"""),"No way")</f>
        <v>No way</v>
      </c>
      <c r="H879" s="1" t="str">
        <f ca="1">IFERROR(__xludf.DUMMYFUNCTION("""COMPUTED_VALUE"""),"No")</f>
        <v>No</v>
      </c>
      <c r="I879" s="1" t="str">
        <f ca="1">IFERROR(__xludf.DUMMYFUNCTION("""COMPUTED_VALUE"""),"Will NOT work for them")</f>
        <v>Will NOT work for them</v>
      </c>
      <c r="J879" s="1">
        <f ca="1">IFERROR(__xludf.DUMMYFUNCTION("""COMPUTED_VALUE"""),1)</f>
        <v>1</v>
      </c>
      <c r="K879" s="1" t="str">
        <f ca="1">IFERROR(__xludf.DUMMYFUNCTION("""COMPUTED_VALUE"""),"Fully Remote with No option to visit offices")</f>
        <v>Fully Remote with No option to visit offices</v>
      </c>
      <c r="L87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87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879" s="1" t="str">
        <f ca="1">IFERROR(__xludf.DUMMYFUNCTION("""COMPUTED_VALUE"""),"Business Operations in any organization, Design and Develop amazing software, Look deeply into Data and generate insights, Work in a BPO setup for some well known client")</f>
        <v>Business Operations in any organization, Design and Develop amazing software, Look deeply into Data and generate insights, Work in a BPO setup for some well known client</v>
      </c>
      <c r="O879" s="1" t="str">
        <f ca="1">IFERROR(__xludf.DUMMYFUNCTION("""COMPUTED_VALUE"""),"Manager who explains what is expected, sets a goal and helps achieve it")</f>
        <v>Manager who explains what is expected, sets a goal and helps achieve it</v>
      </c>
      <c r="P879" s="1" t="str">
        <f ca="1">IFERROR(__xludf.DUMMYFUNCTION("""COMPUTED_VALUE"""),"Work with 2 to 3 people in my team")</f>
        <v>Work with 2 to 3 people in my team</v>
      </c>
      <c r="Q879" s="1" t="str">
        <f ca="1">IFERROR(__xludf.DUMMYFUNCTION("""COMPUTED_VALUE"""),"No")</f>
        <v>No</v>
      </c>
      <c r="R879" s="1" t="str">
        <f ca="1">IFERROR(__xludf.DUMMYFUNCTION("""COMPUTED_VALUE"""),"No way")</f>
        <v>No way</v>
      </c>
      <c r="S879" s="1"/>
    </row>
    <row r="880" spans="1:19" ht="12.5" x14ac:dyDescent="0.25">
      <c r="A880" s="2">
        <f ca="1">IFERROR(__xludf.DUMMYFUNCTION("""COMPUTED_VALUE"""),45024.0225346296)</f>
        <v>45024.022534629599</v>
      </c>
      <c r="B880" s="1" t="str">
        <f ca="1">IFERROR(__xludf.DUMMYFUNCTION("""COMPUTED_VALUE"""),"India")</f>
        <v>India</v>
      </c>
      <c r="C880" s="1">
        <f ca="1">IFERROR(__xludf.DUMMYFUNCTION("""COMPUTED_VALUE"""),411033)</f>
        <v>411033</v>
      </c>
      <c r="D880" s="1" t="str">
        <f ca="1">IFERROR(__xludf.DUMMYFUNCTION("""COMPUTED_VALUE"""),"Male")</f>
        <v>Male</v>
      </c>
      <c r="E880" s="1" t="str">
        <f ca="1">IFERROR(__xludf.DUMMYFUNCTION("""COMPUTED_VALUE"""),"Influencers who had successful careers")</f>
        <v>Influencers who had successful careers</v>
      </c>
      <c r="F880" s="1" t="str">
        <f ca="1">IFERROR(__xludf.DUMMYFUNCTION("""COMPUTED_VALUE"""),"No I would not be pursuing Higher Education outside of India")</f>
        <v>No I would not be pursuing Higher Education outside of India</v>
      </c>
      <c r="G880" s="1" t="str">
        <f ca="1">IFERROR(__xludf.DUMMYFUNCTION("""COMPUTED_VALUE"""),"This will be hard to do, but if it is the right company I would try")</f>
        <v>This will be hard to do, but if it is the right company I would try</v>
      </c>
      <c r="H880" s="1" t="str">
        <f ca="1">IFERROR(__xludf.DUMMYFUNCTION("""COMPUTED_VALUE"""),"Yes")</f>
        <v>Yes</v>
      </c>
      <c r="I880" s="1" t="str">
        <f ca="1">IFERROR(__xludf.DUMMYFUNCTION("""COMPUTED_VALUE"""),"Will NOT work for them")</f>
        <v>Will NOT work for them</v>
      </c>
      <c r="J880" s="1">
        <f ca="1">IFERROR(__xludf.DUMMYFUNCTION("""COMPUTED_VALUE"""),9)</f>
        <v>9</v>
      </c>
      <c r="K880" s="1" t="str">
        <f ca="1">IFERROR(__xludf.DUMMYFUNCTION("""COMPUTED_VALUE"""),"Fully Remote with Options to travel as and when needed")</f>
        <v>Fully Remote with Options to travel as and when needed</v>
      </c>
      <c r="L8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80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80" s="1" t="str">
        <f ca="1">IFERROR(__xludf.DUMMYFUNCTION("""COMPUTED_VALUE"""),"Teaching in any of the institutes/colleges/online or offline, Business Operations in any organization, Entrepreneur or Start Up, I Want to sell things/Sales")</f>
        <v>Teaching in any of the institutes/colleges/online or offline, Business Operations in any organization, Entrepreneur or Start Up, I Want to sell things/Sales</v>
      </c>
      <c r="O880" s="1" t="str">
        <f ca="1">IFERROR(__xludf.DUMMYFUNCTION("""COMPUTED_VALUE"""),"Manager who sets unrealistic targets")</f>
        <v>Manager who sets unrealistic targets</v>
      </c>
      <c r="P880" s="1" t="str">
        <f ca="1">IFERROR(__xludf.DUMMYFUNCTION("""COMPUTED_VALUE"""),"Work with 2 to 3 people in my team, Work with 5 to 6 people in my team")</f>
        <v>Work with 2 to 3 people in my team, Work with 5 to 6 people in my team</v>
      </c>
      <c r="Q880" s="1" t="str">
        <f ca="1">IFERROR(__xludf.DUMMYFUNCTION("""COMPUTED_VALUE"""),"Yes, I Understand this is gonna happen everywhere")</f>
        <v>Yes, I Understand this is gonna happen everywhere</v>
      </c>
      <c r="R880" s="1" t="str">
        <f ca="1">IFERROR(__xludf.DUMMYFUNCTION("""COMPUTED_VALUE"""),"No way")</f>
        <v>No way</v>
      </c>
      <c r="S880" s="1"/>
    </row>
    <row r="881" spans="1:19" ht="12.5" x14ac:dyDescent="0.25">
      <c r="A881" s="2">
        <f ca="1">IFERROR(__xludf.DUMMYFUNCTION("""COMPUTED_VALUE"""),45024.0384768981)</f>
        <v>45024.038476898102</v>
      </c>
      <c r="B881" s="1" t="str">
        <f ca="1">IFERROR(__xludf.DUMMYFUNCTION("""COMPUTED_VALUE"""),"India")</f>
        <v>India</v>
      </c>
      <c r="C881" s="1">
        <f ca="1">IFERROR(__xludf.DUMMYFUNCTION("""COMPUTED_VALUE"""),600031)</f>
        <v>600031</v>
      </c>
      <c r="D881" s="1" t="str">
        <f ca="1">IFERROR(__xludf.DUMMYFUNCTION("""COMPUTED_VALUE"""),"Male")</f>
        <v>Male</v>
      </c>
      <c r="E881" s="1" t="str">
        <f ca="1">IFERROR(__xludf.DUMMYFUNCTION("""COMPUTED_VALUE"""),"People who have changed the world for better")</f>
        <v>People who have changed the world for better</v>
      </c>
      <c r="F881" s="1" t="str">
        <f ca="1">IFERROR(__xludf.DUMMYFUNCTION("""COMPUTED_VALUE"""),"No I would not be pursuing Higher Education outside of India")</f>
        <v>No I would not be pursuing Higher Education outside of India</v>
      </c>
      <c r="G881" s="1" t="str">
        <f ca="1">IFERROR(__xludf.DUMMYFUNCTION("""COMPUTED_VALUE"""),"Will work for 3 years or more")</f>
        <v>Will work for 3 years or more</v>
      </c>
      <c r="H881" s="1" t="str">
        <f ca="1">IFERROR(__xludf.DUMMYFUNCTION("""COMPUTED_VALUE"""),"No")</f>
        <v>No</v>
      </c>
      <c r="I881" s="1" t="str">
        <f ca="1">IFERROR(__xludf.DUMMYFUNCTION("""COMPUTED_VALUE"""),"Will NOT work for them")</f>
        <v>Will NOT work for them</v>
      </c>
      <c r="J881" s="1">
        <f ca="1">IFERROR(__xludf.DUMMYFUNCTION("""COMPUTED_VALUE"""),5)</f>
        <v>5</v>
      </c>
      <c r="K881" s="1" t="str">
        <f ca="1">IFERROR(__xludf.DUMMYFUNCTION("""COMPUTED_VALUE"""),"Hybrid Working Environment with more than 15 days a month at office")</f>
        <v>Hybrid Working Environment with more than 15 days a month at office</v>
      </c>
      <c r="L8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8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81" s="1" t="str">
        <f ca="1">IFERROR(__xludf.DUMMYFUNCTION("""COMPUTED_VALUE"""),"Manage and drive End-to-End Projects or Products, Build and develop a Team, Look deeply into Data and generate insights, Entrepreneur or Start Up")</f>
        <v>Manage and drive End-to-End Projects or Products, Build and develop a Team, Look deeply into Data and generate insights, Entrepreneur or Start Up</v>
      </c>
      <c r="O881" s="1" t="str">
        <f ca="1">IFERROR(__xludf.DUMMYFUNCTION("""COMPUTED_VALUE"""),"Manager who explains what is expected, sets a goal and helps achieve it")</f>
        <v>Manager who explains what is expected, sets a goal and helps achieve it</v>
      </c>
      <c r="P881" s="1" t="str">
        <f ca="1">IFERROR(__xludf.DUMMYFUNCTION("""COMPUTED_VALUE"""),"Work with 2 to 3 people in my team, Work with 5 to 6 people in my team")</f>
        <v>Work with 2 to 3 people in my team, Work with 5 to 6 people in my team</v>
      </c>
      <c r="Q881" s="1" t="str">
        <f ca="1">IFERROR(__xludf.DUMMYFUNCTION("""COMPUTED_VALUE"""),"Yes, I Understand this is gonna happen everywhere")</f>
        <v>Yes, I Understand this is gonna happen everywhere</v>
      </c>
      <c r="R881" s="1" t="str">
        <f ca="1">IFERROR(__xludf.DUMMYFUNCTION("""COMPUTED_VALUE"""),"This will be hard to do, but if it is the right company I would try")</f>
        <v>This will be hard to do, but if it is the right company I would try</v>
      </c>
      <c r="S881" s="1"/>
    </row>
    <row r="882" spans="1:19" ht="12.5" x14ac:dyDescent="0.25">
      <c r="A882" s="2">
        <f ca="1">IFERROR(__xludf.DUMMYFUNCTION("""COMPUTED_VALUE"""),45024.0388207523)</f>
        <v>45024.038820752299</v>
      </c>
      <c r="B882" s="1" t="str">
        <f ca="1">IFERROR(__xludf.DUMMYFUNCTION("""COMPUTED_VALUE"""),"India")</f>
        <v>India</v>
      </c>
      <c r="C882" s="1">
        <f ca="1">IFERROR(__xludf.DUMMYFUNCTION("""COMPUTED_VALUE"""),440009)</f>
        <v>440009</v>
      </c>
      <c r="D882" s="1" t="str">
        <f ca="1">IFERROR(__xludf.DUMMYFUNCTION("""COMPUTED_VALUE"""),"Male")</f>
        <v>Male</v>
      </c>
      <c r="E882" s="1" t="str">
        <f ca="1">IFERROR(__xludf.DUMMYFUNCTION("""COMPUTED_VALUE"""),"Social Media like LinkedIn")</f>
        <v>Social Media like LinkedIn</v>
      </c>
      <c r="F882" s="1" t="str">
        <f ca="1">IFERROR(__xludf.DUMMYFUNCTION("""COMPUTED_VALUE"""),"Yes, I will earn and do that")</f>
        <v>Yes, I will earn and do that</v>
      </c>
      <c r="G882" s="1" t="str">
        <f ca="1">IFERROR(__xludf.DUMMYFUNCTION("""COMPUTED_VALUE"""),"Will work for 3 years or more")</f>
        <v>Will work for 3 years or more</v>
      </c>
      <c r="H882" s="1" t="str">
        <f ca="1">IFERROR(__xludf.DUMMYFUNCTION("""COMPUTED_VALUE"""),"No")</f>
        <v>No</v>
      </c>
      <c r="I882" s="1" t="str">
        <f ca="1">IFERROR(__xludf.DUMMYFUNCTION("""COMPUTED_VALUE"""),"Will NOT work for them")</f>
        <v>Will NOT work for them</v>
      </c>
      <c r="J882" s="1">
        <f ca="1">IFERROR(__xludf.DUMMYFUNCTION("""COMPUTED_VALUE"""),5)</f>
        <v>5</v>
      </c>
      <c r="K882" s="1" t="str">
        <f ca="1">IFERROR(__xludf.DUMMYFUNCTION("""COMPUTED_VALUE"""),"Hybrid Working Environment with more than 15 days a month at office")</f>
        <v>Hybrid Working Environment with more than 15 days a month at office</v>
      </c>
      <c r="L8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82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882" s="1" t="str">
        <f ca="1">IFERROR(__xludf.DUMMYFUNCTION("""COMPUTED_VALUE"""),"Manage and drive End-to-End Projects or Products, Design and Develop amazing software, Look deeply into Data and generate insights, Work as a freelancer and do my thing my way")</f>
        <v>Manage and drive End-to-End Projects or Products, Design and Develop amazing software, Look deeply into Data and generate insights, Work as a freelancer and do my thing my way</v>
      </c>
      <c r="O882" s="1" t="str">
        <f ca="1">IFERROR(__xludf.DUMMYFUNCTION("""COMPUTED_VALUE"""),"Manager who explains what is expected, sets a goal and helps achieve it")</f>
        <v>Manager who explains what is expected, sets a goal and helps achieve it</v>
      </c>
      <c r="P882" s="1" t="str">
        <f ca="1">IFERROR(__xludf.DUMMYFUNCTION("""COMPUTED_VALUE"""),"Work with 2 to 3 people in my team, Work with 5 to 6 people in my team")</f>
        <v>Work with 2 to 3 people in my team, Work with 5 to 6 people in my team</v>
      </c>
      <c r="Q882" s="1" t="str">
        <f ca="1">IFERROR(__xludf.DUMMYFUNCTION("""COMPUTED_VALUE"""),"Yes, I Understand this is gonna happen everywhere")</f>
        <v>Yes, I Understand this is gonna happen everywhere</v>
      </c>
      <c r="R882" s="1" t="str">
        <f ca="1">IFERROR(__xludf.DUMMYFUNCTION("""COMPUTED_VALUE"""),"This will be hard to do, but if it is the right company I would try")</f>
        <v>This will be hard to do, but if it is the right company I would try</v>
      </c>
      <c r="S882" s="1"/>
    </row>
    <row r="883" spans="1:19" ht="12.5" x14ac:dyDescent="0.25">
      <c r="A883" s="2">
        <f ca="1">IFERROR(__xludf.DUMMYFUNCTION("""COMPUTED_VALUE"""),45024.0413211574)</f>
        <v>45024.041321157398</v>
      </c>
      <c r="B883" s="1" t="str">
        <f ca="1">IFERROR(__xludf.DUMMYFUNCTION("""COMPUTED_VALUE"""),"India")</f>
        <v>India</v>
      </c>
      <c r="C883" s="1">
        <f ca="1">IFERROR(__xludf.DUMMYFUNCTION("""COMPUTED_VALUE"""),60020)</f>
        <v>60020</v>
      </c>
      <c r="D883" s="1" t="str">
        <f ca="1">IFERROR(__xludf.DUMMYFUNCTION("""COMPUTED_VALUE"""),"Female")</f>
        <v>Female</v>
      </c>
      <c r="E883" s="1" t="str">
        <f ca="1">IFERROR(__xludf.DUMMYFUNCTION("""COMPUTED_VALUE"""),"Social Media like LinkedIn")</f>
        <v>Social Media like LinkedIn</v>
      </c>
      <c r="F883" s="1" t="str">
        <f ca="1">IFERROR(__xludf.DUMMYFUNCTION("""COMPUTED_VALUE"""),"Yes, I will earn and do that")</f>
        <v>Yes, I will earn and do that</v>
      </c>
      <c r="G883" s="1" t="str">
        <f ca="1">IFERROR(__xludf.DUMMYFUNCTION("""COMPUTED_VALUE"""),"This will be hard to do, but if it is the right company I would try")</f>
        <v>This will be hard to do, but if it is the right company I would try</v>
      </c>
      <c r="H883" s="1" t="str">
        <f ca="1">IFERROR(__xludf.DUMMYFUNCTION("""COMPUTED_VALUE"""),"Yes")</f>
        <v>Yes</v>
      </c>
      <c r="I883" s="1" t="str">
        <f ca="1">IFERROR(__xludf.DUMMYFUNCTION("""COMPUTED_VALUE"""),"Will work for them")</f>
        <v>Will work for them</v>
      </c>
      <c r="J883" s="1">
        <f ca="1">IFERROR(__xludf.DUMMYFUNCTION("""COMPUTED_VALUE"""),10)</f>
        <v>10</v>
      </c>
      <c r="K883" s="1" t="str">
        <f ca="1">IFERROR(__xludf.DUMMYFUNCTION("""COMPUTED_VALUE"""),"Hybrid Working Environment with more than 15 days a month at office")</f>
        <v>Hybrid Working Environment with more than 15 days a month at office</v>
      </c>
      <c r="L883" s="1" t="str">
        <f ca="1">IFERROR(__xludf.DUMMYFUNCTION("""COMPUTED_VALUE"""),"Employer who rewards learning and enables that environment")</f>
        <v>Employer who rewards learning and enables that environment</v>
      </c>
      <c r="M88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83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883" s="1" t="str">
        <f ca="1">IFERROR(__xludf.DUMMYFUNCTION("""COMPUTED_VALUE"""),"Manager who clearly describes what she/he needs")</f>
        <v>Manager who clearly describes what she/he needs</v>
      </c>
      <c r="P883" s="1" t="str">
        <f ca="1">IFERROR(__xludf.DUMMYFUNCTION("""COMPUTED_VALUE"""),"Work with 2 to 3 people in my team, Work with 5 to 6 people in my team")</f>
        <v>Work with 2 to 3 people in my team, Work with 5 to 6 people in my team</v>
      </c>
      <c r="Q883" s="1" t="str">
        <f ca="1">IFERROR(__xludf.DUMMYFUNCTION("""COMPUTED_VALUE"""),"Yes, I Understand this is gonna happen everywhere")</f>
        <v>Yes, I Understand this is gonna happen everywhere</v>
      </c>
      <c r="R883" s="1" t="str">
        <f ca="1">IFERROR(__xludf.DUMMYFUNCTION("""COMPUTED_VALUE"""),"No way")</f>
        <v>No way</v>
      </c>
      <c r="S883" s="1"/>
    </row>
    <row r="884" spans="1:19" ht="12.5" x14ac:dyDescent="0.25">
      <c r="A884" s="2">
        <f ca="1">IFERROR(__xludf.DUMMYFUNCTION("""COMPUTED_VALUE"""),45024.0459674074)</f>
        <v>45024.045967407401</v>
      </c>
      <c r="B884" s="1" t="str">
        <f ca="1">IFERROR(__xludf.DUMMYFUNCTION("""COMPUTED_VALUE"""),"India")</f>
        <v>India</v>
      </c>
      <c r="C884" s="1">
        <f ca="1">IFERROR(__xludf.DUMMYFUNCTION("""COMPUTED_VALUE"""),400701)</f>
        <v>400701</v>
      </c>
      <c r="D884" s="1" t="str">
        <f ca="1">IFERROR(__xludf.DUMMYFUNCTION("""COMPUTED_VALUE"""),"Female")</f>
        <v>Female</v>
      </c>
      <c r="E884" s="1" t="str">
        <f ca="1">IFERROR(__xludf.DUMMYFUNCTION("""COMPUTED_VALUE"""),"People who have changed the world for better")</f>
        <v>People who have changed the world for better</v>
      </c>
      <c r="F884" s="1" t="str">
        <f ca="1">IFERROR(__xludf.DUMMYFUNCTION("""COMPUTED_VALUE"""),"No, But if someone could bare the cost I will")</f>
        <v>No, But if someone could bare the cost I will</v>
      </c>
      <c r="G884" s="1" t="str">
        <f ca="1">IFERROR(__xludf.DUMMYFUNCTION("""COMPUTED_VALUE"""),"This will be hard to do, but if it is the right company I would try")</f>
        <v>This will be hard to do, but if it is the right company I would try</v>
      </c>
      <c r="H884" s="1" t="str">
        <f ca="1">IFERROR(__xludf.DUMMYFUNCTION("""COMPUTED_VALUE"""),"No")</f>
        <v>No</v>
      </c>
      <c r="I884" s="1" t="str">
        <f ca="1">IFERROR(__xludf.DUMMYFUNCTION("""COMPUTED_VALUE"""),"Will work for them")</f>
        <v>Will work for them</v>
      </c>
      <c r="J884" s="1">
        <f ca="1">IFERROR(__xludf.DUMMYFUNCTION("""COMPUTED_VALUE"""),7)</f>
        <v>7</v>
      </c>
      <c r="K884" s="1" t="str">
        <f ca="1">IFERROR(__xludf.DUMMYFUNCTION("""COMPUTED_VALUE"""),"Fully Remote with No option to visit offices")</f>
        <v>Fully Remote with No option to visit offices</v>
      </c>
      <c r="L884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88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884" s="1" t="str">
        <f ca="1">IFERROR(__xludf.DUMMYFUNCTION("""COMPUTED_VALUE"""),"Manage and drive End-to-End Projects or Products, Look deeply into Data and generate insights, Become a content Creator in some platform, An Artificial Intelligence Specialist / Talking to Robots")</f>
        <v>Manage and drive End-to-End Projects or Products, Look deeply into Data and generate insights, Become a content Creator in some platform, An Artificial Intelligence Specialist / Talking to Robots</v>
      </c>
      <c r="O884" s="1" t="str">
        <f ca="1">IFERROR(__xludf.DUMMYFUNCTION("""COMPUTED_VALUE"""),"Manager who sets goal and helps me achieve it")</f>
        <v>Manager who sets goal and helps me achieve it</v>
      </c>
      <c r="P88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884" s="1" t="str">
        <f ca="1">IFERROR(__xludf.DUMMYFUNCTION("""COMPUTED_VALUE"""),"Yes, I Understand this is gonna happen everywhere")</f>
        <v>Yes, I Understand this is gonna happen everywhere</v>
      </c>
      <c r="R884" s="1" t="str">
        <f ca="1">IFERROR(__xludf.DUMMYFUNCTION("""COMPUTED_VALUE"""),"This will be hard to do, but if it is the right company I would try")</f>
        <v>This will be hard to do, but if it is the right company I would try</v>
      </c>
      <c r="S884" s="1"/>
    </row>
    <row r="885" spans="1:19" ht="12.5" x14ac:dyDescent="0.25">
      <c r="A885" s="2">
        <f ca="1">IFERROR(__xludf.DUMMYFUNCTION("""COMPUTED_VALUE"""),45024.0465005324)</f>
        <v>45024.0465005324</v>
      </c>
      <c r="B885" s="1" t="str">
        <f ca="1">IFERROR(__xludf.DUMMYFUNCTION("""COMPUTED_VALUE"""),"India")</f>
        <v>India</v>
      </c>
      <c r="C885" s="1">
        <f ca="1">IFERROR(__xludf.DUMMYFUNCTION("""COMPUTED_VALUE"""),400024)</f>
        <v>400024</v>
      </c>
      <c r="D885" s="1" t="str">
        <f ca="1">IFERROR(__xludf.DUMMYFUNCTION("""COMPUTED_VALUE"""),"Male")</f>
        <v>Male</v>
      </c>
      <c r="E885" s="1" t="str">
        <f ca="1">IFERROR(__xludf.DUMMYFUNCTION("""COMPUTED_VALUE"""),"People from my circle, but not family members")</f>
        <v>People from my circle, but not family members</v>
      </c>
      <c r="F885" s="1" t="str">
        <f ca="1">IFERROR(__xludf.DUMMYFUNCTION("""COMPUTED_VALUE"""),"No, But if someone could bare the cost I will")</f>
        <v>No, But if someone could bare the cost I will</v>
      </c>
      <c r="G885" s="1" t="str">
        <f ca="1">IFERROR(__xludf.DUMMYFUNCTION("""COMPUTED_VALUE"""),"Will work for 3 years or more")</f>
        <v>Will work for 3 years or more</v>
      </c>
      <c r="H885" s="1" t="str">
        <f ca="1">IFERROR(__xludf.DUMMYFUNCTION("""COMPUTED_VALUE"""),"Yes")</f>
        <v>Yes</v>
      </c>
      <c r="I885" s="1" t="str">
        <f ca="1">IFERROR(__xludf.DUMMYFUNCTION("""COMPUTED_VALUE"""),"Will work for them")</f>
        <v>Will work for them</v>
      </c>
      <c r="J885" s="1">
        <f ca="1">IFERROR(__xludf.DUMMYFUNCTION("""COMPUTED_VALUE"""),3)</f>
        <v>3</v>
      </c>
      <c r="K885" s="1" t="str">
        <f ca="1">IFERROR(__xludf.DUMMYFUNCTION("""COMPUTED_VALUE"""),"Hybrid Working Environment with less than 3 days a month at office")</f>
        <v>Hybrid Working Environment with less than 3 days a month at office</v>
      </c>
      <c r="L8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8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85" s="1" t="str">
        <f ca="1">IFERROR(__xludf.DUMMYFUNCTION("""COMPUTED_VALUE"""),"Manage and drive End-to-End Projects or Products, Design and Develop amazing software, Look deeply into Data and generate insights, Work as a freelancer and do my thing my way")</f>
        <v>Manage and drive End-to-End Projects or Products, Design and Develop amazing software, Look deeply into Data and generate insights, Work as a freelancer and do my thing my way</v>
      </c>
      <c r="O885" s="1" t="str">
        <f ca="1">IFERROR(__xludf.DUMMYFUNCTION("""COMPUTED_VALUE"""),"Manager who explains what is expected, sets a goal and helps achieve it")</f>
        <v>Manager who explains what is expected, sets a goal and helps achieve it</v>
      </c>
      <c r="P885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885" s="1" t="str">
        <f ca="1">IFERROR(__xludf.DUMMYFUNCTION("""COMPUTED_VALUE"""),"Yes, I Understand this is gonna happen everywhere")</f>
        <v>Yes, I Understand this is gonna happen everywhere</v>
      </c>
      <c r="R885" s="1" t="str">
        <f ca="1">IFERROR(__xludf.DUMMYFUNCTION("""COMPUTED_VALUE"""),"This will be hard to do, but if it is the right company I would try")</f>
        <v>This will be hard to do, but if it is the right company I would try</v>
      </c>
      <c r="S885" s="1"/>
    </row>
    <row r="886" spans="1:19" ht="12.5" x14ac:dyDescent="0.25">
      <c r="A886" s="2">
        <f ca="1">IFERROR(__xludf.DUMMYFUNCTION("""COMPUTED_VALUE"""),45024.0496217708)</f>
        <v>45024.049621770799</v>
      </c>
      <c r="B886" s="1" t="str">
        <f ca="1">IFERROR(__xludf.DUMMYFUNCTION("""COMPUTED_VALUE"""),"India")</f>
        <v>India</v>
      </c>
      <c r="C886" s="1">
        <f ca="1">IFERROR(__xludf.DUMMYFUNCTION("""COMPUTED_VALUE"""),201009)</f>
        <v>201009</v>
      </c>
      <c r="D886" s="1" t="str">
        <f ca="1">IFERROR(__xludf.DUMMYFUNCTION("""COMPUTED_VALUE"""),"Male")</f>
        <v>Male</v>
      </c>
      <c r="E886" s="1" t="str">
        <f ca="1">IFERROR(__xludf.DUMMYFUNCTION("""COMPUTED_VALUE"""),"People from my circle, but not family members")</f>
        <v>People from my circle, but not family members</v>
      </c>
      <c r="F886" s="1" t="str">
        <f ca="1">IFERROR(__xludf.DUMMYFUNCTION("""COMPUTED_VALUE"""),"Yes, I will earn and do that")</f>
        <v>Yes, I will earn and do that</v>
      </c>
      <c r="G886" s="1" t="str">
        <f ca="1">IFERROR(__xludf.DUMMYFUNCTION("""COMPUTED_VALUE"""),"This will be hard to do, but if it is the right company I would try")</f>
        <v>This will be hard to do, but if it is the right company I would try</v>
      </c>
      <c r="H886" s="1" t="str">
        <f ca="1">IFERROR(__xludf.DUMMYFUNCTION("""COMPUTED_VALUE"""),"No")</f>
        <v>No</v>
      </c>
      <c r="I886" s="1" t="str">
        <f ca="1">IFERROR(__xludf.DUMMYFUNCTION("""COMPUTED_VALUE"""),"Will NOT work for them")</f>
        <v>Will NOT work for them</v>
      </c>
      <c r="J886" s="1">
        <f ca="1">IFERROR(__xludf.DUMMYFUNCTION("""COMPUTED_VALUE"""),4)</f>
        <v>4</v>
      </c>
      <c r="K886" s="1" t="str">
        <f ca="1">IFERROR(__xludf.DUMMYFUNCTION("""COMPUTED_VALUE"""),"Hybrid Working Environment with more than 15 days a month at office")</f>
        <v>Hybrid Working Environment with more than 15 days a month at office</v>
      </c>
      <c r="L8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8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86" s="1" t="str">
        <f ca="1">IFERROR(__xludf.DUMMYFUNCTION("""COMPUTED_VALUE"""),"Build and develop a Team, Look deeply into Data and generate insights, Entrepreneur or Start Up, An Artificial Intelligence Specialist / Talking to Robots")</f>
        <v>Build and develop a Team, Look deeply into Data and generate insights, Entrepreneur or Start Up, An Artificial Intelligence Specialist / Talking to Robots</v>
      </c>
      <c r="O886" s="1" t="str">
        <f ca="1">IFERROR(__xludf.DUMMYFUNCTION("""COMPUTED_VALUE"""),"Manager who explains what is expected, sets a goal and helps achieve it")</f>
        <v>Manager who explains what is expected, sets a goal and helps achieve it</v>
      </c>
      <c r="P886" s="1" t="str">
        <f ca="1">IFERROR(__xludf.DUMMYFUNCTION("""COMPUTED_VALUE"""),"Work with 5 to 6 people in my team")</f>
        <v>Work with 5 to 6 people in my team</v>
      </c>
      <c r="Q886" s="1" t="str">
        <f ca="1">IFERROR(__xludf.DUMMYFUNCTION("""COMPUTED_VALUE"""),"Yes, I Understand this is gonna happen everywhere")</f>
        <v>Yes, I Understand this is gonna happen everywhere</v>
      </c>
      <c r="R886" s="1" t="str">
        <f ca="1">IFERROR(__xludf.DUMMYFUNCTION("""COMPUTED_VALUE"""),"No way")</f>
        <v>No way</v>
      </c>
      <c r="S886" s="1"/>
    </row>
    <row r="887" spans="1:19" ht="12.5" x14ac:dyDescent="0.25">
      <c r="A887" s="2">
        <f ca="1">IFERROR(__xludf.DUMMYFUNCTION("""COMPUTED_VALUE"""),45024.0516185416)</f>
        <v>45024.051618541598</v>
      </c>
      <c r="B887" s="1" t="str">
        <f ca="1">IFERROR(__xludf.DUMMYFUNCTION("""COMPUTED_VALUE"""),"India")</f>
        <v>India</v>
      </c>
      <c r="C887" s="1">
        <f ca="1">IFERROR(__xludf.DUMMYFUNCTION("""COMPUTED_VALUE"""),201002)</f>
        <v>201002</v>
      </c>
      <c r="D887" s="1" t="str">
        <f ca="1">IFERROR(__xludf.DUMMYFUNCTION("""COMPUTED_VALUE"""),"Male")</f>
        <v>Male</v>
      </c>
      <c r="E887" s="1" t="str">
        <f ca="1">IFERROR(__xludf.DUMMYFUNCTION("""COMPUTED_VALUE"""),"Social Media like LinkedIn")</f>
        <v>Social Media like LinkedIn</v>
      </c>
      <c r="F887" s="1" t="str">
        <f ca="1">IFERROR(__xludf.DUMMYFUNCTION("""COMPUTED_VALUE"""),"Yes, I will earn and do that")</f>
        <v>Yes, I will earn and do that</v>
      </c>
      <c r="G887" s="1" t="str">
        <f ca="1">IFERROR(__xludf.DUMMYFUNCTION("""COMPUTED_VALUE"""),"This will be hard to do, but if it is the right company I would try")</f>
        <v>This will be hard to do, but if it is the right company I would try</v>
      </c>
      <c r="H887" s="1" t="str">
        <f ca="1">IFERROR(__xludf.DUMMYFUNCTION("""COMPUTED_VALUE"""),"No")</f>
        <v>No</v>
      </c>
      <c r="I887" s="1" t="str">
        <f ca="1">IFERROR(__xludf.DUMMYFUNCTION("""COMPUTED_VALUE"""),"Will work for them")</f>
        <v>Will work for them</v>
      </c>
      <c r="J887" s="1">
        <f ca="1">IFERROR(__xludf.DUMMYFUNCTION("""COMPUTED_VALUE"""),5)</f>
        <v>5</v>
      </c>
      <c r="K887" s="1" t="str">
        <f ca="1">IFERROR(__xludf.DUMMYFUNCTION("""COMPUTED_VALUE"""),"Fully Remote with Options to travel as and when needed")</f>
        <v>Fully Remote with Options to travel as and when needed</v>
      </c>
      <c r="L8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87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887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887" s="1" t="str">
        <f ca="1">IFERROR(__xludf.DUMMYFUNCTION("""COMPUTED_VALUE"""),"Manager who explains what is expected, sets a goal and helps achieve it")</f>
        <v>Manager who explains what is expected, sets a goal and helps achieve it</v>
      </c>
      <c r="P887" s="1" t="str">
        <f ca="1">IFERROR(__xludf.DUMMYFUNCTION("""COMPUTED_VALUE"""),"Work with 2 to 3 people in my team, Work with more than 10 people in my team")</f>
        <v>Work with 2 to 3 people in my team, Work with more than 10 people in my team</v>
      </c>
      <c r="Q887" s="1" t="str">
        <f ca="1">IFERROR(__xludf.DUMMYFUNCTION("""COMPUTED_VALUE"""),"Yes, I Understand this is gonna happen everywhere")</f>
        <v>Yes, I Understand this is gonna happen everywhere</v>
      </c>
      <c r="R887" s="1" t="str">
        <f ca="1">IFERROR(__xludf.DUMMYFUNCTION("""COMPUTED_VALUE"""),"This will be hard to do, but if it is the right company I would try")</f>
        <v>This will be hard to do, but if it is the right company I would try</v>
      </c>
      <c r="S887" s="1"/>
    </row>
    <row r="888" spans="1:19" ht="12.5" x14ac:dyDescent="0.25">
      <c r="A888" s="2">
        <f ca="1">IFERROR(__xludf.DUMMYFUNCTION("""COMPUTED_VALUE"""),45024.0536983796)</f>
        <v>45024.053698379597</v>
      </c>
      <c r="B888" s="1" t="str">
        <f ca="1">IFERROR(__xludf.DUMMYFUNCTION("""COMPUTED_VALUE"""),"India")</f>
        <v>India</v>
      </c>
      <c r="C888" s="1">
        <f ca="1">IFERROR(__xludf.DUMMYFUNCTION("""COMPUTED_VALUE"""),201309)</f>
        <v>201309</v>
      </c>
      <c r="D888" s="1" t="str">
        <f ca="1">IFERROR(__xludf.DUMMYFUNCTION("""COMPUTED_VALUE"""),"Male")</f>
        <v>Male</v>
      </c>
      <c r="E888" s="1" t="str">
        <f ca="1">IFERROR(__xludf.DUMMYFUNCTION("""COMPUTED_VALUE"""),"Social Media like LinkedIn")</f>
        <v>Social Media like LinkedIn</v>
      </c>
      <c r="F888" s="1" t="str">
        <f ca="1">IFERROR(__xludf.DUMMYFUNCTION("""COMPUTED_VALUE"""),"No I would not be pursuing Higher Education outside of India")</f>
        <v>No I would not be pursuing Higher Education outside of India</v>
      </c>
      <c r="G888" s="1" t="str">
        <f ca="1">IFERROR(__xludf.DUMMYFUNCTION("""COMPUTED_VALUE"""),"Will work for 3 years or more")</f>
        <v>Will work for 3 years or more</v>
      </c>
      <c r="H888" s="1" t="str">
        <f ca="1">IFERROR(__xludf.DUMMYFUNCTION("""COMPUTED_VALUE"""),"No")</f>
        <v>No</v>
      </c>
      <c r="I888" s="1" t="str">
        <f ca="1">IFERROR(__xludf.DUMMYFUNCTION("""COMPUTED_VALUE"""),"Will NOT work for them")</f>
        <v>Will NOT work for them</v>
      </c>
      <c r="J888" s="1">
        <f ca="1">IFERROR(__xludf.DUMMYFUNCTION("""COMPUTED_VALUE"""),4)</f>
        <v>4</v>
      </c>
      <c r="K888" s="1" t="str">
        <f ca="1">IFERROR(__xludf.DUMMYFUNCTION("""COMPUTED_VALUE"""),"Fully Remote with Options to travel as and when needed")</f>
        <v>Fully Remote with Options to travel as and when needed</v>
      </c>
      <c r="L888" s="1" t="str">
        <f ca="1">IFERROR(__xludf.DUMMYFUNCTION("""COMPUTED_VALUE"""),"Employer who appreciates learning and enables that environment")</f>
        <v>Employer who appreciates learning and enables that environment</v>
      </c>
      <c r="M88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88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888" s="1" t="str">
        <f ca="1">IFERROR(__xludf.DUMMYFUNCTION("""COMPUTED_VALUE"""),"Manager who clearly describes what she/he needs")</f>
        <v>Manager who clearly describes what she/he needs</v>
      </c>
      <c r="P888" s="1" t="str">
        <f ca="1">IFERROR(__xludf.DUMMYFUNCTION("""COMPUTED_VALUE"""),"Work with 5 to 6 people in my team")</f>
        <v>Work with 5 to 6 people in my team</v>
      </c>
      <c r="Q888" s="1" t="str">
        <f ca="1">IFERROR(__xludf.DUMMYFUNCTION("""COMPUTED_VALUE"""),"Yes, I Understand this is gonna happen everywhere")</f>
        <v>Yes, I Understand this is gonna happen everywhere</v>
      </c>
      <c r="R888" s="1" t="str">
        <f ca="1">IFERROR(__xludf.DUMMYFUNCTION("""COMPUTED_VALUE"""),"This will be hard to do, but if it is the right company I would try")</f>
        <v>This will be hard to do, but if it is the right company I would try</v>
      </c>
      <c r="S888" s="1"/>
    </row>
    <row r="889" spans="1:19" ht="12.5" x14ac:dyDescent="0.25">
      <c r="A889" s="2">
        <f ca="1">IFERROR(__xludf.DUMMYFUNCTION("""COMPUTED_VALUE"""),45024.061912118)</f>
        <v>45024.061912117999</v>
      </c>
      <c r="B889" s="1" t="str">
        <f ca="1">IFERROR(__xludf.DUMMYFUNCTION("""COMPUTED_VALUE"""),"India")</f>
        <v>India</v>
      </c>
      <c r="C889" s="1">
        <f ca="1">IFERROR(__xludf.DUMMYFUNCTION("""COMPUTED_VALUE"""),482020)</f>
        <v>482020</v>
      </c>
      <c r="D889" s="1" t="str">
        <f ca="1">IFERROR(__xludf.DUMMYFUNCTION("""COMPUTED_VALUE"""),"Male")</f>
        <v>Male</v>
      </c>
      <c r="E889" s="1" t="str">
        <f ca="1">IFERROR(__xludf.DUMMYFUNCTION("""COMPUTED_VALUE"""),"People who have changed the world for better")</f>
        <v>People who have changed the world for better</v>
      </c>
      <c r="F889" s="1" t="str">
        <f ca="1">IFERROR(__xludf.DUMMYFUNCTION("""COMPUTED_VALUE"""),"Yes, I will earn and do that")</f>
        <v>Yes, I will earn and do that</v>
      </c>
      <c r="G889" s="1" t="str">
        <f ca="1">IFERROR(__xludf.DUMMYFUNCTION("""COMPUTED_VALUE"""),"This will be hard to do, but if it is the right company I would try")</f>
        <v>This will be hard to do, but if it is the right company I would try</v>
      </c>
      <c r="H889" s="1" t="str">
        <f ca="1">IFERROR(__xludf.DUMMYFUNCTION("""COMPUTED_VALUE"""),"No")</f>
        <v>No</v>
      </c>
      <c r="I889" s="1" t="str">
        <f ca="1">IFERROR(__xludf.DUMMYFUNCTION("""COMPUTED_VALUE"""),"Will NOT work for them")</f>
        <v>Will NOT work for them</v>
      </c>
      <c r="J889" s="1">
        <f ca="1">IFERROR(__xludf.DUMMYFUNCTION("""COMPUTED_VALUE"""),7)</f>
        <v>7</v>
      </c>
      <c r="K889" s="1" t="str">
        <f ca="1">IFERROR(__xludf.DUMMYFUNCTION("""COMPUTED_VALUE"""),"Every Day Office Environment")</f>
        <v>Every Day Office Environment</v>
      </c>
      <c r="L8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8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889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889" s="1" t="str">
        <f ca="1">IFERROR(__xludf.DUMMYFUNCTION("""COMPUTED_VALUE"""),"Manager who explains what is expected, sets a goal and helps achieve it")</f>
        <v>Manager who explains what is expected, sets a goal and helps achieve it</v>
      </c>
      <c r="P889" s="1" t="str">
        <f ca="1">IFERROR(__xludf.DUMMYFUNCTION("""COMPUTED_VALUE"""),"Work with more than 10 people in my team")</f>
        <v>Work with more than 10 people in my team</v>
      </c>
      <c r="Q889" s="1" t="str">
        <f ca="1">IFERROR(__xludf.DUMMYFUNCTION("""COMPUTED_VALUE"""),"Yes, I Understand this is gonna happen everywhere")</f>
        <v>Yes, I Understand this is gonna happen everywhere</v>
      </c>
      <c r="R889" s="1" t="str">
        <f ca="1">IFERROR(__xludf.DUMMYFUNCTION("""COMPUTED_VALUE"""),"This will be hard to do, but if it is the right company I would try")</f>
        <v>This will be hard to do, but if it is the right company I would try</v>
      </c>
      <c r="S889" s="1"/>
    </row>
    <row r="890" spans="1:19" ht="12.5" x14ac:dyDescent="0.25">
      <c r="A890" s="2">
        <f ca="1">IFERROR(__xludf.DUMMYFUNCTION("""COMPUTED_VALUE"""),45024.0718619791)</f>
        <v>45024.071861979101</v>
      </c>
      <c r="B890" s="1" t="str">
        <f ca="1">IFERROR(__xludf.DUMMYFUNCTION("""COMPUTED_VALUE"""),"India")</f>
        <v>India</v>
      </c>
      <c r="C890" s="1">
        <f ca="1">IFERROR(__xludf.DUMMYFUNCTION("""COMPUTED_VALUE"""),500056)</f>
        <v>500056</v>
      </c>
      <c r="D890" s="1" t="str">
        <f ca="1">IFERROR(__xludf.DUMMYFUNCTION("""COMPUTED_VALUE"""),"Female")</f>
        <v>Female</v>
      </c>
      <c r="E890" s="1" t="str">
        <f ca="1">IFERROR(__xludf.DUMMYFUNCTION("""COMPUTED_VALUE"""),"Influencers who had successful careers")</f>
        <v>Influencers who had successful careers</v>
      </c>
      <c r="F890" s="1" t="str">
        <f ca="1">IFERROR(__xludf.DUMMYFUNCTION("""COMPUTED_VALUE"""),"No I would not be pursuing Higher Education outside of India")</f>
        <v>No I would not be pursuing Higher Education outside of India</v>
      </c>
      <c r="G890" s="1" t="str">
        <f ca="1">IFERROR(__xludf.DUMMYFUNCTION("""COMPUTED_VALUE"""),"Will work for 3 years or more")</f>
        <v>Will work for 3 years or more</v>
      </c>
      <c r="H890" s="1" t="str">
        <f ca="1">IFERROR(__xludf.DUMMYFUNCTION("""COMPUTED_VALUE"""),"Yes")</f>
        <v>Yes</v>
      </c>
      <c r="I890" s="1" t="str">
        <f ca="1">IFERROR(__xludf.DUMMYFUNCTION("""COMPUTED_VALUE"""),"Will work for them")</f>
        <v>Will work for them</v>
      </c>
      <c r="J890" s="1">
        <f ca="1">IFERROR(__xludf.DUMMYFUNCTION("""COMPUTED_VALUE"""),5)</f>
        <v>5</v>
      </c>
      <c r="K890" s="1" t="str">
        <f ca="1">IFERROR(__xludf.DUMMYFUNCTION("""COMPUTED_VALUE"""),"Fully Remote with Options to travel as and when needed")</f>
        <v>Fully Remote with Options to travel as and when needed</v>
      </c>
      <c r="L890" s="1" t="str">
        <f ca="1">IFERROR(__xludf.DUMMYFUNCTION("""COMPUTED_VALUE"""),"Employer who rewards learning and enables that environment")</f>
        <v>Employer who rewards learning and enables that environment</v>
      </c>
      <c r="M89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90" s="1" t="str">
        <f ca="1">IFERROR(__xludf.DUMMYFUNCTION("""COMPUTED_VALUE"""),"Design and Creative strategy in any company, Look deeply into Data and generate insights, Work as a freelancer and do my thing my way, An Artificial Intelligence Specialist / Talking to Robots")</f>
        <v>Design and Creative strategy in any company, Look deeply into Data and generate insights, Work as a freelancer and do my thing my way, An Artificial Intelligence Specialist / Talking to Robots</v>
      </c>
      <c r="O890" s="1" t="str">
        <f ca="1">IFERROR(__xludf.DUMMYFUNCTION("""COMPUTED_VALUE"""),"Manager who clearly describes what she/he needs")</f>
        <v>Manager who clearly describes what she/he needs</v>
      </c>
      <c r="P890" s="1" t="str">
        <f ca="1">IFERROR(__xludf.DUMMYFUNCTION("""COMPUTED_VALUE"""),"Work with 5 to 6 people in my team")</f>
        <v>Work with 5 to 6 people in my team</v>
      </c>
      <c r="Q890" s="1" t="str">
        <f ca="1">IFERROR(__xludf.DUMMYFUNCTION("""COMPUTED_VALUE"""),"Yes, I Understand this is gonna happen everywhere")</f>
        <v>Yes, I Understand this is gonna happen everywhere</v>
      </c>
      <c r="R890" s="1" t="str">
        <f ca="1">IFERROR(__xludf.DUMMYFUNCTION("""COMPUTED_VALUE"""),"This will be hard to do, but if it is the right company I would try")</f>
        <v>This will be hard to do, but if it is the right company I would try</v>
      </c>
      <c r="S890" s="1"/>
    </row>
    <row r="891" spans="1:19" ht="12.5" x14ac:dyDescent="0.25">
      <c r="A891" s="2">
        <f ca="1">IFERROR(__xludf.DUMMYFUNCTION("""COMPUTED_VALUE"""),45024.0856366435)</f>
        <v>45024.085636643496</v>
      </c>
      <c r="B891" s="1" t="str">
        <f ca="1">IFERROR(__xludf.DUMMYFUNCTION("""COMPUTED_VALUE"""),"United Arab Emirates")</f>
        <v>United Arab Emirates</v>
      </c>
      <c r="C891" s="1" t="str">
        <f ca="1">IFERROR(__xludf.DUMMYFUNCTION("""COMPUTED_VALUE"""),"00000")</f>
        <v>00000</v>
      </c>
      <c r="D891" s="1" t="str">
        <f ca="1">IFERROR(__xludf.DUMMYFUNCTION("""COMPUTED_VALUE"""),"Male")</f>
        <v>Male</v>
      </c>
      <c r="E891" s="1" t="str">
        <f ca="1">IFERROR(__xludf.DUMMYFUNCTION("""COMPUTED_VALUE"""),"My Parents")</f>
        <v>My Parents</v>
      </c>
      <c r="F891" s="1" t="str">
        <f ca="1">IFERROR(__xludf.DUMMYFUNCTION("""COMPUTED_VALUE"""),"No I would not be pursuing Higher Education outside of India")</f>
        <v>No I would not be pursuing Higher Education outside of India</v>
      </c>
      <c r="G891" s="1" t="str">
        <f ca="1">IFERROR(__xludf.DUMMYFUNCTION("""COMPUTED_VALUE"""),"This will be hard to do, but if it is the right company I would try")</f>
        <v>This will be hard to do, but if it is the right company I would try</v>
      </c>
      <c r="H891" s="1" t="str">
        <f ca="1">IFERROR(__xludf.DUMMYFUNCTION("""COMPUTED_VALUE"""),"No")</f>
        <v>No</v>
      </c>
      <c r="I891" s="1" t="str">
        <f ca="1">IFERROR(__xludf.DUMMYFUNCTION("""COMPUTED_VALUE"""),"Will NOT work for them")</f>
        <v>Will NOT work for them</v>
      </c>
      <c r="J891" s="1">
        <f ca="1">IFERROR(__xludf.DUMMYFUNCTION("""COMPUTED_VALUE"""),3)</f>
        <v>3</v>
      </c>
      <c r="K891" s="1" t="str">
        <f ca="1">IFERROR(__xludf.DUMMYFUNCTION("""COMPUTED_VALUE"""),"Fully Remote with Options to travel as and when needed")</f>
        <v>Fully Remote with Options to travel as and when needed</v>
      </c>
      <c r="L8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9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91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891" s="1" t="str">
        <f ca="1">IFERROR(__xludf.DUMMYFUNCTION("""COMPUTED_VALUE"""),"Manager who clearly describes what she/he needs")</f>
        <v>Manager who clearly describes what she/he needs</v>
      </c>
      <c r="P891" s="1" t="str">
        <f ca="1">IFERROR(__xludf.DUMMYFUNCTION("""COMPUTED_VALUE"""),"Work with 5 to 6 people in my team")</f>
        <v>Work with 5 to 6 people in my team</v>
      </c>
      <c r="Q891" s="1" t="str">
        <f ca="1">IFERROR(__xludf.DUMMYFUNCTION("""COMPUTED_VALUE"""),"Yes")</f>
        <v>Yes</v>
      </c>
      <c r="R891" s="1" t="str">
        <f ca="1">IFERROR(__xludf.DUMMYFUNCTION("""COMPUTED_VALUE"""),"No way")</f>
        <v>No way</v>
      </c>
      <c r="S891" s="1"/>
    </row>
    <row r="892" spans="1:19" ht="12.5" x14ac:dyDescent="0.25">
      <c r="A892" s="2">
        <f ca="1">IFERROR(__xludf.DUMMYFUNCTION("""COMPUTED_VALUE"""),45024.1452823148)</f>
        <v>45024.145282314799</v>
      </c>
      <c r="B892" s="1" t="str">
        <f ca="1">IFERROR(__xludf.DUMMYFUNCTION("""COMPUTED_VALUE"""),"India")</f>
        <v>India</v>
      </c>
      <c r="C892" s="1">
        <f ca="1">IFERROR(__xludf.DUMMYFUNCTION("""COMPUTED_VALUE"""),560029)</f>
        <v>560029</v>
      </c>
      <c r="D892" s="1" t="str">
        <f ca="1">IFERROR(__xludf.DUMMYFUNCTION("""COMPUTED_VALUE"""),"Male")</f>
        <v>Male</v>
      </c>
      <c r="E892" s="1" t="str">
        <f ca="1">IFERROR(__xludf.DUMMYFUNCTION("""COMPUTED_VALUE"""),"People from my circle, but not family members")</f>
        <v>People from my circle, but not family members</v>
      </c>
      <c r="F892" s="1" t="str">
        <f ca="1">IFERROR(__xludf.DUMMYFUNCTION("""COMPUTED_VALUE"""),"No I would not be pursuing Higher Education outside of India")</f>
        <v>No I would not be pursuing Higher Education outside of India</v>
      </c>
      <c r="G892" s="1" t="str">
        <f ca="1">IFERROR(__xludf.DUMMYFUNCTION("""COMPUTED_VALUE"""),"Will work for 3 years or more")</f>
        <v>Will work for 3 years or more</v>
      </c>
      <c r="H892" s="1" t="str">
        <f ca="1">IFERROR(__xludf.DUMMYFUNCTION("""COMPUTED_VALUE"""),"Yes")</f>
        <v>Yes</v>
      </c>
      <c r="I892" s="1" t="str">
        <f ca="1">IFERROR(__xludf.DUMMYFUNCTION("""COMPUTED_VALUE"""),"Will NOT work for them")</f>
        <v>Will NOT work for them</v>
      </c>
      <c r="J892" s="1">
        <f ca="1">IFERROR(__xludf.DUMMYFUNCTION("""COMPUTED_VALUE"""),5)</f>
        <v>5</v>
      </c>
      <c r="K892" s="1" t="str">
        <f ca="1">IFERROR(__xludf.DUMMYFUNCTION("""COMPUTED_VALUE"""),"Fully Remote with Options to travel as and when needed")</f>
        <v>Fully Remote with Options to travel as and when needed</v>
      </c>
      <c r="L892" s="1" t="str">
        <f ca="1">IFERROR(__xludf.DUMMYFUNCTION("""COMPUTED_VALUE"""),"Employer who rewards learning and enables that environment")</f>
        <v>Employer who rewards learning and enables that environment</v>
      </c>
      <c r="M89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892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892" s="1" t="str">
        <f ca="1">IFERROR(__xludf.DUMMYFUNCTION("""COMPUTED_VALUE"""),"Manager who explains what is expected, sets a goal and helps achieve it")</f>
        <v>Manager who explains what is expected, sets a goal and helps achieve it</v>
      </c>
      <c r="P892" s="1" t="str">
        <f ca="1">IFERROR(__xludf.DUMMYFUNCTION("""COMPUTED_VALUE"""),"Work with 2 to 3 people in my team, Work with 5 to 6 people in my team")</f>
        <v>Work with 2 to 3 people in my team, Work with 5 to 6 people in my team</v>
      </c>
      <c r="Q892" s="1" t="str">
        <f ca="1">IFERROR(__xludf.DUMMYFUNCTION("""COMPUTED_VALUE"""),"No")</f>
        <v>No</v>
      </c>
      <c r="R892" s="1" t="str">
        <f ca="1">IFERROR(__xludf.DUMMYFUNCTION("""COMPUTED_VALUE"""),"This will be hard to do, but if it is the right company I would try")</f>
        <v>This will be hard to do, but if it is the right company I would try</v>
      </c>
      <c r="S892" s="1"/>
    </row>
    <row r="893" spans="1:19" ht="12.5" x14ac:dyDescent="0.25">
      <c r="A893" s="2">
        <f ca="1">IFERROR(__xludf.DUMMYFUNCTION("""COMPUTED_VALUE"""),45024.1788948495)</f>
        <v>45024.178894849501</v>
      </c>
      <c r="B893" s="1" t="str">
        <f ca="1">IFERROR(__xludf.DUMMYFUNCTION("""COMPUTED_VALUE"""),"India")</f>
        <v>India</v>
      </c>
      <c r="C893" s="1">
        <f ca="1">IFERROR(__xludf.DUMMYFUNCTION("""COMPUTED_VALUE"""),400601)</f>
        <v>400601</v>
      </c>
      <c r="D893" s="1" t="str">
        <f ca="1">IFERROR(__xludf.DUMMYFUNCTION("""COMPUTED_VALUE"""),"Male")</f>
        <v>Male</v>
      </c>
      <c r="E893" s="1" t="str">
        <f ca="1">IFERROR(__xludf.DUMMYFUNCTION("""COMPUTED_VALUE"""),"People who have changed the world for better")</f>
        <v>People who have changed the world for better</v>
      </c>
      <c r="F893" s="1" t="str">
        <f ca="1">IFERROR(__xludf.DUMMYFUNCTION("""COMPUTED_VALUE"""),"No, But if someone could bare the cost I will")</f>
        <v>No, But if someone could bare the cost I will</v>
      </c>
      <c r="G893" s="1" t="str">
        <f ca="1">IFERROR(__xludf.DUMMYFUNCTION("""COMPUTED_VALUE"""),"This will be hard to do, but if it is the right company I would try")</f>
        <v>This will be hard to do, but if it is the right company I would try</v>
      </c>
      <c r="H893" s="1" t="str">
        <f ca="1">IFERROR(__xludf.DUMMYFUNCTION("""COMPUTED_VALUE"""),"No")</f>
        <v>No</v>
      </c>
      <c r="I893" s="1" t="str">
        <f ca="1">IFERROR(__xludf.DUMMYFUNCTION("""COMPUTED_VALUE"""),"Will NOT work for them")</f>
        <v>Will NOT work for them</v>
      </c>
      <c r="J893" s="1">
        <f ca="1">IFERROR(__xludf.DUMMYFUNCTION("""COMPUTED_VALUE"""),8)</f>
        <v>8</v>
      </c>
      <c r="K893" s="1" t="str">
        <f ca="1">IFERROR(__xludf.DUMMYFUNCTION("""COMPUTED_VALUE"""),"Hybrid Working Environment with more than 15 days a month at office")</f>
        <v>Hybrid Working Environment with more than 15 days a month at office</v>
      </c>
      <c r="L8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9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93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893" s="1" t="str">
        <f ca="1">IFERROR(__xludf.DUMMYFUNCTION("""COMPUTED_VALUE"""),"Manager who sets goal and helps me achieve it")</f>
        <v>Manager who sets goal and helps me achieve it</v>
      </c>
      <c r="P893" s="1" t="str">
        <f ca="1">IFERROR(__xludf.DUMMYFUNCTION("""COMPUTED_VALUE"""),"Work with 5 to 6 people in my team")</f>
        <v>Work with 5 to 6 people in my team</v>
      </c>
      <c r="Q893" s="1" t="str">
        <f ca="1">IFERROR(__xludf.DUMMYFUNCTION("""COMPUTED_VALUE"""),"Yes, I Understand this is gonna happen everywhere")</f>
        <v>Yes, I Understand this is gonna happen everywhere</v>
      </c>
      <c r="R893" s="1" t="str">
        <f ca="1">IFERROR(__xludf.DUMMYFUNCTION("""COMPUTED_VALUE"""),"This will be hard to do, but if it is the right company I would try")</f>
        <v>This will be hard to do, but if it is the right company I would try</v>
      </c>
      <c r="S893" s="1"/>
    </row>
    <row r="894" spans="1:19" ht="12.5" x14ac:dyDescent="0.25">
      <c r="A894" s="2">
        <f ca="1">IFERROR(__xludf.DUMMYFUNCTION("""COMPUTED_VALUE"""),45024.2727198379)</f>
        <v>45024.2727198379</v>
      </c>
      <c r="B894" s="1" t="str">
        <f ca="1">IFERROR(__xludf.DUMMYFUNCTION("""COMPUTED_VALUE"""),"India")</f>
        <v>India</v>
      </c>
      <c r="C894" s="1">
        <f ca="1">IFERROR(__xludf.DUMMYFUNCTION("""COMPUTED_VALUE"""),560004)</f>
        <v>560004</v>
      </c>
      <c r="D894" s="1" t="str">
        <f ca="1">IFERROR(__xludf.DUMMYFUNCTION("""COMPUTED_VALUE"""),"Female")</f>
        <v>Female</v>
      </c>
      <c r="E894" s="1" t="str">
        <f ca="1">IFERROR(__xludf.DUMMYFUNCTION("""COMPUTED_VALUE"""),"My Parents")</f>
        <v>My Parents</v>
      </c>
      <c r="F894" s="1" t="str">
        <f ca="1">IFERROR(__xludf.DUMMYFUNCTION("""COMPUTED_VALUE"""),"Yes, I will earn and do that")</f>
        <v>Yes, I will earn and do that</v>
      </c>
      <c r="G894" s="1" t="str">
        <f ca="1">IFERROR(__xludf.DUMMYFUNCTION("""COMPUTED_VALUE"""),"No way")</f>
        <v>No way</v>
      </c>
      <c r="H894" s="1" t="str">
        <f ca="1">IFERROR(__xludf.DUMMYFUNCTION("""COMPUTED_VALUE"""),"Yes")</f>
        <v>Yes</v>
      </c>
      <c r="I894" s="1" t="str">
        <f ca="1">IFERROR(__xludf.DUMMYFUNCTION("""COMPUTED_VALUE"""),"Will NOT work for them")</f>
        <v>Will NOT work for them</v>
      </c>
      <c r="J894" s="1">
        <f ca="1">IFERROR(__xludf.DUMMYFUNCTION("""COMPUTED_VALUE"""),3)</f>
        <v>3</v>
      </c>
      <c r="K894" s="1" t="str">
        <f ca="1">IFERROR(__xludf.DUMMYFUNCTION("""COMPUTED_VALUE"""),"Hybrid Working Environment with more than 15 days a month at office")</f>
        <v>Hybrid Working Environment with more than 15 days a month at office</v>
      </c>
      <c r="L8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94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894" s="1" t="str">
        <f ca="1">IFERROR(__xludf.DUMMYFUNCTION("""COMPUTED_VALUE"""),"Design and Creative strategy in any company, Manage and drive End-to-End Projects or Products, Become a content Creator in some platform, Entrepreneur or Start Up")</f>
        <v>Design and Creative strategy in any company, Manage and drive End-to-End Projects or Products, Become a content Creator in some platform, Entrepreneur or Start Up</v>
      </c>
      <c r="O894" s="1" t="str">
        <f ca="1">IFERROR(__xludf.DUMMYFUNCTION("""COMPUTED_VALUE"""),"Manager who sets goal and helps me achieve it")</f>
        <v>Manager who sets goal and helps me achieve it</v>
      </c>
      <c r="P894" s="1" t="str">
        <f ca="1">IFERROR(__xludf.DUMMYFUNCTION("""COMPUTED_VALUE"""),"Work with 5 to 6 people in my team")</f>
        <v>Work with 5 to 6 people in my team</v>
      </c>
      <c r="Q894" s="1" t="str">
        <f ca="1">IFERROR(__xludf.DUMMYFUNCTION("""COMPUTED_VALUE"""),"No")</f>
        <v>No</v>
      </c>
      <c r="R894" s="1" t="str">
        <f ca="1">IFERROR(__xludf.DUMMYFUNCTION("""COMPUTED_VALUE"""),"No way")</f>
        <v>No way</v>
      </c>
      <c r="S894" s="1"/>
    </row>
    <row r="895" spans="1:19" ht="12.5" x14ac:dyDescent="0.25">
      <c r="A895" s="2">
        <f ca="1">IFERROR(__xludf.DUMMYFUNCTION("""COMPUTED_VALUE"""),45024.2764730324)</f>
        <v>45024.276473032398</v>
      </c>
      <c r="B895" s="1" t="str">
        <f ca="1">IFERROR(__xludf.DUMMYFUNCTION("""COMPUTED_VALUE"""),"India")</f>
        <v>India</v>
      </c>
      <c r="C895" s="1">
        <f ca="1">IFERROR(__xludf.DUMMYFUNCTION("""COMPUTED_VALUE"""),781013)</f>
        <v>781013</v>
      </c>
      <c r="D895" s="1" t="str">
        <f ca="1">IFERROR(__xludf.DUMMYFUNCTION("""COMPUTED_VALUE"""),"Male")</f>
        <v>Male</v>
      </c>
      <c r="E895" s="1" t="str">
        <f ca="1">IFERROR(__xludf.DUMMYFUNCTION("""COMPUTED_VALUE"""),"Social Media like LinkedIn")</f>
        <v>Social Media like LinkedIn</v>
      </c>
      <c r="F895" s="1" t="str">
        <f ca="1">IFERROR(__xludf.DUMMYFUNCTION("""COMPUTED_VALUE"""),"Yes, I will earn and do that")</f>
        <v>Yes, I will earn and do that</v>
      </c>
      <c r="G895" s="1" t="str">
        <f ca="1">IFERROR(__xludf.DUMMYFUNCTION("""COMPUTED_VALUE"""),"Will work for 3 years or more")</f>
        <v>Will work for 3 years or more</v>
      </c>
      <c r="H895" s="1" t="str">
        <f ca="1">IFERROR(__xludf.DUMMYFUNCTION("""COMPUTED_VALUE"""),"Yes")</f>
        <v>Yes</v>
      </c>
      <c r="I895" s="1" t="str">
        <f ca="1">IFERROR(__xludf.DUMMYFUNCTION("""COMPUTED_VALUE"""),"Will work for them")</f>
        <v>Will work for them</v>
      </c>
      <c r="J895" s="1">
        <f ca="1">IFERROR(__xludf.DUMMYFUNCTION("""COMPUTED_VALUE"""),3)</f>
        <v>3</v>
      </c>
      <c r="K895" s="1" t="str">
        <f ca="1">IFERROR(__xludf.DUMMYFUNCTION("""COMPUTED_VALUE"""),"Hybrid Working Environment with less than 3 days a month at office")</f>
        <v>Hybrid Working Environment with less than 3 days a month at office</v>
      </c>
      <c r="L895" s="1" t="str">
        <f ca="1">IFERROR(__xludf.DUMMYFUNCTION("""COMPUTED_VALUE"""),"Employer who appreciates learning and enables that environment")</f>
        <v>Employer who appreciates learning and enables that environment</v>
      </c>
      <c r="M89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895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895" s="1" t="str">
        <f ca="1">IFERROR(__xludf.DUMMYFUNCTION("""COMPUTED_VALUE"""),"Manager who sets targets and expects me to achieve it")</f>
        <v>Manager who sets targets and expects me to achieve it</v>
      </c>
      <c r="P895" s="1" t="str">
        <f ca="1">IFERROR(__xludf.DUMMYFUNCTION("""COMPUTED_VALUE"""),"Work with 2 to 3 people in my team")</f>
        <v>Work with 2 to 3 people in my team</v>
      </c>
      <c r="Q895" s="1" t="str">
        <f ca="1">IFERROR(__xludf.DUMMYFUNCTION("""COMPUTED_VALUE"""),"Yes")</f>
        <v>Yes</v>
      </c>
      <c r="R895" s="1" t="str">
        <f ca="1">IFERROR(__xludf.DUMMYFUNCTION("""COMPUTED_VALUE"""),"Will work for 7 years or more")</f>
        <v>Will work for 7 years or more</v>
      </c>
      <c r="S895" s="1"/>
    </row>
    <row r="896" spans="1:19" ht="12.5" x14ac:dyDescent="0.25">
      <c r="A896" s="2">
        <f ca="1">IFERROR(__xludf.DUMMYFUNCTION("""COMPUTED_VALUE"""),45024.2828740162)</f>
        <v>45024.2828740162</v>
      </c>
      <c r="B896" s="1" t="str">
        <f ca="1">IFERROR(__xludf.DUMMYFUNCTION("""COMPUTED_VALUE"""),"India")</f>
        <v>India</v>
      </c>
      <c r="C896" s="1">
        <f ca="1">IFERROR(__xludf.DUMMYFUNCTION("""COMPUTED_VALUE"""),400029)</f>
        <v>400029</v>
      </c>
      <c r="D896" s="1" t="str">
        <f ca="1">IFERROR(__xludf.DUMMYFUNCTION("""COMPUTED_VALUE"""),"Female")</f>
        <v>Female</v>
      </c>
      <c r="E896" s="1" t="str">
        <f ca="1">IFERROR(__xludf.DUMMYFUNCTION("""COMPUTED_VALUE"""),"People who have changed the world for better")</f>
        <v>People who have changed the world for better</v>
      </c>
      <c r="F896" s="1" t="str">
        <f ca="1">IFERROR(__xludf.DUMMYFUNCTION("""COMPUTED_VALUE"""),"Yes, I will earn and do that")</f>
        <v>Yes, I will earn and do that</v>
      </c>
      <c r="G896" s="1" t="str">
        <f ca="1">IFERROR(__xludf.DUMMYFUNCTION("""COMPUTED_VALUE"""),"Will work for 3 years or more")</f>
        <v>Will work for 3 years or more</v>
      </c>
      <c r="H896" s="1" t="str">
        <f ca="1">IFERROR(__xludf.DUMMYFUNCTION("""COMPUTED_VALUE"""),"No")</f>
        <v>No</v>
      </c>
      <c r="I896" s="1" t="str">
        <f ca="1">IFERROR(__xludf.DUMMYFUNCTION("""COMPUTED_VALUE"""),"Will NOT work for them")</f>
        <v>Will NOT work for them</v>
      </c>
      <c r="J896" s="1">
        <f ca="1">IFERROR(__xludf.DUMMYFUNCTION("""COMPUTED_VALUE"""),5)</f>
        <v>5</v>
      </c>
      <c r="K896" s="1" t="str">
        <f ca="1">IFERROR(__xludf.DUMMYFUNCTION("""COMPUTED_VALUE"""),"Fully Remote with Options to travel as and when needed")</f>
        <v>Fully Remote with Options to travel as and when needed</v>
      </c>
      <c r="L896" s="1" t="str">
        <f ca="1">IFERROR(__xludf.DUMMYFUNCTION("""COMPUTED_VALUE"""),"Employer who rewards learning and enables that environment")</f>
        <v>Employer who rewards learning and enables that environment</v>
      </c>
      <c r="M89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896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896" s="1" t="str">
        <f ca="1">IFERROR(__xludf.DUMMYFUNCTION("""COMPUTED_VALUE"""),"Manager who explains what is expected, sets a goal and helps achieve it")</f>
        <v>Manager who explains what is expected, sets a goal and helps achieve it</v>
      </c>
      <c r="P896" s="1" t="str">
        <f ca="1">IFERROR(__xludf.DUMMYFUNCTION("""COMPUTED_VALUE"""),"Work with 5 to 6 people in my team")</f>
        <v>Work with 5 to 6 people in my team</v>
      </c>
      <c r="Q896" s="1" t="str">
        <f ca="1">IFERROR(__xludf.DUMMYFUNCTION("""COMPUTED_VALUE"""),"Yes, I Understand this is gonna happen everywhere")</f>
        <v>Yes, I Understand this is gonna happen everywhere</v>
      </c>
      <c r="R896" s="1" t="str">
        <f ca="1">IFERROR(__xludf.DUMMYFUNCTION("""COMPUTED_VALUE"""),"Will work for 7 years or more")</f>
        <v>Will work for 7 years or more</v>
      </c>
      <c r="S896" s="1"/>
    </row>
    <row r="897" spans="1:19" ht="12.5" x14ac:dyDescent="0.25">
      <c r="A897" s="2">
        <f ca="1">IFERROR(__xludf.DUMMYFUNCTION("""COMPUTED_VALUE"""),45024.299249456)</f>
        <v>45024.299249456002</v>
      </c>
      <c r="B897" s="1" t="str">
        <f ca="1">IFERROR(__xludf.DUMMYFUNCTION("""COMPUTED_VALUE"""),"India")</f>
        <v>India</v>
      </c>
      <c r="C897" s="1">
        <f ca="1">IFERROR(__xludf.DUMMYFUNCTION("""COMPUTED_VALUE"""),500073)</f>
        <v>500073</v>
      </c>
      <c r="D897" s="1" t="str">
        <f ca="1">IFERROR(__xludf.DUMMYFUNCTION("""COMPUTED_VALUE"""),"Male")</f>
        <v>Male</v>
      </c>
      <c r="E897" s="1" t="str">
        <f ca="1">IFERROR(__xludf.DUMMYFUNCTION("""COMPUTED_VALUE"""),"People who have changed the world for better")</f>
        <v>People who have changed the world for better</v>
      </c>
      <c r="F897" s="1" t="str">
        <f ca="1">IFERROR(__xludf.DUMMYFUNCTION("""COMPUTED_VALUE"""),"Yes, I will earn and do that")</f>
        <v>Yes, I will earn and do that</v>
      </c>
      <c r="G897" s="1" t="str">
        <f ca="1">IFERROR(__xludf.DUMMYFUNCTION("""COMPUTED_VALUE"""),"This will be hard to do, but if it is the right company I would try")</f>
        <v>This will be hard to do, but if it is the right company I would try</v>
      </c>
      <c r="H897" s="1" t="str">
        <f ca="1">IFERROR(__xludf.DUMMYFUNCTION("""COMPUTED_VALUE"""),"No")</f>
        <v>No</v>
      </c>
      <c r="I897" s="1" t="str">
        <f ca="1">IFERROR(__xludf.DUMMYFUNCTION("""COMPUTED_VALUE"""),"Will NOT work for them")</f>
        <v>Will NOT work for them</v>
      </c>
      <c r="J897" s="1">
        <f ca="1">IFERROR(__xludf.DUMMYFUNCTION("""COMPUTED_VALUE"""),1)</f>
        <v>1</v>
      </c>
      <c r="K897" s="1" t="str">
        <f ca="1">IFERROR(__xludf.DUMMYFUNCTION("""COMPUTED_VALUE"""),"Fully Remote with Options to travel as and when needed")</f>
        <v>Fully Remote with Options to travel as and when needed</v>
      </c>
      <c r="L8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89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97" s="1" t="str">
        <f ca="1">IFERROR(__xludf.DUMMYFUNCTION("""COMPUTED_VALUE"""),"Manage and drive End-to-End Projects or Products, Build and develop a Team, Look deeply into Data and generate insights, Work as a freelancer and do my thing my way")</f>
        <v>Manage and drive End-to-End Projects or Products, Build and develop a Team, Look deeply into Data and generate insights, Work as a freelancer and do my thing my way</v>
      </c>
      <c r="O897" s="1" t="str">
        <f ca="1">IFERROR(__xludf.DUMMYFUNCTION("""COMPUTED_VALUE"""),"Manager who clearly describes what she/he needs")</f>
        <v>Manager who clearly describes what she/he needs</v>
      </c>
      <c r="P897" s="1" t="str">
        <f ca="1">IFERROR(__xludf.DUMMYFUNCTION("""COMPUTED_VALUE"""),"Work with more than 10 people in my team")</f>
        <v>Work with more than 10 people in my team</v>
      </c>
      <c r="Q897" s="1" t="str">
        <f ca="1">IFERROR(__xludf.DUMMYFUNCTION("""COMPUTED_VALUE"""),"I have NO other choice")</f>
        <v>I have NO other choice</v>
      </c>
      <c r="R897" s="1" t="str">
        <f ca="1">IFERROR(__xludf.DUMMYFUNCTION("""COMPUTED_VALUE"""),"This will be hard to do, but if it is the right company I would try")</f>
        <v>This will be hard to do, but if it is the right company I would try</v>
      </c>
      <c r="S897" s="1"/>
    </row>
    <row r="898" spans="1:19" ht="12.5" x14ac:dyDescent="0.25">
      <c r="A898" s="2">
        <f ca="1">IFERROR(__xludf.DUMMYFUNCTION("""COMPUTED_VALUE"""),45024.3123015972)</f>
        <v>45024.312301597201</v>
      </c>
      <c r="B898" s="1" t="str">
        <f ca="1">IFERROR(__xludf.DUMMYFUNCTION("""COMPUTED_VALUE"""),"India")</f>
        <v>India</v>
      </c>
      <c r="C898" s="1">
        <f ca="1">IFERROR(__xludf.DUMMYFUNCTION("""COMPUTED_VALUE"""),441601)</f>
        <v>441601</v>
      </c>
      <c r="D898" s="1" t="str">
        <f ca="1">IFERROR(__xludf.DUMMYFUNCTION("""COMPUTED_VALUE"""),"Male")</f>
        <v>Male</v>
      </c>
      <c r="E898" s="1" t="str">
        <f ca="1">IFERROR(__xludf.DUMMYFUNCTION("""COMPUTED_VALUE"""),"My Parents")</f>
        <v>My Parents</v>
      </c>
      <c r="F898" s="1" t="str">
        <f ca="1">IFERROR(__xludf.DUMMYFUNCTION("""COMPUTED_VALUE"""),"Yes, I will earn and do that")</f>
        <v>Yes, I will earn and do that</v>
      </c>
      <c r="G898" s="1" t="str">
        <f ca="1">IFERROR(__xludf.DUMMYFUNCTION("""COMPUTED_VALUE"""),"Will work for 3 years or more")</f>
        <v>Will work for 3 years or more</v>
      </c>
      <c r="H898" s="1" t="str">
        <f ca="1">IFERROR(__xludf.DUMMYFUNCTION("""COMPUTED_VALUE"""),"Yes")</f>
        <v>Yes</v>
      </c>
      <c r="I898" s="1" t="str">
        <f ca="1">IFERROR(__xludf.DUMMYFUNCTION("""COMPUTED_VALUE"""),"Will NOT work for them")</f>
        <v>Will NOT work for them</v>
      </c>
      <c r="J898" s="1">
        <f ca="1">IFERROR(__xludf.DUMMYFUNCTION("""COMPUTED_VALUE"""),9)</f>
        <v>9</v>
      </c>
      <c r="K898" s="1" t="str">
        <f ca="1">IFERROR(__xludf.DUMMYFUNCTION("""COMPUTED_VALUE"""),"Hybrid Working Environment with more than 15 days a month at office")</f>
        <v>Hybrid Working Environment with more than 15 days a month at office</v>
      </c>
      <c r="L898" s="1" t="str">
        <f ca="1">IFERROR(__xludf.DUMMYFUNCTION("""COMPUTED_VALUE"""),"Employer who appreciates learning and enables that environment")</f>
        <v>Employer who appreciates learning and enables that environment</v>
      </c>
      <c r="M89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89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898" s="1" t="str">
        <f ca="1">IFERROR(__xludf.DUMMYFUNCTION("""COMPUTED_VALUE"""),"Manager who explains what is expected, sets a goal and helps achieve it")</f>
        <v>Manager who explains what is expected, sets a goal and helps achieve it</v>
      </c>
      <c r="P898" s="1" t="str">
        <f ca="1">IFERROR(__xludf.DUMMYFUNCTION("""COMPUTED_VALUE"""),"Work with 5 to 6 people in my team")</f>
        <v>Work with 5 to 6 people in my team</v>
      </c>
      <c r="Q898" s="1" t="str">
        <f ca="1">IFERROR(__xludf.DUMMYFUNCTION("""COMPUTED_VALUE"""),"Yes, I Understand this is gonna happen everywhere")</f>
        <v>Yes, I Understand this is gonna happen everywhere</v>
      </c>
      <c r="R898" s="1" t="str">
        <f ca="1">IFERROR(__xludf.DUMMYFUNCTION("""COMPUTED_VALUE"""),"Will work for 7 years or more")</f>
        <v>Will work for 7 years or more</v>
      </c>
      <c r="S898" s="1"/>
    </row>
    <row r="899" spans="1:19" ht="12.5" x14ac:dyDescent="0.25">
      <c r="A899" s="2">
        <f ca="1">IFERROR(__xludf.DUMMYFUNCTION("""COMPUTED_VALUE"""),45024.3164196643)</f>
        <v>45024.316419664297</v>
      </c>
      <c r="B899" s="1" t="str">
        <f ca="1">IFERROR(__xludf.DUMMYFUNCTION("""COMPUTED_VALUE"""),"India")</f>
        <v>India</v>
      </c>
      <c r="C899" s="1">
        <f ca="1">IFERROR(__xludf.DUMMYFUNCTION("""COMPUTED_VALUE"""),400066)</f>
        <v>400066</v>
      </c>
      <c r="D899" s="1" t="str">
        <f ca="1">IFERROR(__xludf.DUMMYFUNCTION("""COMPUTED_VALUE"""),"Female")</f>
        <v>Female</v>
      </c>
      <c r="E899" s="1" t="str">
        <f ca="1">IFERROR(__xludf.DUMMYFUNCTION("""COMPUTED_VALUE"""),"My Parents")</f>
        <v>My Parents</v>
      </c>
      <c r="F899" s="1" t="str">
        <f ca="1">IFERROR(__xludf.DUMMYFUNCTION("""COMPUTED_VALUE"""),"Yes, I will earn and do that")</f>
        <v>Yes, I will earn and do that</v>
      </c>
      <c r="G899" s="1" t="str">
        <f ca="1">IFERROR(__xludf.DUMMYFUNCTION("""COMPUTED_VALUE"""),"Will work for 3 years or more")</f>
        <v>Will work for 3 years or more</v>
      </c>
      <c r="H899" s="1" t="str">
        <f ca="1">IFERROR(__xludf.DUMMYFUNCTION("""COMPUTED_VALUE"""),"No")</f>
        <v>No</v>
      </c>
      <c r="I899" s="1" t="str">
        <f ca="1">IFERROR(__xludf.DUMMYFUNCTION("""COMPUTED_VALUE"""),"Will NOT work for them")</f>
        <v>Will NOT work for them</v>
      </c>
      <c r="J899" s="1">
        <f ca="1">IFERROR(__xludf.DUMMYFUNCTION("""COMPUTED_VALUE"""),10)</f>
        <v>10</v>
      </c>
      <c r="K899" s="1" t="str">
        <f ca="1">IFERROR(__xludf.DUMMYFUNCTION("""COMPUTED_VALUE"""),"Fully Remote with Options to travel as and when needed")</f>
        <v>Fully Remote with Options to travel as and when needed</v>
      </c>
      <c r="L899" s="1" t="str">
        <f ca="1">IFERROR(__xludf.DUMMYFUNCTION("""COMPUTED_VALUE"""),"Employer who appreciates learning and enables that environment")</f>
        <v>Employer who appreciates learning and enables that environment</v>
      </c>
      <c r="M89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899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899" s="1" t="str">
        <f ca="1">IFERROR(__xludf.DUMMYFUNCTION("""COMPUTED_VALUE"""),"Manager who clearly describes what she/he needs")</f>
        <v>Manager who clearly describes what she/he needs</v>
      </c>
      <c r="P899" s="1" t="str">
        <f ca="1">IFERROR(__xludf.DUMMYFUNCTION("""COMPUTED_VALUE"""),"Work with 2 to 3 people in my team")</f>
        <v>Work with 2 to 3 people in my team</v>
      </c>
      <c r="Q899" s="1" t="str">
        <f ca="1">IFERROR(__xludf.DUMMYFUNCTION("""COMPUTED_VALUE"""),"Yes, I Understand this is gonna happen everywhere")</f>
        <v>Yes, I Understand this is gonna happen everywhere</v>
      </c>
      <c r="R899" s="1" t="str">
        <f ca="1">IFERROR(__xludf.DUMMYFUNCTION("""COMPUTED_VALUE"""),"Will work for 7 years or more")</f>
        <v>Will work for 7 years or more</v>
      </c>
      <c r="S899" s="1"/>
    </row>
    <row r="900" spans="1:19" ht="12.5" x14ac:dyDescent="0.25">
      <c r="A900" s="2">
        <f ca="1">IFERROR(__xludf.DUMMYFUNCTION("""COMPUTED_VALUE"""),45024.331659074)</f>
        <v>45024.331659074</v>
      </c>
      <c r="B900" s="1" t="str">
        <f ca="1">IFERROR(__xludf.DUMMYFUNCTION("""COMPUTED_VALUE"""),"India")</f>
        <v>India</v>
      </c>
      <c r="C900" s="1">
        <f ca="1">IFERROR(__xludf.DUMMYFUNCTION("""COMPUTED_VALUE"""),700102)</f>
        <v>700102</v>
      </c>
      <c r="D900" s="1" t="str">
        <f ca="1">IFERROR(__xludf.DUMMYFUNCTION("""COMPUTED_VALUE"""),"Male")</f>
        <v>Male</v>
      </c>
      <c r="E900" s="1" t="str">
        <f ca="1">IFERROR(__xludf.DUMMYFUNCTION("""COMPUTED_VALUE"""),"People from my circle, but not family members")</f>
        <v>People from my circle, but not family members</v>
      </c>
      <c r="F900" s="1" t="str">
        <f ca="1">IFERROR(__xludf.DUMMYFUNCTION("""COMPUTED_VALUE"""),"Yes, I will earn and do that")</f>
        <v>Yes, I will earn and do that</v>
      </c>
      <c r="G900" s="1" t="str">
        <f ca="1">IFERROR(__xludf.DUMMYFUNCTION("""COMPUTED_VALUE"""),"This will be hard to do, but if it is the right company I would try")</f>
        <v>This will be hard to do, but if it is the right company I would try</v>
      </c>
      <c r="H900" s="1" t="str">
        <f ca="1">IFERROR(__xludf.DUMMYFUNCTION("""COMPUTED_VALUE"""),"No")</f>
        <v>No</v>
      </c>
      <c r="I900" s="1" t="str">
        <f ca="1">IFERROR(__xludf.DUMMYFUNCTION("""COMPUTED_VALUE"""),"Will NOT work for them")</f>
        <v>Will NOT work for them</v>
      </c>
      <c r="J900" s="1">
        <f ca="1">IFERROR(__xludf.DUMMYFUNCTION("""COMPUTED_VALUE"""),7)</f>
        <v>7</v>
      </c>
      <c r="K900" s="1" t="str">
        <f ca="1">IFERROR(__xludf.DUMMYFUNCTION("""COMPUTED_VALUE"""),"Hybrid Working Environment with more than 15 days a month at office")</f>
        <v>Hybrid Working Environment with more than 15 days a month at office</v>
      </c>
      <c r="L900" s="1" t="str">
        <f ca="1">IFERROR(__xludf.DUMMYFUNCTION("""COMPUTED_VALUE"""),"Employer who appreciates learning and enables that environment")</f>
        <v>Employer who appreciates learning and enables that environment</v>
      </c>
      <c r="M90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900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900" s="1" t="str">
        <f ca="1">IFERROR(__xludf.DUMMYFUNCTION("""COMPUTED_VALUE"""),"Manager who clearly describes what she/he needs")</f>
        <v>Manager who clearly describes what she/he needs</v>
      </c>
      <c r="P900" s="1" t="str">
        <f ca="1">IFERROR(__xludf.DUMMYFUNCTION("""COMPUTED_VALUE"""),"Work alone, Work with 5 to 6 people in my team")</f>
        <v>Work alone, Work with 5 to 6 people in my team</v>
      </c>
      <c r="Q900" s="1" t="str">
        <f ca="1">IFERROR(__xludf.DUMMYFUNCTION("""COMPUTED_VALUE"""),"Yes, I Understand this is gonna happen everywhere")</f>
        <v>Yes, I Understand this is gonna happen everywhere</v>
      </c>
      <c r="R900" s="1" t="str">
        <f ca="1">IFERROR(__xludf.DUMMYFUNCTION("""COMPUTED_VALUE"""),"No way")</f>
        <v>No way</v>
      </c>
      <c r="S900" s="1"/>
    </row>
    <row r="901" spans="1:19" ht="12.5" x14ac:dyDescent="0.25">
      <c r="A901" s="2">
        <f ca="1">IFERROR(__xludf.DUMMYFUNCTION("""COMPUTED_VALUE"""),45024.3353862037)</f>
        <v>45024.335386203697</v>
      </c>
      <c r="B901" s="1" t="str">
        <f ca="1">IFERROR(__xludf.DUMMYFUNCTION("""COMPUTED_VALUE"""),"India")</f>
        <v>India</v>
      </c>
      <c r="C901" s="1">
        <f ca="1">IFERROR(__xludf.DUMMYFUNCTION("""COMPUTED_VALUE"""),412308)</f>
        <v>412308</v>
      </c>
      <c r="D901" s="1" t="str">
        <f ca="1">IFERROR(__xludf.DUMMYFUNCTION("""COMPUTED_VALUE"""),"Male")</f>
        <v>Male</v>
      </c>
      <c r="E901" s="1" t="str">
        <f ca="1">IFERROR(__xludf.DUMMYFUNCTION("""COMPUTED_VALUE"""),"My Parents")</f>
        <v>My Parents</v>
      </c>
      <c r="F901" s="1" t="str">
        <f ca="1">IFERROR(__xludf.DUMMYFUNCTION("""COMPUTED_VALUE"""),"No, But if someone could bare the cost I will")</f>
        <v>No, But if someone could bare the cost I will</v>
      </c>
      <c r="G901" s="1" t="str">
        <f ca="1">IFERROR(__xludf.DUMMYFUNCTION("""COMPUTED_VALUE"""),"Will work for 3 years or more")</f>
        <v>Will work for 3 years or more</v>
      </c>
      <c r="H901" s="1" t="str">
        <f ca="1">IFERROR(__xludf.DUMMYFUNCTION("""COMPUTED_VALUE"""),"No")</f>
        <v>No</v>
      </c>
      <c r="I901" s="1" t="str">
        <f ca="1">IFERROR(__xludf.DUMMYFUNCTION("""COMPUTED_VALUE"""),"Will NOT work for them")</f>
        <v>Will NOT work for them</v>
      </c>
      <c r="J901" s="1">
        <f ca="1">IFERROR(__xludf.DUMMYFUNCTION("""COMPUTED_VALUE"""),7)</f>
        <v>7</v>
      </c>
      <c r="K901" s="1" t="str">
        <f ca="1">IFERROR(__xludf.DUMMYFUNCTION("""COMPUTED_VALUE"""),"Fully Remote with Options to travel as and when needed")</f>
        <v>Fully Remote with Options to travel as and when needed</v>
      </c>
      <c r="L9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0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901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901" s="1" t="str">
        <f ca="1">IFERROR(__xludf.DUMMYFUNCTION("""COMPUTED_VALUE"""),"Manager who explains what is expected, sets a goal and helps achieve it")</f>
        <v>Manager who explains what is expected, sets a goal and helps achieve it</v>
      </c>
      <c r="P901" s="1" t="str">
        <f ca="1">IFERROR(__xludf.DUMMYFUNCTION("""COMPUTED_VALUE"""),"Work with 7 to 10 or more people in my team")</f>
        <v>Work with 7 to 10 or more people in my team</v>
      </c>
      <c r="Q901" s="1" t="str">
        <f ca="1">IFERROR(__xludf.DUMMYFUNCTION("""COMPUTED_VALUE"""),"No")</f>
        <v>No</v>
      </c>
      <c r="R901" s="1" t="str">
        <f ca="1">IFERROR(__xludf.DUMMYFUNCTION("""COMPUTED_VALUE"""),"This will be hard to do, but if it is the right company I would try")</f>
        <v>This will be hard to do, but if it is the right company I would try</v>
      </c>
      <c r="S901" s="1"/>
    </row>
    <row r="902" spans="1:19" ht="12.5" x14ac:dyDescent="0.25">
      <c r="A902" s="2">
        <f ca="1">IFERROR(__xludf.DUMMYFUNCTION("""COMPUTED_VALUE"""),45024.3375552546)</f>
        <v>45024.337555254599</v>
      </c>
      <c r="B902" s="1" t="str">
        <f ca="1">IFERROR(__xludf.DUMMYFUNCTION("""COMPUTED_VALUE"""),"India")</f>
        <v>India</v>
      </c>
      <c r="C902" s="1">
        <f ca="1">IFERROR(__xludf.DUMMYFUNCTION("""COMPUTED_VALUE"""),313001)</f>
        <v>313001</v>
      </c>
      <c r="D902" s="1" t="str">
        <f ca="1">IFERROR(__xludf.DUMMYFUNCTION("""COMPUTED_VALUE"""),"Male")</f>
        <v>Male</v>
      </c>
      <c r="E902" s="1" t="str">
        <f ca="1">IFERROR(__xludf.DUMMYFUNCTION("""COMPUTED_VALUE"""),"My Parents")</f>
        <v>My Parents</v>
      </c>
      <c r="F902" s="1" t="str">
        <f ca="1">IFERROR(__xludf.DUMMYFUNCTION("""COMPUTED_VALUE"""),"Yes, I will earn and do that")</f>
        <v>Yes, I will earn and do that</v>
      </c>
      <c r="G902" s="1" t="str">
        <f ca="1">IFERROR(__xludf.DUMMYFUNCTION("""COMPUTED_VALUE"""),"This will be hard to do, but if it is the right company I would try")</f>
        <v>This will be hard to do, but if it is the right company I would try</v>
      </c>
      <c r="H902" s="1" t="str">
        <f ca="1">IFERROR(__xludf.DUMMYFUNCTION("""COMPUTED_VALUE"""),"No")</f>
        <v>No</v>
      </c>
      <c r="I902" s="1" t="str">
        <f ca="1">IFERROR(__xludf.DUMMYFUNCTION("""COMPUTED_VALUE"""),"Will NOT work for them")</f>
        <v>Will NOT work for them</v>
      </c>
      <c r="J902" s="1">
        <f ca="1">IFERROR(__xludf.DUMMYFUNCTION("""COMPUTED_VALUE"""),1)</f>
        <v>1</v>
      </c>
      <c r="K902" s="1" t="str">
        <f ca="1">IFERROR(__xludf.DUMMYFUNCTION("""COMPUTED_VALUE"""),"Every Day Office Environment")</f>
        <v>Every Day Office Environment</v>
      </c>
      <c r="L902" s="1" t="str">
        <f ca="1">IFERROR(__xludf.DUMMYFUNCTION("""COMPUTED_VALUE"""),"Employer who appreciates learning and enables that environment")</f>
        <v>Employer who appreciates learning and enables that environment</v>
      </c>
      <c r="M902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902" s="1" t="str">
        <f ca="1">IFERROR(__xludf.DUMMYFUNCTION("""COMPUTED_VALUE"""),"Design and Develop amazing software, Work as a freelancer and do my thing my way, Entrepreneur or Start Up, Manufacturing / Oil and Gas/ Construction / Hard Physical Work related")</f>
        <v>Design and Develop amazing software, Work as a freelancer and do my thing my way, Entrepreneur or Start Up, Manufacturing / Oil and Gas/ Construction / Hard Physical Work related</v>
      </c>
      <c r="O902" s="1" t="str">
        <f ca="1">IFERROR(__xludf.DUMMYFUNCTION("""COMPUTED_VALUE"""),"Manager who sets goal and helps me achieve it")</f>
        <v>Manager who sets goal and helps me achieve it</v>
      </c>
      <c r="P902" s="1" t="str">
        <f ca="1">IFERROR(__xludf.DUMMYFUNCTION("""COMPUTED_VALUE"""),"Work with 5 to 6 people in my team")</f>
        <v>Work with 5 to 6 people in my team</v>
      </c>
      <c r="Q902" s="1" t="str">
        <f ca="1">IFERROR(__xludf.DUMMYFUNCTION("""COMPUTED_VALUE"""),"No")</f>
        <v>No</v>
      </c>
      <c r="R902" s="1" t="str">
        <f ca="1">IFERROR(__xludf.DUMMYFUNCTION("""COMPUTED_VALUE"""),"This will be hard to do, but if it is the right company I would try")</f>
        <v>This will be hard to do, but if it is the right company I would try</v>
      </c>
      <c r="S902" s="1"/>
    </row>
    <row r="903" spans="1:19" ht="12.5" x14ac:dyDescent="0.25">
      <c r="A903" s="2">
        <f ca="1">IFERROR(__xludf.DUMMYFUNCTION("""COMPUTED_VALUE"""),45024.367023368)</f>
        <v>45024.367023368002</v>
      </c>
      <c r="B903" s="1" t="str">
        <f ca="1">IFERROR(__xludf.DUMMYFUNCTION("""COMPUTED_VALUE"""),"India")</f>
        <v>India</v>
      </c>
      <c r="C903" s="1">
        <f ca="1">IFERROR(__xludf.DUMMYFUNCTION("""COMPUTED_VALUE"""),500039)</f>
        <v>500039</v>
      </c>
      <c r="D903" s="1" t="str">
        <f ca="1">IFERROR(__xludf.DUMMYFUNCTION("""COMPUTED_VALUE"""),"Female")</f>
        <v>Female</v>
      </c>
      <c r="E903" s="1" t="str">
        <f ca="1">IFERROR(__xludf.DUMMYFUNCTION("""COMPUTED_VALUE"""),"Influencers who had successful careers")</f>
        <v>Influencers who had successful careers</v>
      </c>
      <c r="F903" s="1" t="str">
        <f ca="1">IFERROR(__xludf.DUMMYFUNCTION("""COMPUTED_VALUE"""),"Yes, I will earn and do that")</f>
        <v>Yes, I will earn and do that</v>
      </c>
      <c r="G903" s="1" t="str">
        <f ca="1">IFERROR(__xludf.DUMMYFUNCTION("""COMPUTED_VALUE"""),"Will work for 3 years or more")</f>
        <v>Will work for 3 years or more</v>
      </c>
      <c r="H903" s="1" t="str">
        <f ca="1">IFERROR(__xludf.DUMMYFUNCTION("""COMPUTED_VALUE"""),"Yes")</f>
        <v>Yes</v>
      </c>
      <c r="I903" s="1" t="str">
        <f ca="1">IFERROR(__xludf.DUMMYFUNCTION("""COMPUTED_VALUE"""),"Will work for them")</f>
        <v>Will work for them</v>
      </c>
      <c r="J903" s="1">
        <f ca="1">IFERROR(__xludf.DUMMYFUNCTION("""COMPUTED_VALUE"""),8)</f>
        <v>8</v>
      </c>
      <c r="K903" s="1" t="str">
        <f ca="1">IFERROR(__xludf.DUMMYFUNCTION("""COMPUTED_VALUE"""),"Fully Remote with Options to travel as and when needed")</f>
        <v>Fully Remote with Options to travel as and when needed</v>
      </c>
      <c r="L903" s="1" t="str">
        <f ca="1">IFERROR(__xludf.DUMMYFUNCTION("""COMPUTED_VALUE"""),"Employer who appreciates learning and enables that environment")</f>
        <v>Employer who appreciates learning and enables that environment</v>
      </c>
      <c r="M90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0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903" s="1" t="str">
        <f ca="1">IFERROR(__xludf.DUMMYFUNCTION("""COMPUTED_VALUE"""),"Manager who explains what is expected, sets a goal and helps achieve it")</f>
        <v>Manager who explains what is expected, sets a goal and helps achieve it</v>
      </c>
      <c r="P903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903" s="1" t="str">
        <f ca="1">IFERROR(__xludf.DUMMYFUNCTION("""COMPUTED_VALUE"""),"Yes, I Understand this is gonna happen everywhere")</f>
        <v>Yes, I Understand this is gonna happen everywhere</v>
      </c>
      <c r="R903" s="1" t="str">
        <f ca="1">IFERROR(__xludf.DUMMYFUNCTION("""COMPUTED_VALUE"""),"This will be hard to do, but if it is the right company I would try")</f>
        <v>This will be hard to do, but if it is the right company I would try</v>
      </c>
      <c r="S903" s="1"/>
    </row>
    <row r="904" spans="1:19" ht="12.5" x14ac:dyDescent="0.25">
      <c r="A904" s="2">
        <f ca="1">IFERROR(__xludf.DUMMYFUNCTION("""COMPUTED_VALUE"""),45024.3765208333)</f>
        <v>45024.376520833299</v>
      </c>
      <c r="B904" s="1" t="str">
        <f ca="1">IFERROR(__xludf.DUMMYFUNCTION("""COMPUTED_VALUE"""),"India")</f>
        <v>India</v>
      </c>
      <c r="C904" s="1">
        <f ca="1">IFERROR(__xludf.DUMMYFUNCTION("""COMPUTED_VALUE"""),580023)</f>
        <v>580023</v>
      </c>
      <c r="D904" s="1" t="str">
        <f ca="1">IFERROR(__xludf.DUMMYFUNCTION("""COMPUTED_VALUE"""),"Male")</f>
        <v>Male</v>
      </c>
      <c r="E904" s="1" t="str">
        <f ca="1">IFERROR(__xludf.DUMMYFUNCTION("""COMPUTED_VALUE"""),"People who have changed the world for better")</f>
        <v>People who have changed the world for better</v>
      </c>
      <c r="F904" s="1" t="str">
        <f ca="1">IFERROR(__xludf.DUMMYFUNCTION("""COMPUTED_VALUE"""),"Yes, I will earn and do that")</f>
        <v>Yes, I will earn and do that</v>
      </c>
      <c r="G904" s="1" t="str">
        <f ca="1">IFERROR(__xludf.DUMMYFUNCTION("""COMPUTED_VALUE"""),"This will be hard to do, but if it is the right company I would try")</f>
        <v>This will be hard to do, but if it is the right company I would try</v>
      </c>
      <c r="H904" s="1" t="str">
        <f ca="1">IFERROR(__xludf.DUMMYFUNCTION("""COMPUTED_VALUE"""),"No")</f>
        <v>No</v>
      </c>
      <c r="I904" s="1" t="str">
        <f ca="1">IFERROR(__xludf.DUMMYFUNCTION("""COMPUTED_VALUE"""),"Will NOT work for them")</f>
        <v>Will NOT work for them</v>
      </c>
      <c r="J904" s="1">
        <f ca="1">IFERROR(__xludf.DUMMYFUNCTION("""COMPUTED_VALUE"""),1)</f>
        <v>1</v>
      </c>
      <c r="K904" s="1" t="str">
        <f ca="1">IFERROR(__xludf.DUMMYFUNCTION("""COMPUTED_VALUE"""),"Fully Remote with Options to travel as and when needed")</f>
        <v>Fully Remote with Options to travel as and when needed</v>
      </c>
      <c r="L9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0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04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904" s="1" t="str">
        <f ca="1">IFERROR(__xludf.DUMMYFUNCTION("""COMPUTED_VALUE"""),"Manager who explains what is expected, sets a goal and helps achieve it")</f>
        <v>Manager who explains what is expected, sets a goal and helps achieve it</v>
      </c>
      <c r="P904" s="1" t="str">
        <f ca="1">IFERROR(__xludf.DUMMYFUNCTION("""COMPUTED_VALUE"""),"Work with 5 to 6 people in my team")</f>
        <v>Work with 5 to 6 people in my team</v>
      </c>
      <c r="Q904" s="1" t="str">
        <f ca="1">IFERROR(__xludf.DUMMYFUNCTION("""COMPUTED_VALUE"""),"No")</f>
        <v>No</v>
      </c>
      <c r="R904" s="1" t="str">
        <f ca="1">IFERROR(__xludf.DUMMYFUNCTION("""COMPUTED_VALUE"""),"This will be hard to do, but if it is the right company I would try")</f>
        <v>This will be hard to do, but if it is the right company I would try</v>
      </c>
      <c r="S904" s="1"/>
    </row>
    <row r="905" spans="1:19" ht="12.5" x14ac:dyDescent="0.25">
      <c r="A905" s="2">
        <f ca="1">IFERROR(__xludf.DUMMYFUNCTION("""COMPUTED_VALUE"""),45024.3800109259)</f>
        <v>45024.380010925903</v>
      </c>
      <c r="B905" s="1" t="str">
        <f ca="1">IFERROR(__xludf.DUMMYFUNCTION("""COMPUTED_VALUE"""),"India")</f>
        <v>India</v>
      </c>
      <c r="C905" s="1">
        <f ca="1">IFERROR(__xludf.DUMMYFUNCTION("""COMPUTED_VALUE"""),515211)</f>
        <v>515211</v>
      </c>
      <c r="D905" s="1" t="str">
        <f ca="1">IFERROR(__xludf.DUMMYFUNCTION("""COMPUTED_VALUE"""),"Male")</f>
        <v>Male</v>
      </c>
      <c r="E905" s="1" t="str">
        <f ca="1">IFERROR(__xludf.DUMMYFUNCTION("""COMPUTED_VALUE"""),"People from my circle, but not family members")</f>
        <v>People from my circle, but not family members</v>
      </c>
      <c r="F905" s="1" t="str">
        <f ca="1">IFERROR(__xludf.DUMMYFUNCTION("""COMPUTED_VALUE"""),"No I would not be pursuing Higher Education outside of India")</f>
        <v>No I would not be pursuing Higher Education outside of India</v>
      </c>
      <c r="G905" s="1" t="str">
        <f ca="1">IFERROR(__xludf.DUMMYFUNCTION("""COMPUTED_VALUE"""),"Will work for 3 years or more")</f>
        <v>Will work for 3 years or more</v>
      </c>
      <c r="H905" s="1" t="str">
        <f ca="1">IFERROR(__xludf.DUMMYFUNCTION("""COMPUTED_VALUE"""),"No")</f>
        <v>No</v>
      </c>
      <c r="I905" s="1" t="str">
        <f ca="1">IFERROR(__xludf.DUMMYFUNCTION("""COMPUTED_VALUE"""),"Will work for them")</f>
        <v>Will work for them</v>
      </c>
      <c r="J905" s="1">
        <f ca="1">IFERROR(__xludf.DUMMYFUNCTION("""COMPUTED_VALUE"""),7)</f>
        <v>7</v>
      </c>
      <c r="K905" s="1" t="str">
        <f ca="1">IFERROR(__xludf.DUMMYFUNCTION("""COMPUTED_VALUE"""),"Every Day Office Environment")</f>
        <v>Every Day Office Environment</v>
      </c>
      <c r="L905" s="1" t="str">
        <f ca="1">IFERROR(__xludf.DUMMYFUNCTION("""COMPUTED_VALUE"""),"Employer who appreciates learning and enables that environment")</f>
        <v>Employer who appreciates learning and enables that environment</v>
      </c>
      <c r="M905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905" s="1" t="str">
        <f ca="1">IFERROR(__xludf.DUMMYFUNCTION("""COMPUTED_VALUE"""),"Look deeply into Data and generate insights, Work as a freelancer and do my thing my way, Entrepreneur or Start Up, An Artificial Intelligence Specialist / Talking to Robots")</f>
        <v>Look deeply into Data and generate insights, Work as a freelancer and do my thing my way, Entrepreneur or Start Up, An Artificial Intelligence Specialist / Talking to Robots</v>
      </c>
      <c r="O905" s="1" t="str">
        <f ca="1">IFERROR(__xludf.DUMMYFUNCTION("""COMPUTED_VALUE"""),"Manager who sets targets and expects me to achieve it")</f>
        <v>Manager who sets targets and expects me to achieve it</v>
      </c>
      <c r="P905" s="1" t="str">
        <f ca="1">IFERROR(__xludf.DUMMYFUNCTION("""COMPUTED_VALUE"""),"Work with 5 to 6 people in my team")</f>
        <v>Work with 5 to 6 people in my team</v>
      </c>
      <c r="Q905" s="1" t="str">
        <f ca="1">IFERROR(__xludf.DUMMYFUNCTION("""COMPUTED_VALUE"""),"I have NO other choice")</f>
        <v>I have NO other choice</v>
      </c>
      <c r="R905" s="1" t="str">
        <f ca="1">IFERROR(__xludf.DUMMYFUNCTION("""COMPUTED_VALUE"""),"No way")</f>
        <v>No way</v>
      </c>
      <c r="S905" s="1"/>
    </row>
    <row r="906" spans="1:19" ht="12.5" x14ac:dyDescent="0.25">
      <c r="A906" s="2">
        <f ca="1">IFERROR(__xludf.DUMMYFUNCTION("""COMPUTED_VALUE"""),45024.4060704745)</f>
        <v>45024.406070474499</v>
      </c>
      <c r="B906" s="1" t="str">
        <f ca="1">IFERROR(__xludf.DUMMYFUNCTION("""COMPUTED_VALUE"""),"Others")</f>
        <v>Others</v>
      </c>
      <c r="C906" s="1">
        <f ca="1">IFERROR(__xludf.DUMMYFUNCTION("""COMPUTED_VALUE"""),75400)</f>
        <v>75400</v>
      </c>
      <c r="D906" s="1" t="str">
        <f ca="1">IFERROR(__xludf.DUMMYFUNCTION("""COMPUTED_VALUE"""),"Female")</f>
        <v>Female</v>
      </c>
      <c r="E906" s="1" t="str">
        <f ca="1">IFERROR(__xludf.DUMMYFUNCTION("""COMPUTED_VALUE"""),"Influencers who had successful careers")</f>
        <v>Influencers who had successful careers</v>
      </c>
      <c r="F906" s="1" t="str">
        <f ca="1">IFERROR(__xludf.DUMMYFUNCTION("""COMPUTED_VALUE"""),"Yes, I will earn and do that")</f>
        <v>Yes, I will earn and do that</v>
      </c>
      <c r="G906" s="1" t="str">
        <f ca="1">IFERROR(__xludf.DUMMYFUNCTION("""COMPUTED_VALUE"""),"Will work for 3 years or more")</f>
        <v>Will work for 3 years or more</v>
      </c>
      <c r="H906" s="1" t="str">
        <f ca="1">IFERROR(__xludf.DUMMYFUNCTION("""COMPUTED_VALUE"""),"Yes")</f>
        <v>Yes</v>
      </c>
      <c r="I906" s="1" t="str">
        <f ca="1">IFERROR(__xludf.DUMMYFUNCTION("""COMPUTED_VALUE"""),"Will work for them")</f>
        <v>Will work for them</v>
      </c>
      <c r="J906" s="1">
        <f ca="1">IFERROR(__xludf.DUMMYFUNCTION("""COMPUTED_VALUE"""),6)</f>
        <v>6</v>
      </c>
      <c r="K906" s="1" t="str">
        <f ca="1">IFERROR(__xludf.DUMMYFUNCTION("""COMPUTED_VALUE"""),"Hybrid Working Environment with less than 3 days a month at office")</f>
        <v>Hybrid Working Environment with less than 3 days a month at office</v>
      </c>
      <c r="L906" s="1" t="str">
        <f ca="1">IFERROR(__xludf.DUMMYFUNCTION("""COMPUTED_VALUE"""),"Employer who appreciates learning and enables that environment")</f>
        <v>Employer who appreciates learning and enables that environment</v>
      </c>
      <c r="M90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906" s="1" t="str">
        <f ca="1">IFERROR(__xludf.DUMMYFUNCTION("""COMPUTED_VALUE"""),"Teaching in any of the institutes/colleges/online or offline, Look deeply into Data and generate insights, Work as a freelancer and do my thing my way, Entrepreneur or Start Up")</f>
        <v>Teaching in any of the institutes/colleges/online or offline, Look deeply into Data and generate insights, Work as a freelancer and do my thing my way, Entrepreneur or Start Up</v>
      </c>
      <c r="O906" s="1" t="str">
        <f ca="1">IFERROR(__xludf.DUMMYFUNCTION("""COMPUTED_VALUE"""),"Manager who explains what is expected, sets a goal and helps achieve it")</f>
        <v>Manager who explains what is expected, sets a goal and helps achieve it</v>
      </c>
      <c r="P906" s="1" t="str">
        <f ca="1">IFERROR(__xludf.DUMMYFUNCTION("""COMPUTED_VALUE"""),"Work with 2 to 3 people in my team")</f>
        <v>Work with 2 to 3 people in my team</v>
      </c>
      <c r="Q906" s="1" t="str">
        <f ca="1">IFERROR(__xludf.DUMMYFUNCTION("""COMPUTED_VALUE"""),"Yes, I Understand this is gonna happen everywhere")</f>
        <v>Yes, I Understand this is gonna happen everywhere</v>
      </c>
      <c r="R906" s="1" t="str">
        <f ca="1">IFERROR(__xludf.DUMMYFUNCTION("""COMPUTED_VALUE"""),"No way")</f>
        <v>No way</v>
      </c>
      <c r="S906" s="1"/>
    </row>
    <row r="907" spans="1:19" ht="12.5" x14ac:dyDescent="0.25">
      <c r="A907" s="2">
        <f ca="1">IFERROR(__xludf.DUMMYFUNCTION("""COMPUTED_VALUE"""),45024.4166787268)</f>
        <v>45024.416678726797</v>
      </c>
      <c r="B907" s="1" t="str">
        <f ca="1">IFERROR(__xludf.DUMMYFUNCTION("""COMPUTED_VALUE"""),"India")</f>
        <v>India</v>
      </c>
      <c r="C907" s="1">
        <f ca="1">IFERROR(__xludf.DUMMYFUNCTION("""COMPUTED_VALUE"""),134109)</f>
        <v>134109</v>
      </c>
      <c r="D907" s="1" t="str">
        <f ca="1">IFERROR(__xludf.DUMMYFUNCTION("""COMPUTED_VALUE"""),"Male")</f>
        <v>Male</v>
      </c>
      <c r="E907" s="1" t="str">
        <f ca="1">IFERROR(__xludf.DUMMYFUNCTION("""COMPUTED_VALUE"""),"People from my circle, but not family members")</f>
        <v>People from my circle, but not family members</v>
      </c>
      <c r="F907" s="1" t="str">
        <f ca="1">IFERROR(__xludf.DUMMYFUNCTION("""COMPUTED_VALUE"""),"No, But if someone could bare the cost I will")</f>
        <v>No, But if someone could bare the cost I will</v>
      </c>
      <c r="G907" s="1" t="str">
        <f ca="1">IFERROR(__xludf.DUMMYFUNCTION("""COMPUTED_VALUE"""),"This will be hard to do, but if it is the right company I would try")</f>
        <v>This will be hard to do, but if it is the right company I would try</v>
      </c>
      <c r="H907" s="1" t="str">
        <f ca="1">IFERROR(__xludf.DUMMYFUNCTION("""COMPUTED_VALUE"""),"No")</f>
        <v>No</v>
      </c>
      <c r="I907" s="1" t="str">
        <f ca="1">IFERROR(__xludf.DUMMYFUNCTION("""COMPUTED_VALUE"""),"Will NOT work for them")</f>
        <v>Will NOT work for them</v>
      </c>
      <c r="J907" s="1">
        <f ca="1">IFERROR(__xludf.DUMMYFUNCTION("""COMPUTED_VALUE"""),7)</f>
        <v>7</v>
      </c>
      <c r="K907" s="1" t="str">
        <f ca="1">IFERROR(__xludf.DUMMYFUNCTION("""COMPUTED_VALUE"""),"Hybrid Working Environment with more than 15 days a month at office")</f>
        <v>Hybrid Working Environment with more than 15 days a month at office</v>
      </c>
      <c r="L9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0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07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907" s="1" t="str">
        <f ca="1">IFERROR(__xludf.DUMMYFUNCTION("""COMPUTED_VALUE"""),"Manager who explains what is expected, sets a goal and helps achieve it")</f>
        <v>Manager who explains what is expected, sets a goal and helps achieve it</v>
      </c>
      <c r="P907" s="1" t="str">
        <f ca="1">IFERROR(__xludf.DUMMYFUNCTION("""COMPUTED_VALUE"""),"Work with 5 to 6 people in my team")</f>
        <v>Work with 5 to 6 people in my team</v>
      </c>
      <c r="Q907" s="1" t="str">
        <f ca="1">IFERROR(__xludf.DUMMYFUNCTION("""COMPUTED_VALUE"""),"Yes, I Understand this is gonna happen everywhere")</f>
        <v>Yes, I Understand this is gonna happen everywhere</v>
      </c>
      <c r="R907" s="1" t="str">
        <f ca="1">IFERROR(__xludf.DUMMYFUNCTION("""COMPUTED_VALUE"""),"No way")</f>
        <v>No way</v>
      </c>
      <c r="S907" s="1"/>
    </row>
    <row r="908" spans="1:19" ht="12.5" x14ac:dyDescent="0.25">
      <c r="A908" s="2">
        <f ca="1">IFERROR(__xludf.DUMMYFUNCTION("""COMPUTED_VALUE"""),45024.4167248379)</f>
        <v>45024.416724837902</v>
      </c>
      <c r="B908" s="1" t="str">
        <f ca="1">IFERROR(__xludf.DUMMYFUNCTION("""COMPUTED_VALUE"""),"India")</f>
        <v>India</v>
      </c>
      <c r="C908" s="1">
        <f ca="1">IFERROR(__xludf.DUMMYFUNCTION("""COMPUTED_VALUE"""),517501)</f>
        <v>517501</v>
      </c>
      <c r="D908" s="1" t="str">
        <f ca="1">IFERROR(__xludf.DUMMYFUNCTION("""COMPUTED_VALUE"""),"Female")</f>
        <v>Female</v>
      </c>
      <c r="E908" s="1" t="str">
        <f ca="1">IFERROR(__xludf.DUMMYFUNCTION("""COMPUTED_VALUE"""),"Influencers who had successful careers")</f>
        <v>Influencers who had successful careers</v>
      </c>
      <c r="F908" s="1" t="str">
        <f ca="1">IFERROR(__xludf.DUMMYFUNCTION("""COMPUTED_VALUE"""),"Yes, I will earn and do that")</f>
        <v>Yes, I will earn and do that</v>
      </c>
      <c r="G908" s="1" t="str">
        <f ca="1">IFERROR(__xludf.DUMMYFUNCTION("""COMPUTED_VALUE"""),"This will be hard to do, but if it is the right company I would try")</f>
        <v>This will be hard to do, but if it is the right company I would try</v>
      </c>
      <c r="H908" s="1" t="str">
        <f ca="1">IFERROR(__xludf.DUMMYFUNCTION("""COMPUTED_VALUE"""),"Yes")</f>
        <v>Yes</v>
      </c>
      <c r="I908" s="1" t="str">
        <f ca="1">IFERROR(__xludf.DUMMYFUNCTION("""COMPUTED_VALUE"""),"Will NOT work for them")</f>
        <v>Will NOT work for them</v>
      </c>
      <c r="J908" s="1">
        <f ca="1">IFERROR(__xludf.DUMMYFUNCTION("""COMPUTED_VALUE"""),3)</f>
        <v>3</v>
      </c>
      <c r="K908" s="1" t="str">
        <f ca="1">IFERROR(__xludf.DUMMYFUNCTION("""COMPUTED_VALUE"""),"Hybrid Working Environment with more than 15 days a month at office")</f>
        <v>Hybrid Working Environment with more than 15 days a month at office</v>
      </c>
      <c r="L9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0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08" s="1" t="str">
        <f ca="1">IFERROR(__xludf.DUMMYFUNCTION("""COMPUTED_VALUE"""),"Design and Creative strategy in any company, Manage and drive End-to-End Projects or Products, Design and Develop amazing software, An Artificial Intelligence Specialist / Talking to Robots")</f>
        <v>Design and Creative strategy in any company, Manage and drive End-to-End Projects or Products, Design and Develop amazing software, An Artificial Intelligence Specialist / Talking to Robots</v>
      </c>
      <c r="O908" s="1" t="str">
        <f ca="1">IFERROR(__xludf.DUMMYFUNCTION("""COMPUTED_VALUE"""),"Manager who explains what is expected, sets a goal and helps achieve it")</f>
        <v>Manager who explains what is expected, sets a goal and helps achieve it</v>
      </c>
      <c r="P90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908" s="1" t="str">
        <f ca="1">IFERROR(__xludf.DUMMYFUNCTION("""COMPUTED_VALUE"""),"No")</f>
        <v>No</v>
      </c>
      <c r="R908" s="1" t="str">
        <f ca="1">IFERROR(__xludf.DUMMYFUNCTION("""COMPUTED_VALUE"""),"No way")</f>
        <v>No way</v>
      </c>
      <c r="S908" s="1"/>
    </row>
    <row r="909" spans="1:19" ht="12.5" x14ac:dyDescent="0.25">
      <c r="A909" s="2">
        <f ca="1">IFERROR(__xludf.DUMMYFUNCTION("""COMPUTED_VALUE"""),45024.4197551273)</f>
        <v>45024.419755127303</v>
      </c>
      <c r="B909" s="1" t="str">
        <f ca="1">IFERROR(__xludf.DUMMYFUNCTION("""COMPUTED_VALUE"""),"India")</f>
        <v>India</v>
      </c>
      <c r="C909" s="1">
        <f ca="1">IFERROR(__xludf.DUMMYFUNCTION("""COMPUTED_VALUE"""),600036)</f>
        <v>600036</v>
      </c>
      <c r="D909" s="1" t="str">
        <f ca="1">IFERROR(__xludf.DUMMYFUNCTION("""COMPUTED_VALUE"""),"Male")</f>
        <v>Male</v>
      </c>
      <c r="E909" s="1" t="str">
        <f ca="1">IFERROR(__xludf.DUMMYFUNCTION("""COMPUTED_VALUE"""),"People from my circle, but not family members")</f>
        <v>People from my circle, but not family members</v>
      </c>
      <c r="F909" s="1" t="str">
        <f ca="1">IFERROR(__xludf.DUMMYFUNCTION("""COMPUTED_VALUE"""),"No, But if someone could bare the cost I will")</f>
        <v>No, But if someone could bare the cost I will</v>
      </c>
      <c r="G909" s="1" t="str">
        <f ca="1">IFERROR(__xludf.DUMMYFUNCTION("""COMPUTED_VALUE"""),"Will work for 3 years or more")</f>
        <v>Will work for 3 years or more</v>
      </c>
      <c r="H909" s="1" t="str">
        <f ca="1">IFERROR(__xludf.DUMMYFUNCTION("""COMPUTED_VALUE"""),"No")</f>
        <v>No</v>
      </c>
      <c r="I909" s="1" t="str">
        <f ca="1">IFERROR(__xludf.DUMMYFUNCTION("""COMPUTED_VALUE"""),"Will NOT work for them")</f>
        <v>Will NOT work for them</v>
      </c>
      <c r="J909" s="1">
        <f ca="1">IFERROR(__xludf.DUMMYFUNCTION("""COMPUTED_VALUE"""),8)</f>
        <v>8</v>
      </c>
      <c r="K909" s="1" t="str">
        <f ca="1">IFERROR(__xludf.DUMMYFUNCTION("""COMPUTED_VALUE"""),"Hybrid Working Environment with less than 3 days a month at office")</f>
        <v>Hybrid Working Environment with less than 3 days a month at office</v>
      </c>
      <c r="L9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0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09" s="1" t="str">
        <f ca="1">IFERROR(__xludf.DUMMYFUNCTION("""COMPUTED_VALUE"""),"Teaching in any of the institutes/colleges/online or offline, Manage and drive End-to-End Projects or Products, Build and develop a Team, Look deeply into Data and generate insights")</f>
        <v>Teaching in any of the institutes/colleges/online or offline, Manage and drive End-to-End Projects or Products, Build and develop a Team, Look deeply into Data and generate insights</v>
      </c>
      <c r="O909" s="1" t="str">
        <f ca="1">IFERROR(__xludf.DUMMYFUNCTION("""COMPUTED_VALUE"""),"Manager who explains what is expected, sets a goal and helps achieve it")</f>
        <v>Manager who explains what is expected, sets a goal and helps achieve it</v>
      </c>
      <c r="P909" s="1" t="str">
        <f ca="1">IFERROR(__xludf.DUMMYFUNCTION("""COMPUTED_VALUE"""),"Work with 2 to 3 people in my team")</f>
        <v>Work with 2 to 3 people in my team</v>
      </c>
      <c r="Q909" s="1" t="str">
        <f ca="1">IFERROR(__xludf.DUMMYFUNCTION("""COMPUTED_VALUE"""),"I have NO other choice")</f>
        <v>I have NO other choice</v>
      </c>
      <c r="R909" s="1" t="str">
        <f ca="1">IFERROR(__xludf.DUMMYFUNCTION("""COMPUTED_VALUE"""),"This will be hard to do, but if it is the right company I would try")</f>
        <v>This will be hard to do, but if it is the right company I would try</v>
      </c>
      <c r="S909" s="1"/>
    </row>
    <row r="910" spans="1:19" ht="12.5" x14ac:dyDescent="0.25">
      <c r="A910" s="2">
        <f ca="1">IFERROR(__xludf.DUMMYFUNCTION("""COMPUTED_VALUE"""),45024.4299818402)</f>
        <v>45024.4299818402</v>
      </c>
      <c r="B910" s="1" t="str">
        <f ca="1">IFERROR(__xludf.DUMMYFUNCTION("""COMPUTED_VALUE"""),"India")</f>
        <v>India</v>
      </c>
      <c r="C910" s="1">
        <f ca="1">IFERROR(__xludf.DUMMYFUNCTION("""COMPUTED_VALUE"""),751007)</f>
        <v>751007</v>
      </c>
      <c r="D910" s="1" t="str">
        <f ca="1">IFERROR(__xludf.DUMMYFUNCTION("""COMPUTED_VALUE"""),"Male")</f>
        <v>Male</v>
      </c>
      <c r="E910" s="1" t="str">
        <f ca="1">IFERROR(__xludf.DUMMYFUNCTION("""COMPUTED_VALUE"""),"My Parents")</f>
        <v>My Parents</v>
      </c>
      <c r="F910" s="1" t="str">
        <f ca="1">IFERROR(__xludf.DUMMYFUNCTION("""COMPUTED_VALUE"""),"Yes, I will earn and do that")</f>
        <v>Yes, I will earn and do that</v>
      </c>
      <c r="G910" s="1" t="str">
        <f ca="1">IFERROR(__xludf.DUMMYFUNCTION("""COMPUTED_VALUE"""),"This will be hard to do, but if it is the right company I would try")</f>
        <v>This will be hard to do, but if it is the right company I would try</v>
      </c>
      <c r="H910" s="1" t="str">
        <f ca="1">IFERROR(__xludf.DUMMYFUNCTION("""COMPUTED_VALUE"""),"No")</f>
        <v>No</v>
      </c>
      <c r="I910" s="1" t="str">
        <f ca="1">IFERROR(__xludf.DUMMYFUNCTION("""COMPUTED_VALUE"""),"Will NOT work for them")</f>
        <v>Will NOT work for them</v>
      </c>
      <c r="J910" s="1">
        <f ca="1">IFERROR(__xludf.DUMMYFUNCTION("""COMPUTED_VALUE"""),7)</f>
        <v>7</v>
      </c>
      <c r="K910" s="1" t="str">
        <f ca="1">IFERROR(__xludf.DUMMYFUNCTION("""COMPUTED_VALUE"""),"Fully Remote with Options to travel as and when needed")</f>
        <v>Fully Remote with Options to travel as and when needed</v>
      </c>
      <c r="L9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1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10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910" s="1" t="str">
        <f ca="1">IFERROR(__xludf.DUMMYFUNCTION("""COMPUTED_VALUE"""),"Manager who clearly describes what she/he needs")</f>
        <v>Manager who clearly describes what she/he needs</v>
      </c>
      <c r="P910" s="1" t="str">
        <f ca="1">IFERROR(__xludf.DUMMYFUNCTION("""COMPUTED_VALUE"""),"Work with 7 to 10 or more people in my team")</f>
        <v>Work with 7 to 10 or more people in my team</v>
      </c>
      <c r="Q910" s="1" t="str">
        <f ca="1">IFERROR(__xludf.DUMMYFUNCTION("""COMPUTED_VALUE"""),"Yes, I Understand this is gonna happen everywhere")</f>
        <v>Yes, I Understand this is gonna happen everywhere</v>
      </c>
      <c r="R910" s="1" t="str">
        <f ca="1">IFERROR(__xludf.DUMMYFUNCTION("""COMPUTED_VALUE"""),"This will be hard to do, but if it is the right company I would try")</f>
        <v>This will be hard to do, but if it is the right company I would try</v>
      </c>
      <c r="S910" s="1"/>
    </row>
    <row r="911" spans="1:19" ht="12.5" x14ac:dyDescent="0.25">
      <c r="A911" s="2">
        <f ca="1">IFERROR(__xludf.DUMMYFUNCTION("""COMPUTED_VALUE"""),45024.4395169328)</f>
        <v>45024.439516932798</v>
      </c>
      <c r="B911" s="1" t="str">
        <f ca="1">IFERROR(__xludf.DUMMYFUNCTION("""COMPUTED_VALUE"""),"India")</f>
        <v>India</v>
      </c>
      <c r="C911" s="1">
        <f ca="1">IFERROR(__xludf.DUMMYFUNCTION("""COMPUTED_VALUE"""),700091)</f>
        <v>700091</v>
      </c>
      <c r="D911" s="1" t="str">
        <f ca="1">IFERROR(__xludf.DUMMYFUNCTION("""COMPUTED_VALUE"""),"Female")</f>
        <v>Female</v>
      </c>
      <c r="E911" s="1" t="str">
        <f ca="1">IFERROR(__xludf.DUMMYFUNCTION("""COMPUTED_VALUE"""),"People from my circle, but not family members")</f>
        <v>People from my circle, but not family members</v>
      </c>
      <c r="F911" s="1" t="str">
        <f ca="1">IFERROR(__xludf.DUMMYFUNCTION("""COMPUTED_VALUE"""),"No I would not be pursuing Higher Education outside of India")</f>
        <v>No I would not be pursuing Higher Education outside of India</v>
      </c>
      <c r="G911" s="1" t="str">
        <f ca="1">IFERROR(__xludf.DUMMYFUNCTION("""COMPUTED_VALUE"""),"Will work for 3 years or more")</f>
        <v>Will work for 3 years or more</v>
      </c>
      <c r="H911" s="1" t="str">
        <f ca="1">IFERROR(__xludf.DUMMYFUNCTION("""COMPUTED_VALUE"""),"No")</f>
        <v>No</v>
      </c>
      <c r="I911" s="1" t="str">
        <f ca="1">IFERROR(__xludf.DUMMYFUNCTION("""COMPUTED_VALUE"""),"Will NOT work for them")</f>
        <v>Will NOT work for them</v>
      </c>
      <c r="J911" s="1">
        <f ca="1">IFERROR(__xludf.DUMMYFUNCTION("""COMPUTED_VALUE"""),7)</f>
        <v>7</v>
      </c>
      <c r="K911" s="1" t="str">
        <f ca="1">IFERROR(__xludf.DUMMYFUNCTION("""COMPUTED_VALUE"""),"Hybrid Working Environment with more than 15 days a month at office")</f>
        <v>Hybrid Working Environment with more than 15 days a month at office</v>
      </c>
      <c r="L9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1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11" s="1" t="str">
        <f ca="1">IFERROR(__xludf.DUMMYFUNCTION("""COMPUTED_VALUE"""),"Manage and drive End-to-End Projects or Products, Design and Develop amazing software, Look deeply into Data and generate insights, Work as a freelancer and do my thing my way")</f>
        <v>Manage and drive End-to-End Projects or Products, Design and Develop amazing software, Look deeply into Data and generate insights, Work as a freelancer and do my thing my way</v>
      </c>
      <c r="O911" s="1" t="str">
        <f ca="1">IFERROR(__xludf.DUMMYFUNCTION("""COMPUTED_VALUE"""),"Manager who explains what is expected, sets a goal and helps achieve it")</f>
        <v>Manager who explains what is expected, sets a goal and helps achieve it</v>
      </c>
      <c r="P911" s="1" t="str">
        <f ca="1">IFERROR(__xludf.DUMMYFUNCTION("""COMPUTED_VALUE"""),"Work with 2 to 3 people in my team, Work with 5 to 6 people in my team")</f>
        <v>Work with 2 to 3 people in my team, Work with 5 to 6 people in my team</v>
      </c>
      <c r="Q911" s="1" t="str">
        <f ca="1">IFERROR(__xludf.DUMMYFUNCTION("""COMPUTED_VALUE"""),"Yes, I Understand this is gonna happen everywhere")</f>
        <v>Yes, I Understand this is gonna happen everywhere</v>
      </c>
      <c r="R911" s="1" t="str">
        <f ca="1">IFERROR(__xludf.DUMMYFUNCTION("""COMPUTED_VALUE"""),"This will be hard to do, but if it is the right company I would try")</f>
        <v>This will be hard to do, but if it is the right company I would try</v>
      </c>
      <c r="S911" s="1"/>
    </row>
    <row r="912" spans="1:19" ht="12.5" x14ac:dyDescent="0.25">
      <c r="A912" s="2">
        <f ca="1">IFERROR(__xludf.DUMMYFUNCTION("""COMPUTED_VALUE"""),45024.4396742245)</f>
        <v>45024.439674224501</v>
      </c>
      <c r="B912" s="1" t="str">
        <f ca="1">IFERROR(__xludf.DUMMYFUNCTION("""COMPUTED_VALUE"""),"India")</f>
        <v>India</v>
      </c>
      <c r="C912" s="1">
        <f ca="1">IFERROR(__xludf.DUMMYFUNCTION("""COMPUTED_VALUE"""),600015)</f>
        <v>600015</v>
      </c>
      <c r="D912" s="1" t="str">
        <f ca="1">IFERROR(__xludf.DUMMYFUNCTION("""COMPUTED_VALUE"""),"Male")</f>
        <v>Male</v>
      </c>
      <c r="E912" s="1" t="str">
        <f ca="1">IFERROR(__xludf.DUMMYFUNCTION("""COMPUTED_VALUE"""),"People from my circle, but not family members")</f>
        <v>People from my circle, but not family members</v>
      </c>
      <c r="F912" s="1" t="str">
        <f ca="1">IFERROR(__xludf.DUMMYFUNCTION("""COMPUTED_VALUE"""),"Yes, I will earn and do that")</f>
        <v>Yes, I will earn and do that</v>
      </c>
      <c r="G912" s="1" t="str">
        <f ca="1">IFERROR(__xludf.DUMMYFUNCTION("""COMPUTED_VALUE"""),"This will be hard to do, but if it is the right company I would try")</f>
        <v>This will be hard to do, but if it is the right company I would try</v>
      </c>
      <c r="H912" s="1" t="str">
        <f ca="1">IFERROR(__xludf.DUMMYFUNCTION("""COMPUTED_VALUE"""),"Yes")</f>
        <v>Yes</v>
      </c>
      <c r="I912" s="1" t="str">
        <f ca="1">IFERROR(__xludf.DUMMYFUNCTION("""COMPUTED_VALUE"""),"Will work for them")</f>
        <v>Will work for them</v>
      </c>
      <c r="J912" s="1">
        <f ca="1">IFERROR(__xludf.DUMMYFUNCTION("""COMPUTED_VALUE"""),7)</f>
        <v>7</v>
      </c>
      <c r="K912" s="1" t="str">
        <f ca="1">IFERROR(__xludf.DUMMYFUNCTION("""COMPUTED_VALUE"""),"Hybrid Working Environment with more than 15 days a month at office")</f>
        <v>Hybrid Working Environment with more than 15 days a month at office</v>
      </c>
      <c r="L912" s="1" t="str">
        <f ca="1">IFERROR(__xludf.DUMMYFUNCTION("""COMPUTED_VALUE"""),"Employer who appreciates learning and enables that environment")</f>
        <v>Employer who appreciates learning and enables that environment</v>
      </c>
      <c r="M91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12" s="1" t="str">
        <f ca="1">IFERROR(__xludf.DUMMYFUNCTION("""COMPUTED_VALUE"""),"Business Operations in any organization, Look deeply into Data and generate insights, Work in a BPO setup for some well known client, Entrepreneur or Start Up")</f>
        <v>Business Operations in any organization, Look deeply into Data and generate insights, Work in a BPO setup for some well known client, Entrepreneur or Start Up</v>
      </c>
      <c r="O912" s="1" t="str">
        <f ca="1">IFERROR(__xludf.DUMMYFUNCTION("""COMPUTED_VALUE"""),"Manager who explains what is expected, sets a goal and helps achieve it")</f>
        <v>Manager who explains what is expected, sets a goal and helps achieve it</v>
      </c>
      <c r="P912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912" s="1" t="str">
        <f ca="1">IFERROR(__xludf.DUMMYFUNCTION("""COMPUTED_VALUE"""),"Yes, I Understand this is gonna happen everywhere")</f>
        <v>Yes, I Understand this is gonna happen everywhere</v>
      </c>
      <c r="R912" s="1" t="str">
        <f ca="1">IFERROR(__xludf.DUMMYFUNCTION("""COMPUTED_VALUE"""),"No way")</f>
        <v>No way</v>
      </c>
      <c r="S912" s="1"/>
    </row>
    <row r="913" spans="1:19" ht="12.5" x14ac:dyDescent="0.25">
      <c r="A913" s="2">
        <f ca="1">IFERROR(__xludf.DUMMYFUNCTION("""COMPUTED_VALUE"""),45024.4542251736)</f>
        <v>45024.454225173598</v>
      </c>
      <c r="B913" s="1" t="str">
        <f ca="1">IFERROR(__xludf.DUMMYFUNCTION("""COMPUTED_VALUE"""),"India")</f>
        <v>India</v>
      </c>
      <c r="C913" s="1">
        <f ca="1">IFERROR(__xludf.DUMMYFUNCTION("""COMPUTED_VALUE"""),530051)</f>
        <v>530051</v>
      </c>
      <c r="D913" s="1" t="str">
        <f ca="1">IFERROR(__xludf.DUMMYFUNCTION("""COMPUTED_VALUE"""),"Female")</f>
        <v>Female</v>
      </c>
      <c r="E913" s="1" t="str">
        <f ca="1">IFERROR(__xludf.DUMMYFUNCTION("""COMPUTED_VALUE"""),"People who have changed the world for better")</f>
        <v>People who have changed the world for better</v>
      </c>
      <c r="F913" s="1" t="str">
        <f ca="1">IFERROR(__xludf.DUMMYFUNCTION("""COMPUTED_VALUE"""),"No I would not be pursuing Higher Education outside of India")</f>
        <v>No I would not be pursuing Higher Education outside of India</v>
      </c>
      <c r="G913" s="1" t="str">
        <f ca="1">IFERROR(__xludf.DUMMYFUNCTION("""COMPUTED_VALUE"""),"This will be hard to do, but if it is the right company I would try")</f>
        <v>This will be hard to do, but if it is the right company I would try</v>
      </c>
      <c r="H913" s="1" t="str">
        <f ca="1">IFERROR(__xludf.DUMMYFUNCTION("""COMPUTED_VALUE"""),"No")</f>
        <v>No</v>
      </c>
      <c r="I913" s="1" t="str">
        <f ca="1">IFERROR(__xludf.DUMMYFUNCTION("""COMPUTED_VALUE"""),"Will NOT work for them")</f>
        <v>Will NOT work for them</v>
      </c>
      <c r="J913" s="1">
        <f ca="1">IFERROR(__xludf.DUMMYFUNCTION("""COMPUTED_VALUE"""),9)</f>
        <v>9</v>
      </c>
      <c r="K913" s="1" t="str">
        <f ca="1">IFERROR(__xludf.DUMMYFUNCTION("""COMPUTED_VALUE"""),"Fully Remote with Options to travel as and when needed")</f>
        <v>Fully Remote with Options to travel as and when needed</v>
      </c>
      <c r="L9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13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913" s="1" t="str">
        <f ca="1">IFERROR(__xludf.DUMMYFUNCTION("""COMPUTED_VALUE"""),"Design and Creative strategy in any company, Teaching in any of the institutes/colleges/online or offline, Look deeply into Data and generate insights, Become a content Creator in some platform")</f>
        <v>Design and Creative strategy in any company, Teaching in any of the institutes/colleges/online or offline, Look deeply into Data and generate insights, Become a content Creator in some platform</v>
      </c>
      <c r="O913" s="1" t="str">
        <f ca="1">IFERROR(__xludf.DUMMYFUNCTION("""COMPUTED_VALUE"""),"Manager who clearly describes what she/he needs")</f>
        <v>Manager who clearly describes what she/he needs</v>
      </c>
      <c r="P913" s="1" t="str">
        <f ca="1">IFERROR(__xludf.DUMMYFUNCTION("""COMPUTED_VALUE"""),"Work with 2 to 3 people in my team, Work with 5 to 6 people in my team, Work with more than 10 people in my team")</f>
        <v>Work with 2 to 3 people in my team, Work with 5 to 6 people in my team, Work with more than 10 people in my team</v>
      </c>
      <c r="Q913" s="1" t="str">
        <f ca="1">IFERROR(__xludf.DUMMYFUNCTION("""COMPUTED_VALUE"""),"Yes, I Understand this is gonna happen everywhere")</f>
        <v>Yes, I Understand this is gonna happen everywhere</v>
      </c>
      <c r="R913" s="1" t="str">
        <f ca="1">IFERROR(__xludf.DUMMYFUNCTION("""COMPUTED_VALUE"""),"No way")</f>
        <v>No way</v>
      </c>
      <c r="S913" s="1"/>
    </row>
    <row r="914" spans="1:19" ht="12.5" x14ac:dyDescent="0.25">
      <c r="A914" s="2">
        <f ca="1">IFERROR(__xludf.DUMMYFUNCTION("""COMPUTED_VALUE"""),45024.467157824)</f>
        <v>45024.467157824001</v>
      </c>
      <c r="B914" s="1" t="str">
        <f ca="1">IFERROR(__xludf.DUMMYFUNCTION("""COMPUTED_VALUE"""),"India")</f>
        <v>India</v>
      </c>
      <c r="C914" s="1">
        <f ca="1">IFERROR(__xludf.DUMMYFUNCTION("""COMPUTED_VALUE"""),600095)</f>
        <v>600095</v>
      </c>
      <c r="D914" s="1" t="str">
        <f ca="1">IFERROR(__xludf.DUMMYFUNCTION("""COMPUTED_VALUE"""),"Male")</f>
        <v>Male</v>
      </c>
      <c r="E914" s="1" t="str">
        <f ca="1">IFERROR(__xludf.DUMMYFUNCTION("""COMPUTED_VALUE"""),"People who have changed the world for better")</f>
        <v>People who have changed the world for better</v>
      </c>
      <c r="F914" s="1" t="str">
        <f ca="1">IFERROR(__xludf.DUMMYFUNCTION("""COMPUTED_VALUE"""),"No I would not be pursuing Higher Education outside of India")</f>
        <v>No I would not be pursuing Higher Education outside of India</v>
      </c>
      <c r="G914" s="1" t="str">
        <f ca="1">IFERROR(__xludf.DUMMYFUNCTION("""COMPUTED_VALUE"""),"Will work for 3 years or more")</f>
        <v>Will work for 3 years or more</v>
      </c>
      <c r="H914" s="1" t="str">
        <f ca="1">IFERROR(__xludf.DUMMYFUNCTION("""COMPUTED_VALUE"""),"No")</f>
        <v>No</v>
      </c>
      <c r="I914" s="1" t="str">
        <f ca="1">IFERROR(__xludf.DUMMYFUNCTION("""COMPUTED_VALUE"""),"Will NOT work for them")</f>
        <v>Will NOT work for them</v>
      </c>
      <c r="J914" s="1">
        <f ca="1">IFERROR(__xludf.DUMMYFUNCTION("""COMPUTED_VALUE"""),7)</f>
        <v>7</v>
      </c>
      <c r="K914" s="1" t="str">
        <f ca="1">IFERROR(__xludf.DUMMYFUNCTION("""COMPUTED_VALUE"""),"Every Day Office Environment")</f>
        <v>Every Day Office Environment</v>
      </c>
      <c r="L914" s="1" t="str">
        <f ca="1">IFERROR(__xludf.DUMMYFUNCTION("""COMPUTED_VALUE"""),"Employer who appreciates learning and enables that environment")</f>
        <v>Employer who appreciates learning and enables that environment</v>
      </c>
      <c r="M91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14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914" s="1" t="str">
        <f ca="1">IFERROR(__xludf.DUMMYFUNCTION("""COMPUTED_VALUE"""),"Manager who clearly describes what she/he needs")</f>
        <v>Manager who clearly describes what she/he needs</v>
      </c>
      <c r="P914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914" s="1" t="str">
        <f ca="1">IFERROR(__xludf.DUMMYFUNCTION("""COMPUTED_VALUE"""),"No")</f>
        <v>No</v>
      </c>
      <c r="R914" s="1" t="str">
        <f ca="1">IFERROR(__xludf.DUMMYFUNCTION("""COMPUTED_VALUE"""),"This will be hard to do, but if it is the right company I would try")</f>
        <v>This will be hard to do, but if it is the right company I would try</v>
      </c>
      <c r="S914" s="1"/>
    </row>
    <row r="915" spans="1:19" ht="12.5" x14ac:dyDescent="0.25">
      <c r="A915" s="2">
        <f ca="1">IFERROR(__xludf.DUMMYFUNCTION("""COMPUTED_VALUE"""),45024.4690353935)</f>
        <v>45024.4690353935</v>
      </c>
      <c r="B915" s="1" t="str">
        <f ca="1">IFERROR(__xludf.DUMMYFUNCTION("""COMPUTED_VALUE"""),"India")</f>
        <v>India</v>
      </c>
      <c r="C915" s="1">
        <f ca="1">IFERROR(__xludf.DUMMYFUNCTION("""COMPUTED_VALUE"""),442902)</f>
        <v>442902</v>
      </c>
      <c r="D915" s="1" t="str">
        <f ca="1">IFERROR(__xludf.DUMMYFUNCTION("""COMPUTED_VALUE"""),"Female")</f>
        <v>Female</v>
      </c>
      <c r="E915" s="1" t="str">
        <f ca="1">IFERROR(__xludf.DUMMYFUNCTION("""COMPUTED_VALUE"""),"People who have changed the world for better")</f>
        <v>People who have changed the world for better</v>
      </c>
      <c r="F915" s="1" t="str">
        <f ca="1">IFERROR(__xludf.DUMMYFUNCTION("""COMPUTED_VALUE"""),"No, But if someone could bare the cost I will")</f>
        <v>No, But if someone could bare the cost I will</v>
      </c>
      <c r="G915" s="1" t="str">
        <f ca="1">IFERROR(__xludf.DUMMYFUNCTION("""COMPUTED_VALUE"""),"This will be hard to do, but if it is the right company I would try")</f>
        <v>This will be hard to do, but if it is the right company I would try</v>
      </c>
      <c r="H915" s="1" t="str">
        <f ca="1">IFERROR(__xludf.DUMMYFUNCTION("""COMPUTED_VALUE"""),"Yes")</f>
        <v>Yes</v>
      </c>
      <c r="I915" s="1" t="str">
        <f ca="1">IFERROR(__xludf.DUMMYFUNCTION("""COMPUTED_VALUE"""),"Will NOT work for them")</f>
        <v>Will NOT work for them</v>
      </c>
      <c r="J915" s="1">
        <f ca="1">IFERROR(__xludf.DUMMYFUNCTION("""COMPUTED_VALUE"""),10)</f>
        <v>10</v>
      </c>
      <c r="K915" s="1" t="str">
        <f ca="1">IFERROR(__xludf.DUMMYFUNCTION("""COMPUTED_VALUE"""),"Every Day Office Environment")</f>
        <v>Every Day Office Environment</v>
      </c>
      <c r="L915" s="1" t="str">
        <f ca="1">IFERROR(__xludf.DUMMYFUNCTION("""COMPUTED_VALUE"""),"Employer who appreciates learning and enables that environment")</f>
        <v>Employer who appreciates learning and enables that environment</v>
      </c>
      <c r="M91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15" s="1" t="str">
        <f ca="1">IFERROR(__xludf.DUMMYFUNCTION("""COMPUTED_VALUE"""),"Design and Creative strategy in any company, Business Operations in any organization, I Want to sell things/Sales, An Artificial Intelligence Specialist / Talking to Robots")</f>
        <v>Design and Creative strategy in any company, Business Operations in any organization, I Want to sell things/Sales, An Artificial Intelligence Specialist / Talking to Robots</v>
      </c>
      <c r="O915" s="1" t="str">
        <f ca="1">IFERROR(__xludf.DUMMYFUNCTION("""COMPUTED_VALUE"""),"Manager who sets goal and helps me achieve it")</f>
        <v>Manager who sets goal and helps me achieve it</v>
      </c>
      <c r="P915" s="1" t="str">
        <f ca="1">IFERROR(__xludf.DUMMYFUNCTION("""COMPUTED_VALUE"""),"Work with 2 to 3 people in my team")</f>
        <v>Work with 2 to 3 people in my team</v>
      </c>
      <c r="Q915" s="1" t="str">
        <f ca="1">IFERROR(__xludf.DUMMYFUNCTION("""COMPUTED_VALUE"""),"Yes, I Understand this is gonna happen everywhere")</f>
        <v>Yes, I Understand this is gonna happen everywhere</v>
      </c>
      <c r="R915" s="1" t="str">
        <f ca="1">IFERROR(__xludf.DUMMYFUNCTION("""COMPUTED_VALUE"""),"This will be hard to do, but if it is the right company I would try")</f>
        <v>This will be hard to do, but if it is the right company I would try</v>
      </c>
      <c r="S915" s="1"/>
    </row>
    <row r="916" spans="1:19" ht="12.5" x14ac:dyDescent="0.25">
      <c r="A916" s="2">
        <f ca="1">IFERROR(__xludf.DUMMYFUNCTION("""COMPUTED_VALUE"""),45024.4843937963)</f>
        <v>45024.484393796301</v>
      </c>
      <c r="B916" s="1" t="str">
        <f ca="1">IFERROR(__xludf.DUMMYFUNCTION("""COMPUTED_VALUE"""),"India")</f>
        <v>India</v>
      </c>
      <c r="C916" s="1">
        <f ca="1">IFERROR(__xludf.DUMMYFUNCTION("""COMPUTED_VALUE"""),500060)</f>
        <v>500060</v>
      </c>
      <c r="D916" s="1" t="str">
        <f ca="1">IFERROR(__xludf.DUMMYFUNCTION("""COMPUTED_VALUE"""),"Male")</f>
        <v>Male</v>
      </c>
      <c r="E916" s="1" t="str">
        <f ca="1">IFERROR(__xludf.DUMMYFUNCTION("""COMPUTED_VALUE"""),"People who have changed the world for better")</f>
        <v>People who have changed the world for better</v>
      </c>
      <c r="F916" s="1" t="str">
        <f ca="1">IFERROR(__xludf.DUMMYFUNCTION("""COMPUTED_VALUE"""),"No, But if someone could bare the cost I will")</f>
        <v>No, But if someone could bare the cost I will</v>
      </c>
      <c r="G916" s="1" t="str">
        <f ca="1">IFERROR(__xludf.DUMMYFUNCTION("""COMPUTED_VALUE"""),"This will be hard to do, but if it is the right company I would try")</f>
        <v>This will be hard to do, but if it is the right company I would try</v>
      </c>
      <c r="H916" s="1" t="str">
        <f ca="1">IFERROR(__xludf.DUMMYFUNCTION("""COMPUTED_VALUE"""),"No")</f>
        <v>No</v>
      </c>
      <c r="I916" s="1" t="str">
        <f ca="1">IFERROR(__xludf.DUMMYFUNCTION("""COMPUTED_VALUE"""),"Will NOT work for them")</f>
        <v>Will NOT work for them</v>
      </c>
      <c r="J916" s="1">
        <f ca="1">IFERROR(__xludf.DUMMYFUNCTION("""COMPUTED_VALUE"""),4)</f>
        <v>4</v>
      </c>
      <c r="K916" s="1" t="str">
        <f ca="1">IFERROR(__xludf.DUMMYFUNCTION("""COMPUTED_VALUE"""),"Hybrid Working Environment with more than 15 days a month at office")</f>
        <v>Hybrid Working Environment with more than 15 days a month at office</v>
      </c>
      <c r="L9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16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916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916" s="1" t="str">
        <f ca="1">IFERROR(__xludf.DUMMYFUNCTION("""COMPUTED_VALUE"""),"Manager who explains what is expected, sets a goal and helps achieve it")</f>
        <v>Manager who explains what is expected, sets a goal and helps achieve it</v>
      </c>
      <c r="P916" s="1" t="str">
        <f ca="1">IFERROR(__xludf.DUMMYFUNCTION("""COMPUTED_VALUE"""),"Work with 5 to 6 people in my team")</f>
        <v>Work with 5 to 6 people in my team</v>
      </c>
      <c r="Q916" s="1" t="str">
        <f ca="1">IFERROR(__xludf.DUMMYFUNCTION("""COMPUTED_VALUE"""),"Yes, I Understand this is gonna happen everywhere")</f>
        <v>Yes, I Understand this is gonna happen everywhere</v>
      </c>
      <c r="R916" s="1" t="str">
        <f ca="1">IFERROR(__xludf.DUMMYFUNCTION("""COMPUTED_VALUE"""),"This will be hard to do, but if it is the right company I would try")</f>
        <v>This will be hard to do, but if it is the right company I would try</v>
      </c>
      <c r="S916" s="1"/>
    </row>
    <row r="917" spans="1:19" ht="12.5" x14ac:dyDescent="0.25">
      <c r="A917" s="2">
        <f ca="1">IFERROR(__xludf.DUMMYFUNCTION("""COMPUTED_VALUE"""),45024.4872833564)</f>
        <v>45024.4872833564</v>
      </c>
      <c r="B917" s="1" t="str">
        <f ca="1">IFERROR(__xludf.DUMMYFUNCTION("""COMPUTED_VALUE"""),"India")</f>
        <v>India</v>
      </c>
      <c r="C917" s="1">
        <f ca="1">IFERROR(__xludf.DUMMYFUNCTION("""COMPUTED_VALUE"""),522202)</f>
        <v>522202</v>
      </c>
      <c r="D917" s="1" t="str">
        <f ca="1">IFERROR(__xludf.DUMMYFUNCTION("""COMPUTED_VALUE"""),"Male")</f>
        <v>Male</v>
      </c>
      <c r="E917" s="1" t="str">
        <f ca="1">IFERROR(__xludf.DUMMYFUNCTION("""COMPUTED_VALUE"""),"My Parents")</f>
        <v>My Parents</v>
      </c>
      <c r="F917" s="1" t="str">
        <f ca="1">IFERROR(__xludf.DUMMYFUNCTION("""COMPUTED_VALUE"""),"Yes, I will earn and do that")</f>
        <v>Yes, I will earn and do that</v>
      </c>
      <c r="G917" s="1" t="str">
        <f ca="1">IFERROR(__xludf.DUMMYFUNCTION("""COMPUTED_VALUE"""),"This will be hard to do, but if it is the right company I would try")</f>
        <v>This will be hard to do, but if it is the right company I would try</v>
      </c>
      <c r="H917" s="1" t="str">
        <f ca="1">IFERROR(__xludf.DUMMYFUNCTION("""COMPUTED_VALUE"""),"No")</f>
        <v>No</v>
      </c>
      <c r="I917" s="1" t="str">
        <f ca="1">IFERROR(__xludf.DUMMYFUNCTION("""COMPUTED_VALUE"""),"Will NOT work for them")</f>
        <v>Will NOT work for them</v>
      </c>
      <c r="J917" s="1">
        <f ca="1">IFERROR(__xludf.DUMMYFUNCTION("""COMPUTED_VALUE"""),5)</f>
        <v>5</v>
      </c>
      <c r="K917" s="1" t="str">
        <f ca="1">IFERROR(__xludf.DUMMYFUNCTION("""COMPUTED_VALUE"""),"Hybrid Working Environment with more than 15 days a month at office")</f>
        <v>Hybrid Working Environment with more than 15 days a month at office</v>
      </c>
      <c r="L9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1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17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917" s="1" t="str">
        <f ca="1">IFERROR(__xludf.DUMMYFUNCTION("""COMPUTED_VALUE"""),"Manager who sets goal and helps me achieve it")</f>
        <v>Manager who sets goal and helps me achieve it</v>
      </c>
      <c r="P917" s="1" t="str">
        <f ca="1">IFERROR(__xludf.DUMMYFUNCTION("""COMPUTED_VALUE"""),"Work with 2 to 3 people in my team, Work with 5 to 6 people in my team")</f>
        <v>Work with 2 to 3 people in my team, Work with 5 to 6 people in my team</v>
      </c>
      <c r="Q917" s="1" t="str">
        <f ca="1">IFERROR(__xludf.DUMMYFUNCTION("""COMPUTED_VALUE"""),"Yes, I Understand this is gonna happen everywhere")</f>
        <v>Yes, I Understand this is gonna happen everywhere</v>
      </c>
      <c r="R917" s="1" t="str">
        <f ca="1">IFERROR(__xludf.DUMMYFUNCTION("""COMPUTED_VALUE"""),"This will be hard to do, but if it is the right company I would try")</f>
        <v>This will be hard to do, but if it is the right company I would try</v>
      </c>
      <c r="S917" s="1"/>
    </row>
    <row r="918" spans="1:19" ht="12.5" x14ac:dyDescent="0.25">
      <c r="A918" s="2">
        <f ca="1">IFERROR(__xludf.DUMMYFUNCTION("""COMPUTED_VALUE"""),45024.4931761458)</f>
        <v>45024.493176145799</v>
      </c>
      <c r="B918" s="1" t="str">
        <f ca="1">IFERROR(__xludf.DUMMYFUNCTION("""COMPUTED_VALUE"""),"India")</f>
        <v>India</v>
      </c>
      <c r="C918" s="1">
        <f ca="1">IFERROR(__xludf.DUMMYFUNCTION("""COMPUTED_VALUE"""),110058)</f>
        <v>110058</v>
      </c>
      <c r="D918" s="1" t="str">
        <f ca="1">IFERROR(__xludf.DUMMYFUNCTION("""COMPUTED_VALUE"""),"Male")</f>
        <v>Male</v>
      </c>
      <c r="E918" s="1" t="str">
        <f ca="1">IFERROR(__xludf.DUMMYFUNCTION("""COMPUTED_VALUE"""),"My Parents")</f>
        <v>My Parents</v>
      </c>
      <c r="F918" s="1" t="str">
        <f ca="1">IFERROR(__xludf.DUMMYFUNCTION("""COMPUTED_VALUE"""),"Yes, I will earn and do that")</f>
        <v>Yes, I will earn and do that</v>
      </c>
      <c r="G918" s="1" t="str">
        <f ca="1">IFERROR(__xludf.DUMMYFUNCTION("""COMPUTED_VALUE"""),"Will work for 3 years or more")</f>
        <v>Will work for 3 years or more</v>
      </c>
      <c r="H918" s="1" t="str">
        <f ca="1">IFERROR(__xludf.DUMMYFUNCTION("""COMPUTED_VALUE"""),"No")</f>
        <v>No</v>
      </c>
      <c r="I918" s="1" t="str">
        <f ca="1">IFERROR(__xludf.DUMMYFUNCTION("""COMPUTED_VALUE"""),"Will NOT work for them")</f>
        <v>Will NOT work for them</v>
      </c>
      <c r="J918" s="1">
        <f ca="1">IFERROR(__xludf.DUMMYFUNCTION("""COMPUTED_VALUE"""),5)</f>
        <v>5</v>
      </c>
      <c r="K918" s="1" t="str">
        <f ca="1">IFERROR(__xludf.DUMMYFUNCTION("""COMPUTED_VALUE"""),"Hybrid Working Environment with less than 3 days a month at office")</f>
        <v>Hybrid Working Environment with less than 3 days a month at office</v>
      </c>
      <c r="L9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1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18" s="1" t="str">
        <f ca="1">IFERROR(__xludf.DUMMYFUNCTION("""COMPUTED_VALUE"""),"Design and Creative strategy in any company, Teaching in any of the institutes/colleges/online or offline, Business Operations in any organization, Work in a BPO setup for some well known client")</f>
        <v>Design and Creative strategy in any company, Teaching in any of the institutes/colleges/online or offline, Business Operations in any organization, Work in a BPO setup for some well known client</v>
      </c>
      <c r="O918" s="1" t="str">
        <f ca="1">IFERROR(__xludf.DUMMYFUNCTION("""COMPUTED_VALUE"""),"Manager who explains what is expected, sets a goal and helps achieve it")</f>
        <v>Manager who explains what is expected, sets a goal and helps achieve it</v>
      </c>
      <c r="P918" s="1" t="str">
        <f ca="1">IFERROR(__xludf.DUMMYFUNCTION("""COMPUTED_VALUE"""),"Work with 5 to 6 people in my team")</f>
        <v>Work with 5 to 6 people in my team</v>
      </c>
      <c r="Q918" s="1" t="str">
        <f ca="1">IFERROR(__xludf.DUMMYFUNCTION("""COMPUTED_VALUE"""),"Yes, I Understand this is gonna happen everywhere")</f>
        <v>Yes, I Understand this is gonna happen everywhere</v>
      </c>
      <c r="R918" s="1" t="str">
        <f ca="1">IFERROR(__xludf.DUMMYFUNCTION("""COMPUTED_VALUE"""),"This will be hard to do, but if it is the right company I would try")</f>
        <v>This will be hard to do, but if it is the right company I would try</v>
      </c>
      <c r="S918" s="1"/>
    </row>
    <row r="919" spans="1:19" ht="12.5" x14ac:dyDescent="0.25">
      <c r="A919" s="2">
        <f ca="1">IFERROR(__xludf.DUMMYFUNCTION("""COMPUTED_VALUE"""),45024.5010953472)</f>
        <v>45024.501095347201</v>
      </c>
      <c r="B919" s="1" t="str">
        <f ca="1">IFERROR(__xludf.DUMMYFUNCTION("""COMPUTED_VALUE"""),"India")</f>
        <v>India</v>
      </c>
      <c r="C919" s="1">
        <f ca="1">IFERROR(__xludf.DUMMYFUNCTION("""COMPUTED_VALUE"""),110089)</f>
        <v>110089</v>
      </c>
      <c r="D919" s="1" t="str">
        <f ca="1">IFERROR(__xludf.DUMMYFUNCTION("""COMPUTED_VALUE"""),"Female")</f>
        <v>Female</v>
      </c>
      <c r="E919" s="1" t="str">
        <f ca="1">IFERROR(__xludf.DUMMYFUNCTION("""COMPUTED_VALUE"""),"My Parents")</f>
        <v>My Parents</v>
      </c>
      <c r="F919" s="1" t="str">
        <f ca="1">IFERROR(__xludf.DUMMYFUNCTION("""COMPUTED_VALUE"""),"No I would not be pursuing Higher Education outside of India")</f>
        <v>No I would not be pursuing Higher Education outside of India</v>
      </c>
      <c r="G919" s="1" t="str">
        <f ca="1">IFERROR(__xludf.DUMMYFUNCTION("""COMPUTED_VALUE"""),"Will work for 3 years or more")</f>
        <v>Will work for 3 years or more</v>
      </c>
      <c r="H919" s="1" t="str">
        <f ca="1">IFERROR(__xludf.DUMMYFUNCTION("""COMPUTED_VALUE"""),"No")</f>
        <v>No</v>
      </c>
      <c r="I919" s="1" t="str">
        <f ca="1">IFERROR(__xludf.DUMMYFUNCTION("""COMPUTED_VALUE"""),"Will NOT work for them")</f>
        <v>Will NOT work for them</v>
      </c>
      <c r="J919" s="1">
        <f ca="1">IFERROR(__xludf.DUMMYFUNCTION("""COMPUTED_VALUE"""),9)</f>
        <v>9</v>
      </c>
      <c r="K919" s="1" t="str">
        <f ca="1">IFERROR(__xludf.DUMMYFUNCTION("""COMPUTED_VALUE"""),"Every Day Office Environment")</f>
        <v>Every Day Office Environment</v>
      </c>
      <c r="L9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1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19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919" s="1" t="str">
        <f ca="1">IFERROR(__xludf.DUMMYFUNCTION("""COMPUTED_VALUE"""),"Manager who explains what is expected, sets a goal and helps achieve it")</f>
        <v>Manager who explains what is expected, sets a goal and helps achieve it</v>
      </c>
      <c r="P919" s="1" t="str">
        <f ca="1">IFERROR(__xludf.DUMMYFUNCTION("""COMPUTED_VALUE"""),"Work alone, Work with 2 to 3 people in my team")</f>
        <v>Work alone, Work with 2 to 3 people in my team</v>
      </c>
      <c r="Q919" s="1" t="str">
        <f ca="1">IFERROR(__xludf.DUMMYFUNCTION("""COMPUTED_VALUE"""),"I have NO other choice")</f>
        <v>I have NO other choice</v>
      </c>
      <c r="R919" s="1" t="str">
        <f ca="1">IFERROR(__xludf.DUMMYFUNCTION("""COMPUTED_VALUE"""),"No way")</f>
        <v>No way</v>
      </c>
      <c r="S919" s="1"/>
    </row>
    <row r="920" spans="1:19" ht="12.5" x14ac:dyDescent="0.25">
      <c r="A920" s="2">
        <f ca="1">IFERROR(__xludf.DUMMYFUNCTION("""COMPUTED_VALUE"""),45024.5076423958)</f>
        <v>45024.507642395802</v>
      </c>
      <c r="B920" s="1" t="str">
        <f ca="1">IFERROR(__xludf.DUMMYFUNCTION("""COMPUTED_VALUE"""),"India")</f>
        <v>India</v>
      </c>
      <c r="C920" s="1">
        <f ca="1">IFERROR(__xludf.DUMMYFUNCTION("""COMPUTED_VALUE"""),600117)</f>
        <v>600117</v>
      </c>
      <c r="D920" s="1" t="str">
        <f ca="1">IFERROR(__xludf.DUMMYFUNCTION("""COMPUTED_VALUE"""),"Male")</f>
        <v>Male</v>
      </c>
      <c r="E920" s="1" t="str">
        <f ca="1">IFERROR(__xludf.DUMMYFUNCTION("""COMPUTED_VALUE"""),"Influencers who had successful careers")</f>
        <v>Influencers who had successful careers</v>
      </c>
      <c r="F920" s="1" t="str">
        <f ca="1">IFERROR(__xludf.DUMMYFUNCTION("""COMPUTED_VALUE"""),"Yes, I will earn and do that")</f>
        <v>Yes, I will earn and do that</v>
      </c>
      <c r="G920" s="1" t="str">
        <f ca="1">IFERROR(__xludf.DUMMYFUNCTION("""COMPUTED_VALUE"""),"This will be hard to do, but if it is the right company I would try")</f>
        <v>This will be hard to do, but if it is the right company I would try</v>
      </c>
      <c r="H920" s="1" t="str">
        <f ca="1">IFERROR(__xludf.DUMMYFUNCTION("""COMPUTED_VALUE"""),"No")</f>
        <v>No</v>
      </c>
      <c r="I920" s="1" t="str">
        <f ca="1">IFERROR(__xludf.DUMMYFUNCTION("""COMPUTED_VALUE"""),"Will NOT work for them")</f>
        <v>Will NOT work for them</v>
      </c>
      <c r="J920" s="1">
        <f ca="1">IFERROR(__xludf.DUMMYFUNCTION("""COMPUTED_VALUE"""),3)</f>
        <v>3</v>
      </c>
      <c r="K920" s="1" t="str">
        <f ca="1">IFERROR(__xludf.DUMMYFUNCTION("""COMPUTED_VALUE"""),"Hybrid Working Environment with less than 3 days a month at office")</f>
        <v>Hybrid Working Environment with less than 3 days a month at office</v>
      </c>
      <c r="L920" s="1" t="str">
        <f ca="1">IFERROR(__xludf.DUMMYFUNCTION("""COMPUTED_VALUE"""),"Employer who rewards learning and enables that environment")</f>
        <v>Employer who rewards learning and enables that environment</v>
      </c>
      <c r="M92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20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920" s="1" t="str">
        <f ca="1">IFERROR(__xludf.DUMMYFUNCTION("""COMPUTED_VALUE"""),"Manager who sets goal and helps me achieve it")</f>
        <v>Manager who sets goal and helps me achieve it</v>
      </c>
      <c r="P920" s="1" t="str">
        <f ca="1">IFERROR(__xludf.DUMMYFUNCTION("""COMPUTED_VALUE"""),"Work with 2 to 3 people in my team")</f>
        <v>Work with 2 to 3 people in my team</v>
      </c>
      <c r="Q920" s="1" t="str">
        <f ca="1">IFERROR(__xludf.DUMMYFUNCTION("""COMPUTED_VALUE"""),"Yes, I Understand this is gonna happen everywhere")</f>
        <v>Yes, I Understand this is gonna happen everywhere</v>
      </c>
      <c r="R920" s="1" t="str">
        <f ca="1">IFERROR(__xludf.DUMMYFUNCTION("""COMPUTED_VALUE"""),"This will be hard to do, but if it is the right company I would try")</f>
        <v>This will be hard to do, but if it is the right company I would try</v>
      </c>
      <c r="S920" s="1"/>
    </row>
    <row r="921" spans="1:19" ht="12.5" x14ac:dyDescent="0.25">
      <c r="A921" s="2">
        <f ca="1">IFERROR(__xludf.DUMMYFUNCTION("""COMPUTED_VALUE"""),45024.5107562037)</f>
        <v>45024.510756203701</v>
      </c>
      <c r="B921" s="1" t="str">
        <f ca="1">IFERROR(__xludf.DUMMYFUNCTION("""COMPUTED_VALUE"""),"India")</f>
        <v>India</v>
      </c>
      <c r="C921" s="1">
        <f ca="1">IFERROR(__xludf.DUMMYFUNCTION("""COMPUTED_VALUE"""),600042)</f>
        <v>600042</v>
      </c>
      <c r="D921" s="1" t="str">
        <f ca="1">IFERROR(__xludf.DUMMYFUNCTION("""COMPUTED_VALUE"""),"Male")</f>
        <v>Male</v>
      </c>
      <c r="E921" s="1" t="str">
        <f ca="1">IFERROR(__xludf.DUMMYFUNCTION("""COMPUTED_VALUE"""),"My Parents")</f>
        <v>My Parents</v>
      </c>
      <c r="F921" s="1" t="str">
        <f ca="1">IFERROR(__xludf.DUMMYFUNCTION("""COMPUTED_VALUE"""),"Yes, I will earn and do that")</f>
        <v>Yes, I will earn and do that</v>
      </c>
      <c r="G921" s="1" t="str">
        <f ca="1">IFERROR(__xludf.DUMMYFUNCTION("""COMPUTED_VALUE"""),"This will be hard to do, but if it is the right company I would try")</f>
        <v>This will be hard to do, but if it is the right company I would try</v>
      </c>
      <c r="H921" s="1" t="str">
        <f ca="1">IFERROR(__xludf.DUMMYFUNCTION("""COMPUTED_VALUE"""),"No")</f>
        <v>No</v>
      </c>
      <c r="I921" s="1" t="str">
        <f ca="1">IFERROR(__xludf.DUMMYFUNCTION("""COMPUTED_VALUE"""),"Will NOT work for them")</f>
        <v>Will NOT work for them</v>
      </c>
      <c r="J921" s="1">
        <f ca="1">IFERROR(__xludf.DUMMYFUNCTION("""COMPUTED_VALUE"""),6)</f>
        <v>6</v>
      </c>
      <c r="K921" s="1" t="str">
        <f ca="1">IFERROR(__xludf.DUMMYFUNCTION("""COMPUTED_VALUE"""),"Every Day Office Environment")</f>
        <v>Every Day Office Environment</v>
      </c>
      <c r="L9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921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921" s="1" t="str">
        <f ca="1">IFERROR(__xludf.DUMMYFUNCTION("""COMPUTED_VALUE"""),"Manager who sets goal and helps me achieve it")</f>
        <v>Manager who sets goal and helps me achieve it</v>
      </c>
      <c r="P921" s="1" t="str">
        <f ca="1">IFERROR(__xludf.DUMMYFUNCTION("""COMPUTED_VALUE"""),"Work with 2 to 3 people in my team")</f>
        <v>Work with 2 to 3 people in my team</v>
      </c>
      <c r="Q921" s="1" t="str">
        <f ca="1">IFERROR(__xludf.DUMMYFUNCTION("""COMPUTED_VALUE"""),"No")</f>
        <v>No</v>
      </c>
      <c r="R921" s="1" t="str">
        <f ca="1">IFERROR(__xludf.DUMMYFUNCTION("""COMPUTED_VALUE"""),"No way")</f>
        <v>No way</v>
      </c>
      <c r="S921" s="1"/>
    </row>
    <row r="922" spans="1:19" ht="12.5" x14ac:dyDescent="0.25">
      <c r="A922" s="2">
        <f ca="1">IFERROR(__xludf.DUMMYFUNCTION("""COMPUTED_VALUE"""),45024.5170838425)</f>
        <v>45024.517083842497</v>
      </c>
      <c r="B922" s="1" t="str">
        <f ca="1">IFERROR(__xludf.DUMMYFUNCTION("""COMPUTED_VALUE"""),"India")</f>
        <v>India</v>
      </c>
      <c r="C922" s="1">
        <f ca="1">IFERROR(__xludf.DUMMYFUNCTION("""COMPUTED_VALUE"""),753010)</f>
        <v>753010</v>
      </c>
      <c r="D922" s="1" t="str">
        <f ca="1">IFERROR(__xludf.DUMMYFUNCTION("""COMPUTED_VALUE"""),"Male")</f>
        <v>Male</v>
      </c>
      <c r="E922" s="1" t="str">
        <f ca="1">IFERROR(__xludf.DUMMYFUNCTION("""COMPUTED_VALUE"""),"Influencers who had successful careers")</f>
        <v>Influencers who had successful careers</v>
      </c>
      <c r="F922" s="1" t="str">
        <f ca="1">IFERROR(__xludf.DUMMYFUNCTION("""COMPUTED_VALUE"""),"No I would not be pursuing Higher Education outside of India")</f>
        <v>No I would not be pursuing Higher Education outside of India</v>
      </c>
      <c r="G922" s="1" t="str">
        <f ca="1">IFERROR(__xludf.DUMMYFUNCTION("""COMPUTED_VALUE"""),"This will be hard to do, but if it is the right company I would try")</f>
        <v>This will be hard to do, but if it is the right company I would try</v>
      </c>
      <c r="H922" s="1" t="str">
        <f ca="1">IFERROR(__xludf.DUMMYFUNCTION("""COMPUTED_VALUE"""),"No")</f>
        <v>No</v>
      </c>
      <c r="I922" s="1" t="str">
        <f ca="1">IFERROR(__xludf.DUMMYFUNCTION("""COMPUTED_VALUE"""),"Will NOT work for them")</f>
        <v>Will NOT work for them</v>
      </c>
      <c r="J922" s="1">
        <f ca="1">IFERROR(__xludf.DUMMYFUNCTION("""COMPUTED_VALUE"""),2)</f>
        <v>2</v>
      </c>
      <c r="K922" s="1" t="str">
        <f ca="1">IFERROR(__xludf.DUMMYFUNCTION("""COMPUTED_VALUE"""),"Hybrid Working Environment with more than 15 days a month at office")</f>
        <v>Hybrid Working Environment with more than 15 days a month at office</v>
      </c>
      <c r="L9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22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922" s="1" t="str">
        <f ca="1">IFERROR(__xludf.DUMMYFUNCTION("""COMPUTED_VALUE"""),"Manager who sets targets and expects me to achieve it")</f>
        <v>Manager who sets targets and expects me to achieve it</v>
      </c>
      <c r="P922" s="1" t="str">
        <f ca="1">IFERROR(__xludf.DUMMYFUNCTION("""COMPUTED_VALUE"""),"Work with 2 to 3 people in my team")</f>
        <v>Work with 2 to 3 people in my team</v>
      </c>
      <c r="Q922" s="1" t="str">
        <f ca="1">IFERROR(__xludf.DUMMYFUNCTION("""COMPUTED_VALUE"""),"Yes, I Understand this is gonna happen everywhere")</f>
        <v>Yes, I Understand this is gonna happen everywhere</v>
      </c>
      <c r="R922" s="1" t="str">
        <f ca="1">IFERROR(__xludf.DUMMYFUNCTION("""COMPUTED_VALUE"""),"This will be hard to do, but if it is the right company I would try")</f>
        <v>This will be hard to do, but if it is the right company I would try</v>
      </c>
      <c r="S922" s="1"/>
    </row>
    <row r="923" spans="1:19" ht="12.5" x14ac:dyDescent="0.25">
      <c r="A923" s="2">
        <f ca="1">IFERROR(__xludf.DUMMYFUNCTION("""COMPUTED_VALUE"""),45024.5243302777)</f>
        <v>45024.524330277702</v>
      </c>
      <c r="B923" s="1" t="str">
        <f ca="1">IFERROR(__xludf.DUMMYFUNCTION("""COMPUTED_VALUE"""),"India")</f>
        <v>India</v>
      </c>
      <c r="C923" s="1">
        <f ca="1">IFERROR(__xludf.DUMMYFUNCTION("""COMPUTED_VALUE"""),600100)</f>
        <v>600100</v>
      </c>
      <c r="D923" s="1" t="str">
        <f ca="1">IFERROR(__xludf.DUMMYFUNCTION("""COMPUTED_VALUE"""),"Male")</f>
        <v>Male</v>
      </c>
      <c r="E923" s="1" t="str">
        <f ca="1">IFERROR(__xludf.DUMMYFUNCTION("""COMPUTED_VALUE"""),"Influencers who had successful careers")</f>
        <v>Influencers who had successful careers</v>
      </c>
      <c r="F923" s="1" t="str">
        <f ca="1">IFERROR(__xludf.DUMMYFUNCTION("""COMPUTED_VALUE"""),"No, But if someone could bare the cost I will")</f>
        <v>No, But if someone could bare the cost I will</v>
      </c>
      <c r="G923" s="1" t="str">
        <f ca="1">IFERROR(__xludf.DUMMYFUNCTION("""COMPUTED_VALUE"""),"This will be hard to do, but if it is the right company I would try")</f>
        <v>This will be hard to do, but if it is the right company I would try</v>
      </c>
      <c r="H923" s="1" t="str">
        <f ca="1">IFERROR(__xludf.DUMMYFUNCTION("""COMPUTED_VALUE"""),"No")</f>
        <v>No</v>
      </c>
      <c r="I923" s="1" t="str">
        <f ca="1">IFERROR(__xludf.DUMMYFUNCTION("""COMPUTED_VALUE"""),"Will work for them")</f>
        <v>Will work for them</v>
      </c>
      <c r="J923" s="1">
        <f ca="1">IFERROR(__xludf.DUMMYFUNCTION("""COMPUTED_VALUE"""),4)</f>
        <v>4</v>
      </c>
      <c r="K923" s="1" t="str">
        <f ca="1">IFERROR(__xludf.DUMMYFUNCTION("""COMPUTED_VALUE"""),"Fully Remote with Options to travel as and when needed")</f>
        <v>Fully Remote with Options to travel as and when needed</v>
      </c>
      <c r="L923" s="1" t="str">
        <f ca="1">IFERROR(__xludf.DUMMYFUNCTION("""COMPUTED_VALUE"""),"Employer who appreciates learning and enables that environment")</f>
        <v>Employer who appreciates learning and enables that environment</v>
      </c>
      <c r="M92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923" s="1" t="str">
        <f ca="1">IFERROR(__xludf.DUMMYFUNCTION("""COMPUTED_VALUE"""),"Design and Creative strategy in any company, Build and develop a Team, Work as a freelancer and do my thing my way, Manufacturing / Oil and Gas/ Construction / Hard Physical Work related")</f>
        <v>Design and Creative strategy in any company, Build and develop a Team, Work as a freelancer and do my thing my way, Manufacturing / Oil and Gas/ Construction / Hard Physical Work related</v>
      </c>
      <c r="O923" s="1" t="str">
        <f ca="1">IFERROR(__xludf.DUMMYFUNCTION("""COMPUTED_VALUE"""),"Manager who explains what is expected, sets a goal and helps achieve it")</f>
        <v>Manager who explains what is expected, sets a goal and helps achieve it</v>
      </c>
      <c r="P923" s="1" t="str">
        <f ca="1">IFERROR(__xludf.DUMMYFUNCTION("""COMPUTED_VALUE"""),"Work with 2 to 3 people in my team")</f>
        <v>Work with 2 to 3 people in my team</v>
      </c>
      <c r="Q923" s="1" t="str">
        <f ca="1">IFERROR(__xludf.DUMMYFUNCTION("""COMPUTED_VALUE"""),"Yes, I Understand this is gonna happen everywhere")</f>
        <v>Yes, I Understand this is gonna happen everywhere</v>
      </c>
      <c r="R923" s="1" t="str">
        <f ca="1">IFERROR(__xludf.DUMMYFUNCTION("""COMPUTED_VALUE"""),"This will be hard to do, but if it is the right company I would try")</f>
        <v>This will be hard to do, but if it is the right company I would try</v>
      </c>
      <c r="S923" s="1"/>
    </row>
    <row r="924" spans="1:19" ht="12.5" x14ac:dyDescent="0.25">
      <c r="A924" s="2">
        <f ca="1">IFERROR(__xludf.DUMMYFUNCTION("""COMPUTED_VALUE"""),45024.5300592476)</f>
        <v>45024.530059247598</v>
      </c>
      <c r="B924" s="1" t="str">
        <f ca="1">IFERROR(__xludf.DUMMYFUNCTION("""COMPUTED_VALUE"""),"India")</f>
        <v>India</v>
      </c>
      <c r="C924" s="1">
        <f ca="1">IFERROR(__xludf.DUMMYFUNCTION("""COMPUTED_VALUE"""),560034)</f>
        <v>560034</v>
      </c>
      <c r="D924" s="1" t="str">
        <f ca="1">IFERROR(__xludf.DUMMYFUNCTION("""COMPUTED_VALUE"""),"Male")</f>
        <v>Male</v>
      </c>
      <c r="E924" s="1" t="str">
        <f ca="1">IFERROR(__xludf.DUMMYFUNCTION("""COMPUTED_VALUE"""),"People who have changed the world for better")</f>
        <v>People who have changed the world for better</v>
      </c>
      <c r="F924" s="1" t="str">
        <f ca="1">IFERROR(__xludf.DUMMYFUNCTION("""COMPUTED_VALUE"""),"No, But if someone could bare the cost I will")</f>
        <v>No, But if someone could bare the cost I will</v>
      </c>
      <c r="G924" s="1" t="str">
        <f ca="1">IFERROR(__xludf.DUMMYFUNCTION("""COMPUTED_VALUE"""),"This will be hard to do, but if it is the right company I would try")</f>
        <v>This will be hard to do, but if it is the right company I would try</v>
      </c>
      <c r="H924" s="1" t="str">
        <f ca="1">IFERROR(__xludf.DUMMYFUNCTION("""COMPUTED_VALUE"""),"No")</f>
        <v>No</v>
      </c>
      <c r="I924" s="1" t="str">
        <f ca="1">IFERROR(__xludf.DUMMYFUNCTION("""COMPUTED_VALUE"""),"Will NOT work for them")</f>
        <v>Will NOT work for them</v>
      </c>
      <c r="J924" s="1">
        <f ca="1">IFERROR(__xludf.DUMMYFUNCTION("""COMPUTED_VALUE"""),7)</f>
        <v>7</v>
      </c>
      <c r="K924" s="1" t="str">
        <f ca="1">IFERROR(__xludf.DUMMYFUNCTION("""COMPUTED_VALUE"""),"Hybrid Working Environment with more than 15 days a month at office")</f>
        <v>Hybrid Working Environment with more than 15 days a month at office</v>
      </c>
      <c r="L9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4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924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924" s="1" t="str">
        <f ca="1">IFERROR(__xludf.DUMMYFUNCTION("""COMPUTED_VALUE"""),"Manager who explains what is expected, sets a goal and helps achieve it")</f>
        <v>Manager who explains what is expected, sets a goal and helps achieve it</v>
      </c>
      <c r="P924" s="1" t="str">
        <f ca="1">IFERROR(__xludf.DUMMYFUNCTION("""COMPUTED_VALUE"""),"Work with 2 to 3 people in my team")</f>
        <v>Work with 2 to 3 people in my team</v>
      </c>
      <c r="Q924" s="1" t="str">
        <f ca="1">IFERROR(__xludf.DUMMYFUNCTION("""COMPUTED_VALUE"""),"Yes, I Understand this is gonna happen everywhere")</f>
        <v>Yes, I Understand this is gonna happen everywhere</v>
      </c>
      <c r="R924" s="1" t="str">
        <f ca="1">IFERROR(__xludf.DUMMYFUNCTION("""COMPUTED_VALUE"""),"This will be hard to do, but if it is the right company I would try")</f>
        <v>This will be hard to do, but if it is the right company I would try</v>
      </c>
      <c r="S924" s="1"/>
    </row>
    <row r="925" spans="1:19" ht="12.5" x14ac:dyDescent="0.25">
      <c r="A925" s="2">
        <f ca="1">IFERROR(__xludf.DUMMYFUNCTION("""COMPUTED_VALUE"""),45024.5444329398)</f>
        <v>45024.544432939801</v>
      </c>
      <c r="B925" s="1" t="str">
        <f ca="1">IFERROR(__xludf.DUMMYFUNCTION("""COMPUTED_VALUE"""),"India")</f>
        <v>India</v>
      </c>
      <c r="C925" s="1">
        <f ca="1">IFERROR(__xludf.DUMMYFUNCTION("""COMPUTED_VALUE"""),410203)</f>
        <v>410203</v>
      </c>
      <c r="D925" s="1" t="str">
        <f ca="1">IFERROR(__xludf.DUMMYFUNCTION("""COMPUTED_VALUE"""),"Male")</f>
        <v>Male</v>
      </c>
      <c r="E925" s="1" t="str">
        <f ca="1">IFERROR(__xludf.DUMMYFUNCTION("""COMPUTED_VALUE"""),"Social Media like LinkedIn")</f>
        <v>Social Media like LinkedIn</v>
      </c>
      <c r="F925" s="1" t="str">
        <f ca="1">IFERROR(__xludf.DUMMYFUNCTION("""COMPUTED_VALUE"""),"Yes, I will earn and do that")</f>
        <v>Yes, I will earn and do that</v>
      </c>
      <c r="G925" s="1" t="str">
        <f ca="1">IFERROR(__xludf.DUMMYFUNCTION("""COMPUTED_VALUE"""),"Will work for 3 years or more")</f>
        <v>Will work for 3 years or more</v>
      </c>
      <c r="H925" s="1" t="str">
        <f ca="1">IFERROR(__xludf.DUMMYFUNCTION("""COMPUTED_VALUE"""),"No")</f>
        <v>No</v>
      </c>
      <c r="I925" s="1" t="str">
        <f ca="1">IFERROR(__xludf.DUMMYFUNCTION("""COMPUTED_VALUE"""),"Will NOT work for them")</f>
        <v>Will NOT work for them</v>
      </c>
      <c r="J925" s="1">
        <f ca="1">IFERROR(__xludf.DUMMYFUNCTION("""COMPUTED_VALUE"""),5)</f>
        <v>5</v>
      </c>
      <c r="K925" s="1" t="str">
        <f ca="1">IFERROR(__xludf.DUMMYFUNCTION("""COMPUTED_VALUE"""),"Fully Remote with Options to travel as and when needed")</f>
        <v>Fully Remote with Options to travel as and when needed</v>
      </c>
      <c r="L9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25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925" s="1" t="str">
        <f ca="1">IFERROR(__xludf.DUMMYFUNCTION("""COMPUTED_VALUE"""),"Manager who explains what is expected, sets a goal and helps achieve it")</f>
        <v>Manager who explains what is expected, sets a goal and helps achieve it</v>
      </c>
      <c r="P925" s="1" t="str">
        <f ca="1">IFERROR(__xludf.DUMMYFUNCTION("""COMPUTED_VALUE"""),"Work with 5 to 6 people in my team")</f>
        <v>Work with 5 to 6 people in my team</v>
      </c>
      <c r="Q925" s="1" t="str">
        <f ca="1">IFERROR(__xludf.DUMMYFUNCTION("""COMPUTED_VALUE"""),"Yes, I Understand this is gonna happen everywhere")</f>
        <v>Yes, I Understand this is gonna happen everywhere</v>
      </c>
      <c r="R925" s="1" t="str">
        <f ca="1">IFERROR(__xludf.DUMMYFUNCTION("""COMPUTED_VALUE"""),"This will be hard to do, but if it is the right company I would try")</f>
        <v>This will be hard to do, but if it is the right company I would try</v>
      </c>
      <c r="S925" s="1"/>
    </row>
    <row r="926" spans="1:19" ht="12.5" x14ac:dyDescent="0.25">
      <c r="A926" s="2">
        <f ca="1">IFERROR(__xludf.DUMMYFUNCTION("""COMPUTED_VALUE"""),45024.5541282291)</f>
        <v>45024.554128229101</v>
      </c>
      <c r="B926" s="1" t="str">
        <f ca="1">IFERROR(__xludf.DUMMYFUNCTION("""COMPUTED_VALUE"""),"India")</f>
        <v>India</v>
      </c>
      <c r="C926" s="1">
        <f ca="1">IFERROR(__xludf.DUMMYFUNCTION("""COMPUTED_VALUE"""),152025)</f>
        <v>152025</v>
      </c>
      <c r="D926" s="1" t="str">
        <f ca="1">IFERROR(__xludf.DUMMYFUNCTION("""COMPUTED_VALUE"""),"Female")</f>
        <v>Female</v>
      </c>
      <c r="E926" s="1" t="str">
        <f ca="1">IFERROR(__xludf.DUMMYFUNCTION("""COMPUTED_VALUE"""),"People from my circle, but not family members")</f>
        <v>People from my circle, but not family members</v>
      </c>
      <c r="F926" s="1" t="str">
        <f ca="1">IFERROR(__xludf.DUMMYFUNCTION("""COMPUTED_VALUE"""),"Yes, I will earn and do that")</f>
        <v>Yes, I will earn and do that</v>
      </c>
      <c r="G926" s="1" t="str">
        <f ca="1">IFERROR(__xludf.DUMMYFUNCTION("""COMPUTED_VALUE"""),"This will be hard to do, but if it is the right company I would try")</f>
        <v>This will be hard to do, but if it is the right company I would try</v>
      </c>
      <c r="H926" s="1" t="str">
        <f ca="1">IFERROR(__xludf.DUMMYFUNCTION("""COMPUTED_VALUE"""),"No")</f>
        <v>No</v>
      </c>
      <c r="I926" s="1" t="str">
        <f ca="1">IFERROR(__xludf.DUMMYFUNCTION("""COMPUTED_VALUE"""),"Will NOT work for them")</f>
        <v>Will NOT work for them</v>
      </c>
      <c r="J926" s="1">
        <f ca="1">IFERROR(__xludf.DUMMYFUNCTION("""COMPUTED_VALUE"""),3)</f>
        <v>3</v>
      </c>
      <c r="K926" s="1" t="str">
        <f ca="1">IFERROR(__xludf.DUMMYFUNCTION("""COMPUTED_VALUE"""),"Fully Remote with Options to travel as and when needed")</f>
        <v>Fully Remote with Options to travel as and when needed</v>
      </c>
      <c r="L9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26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926" s="1" t="str">
        <f ca="1">IFERROR(__xludf.DUMMYFUNCTION("""COMPUTED_VALUE"""),"Manager who explains what is expected, sets a goal and helps achieve it")</f>
        <v>Manager who explains what is expected, sets a goal and helps achieve it</v>
      </c>
      <c r="P926" s="1" t="str">
        <f ca="1">IFERROR(__xludf.DUMMYFUNCTION("""COMPUTED_VALUE"""),"Work with 7 to 10 or more people in my team")</f>
        <v>Work with 7 to 10 or more people in my team</v>
      </c>
      <c r="Q926" s="1" t="str">
        <f ca="1">IFERROR(__xludf.DUMMYFUNCTION("""COMPUTED_VALUE"""),"Yes, I Understand this is gonna happen everywhere")</f>
        <v>Yes, I Understand this is gonna happen everywhere</v>
      </c>
      <c r="R926" s="1" t="str">
        <f ca="1">IFERROR(__xludf.DUMMYFUNCTION("""COMPUTED_VALUE"""),"This will be hard to do, but if it is the right company I would try")</f>
        <v>This will be hard to do, but if it is the right company I would try</v>
      </c>
      <c r="S926" s="1"/>
    </row>
    <row r="927" spans="1:19" ht="12.5" x14ac:dyDescent="0.25">
      <c r="A927" s="2">
        <f ca="1">IFERROR(__xludf.DUMMYFUNCTION("""COMPUTED_VALUE"""),45024.5552264814)</f>
        <v>45024.555226481403</v>
      </c>
      <c r="B927" s="1" t="str">
        <f ca="1">IFERROR(__xludf.DUMMYFUNCTION("""COMPUTED_VALUE"""),"India")</f>
        <v>India</v>
      </c>
      <c r="C927" s="1">
        <f ca="1">IFERROR(__xludf.DUMMYFUNCTION("""COMPUTED_VALUE"""),400018)</f>
        <v>400018</v>
      </c>
      <c r="D927" s="1" t="str">
        <f ca="1">IFERROR(__xludf.DUMMYFUNCTION("""COMPUTED_VALUE"""),"Male")</f>
        <v>Male</v>
      </c>
      <c r="E927" s="1" t="str">
        <f ca="1">IFERROR(__xludf.DUMMYFUNCTION("""COMPUTED_VALUE"""),"People from my circle, but not family members")</f>
        <v>People from my circle, but not family members</v>
      </c>
      <c r="F927" s="1" t="str">
        <f ca="1">IFERROR(__xludf.DUMMYFUNCTION("""COMPUTED_VALUE"""),"No I would not be pursuing Higher Education outside of India")</f>
        <v>No I would not be pursuing Higher Education outside of India</v>
      </c>
      <c r="G927" s="1" t="str">
        <f ca="1">IFERROR(__xludf.DUMMYFUNCTION("""COMPUTED_VALUE"""),"Will work for 3 years or more")</f>
        <v>Will work for 3 years or more</v>
      </c>
      <c r="H927" s="1" t="str">
        <f ca="1">IFERROR(__xludf.DUMMYFUNCTION("""COMPUTED_VALUE"""),"Yes")</f>
        <v>Yes</v>
      </c>
      <c r="I927" s="1" t="str">
        <f ca="1">IFERROR(__xludf.DUMMYFUNCTION("""COMPUTED_VALUE"""),"Will NOT work for them")</f>
        <v>Will NOT work for them</v>
      </c>
      <c r="J927" s="1">
        <f ca="1">IFERROR(__xludf.DUMMYFUNCTION("""COMPUTED_VALUE"""),6)</f>
        <v>6</v>
      </c>
      <c r="K927" s="1" t="str">
        <f ca="1">IFERROR(__xludf.DUMMYFUNCTION("""COMPUTED_VALUE"""),"Fully Remote with Options to travel as and when needed")</f>
        <v>Fully Remote with Options to travel as and when needed</v>
      </c>
      <c r="L9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27" s="1" t="str">
        <f ca="1">IFERROR(__xludf.DUMMYFUNCTION("""COMPUTED_VALUE"""),"Design and Creative strategy in any company, Manage and drive End-to-End Projects or Products, Look deeply into Data and generate insights, Manufacturing / Oil and Gas/ Construction / Hard Physical Work related")</f>
        <v>Design and Creative strategy in any company, Manage and drive End-to-End Projects or Products, Look deeply into Data and generate insights, Manufacturing / Oil and Gas/ Construction / Hard Physical Work related</v>
      </c>
      <c r="O927" s="1" t="str">
        <f ca="1">IFERROR(__xludf.DUMMYFUNCTION("""COMPUTED_VALUE"""),"Manager who explains what is expected, sets a goal and helps achieve it")</f>
        <v>Manager who explains what is expected, sets a goal and helps achieve it</v>
      </c>
      <c r="P92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927" s="1" t="str">
        <f ca="1">IFERROR(__xludf.DUMMYFUNCTION("""COMPUTED_VALUE"""),"Yes, I Understand this is gonna happen everywhere")</f>
        <v>Yes, I Understand this is gonna happen everywhere</v>
      </c>
      <c r="R927" s="1" t="str">
        <f ca="1">IFERROR(__xludf.DUMMYFUNCTION("""COMPUTED_VALUE"""),"This will be hard to do, but if it is the right company I would try")</f>
        <v>This will be hard to do, but if it is the right company I would try</v>
      </c>
      <c r="S927" s="1"/>
    </row>
    <row r="928" spans="1:19" ht="12.5" x14ac:dyDescent="0.25">
      <c r="A928" s="2">
        <f ca="1">IFERROR(__xludf.DUMMYFUNCTION("""COMPUTED_VALUE"""),45024.5768576157)</f>
        <v>45024.576857615699</v>
      </c>
      <c r="B928" s="1" t="str">
        <f ca="1">IFERROR(__xludf.DUMMYFUNCTION("""COMPUTED_VALUE"""),"India")</f>
        <v>India</v>
      </c>
      <c r="C928" s="1">
        <f ca="1">IFERROR(__xludf.DUMMYFUNCTION("""COMPUTED_VALUE"""),560050)</f>
        <v>560050</v>
      </c>
      <c r="D928" s="1" t="str">
        <f ca="1">IFERROR(__xludf.DUMMYFUNCTION("""COMPUTED_VALUE"""),"Male")</f>
        <v>Male</v>
      </c>
      <c r="E928" s="1" t="str">
        <f ca="1">IFERROR(__xludf.DUMMYFUNCTION("""COMPUTED_VALUE"""),"People from my circle, but not family members")</f>
        <v>People from my circle, but not family members</v>
      </c>
      <c r="F928" s="1" t="str">
        <f ca="1">IFERROR(__xludf.DUMMYFUNCTION("""COMPUTED_VALUE"""),"Yes, I will earn and do that")</f>
        <v>Yes, I will earn and do that</v>
      </c>
      <c r="G928" s="1" t="str">
        <f ca="1">IFERROR(__xludf.DUMMYFUNCTION("""COMPUTED_VALUE"""),"This will be hard to do, but if it is the right company I would try")</f>
        <v>This will be hard to do, but if it is the right company I would try</v>
      </c>
      <c r="H928" s="1" t="str">
        <f ca="1">IFERROR(__xludf.DUMMYFUNCTION("""COMPUTED_VALUE"""),"No")</f>
        <v>No</v>
      </c>
      <c r="I928" s="1" t="str">
        <f ca="1">IFERROR(__xludf.DUMMYFUNCTION("""COMPUTED_VALUE"""),"Will NOT work for them")</f>
        <v>Will NOT work for them</v>
      </c>
      <c r="J928" s="1">
        <f ca="1">IFERROR(__xludf.DUMMYFUNCTION("""COMPUTED_VALUE"""),4)</f>
        <v>4</v>
      </c>
      <c r="K928" s="1" t="str">
        <f ca="1">IFERROR(__xludf.DUMMYFUNCTION("""COMPUTED_VALUE"""),"Every Day Office Environment")</f>
        <v>Every Day Office Environment</v>
      </c>
      <c r="L9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8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928" s="1" t="str">
        <f ca="1">IFERROR(__xludf.DUMMYFUNCTION("""COMPUTED_VALUE"""),"Teaching in any of the institutes/colleges/online or offline, Build and develop a Team, Entrepreneur or Start Up, Manufacturing / Oil and Gas/ Construction / Hard Physical Work related")</f>
        <v>Teaching in any of the institutes/colleges/online or offline, Build and develop a Team, Entrepreneur or Start Up, Manufacturing / Oil and Gas/ Construction / Hard Physical Work related</v>
      </c>
      <c r="O928" s="1" t="str">
        <f ca="1">IFERROR(__xludf.DUMMYFUNCTION("""COMPUTED_VALUE"""),"Manager who sets targets and expects me to achieve it")</f>
        <v>Manager who sets targets and expects me to achieve it</v>
      </c>
      <c r="P928" s="1" t="str">
        <f ca="1">IFERROR(__xludf.DUMMYFUNCTION("""COMPUTED_VALUE"""),"Work with 5 to 6 people in my team")</f>
        <v>Work with 5 to 6 people in my team</v>
      </c>
      <c r="Q928" s="1" t="str">
        <f ca="1">IFERROR(__xludf.DUMMYFUNCTION("""COMPUTED_VALUE"""),"I have NO other choice")</f>
        <v>I have NO other choice</v>
      </c>
      <c r="R928" s="1" t="str">
        <f ca="1">IFERROR(__xludf.DUMMYFUNCTION("""COMPUTED_VALUE"""),"This will be hard to do, but if it is the right company I would try")</f>
        <v>This will be hard to do, but if it is the right company I would try</v>
      </c>
      <c r="S928" s="1"/>
    </row>
    <row r="929" spans="1:19" ht="12.5" x14ac:dyDescent="0.25">
      <c r="A929" s="2">
        <f ca="1">IFERROR(__xludf.DUMMYFUNCTION("""COMPUTED_VALUE"""),45024.6023193865)</f>
        <v>45024.602319386497</v>
      </c>
      <c r="B929" s="1" t="str">
        <f ca="1">IFERROR(__xludf.DUMMYFUNCTION("""COMPUTED_VALUE"""),"India")</f>
        <v>India</v>
      </c>
      <c r="C929" s="1">
        <f ca="1">IFERROR(__xludf.DUMMYFUNCTION("""COMPUTED_VALUE"""),583104)</f>
        <v>583104</v>
      </c>
      <c r="D929" s="1" t="str">
        <f ca="1">IFERROR(__xludf.DUMMYFUNCTION("""COMPUTED_VALUE"""),"Male")</f>
        <v>Male</v>
      </c>
      <c r="E929" s="1" t="str">
        <f ca="1">IFERROR(__xludf.DUMMYFUNCTION("""COMPUTED_VALUE"""),"My Parents")</f>
        <v>My Parents</v>
      </c>
      <c r="F929" s="1" t="str">
        <f ca="1">IFERROR(__xludf.DUMMYFUNCTION("""COMPUTED_VALUE"""),"No, But if someone could bare the cost I will")</f>
        <v>No, But if someone could bare the cost I will</v>
      </c>
      <c r="G929" s="1" t="str">
        <f ca="1">IFERROR(__xludf.DUMMYFUNCTION("""COMPUTED_VALUE"""),"Will work for 3 years or more")</f>
        <v>Will work for 3 years or more</v>
      </c>
      <c r="H929" s="1" t="str">
        <f ca="1">IFERROR(__xludf.DUMMYFUNCTION("""COMPUTED_VALUE"""),"No")</f>
        <v>No</v>
      </c>
      <c r="I929" s="1" t="str">
        <f ca="1">IFERROR(__xludf.DUMMYFUNCTION("""COMPUTED_VALUE"""),"Will NOT work for them")</f>
        <v>Will NOT work for them</v>
      </c>
      <c r="J929" s="1">
        <f ca="1">IFERROR(__xludf.DUMMYFUNCTION("""COMPUTED_VALUE"""),8)</f>
        <v>8</v>
      </c>
      <c r="K929" s="1" t="str">
        <f ca="1">IFERROR(__xludf.DUMMYFUNCTION("""COMPUTED_VALUE"""),"Fully Remote with Options to travel as and when needed")</f>
        <v>Fully Remote with Options to travel as and when needed</v>
      </c>
      <c r="L9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2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929" s="1" t="str">
        <f ca="1">IFERROR(__xludf.DUMMYFUNCTION("""COMPUTED_VALUE"""),"Build and develop a Team, Look deeply into Data and generate insights, Work as a freelancer and do my thing my way, An Artificial Intelligence Specialist / Talking to Robots")</f>
        <v>Build and develop a Team, Look deeply into Data and generate insights, Work as a freelancer and do my thing my way, An Artificial Intelligence Specialist / Talking to Robots</v>
      </c>
      <c r="O929" s="1" t="str">
        <f ca="1">IFERROR(__xludf.DUMMYFUNCTION("""COMPUTED_VALUE"""),"Manager who explains what is expected, sets a goal and helps achieve it")</f>
        <v>Manager who explains what is expected, sets a goal and helps achieve it</v>
      </c>
      <c r="P929" s="1" t="str">
        <f ca="1">IFERROR(__xludf.DUMMYFUNCTION("""COMPUTED_VALUE"""),"Work with 5 to 6 people in my team")</f>
        <v>Work with 5 to 6 people in my team</v>
      </c>
      <c r="Q929" s="1" t="str">
        <f ca="1">IFERROR(__xludf.DUMMYFUNCTION("""COMPUTED_VALUE"""),"Yes")</f>
        <v>Yes</v>
      </c>
      <c r="R929" s="1" t="str">
        <f ca="1">IFERROR(__xludf.DUMMYFUNCTION("""COMPUTED_VALUE"""),"This will be hard to do, but if it is the right company I would try")</f>
        <v>This will be hard to do, but if it is the right company I would try</v>
      </c>
      <c r="S929" s="1"/>
    </row>
    <row r="930" spans="1:19" ht="12.5" x14ac:dyDescent="0.25">
      <c r="A930" s="2">
        <f ca="1">IFERROR(__xludf.DUMMYFUNCTION("""COMPUTED_VALUE"""),45024.6183990625)</f>
        <v>45024.6183990625</v>
      </c>
      <c r="B930" s="1" t="str">
        <f ca="1">IFERROR(__xludf.DUMMYFUNCTION("""COMPUTED_VALUE"""),"Others")</f>
        <v>Others</v>
      </c>
      <c r="C930" s="1">
        <f ca="1">IFERROR(__xludf.DUMMYFUNCTION("""COMPUTED_VALUE"""),92)</f>
        <v>92</v>
      </c>
      <c r="D930" s="1" t="str">
        <f ca="1">IFERROR(__xludf.DUMMYFUNCTION("""COMPUTED_VALUE"""),"Male")</f>
        <v>Male</v>
      </c>
      <c r="E930" s="1" t="str">
        <f ca="1">IFERROR(__xludf.DUMMYFUNCTION("""COMPUTED_VALUE"""),"People who have changed the world for better")</f>
        <v>People who have changed the world for better</v>
      </c>
      <c r="F930" s="1" t="str">
        <f ca="1">IFERROR(__xludf.DUMMYFUNCTION("""COMPUTED_VALUE"""),"Yes, I will earn and do that")</f>
        <v>Yes, I will earn and do that</v>
      </c>
      <c r="G930" s="1" t="str">
        <f ca="1">IFERROR(__xludf.DUMMYFUNCTION("""COMPUTED_VALUE"""),"No way")</f>
        <v>No way</v>
      </c>
      <c r="H930" s="1" t="str">
        <f ca="1">IFERROR(__xludf.DUMMYFUNCTION("""COMPUTED_VALUE"""),"No")</f>
        <v>No</v>
      </c>
      <c r="I930" s="1" t="str">
        <f ca="1">IFERROR(__xludf.DUMMYFUNCTION("""COMPUTED_VALUE"""),"Will NOT work for them")</f>
        <v>Will NOT work for them</v>
      </c>
      <c r="J930" s="1">
        <f ca="1">IFERROR(__xludf.DUMMYFUNCTION("""COMPUTED_VALUE"""),2)</f>
        <v>2</v>
      </c>
      <c r="K930" s="1" t="str">
        <f ca="1">IFERROR(__xludf.DUMMYFUNCTION("""COMPUTED_VALUE"""),"Fully Remote with Options to travel as and when needed")</f>
        <v>Fully Remote with Options to travel as and when needed</v>
      </c>
      <c r="L930" s="1" t="str">
        <f ca="1">IFERROR(__xludf.DUMMYFUNCTION("""COMPUTED_VALUE"""),"Employer who rewards learning and enables that environment")</f>
        <v>Employer who rewards learning and enables that environment</v>
      </c>
      <c r="M930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930" s="1" t="str">
        <f ca="1">IFERROR(__xludf.DUMMYFUNCTION("""COMPUTED_VALUE"""),"Design and Creative strategy in any company, Teaching in any of the institutes/colleges/online or offline, Manage and drive End-to-End Projects or Products, Look deeply into Data and generate insights")</f>
        <v>Design and Creative strategy in any company, Teaching in any of the institutes/colleges/online or offline, Manage and drive End-to-End Projects or Products, Look deeply into Data and generate insights</v>
      </c>
      <c r="O930" s="1" t="str">
        <f ca="1">IFERROR(__xludf.DUMMYFUNCTION("""COMPUTED_VALUE"""),"Manager who sets targets and expects me to achieve it")</f>
        <v>Manager who sets targets and expects me to achieve it</v>
      </c>
      <c r="P930" s="1" t="str">
        <f ca="1">IFERROR(__xludf.DUMMYFUNCTION("""COMPUTED_VALUE"""),"Work with 2 to 3 people in my team")</f>
        <v>Work with 2 to 3 people in my team</v>
      </c>
      <c r="Q930" s="1" t="str">
        <f ca="1">IFERROR(__xludf.DUMMYFUNCTION("""COMPUTED_VALUE"""),"Yes, I Understand this is gonna happen everywhere")</f>
        <v>Yes, I Understand this is gonna happen everywhere</v>
      </c>
      <c r="R930" s="1" t="str">
        <f ca="1">IFERROR(__xludf.DUMMYFUNCTION("""COMPUTED_VALUE"""),"No way")</f>
        <v>No way</v>
      </c>
      <c r="S930" s="1"/>
    </row>
    <row r="931" spans="1:19" ht="12.5" x14ac:dyDescent="0.25">
      <c r="A931" s="2">
        <f ca="1">IFERROR(__xludf.DUMMYFUNCTION("""COMPUTED_VALUE"""),45024.6195251041)</f>
        <v>45024.619525104099</v>
      </c>
      <c r="B931" s="1" t="str">
        <f ca="1">IFERROR(__xludf.DUMMYFUNCTION("""COMPUTED_VALUE"""),"India")</f>
        <v>India</v>
      </c>
      <c r="C931" s="1">
        <f ca="1">IFERROR(__xludf.DUMMYFUNCTION("""COMPUTED_VALUE"""),571201)</f>
        <v>571201</v>
      </c>
      <c r="D931" s="1" t="str">
        <f ca="1">IFERROR(__xludf.DUMMYFUNCTION("""COMPUTED_VALUE"""),"Male")</f>
        <v>Male</v>
      </c>
      <c r="E931" s="1" t="str">
        <f ca="1">IFERROR(__xludf.DUMMYFUNCTION("""COMPUTED_VALUE"""),"People who have changed the world for better")</f>
        <v>People who have changed the world for better</v>
      </c>
      <c r="F931" s="1" t="str">
        <f ca="1">IFERROR(__xludf.DUMMYFUNCTION("""COMPUTED_VALUE"""),"Yes, I will earn and do that")</f>
        <v>Yes, I will earn and do that</v>
      </c>
      <c r="G931" s="1" t="str">
        <f ca="1">IFERROR(__xludf.DUMMYFUNCTION("""COMPUTED_VALUE"""),"Will work for 3 years or more")</f>
        <v>Will work for 3 years or more</v>
      </c>
      <c r="H931" s="1" t="str">
        <f ca="1">IFERROR(__xludf.DUMMYFUNCTION("""COMPUTED_VALUE"""),"No")</f>
        <v>No</v>
      </c>
      <c r="I931" s="1" t="str">
        <f ca="1">IFERROR(__xludf.DUMMYFUNCTION("""COMPUTED_VALUE"""),"Will work for them")</f>
        <v>Will work for them</v>
      </c>
      <c r="J931" s="1">
        <f ca="1">IFERROR(__xludf.DUMMYFUNCTION("""COMPUTED_VALUE"""),1)</f>
        <v>1</v>
      </c>
      <c r="K931" s="1" t="str">
        <f ca="1">IFERROR(__xludf.DUMMYFUNCTION("""COMPUTED_VALUE"""),"Every Day Office Environment")</f>
        <v>Every Day Office Environment</v>
      </c>
      <c r="L9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31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931" s="1" t="str">
        <f ca="1">IFERROR(__xludf.DUMMYFUNCTION("""COMPUTED_VALUE"""),"Build and develop a Team, Entrepreneur or Start Up, An Artificial Intelligence Specialist / Talking to Robots, Manufacturing / Oil and Gas/ Construction / Hard Physical Work related")</f>
        <v>Build and develop a Team, Entrepreneur or Start Up, An Artificial Intelligence Specialist / Talking to Robots, Manufacturing / Oil and Gas/ Construction / Hard Physical Work related</v>
      </c>
      <c r="O931" s="1" t="str">
        <f ca="1">IFERROR(__xludf.DUMMYFUNCTION("""COMPUTED_VALUE"""),"Manager who explains what is expected, sets a goal and helps achieve it")</f>
        <v>Manager who explains what is expected, sets a goal and helps achieve it</v>
      </c>
      <c r="P931" s="1" t="str">
        <f ca="1">IFERROR(__xludf.DUMMYFUNCTION("""COMPUTED_VALUE"""),"Work with more than 10 people in my team")</f>
        <v>Work with more than 10 people in my team</v>
      </c>
      <c r="Q931" s="1" t="str">
        <f ca="1">IFERROR(__xludf.DUMMYFUNCTION("""COMPUTED_VALUE"""),"Yes, I Understand this is gonna happen everywhere")</f>
        <v>Yes, I Understand this is gonna happen everywhere</v>
      </c>
      <c r="R931" s="1" t="str">
        <f ca="1">IFERROR(__xludf.DUMMYFUNCTION("""COMPUTED_VALUE"""),"This will be hard to do, but if it is the right company I would try")</f>
        <v>This will be hard to do, but if it is the right company I would try</v>
      </c>
      <c r="S931" s="1"/>
    </row>
    <row r="932" spans="1:19" ht="12.5" x14ac:dyDescent="0.25">
      <c r="A932" s="2">
        <f ca="1">IFERROR(__xludf.DUMMYFUNCTION("""COMPUTED_VALUE"""),45024.6298096412)</f>
        <v>45024.629809641199</v>
      </c>
      <c r="B932" s="1" t="str">
        <f ca="1">IFERROR(__xludf.DUMMYFUNCTION("""COMPUTED_VALUE"""),"India")</f>
        <v>India</v>
      </c>
      <c r="C932" s="1">
        <f ca="1">IFERROR(__xludf.DUMMYFUNCTION("""COMPUTED_VALUE"""),641007)</f>
        <v>641007</v>
      </c>
      <c r="D932" s="1" t="str">
        <f ca="1">IFERROR(__xludf.DUMMYFUNCTION("""COMPUTED_VALUE"""),"Female")</f>
        <v>Female</v>
      </c>
      <c r="E932" s="1" t="str">
        <f ca="1">IFERROR(__xludf.DUMMYFUNCTION("""COMPUTED_VALUE"""),"Influencers who had successful careers")</f>
        <v>Influencers who had successful careers</v>
      </c>
      <c r="F932" s="1" t="str">
        <f ca="1">IFERROR(__xludf.DUMMYFUNCTION("""COMPUTED_VALUE"""),"No, But if someone could bare the cost I will")</f>
        <v>No, But if someone could bare the cost I will</v>
      </c>
      <c r="G932" s="1" t="str">
        <f ca="1">IFERROR(__xludf.DUMMYFUNCTION("""COMPUTED_VALUE"""),"This will be hard to do, but if it is the right company I would try")</f>
        <v>This will be hard to do, but if it is the right company I would try</v>
      </c>
      <c r="H932" s="1" t="str">
        <f ca="1">IFERROR(__xludf.DUMMYFUNCTION("""COMPUTED_VALUE"""),"Yes")</f>
        <v>Yes</v>
      </c>
      <c r="I932" s="1" t="str">
        <f ca="1">IFERROR(__xludf.DUMMYFUNCTION("""COMPUTED_VALUE"""),"Will work for them")</f>
        <v>Will work for them</v>
      </c>
      <c r="J932" s="1">
        <f ca="1">IFERROR(__xludf.DUMMYFUNCTION("""COMPUTED_VALUE"""),5)</f>
        <v>5</v>
      </c>
      <c r="K932" s="1" t="str">
        <f ca="1">IFERROR(__xludf.DUMMYFUNCTION("""COMPUTED_VALUE"""),"Hybrid Working Environment with more than 15 days a month at office")</f>
        <v>Hybrid Working Environment with more than 15 days a month at office</v>
      </c>
      <c r="L932" s="1" t="str">
        <f ca="1">IFERROR(__xludf.DUMMYFUNCTION("""COMPUTED_VALUE"""),"Employer who rewards learning and enables that environment")</f>
        <v>Employer who rewards learning and enables that environment</v>
      </c>
      <c r="M93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32" s="1" t="str">
        <f ca="1">IFERROR(__xludf.DUMMYFUNCTION("""COMPUTED_VALUE"""),"Business Operations in any organization, Build and develop a Team, Look deeply into Data and generate insights, Work in a BPO setup for some well known client")</f>
        <v>Business Operations in any organization, Build and develop a Team, Look deeply into Data and generate insights, Work in a BPO setup for some well known client</v>
      </c>
      <c r="O932" s="1" t="str">
        <f ca="1">IFERROR(__xludf.DUMMYFUNCTION("""COMPUTED_VALUE"""),"Manager who explains what is expected, sets a goal and helps achieve it")</f>
        <v>Manager who explains what is expected, sets a goal and helps achieve it</v>
      </c>
      <c r="P932" s="1" t="str">
        <f ca="1">IFERROR(__xludf.DUMMYFUNCTION("""COMPUTED_VALUE"""),"Work with 5 to 6 people in my team")</f>
        <v>Work with 5 to 6 people in my team</v>
      </c>
      <c r="Q932" s="1" t="str">
        <f ca="1">IFERROR(__xludf.DUMMYFUNCTION("""COMPUTED_VALUE"""),"Yes, I Understand this is gonna happen everywhere")</f>
        <v>Yes, I Understand this is gonna happen everywhere</v>
      </c>
      <c r="R932" s="1" t="str">
        <f ca="1">IFERROR(__xludf.DUMMYFUNCTION("""COMPUTED_VALUE"""),"This will be hard to do, but if it is the right company I would try")</f>
        <v>This will be hard to do, but if it is the right company I would try</v>
      </c>
      <c r="S932" s="1"/>
    </row>
    <row r="933" spans="1:19" ht="12.5" x14ac:dyDescent="0.25">
      <c r="A933" s="2">
        <f ca="1">IFERROR(__xludf.DUMMYFUNCTION("""COMPUTED_VALUE"""),45024.66310978)</f>
        <v>45024.663109779998</v>
      </c>
      <c r="B933" s="1" t="str">
        <f ca="1">IFERROR(__xludf.DUMMYFUNCTION("""COMPUTED_VALUE"""),"India")</f>
        <v>India</v>
      </c>
      <c r="C933" s="1">
        <f ca="1">IFERROR(__xludf.DUMMYFUNCTION("""COMPUTED_VALUE"""),121002)</f>
        <v>121002</v>
      </c>
      <c r="D933" s="1" t="str">
        <f ca="1">IFERROR(__xludf.DUMMYFUNCTION("""COMPUTED_VALUE"""),"Male")</f>
        <v>Male</v>
      </c>
      <c r="E933" s="1" t="str">
        <f ca="1">IFERROR(__xludf.DUMMYFUNCTION("""COMPUTED_VALUE"""),"People who have changed the world for better")</f>
        <v>People who have changed the world for better</v>
      </c>
      <c r="F933" s="1" t="str">
        <f ca="1">IFERROR(__xludf.DUMMYFUNCTION("""COMPUTED_VALUE"""),"Yes, I will earn and do that")</f>
        <v>Yes, I will earn and do that</v>
      </c>
      <c r="G933" s="1" t="str">
        <f ca="1">IFERROR(__xludf.DUMMYFUNCTION("""COMPUTED_VALUE"""),"This will be hard to do, but if it is the right company I would try")</f>
        <v>This will be hard to do, but if it is the right company I would try</v>
      </c>
      <c r="H933" s="1" t="str">
        <f ca="1">IFERROR(__xludf.DUMMYFUNCTION("""COMPUTED_VALUE"""),"Yes")</f>
        <v>Yes</v>
      </c>
      <c r="I933" s="1" t="str">
        <f ca="1">IFERROR(__xludf.DUMMYFUNCTION("""COMPUTED_VALUE"""),"Will work for them")</f>
        <v>Will work for them</v>
      </c>
      <c r="J933" s="1">
        <f ca="1">IFERROR(__xludf.DUMMYFUNCTION("""COMPUTED_VALUE"""),8)</f>
        <v>8</v>
      </c>
      <c r="K933" s="1" t="str">
        <f ca="1">IFERROR(__xludf.DUMMYFUNCTION("""COMPUTED_VALUE"""),"Hybrid Working Environment with less than 3 days a month at office")</f>
        <v>Hybrid Working Environment with less than 3 days a month at office</v>
      </c>
      <c r="L9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3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33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933" s="1" t="str">
        <f ca="1">IFERROR(__xludf.DUMMYFUNCTION("""COMPUTED_VALUE"""),"Manager who explains what is expected, sets a goal and helps achieve it")</f>
        <v>Manager who explains what is expected, sets a goal and helps achieve it</v>
      </c>
      <c r="P933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933" s="1" t="str">
        <f ca="1">IFERROR(__xludf.DUMMYFUNCTION("""COMPUTED_VALUE"""),"Yes, I Understand this is gonna happen everywhere")</f>
        <v>Yes, I Understand this is gonna happen everywhere</v>
      </c>
      <c r="R933" s="1" t="str">
        <f ca="1">IFERROR(__xludf.DUMMYFUNCTION("""COMPUTED_VALUE"""),"This will be hard to do, but if it is the right company I would try")</f>
        <v>This will be hard to do, but if it is the right company I would try</v>
      </c>
      <c r="S933" s="1"/>
    </row>
    <row r="934" spans="1:19" ht="12.5" x14ac:dyDescent="0.25">
      <c r="A934" s="2">
        <f ca="1">IFERROR(__xludf.DUMMYFUNCTION("""COMPUTED_VALUE"""),45024.7097935763)</f>
        <v>45024.709793576301</v>
      </c>
      <c r="B934" s="1" t="str">
        <f ca="1">IFERROR(__xludf.DUMMYFUNCTION("""COMPUTED_VALUE"""),"India")</f>
        <v>India</v>
      </c>
      <c r="C934" s="1">
        <f ca="1">IFERROR(__xludf.DUMMYFUNCTION("""COMPUTED_VALUE"""),600100)</f>
        <v>600100</v>
      </c>
      <c r="D934" s="1" t="str">
        <f ca="1">IFERROR(__xludf.DUMMYFUNCTION("""COMPUTED_VALUE"""),"Male")</f>
        <v>Male</v>
      </c>
      <c r="E934" s="1" t="str">
        <f ca="1">IFERROR(__xludf.DUMMYFUNCTION("""COMPUTED_VALUE"""),"Influencers who had successful careers")</f>
        <v>Influencers who had successful careers</v>
      </c>
      <c r="F934" s="1" t="str">
        <f ca="1">IFERROR(__xludf.DUMMYFUNCTION("""COMPUTED_VALUE"""),"No, But if someone could bare the cost I will")</f>
        <v>No, But if someone could bare the cost I will</v>
      </c>
      <c r="G934" s="1" t="str">
        <f ca="1">IFERROR(__xludf.DUMMYFUNCTION("""COMPUTED_VALUE"""),"This will be hard to do, but if it is the right company I would try")</f>
        <v>This will be hard to do, but if it is the right company I would try</v>
      </c>
      <c r="H934" s="1" t="str">
        <f ca="1">IFERROR(__xludf.DUMMYFUNCTION("""COMPUTED_VALUE"""),"Yes")</f>
        <v>Yes</v>
      </c>
      <c r="I934" s="1" t="str">
        <f ca="1">IFERROR(__xludf.DUMMYFUNCTION("""COMPUTED_VALUE"""),"Will NOT work for them")</f>
        <v>Will NOT work for them</v>
      </c>
      <c r="J934" s="1">
        <f ca="1">IFERROR(__xludf.DUMMYFUNCTION("""COMPUTED_VALUE"""),4)</f>
        <v>4</v>
      </c>
      <c r="K934" s="1" t="str">
        <f ca="1">IFERROR(__xludf.DUMMYFUNCTION("""COMPUTED_VALUE"""),"Hybrid Working Environment with more than 15 days a month at office")</f>
        <v>Hybrid Working Environment with more than 15 days a month at office</v>
      </c>
      <c r="L934" s="1" t="str">
        <f ca="1">IFERROR(__xludf.DUMMYFUNCTION("""COMPUTED_VALUE"""),"Employer who rewards learning and enables that environment")</f>
        <v>Employer who rewards learning and enables that environment</v>
      </c>
      <c r="M934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34" s="1" t="str">
        <f ca="1">IFERROR(__xludf.DUMMYFUNCTION("""COMPUTED_VALUE"""),"Teaching in any of the institutes/colleges/online or offline, I Want to sell things/Sales, An Artificial Intelligence Specialist / Talking to Robots, Manufacturing / Oil and Gas/ Construction / Hard Physical Work related")</f>
        <v>Teaching in any of the institutes/colleges/online or offline, I Want to sell things/Sales, An Artificial Intelligence Specialist / Talking to Robots, Manufacturing / Oil and Gas/ Construction / Hard Physical Work related</v>
      </c>
      <c r="O934" s="1" t="str">
        <f ca="1">IFERROR(__xludf.DUMMYFUNCTION("""COMPUTED_VALUE"""),"Manager who explains what is expected, sets a goal and helps achieve it")</f>
        <v>Manager who explains what is expected, sets a goal and helps achieve it</v>
      </c>
      <c r="P934" s="1" t="str">
        <f ca="1">IFERROR(__xludf.DUMMYFUNCTION("""COMPUTED_VALUE"""),"Work with 5 to 6 people in my team")</f>
        <v>Work with 5 to 6 people in my team</v>
      </c>
      <c r="Q934" s="1" t="str">
        <f ca="1">IFERROR(__xludf.DUMMYFUNCTION("""COMPUTED_VALUE"""),"Yes, I Understand this is gonna happen everywhere")</f>
        <v>Yes, I Understand this is gonna happen everywhere</v>
      </c>
      <c r="R934" s="1" t="str">
        <f ca="1">IFERROR(__xludf.DUMMYFUNCTION("""COMPUTED_VALUE"""),"This will be hard to do, but if it is the right company I would try")</f>
        <v>This will be hard to do, but if it is the right company I would try</v>
      </c>
      <c r="S934" s="1"/>
    </row>
    <row r="935" spans="1:19" ht="12.5" x14ac:dyDescent="0.25">
      <c r="A935" s="2">
        <f ca="1">IFERROR(__xludf.DUMMYFUNCTION("""COMPUTED_VALUE"""),45024.7281678125)</f>
        <v>45024.7281678125</v>
      </c>
      <c r="B935" s="1" t="str">
        <f ca="1">IFERROR(__xludf.DUMMYFUNCTION("""COMPUTED_VALUE"""),"India")</f>
        <v>India</v>
      </c>
      <c r="C935" s="1">
        <f ca="1">IFERROR(__xludf.DUMMYFUNCTION("""COMPUTED_VALUE"""),600100)</f>
        <v>600100</v>
      </c>
      <c r="D935" s="1" t="str">
        <f ca="1">IFERROR(__xludf.DUMMYFUNCTION("""COMPUTED_VALUE"""),"Female")</f>
        <v>Female</v>
      </c>
      <c r="E935" s="1" t="str">
        <f ca="1">IFERROR(__xludf.DUMMYFUNCTION("""COMPUTED_VALUE"""),"Social Media like LinkedIn")</f>
        <v>Social Media like LinkedIn</v>
      </c>
      <c r="F935" s="1" t="str">
        <f ca="1">IFERROR(__xludf.DUMMYFUNCTION("""COMPUTED_VALUE"""),"No I would not be pursuing Higher Education outside of India")</f>
        <v>No I would not be pursuing Higher Education outside of India</v>
      </c>
      <c r="G935" s="1" t="str">
        <f ca="1">IFERROR(__xludf.DUMMYFUNCTION("""COMPUTED_VALUE"""),"This will be hard to do, but if it is the right company I would try")</f>
        <v>This will be hard to do, but if it is the right company I would try</v>
      </c>
      <c r="H935" s="1" t="str">
        <f ca="1">IFERROR(__xludf.DUMMYFUNCTION("""COMPUTED_VALUE"""),"No")</f>
        <v>No</v>
      </c>
      <c r="I935" s="1" t="str">
        <f ca="1">IFERROR(__xludf.DUMMYFUNCTION("""COMPUTED_VALUE"""),"Will work for them")</f>
        <v>Will work for them</v>
      </c>
      <c r="J935" s="1">
        <f ca="1">IFERROR(__xludf.DUMMYFUNCTION("""COMPUTED_VALUE"""),2)</f>
        <v>2</v>
      </c>
      <c r="K935" s="1" t="str">
        <f ca="1">IFERROR(__xludf.DUMMYFUNCTION("""COMPUTED_VALUE"""),"Hybrid Working Environment with more than 15 days a month at office")</f>
        <v>Hybrid Working Environment with more than 15 days a month at office</v>
      </c>
      <c r="L935" s="1" t="str">
        <f ca="1">IFERROR(__xludf.DUMMYFUNCTION("""COMPUTED_VALUE"""),"Employer who appreciates learning and enables that environment")</f>
        <v>Employer who appreciates learning and enables that environment</v>
      </c>
      <c r="M93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35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935" s="1" t="str">
        <f ca="1">IFERROR(__xludf.DUMMYFUNCTION("""COMPUTED_VALUE"""),"Manager who sets goal and helps me achieve it")</f>
        <v>Manager who sets goal and helps me achieve it</v>
      </c>
      <c r="P935" s="1" t="str">
        <f ca="1">IFERROR(__xludf.DUMMYFUNCTION("""COMPUTED_VALUE"""),"Work with 5 to 6 people in my team")</f>
        <v>Work with 5 to 6 people in my team</v>
      </c>
      <c r="Q935" s="1" t="str">
        <f ca="1">IFERROR(__xludf.DUMMYFUNCTION("""COMPUTED_VALUE"""),"Yes, I Understand this is gonna happen everywhere")</f>
        <v>Yes, I Understand this is gonna happen everywhere</v>
      </c>
      <c r="R935" s="1" t="str">
        <f ca="1">IFERROR(__xludf.DUMMYFUNCTION("""COMPUTED_VALUE"""),"This will be hard to do, but if it is the right company I would try")</f>
        <v>This will be hard to do, but if it is the right company I would try</v>
      </c>
      <c r="S935" s="1"/>
    </row>
    <row r="936" spans="1:19" ht="12.5" x14ac:dyDescent="0.25">
      <c r="A936" s="2">
        <f ca="1">IFERROR(__xludf.DUMMYFUNCTION("""COMPUTED_VALUE"""),45024.7285129166)</f>
        <v>45024.728512916598</v>
      </c>
      <c r="B936" s="1" t="str">
        <f ca="1">IFERROR(__xludf.DUMMYFUNCTION("""COMPUTED_VALUE"""),"United Arab Emirates")</f>
        <v>United Arab Emirates</v>
      </c>
      <c r="C936" s="1" t="str">
        <f ca="1">IFERROR(__xludf.DUMMYFUNCTION("""COMPUTED_VALUE"""),"00000")</f>
        <v>00000</v>
      </c>
      <c r="D936" s="1" t="str">
        <f ca="1">IFERROR(__xludf.DUMMYFUNCTION("""COMPUTED_VALUE"""),"Female")</f>
        <v>Female</v>
      </c>
      <c r="E936" s="1" t="str">
        <f ca="1">IFERROR(__xludf.DUMMYFUNCTION("""COMPUTED_VALUE"""),"People who have changed the world for better")</f>
        <v>People who have changed the world for better</v>
      </c>
      <c r="F936" s="1" t="str">
        <f ca="1">IFERROR(__xludf.DUMMYFUNCTION("""COMPUTED_VALUE"""),"Yes, I will earn and do that")</f>
        <v>Yes, I will earn and do that</v>
      </c>
      <c r="G936" s="1" t="str">
        <f ca="1">IFERROR(__xludf.DUMMYFUNCTION("""COMPUTED_VALUE"""),"This will be hard to do, but if it is the right company I would try")</f>
        <v>This will be hard to do, but if it is the right company I would try</v>
      </c>
      <c r="H936" s="1" t="str">
        <f ca="1">IFERROR(__xludf.DUMMYFUNCTION("""COMPUTED_VALUE"""),"No")</f>
        <v>No</v>
      </c>
      <c r="I936" s="1" t="str">
        <f ca="1">IFERROR(__xludf.DUMMYFUNCTION("""COMPUTED_VALUE"""),"Will NOT work for them")</f>
        <v>Will NOT work for them</v>
      </c>
      <c r="J936" s="1">
        <f ca="1">IFERROR(__xludf.DUMMYFUNCTION("""COMPUTED_VALUE"""),5)</f>
        <v>5</v>
      </c>
      <c r="K936" s="1" t="str">
        <f ca="1">IFERROR(__xludf.DUMMYFUNCTION("""COMPUTED_VALUE"""),"Every Day Office Environment")</f>
        <v>Every Day Office Environment</v>
      </c>
      <c r="L936" s="1" t="str">
        <f ca="1">IFERROR(__xludf.DUMMYFUNCTION("""COMPUTED_VALUE"""),"Employer who appreciates learning and enables that environment")</f>
        <v>Employer who appreciates learning and enables that environment</v>
      </c>
      <c r="M93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936" s="1" t="str">
        <f ca="1">IFERROR(__xludf.DUMMYFUNCTION("""COMPUTED_VALUE"""),"Design and Creative strategy in any company, Business Operations in any organization, Design and Develop amazing software, Work in a BPO setup for some well known client")</f>
        <v>Design and Creative strategy in any company, Business Operations in any organization, Design and Develop amazing software, Work in a BPO setup for some well known client</v>
      </c>
      <c r="O936" s="1" t="str">
        <f ca="1">IFERROR(__xludf.DUMMYFUNCTION("""COMPUTED_VALUE"""),"Manager who sets targets and expects me to achieve it")</f>
        <v>Manager who sets targets and expects me to achieve it</v>
      </c>
      <c r="P936" s="1" t="str">
        <f ca="1">IFERROR(__xludf.DUMMYFUNCTION("""COMPUTED_VALUE"""),"Work with more than 10 people in my team")</f>
        <v>Work with more than 10 people in my team</v>
      </c>
      <c r="Q936" s="1" t="str">
        <f ca="1">IFERROR(__xludf.DUMMYFUNCTION("""COMPUTED_VALUE"""),"I have NO other choice")</f>
        <v>I have NO other choice</v>
      </c>
      <c r="R936" s="1" t="str">
        <f ca="1">IFERROR(__xludf.DUMMYFUNCTION("""COMPUTED_VALUE"""),"No way")</f>
        <v>No way</v>
      </c>
      <c r="S936" s="1"/>
    </row>
    <row r="937" spans="1:19" ht="12.5" x14ac:dyDescent="0.25">
      <c r="A937" s="2">
        <f ca="1">IFERROR(__xludf.DUMMYFUNCTION("""COMPUTED_VALUE"""),45024.7464570023)</f>
        <v>45024.7464570023</v>
      </c>
      <c r="B937" s="1" t="str">
        <f ca="1">IFERROR(__xludf.DUMMYFUNCTION("""COMPUTED_VALUE"""),"India")</f>
        <v>India</v>
      </c>
      <c r="C937" s="1">
        <f ca="1">IFERROR(__xludf.DUMMYFUNCTION("""COMPUTED_VALUE"""),623525)</f>
        <v>623525</v>
      </c>
      <c r="D937" s="1" t="str">
        <f ca="1">IFERROR(__xludf.DUMMYFUNCTION("""COMPUTED_VALUE"""),"Female")</f>
        <v>Female</v>
      </c>
      <c r="E937" s="1" t="str">
        <f ca="1">IFERROR(__xludf.DUMMYFUNCTION("""COMPUTED_VALUE"""),"My Parents")</f>
        <v>My Parents</v>
      </c>
      <c r="F937" s="1" t="str">
        <f ca="1">IFERROR(__xludf.DUMMYFUNCTION("""COMPUTED_VALUE"""),"Yes, I will earn and do that")</f>
        <v>Yes, I will earn and do that</v>
      </c>
      <c r="G937" s="1" t="str">
        <f ca="1">IFERROR(__xludf.DUMMYFUNCTION("""COMPUTED_VALUE"""),"Will work for 3 years or more")</f>
        <v>Will work for 3 years or more</v>
      </c>
      <c r="H937" s="1" t="str">
        <f ca="1">IFERROR(__xludf.DUMMYFUNCTION("""COMPUTED_VALUE"""),"No")</f>
        <v>No</v>
      </c>
      <c r="I937" s="1" t="str">
        <f ca="1">IFERROR(__xludf.DUMMYFUNCTION("""COMPUTED_VALUE"""),"Will NOT work for them")</f>
        <v>Will NOT work for them</v>
      </c>
      <c r="J937" s="1">
        <f ca="1">IFERROR(__xludf.DUMMYFUNCTION("""COMPUTED_VALUE"""),3)</f>
        <v>3</v>
      </c>
      <c r="K937" s="1" t="str">
        <f ca="1">IFERROR(__xludf.DUMMYFUNCTION("""COMPUTED_VALUE"""),"Every Day Office Environment")</f>
        <v>Every Day Office Environment</v>
      </c>
      <c r="L937" s="1" t="str">
        <f ca="1">IFERROR(__xludf.DUMMYFUNCTION("""COMPUTED_VALUE"""),"Employer who appreciates learning and enables that environment")</f>
        <v>Employer who appreciates learning and enables that environment</v>
      </c>
      <c r="M93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937" s="1" t="str">
        <f ca="1">IFERROR(__xludf.DUMMYFUNCTION("""COMPUTED_VALUE"""),"Teaching in any of the institutes/colleges/online or offline, Build and develop a Team, Look deeply into Data and generate insights, Become a content Creator in some platform")</f>
        <v>Teaching in any of the institutes/colleges/online or offline, Build and develop a Team, Look deeply into Data and generate insights, Become a content Creator in some platform</v>
      </c>
      <c r="O937" s="1" t="str">
        <f ca="1">IFERROR(__xludf.DUMMYFUNCTION("""COMPUTED_VALUE"""),"Manager who sets targets and expects me to achieve it")</f>
        <v>Manager who sets targets and expects me to achieve it</v>
      </c>
      <c r="P937" s="1" t="str">
        <f ca="1">IFERROR(__xludf.DUMMYFUNCTION("""COMPUTED_VALUE"""),"Work alone")</f>
        <v>Work alone</v>
      </c>
      <c r="Q937" s="1" t="str">
        <f ca="1">IFERROR(__xludf.DUMMYFUNCTION("""COMPUTED_VALUE"""),"No")</f>
        <v>No</v>
      </c>
      <c r="R937" s="1" t="str">
        <f ca="1">IFERROR(__xludf.DUMMYFUNCTION("""COMPUTED_VALUE"""),"No way")</f>
        <v>No way</v>
      </c>
      <c r="S937" s="1"/>
    </row>
    <row r="938" spans="1:19" ht="12.5" x14ac:dyDescent="0.25">
      <c r="A938" s="2">
        <f ca="1">IFERROR(__xludf.DUMMYFUNCTION("""COMPUTED_VALUE"""),45024.7473972569)</f>
        <v>45024.747397256899</v>
      </c>
      <c r="B938" s="1" t="str">
        <f ca="1">IFERROR(__xludf.DUMMYFUNCTION("""COMPUTED_VALUE"""),"India")</f>
        <v>India</v>
      </c>
      <c r="C938" s="1">
        <f ca="1">IFERROR(__xludf.DUMMYFUNCTION("""COMPUTED_VALUE"""),623525)</f>
        <v>623525</v>
      </c>
      <c r="D938" s="1" t="str">
        <f ca="1">IFERROR(__xludf.DUMMYFUNCTION("""COMPUTED_VALUE"""),"Female")</f>
        <v>Female</v>
      </c>
      <c r="E938" s="1" t="str">
        <f ca="1">IFERROR(__xludf.DUMMYFUNCTION("""COMPUTED_VALUE"""),"Influencers who had successful careers")</f>
        <v>Influencers who had successful careers</v>
      </c>
      <c r="F938" s="1" t="str">
        <f ca="1">IFERROR(__xludf.DUMMYFUNCTION("""COMPUTED_VALUE"""),"No, But if someone could bare the cost I will")</f>
        <v>No, But if someone could bare the cost I will</v>
      </c>
      <c r="G938" s="1" t="str">
        <f ca="1">IFERROR(__xludf.DUMMYFUNCTION("""COMPUTED_VALUE"""),"This will be hard to do, but if it is the right company I would try")</f>
        <v>This will be hard to do, but if it is the right company I would try</v>
      </c>
      <c r="H938" s="1" t="str">
        <f ca="1">IFERROR(__xludf.DUMMYFUNCTION("""COMPUTED_VALUE"""),"No")</f>
        <v>No</v>
      </c>
      <c r="I938" s="1" t="str">
        <f ca="1">IFERROR(__xludf.DUMMYFUNCTION("""COMPUTED_VALUE"""),"Will NOT work for them")</f>
        <v>Will NOT work for them</v>
      </c>
      <c r="J938" s="1">
        <f ca="1">IFERROR(__xludf.DUMMYFUNCTION("""COMPUTED_VALUE"""),6)</f>
        <v>6</v>
      </c>
      <c r="K938" s="1" t="str">
        <f ca="1">IFERROR(__xludf.DUMMYFUNCTION("""COMPUTED_VALUE"""),"Every Day Office Environment")</f>
        <v>Every Day Office Environment</v>
      </c>
      <c r="L938" s="1" t="str">
        <f ca="1">IFERROR(__xludf.DUMMYFUNCTION("""COMPUTED_VALUE"""),"Employer who rewards learning and enables that environment")</f>
        <v>Employer who rewards learning and enables that environment</v>
      </c>
      <c r="M93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38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938" s="1" t="str">
        <f ca="1">IFERROR(__xludf.DUMMYFUNCTION("""COMPUTED_VALUE"""),"Manager who sets goal and helps me achieve it")</f>
        <v>Manager who sets goal and helps me achieve it</v>
      </c>
      <c r="P938" s="1" t="str">
        <f ca="1">IFERROR(__xludf.DUMMYFUNCTION("""COMPUTED_VALUE"""),"Work with 2 to 3 people in my team")</f>
        <v>Work with 2 to 3 people in my team</v>
      </c>
      <c r="Q938" s="1" t="str">
        <f ca="1">IFERROR(__xludf.DUMMYFUNCTION("""COMPUTED_VALUE"""),"Yes")</f>
        <v>Yes</v>
      </c>
      <c r="R938" s="1" t="str">
        <f ca="1">IFERROR(__xludf.DUMMYFUNCTION("""COMPUTED_VALUE"""),"This will be hard to do, but if it is the right company I would try")</f>
        <v>This will be hard to do, but if it is the right company I would try</v>
      </c>
      <c r="S938" s="1"/>
    </row>
    <row r="939" spans="1:19" ht="12.5" x14ac:dyDescent="0.25">
      <c r="A939" s="2">
        <f ca="1">IFERROR(__xludf.DUMMYFUNCTION("""COMPUTED_VALUE"""),45024.756598831)</f>
        <v>45024.756598831002</v>
      </c>
      <c r="B939" s="1" t="str">
        <f ca="1">IFERROR(__xludf.DUMMYFUNCTION("""COMPUTED_VALUE"""),"India")</f>
        <v>India</v>
      </c>
      <c r="C939" s="1">
        <f ca="1">IFERROR(__xludf.DUMMYFUNCTION("""COMPUTED_VALUE"""),231001)</f>
        <v>231001</v>
      </c>
      <c r="D939" s="1" t="str">
        <f ca="1">IFERROR(__xludf.DUMMYFUNCTION("""COMPUTED_VALUE"""),"Male")</f>
        <v>Male</v>
      </c>
      <c r="E939" s="1" t="str">
        <f ca="1">IFERROR(__xludf.DUMMYFUNCTION("""COMPUTED_VALUE"""),"Influencers who had successful careers")</f>
        <v>Influencers who had successful careers</v>
      </c>
      <c r="F939" s="1" t="str">
        <f ca="1">IFERROR(__xludf.DUMMYFUNCTION("""COMPUTED_VALUE"""),"No I would not be pursuing Higher Education outside of India")</f>
        <v>No I would not be pursuing Higher Education outside of India</v>
      </c>
      <c r="G939" s="1" t="str">
        <f ca="1">IFERROR(__xludf.DUMMYFUNCTION("""COMPUTED_VALUE"""),"This will be hard to do, but if it is the right company I would try")</f>
        <v>This will be hard to do, but if it is the right company I would try</v>
      </c>
      <c r="H939" s="1" t="str">
        <f ca="1">IFERROR(__xludf.DUMMYFUNCTION("""COMPUTED_VALUE"""),"No")</f>
        <v>No</v>
      </c>
      <c r="I939" s="1" t="str">
        <f ca="1">IFERROR(__xludf.DUMMYFUNCTION("""COMPUTED_VALUE"""),"Will NOT work for them")</f>
        <v>Will NOT work for them</v>
      </c>
      <c r="J939" s="1">
        <f ca="1">IFERROR(__xludf.DUMMYFUNCTION("""COMPUTED_VALUE"""),7)</f>
        <v>7</v>
      </c>
      <c r="K939" s="1" t="str">
        <f ca="1">IFERROR(__xludf.DUMMYFUNCTION("""COMPUTED_VALUE"""),"Fully Remote with No option to visit offices")</f>
        <v>Fully Remote with No option to visit offices</v>
      </c>
      <c r="L939" s="1" t="str">
        <f ca="1">IFERROR(__xludf.DUMMYFUNCTION("""COMPUTED_VALUE"""),"Employer who appreciates learning and enables that environment")</f>
        <v>Employer who appreciates learning and enables that environment</v>
      </c>
      <c r="M93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939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939" s="1" t="str">
        <f ca="1">IFERROR(__xludf.DUMMYFUNCTION("""COMPUTED_VALUE"""),"Manager who sets goal and helps me achieve it")</f>
        <v>Manager who sets goal and helps me achieve it</v>
      </c>
      <c r="P939" s="1" t="str">
        <f ca="1">IFERROR(__xludf.DUMMYFUNCTION("""COMPUTED_VALUE"""),"Work with 7 to 10 or more people in my team")</f>
        <v>Work with 7 to 10 or more people in my team</v>
      </c>
      <c r="Q939" s="1" t="str">
        <f ca="1">IFERROR(__xludf.DUMMYFUNCTION("""COMPUTED_VALUE"""),"I have NO other choice")</f>
        <v>I have NO other choice</v>
      </c>
      <c r="R939" s="1" t="str">
        <f ca="1">IFERROR(__xludf.DUMMYFUNCTION("""COMPUTED_VALUE"""),"No way")</f>
        <v>No way</v>
      </c>
      <c r="S939" s="1"/>
    </row>
    <row r="940" spans="1:19" ht="12.5" x14ac:dyDescent="0.25">
      <c r="A940" s="2">
        <f ca="1">IFERROR(__xludf.DUMMYFUNCTION("""COMPUTED_VALUE"""),45024.7609117129)</f>
        <v>45024.760911712903</v>
      </c>
      <c r="B940" s="1" t="str">
        <f ca="1">IFERROR(__xludf.DUMMYFUNCTION("""COMPUTED_VALUE"""),"India")</f>
        <v>India</v>
      </c>
      <c r="C940" s="1">
        <f ca="1">IFERROR(__xludf.DUMMYFUNCTION("""COMPUTED_VALUE"""),313001)</f>
        <v>313001</v>
      </c>
      <c r="D940" s="1" t="str">
        <f ca="1">IFERROR(__xludf.DUMMYFUNCTION("""COMPUTED_VALUE"""),"Female")</f>
        <v>Female</v>
      </c>
      <c r="E940" s="1" t="str">
        <f ca="1">IFERROR(__xludf.DUMMYFUNCTION("""COMPUTED_VALUE"""),"People who have changed the world for better")</f>
        <v>People who have changed the world for better</v>
      </c>
      <c r="F940" s="1" t="str">
        <f ca="1">IFERROR(__xludf.DUMMYFUNCTION("""COMPUTED_VALUE"""),"No I would not be pursuing Higher Education outside of India")</f>
        <v>No I would not be pursuing Higher Education outside of India</v>
      </c>
      <c r="G940" s="1" t="str">
        <f ca="1">IFERROR(__xludf.DUMMYFUNCTION("""COMPUTED_VALUE"""),"Will work for 3 years or more")</f>
        <v>Will work for 3 years or more</v>
      </c>
      <c r="H940" s="1" t="str">
        <f ca="1">IFERROR(__xludf.DUMMYFUNCTION("""COMPUTED_VALUE"""),"No")</f>
        <v>No</v>
      </c>
      <c r="I940" s="1" t="str">
        <f ca="1">IFERROR(__xludf.DUMMYFUNCTION("""COMPUTED_VALUE"""),"Will NOT work for them")</f>
        <v>Will NOT work for them</v>
      </c>
      <c r="J940" s="1">
        <f ca="1">IFERROR(__xludf.DUMMYFUNCTION("""COMPUTED_VALUE"""),1)</f>
        <v>1</v>
      </c>
      <c r="K940" s="1" t="str">
        <f ca="1">IFERROR(__xludf.DUMMYFUNCTION("""COMPUTED_VALUE"""),"Every Day Office Environment")</f>
        <v>Every Day Office Environment</v>
      </c>
      <c r="L9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4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940" s="1" t="str">
        <f ca="1">IFERROR(__xludf.DUMMYFUNCTION("""COMPUTED_VALUE"""),"Teaching in any of the institutes/colleges/online or offline, Look deeply into Data and generate insights, Entrepreneur or Start Up, I Want to sell things/Sales")</f>
        <v>Teaching in any of the institutes/colleges/online or offline, Look deeply into Data and generate insights, Entrepreneur or Start Up, I Want to sell things/Sales</v>
      </c>
      <c r="O940" s="1" t="str">
        <f ca="1">IFERROR(__xludf.DUMMYFUNCTION("""COMPUTED_VALUE"""),"Manager who explains what is expected, sets a goal and helps achieve it")</f>
        <v>Manager who explains what is expected, sets a goal and helps achieve it</v>
      </c>
      <c r="P940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940" s="1" t="str">
        <f ca="1">IFERROR(__xludf.DUMMYFUNCTION("""COMPUTED_VALUE"""),"Yes, I Understand this is gonna happen everywhere")</f>
        <v>Yes, I Understand this is gonna happen everywhere</v>
      </c>
      <c r="R940" s="1" t="str">
        <f ca="1">IFERROR(__xludf.DUMMYFUNCTION("""COMPUTED_VALUE"""),"This will be hard to do, but if it is the right company I would try")</f>
        <v>This will be hard to do, but if it is the right company I would try</v>
      </c>
      <c r="S940" s="1"/>
    </row>
    <row r="941" spans="1:19" ht="12.5" x14ac:dyDescent="0.25">
      <c r="A941" s="2">
        <f ca="1">IFERROR(__xludf.DUMMYFUNCTION("""COMPUTED_VALUE"""),45024.7921819444)</f>
        <v>45024.792181944402</v>
      </c>
      <c r="B941" s="1" t="str">
        <f ca="1">IFERROR(__xludf.DUMMYFUNCTION("""COMPUTED_VALUE"""),"India")</f>
        <v>India</v>
      </c>
      <c r="C941" s="1">
        <f ca="1">IFERROR(__xludf.DUMMYFUNCTION("""COMPUTED_VALUE"""),628901)</f>
        <v>628901</v>
      </c>
      <c r="D941" s="1" t="str">
        <f ca="1">IFERROR(__xludf.DUMMYFUNCTION("""COMPUTED_VALUE"""),"Female")</f>
        <v>Female</v>
      </c>
      <c r="E941" s="1" t="str">
        <f ca="1">IFERROR(__xludf.DUMMYFUNCTION("""COMPUTED_VALUE"""),"My Parents")</f>
        <v>My Parents</v>
      </c>
      <c r="F941" s="1" t="str">
        <f ca="1">IFERROR(__xludf.DUMMYFUNCTION("""COMPUTED_VALUE"""),"Yes, I will earn and do that")</f>
        <v>Yes, I will earn and do that</v>
      </c>
      <c r="G941" s="1" t="str">
        <f ca="1">IFERROR(__xludf.DUMMYFUNCTION("""COMPUTED_VALUE"""),"This will be hard to do, but if it is the right company I would try")</f>
        <v>This will be hard to do, but if it is the right company I would try</v>
      </c>
      <c r="H941" s="1" t="str">
        <f ca="1">IFERROR(__xludf.DUMMYFUNCTION("""COMPUTED_VALUE"""),"Yes")</f>
        <v>Yes</v>
      </c>
      <c r="I941" s="1" t="str">
        <f ca="1">IFERROR(__xludf.DUMMYFUNCTION("""COMPUTED_VALUE"""),"Will work for them")</f>
        <v>Will work for them</v>
      </c>
      <c r="J941" s="1">
        <f ca="1">IFERROR(__xludf.DUMMYFUNCTION("""COMPUTED_VALUE"""),5)</f>
        <v>5</v>
      </c>
      <c r="K941" s="1" t="str">
        <f ca="1">IFERROR(__xludf.DUMMYFUNCTION("""COMPUTED_VALUE"""),"Hybrid Working Environment with less than 3 days a month at office")</f>
        <v>Hybrid Working Environment with less than 3 days a month at office</v>
      </c>
      <c r="L941" s="1" t="str">
        <f ca="1">IFERROR(__xludf.DUMMYFUNCTION("""COMPUTED_VALUE"""),"Employer who rewards learning and enables that environment")</f>
        <v>Employer who rewards learning and enables that environment</v>
      </c>
      <c r="M941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941" s="1" t="str">
        <f ca="1">IFERROR(__xludf.DUMMYFUNCTION("""COMPUTED_VALUE"""),"Business Operations in any organization, Work in a BPO setup for some well known client, Become a content Creator in some platform, Entrepreneur or Start Up")</f>
        <v>Business Operations in any organization, Work in a BPO setup for some well known client, Become a content Creator in some platform, Entrepreneur or Start Up</v>
      </c>
      <c r="O941" s="1" t="str">
        <f ca="1">IFERROR(__xludf.DUMMYFUNCTION("""COMPUTED_VALUE"""),"Manager who clearly describes what she/he needs")</f>
        <v>Manager who clearly describes what she/he needs</v>
      </c>
      <c r="P941" s="1" t="str">
        <f ca="1">IFERROR(__xludf.DUMMYFUNCTION("""COMPUTED_VALUE"""),"Work with 2 to 3 people in my team")</f>
        <v>Work with 2 to 3 people in my team</v>
      </c>
      <c r="Q941" s="1" t="str">
        <f ca="1">IFERROR(__xludf.DUMMYFUNCTION("""COMPUTED_VALUE"""),"Yes, I Understand this is gonna happen everywhere")</f>
        <v>Yes, I Understand this is gonna happen everywhere</v>
      </c>
      <c r="R941" s="1" t="str">
        <f ca="1">IFERROR(__xludf.DUMMYFUNCTION("""COMPUTED_VALUE"""),"This will be hard to do, but if it is the right company I would try")</f>
        <v>This will be hard to do, but if it is the right company I would try</v>
      </c>
      <c r="S941" s="1"/>
    </row>
    <row r="942" spans="1:19" ht="12.5" x14ac:dyDescent="0.25">
      <c r="A942" s="2">
        <f ca="1">IFERROR(__xludf.DUMMYFUNCTION("""COMPUTED_VALUE"""),45024.8427196412)</f>
        <v>45024.842719641201</v>
      </c>
      <c r="B942" s="1" t="str">
        <f ca="1">IFERROR(__xludf.DUMMYFUNCTION("""COMPUTED_VALUE"""),"India")</f>
        <v>India</v>
      </c>
      <c r="C942" s="1">
        <f ca="1">IFERROR(__xludf.DUMMYFUNCTION("""COMPUTED_VALUE"""),600117)</f>
        <v>600117</v>
      </c>
      <c r="D942" s="1" t="str">
        <f ca="1">IFERROR(__xludf.DUMMYFUNCTION("""COMPUTED_VALUE"""),"Male")</f>
        <v>Male</v>
      </c>
      <c r="E942" s="1" t="str">
        <f ca="1">IFERROR(__xludf.DUMMYFUNCTION("""COMPUTED_VALUE"""),"People who have changed the world for better")</f>
        <v>People who have changed the world for better</v>
      </c>
      <c r="F942" s="1" t="str">
        <f ca="1">IFERROR(__xludf.DUMMYFUNCTION("""COMPUTED_VALUE"""),"Yes, I will earn and do that")</f>
        <v>Yes, I will earn and do that</v>
      </c>
      <c r="G942" s="1" t="str">
        <f ca="1">IFERROR(__xludf.DUMMYFUNCTION("""COMPUTED_VALUE"""),"Will work for 3 years or more")</f>
        <v>Will work for 3 years or more</v>
      </c>
      <c r="H942" s="1" t="str">
        <f ca="1">IFERROR(__xludf.DUMMYFUNCTION("""COMPUTED_VALUE"""),"No")</f>
        <v>No</v>
      </c>
      <c r="I942" s="1" t="str">
        <f ca="1">IFERROR(__xludf.DUMMYFUNCTION("""COMPUTED_VALUE"""),"Will NOT work for them")</f>
        <v>Will NOT work for them</v>
      </c>
      <c r="J942" s="1">
        <f ca="1">IFERROR(__xludf.DUMMYFUNCTION("""COMPUTED_VALUE"""),5)</f>
        <v>5</v>
      </c>
      <c r="K942" s="1" t="str">
        <f ca="1">IFERROR(__xludf.DUMMYFUNCTION("""COMPUTED_VALUE"""),"Hybrid Working Environment with less than 3 days a month at office")</f>
        <v>Hybrid Working Environment with less than 3 days a month at office</v>
      </c>
      <c r="L942" s="1" t="str">
        <f ca="1">IFERROR(__xludf.DUMMYFUNCTION("""COMPUTED_VALUE"""),"Employer who rewards learning and enables that environment")</f>
        <v>Employer who rewards learning and enables that environment</v>
      </c>
      <c r="M94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42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942" s="1" t="str">
        <f ca="1">IFERROR(__xludf.DUMMYFUNCTION("""COMPUTED_VALUE"""),"Manager who explains what is expected, sets a goal and helps achieve it")</f>
        <v>Manager who explains what is expected, sets a goal and helps achieve it</v>
      </c>
      <c r="P942" s="1" t="str">
        <f ca="1">IFERROR(__xludf.DUMMYFUNCTION("""COMPUTED_VALUE"""),"Work with 2 to 3 people in my team")</f>
        <v>Work with 2 to 3 people in my team</v>
      </c>
      <c r="Q942" s="1" t="str">
        <f ca="1">IFERROR(__xludf.DUMMYFUNCTION("""COMPUTED_VALUE"""),"Yes, I Understand this is gonna happen everywhere")</f>
        <v>Yes, I Understand this is gonna happen everywhere</v>
      </c>
      <c r="R942" s="1" t="str">
        <f ca="1">IFERROR(__xludf.DUMMYFUNCTION("""COMPUTED_VALUE"""),"This will be hard to do, but if it is the right company I would try")</f>
        <v>This will be hard to do, but if it is the right company I would try</v>
      </c>
      <c r="S942" s="1"/>
    </row>
    <row r="943" spans="1:19" ht="12.5" x14ac:dyDescent="0.25">
      <c r="A943" s="2">
        <f ca="1">IFERROR(__xludf.DUMMYFUNCTION("""COMPUTED_VALUE"""),45024.8658265277)</f>
        <v>45024.865826527697</v>
      </c>
      <c r="B943" s="1" t="str">
        <f ca="1">IFERROR(__xludf.DUMMYFUNCTION("""COMPUTED_VALUE"""),"India")</f>
        <v>India</v>
      </c>
      <c r="C943" s="1">
        <f ca="1">IFERROR(__xludf.DUMMYFUNCTION("""COMPUTED_VALUE"""),623525)</f>
        <v>623525</v>
      </c>
      <c r="D943" s="1" t="str">
        <f ca="1">IFERROR(__xludf.DUMMYFUNCTION("""COMPUTED_VALUE"""),"Male")</f>
        <v>Male</v>
      </c>
      <c r="E943" s="1" t="str">
        <f ca="1">IFERROR(__xludf.DUMMYFUNCTION("""COMPUTED_VALUE"""),"Influencers who had successful careers")</f>
        <v>Influencers who had successful careers</v>
      </c>
      <c r="F943" s="1" t="str">
        <f ca="1">IFERROR(__xludf.DUMMYFUNCTION("""COMPUTED_VALUE"""),"No, But if someone could bare the cost I will")</f>
        <v>No, But if someone could bare the cost I will</v>
      </c>
      <c r="G943" s="1" t="str">
        <f ca="1">IFERROR(__xludf.DUMMYFUNCTION("""COMPUTED_VALUE"""),"No way")</f>
        <v>No way</v>
      </c>
      <c r="H943" s="1" t="str">
        <f ca="1">IFERROR(__xludf.DUMMYFUNCTION("""COMPUTED_VALUE"""),"Yes")</f>
        <v>Yes</v>
      </c>
      <c r="I943" s="1" t="str">
        <f ca="1">IFERROR(__xludf.DUMMYFUNCTION("""COMPUTED_VALUE"""),"Will work for them")</f>
        <v>Will work for them</v>
      </c>
      <c r="J943" s="1">
        <f ca="1">IFERROR(__xludf.DUMMYFUNCTION("""COMPUTED_VALUE"""),3)</f>
        <v>3</v>
      </c>
      <c r="K943" s="1" t="str">
        <f ca="1">IFERROR(__xludf.DUMMYFUNCTION("""COMPUTED_VALUE"""),"Every Day Office Environment")</f>
        <v>Every Day Office Environment</v>
      </c>
      <c r="L9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43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943" s="1" t="str">
        <f ca="1">IFERROR(__xludf.DUMMYFUNCTION("""COMPUTED_VALUE"""),"Manager who sets targets and expects me to achieve it")</f>
        <v>Manager who sets targets and expects me to achieve it</v>
      </c>
      <c r="P943" s="1" t="str">
        <f ca="1">IFERROR(__xludf.DUMMYFUNCTION("""COMPUTED_VALUE"""),"Work alone")</f>
        <v>Work alone</v>
      </c>
      <c r="Q943" s="1" t="str">
        <f ca="1">IFERROR(__xludf.DUMMYFUNCTION("""COMPUTED_VALUE"""),"I have NO other choice")</f>
        <v>I have NO other choice</v>
      </c>
      <c r="R943" s="1" t="str">
        <f ca="1">IFERROR(__xludf.DUMMYFUNCTION("""COMPUTED_VALUE"""),"No way")</f>
        <v>No way</v>
      </c>
      <c r="S943" s="1"/>
    </row>
    <row r="944" spans="1:19" ht="12.5" x14ac:dyDescent="0.25">
      <c r="A944" s="2">
        <f ca="1">IFERROR(__xludf.DUMMYFUNCTION("""COMPUTED_VALUE"""),45024.8762669907)</f>
        <v>45024.876266990701</v>
      </c>
      <c r="B944" s="1" t="str">
        <f ca="1">IFERROR(__xludf.DUMMYFUNCTION("""COMPUTED_VALUE"""),"India")</f>
        <v>India</v>
      </c>
      <c r="C944" s="1">
        <f ca="1">IFERROR(__xludf.DUMMYFUNCTION("""COMPUTED_VALUE"""),382002)</f>
        <v>382002</v>
      </c>
      <c r="D944" s="1" t="str">
        <f ca="1">IFERROR(__xludf.DUMMYFUNCTION("""COMPUTED_VALUE"""),"Male")</f>
        <v>Male</v>
      </c>
      <c r="E944" s="1" t="str">
        <f ca="1">IFERROR(__xludf.DUMMYFUNCTION("""COMPUTED_VALUE"""),"People from my circle, but not family members")</f>
        <v>People from my circle, but not family members</v>
      </c>
      <c r="F944" s="1" t="str">
        <f ca="1">IFERROR(__xludf.DUMMYFUNCTION("""COMPUTED_VALUE"""),"No, But if someone could bare the cost I will")</f>
        <v>No, But if someone could bare the cost I will</v>
      </c>
      <c r="G944" s="1" t="str">
        <f ca="1">IFERROR(__xludf.DUMMYFUNCTION("""COMPUTED_VALUE"""),"Will work for 3 years or more")</f>
        <v>Will work for 3 years or more</v>
      </c>
      <c r="H944" s="1" t="str">
        <f ca="1">IFERROR(__xludf.DUMMYFUNCTION("""COMPUTED_VALUE"""),"Yes")</f>
        <v>Yes</v>
      </c>
      <c r="I944" s="1" t="str">
        <f ca="1">IFERROR(__xludf.DUMMYFUNCTION("""COMPUTED_VALUE"""),"Will NOT work for them")</f>
        <v>Will NOT work for them</v>
      </c>
      <c r="J944" s="1">
        <f ca="1">IFERROR(__xludf.DUMMYFUNCTION("""COMPUTED_VALUE"""),7)</f>
        <v>7</v>
      </c>
      <c r="K944" s="1" t="str">
        <f ca="1">IFERROR(__xludf.DUMMYFUNCTION("""COMPUTED_VALUE"""),"Hybrid Working Environment with more than 15 days a month at office")</f>
        <v>Hybrid Working Environment with more than 15 days a month at office</v>
      </c>
      <c r="L9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4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44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944" s="1" t="str">
        <f ca="1">IFERROR(__xludf.DUMMYFUNCTION("""COMPUTED_VALUE"""),"Manager who sets goal and helps me achieve it")</f>
        <v>Manager who sets goal and helps me achieve it</v>
      </c>
      <c r="P944" s="1" t="str">
        <f ca="1">IFERROR(__xludf.DUMMYFUNCTION("""COMPUTED_VALUE"""),"Work alone")</f>
        <v>Work alone</v>
      </c>
      <c r="Q944" s="1" t="str">
        <f ca="1">IFERROR(__xludf.DUMMYFUNCTION("""COMPUTED_VALUE"""),"I have NO other choice")</f>
        <v>I have NO other choice</v>
      </c>
      <c r="R944" s="1" t="str">
        <f ca="1">IFERROR(__xludf.DUMMYFUNCTION("""COMPUTED_VALUE"""),"No way")</f>
        <v>No way</v>
      </c>
      <c r="S944" s="1"/>
    </row>
    <row r="945" spans="1:19" ht="12.5" x14ac:dyDescent="0.25">
      <c r="A945" s="2">
        <f ca="1">IFERROR(__xludf.DUMMYFUNCTION("""COMPUTED_VALUE"""),45024.8781753819)</f>
        <v>45024.878175381898</v>
      </c>
      <c r="B945" s="1" t="str">
        <f ca="1">IFERROR(__xludf.DUMMYFUNCTION("""COMPUTED_VALUE"""),"Canada")</f>
        <v>Canada</v>
      </c>
      <c r="C945" s="1" t="str">
        <f ca="1">IFERROR(__xludf.DUMMYFUNCTION("""COMPUTED_VALUE"""),"K0AK4P")</f>
        <v>K0AK4P</v>
      </c>
      <c r="D945" s="1" t="str">
        <f ca="1">IFERROR(__xludf.DUMMYFUNCTION("""COMPUTED_VALUE"""),"Female")</f>
        <v>Female</v>
      </c>
      <c r="E945" s="1" t="str">
        <f ca="1">IFERROR(__xludf.DUMMYFUNCTION("""COMPUTED_VALUE"""),"People who have changed the world for better")</f>
        <v>People who have changed the world for better</v>
      </c>
      <c r="F945" s="1" t="str">
        <f ca="1">IFERROR(__xludf.DUMMYFUNCTION("""COMPUTED_VALUE"""),"Yes, I will earn and do that")</f>
        <v>Yes, I will earn and do that</v>
      </c>
      <c r="G945" s="1" t="str">
        <f ca="1">IFERROR(__xludf.DUMMYFUNCTION("""COMPUTED_VALUE"""),"Will work for 3 years or more")</f>
        <v>Will work for 3 years or more</v>
      </c>
      <c r="H945" s="1" t="str">
        <f ca="1">IFERROR(__xludf.DUMMYFUNCTION("""COMPUTED_VALUE"""),"Yes")</f>
        <v>Yes</v>
      </c>
      <c r="I945" s="1" t="str">
        <f ca="1">IFERROR(__xludf.DUMMYFUNCTION("""COMPUTED_VALUE"""),"Will NOT work for them")</f>
        <v>Will NOT work for them</v>
      </c>
      <c r="J945" s="1">
        <f ca="1">IFERROR(__xludf.DUMMYFUNCTION("""COMPUTED_VALUE"""),9)</f>
        <v>9</v>
      </c>
      <c r="K945" s="1" t="str">
        <f ca="1">IFERROR(__xludf.DUMMYFUNCTION("""COMPUTED_VALUE"""),"Fully Remote with No option to visit offices")</f>
        <v>Fully Remote with No option to visit offices</v>
      </c>
      <c r="L9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45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945" s="1" t="str">
        <f ca="1">IFERROR(__xludf.DUMMYFUNCTION("""COMPUTED_VALUE"""),"Design and Creative strategy in any company, Look deeply into Data and generate insights, Work as a freelancer and do my thing my way, Become a content Creator in some platform")</f>
        <v>Design and Creative strategy in any company, Look deeply into Data and generate insights, Work as a freelancer and do my thing my way, Become a content Creator in some platform</v>
      </c>
      <c r="O945" s="1" t="str">
        <f ca="1">IFERROR(__xludf.DUMMYFUNCTION("""COMPUTED_VALUE"""),"Manager who explains what is expected, sets a goal and helps achieve it")</f>
        <v>Manager who explains what is expected, sets a goal and helps achieve it</v>
      </c>
      <c r="P945" s="1" t="str">
        <f ca="1">IFERROR(__xludf.DUMMYFUNCTION("""COMPUTED_VALUE"""),"Work alone")</f>
        <v>Work alone</v>
      </c>
      <c r="Q945" s="1" t="str">
        <f ca="1">IFERROR(__xludf.DUMMYFUNCTION("""COMPUTED_VALUE"""),"Yes")</f>
        <v>Yes</v>
      </c>
      <c r="R945" s="1" t="str">
        <f ca="1">IFERROR(__xludf.DUMMYFUNCTION("""COMPUTED_VALUE"""),"No way")</f>
        <v>No way</v>
      </c>
      <c r="S945" s="1"/>
    </row>
    <row r="946" spans="1:19" ht="12.5" x14ac:dyDescent="0.25">
      <c r="A946" s="2">
        <f ca="1">IFERROR(__xludf.DUMMYFUNCTION("""COMPUTED_VALUE"""),45024.9619937037)</f>
        <v>45024.961993703699</v>
      </c>
      <c r="B946" s="1" t="str">
        <f ca="1">IFERROR(__xludf.DUMMYFUNCTION("""COMPUTED_VALUE"""),"India")</f>
        <v>India</v>
      </c>
      <c r="C946" s="1" t="str">
        <f ca="1">IFERROR(__xludf.DUMMYFUNCTION("""COMPUTED_VALUE"""),"-")</f>
        <v>-</v>
      </c>
      <c r="D946" s="1" t="str">
        <f ca="1">IFERROR(__xludf.DUMMYFUNCTION("""COMPUTED_VALUE"""),"Female")</f>
        <v>Female</v>
      </c>
      <c r="E946" s="1" t="str">
        <f ca="1">IFERROR(__xludf.DUMMYFUNCTION("""COMPUTED_VALUE"""),"Influencers who had successful careers")</f>
        <v>Influencers who had successful careers</v>
      </c>
      <c r="F946" s="1" t="str">
        <f ca="1">IFERROR(__xludf.DUMMYFUNCTION("""COMPUTED_VALUE"""),"No I would not be pursuing Higher Education outside of India")</f>
        <v>No I would not be pursuing Higher Education outside of India</v>
      </c>
      <c r="G946" s="1" t="str">
        <f ca="1">IFERROR(__xludf.DUMMYFUNCTION("""COMPUTED_VALUE"""),"This will be hard to do, but if it is the right company I would try")</f>
        <v>This will be hard to do, but if it is the right company I would try</v>
      </c>
      <c r="H946" s="1" t="str">
        <f ca="1">IFERROR(__xludf.DUMMYFUNCTION("""COMPUTED_VALUE"""),"No")</f>
        <v>No</v>
      </c>
      <c r="I946" s="1" t="str">
        <f ca="1">IFERROR(__xludf.DUMMYFUNCTION("""COMPUTED_VALUE"""),"Will NOT work for them")</f>
        <v>Will NOT work for them</v>
      </c>
      <c r="J946" s="1">
        <f ca="1">IFERROR(__xludf.DUMMYFUNCTION("""COMPUTED_VALUE"""),5)</f>
        <v>5</v>
      </c>
      <c r="K946" s="1" t="str">
        <f ca="1">IFERROR(__xludf.DUMMYFUNCTION("""COMPUTED_VALUE"""),"Hybrid Working Environment with more than 15 days a month at office")</f>
        <v>Hybrid Working Environment with more than 15 days a month at office</v>
      </c>
      <c r="L9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4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946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946" s="1" t="str">
        <f ca="1">IFERROR(__xludf.DUMMYFUNCTION("""COMPUTED_VALUE"""),"Manager who explains what is expected, sets a goal and helps achieve it")</f>
        <v>Manager who explains what is expected, sets a goal and helps achieve it</v>
      </c>
      <c r="P946" s="1" t="str">
        <f ca="1">IFERROR(__xludf.DUMMYFUNCTION("""COMPUTED_VALUE"""),"Work with 2 to 3 people in my team")</f>
        <v>Work with 2 to 3 people in my team</v>
      </c>
      <c r="Q946" s="1" t="str">
        <f ca="1">IFERROR(__xludf.DUMMYFUNCTION("""COMPUTED_VALUE"""),"Yes, I Understand this is gonna happen everywhere")</f>
        <v>Yes, I Understand this is gonna happen everywhere</v>
      </c>
      <c r="R946" s="1" t="str">
        <f ca="1">IFERROR(__xludf.DUMMYFUNCTION("""COMPUTED_VALUE"""),"This will be hard to do, but if it is the right company I would try")</f>
        <v>This will be hard to do, but if it is the right company I would try</v>
      </c>
      <c r="S946" s="1"/>
    </row>
    <row r="947" spans="1:19" ht="12.5" x14ac:dyDescent="0.25">
      <c r="A947" s="2">
        <f ca="1">IFERROR(__xludf.DUMMYFUNCTION("""COMPUTED_VALUE"""),45025.1121121759)</f>
        <v>45025.112112175899</v>
      </c>
      <c r="B947" s="1" t="str">
        <f ca="1">IFERROR(__xludf.DUMMYFUNCTION("""COMPUTED_VALUE"""),"India")</f>
        <v>India</v>
      </c>
      <c r="C947" s="1">
        <f ca="1">IFERROR(__xludf.DUMMYFUNCTION("""COMPUTED_VALUE"""),431001)</f>
        <v>431001</v>
      </c>
      <c r="D947" s="1" t="str">
        <f ca="1">IFERROR(__xludf.DUMMYFUNCTION("""COMPUTED_VALUE"""),"Male")</f>
        <v>Male</v>
      </c>
      <c r="E947" s="1" t="str">
        <f ca="1">IFERROR(__xludf.DUMMYFUNCTION("""COMPUTED_VALUE"""),"Influencers who had successful careers")</f>
        <v>Influencers who had successful careers</v>
      </c>
      <c r="F947" s="1" t="str">
        <f ca="1">IFERROR(__xludf.DUMMYFUNCTION("""COMPUTED_VALUE"""),"Yes, I will earn and do that")</f>
        <v>Yes, I will earn and do that</v>
      </c>
      <c r="G947" s="1" t="str">
        <f ca="1">IFERROR(__xludf.DUMMYFUNCTION("""COMPUTED_VALUE"""),"This will be hard to do, but if it is the right company I would try")</f>
        <v>This will be hard to do, but if it is the right company I would try</v>
      </c>
      <c r="H947" s="1" t="str">
        <f ca="1">IFERROR(__xludf.DUMMYFUNCTION("""COMPUTED_VALUE"""),"Yes")</f>
        <v>Yes</v>
      </c>
      <c r="I947" s="1" t="str">
        <f ca="1">IFERROR(__xludf.DUMMYFUNCTION("""COMPUTED_VALUE"""),"Will NOT work for them")</f>
        <v>Will NOT work for them</v>
      </c>
      <c r="J947" s="1">
        <f ca="1">IFERROR(__xludf.DUMMYFUNCTION("""COMPUTED_VALUE"""),5)</f>
        <v>5</v>
      </c>
      <c r="K947" s="1" t="str">
        <f ca="1">IFERROR(__xludf.DUMMYFUNCTION("""COMPUTED_VALUE"""),"Fully Remote with Options to travel as and when needed")</f>
        <v>Fully Remote with Options to travel as and when needed</v>
      </c>
      <c r="L9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4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47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947" s="1" t="str">
        <f ca="1">IFERROR(__xludf.DUMMYFUNCTION("""COMPUTED_VALUE"""),"Manager who explains what is expected, sets a goal and helps achieve it")</f>
        <v>Manager who explains what is expected, sets a goal and helps achieve it</v>
      </c>
      <c r="P947" s="1" t="str">
        <f ca="1">IFERROR(__xludf.DUMMYFUNCTION("""COMPUTED_VALUE"""),"Work with 5 to 6 people in my team")</f>
        <v>Work with 5 to 6 people in my team</v>
      </c>
      <c r="Q947" s="1" t="str">
        <f ca="1">IFERROR(__xludf.DUMMYFUNCTION("""COMPUTED_VALUE"""),"Yes, I Understand this is gonna happen everywhere")</f>
        <v>Yes, I Understand this is gonna happen everywhere</v>
      </c>
      <c r="R947" s="1" t="str">
        <f ca="1">IFERROR(__xludf.DUMMYFUNCTION("""COMPUTED_VALUE"""),"This will be hard to do, but if it is the right company I would try")</f>
        <v>This will be hard to do, but if it is the right company I would try</v>
      </c>
      <c r="S947" s="1"/>
    </row>
    <row r="948" spans="1:19" ht="12.5" x14ac:dyDescent="0.25">
      <c r="A948" s="2">
        <f ca="1">IFERROR(__xludf.DUMMYFUNCTION("""COMPUTED_VALUE"""),45025.3156197569)</f>
        <v>45025.315619756897</v>
      </c>
      <c r="B948" s="1" t="str">
        <f ca="1">IFERROR(__xludf.DUMMYFUNCTION("""COMPUTED_VALUE"""),"India")</f>
        <v>India</v>
      </c>
      <c r="C948" s="1">
        <f ca="1">IFERROR(__xludf.DUMMYFUNCTION("""COMPUTED_VALUE"""),505327)</f>
        <v>505327</v>
      </c>
      <c r="D948" s="1" t="str">
        <f ca="1">IFERROR(__xludf.DUMMYFUNCTION("""COMPUTED_VALUE"""),"Male")</f>
        <v>Male</v>
      </c>
      <c r="E948" s="1" t="str">
        <f ca="1">IFERROR(__xludf.DUMMYFUNCTION("""COMPUTED_VALUE"""),"People who have changed the world for better")</f>
        <v>People who have changed the world for better</v>
      </c>
      <c r="F948" s="1" t="str">
        <f ca="1">IFERROR(__xludf.DUMMYFUNCTION("""COMPUTED_VALUE"""),"Yes, I will earn and do that")</f>
        <v>Yes, I will earn and do that</v>
      </c>
      <c r="G948" s="1" t="str">
        <f ca="1">IFERROR(__xludf.DUMMYFUNCTION("""COMPUTED_VALUE"""),"This will be hard to do, but if it is the right company I would try")</f>
        <v>This will be hard to do, but if it is the right company I would try</v>
      </c>
      <c r="H948" s="1" t="str">
        <f ca="1">IFERROR(__xludf.DUMMYFUNCTION("""COMPUTED_VALUE"""),"No")</f>
        <v>No</v>
      </c>
      <c r="I948" s="1" t="str">
        <f ca="1">IFERROR(__xludf.DUMMYFUNCTION("""COMPUTED_VALUE"""),"Will NOT work for them")</f>
        <v>Will NOT work for them</v>
      </c>
      <c r="J948" s="1">
        <f ca="1">IFERROR(__xludf.DUMMYFUNCTION("""COMPUTED_VALUE"""),8)</f>
        <v>8</v>
      </c>
      <c r="K948" s="1" t="str">
        <f ca="1">IFERROR(__xludf.DUMMYFUNCTION("""COMPUTED_VALUE"""),"Hybrid Working Environment with more than 15 days a month at office")</f>
        <v>Hybrid Working Environment with more than 15 days a month at office</v>
      </c>
      <c r="L9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4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4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948" s="1" t="str">
        <f ca="1">IFERROR(__xludf.DUMMYFUNCTION("""COMPUTED_VALUE"""),"Manager who explains what is expected, sets a goal and helps achieve it")</f>
        <v>Manager who explains what is expected, sets a goal and helps achieve it</v>
      </c>
      <c r="P948" s="1" t="str">
        <f ca="1">IFERROR(__xludf.DUMMYFUNCTION("""COMPUTED_VALUE"""),"Work with 5 to 6 people in my team")</f>
        <v>Work with 5 to 6 people in my team</v>
      </c>
      <c r="Q948" s="1" t="str">
        <f ca="1">IFERROR(__xludf.DUMMYFUNCTION("""COMPUTED_VALUE"""),"Yes, I Understand this is gonna happen everywhere")</f>
        <v>Yes, I Understand this is gonna happen everywhere</v>
      </c>
      <c r="R948" s="1" t="str">
        <f ca="1">IFERROR(__xludf.DUMMYFUNCTION("""COMPUTED_VALUE"""),"This will be hard to do, but if it is the right company I would try")</f>
        <v>This will be hard to do, but if it is the right company I would try</v>
      </c>
      <c r="S948" s="1"/>
    </row>
    <row r="949" spans="1:19" ht="12.5" x14ac:dyDescent="0.25">
      <c r="A949" s="2">
        <f ca="1">IFERROR(__xludf.DUMMYFUNCTION("""COMPUTED_VALUE"""),45025.4050530671)</f>
        <v>45025.405053067101</v>
      </c>
      <c r="B949" s="1" t="str">
        <f ca="1">IFERROR(__xludf.DUMMYFUNCTION("""COMPUTED_VALUE"""),"India")</f>
        <v>India</v>
      </c>
      <c r="C949" s="1">
        <f ca="1">IFERROR(__xludf.DUMMYFUNCTION("""COMPUTED_VALUE"""),410505)</f>
        <v>410505</v>
      </c>
      <c r="D949" s="1" t="str">
        <f ca="1">IFERROR(__xludf.DUMMYFUNCTION("""COMPUTED_VALUE"""),"Male")</f>
        <v>Male</v>
      </c>
      <c r="E949" s="1" t="str">
        <f ca="1">IFERROR(__xludf.DUMMYFUNCTION("""COMPUTED_VALUE"""),"Influencers who had successful careers")</f>
        <v>Influencers who had successful careers</v>
      </c>
      <c r="F949" s="1" t="str">
        <f ca="1">IFERROR(__xludf.DUMMYFUNCTION("""COMPUTED_VALUE"""),"No I would not be pursuing Higher Education outside of India")</f>
        <v>No I would not be pursuing Higher Education outside of India</v>
      </c>
      <c r="G949" s="1" t="str">
        <f ca="1">IFERROR(__xludf.DUMMYFUNCTION("""COMPUTED_VALUE"""),"Will work for 3 years or more")</f>
        <v>Will work for 3 years or more</v>
      </c>
      <c r="H949" s="1" t="str">
        <f ca="1">IFERROR(__xludf.DUMMYFUNCTION("""COMPUTED_VALUE"""),"Yes")</f>
        <v>Yes</v>
      </c>
      <c r="I949" s="1" t="str">
        <f ca="1">IFERROR(__xludf.DUMMYFUNCTION("""COMPUTED_VALUE"""),"Will NOT work for them")</f>
        <v>Will NOT work for them</v>
      </c>
      <c r="J949" s="1">
        <f ca="1">IFERROR(__xludf.DUMMYFUNCTION("""COMPUTED_VALUE"""),6)</f>
        <v>6</v>
      </c>
      <c r="K949" s="1" t="str">
        <f ca="1">IFERROR(__xludf.DUMMYFUNCTION("""COMPUTED_VALUE"""),"Hybrid Working Environment with less than 3 days a month at office")</f>
        <v>Hybrid Working Environment with less than 3 days a month at office</v>
      </c>
      <c r="L9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4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49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949" s="1" t="str">
        <f ca="1">IFERROR(__xludf.DUMMYFUNCTION("""COMPUTED_VALUE"""),"Manager who explains what is expected, sets a goal and helps achieve it")</f>
        <v>Manager who explains what is expected, sets a goal and helps achieve it</v>
      </c>
      <c r="P949" s="1" t="str">
        <f ca="1">IFERROR(__xludf.DUMMYFUNCTION("""COMPUTED_VALUE"""),"Work with 5 to 6 people in my team")</f>
        <v>Work with 5 to 6 people in my team</v>
      </c>
      <c r="Q949" s="1" t="str">
        <f ca="1">IFERROR(__xludf.DUMMYFUNCTION("""COMPUTED_VALUE"""),"No")</f>
        <v>No</v>
      </c>
      <c r="R949" s="1" t="str">
        <f ca="1">IFERROR(__xludf.DUMMYFUNCTION("""COMPUTED_VALUE"""),"This will be hard to do, but if it is the right company I would try")</f>
        <v>This will be hard to do, but if it is the right company I would try</v>
      </c>
      <c r="S949" s="1"/>
    </row>
    <row r="950" spans="1:19" ht="12.5" x14ac:dyDescent="0.25">
      <c r="A950" s="2">
        <f ca="1">IFERROR(__xludf.DUMMYFUNCTION("""COMPUTED_VALUE"""),45025.4718439351)</f>
        <v>45025.471843935098</v>
      </c>
      <c r="B950" s="1" t="str">
        <f ca="1">IFERROR(__xludf.DUMMYFUNCTION("""COMPUTED_VALUE"""),"India")</f>
        <v>India</v>
      </c>
      <c r="C950" s="1">
        <f ca="1">IFERROR(__xludf.DUMMYFUNCTION("""COMPUTED_VALUE"""),575013)</f>
        <v>575013</v>
      </c>
      <c r="D950" s="1" t="str">
        <f ca="1">IFERROR(__xludf.DUMMYFUNCTION("""COMPUTED_VALUE"""),"Female")</f>
        <v>Female</v>
      </c>
      <c r="E950" s="1" t="str">
        <f ca="1">IFERROR(__xludf.DUMMYFUNCTION("""COMPUTED_VALUE"""),"Social Media like LinkedIn")</f>
        <v>Social Media like LinkedIn</v>
      </c>
      <c r="F950" s="1" t="str">
        <f ca="1">IFERROR(__xludf.DUMMYFUNCTION("""COMPUTED_VALUE"""),"Yes, I will earn and do that")</f>
        <v>Yes, I will earn and do that</v>
      </c>
      <c r="G950" s="1" t="str">
        <f ca="1">IFERROR(__xludf.DUMMYFUNCTION("""COMPUTED_VALUE"""),"This will be hard to do, but if it is the right company I would try")</f>
        <v>This will be hard to do, but if it is the right company I would try</v>
      </c>
      <c r="H950" s="1" t="str">
        <f ca="1">IFERROR(__xludf.DUMMYFUNCTION("""COMPUTED_VALUE"""),"No")</f>
        <v>No</v>
      </c>
      <c r="I950" s="1" t="str">
        <f ca="1">IFERROR(__xludf.DUMMYFUNCTION("""COMPUTED_VALUE"""),"Will NOT work for them")</f>
        <v>Will NOT work for them</v>
      </c>
      <c r="J950" s="1">
        <f ca="1">IFERROR(__xludf.DUMMYFUNCTION("""COMPUTED_VALUE"""),2)</f>
        <v>2</v>
      </c>
      <c r="K950" s="1" t="str">
        <f ca="1">IFERROR(__xludf.DUMMYFUNCTION("""COMPUTED_VALUE"""),"Fully Remote with Options to travel as and when needed")</f>
        <v>Fully Remote with Options to travel as and when needed</v>
      </c>
      <c r="L9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5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50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950" s="1" t="str">
        <f ca="1">IFERROR(__xludf.DUMMYFUNCTION("""COMPUTED_VALUE"""),"Manager who explains what is expected, sets a goal and helps achieve it")</f>
        <v>Manager who explains what is expected, sets a goal and helps achieve it</v>
      </c>
      <c r="P950" s="1" t="str">
        <f ca="1">IFERROR(__xludf.DUMMYFUNCTION("""COMPUTED_VALUE"""),"Work with 2 to 3 people in my team, Work with 5 to 6 people in my team")</f>
        <v>Work with 2 to 3 people in my team, Work with 5 to 6 people in my team</v>
      </c>
      <c r="Q950" s="1" t="str">
        <f ca="1">IFERROR(__xludf.DUMMYFUNCTION("""COMPUTED_VALUE"""),"No")</f>
        <v>No</v>
      </c>
      <c r="R950" s="1" t="str">
        <f ca="1">IFERROR(__xludf.DUMMYFUNCTION("""COMPUTED_VALUE"""),"This will be hard to do, but if it is the right company I would try")</f>
        <v>This will be hard to do, but if it is the right company I would try</v>
      </c>
      <c r="S950" s="1"/>
    </row>
    <row r="951" spans="1:19" ht="12.5" x14ac:dyDescent="0.25">
      <c r="A951" s="2">
        <f ca="1">IFERROR(__xludf.DUMMYFUNCTION("""COMPUTED_VALUE"""),45025.590613368)</f>
        <v>45025.590613367996</v>
      </c>
      <c r="B951" s="1" t="str">
        <f ca="1">IFERROR(__xludf.DUMMYFUNCTION("""COMPUTED_VALUE"""),"India")</f>
        <v>India</v>
      </c>
      <c r="C951" s="1">
        <f ca="1">IFERROR(__xludf.DUMMYFUNCTION("""COMPUTED_VALUE"""),442902)</f>
        <v>442902</v>
      </c>
      <c r="D951" s="1" t="str">
        <f ca="1">IFERROR(__xludf.DUMMYFUNCTION("""COMPUTED_VALUE"""),"Male")</f>
        <v>Male</v>
      </c>
      <c r="E951" s="1" t="str">
        <f ca="1">IFERROR(__xludf.DUMMYFUNCTION("""COMPUTED_VALUE"""),"My Parents")</f>
        <v>My Parents</v>
      </c>
      <c r="F951" s="1" t="str">
        <f ca="1">IFERROR(__xludf.DUMMYFUNCTION("""COMPUTED_VALUE"""),"Yes, I will earn and do that")</f>
        <v>Yes, I will earn and do that</v>
      </c>
      <c r="G951" s="1" t="str">
        <f ca="1">IFERROR(__xludf.DUMMYFUNCTION("""COMPUTED_VALUE"""),"No way")</f>
        <v>No way</v>
      </c>
      <c r="H951" s="1" t="str">
        <f ca="1">IFERROR(__xludf.DUMMYFUNCTION("""COMPUTED_VALUE"""),"No")</f>
        <v>No</v>
      </c>
      <c r="I951" s="1" t="str">
        <f ca="1">IFERROR(__xludf.DUMMYFUNCTION("""COMPUTED_VALUE"""),"Will NOT work for them")</f>
        <v>Will NOT work for them</v>
      </c>
      <c r="J951" s="1">
        <f ca="1">IFERROR(__xludf.DUMMYFUNCTION("""COMPUTED_VALUE"""),1)</f>
        <v>1</v>
      </c>
      <c r="K951" s="1" t="str">
        <f ca="1">IFERROR(__xludf.DUMMYFUNCTION("""COMPUTED_VALUE"""),"Fully Remote with Options to travel as and when needed")</f>
        <v>Fully Remote with Options to travel as and when needed</v>
      </c>
      <c r="L951" s="1" t="str">
        <f ca="1">IFERROR(__xludf.DUMMYFUNCTION("""COMPUTED_VALUE"""),"Employer who appreciates learning and enables that environment")</f>
        <v>Employer who appreciates learning and enables that environment</v>
      </c>
      <c r="M95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51" s="1" t="str">
        <f ca="1">IFERROR(__xludf.DUMMYFUNCTION("""COMPUTED_VALUE"""),"Teaching in any of the institutes/colleges/online or offline, Design and Develop amazing software, Look deeply into Data and generate insights, An Artificial Intelligence Specialist / Talking to Robots")</f>
        <v>Teaching in any of the institutes/colleges/online or offline, Design and Develop amazing software, Look deeply into Data and generate insights, An Artificial Intelligence Specialist / Talking to Robots</v>
      </c>
      <c r="O951" s="1" t="str">
        <f ca="1">IFERROR(__xludf.DUMMYFUNCTION("""COMPUTED_VALUE"""),"Manager who sets unrealistic targets")</f>
        <v>Manager who sets unrealistic targets</v>
      </c>
      <c r="P951" s="1" t="str">
        <f ca="1">IFERROR(__xludf.DUMMYFUNCTION("""COMPUTED_VALUE"""),"Work with 2 to 3 people in my team, Work with 5 to 6 people in my team")</f>
        <v>Work with 2 to 3 people in my team, Work with 5 to 6 people in my team</v>
      </c>
      <c r="Q951" s="1" t="str">
        <f ca="1">IFERROR(__xludf.DUMMYFUNCTION("""COMPUTED_VALUE"""),"Yes, I Understand this is gonna happen everywhere")</f>
        <v>Yes, I Understand this is gonna happen everywhere</v>
      </c>
      <c r="R951" s="1" t="str">
        <f ca="1">IFERROR(__xludf.DUMMYFUNCTION("""COMPUTED_VALUE"""),"No way")</f>
        <v>No way</v>
      </c>
      <c r="S951" s="1"/>
    </row>
    <row r="952" spans="1:19" ht="12.5" x14ac:dyDescent="0.25">
      <c r="A952" s="2">
        <f ca="1">IFERROR(__xludf.DUMMYFUNCTION("""COMPUTED_VALUE"""),45025.5943978935)</f>
        <v>45025.594397893503</v>
      </c>
      <c r="B952" s="1" t="str">
        <f ca="1">IFERROR(__xludf.DUMMYFUNCTION("""COMPUTED_VALUE"""),"India")</f>
        <v>India</v>
      </c>
      <c r="C952" s="1">
        <f ca="1">IFERROR(__xludf.DUMMYFUNCTION("""COMPUTED_VALUE"""),442902)</f>
        <v>442902</v>
      </c>
      <c r="D952" s="1" t="str">
        <f ca="1">IFERROR(__xludf.DUMMYFUNCTION("""COMPUTED_VALUE"""),"Female")</f>
        <v>Female</v>
      </c>
      <c r="E952" s="1" t="str">
        <f ca="1">IFERROR(__xludf.DUMMYFUNCTION("""COMPUTED_VALUE"""),"Influencers who had successful careers")</f>
        <v>Influencers who had successful careers</v>
      </c>
      <c r="F952" s="1" t="str">
        <f ca="1">IFERROR(__xludf.DUMMYFUNCTION("""COMPUTED_VALUE"""),"No, But if someone could bare the cost I will")</f>
        <v>No, But if someone could bare the cost I will</v>
      </c>
      <c r="G952" s="1" t="str">
        <f ca="1">IFERROR(__xludf.DUMMYFUNCTION("""COMPUTED_VALUE"""),"This will be hard to do, but if it is the right company I would try")</f>
        <v>This will be hard to do, but if it is the right company I would try</v>
      </c>
      <c r="H952" s="1" t="str">
        <f ca="1">IFERROR(__xludf.DUMMYFUNCTION("""COMPUTED_VALUE"""),"Yes")</f>
        <v>Yes</v>
      </c>
      <c r="I952" s="1" t="str">
        <f ca="1">IFERROR(__xludf.DUMMYFUNCTION("""COMPUTED_VALUE"""),"Will work for them")</f>
        <v>Will work for them</v>
      </c>
      <c r="J952" s="1">
        <f ca="1">IFERROR(__xludf.DUMMYFUNCTION("""COMPUTED_VALUE"""),8)</f>
        <v>8</v>
      </c>
      <c r="K952" s="1" t="str">
        <f ca="1">IFERROR(__xludf.DUMMYFUNCTION("""COMPUTED_VALUE"""),"Fully Remote with Options to travel as and when needed")</f>
        <v>Fully Remote with Options to travel as and when needed</v>
      </c>
      <c r="L952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952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952" s="1" t="str">
        <f ca="1">IFERROR(__xludf.DUMMYFUNCTION("""COMPUTED_VALUE"""),"Build and develop a Team, Design and Develop amazing software, Look deeply into Data and generate insights, Work in a BPO setup for some well known client")</f>
        <v>Build and develop a Team, Design and Develop amazing software, Look deeply into Data and generate insights, Work in a BPO setup for some well known client</v>
      </c>
      <c r="O952" s="1" t="str">
        <f ca="1">IFERROR(__xludf.DUMMYFUNCTION("""COMPUTED_VALUE"""),"Manager who explains what is expected, sets a goal and helps achieve it")</f>
        <v>Manager who explains what is expected, sets a goal and helps achieve it</v>
      </c>
      <c r="P952" s="1" t="str">
        <f ca="1">IFERROR(__xludf.DUMMYFUNCTION("""COMPUTED_VALUE"""),"Work with 5 to 6 people in my team")</f>
        <v>Work with 5 to 6 people in my team</v>
      </c>
      <c r="Q952" s="1" t="str">
        <f ca="1">IFERROR(__xludf.DUMMYFUNCTION("""COMPUTED_VALUE"""),"Yes, I Understand this is gonna happen everywhere")</f>
        <v>Yes, I Understand this is gonna happen everywhere</v>
      </c>
      <c r="R952" s="1" t="str">
        <f ca="1">IFERROR(__xludf.DUMMYFUNCTION("""COMPUTED_VALUE"""),"This will be hard to do, but if it is the right company I would try")</f>
        <v>This will be hard to do, but if it is the right company I would try</v>
      </c>
      <c r="S952" s="1"/>
    </row>
    <row r="953" spans="1:19" ht="12.5" x14ac:dyDescent="0.25">
      <c r="A953" s="2">
        <f ca="1">IFERROR(__xludf.DUMMYFUNCTION("""COMPUTED_VALUE"""),45025.6355417939)</f>
        <v>45025.635541793898</v>
      </c>
      <c r="B953" s="1" t="str">
        <f ca="1">IFERROR(__xludf.DUMMYFUNCTION("""COMPUTED_VALUE"""),"India")</f>
        <v>India</v>
      </c>
      <c r="C953" s="1">
        <f ca="1">IFERROR(__xludf.DUMMYFUNCTION("""COMPUTED_VALUE"""),411902)</f>
        <v>411902</v>
      </c>
      <c r="D953" s="1" t="str">
        <f ca="1">IFERROR(__xludf.DUMMYFUNCTION("""COMPUTED_VALUE"""),"Male")</f>
        <v>Male</v>
      </c>
      <c r="E953" s="1" t="str">
        <f ca="1">IFERROR(__xludf.DUMMYFUNCTION("""COMPUTED_VALUE"""),"Influencers who had successful careers")</f>
        <v>Influencers who had successful careers</v>
      </c>
      <c r="F953" s="1" t="str">
        <f ca="1">IFERROR(__xludf.DUMMYFUNCTION("""COMPUTED_VALUE"""),"No I would not be pursuing Higher Education outside of India")</f>
        <v>No I would not be pursuing Higher Education outside of India</v>
      </c>
      <c r="G953" s="1" t="str">
        <f ca="1">IFERROR(__xludf.DUMMYFUNCTION("""COMPUTED_VALUE"""),"No way")</f>
        <v>No way</v>
      </c>
      <c r="H953" s="1" t="str">
        <f ca="1">IFERROR(__xludf.DUMMYFUNCTION("""COMPUTED_VALUE"""),"Yes")</f>
        <v>Yes</v>
      </c>
      <c r="I953" s="1" t="str">
        <f ca="1">IFERROR(__xludf.DUMMYFUNCTION("""COMPUTED_VALUE"""),"Will work for them")</f>
        <v>Will work for them</v>
      </c>
      <c r="J953" s="1">
        <f ca="1">IFERROR(__xludf.DUMMYFUNCTION("""COMPUTED_VALUE"""),5)</f>
        <v>5</v>
      </c>
      <c r="K953" s="1" t="str">
        <f ca="1">IFERROR(__xludf.DUMMYFUNCTION("""COMPUTED_VALUE"""),"Hybrid Working Environment with more than 15 days a month at office")</f>
        <v>Hybrid Working Environment with more than 15 days a month at office</v>
      </c>
      <c r="L9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5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53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953" s="1" t="str">
        <f ca="1">IFERROR(__xludf.DUMMYFUNCTION("""COMPUTED_VALUE"""),"Manager who sets goal and helps me achieve it")</f>
        <v>Manager who sets goal and helps me achieve it</v>
      </c>
      <c r="P953" s="1" t="str">
        <f ca="1">IFERROR(__xludf.DUMMYFUNCTION("""COMPUTED_VALUE"""),"Work with 5 to 6 people in my team")</f>
        <v>Work with 5 to 6 people in my team</v>
      </c>
      <c r="Q953" s="1" t="str">
        <f ca="1">IFERROR(__xludf.DUMMYFUNCTION("""COMPUTED_VALUE"""),"No")</f>
        <v>No</v>
      </c>
      <c r="R953" s="1" t="str">
        <f ca="1">IFERROR(__xludf.DUMMYFUNCTION("""COMPUTED_VALUE"""),"This will be hard to do, but if it is the right company I would try")</f>
        <v>This will be hard to do, but if it is the right company I would try</v>
      </c>
      <c r="S953" s="1"/>
    </row>
    <row r="954" spans="1:19" ht="12.5" x14ac:dyDescent="0.25">
      <c r="A954" s="2">
        <f ca="1">IFERROR(__xludf.DUMMYFUNCTION("""COMPUTED_VALUE"""),45025.6914381134)</f>
        <v>45025.691438113397</v>
      </c>
      <c r="B954" s="1" t="str">
        <f ca="1">IFERROR(__xludf.DUMMYFUNCTION("""COMPUTED_VALUE"""),"India")</f>
        <v>India</v>
      </c>
      <c r="C954" s="1">
        <f ca="1">IFERROR(__xludf.DUMMYFUNCTION("""COMPUTED_VALUE"""),224001)</f>
        <v>224001</v>
      </c>
      <c r="D954" s="1" t="str">
        <f ca="1">IFERROR(__xludf.DUMMYFUNCTION("""COMPUTED_VALUE"""),"Male")</f>
        <v>Male</v>
      </c>
      <c r="E954" s="1" t="str">
        <f ca="1">IFERROR(__xludf.DUMMYFUNCTION("""COMPUTED_VALUE"""),"My Parents")</f>
        <v>My Parents</v>
      </c>
      <c r="F954" s="1" t="str">
        <f ca="1">IFERROR(__xludf.DUMMYFUNCTION("""COMPUTED_VALUE"""),"Yes, I will earn and do that")</f>
        <v>Yes, I will earn and do that</v>
      </c>
      <c r="G954" s="1" t="str">
        <f ca="1">IFERROR(__xludf.DUMMYFUNCTION("""COMPUTED_VALUE"""),"Will work for 3 years or more")</f>
        <v>Will work for 3 years or more</v>
      </c>
      <c r="H954" s="1" t="str">
        <f ca="1">IFERROR(__xludf.DUMMYFUNCTION("""COMPUTED_VALUE"""),"Yes")</f>
        <v>Yes</v>
      </c>
      <c r="I954" s="1" t="str">
        <f ca="1">IFERROR(__xludf.DUMMYFUNCTION("""COMPUTED_VALUE"""),"Will work for them")</f>
        <v>Will work for them</v>
      </c>
      <c r="J954" s="1">
        <f ca="1">IFERROR(__xludf.DUMMYFUNCTION("""COMPUTED_VALUE"""),5)</f>
        <v>5</v>
      </c>
      <c r="K954" s="1" t="str">
        <f ca="1">IFERROR(__xludf.DUMMYFUNCTION("""COMPUTED_VALUE"""),"Fully Remote with Options to travel as and when needed")</f>
        <v>Fully Remote with Options to travel as and when needed</v>
      </c>
      <c r="L9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5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54" s="1" t="str">
        <f ca="1">IFERROR(__xludf.DUMMYFUNCTION("""COMPUTED_VALUE"""),"Teaching in any of the institutes/colleges/online or offline, Build and develop a Team, Work as a freelancer and do my thing my way, An Artificial Intelligence Specialist / Talking to Robots")</f>
        <v>Teaching in any of the institutes/colleges/online or offline, Build and develop a Team, Work as a freelancer and do my thing my way, An Artificial Intelligence Specialist / Talking to Robots</v>
      </c>
      <c r="O954" s="1" t="str">
        <f ca="1">IFERROR(__xludf.DUMMYFUNCTION("""COMPUTED_VALUE"""),"Manager who sets goal and helps me achieve it")</f>
        <v>Manager who sets goal and helps me achieve it</v>
      </c>
      <c r="P954" s="1" t="str">
        <f ca="1">IFERROR(__xludf.DUMMYFUNCTION("""COMPUTED_VALUE"""),"Work with 2 to 3 people in my team")</f>
        <v>Work with 2 to 3 people in my team</v>
      </c>
      <c r="Q954" s="1" t="str">
        <f ca="1">IFERROR(__xludf.DUMMYFUNCTION("""COMPUTED_VALUE"""),"Yes, I Understand this is gonna happen everywhere")</f>
        <v>Yes, I Understand this is gonna happen everywhere</v>
      </c>
      <c r="R954" s="1" t="str">
        <f ca="1">IFERROR(__xludf.DUMMYFUNCTION("""COMPUTED_VALUE"""),"This will be hard to do, but if it is the right company I would try")</f>
        <v>This will be hard to do, but if it is the right company I would try</v>
      </c>
      <c r="S954" s="1"/>
    </row>
    <row r="955" spans="1:19" ht="12.5" x14ac:dyDescent="0.25">
      <c r="A955" s="2">
        <f ca="1">IFERROR(__xludf.DUMMYFUNCTION("""COMPUTED_VALUE"""),45025.692882905)</f>
        <v>45025.692882905001</v>
      </c>
      <c r="B955" s="1" t="str">
        <f ca="1">IFERROR(__xludf.DUMMYFUNCTION("""COMPUTED_VALUE"""),"India")</f>
        <v>India</v>
      </c>
      <c r="C955" s="1">
        <f ca="1">IFERROR(__xludf.DUMMYFUNCTION("""COMPUTED_VALUE"""),201009)</f>
        <v>201009</v>
      </c>
      <c r="D955" s="1" t="str">
        <f ca="1">IFERROR(__xludf.DUMMYFUNCTION("""COMPUTED_VALUE"""),"Female")</f>
        <v>Female</v>
      </c>
      <c r="E955" s="1" t="str">
        <f ca="1">IFERROR(__xludf.DUMMYFUNCTION("""COMPUTED_VALUE"""),"My Parents")</f>
        <v>My Parents</v>
      </c>
      <c r="F955" s="1" t="str">
        <f ca="1">IFERROR(__xludf.DUMMYFUNCTION("""COMPUTED_VALUE"""),"Yes, I will earn and do that")</f>
        <v>Yes, I will earn and do that</v>
      </c>
      <c r="G955" s="1" t="str">
        <f ca="1">IFERROR(__xludf.DUMMYFUNCTION("""COMPUTED_VALUE"""),"Will work for 3 years or more")</f>
        <v>Will work for 3 years or more</v>
      </c>
      <c r="H955" s="1" t="str">
        <f ca="1">IFERROR(__xludf.DUMMYFUNCTION("""COMPUTED_VALUE"""),"No")</f>
        <v>No</v>
      </c>
      <c r="I955" s="1" t="str">
        <f ca="1">IFERROR(__xludf.DUMMYFUNCTION("""COMPUTED_VALUE"""),"Will work for them")</f>
        <v>Will work for them</v>
      </c>
      <c r="J955" s="1">
        <f ca="1">IFERROR(__xludf.DUMMYFUNCTION("""COMPUTED_VALUE"""),10)</f>
        <v>10</v>
      </c>
      <c r="K955" s="1" t="str">
        <f ca="1">IFERROR(__xludf.DUMMYFUNCTION("""COMPUTED_VALUE"""),"Every Day Office Environment")</f>
        <v>Every Day Office Environment</v>
      </c>
      <c r="L955" s="1" t="str">
        <f ca="1">IFERROR(__xludf.DUMMYFUNCTION("""COMPUTED_VALUE"""),"Employer who appreciates learning and enables that environment")</f>
        <v>Employer who appreciates learning and enables that environment</v>
      </c>
      <c r="M95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55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955" s="1" t="str">
        <f ca="1">IFERROR(__xludf.DUMMYFUNCTION("""COMPUTED_VALUE"""),"Manager who clearly describes what she/he needs")</f>
        <v>Manager who clearly describes what she/he needs</v>
      </c>
      <c r="P955" s="1" t="str">
        <f ca="1">IFERROR(__xludf.DUMMYFUNCTION("""COMPUTED_VALUE"""),"Work with more than 10 people in my team")</f>
        <v>Work with more than 10 people in my team</v>
      </c>
      <c r="Q955" s="1" t="str">
        <f ca="1">IFERROR(__xludf.DUMMYFUNCTION("""COMPUTED_VALUE"""),"Yes")</f>
        <v>Yes</v>
      </c>
      <c r="R955" s="1" t="str">
        <f ca="1">IFERROR(__xludf.DUMMYFUNCTION("""COMPUTED_VALUE"""),"Will work for 7 years or more")</f>
        <v>Will work for 7 years or more</v>
      </c>
      <c r="S955" s="1"/>
    </row>
    <row r="956" spans="1:19" ht="12.5" x14ac:dyDescent="0.25">
      <c r="A956" s="2">
        <f ca="1">IFERROR(__xludf.DUMMYFUNCTION("""COMPUTED_VALUE"""),45025.6931861689)</f>
        <v>45025.693186168901</v>
      </c>
      <c r="B956" s="1" t="str">
        <f ca="1">IFERROR(__xludf.DUMMYFUNCTION("""COMPUTED_VALUE"""),"India")</f>
        <v>India</v>
      </c>
      <c r="C956" s="1">
        <f ca="1">IFERROR(__xludf.DUMMYFUNCTION("""COMPUTED_VALUE"""),224001)</f>
        <v>224001</v>
      </c>
      <c r="D956" s="1" t="str">
        <f ca="1">IFERROR(__xludf.DUMMYFUNCTION("""COMPUTED_VALUE"""),"Female")</f>
        <v>Female</v>
      </c>
      <c r="E956" s="1" t="str">
        <f ca="1">IFERROR(__xludf.DUMMYFUNCTION("""COMPUTED_VALUE"""),"People from my circle, but not family members")</f>
        <v>People from my circle, but not family members</v>
      </c>
      <c r="F956" s="1" t="str">
        <f ca="1">IFERROR(__xludf.DUMMYFUNCTION("""COMPUTED_VALUE"""),"Yes, I will earn and do that")</f>
        <v>Yes, I will earn and do that</v>
      </c>
      <c r="G956" s="1" t="str">
        <f ca="1">IFERROR(__xludf.DUMMYFUNCTION("""COMPUTED_VALUE"""),"Will work for 3 years or more")</f>
        <v>Will work for 3 years or more</v>
      </c>
      <c r="H956" s="1" t="str">
        <f ca="1">IFERROR(__xludf.DUMMYFUNCTION("""COMPUTED_VALUE"""),"No")</f>
        <v>No</v>
      </c>
      <c r="I956" s="1" t="str">
        <f ca="1">IFERROR(__xludf.DUMMYFUNCTION("""COMPUTED_VALUE"""),"Will work for them")</f>
        <v>Will work for them</v>
      </c>
      <c r="J956" s="1">
        <f ca="1">IFERROR(__xludf.DUMMYFUNCTION("""COMPUTED_VALUE"""),3)</f>
        <v>3</v>
      </c>
      <c r="K956" s="1" t="str">
        <f ca="1">IFERROR(__xludf.DUMMYFUNCTION("""COMPUTED_VALUE"""),"Every Day Office Environment")</f>
        <v>Every Day Office Environment</v>
      </c>
      <c r="L956" s="1" t="str">
        <f ca="1">IFERROR(__xludf.DUMMYFUNCTION("""COMPUTED_VALUE"""),"Employer who appreciates learning and enables that environment")</f>
        <v>Employer who appreciates learning and enables that environment</v>
      </c>
      <c r="M956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956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956" s="1" t="str">
        <f ca="1">IFERROR(__xludf.DUMMYFUNCTION("""COMPUTED_VALUE"""),"Manager who sets targets and expects me to achieve it")</f>
        <v>Manager who sets targets and expects me to achieve it</v>
      </c>
      <c r="P956" s="1" t="str">
        <f ca="1">IFERROR(__xludf.DUMMYFUNCTION("""COMPUTED_VALUE"""),"Work with 2 to 3 people in my team, Work with 5 to 6 people in my team")</f>
        <v>Work with 2 to 3 people in my team, Work with 5 to 6 people in my team</v>
      </c>
      <c r="Q956" s="1" t="str">
        <f ca="1">IFERROR(__xludf.DUMMYFUNCTION("""COMPUTED_VALUE"""),"Yes, I Understand this is gonna happen everywhere")</f>
        <v>Yes, I Understand this is gonna happen everywhere</v>
      </c>
      <c r="R956" s="1" t="str">
        <f ca="1">IFERROR(__xludf.DUMMYFUNCTION("""COMPUTED_VALUE"""),"This will be hard to do, but if it is the right company I would try")</f>
        <v>This will be hard to do, but if it is the right company I would try</v>
      </c>
      <c r="S956" s="1"/>
    </row>
    <row r="957" spans="1:19" ht="12.5" x14ac:dyDescent="0.25">
      <c r="A957" s="2">
        <f ca="1">IFERROR(__xludf.DUMMYFUNCTION("""COMPUTED_VALUE"""),45025.6945456828)</f>
        <v>45025.694545682803</v>
      </c>
      <c r="B957" s="1" t="str">
        <f ca="1">IFERROR(__xludf.DUMMYFUNCTION("""COMPUTED_VALUE"""),"India")</f>
        <v>India</v>
      </c>
      <c r="C957" s="1">
        <f ca="1">IFERROR(__xludf.DUMMYFUNCTION("""COMPUTED_VALUE"""),122002)</f>
        <v>122002</v>
      </c>
      <c r="D957" s="1" t="str">
        <f ca="1">IFERROR(__xludf.DUMMYFUNCTION("""COMPUTED_VALUE"""),"Male")</f>
        <v>Male</v>
      </c>
      <c r="E957" s="1" t="str">
        <f ca="1">IFERROR(__xludf.DUMMYFUNCTION("""COMPUTED_VALUE"""),"My Parents")</f>
        <v>My Parents</v>
      </c>
      <c r="F957" s="1" t="str">
        <f ca="1">IFERROR(__xludf.DUMMYFUNCTION("""COMPUTED_VALUE"""),"Yes, I will earn and do that")</f>
        <v>Yes, I will earn and do that</v>
      </c>
      <c r="G957" s="1" t="str">
        <f ca="1">IFERROR(__xludf.DUMMYFUNCTION("""COMPUTED_VALUE"""),"This will be hard to do, but if it is the right company I would try")</f>
        <v>This will be hard to do, but if it is the right company I would try</v>
      </c>
      <c r="H957" s="1" t="str">
        <f ca="1">IFERROR(__xludf.DUMMYFUNCTION("""COMPUTED_VALUE"""),"No")</f>
        <v>No</v>
      </c>
      <c r="I957" s="1" t="str">
        <f ca="1">IFERROR(__xludf.DUMMYFUNCTION("""COMPUTED_VALUE"""),"Will NOT work for them")</f>
        <v>Will NOT work for them</v>
      </c>
      <c r="J957" s="1">
        <f ca="1">IFERROR(__xludf.DUMMYFUNCTION("""COMPUTED_VALUE"""),3)</f>
        <v>3</v>
      </c>
      <c r="K957" s="1" t="str">
        <f ca="1">IFERROR(__xludf.DUMMYFUNCTION("""COMPUTED_VALUE"""),"Hybrid Working Environment with less than 3 days a month at office")</f>
        <v>Hybrid Working Environment with less than 3 days a month at office</v>
      </c>
      <c r="L9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5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57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957" s="1" t="str">
        <f ca="1">IFERROR(__xludf.DUMMYFUNCTION("""COMPUTED_VALUE"""),"Manager who explains what is expected, sets a goal and helps achieve it")</f>
        <v>Manager who explains what is expected, sets a goal and helps achieve it</v>
      </c>
      <c r="P957" s="1" t="str">
        <f ca="1">IFERROR(__xludf.DUMMYFUNCTION("""COMPUTED_VALUE"""),"Work with 7 to 10 or more people in my team")</f>
        <v>Work with 7 to 10 or more people in my team</v>
      </c>
      <c r="Q957" s="1" t="str">
        <f ca="1">IFERROR(__xludf.DUMMYFUNCTION("""COMPUTED_VALUE"""),"Yes, I Understand this is gonna happen everywhere")</f>
        <v>Yes, I Understand this is gonna happen everywhere</v>
      </c>
      <c r="R957" s="1" t="str">
        <f ca="1">IFERROR(__xludf.DUMMYFUNCTION("""COMPUTED_VALUE"""),"This will be hard to do, but if it is the right company I would try")</f>
        <v>This will be hard to do, but if it is the right company I would try</v>
      </c>
      <c r="S957" s="1"/>
    </row>
    <row r="958" spans="1:19" ht="12.5" x14ac:dyDescent="0.25">
      <c r="A958" s="2">
        <f ca="1">IFERROR(__xludf.DUMMYFUNCTION("""COMPUTED_VALUE"""),45025.6962868055)</f>
        <v>45025.696286805498</v>
      </c>
      <c r="B958" s="1" t="str">
        <f ca="1">IFERROR(__xludf.DUMMYFUNCTION("""COMPUTED_VALUE"""),"India")</f>
        <v>India</v>
      </c>
      <c r="C958" s="1">
        <f ca="1">IFERROR(__xludf.DUMMYFUNCTION("""COMPUTED_VALUE"""),201310)</f>
        <v>201310</v>
      </c>
      <c r="D958" s="1" t="str">
        <f ca="1">IFERROR(__xludf.DUMMYFUNCTION("""COMPUTED_VALUE"""),"Male")</f>
        <v>Male</v>
      </c>
      <c r="E958" s="1" t="str">
        <f ca="1">IFERROR(__xludf.DUMMYFUNCTION("""COMPUTED_VALUE"""),"People who have changed the world for better")</f>
        <v>People who have changed the world for better</v>
      </c>
      <c r="F958" s="1" t="str">
        <f ca="1">IFERROR(__xludf.DUMMYFUNCTION("""COMPUTED_VALUE"""),"No, But if someone could bare the cost I will")</f>
        <v>No, But if someone could bare the cost I will</v>
      </c>
      <c r="G958" s="1" t="str">
        <f ca="1">IFERROR(__xludf.DUMMYFUNCTION("""COMPUTED_VALUE"""),"Will work for 3 years or more")</f>
        <v>Will work for 3 years or more</v>
      </c>
      <c r="H958" s="1" t="str">
        <f ca="1">IFERROR(__xludf.DUMMYFUNCTION("""COMPUTED_VALUE"""),"No")</f>
        <v>No</v>
      </c>
      <c r="I958" s="1" t="str">
        <f ca="1">IFERROR(__xludf.DUMMYFUNCTION("""COMPUTED_VALUE"""),"Will NOT work for them")</f>
        <v>Will NOT work for them</v>
      </c>
      <c r="J958" s="1">
        <f ca="1">IFERROR(__xludf.DUMMYFUNCTION("""COMPUTED_VALUE"""),5)</f>
        <v>5</v>
      </c>
      <c r="K958" s="1" t="str">
        <f ca="1">IFERROR(__xludf.DUMMYFUNCTION("""COMPUTED_VALUE"""),"Fully Remote with Options to travel as and when needed")</f>
        <v>Fully Remote with Options to travel as and when needed</v>
      </c>
      <c r="L958" s="1" t="str">
        <f ca="1">IFERROR(__xludf.DUMMYFUNCTION("""COMPUTED_VALUE"""),"Employer who rewards learning and enables that environment")</f>
        <v>Employer who rewards learning and enables that environment</v>
      </c>
      <c r="M95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958" s="1" t="str">
        <f ca="1">IFERROR(__xludf.DUMMYFUNCTION("""COMPUTED_VALUE"""),"Design and Creative strategy in any company, Manage and drive End-to-End Projects or Products, Design and Develop amazing software, Entrepreneur or Start Up")</f>
        <v>Design and Creative strategy in any company, Manage and drive End-to-End Projects or Products, Design and Develop amazing software, Entrepreneur or Start Up</v>
      </c>
      <c r="O958" s="1" t="str">
        <f ca="1">IFERROR(__xludf.DUMMYFUNCTION("""COMPUTED_VALUE"""),"Manager who explains what is expected, sets a goal and helps achieve it")</f>
        <v>Manager who explains what is expected, sets a goal and helps achieve it</v>
      </c>
      <c r="P958" s="1" t="str">
        <f ca="1">IFERROR(__xludf.DUMMYFUNCTION("""COMPUTED_VALUE"""),"Work with 7 to 10 or more people in my team")</f>
        <v>Work with 7 to 10 or more people in my team</v>
      </c>
      <c r="Q958" s="1" t="str">
        <f ca="1">IFERROR(__xludf.DUMMYFUNCTION("""COMPUTED_VALUE"""),"No")</f>
        <v>No</v>
      </c>
      <c r="R958" s="1" t="str">
        <f ca="1">IFERROR(__xludf.DUMMYFUNCTION("""COMPUTED_VALUE"""),"This will be hard to do, but if it is the right company I would try")</f>
        <v>This will be hard to do, but if it is the right company I would try</v>
      </c>
      <c r="S958" s="1"/>
    </row>
    <row r="959" spans="1:19" ht="12.5" x14ac:dyDescent="0.25">
      <c r="A959" s="2">
        <f ca="1">IFERROR(__xludf.DUMMYFUNCTION("""COMPUTED_VALUE"""),45025.7151838078)</f>
        <v>45025.715183807799</v>
      </c>
      <c r="B959" s="1" t="str">
        <f ca="1">IFERROR(__xludf.DUMMYFUNCTION("""COMPUTED_VALUE"""),"India")</f>
        <v>India</v>
      </c>
      <c r="C959" s="1">
        <f ca="1">IFERROR(__xludf.DUMMYFUNCTION("""COMPUTED_VALUE"""),110096)</f>
        <v>110096</v>
      </c>
      <c r="D959" s="1" t="str">
        <f ca="1">IFERROR(__xludf.DUMMYFUNCTION("""COMPUTED_VALUE"""),"Male")</f>
        <v>Male</v>
      </c>
      <c r="E959" s="1" t="str">
        <f ca="1">IFERROR(__xludf.DUMMYFUNCTION("""COMPUTED_VALUE"""),"People from my circle, but not family members")</f>
        <v>People from my circle, but not family members</v>
      </c>
      <c r="F959" s="1" t="str">
        <f ca="1">IFERROR(__xludf.DUMMYFUNCTION("""COMPUTED_VALUE"""),"No I would not be pursuing Higher Education outside of India")</f>
        <v>No I would not be pursuing Higher Education outside of India</v>
      </c>
      <c r="G959" s="1" t="str">
        <f ca="1">IFERROR(__xludf.DUMMYFUNCTION("""COMPUTED_VALUE"""),"Will work for 3 years or more")</f>
        <v>Will work for 3 years or more</v>
      </c>
      <c r="H959" s="1" t="str">
        <f ca="1">IFERROR(__xludf.DUMMYFUNCTION("""COMPUTED_VALUE"""),"No")</f>
        <v>No</v>
      </c>
      <c r="I959" s="1" t="str">
        <f ca="1">IFERROR(__xludf.DUMMYFUNCTION("""COMPUTED_VALUE"""),"Will NOT work for them")</f>
        <v>Will NOT work for them</v>
      </c>
      <c r="J959" s="1">
        <f ca="1">IFERROR(__xludf.DUMMYFUNCTION("""COMPUTED_VALUE"""),5)</f>
        <v>5</v>
      </c>
      <c r="K959" s="1" t="str">
        <f ca="1">IFERROR(__xludf.DUMMYFUNCTION("""COMPUTED_VALUE"""),"Hybrid Working Environment with more than 15 days a month at office")</f>
        <v>Hybrid Working Environment with more than 15 days a month at office</v>
      </c>
      <c r="L9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5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59" s="1" t="str">
        <f ca="1">IFERROR(__xludf.DUMMYFUNCTION("""COMPUTED_VALUE"""),"Manage and drive End-to-End Projects or Products, Build and develop a Team, Design and Develop amazing software, An Artificial Intelligence Specialist / Talking to Robots")</f>
        <v>Manage and drive End-to-End Projects or Products, Build and develop a Team, Design and Develop amazing software, An Artificial Intelligence Specialist / Talking to Robots</v>
      </c>
      <c r="O959" s="1" t="str">
        <f ca="1">IFERROR(__xludf.DUMMYFUNCTION("""COMPUTED_VALUE"""),"Manager who explains what is expected, sets a goal and helps achieve it")</f>
        <v>Manager who explains what is expected, sets a goal and helps achieve it</v>
      </c>
      <c r="P959" s="1" t="str">
        <f ca="1">IFERROR(__xludf.DUMMYFUNCTION("""COMPUTED_VALUE"""),"Work with 2 to 3 people in my team, Work with 5 to 6 people in my team")</f>
        <v>Work with 2 to 3 people in my team, Work with 5 to 6 people in my team</v>
      </c>
      <c r="Q959" s="1" t="str">
        <f ca="1">IFERROR(__xludf.DUMMYFUNCTION("""COMPUTED_VALUE"""),"Yes, I Understand this is gonna happen everywhere")</f>
        <v>Yes, I Understand this is gonna happen everywhere</v>
      </c>
      <c r="R959" s="1" t="str">
        <f ca="1">IFERROR(__xludf.DUMMYFUNCTION("""COMPUTED_VALUE"""),"This will be hard to do, but if it is the right company I would try")</f>
        <v>This will be hard to do, but if it is the right company I would try</v>
      </c>
      <c r="S959" s="1"/>
    </row>
    <row r="960" spans="1:19" ht="12.5" x14ac:dyDescent="0.25">
      <c r="A960" s="2">
        <f ca="1">IFERROR(__xludf.DUMMYFUNCTION("""COMPUTED_VALUE"""),45025.7212469791)</f>
        <v>45025.721246979097</v>
      </c>
      <c r="B960" s="1" t="str">
        <f ca="1">IFERROR(__xludf.DUMMYFUNCTION("""COMPUTED_VALUE"""),"India")</f>
        <v>India</v>
      </c>
      <c r="C960" s="1">
        <f ca="1">IFERROR(__xludf.DUMMYFUNCTION("""COMPUTED_VALUE"""),421306)</f>
        <v>421306</v>
      </c>
      <c r="D960" s="1" t="str">
        <f ca="1">IFERROR(__xludf.DUMMYFUNCTION("""COMPUTED_VALUE"""),"Female")</f>
        <v>Female</v>
      </c>
      <c r="E960" s="1" t="str">
        <f ca="1">IFERROR(__xludf.DUMMYFUNCTION("""COMPUTED_VALUE"""),"My Parents")</f>
        <v>My Parents</v>
      </c>
      <c r="F960" s="1" t="str">
        <f ca="1">IFERROR(__xludf.DUMMYFUNCTION("""COMPUTED_VALUE"""),"Yes, I will earn and do that")</f>
        <v>Yes, I will earn and do that</v>
      </c>
      <c r="G960" s="1" t="str">
        <f ca="1">IFERROR(__xludf.DUMMYFUNCTION("""COMPUTED_VALUE"""),"This will be hard to do, but if it is the right company I would try")</f>
        <v>This will be hard to do, but if it is the right company I would try</v>
      </c>
      <c r="H960" s="1" t="str">
        <f ca="1">IFERROR(__xludf.DUMMYFUNCTION("""COMPUTED_VALUE"""),"No")</f>
        <v>No</v>
      </c>
      <c r="I960" s="1" t="str">
        <f ca="1">IFERROR(__xludf.DUMMYFUNCTION("""COMPUTED_VALUE"""),"Will NOT work for them")</f>
        <v>Will NOT work for them</v>
      </c>
      <c r="J960" s="1">
        <f ca="1">IFERROR(__xludf.DUMMYFUNCTION("""COMPUTED_VALUE"""),8)</f>
        <v>8</v>
      </c>
      <c r="K960" s="1" t="str">
        <f ca="1">IFERROR(__xludf.DUMMYFUNCTION("""COMPUTED_VALUE"""),"Fully Remote with Options to travel as and when needed")</f>
        <v>Fully Remote with Options to travel as and when needed</v>
      </c>
      <c r="L960" s="1" t="str">
        <f ca="1">IFERROR(__xludf.DUMMYFUNCTION("""COMPUTED_VALUE"""),"Employer who appreciates learning and enables that environment")</f>
        <v>Employer who appreciates learning and enables that environment</v>
      </c>
      <c r="M96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60" s="1" t="str">
        <f ca="1">IFERROR(__xludf.DUMMYFUNCTION("""COMPUTED_VALUE"""),"Design and Creative strategy in any company, Look deeply into Data and generate insights, Entrepreneur or Start Up, I Want to sell things/Sales")</f>
        <v>Design and Creative strategy in any company, Look deeply into Data and generate insights, Entrepreneur or Start Up, I Want to sell things/Sales</v>
      </c>
      <c r="O960" s="1" t="str">
        <f ca="1">IFERROR(__xludf.DUMMYFUNCTION("""COMPUTED_VALUE"""),"Manager who explains what is expected, sets a goal and helps achieve it")</f>
        <v>Manager who explains what is expected, sets a goal and helps achieve it</v>
      </c>
      <c r="P960" s="1" t="str">
        <f ca="1">IFERROR(__xludf.DUMMYFUNCTION("""COMPUTED_VALUE"""),"Work with more than 10 people in my team")</f>
        <v>Work with more than 10 people in my team</v>
      </c>
      <c r="Q960" s="1" t="str">
        <f ca="1">IFERROR(__xludf.DUMMYFUNCTION("""COMPUTED_VALUE"""),"Yes, I Understand this is gonna happen everywhere")</f>
        <v>Yes, I Understand this is gonna happen everywhere</v>
      </c>
      <c r="R960" s="1" t="str">
        <f ca="1">IFERROR(__xludf.DUMMYFUNCTION("""COMPUTED_VALUE"""),"This will be hard to do, but if it is the right company I would try")</f>
        <v>This will be hard to do, but if it is the right company I would try</v>
      </c>
      <c r="S960" s="1"/>
    </row>
    <row r="961" spans="1:19" ht="12.5" x14ac:dyDescent="0.25">
      <c r="A961" s="2">
        <f ca="1">IFERROR(__xludf.DUMMYFUNCTION("""COMPUTED_VALUE"""),45025.7274051273)</f>
        <v>45025.727405127298</v>
      </c>
      <c r="B961" s="1" t="str">
        <f ca="1">IFERROR(__xludf.DUMMYFUNCTION("""COMPUTED_VALUE"""),"India")</f>
        <v>India</v>
      </c>
      <c r="C961" s="1">
        <f ca="1">IFERROR(__xludf.DUMMYFUNCTION("""COMPUTED_VALUE"""),247667)</f>
        <v>247667</v>
      </c>
      <c r="D961" s="1" t="str">
        <f ca="1">IFERROR(__xludf.DUMMYFUNCTION("""COMPUTED_VALUE"""),"Male")</f>
        <v>Male</v>
      </c>
      <c r="E961" s="1" t="str">
        <f ca="1">IFERROR(__xludf.DUMMYFUNCTION("""COMPUTED_VALUE"""),"People from my circle, but not family members")</f>
        <v>People from my circle, but not family members</v>
      </c>
      <c r="F961" s="1" t="str">
        <f ca="1">IFERROR(__xludf.DUMMYFUNCTION("""COMPUTED_VALUE"""),"No I would not be pursuing Higher Education outside of India")</f>
        <v>No I would not be pursuing Higher Education outside of India</v>
      </c>
      <c r="G961" s="1" t="str">
        <f ca="1">IFERROR(__xludf.DUMMYFUNCTION("""COMPUTED_VALUE"""),"Will work for 3 years or more")</f>
        <v>Will work for 3 years or more</v>
      </c>
      <c r="H961" s="1" t="str">
        <f ca="1">IFERROR(__xludf.DUMMYFUNCTION("""COMPUTED_VALUE"""),"No")</f>
        <v>No</v>
      </c>
      <c r="I961" s="1" t="str">
        <f ca="1">IFERROR(__xludf.DUMMYFUNCTION("""COMPUTED_VALUE"""),"Will work for them")</f>
        <v>Will work for them</v>
      </c>
      <c r="J961" s="1">
        <f ca="1">IFERROR(__xludf.DUMMYFUNCTION("""COMPUTED_VALUE"""),1)</f>
        <v>1</v>
      </c>
      <c r="K961" s="1" t="str">
        <f ca="1">IFERROR(__xludf.DUMMYFUNCTION("""COMPUTED_VALUE"""),"Every Day Office Environment")</f>
        <v>Every Day Office Environment</v>
      </c>
      <c r="L961" s="1" t="str">
        <f ca="1">IFERROR(__xludf.DUMMYFUNCTION("""COMPUTED_VALUE"""),"Employer who rewards learning and enables that environment")</f>
        <v>Employer who rewards learning and enables that environment</v>
      </c>
      <c r="M96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61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961" s="1" t="str">
        <f ca="1">IFERROR(__xludf.DUMMYFUNCTION("""COMPUTED_VALUE"""),"Manager who sets targets and expects me to achieve it")</f>
        <v>Manager who sets targets and expects me to achieve it</v>
      </c>
      <c r="P961" s="1" t="str">
        <f ca="1">IFERROR(__xludf.DUMMYFUNCTION("""COMPUTED_VALUE"""),"Work alone")</f>
        <v>Work alone</v>
      </c>
      <c r="Q961" s="1" t="str">
        <f ca="1">IFERROR(__xludf.DUMMYFUNCTION("""COMPUTED_VALUE"""),"Yes")</f>
        <v>Yes</v>
      </c>
      <c r="R961" s="1" t="str">
        <f ca="1">IFERROR(__xludf.DUMMYFUNCTION("""COMPUTED_VALUE"""),"This will be hard to do, but if it is the right company I would try")</f>
        <v>This will be hard to do, but if it is the right company I would try</v>
      </c>
      <c r="S961" s="1"/>
    </row>
    <row r="962" spans="1:19" ht="12.5" x14ac:dyDescent="0.25">
      <c r="A962" s="2">
        <f ca="1">IFERROR(__xludf.DUMMYFUNCTION("""COMPUTED_VALUE"""),45025.7450209374)</f>
        <v>45025.7450209374</v>
      </c>
      <c r="B962" s="1" t="str">
        <f ca="1">IFERROR(__xludf.DUMMYFUNCTION("""COMPUTED_VALUE"""),"India")</f>
        <v>India</v>
      </c>
      <c r="C962" s="1">
        <f ca="1">IFERROR(__xludf.DUMMYFUNCTION("""COMPUTED_VALUE"""),250002)</f>
        <v>250002</v>
      </c>
      <c r="D962" s="1" t="str">
        <f ca="1">IFERROR(__xludf.DUMMYFUNCTION("""COMPUTED_VALUE"""),"Male")</f>
        <v>Male</v>
      </c>
      <c r="E962" s="1" t="str">
        <f ca="1">IFERROR(__xludf.DUMMYFUNCTION("""COMPUTED_VALUE"""),"People who have changed the world for better")</f>
        <v>People who have changed the world for better</v>
      </c>
      <c r="F962" s="1" t="str">
        <f ca="1">IFERROR(__xludf.DUMMYFUNCTION("""COMPUTED_VALUE"""),"No, But if someone could bare the cost I will")</f>
        <v>No, But if someone could bare the cost I will</v>
      </c>
      <c r="G962" s="1" t="str">
        <f ca="1">IFERROR(__xludf.DUMMYFUNCTION("""COMPUTED_VALUE"""),"This will be hard to do, but if it is the right company I would try")</f>
        <v>This will be hard to do, but if it is the right company I would try</v>
      </c>
      <c r="H962" s="1" t="str">
        <f ca="1">IFERROR(__xludf.DUMMYFUNCTION("""COMPUTED_VALUE"""),"No")</f>
        <v>No</v>
      </c>
      <c r="I962" s="1" t="str">
        <f ca="1">IFERROR(__xludf.DUMMYFUNCTION("""COMPUTED_VALUE"""),"Will NOT work for them")</f>
        <v>Will NOT work for them</v>
      </c>
      <c r="J962" s="1">
        <f ca="1">IFERROR(__xludf.DUMMYFUNCTION("""COMPUTED_VALUE"""),9)</f>
        <v>9</v>
      </c>
      <c r="K962" s="1" t="str">
        <f ca="1">IFERROR(__xludf.DUMMYFUNCTION("""COMPUTED_VALUE"""),"Hybrid Working Environment with more than 15 days a month at office")</f>
        <v>Hybrid Working Environment with more than 15 days a month at office</v>
      </c>
      <c r="L9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6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62" s="1" t="str">
        <f ca="1">IFERROR(__xludf.DUMMYFUNCTION("""COMPUTED_VALUE"""),"Manage and drive End-to-End Projects or Products, Build and develop a Team, Design and Develop amazing software, An Artificial Intelligence Specialist / Talking to Robots")</f>
        <v>Manage and drive End-to-End Projects or Products, Build and develop a Team, Design and Develop amazing software, An Artificial Intelligence Specialist / Talking to Robots</v>
      </c>
      <c r="O962" s="1" t="str">
        <f ca="1">IFERROR(__xludf.DUMMYFUNCTION("""COMPUTED_VALUE"""),"Manager who explains what is expected, sets a goal and helps achieve it")</f>
        <v>Manager who explains what is expected, sets a goal and helps achieve it</v>
      </c>
      <c r="P962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962" s="1" t="str">
        <f ca="1">IFERROR(__xludf.DUMMYFUNCTION("""COMPUTED_VALUE"""),"No")</f>
        <v>No</v>
      </c>
      <c r="R962" s="1" t="str">
        <f ca="1">IFERROR(__xludf.DUMMYFUNCTION("""COMPUTED_VALUE"""),"This will be hard to do, but if it is the right company I would try")</f>
        <v>This will be hard to do, but if it is the right company I would try</v>
      </c>
      <c r="S962" s="1"/>
    </row>
    <row r="963" spans="1:19" ht="12.5" x14ac:dyDescent="0.25">
      <c r="A963" s="2">
        <f ca="1">IFERROR(__xludf.DUMMYFUNCTION("""COMPUTED_VALUE"""),45025.7670136342)</f>
        <v>45025.767013634199</v>
      </c>
      <c r="B963" s="1" t="str">
        <f ca="1">IFERROR(__xludf.DUMMYFUNCTION("""COMPUTED_VALUE"""),"India")</f>
        <v>India</v>
      </c>
      <c r="C963" s="1">
        <f ca="1">IFERROR(__xludf.DUMMYFUNCTION("""COMPUTED_VALUE"""),500032)</f>
        <v>500032</v>
      </c>
      <c r="D963" s="1" t="str">
        <f ca="1">IFERROR(__xludf.DUMMYFUNCTION("""COMPUTED_VALUE"""),"Male")</f>
        <v>Male</v>
      </c>
      <c r="E963" s="1" t="str">
        <f ca="1">IFERROR(__xludf.DUMMYFUNCTION("""COMPUTED_VALUE"""),"People from my circle, but not family members")</f>
        <v>People from my circle, but not family members</v>
      </c>
      <c r="F963" s="1" t="str">
        <f ca="1">IFERROR(__xludf.DUMMYFUNCTION("""COMPUTED_VALUE"""),"Yes, I will earn and do that")</f>
        <v>Yes, I will earn and do that</v>
      </c>
      <c r="G963" s="1" t="str">
        <f ca="1">IFERROR(__xludf.DUMMYFUNCTION("""COMPUTED_VALUE"""),"This will be hard to do, but if it is the right company I would try")</f>
        <v>This will be hard to do, but if it is the right company I would try</v>
      </c>
      <c r="H963" s="1" t="str">
        <f ca="1">IFERROR(__xludf.DUMMYFUNCTION("""COMPUTED_VALUE"""),"No")</f>
        <v>No</v>
      </c>
      <c r="I963" s="1" t="str">
        <f ca="1">IFERROR(__xludf.DUMMYFUNCTION("""COMPUTED_VALUE"""),"Will NOT work for them")</f>
        <v>Will NOT work for them</v>
      </c>
      <c r="J963" s="1">
        <f ca="1">IFERROR(__xludf.DUMMYFUNCTION("""COMPUTED_VALUE"""),1)</f>
        <v>1</v>
      </c>
      <c r="K963" s="1" t="str">
        <f ca="1">IFERROR(__xludf.DUMMYFUNCTION("""COMPUTED_VALUE"""),"Hybrid Working Environment with less than 3 days a month at office")</f>
        <v>Hybrid Working Environment with less than 3 days a month at office</v>
      </c>
      <c r="L9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63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963" s="1" t="str">
        <f ca="1">IFERROR(__xludf.DUMMYFUNCTION("""COMPUTED_VALUE"""),"Manage and drive End-to-End Projects or Products, Design and Develop amazing software, Work as a freelancer and do my thing my way, An Artificial Intelligence Specialist / Talking to Robots")</f>
        <v>Manage and drive End-to-End Projects or Products, Design and Develop amazing software, Work as a freelancer and do my thing my way, An Artificial Intelligence Specialist / Talking to Robots</v>
      </c>
      <c r="O963" s="1" t="str">
        <f ca="1">IFERROR(__xludf.DUMMYFUNCTION("""COMPUTED_VALUE"""),"Manager who explains what is expected, sets a goal and helps achieve it")</f>
        <v>Manager who explains what is expected, sets a goal and helps achieve it</v>
      </c>
      <c r="P963" s="1" t="str">
        <f ca="1">IFERROR(__xludf.DUMMYFUNCTION("""COMPUTED_VALUE"""),"Work with 2 to 3 people in my team")</f>
        <v>Work with 2 to 3 people in my team</v>
      </c>
      <c r="Q963" s="1" t="str">
        <f ca="1">IFERROR(__xludf.DUMMYFUNCTION("""COMPUTED_VALUE"""),"Yes, I Understand this is gonna happen everywhere")</f>
        <v>Yes, I Understand this is gonna happen everywhere</v>
      </c>
      <c r="R963" s="1" t="str">
        <f ca="1">IFERROR(__xludf.DUMMYFUNCTION("""COMPUTED_VALUE"""),"This will be hard to do, but if it is the right company I would try")</f>
        <v>This will be hard to do, but if it is the right company I would try</v>
      </c>
      <c r="S963" s="1"/>
    </row>
    <row r="964" spans="1:19" ht="12.5" x14ac:dyDescent="0.25">
      <c r="A964" s="2">
        <f ca="1">IFERROR(__xludf.DUMMYFUNCTION("""COMPUTED_VALUE"""),45025.8070714583)</f>
        <v>45025.807071458301</v>
      </c>
      <c r="B964" s="1" t="str">
        <f ca="1">IFERROR(__xludf.DUMMYFUNCTION("""COMPUTED_VALUE"""),"India")</f>
        <v>India</v>
      </c>
      <c r="C964" s="1">
        <f ca="1">IFERROR(__xludf.DUMMYFUNCTION("""COMPUTED_VALUE"""),600042)</f>
        <v>600042</v>
      </c>
      <c r="D964" s="1" t="str">
        <f ca="1">IFERROR(__xludf.DUMMYFUNCTION("""COMPUTED_VALUE"""),"Male")</f>
        <v>Male</v>
      </c>
      <c r="E964" s="1" t="str">
        <f ca="1">IFERROR(__xludf.DUMMYFUNCTION("""COMPUTED_VALUE"""),"People who have changed the world for better")</f>
        <v>People who have changed the world for better</v>
      </c>
      <c r="F964" s="1" t="str">
        <f ca="1">IFERROR(__xludf.DUMMYFUNCTION("""COMPUTED_VALUE"""),"Yes, I will earn and do that")</f>
        <v>Yes, I will earn and do that</v>
      </c>
      <c r="G964" s="1" t="str">
        <f ca="1">IFERROR(__xludf.DUMMYFUNCTION("""COMPUTED_VALUE"""),"This will be hard to do, but if it is the right company I would try")</f>
        <v>This will be hard to do, but if it is the right company I would try</v>
      </c>
      <c r="H964" s="1" t="str">
        <f ca="1">IFERROR(__xludf.DUMMYFUNCTION("""COMPUTED_VALUE"""),"Yes")</f>
        <v>Yes</v>
      </c>
      <c r="I964" s="1" t="str">
        <f ca="1">IFERROR(__xludf.DUMMYFUNCTION("""COMPUTED_VALUE"""),"Will NOT work for them")</f>
        <v>Will NOT work for them</v>
      </c>
      <c r="J964" s="1">
        <f ca="1">IFERROR(__xludf.DUMMYFUNCTION("""COMPUTED_VALUE"""),4)</f>
        <v>4</v>
      </c>
      <c r="K964" s="1" t="str">
        <f ca="1">IFERROR(__xludf.DUMMYFUNCTION("""COMPUTED_VALUE"""),"Hybrid Working Environment with more than 15 days a month at office")</f>
        <v>Hybrid Working Environment with more than 15 days a month at office</v>
      </c>
      <c r="L9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64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964" s="1" t="str">
        <f ca="1">IFERROR(__xludf.DUMMYFUNCTION("""COMPUTED_VALUE"""),"Manage and drive End-to-End Projects or Products, Build and develop a Team, Entrepreneur or Start Up, An Artificial Intelligence Specialist / Talking to Robots")</f>
        <v>Manage and drive End-to-End Projects or Products, Build and develop a Team, Entrepreneur or Start Up, An Artificial Intelligence Specialist / Talking to Robots</v>
      </c>
      <c r="O964" s="1" t="str">
        <f ca="1">IFERROR(__xludf.DUMMYFUNCTION("""COMPUTED_VALUE"""),"Manager who explains what is expected, sets a goal and helps achieve it")</f>
        <v>Manager who explains what is expected, sets a goal and helps achieve it</v>
      </c>
      <c r="P964" s="1" t="str">
        <f ca="1">IFERROR(__xludf.DUMMYFUNCTION("""COMPUTED_VALUE"""),"Work with 2 to 3 people in my team, Work with 5 to 6 people in my team")</f>
        <v>Work with 2 to 3 people in my team, Work with 5 to 6 people in my team</v>
      </c>
      <c r="Q964" s="1" t="str">
        <f ca="1">IFERROR(__xludf.DUMMYFUNCTION("""COMPUTED_VALUE"""),"Yes, I Understand this is gonna happen everywhere")</f>
        <v>Yes, I Understand this is gonna happen everywhere</v>
      </c>
      <c r="R964" s="1" t="str">
        <f ca="1">IFERROR(__xludf.DUMMYFUNCTION("""COMPUTED_VALUE"""),"This will be hard to do, but if it is the right company I would try")</f>
        <v>This will be hard to do, but if it is the right company I would try</v>
      </c>
      <c r="S964" s="1"/>
    </row>
    <row r="965" spans="1:19" ht="12.5" x14ac:dyDescent="0.25">
      <c r="A965" s="2">
        <f ca="1">IFERROR(__xludf.DUMMYFUNCTION("""COMPUTED_VALUE"""),45025.8149454398)</f>
        <v>45025.814945439801</v>
      </c>
      <c r="B965" s="1" t="str">
        <f ca="1">IFERROR(__xludf.DUMMYFUNCTION("""COMPUTED_VALUE"""),"India")</f>
        <v>India</v>
      </c>
      <c r="C965" s="1">
        <f ca="1">IFERROR(__xludf.DUMMYFUNCTION("""COMPUTED_VALUE"""),250001)</f>
        <v>250001</v>
      </c>
      <c r="D965" s="1" t="str">
        <f ca="1">IFERROR(__xludf.DUMMYFUNCTION("""COMPUTED_VALUE"""),"Female")</f>
        <v>Female</v>
      </c>
      <c r="E965" s="1" t="str">
        <f ca="1">IFERROR(__xludf.DUMMYFUNCTION("""COMPUTED_VALUE"""),"My Parents")</f>
        <v>My Parents</v>
      </c>
      <c r="F965" s="1" t="str">
        <f ca="1">IFERROR(__xludf.DUMMYFUNCTION("""COMPUTED_VALUE"""),"No, But if someone could bare the cost I will")</f>
        <v>No, But if someone could bare the cost I will</v>
      </c>
      <c r="G965" s="1" t="str">
        <f ca="1">IFERROR(__xludf.DUMMYFUNCTION("""COMPUTED_VALUE"""),"Will work for 3 years or more")</f>
        <v>Will work for 3 years or more</v>
      </c>
      <c r="H965" s="1" t="str">
        <f ca="1">IFERROR(__xludf.DUMMYFUNCTION("""COMPUTED_VALUE"""),"No")</f>
        <v>No</v>
      </c>
      <c r="I965" s="1" t="str">
        <f ca="1">IFERROR(__xludf.DUMMYFUNCTION("""COMPUTED_VALUE"""),"Will NOT work for them")</f>
        <v>Will NOT work for them</v>
      </c>
      <c r="J965" s="1">
        <f ca="1">IFERROR(__xludf.DUMMYFUNCTION("""COMPUTED_VALUE"""),1)</f>
        <v>1</v>
      </c>
      <c r="K965" s="1" t="str">
        <f ca="1">IFERROR(__xludf.DUMMYFUNCTION("""COMPUTED_VALUE"""),"Fully Remote with Options to travel as and when needed")</f>
        <v>Fully Remote with Options to travel as and when needed</v>
      </c>
      <c r="L965" s="1" t="str">
        <f ca="1">IFERROR(__xludf.DUMMYFUNCTION("""COMPUTED_VALUE"""),"Employer who appreciates learning and enables that environment")</f>
        <v>Employer who appreciates learning and enables that environment</v>
      </c>
      <c r="M96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65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965" s="1" t="str">
        <f ca="1">IFERROR(__xludf.DUMMYFUNCTION("""COMPUTED_VALUE"""),"Manager who explains what is expected, sets a goal and helps achieve it")</f>
        <v>Manager who explains what is expected, sets a goal and helps achieve it</v>
      </c>
      <c r="P965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965" s="1" t="str">
        <f ca="1">IFERROR(__xludf.DUMMYFUNCTION("""COMPUTED_VALUE"""),"No")</f>
        <v>No</v>
      </c>
      <c r="R965" s="1" t="str">
        <f ca="1">IFERROR(__xludf.DUMMYFUNCTION("""COMPUTED_VALUE"""),"This will be hard to do, but if it is the right company I would try")</f>
        <v>This will be hard to do, but if it is the right company I would try</v>
      </c>
      <c r="S965" s="1"/>
    </row>
    <row r="966" spans="1:19" ht="12.5" x14ac:dyDescent="0.25">
      <c r="A966" s="2">
        <f ca="1">IFERROR(__xludf.DUMMYFUNCTION("""COMPUTED_VALUE"""),45025.8628475578)</f>
        <v>45025.862847557801</v>
      </c>
      <c r="B966" s="1" t="str">
        <f ca="1">IFERROR(__xludf.DUMMYFUNCTION("""COMPUTED_VALUE"""),"India")</f>
        <v>India</v>
      </c>
      <c r="C966" s="1">
        <f ca="1">IFERROR(__xludf.DUMMYFUNCTION("""COMPUTED_VALUE"""),110059)</f>
        <v>110059</v>
      </c>
      <c r="D966" s="1" t="str">
        <f ca="1">IFERROR(__xludf.DUMMYFUNCTION("""COMPUTED_VALUE"""),"Female")</f>
        <v>Female</v>
      </c>
      <c r="E966" s="1" t="str">
        <f ca="1">IFERROR(__xludf.DUMMYFUNCTION("""COMPUTED_VALUE"""),"People who have changed the world for better")</f>
        <v>People who have changed the world for better</v>
      </c>
      <c r="F966" s="1" t="str">
        <f ca="1">IFERROR(__xludf.DUMMYFUNCTION("""COMPUTED_VALUE"""),"No I would not be pursuing Higher Education outside of India")</f>
        <v>No I would not be pursuing Higher Education outside of India</v>
      </c>
      <c r="G966" s="1" t="str">
        <f ca="1">IFERROR(__xludf.DUMMYFUNCTION("""COMPUTED_VALUE"""),"This will be hard to do, but if it is the right company I would try")</f>
        <v>This will be hard to do, but if it is the right company I would try</v>
      </c>
      <c r="H966" s="1" t="str">
        <f ca="1">IFERROR(__xludf.DUMMYFUNCTION("""COMPUTED_VALUE"""),"No")</f>
        <v>No</v>
      </c>
      <c r="I966" s="1" t="str">
        <f ca="1">IFERROR(__xludf.DUMMYFUNCTION("""COMPUTED_VALUE"""),"Will NOT work for them")</f>
        <v>Will NOT work for them</v>
      </c>
      <c r="J966" s="1">
        <f ca="1">IFERROR(__xludf.DUMMYFUNCTION("""COMPUTED_VALUE"""),3)</f>
        <v>3</v>
      </c>
      <c r="K966" s="1" t="str">
        <f ca="1">IFERROR(__xludf.DUMMYFUNCTION("""COMPUTED_VALUE"""),"Hybrid Working Environment with more than 15 days a month at office")</f>
        <v>Hybrid Working Environment with more than 15 days a month at office</v>
      </c>
      <c r="L966" s="1" t="str">
        <f ca="1">IFERROR(__xludf.DUMMYFUNCTION("""COMPUTED_VALUE"""),"Employer who appreciates learning and enables that environment")</f>
        <v>Employer who appreciates learning and enables that environment</v>
      </c>
      <c r="M96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66" s="1" t="str">
        <f ca="1">IFERROR(__xludf.DUMMYFUNCTION("""COMPUTED_VALUE"""),"Teaching in any of the institutes/colleges/online or offline, Business Operations in any organization, Build and develop a Team, Become a content Creator in some platform")</f>
        <v>Teaching in any of the institutes/colleges/online or offline, Business Operations in any organization, Build and develop a Team, Become a content Creator in some platform</v>
      </c>
      <c r="O966" s="1" t="str">
        <f ca="1">IFERROR(__xludf.DUMMYFUNCTION("""COMPUTED_VALUE"""),"Manager who explains what is expected, sets a goal and helps achieve it")</f>
        <v>Manager who explains what is expected, sets a goal and helps achieve it</v>
      </c>
      <c r="P966" s="1" t="str">
        <f ca="1">IFERROR(__xludf.DUMMYFUNCTION("""COMPUTED_VALUE"""),"Work with 2 to 3 people in my team")</f>
        <v>Work with 2 to 3 people in my team</v>
      </c>
      <c r="Q966" s="1" t="str">
        <f ca="1">IFERROR(__xludf.DUMMYFUNCTION("""COMPUTED_VALUE"""),"No")</f>
        <v>No</v>
      </c>
      <c r="R966" s="1" t="str">
        <f ca="1">IFERROR(__xludf.DUMMYFUNCTION("""COMPUTED_VALUE"""),"This will be hard to do, but if it is the right company I would try")</f>
        <v>This will be hard to do, but if it is the right company I would try</v>
      </c>
      <c r="S966" s="1"/>
    </row>
    <row r="967" spans="1:19" ht="12.5" x14ac:dyDescent="0.25">
      <c r="A967" s="2">
        <f ca="1">IFERROR(__xludf.DUMMYFUNCTION("""COMPUTED_VALUE"""),45025.8646490624)</f>
        <v>45025.864649062401</v>
      </c>
      <c r="B967" s="1" t="str">
        <f ca="1">IFERROR(__xludf.DUMMYFUNCTION("""COMPUTED_VALUE"""),"India")</f>
        <v>India</v>
      </c>
      <c r="C967" s="1">
        <f ca="1">IFERROR(__xludf.DUMMYFUNCTION("""COMPUTED_VALUE"""),110059)</f>
        <v>110059</v>
      </c>
      <c r="D967" s="1" t="str">
        <f ca="1">IFERROR(__xludf.DUMMYFUNCTION("""COMPUTED_VALUE"""),"Female")</f>
        <v>Female</v>
      </c>
      <c r="E967" s="1" t="str">
        <f ca="1">IFERROR(__xludf.DUMMYFUNCTION("""COMPUTED_VALUE"""),"People from my circle, but not family members")</f>
        <v>People from my circle, but not family members</v>
      </c>
      <c r="F967" s="1" t="str">
        <f ca="1">IFERROR(__xludf.DUMMYFUNCTION("""COMPUTED_VALUE"""),"No, But if someone could bare the cost I will")</f>
        <v>No, But if someone could bare the cost I will</v>
      </c>
      <c r="G967" s="1" t="str">
        <f ca="1">IFERROR(__xludf.DUMMYFUNCTION("""COMPUTED_VALUE"""),"Will work for 3 years or more")</f>
        <v>Will work for 3 years or more</v>
      </c>
      <c r="H967" s="1" t="str">
        <f ca="1">IFERROR(__xludf.DUMMYFUNCTION("""COMPUTED_VALUE"""),"No")</f>
        <v>No</v>
      </c>
      <c r="I967" s="1" t="str">
        <f ca="1">IFERROR(__xludf.DUMMYFUNCTION("""COMPUTED_VALUE"""),"Will NOT work for them")</f>
        <v>Will NOT work for them</v>
      </c>
      <c r="J967" s="1">
        <f ca="1">IFERROR(__xludf.DUMMYFUNCTION("""COMPUTED_VALUE"""),4)</f>
        <v>4</v>
      </c>
      <c r="K967" s="1" t="str">
        <f ca="1">IFERROR(__xludf.DUMMYFUNCTION("""COMPUTED_VALUE"""),"Fully Remote with Options to travel as and when needed")</f>
        <v>Fully Remote with Options to travel as and when needed</v>
      </c>
      <c r="L967" s="1" t="str">
        <f ca="1">IFERROR(__xludf.DUMMYFUNCTION("""COMPUTED_VALUE"""),"Employer who appreciates learning and enables that environment")</f>
        <v>Employer who appreciates learning and enables that environment</v>
      </c>
      <c r="M96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67" s="1" t="str">
        <f ca="1">IFERROR(__xludf.DUMMYFUNCTION("""COMPUTED_VALUE"""),"Teaching in any of the institutes/colleges/online or offline, Manage and drive End-to-End Projects or Products, Work as a freelancer and do my thing my way, Entrepreneur or Start Up")</f>
        <v>Teaching in any of the institutes/colleges/online or offline, Manage and drive End-to-End Projects or Products, Work as a freelancer and do my thing my way, Entrepreneur or Start Up</v>
      </c>
      <c r="O967" s="1" t="str">
        <f ca="1">IFERROR(__xludf.DUMMYFUNCTION("""COMPUTED_VALUE"""),"Manager who explains what is expected, sets a goal and helps achieve it")</f>
        <v>Manager who explains what is expected, sets a goal and helps achieve it</v>
      </c>
      <c r="P967" s="1" t="str">
        <f ca="1">IFERROR(__xludf.DUMMYFUNCTION("""COMPUTED_VALUE"""),"Work with 2 to 3 people in my team")</f>
        <v>Work with 2 to 3 people in my team</v>
      </c>
      <c r="Q967" s="1" t="str">
        <f ca="1">IFERROR(__xludf.DUMMYFUNCTION("""COMPUTED_VALUE"""),"Yes, I Understand this is gonna happen everywhere")</f>
        <v>Yes, I Understand this is gonna happen everywhere</v>
      </c>
      <c r="R967" s="1" t="str">
        <f ca="1">IFERROR(__xludf.DUMMYFUNCTION("""COMPUTED_VALUE"""),"This will be hard to do, but if it is the right company I would try")</f>
        <v>This will be hard to do, but if it is the right company I would try</v>
      </c>
      <c r="S967" s="1"/>
    </row>
    <row r="968" spans="1:19" ht="12.5" x14ac:dyDescent="0.25">
      <c r="A968" s="2">
        <f ca="1">IFERROR(__xludf.DUMMYFUNCTION("""COMPUTED_VALUE"""),45025.9356575115)</f>
        <v>45025.935657511502</v>
      </c>
      <c r="B968" s="1" t="str">
        <f ca="1">IFERROR(__xludf.DUMMYFUNCTION("""COMPUTED_VALUE"""),"India")</f>
        <v>India</v>
      </c>
      <c r="C968" s="1">
        <f ca="1">IFERROR(__xludf.DUMMYFUNCTION("""COMPUTED_VALUE"""),122022)</f>
        <v>122022</v>
      </c>
      <c r="D968" s="1" t="str">
        <f ca="1">IFERROR(__xludf.DUMMYFUNCTION("""COMPUTED_VALUE"""),"Female")</f>
        <v>Female</v>
      </c>
      <c r="E968" s="1" t="str">
        <f ca="1">IFERROR(__xludf.DUMMYFUNCTION("""COMPUTED_VALUE"""),"Influencers who had successful careers")</f>
        <v>Influencers who had successful careers</v>
      </c>
      <c r="F968" s="1" t="str">
        <f ca="1">IFERROR(__xludf.DUMMYFUNCTION("""COMPUTED_VALUE"""),"No, But if someone could bare the cost I will")</f>
        <v>No, But if someone could bare the cost I will</v>
      </c>
      <c r="G968" s="1" t="str">
        <f ca="1">IFERROR(__xludf.DUMMYFUNCTION("""COMPUTED_VALUE"""),"This will be hard to do, but if it is the right company I would try")</f>
        <v>This will be hard to do, but if it is the right company I would try</v>
      </c>
      <c r="H968" s="1" t="str">
        <f ca="1">IFERROR(__xludf.DUMMYFUNCTION("""COMPUTED_VALUE"""),"No")</f>
        <v>No</v>
      </c>
      <c r="I968" s="1" t="str">
        <f ca="1">IFERROR(__xludf.DUMMYFUNCTION("""COMPUTED_VALUE"""),"Will NOT work for them")</f>
        <v>Will NOT work for them</v>
      </c>
      <c r="J968" s="1">
        <f ca="1">IFERROR(__xludf.DUMMYFUNCTION("""COMPUTED_VALUE"""),3)</f>
        <v>3</v>
      </c>
      <c r="K968" s="1" t="str">
        <f ca="1">IFERROR(__xludf.DUMMYFUNCTION("""COMPUTED_VALUE"""),"Hybrid Working Environment with more than 15 days a month at office")</f>
        <v>Hybrid Working Environment with more than 15 days a month at office</v>
      </c>
      <c r="L9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6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68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968" s="1" t="str">
        <f ca="1">IFERROR(__xludf.DUMMYFUNCTION("""COMPUTED_VALUE"""),"Manager who explains what is expected, sets a goal and helps achieve it")</f>
        <v>Manager who explains what is expected, sets a goal and helps achieve it</v>
      </c>
      <c r="P968" s="1" t="str">
        <f ca="1">IFERROR(__xludf.DUMMYFUNCTION("""COMPUTED_VALUE"""),"Work with 5 to 6 people in my team")</f>
        <v>Work with 5 to 6 people in my team</v>
      </c>
      <c r="Q968" s="1" t="str">
        <f ca="1">IFERROR(__xludf.DUMMYFUNCTION("""COMPUTED_VALUE"""),"Yes, I Understand this is gonna happen everywhere")</f>
        <v>Yes, I Understand this is gonna happen everywhere</v>
      </c>
      <c r="R968" s="1" t="str">
        <f ca="1">IFERROR(__xludf.DUMMYFUNCTION("""COMPUTED_VALUE"""),"This will be hard to do, but if it is the right company I would try")</f>
        <v>This will be hard to do, but if it is the right company I would try</v>
      </c>
      <c r="S968" s="1"/>
    </row>
    <row r="969" spans="1:19" ht="12.5" x14ac:dyDescent="0.25">
      <c r="A969" s="2">
        <f ca="1">IFERROR(__xludf.DUMMYFUNCTION("""COMPUTED_VALUE"""),45026.409674618)</f>
        <v>45026.409674618</v>
      </c>
      <c r="B969" s="1" t="str">
        <f ca="1">IFERROR(__xludf.DUMMYFUNCTION("""COMPUTED_VALUE"""),"India")</f>
        <v>India</v>
      </c>
      <c r="C969" s="1">
        <f ca="1">IFERROR(__xludf.DUMMYFUNCTION("""COMPUTED_VALUE"""),462021)</f>
        <v>462021</v>
      </c>
      <c r="D969" s="1" t="str">
        <f ca="1">IFERROR(__xludf.DUMMYFUNCTION("""COMPUTED_VALUE"""),"Female")</f>
        <v>Female</v>
      </c>
      <c r="E969" s="1" t="str">
        <f ca="1">IFERROR(__xludf.DUMMYFUNCTION("""COMPUTED_VALUE"""),"Influencers who had successful careers")</f>
        <v>Influencers who had successful careers</v>
      </c>
      <c r="F969" s="1" t="str">
        <f ca="1">IFERROR(__xludf.DUMMYFUNCTION("""COMPUTED_VALUE"""),"No, But if someone could bare the cost I will")</f>
        <v>No, But if someone could bare the cost I will</v>
      </c>
      <c r="G969" s="1" t="str">
        <f ca="1">IFERROR(__xludf.DUMMYFUNCTION("""COMPUTED_VALUE"""),"This will be hard to do, but if it is the right company I would try")</f>
        <v>This will be hard to do, but if it is the right company I would try</v>
      </c>
      <c r="H969" s="1" t="str">
        <f ca="1">IFERROR(__xludf.DUMMYFUNCTION("""COMPUTED_VALUE"""),"Yes")</f>
        <v>Yes</v>
      </c>
      <c r="I969" s="1" t="str">
        <f ca="1">IFERROR(__xludf.DUMMYFUNCTION("""COMPUTED_VALUE"""),"Will work for them")</f>
        <v>Will work for them</v>
      </c>
      <c r="J969" s="1">
        <f ca="1">IFERROR(__xludf.DUMMYFUNCTION("""COMPUTED_VALUE"""),5)</f>
        <v>5</v>
      </c>
      <c r="K969" s="1" t="str">
        <f ca="1">IFERROR(__xludf.DUMMYFUNCTION("""COMPUTED_VALUE"""),"Hybrid Working Environment with less than 3 days a month at office")</f>
        <v>Hybrid Working Environment with less than 3 days a month at office</v>
      </c>
      <c r="L9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6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969" s="1" t="str">
        <f ca="1">IFERROR(__xludf.DUMMYFUNCTION("""COMPUTED_VALUE"""),"Teaching in any of the institutes/colleges/online or offline, Build and develop a Team, Work in a BPO setup for some well known client, Work as a freelancer and do my thing my way")</f>
        <v>Teaching in any of the institutes/colleges/online or offline, Build and develop a Team, Work in a BPO setup for some well known client, Work as a freelancer and do my thing my way</v>
      </c>
      <c r="O969" s="1" t="str">
        <f ca="1">IFERROR(__xludf.DUMMYFUNCTION("""COMPUTED_VALUE"""),"Manager who explains what is expected, sets a goal and helps achieve it")</f>
        <v>Manager who explains what is expected, sets a goal and helps achieve it</v>
      </c>
      <c r="P969" s="1" t="str">
        <f ca="1">IFERROR(__xludf.DUMMYFUNCTION("""COMPUTED_VALUE"""),"Work with 5 to 6 people in my team")</f>
        <v>Work with 5 to 6 people in my team</v>
      </c>
      <c r="Q969" s="1" t="str">
        <f ca="1">IFERROR(__xludf.DUMMYFUNCTION("""COMPUTED_VALUE"""),"No")</f>
        <v>No</v>
      </c>
      <c r="R969" s="1" t="str">
        <f ca="1">IFERROR(__xludf.DUMMYFUNCTION("""COMPUTED_VALUE"""),"This will be hard to do, but if it is the right company I would try")</f>
        <v>This will be hard to do, but if it is the right company I would try</v>
      </c>
      <c r="S969" s="1"/>
    </row>
    <row r="970" spans="1:19" ht="12.5" x14ac:dyDescent="0.25">
      <c r="A970" s="2">
        <f ca="1">IFERROR(__xludf.DUMMYFUNCTION("""COMPUTED_VALUE"""),45026.4749476967)</f>
        <v>45026.474947696697</v>
      </c>
      <c r="B970" s="1" t="str">
        <f ca="1">IFERROR(__xludf.DUMMYFUNCTION("""COMPUTED_VALUE"""),"India")</f>
        <v>India</v>
      </c>
      <c r="C970" s="1">
        <f ca="1">IFERROR(__xludf.DUMMYFUNCTION("""COMPUTED_VALUE"""),40095)</f>
        <v>40095</v>
      </c>
      <c r="D970" s="1" t="str">
        <f ca="1">IFERROR(__xludf.DUMMYFUNCTION("""COMPUTED_VALUE"""),"Male")</f>
        <v>Male</v>
      </c>
      <c r="E970" s="1" t="str">
        <f ca="1">IFERROR(__xludf.DUMMYFUNCTION("""COMPUTED_VALUE"""),"My Parents")</f>
        <v>My Parents</v>
      </c>
      <c r="F970" s="1" t="str">
        <f ca="1">IFERROR(__xludf.DUMMYFUNCTION("""COMPUTED_VALUE"""),"Yes, I will earn and do that")</f>
        <v>Yes, I will earn and do that</v>
      </c>
      <c r="G970" s="1" t="str">
        <f ca="1">IFERROR(__xludf.DUMMYFUNCTION("""COMPUTED_VALUE"""),"Will work for 3 years or more")</f>
        <v>Will work for 3 years or more</v>
      </c>
      <c r="H970" s="1" t="str">
        <f ca="1">IFERROR(__xludf.DUMMYFUNCTION("""COMPUTED_VALUE"""),"Yes")</f>
        <v>Yes</v>
      </c>
      <c r="I970" s="1" t="str">
        <f ca="1">IFERROR(__xludf.DUMMYFUNCTION("""COMPUTED_VALUE"""),"Will work for them")</f>
        <v>Will work for them</v>
      </c>
      <c r="J970" s="1">
        <f ca="1">IFERROR(__xludf.DUMMYFUNCTION("""COMPUTED_VALUE"""),2)</f>
        <v>2</v>
      </c>
      <c r="K970" s="1" t="str">
        <f ca="1">IFERROR(__xludf.DUMMYFUNCTION("""COMPUTED_VALUE"""),"Every Day Office Environment")</f>
        <v>Every Day Office Environment</v>
      </c>
      <c r="L970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970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970" s="1" t="str">
        <f ca="1">IFERROR(__xludf.DUMMYFUNCTION("""COMPUTED_VALUE"""),"Work in a BPO setup for some well known client, Work as a freelancer and do my thing my way, Become a content Creator in some platform, An Artificial Intelligence Specialist / Talking to Robots")</f>
        <v>Work in a BPO setup for some well known client, Work as a freelancer and do my thing my way, Become a content Creator in some platform, An Artificial Intelligence Specialist / Talking to Robots</v>
      </c>
      <c r="O970" s="1" t="str">
        <f ca="1">IFERROR(__xludf.DUMMYFUNCTION("""COMPUTED_VALUE"""),"Manager who sets unrealistic targets")</f>
        <v>Manager who sets unrealistic targets</v>
      </c>
      <c r="P970" s="1" t="str">
        <f ca="1">IFERROR(__xludf.DUMMYFUNCTION("""COMPUTED_VALUE"""),"Work with more than 10 people in my team")</f>
        <v>Work with more than 10 people in my team</v>
      </c>
      <c r="Q970" s="1" t="str">
        <f ca="1">IFERROR(__xludf.DUMMYFUNCTION("""COMPUTED_VALUE"""),"Yes")</f>
        <v>Yes</v>
      </c>
      <c r="R970" s="1" t="str">
        <f ca="1">IFERROR(__xludf.DUMMYFUNCTION("""COMPUTED_VALUE"""),"No way")</f>
        <v>No way</v>
      </c>
      <c r="S970" s="1"/>
    </row>
    <row r="971" spans="1:19" ht="12.5" x14ac:dyDescent="0.25">
      <c r="A971" s="2">
        <f ca="1">IFERROR(__xludf.DUMMYFUNCTION("""COMPUTED_VALUE"""),45026.4880672338)</f>
        <v>45026.488067233797</v>
      </c>
      <c r="B971" s="1" t="str">
        <f ca="1">IFERROR(__xludf.DUMMYFUNCTION("""COMPUTED_VALUE"""),"India")</f>
        <v>India</v>
      </c>
      <c r="C971" s="1">
        <f ca="1">IFERROR(__xludf.DUMMYFUNCTION("""COMPUTED_VALUE"""),110043)</f>
        <v>110043</v>
      </c>
      <c r="D971" s="1" t="str">
        <f ca="1">IFERROR(__xludf.DUMMYFUNCTION("""COMPUTED_VALUE"""),"Male")</f>
        <v>Male</v>
      </c>
      <c r="E971" s="1" t="str">
        <f ca="1">IFERROR(__xludf.DUMMYFUNCTION("""COMPUTED_VALUE"""),"My Parents")</f>
        <v>My Parents</v>
      </c>
      <c r="F971" s="1" t="str">
        <f ca="1">IFERROR(__xludf.DUMMYFUNCTION("""COMPUTED_VALUE"""),"No, But if someone could bare the cost I will")</f>
        <v>No, But if someone could bare the cost I will</v>
      </c>
      <c r="G971" s="1" t="str">
        <f ca="1">IFERROR(__xludf.DUMMYFUNCTION("""COMPUTED_VALUE"""),"This will be hard to do, but if it is the right company I would try")</f>
        <v>This will be hard to do, but if it is the right company I would try</v>
      </c>
      <c r="H971" s="1" t="str">
        <f ca="1">IFERROR(__xludf.DUMMYFUNCTION("""COMPUTED_VALUE"""),"No")</f>
        <v>No</v>
      </c>
      <c r="I971" s="1" t="str">
        <f ca="1">IFERROR(__xludf.DUMMYFUNCTION("""COMPUTED_VALUE"""),"Will NOT work for them")</f>
        <v>Will NOT work for them</v>
      </c>
      <c r="J971" s="1">
        <f ca="1">IFERROR(__xludf.DUMMYFUNCTION("""COMPUTED_VALUE"""),2)</f>
        <v>2</v>
      </c>
      <c r="K971" s="1" t="str">
        <f ca="1">IFERROR(__xludf.DUMMYFUNCTION("""COMPUTED_VALUE"""),"Hybrid Working Environment with more than 15 days a month at office")</f>
        <v>Hybrid Working Environment with more than 15 days a month at office</v>
      </c>
      <c r="L9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71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971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971" s="1" t="str">
        <f ca="1">IFERROR(__xludf.DUMMYFUNCTION("""COMPUTED_VALUE"""),"Manager who explains what is expected, sets a goal and helps achieve it")</f>
        <v>Manager who explains what is expected, sets a goal and helps achieve it</v>
      </c>
      <c r="P971" s="1" t="str">
        <f ca="1">IFERROR(__xludf.DUMMYFUNCTION("""COMPUTED_VALUE"""),"Work with 5 to 6 people in my team")</f>
        <v>Work with 5 to 6 people in my team</v>
      </c>
      <c r="Q971" s="1" t="str">
        <f ca="1">IFERROR(__xludf.DUMMYFUNCTION("""COMPUTED_VALUE"""),"Yes, I Understand this is gonna happen everywhere")</f>
        <v>Yes, I Understand this is gonna happen everywhere</v>
      </c>
      <c r="R971" s="1" t="str">
        <f ca="1">IFERROR(__xludf.DUMMYFUNCTION("""COMPUTED_VALUE"""),"No way")</f>
        <v>No way</v>
      </c>
      <c r="S971" s="1"/>
    </row>
    <row r="972" spans="1:19" ht="12.5" x14ac:dyDescent="0.25">
      <c r="A972" s="2">
        <f ca="1">IFERROR(__xludf.DUMMYFUNCTION("""COMPUTED_VALUE"""),45026.4912056828)</f>
        <v>45026.491205682803</v>
      </c>
      <c r="B972" s="1" t="str">
        <f ca="1">IFERROR(__xludf.DUMMYFUNCTION("""COMPUTED_VALUE"""),"India")</f>
        <v>India</v>
      </c>
      <c r="C972" s="1">
        <f ca="1">IFERROR(__xludf.DUMMYFUNCTION("""COMPUTED_VALUE"""),132001)</f>
        <v>132001</v>
      </c>
      <c r="D972" s="1" t="str">
        <f ca="1">IFERROR(__xludf.DUMMYFUNCTION("""COMPUTED_VALUE"""),"Male")</f>
        <v>Male</v>
      </c>
      <c r="E972" s="1" t="str">
        <f ca="1">IFERROR(__xludf.DUMMYFUNCTION("""COMPUTED_VALUE"""),"People who have changed the world for better")</f>
        <v>People who have changed the world for better</v>
      </c>
      <c r="F972" s="1" t="str">
        <f ca="1">IFERROR(__xludf.DUMMYFUNCTION("""COMPUTED_VALUE"""),"Yes, I will earn and do that")</f>
        <v>Yes, I will earn and do that</v>
      </c>
      <c r="G972" s="1" t="str">
        <f ca="1">IFERROR(__xludf.DUMMYFUNCTION("""COMPUTED_VALUE"""),"This will be hard to do, but if it is the right company I would try")</f>
        <v>This will be hard to do, but if it is the right company I would try</v>
      </c>
      <c r="H972" s="1" t="str">
        <f ca="1">IFERROR(__xludf.DUMMYFUNCTION("""COMPUTED_VALUE"""),"No")</f>
        <v>No</v>
      </c>
      <c r="I972" s="1" t="str">
        <f ca="1">IFERROR(__xludf.DUMMYFUNCTION("""COMPUTED_VALUE"""),"Will NOT work for them")</f>
        <v>Will NOT work for them</v>
      </c>
      <c r="J972" s="1">
        <f ca="1">IFERROR(__xludf.DUMMYFUNCTION("""COMPUTED_VALUE"""),5)</f>
        <v>5</v>
      </c>
      <c r="K972" s="1" t="str">
        <f ca="1">IFERROR(__xludf.DUMMYFUNCTION("""COMPUTED_VALUE"""),"Fully Remote with Options to travel as and when needed")</f>
        <v>Fully Remote with Options to travel as and when needed</v>
      </c>
      <c r="L9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7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72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972" s="1" t="str">
        <f ca="1">IFERROR(__xludf.DUMMYFUNCTION("""COMPUTED_VALUE"""),"Manager who clearly describes what she/he needs")</f>
        <v>Manager who clearly describes what she/he needs</v>
      </c>
      <c r="P972" s="1" t="str">
        <f ca="1">IFERROR(__xludf.DUMMYFUNCTION("""COMPUTED_VALUE"""),"Work with 5 to 6 people in my team")</f>
        <v>Work with 5 to 6 people in my team</v>
      </c>
      <c r="Q972" s="1" t="str">
        <f ca="1">IFERROR(__xludf.DUMMYFUNCTION("""COMPUTED_VALUE"""),"I have NO other choice")</f>
        <v>I have NO other choice</v>
      </c>
      <c r="R972" s="1" t="str">
        <f ca="1">IFERROR(__xludf.DUMMYFUNCTION("""COMPUTED_VALUE"""),"Will work for 7 years or more")</f>
        <v>Will work for 7 years or more</v>
      </c>
      <c r="S972" s="1"/>
    </row>
    <row r="973" spans="1:19" ht="12.5" x14ac:dyDescent="0.25">
      <c r="A973" s="2">
        <f ca="1">IFERROR(__xludf.DUMMYFUNCTION("""COMPUTED_VALUE"""),45026.5025656018)</f>
        <v>45026.502565601797</v>
      </c>
      <c r="B973" s="1" t="str">
        <f ca="1">IFERROR(__xludf.DUMMYFUNCTION("""COMPUTED_VALUE"""),"India")</f>
        <v>India</v>
      </c>
      <c r="C973" s="1">
        <f ca="1">IFERROR(__xludf.DUMMYFUNCTION("""COMPUTED_VALUE"""),250002)</f>
        <v>250002</v>
      </c>
      <c r="D973" s="1" t="str">
        <f ca="1">IFERROR(__xludf.DUMMYFUNCTION("""COMPUTED_VALUE"""),"Male")</f>
        <v>Male</v>
      </c>
      <c r="E973" s="1" t="str">
        <f ca="1">IFERROR(__xludf.DUMMYFUNCTION("""COMPUTED_VALUE"""),"People who have changed the world for better")</f>
        <v>People who have changed the world for better</v>
      </c>
      <c r="F973" s="1" t="str">
        <f ca="1">IFERROR(__xludf.DUMMYFUNCTION("""COMPUTED_VALUE"""),"No I would not be pursuing Higher Education outside of India")</f>
        <v>No I would not be pursuing Higher Education outside of India</v>
      </c>
      <c r="G973" s="1" t="str">
        <f ca="1">IFERROR(__xludf.DUMMYFUNCTION("""COMPUTED_VALUE"""),"This will be hard to do, but if it is the right company I would try")</f>
        <v>This will be hard to do, but if it is the right company I would try</v>
      </c>
      <c r="H973" s="1" t="str">
        <f ca="1">IFERROR(__xludf.DUMMYFUNCTION("""COMPUTED_VALUE"""),"No")</f>
        <v>No</v>
      </c>
      <c r="I973" s="1" t="str">
        <f ca="1">IFERROR(__xludf.DUMMYFUNCTION("""COMPUTED_VALUE"""),"Will NOT work for them")</f>
        <v>Will NOT work for them</v>
      </c>
      <c r="J973" s="1">
        <f ca="1">IFERROR(__xludf.DUMMYFUNCTION("""COMPUTED_VALUE"""),7)</f>
        <v>7</v>
      </c>
      <c r="K973" s="1" t="str">
        <f ca="1">IFERROR(__xludf.DUMMYFUNCTION("""COMPUTED_VALUE"""),"Every Day Office Environment")</f>
        <v>Every Day Office Environment</v>
      </c>
      <c r="L973" s="1" t="str">
        <f ca="1">IFERROR(__xludf.DUMMYFUNCTION("""COMPUTED_VALUE"""),"Employer who appreciates learning and enables that environment")</f>
        <v>Employer who appreciates learning and enables that environment</v>
      </c>
      <c r="M97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973" s="1" t="str">
        <f ca="1">IFERROR(__xludf.DUMMYFUNCTION("""COMPUTED_VALUE"""),"Design and Creative strategy in any company, Design and Develop amazing software, Work as a freelancer and do my thing my way, Entrepreneur or Start Up")</f>
        <v>Design and Creative strategy in any company, Design and Develop amazing software, Work as a freelancer and do my thing my way, Entrepreneur or Start Up</v>
      </c>
      <c r="O973" s="1" t="str">
        <f ca="1">IFERROR(__xludf.DUMMYFUNCTION("""COMPUTED_VALUE"""),"Manager who clearly describes what she/he needs")</f>
        <v>Manager who clearly describes what she/he needs</v>
      </c>
      <c r="P973" s="1" t="str">
        <f ca="1">IFERROR(__xludf.DUMMYFUNCTION("""COMPUTED_VALUE"""),"Work with 5 to 6 people in my team")</f>
        <v>Work with 5 to 6 people in my team</v>
      </c>
      <c r="Q973" s="1" t="str">
        <f ca="1">IFERROR(__xludf.DUMMYFUNCTION("""COMPUTED_VALUE"""),"Yes")</f>
        <v>Yes</v>
      </c>
      <c r="R973" s="1" t="str">
        <f ca="1">IFERROR(__xludf.DUMMYFUNCTION("""COMPUTED_VALUE"""),"No way")</f>
        <v>No way</v>
      </c>
      <c r="S973" s="1"/>
    </row>
    <row r="974" spans="1:19" ht="12.5" x14ac:dyDescent="0.25">
      <c r="A974" s="2">
        <f ca="1">IFERROR(__xludf.DUMMYFUNCTION("""COMPUTED_VALUE"""),45027.5551586342)</f>
        <v>45027.555158634197</v>
      </c>
      <c r="B974" s="1" t="str">
        <f ca="1">IFERROR(__xludf.DUMMYFUNCTION("""COMPUTED_VALUE"""),"India")</f>
        <v>India</v>
      </c>
      <c r="C974" s="1">
        <f ca="1">IFERROR(__xludf.DUMMYFUNCTION("""COMPUTED_VALUE"""),560061)</f>
        <v>560061</v>
      </c>
      <c r="D974" s="1" t="str">
        <f ca="1">IFERROR(__xludf.DUMMYFUNCTION("""COMPUTED_VALUE"""),"Female")</f>
        <v>Female</v>
      </c>
      <c r="E974" s="1" t="str">
        <f ca="1">IFERROR(__xludf.DUMMYFUNCTION("""COMPUTED_VALUE"""),"People who have changed the world for better")</f>
        <v>People who have changed the world for better</v>
      </c>
      <c r="F974" s="1" t="str">
        <f ca="1">IFERROR(__xludf.DUMMYFUNCTION("""COMPUTED_VALUE"""),"Yes, I will earn and do that")</f>
        <v>Yes, I will earn and do that</v>
      </c>
      <c r="G974" s="1" t="str">
        <f ca="1">IFERROR(__xludf.DUMMYFUNCTION("""COMPUTED_VALUE"""),"This will be hard to do, but if it is the right company I would try")</f>
        <v>This will be hard to do, but if it is the right company I would try</v>
      </c>
      <c r="H974" s="1" t="str">
        <f ca="1">IFERROR(__xludf.DUMMYFUNCTION("""COMPUTED_VALUE"""),"Yes")</f>
        <v>Yes</v>
      </c>
      <c r="I974" s="1" t="str">
        <f ca="1">IFERROR(__xludf.DUMMYFUNCTION("""COMPUTED_VALUE"""),"Will NOT work for them")</f>
        <v>Will NOT work for them</v>
      </c>
      <c r="J974" s="1">
        <f ca="1">IFERROR(__xludf.DUMMYFUNCTION("""COMPUTED_VALUE"""),5)</f>
        <v>5</v>
      </c>
      <c r="K974" s="1" t="str">
        <f ca="1">IFERROR(__xludf.DUMMYFUNCTION("""COMPUTED_VALUE"""),"Hybrid Working Environment with more than 15 days a month at office")</f>
        <v>Hybrid Working Environment with more than 15 days a month at office</v>
      </c>
      <c r="L9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7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974" s="1" t="str">
        <f ca="1">IFERROR(__xludf.DUMMYFUNCTION("""COMPUTED_VALUE"""),"Design and Creative strategy in any company, Manage and drive End-to-End Projects or Products, Entrepreneur or Start Up, An Artificial Intelligence Specialist / Talking to Robots")</f>
        <v>Design and Creative strategy in any company, Manage and drive End-to-End Projects or Products, Entrepreneur or Start Up, An Artificial Intelligence Specialist / Talking to Robots</v>
      </c>
      <c r="O974" s="1" t="str">
        <f ca="1">IFERROR(__xludf.DUMMYFUNCTION("""COMPUTED_VALUE"""),"Manager who explains what is expected, sets a goal and helps achieve it")</f>
        <v>Manager who explains what is expected, sets a goal and helps achieve it</v>
      </c>
      <c r="P974" s="1" t="str">
        <f ca="1">IFERROR(__xludf.DUMMYFUNCTION("""COMPUTED_VALUE"""),"Work with 2 to 3 people in my team")</f>
        <v>Work with 2 to 3 people in my team</v>
      </c>
      <c r="Q974" s="1" t="str">
        <f ca="1">IFERROR(__xludf.DUMMYFUNCTION("""COMPUTED_VALUE"""),"Yes, I Understand this is gonna happen everywhere")</f>
        <v>Yes, I Understand this is gonna happen everywhere</v>
      </c>
      <c r="R974" s="1" t="str">
        <f ca="1">IFERROR(__xludf.DUMMYFUNCTION("""COMPUTED_VALUE"""),"This will be hard to do, but if it is the right company I would try")</f>
        <v>This will be hard to do, but if it is the right company I would try</v>
      </c>
      <c r="S974" s="1"/>
    </row>
    <row r="975" spans="1:19" ht="12.5" x14ac:dyDescent="0.25">
      <c r="A975" s="2">
        <f ca="1">IFERROR(__xludf.DUMMYFUNCTION("""COMPUTED_VALUE"""),45027.5633955671)</f>
        <v>45027.5633955671</v>
      </c>
      <c r="B975" s="1" t="str">
        <f ca="1">IFERROR(__xludf.DUMMYFUNCTION("""COMPUTED_VALUE"""),"Germany")</f>
        <v>Germany</v>
      </c>
      <c r="C975" s="1">
        <f ca="1">IFERROR(__xludf.DUMMYFUNCTION("""COMPUTED_VALUE"""),10317)</f>
        <v>10317</v>
      </c>
      <c r="D975" s="1" t="str">
        <f ca="1">IFERROR(__xludf.DUMMYFUNCTION("""COMPUTED_VALUE"""),"Male")</f>
        <v>Male</v>
      </c>
      <c r="E975" s="1" t="str">
        <f ca="1">IFERROR(__xludf.DUMMYFUNCTION("""COMPUTED_VALUE"""),"Social Media like LinkedIn")</f>
        <v>Social Media like LinkedIn</v>
      </c>
      <c r="F975" s="1" t="str">
        <f ca="1">IFERROR(__xludf.DUMMYFUNCTION("""COMPUTED_VALUE"""),"Yes, I will earn and do that")</f>
        <v>Yes, I will earn and do that</v>
      </c>
      <c r="G975" s="1" t="str">
        <f ca="1">IFERROR(__xludf.DUMMYFUNCTION("""COMPUTED_VALUE"""),"Will work for 3 years or more")</f>
        <v>Will work for 3 years or more</v>
      </c>
      <c r="H975" s="1" t="str">
        <f ca="1">IFERROR(__xludf.DUMMYFUNCTION("""COMPUTED_VALUE"""),"No")</f>
        <v>No</v>
      </c>
      <c r="I975" s="1" t="str">
        <f ca="1">IFERROR(__xludf.DUMMYFUNCTION("""COMPUTED_VALUE"""),"Will NOT work for them")</f>
        <v>Will NOT work for them</v>
      </c>
      <c r="J975" s="1">
        <f ca="1">IFERROR(__xludf.DUMMYFUNCTION("""COMPUTED_VALUE"""),1)</f>
        <v>1</v>
      </c>
      <c r="K975" s="1" t="str">
        <f ca="1">IFERROR(__xludf.DUMMYFUNCTION("""COMPUTED_VALUE"""),"Hybrid Working Environment with more than 15 days a month at office")</f>
        <v>Hybrid Working Environment with more than 15 days a month at office</v>
      </c>
      <c r="L9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7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975" s="1" t="str">
        <f ca="1">IFERROR(__xludf.DUMMYFUNCTION("""COMPUTED_VALUE"""),"Design and Creative strategy in any company, Manage and drive End-to-End Projects or Products, An Artificial Intelligence Specialist / Talking to Robots, Manufacturing / Oil and Gas/ Construction / Hard Physical Work related")</f>
        <v>Design and Creative strategy in any company, Manage and drive End-to-End Projects or Products, An Artificial Intelligence Specialist / Talking to Robots, Manufacturing / Oil and Gas/ Construction / Hard Physical Work related</v>
      </c>
      <c r="O975" s="1" t="str">
        <f ca="1">IFERROR(__xludf.DUMMYFUNCTION("""COMPUTED_VALUE"""),"Manager who sets goal and helps me achieve it")</f>
        <v>Manager who sets goal and helps me achieve it</v>
      </c>
      <c r="P975" s="1" t="str">
        <f ca="1">IFERROR(__xludf.DUMMYFUNCTION("""COMPUTED_VALUE"""),"Work with 5 to 6 people in my team")</f>
        <v>Work with 5 to 6 people in my team</v>
      </c>
      <c r="Q975" s="1" t="str">
        <f ca="1">IFERROR(__xludf.DUMMYFUNCTION("""COMPUTED_VALUE"""),"Yes, I Understand this is gonna happen everywhere")</f>
        <v>Yes, I Understand this is gonna happen everywhere</v>
      </c>
      <c r="R975" s="1" t="str">
        <f ca="1">IFERROR(__xludf.DUMMYFUNCTION("""COMPUTED_VALUE"""),"This will be hard to do, but if it is the right company I would try")</f>
        <v>This will be hard to do, but if it is the right company I would try</v>
      </c>
      <c r="S975" s="1"/>
    </row>
    <row r="976" spans="1:19" ht="12.5" x14ac:dyDescent="0.25">
      <c r="A976" s="2">
        <f ca="1">IFERROR(__xludf.DUMMYFUNCTION("""COMPUTED_VALUE"""),45027.5671434374)</f>
        <v>45027.567143437402</v>
      </c>
      <c r="B976" s="1" t="str">
        <f ca="1">IFERROR(__xludf.DUMMYFUNCTION("""COMPUTED_VALUE"""),"India")</f>
        <v>India</v>
      </c>
      <c r="C976" s="1">
        <f ca="1">IFERROR(__xludf.DUMMYFUNCTION("""COMPUTED_VALUE"""),110089)</f>
        <v>110089</v>
      </c>
      <c r="D976" s="1" t="str">
        <f ca="1">IFERROR(__xludf.DUMMYFUNCTION("""COMPUTED_VALUE"""),"Female")</f>
        <v>Female</v>
      </c>
      <c r="E976" s="1" t="str">
        <f ca="1">IFERROR(__xludf.DUMMYFUNCTION("""COMPUTED_VALUE"""),"My Parents")</f>
        <v>My Parents</v>
      </c>
      <c r="F976" s="1" t="str">
        <f ca="1">IFERROR(__xludf.DUMMYFUNCTION("""COMPUTED_VALUE"""),"No I would not be pursuing Higher Education outside of India")</f>
        <v>No I would not be pursuing Higher Education outside of India</v>
      </c>
      <c r="G976" s="1" t="str">
        <f ca="1">IFERROR(__xludf.DUMMYFUNCTION("""COMPUTED_VALUE"""),"Will work for 3 years or more")</f>
        <v>Will work for 3 years or more</v>
      </c>
      <c r="H976" s="1" t="str">
        <f ca="1">IFERROR(__xludf.DUMMYFUNCTION("""COMPUTED_VALUE"""),"No")</f>
        <v>No</v>
      </c>
      <c r="I976" s="1" t="str">
        <f ca="1">IFERROR(__xludf.DUMMYFUNCTION("""COMPUTED_VALUE"""),"Will NOT work for them")</f>
        <v>Will NOT work for them</v>
      </c>
      <c r="J976" s="1">
        <f ca="1">IFERROR(__xludf.DUMMYFUNCTION("""COMPUTED_VALUE"""),7)</f>
        <v>7</v>
      </c>
      <c r="K976" s="1" t="str">
        <f ca="1">IFERROR(__xludf.DUMMYFUNCTION("""COMPUTED_VALUE"""),"Hybrid Working Environment with less than 3 days a month at office")</f>
        <v>Hybrid Working Environment with less than 3 days a month at office</v>
      </c>
      <c r="L9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7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76" s="1" t="str">
        <f ca="1">IFERROR(__xludf.DUMMYFUNCTION("""COMPUTED_VALUE"""),"Design and Creative strategy in any company, Business Operations in any organization, Design and Develop amazing software, An Artificial Intelligence Specialist / Talking to Robots")</f>
        <v>Design and Creative strategy in any company, Business Operations in any organization, Design and Develop amazing software, An Artificial Intelligence Specialist / Talking to Robots</v>
      </c>
      <c r="O976" s="1" t="str">
        <f ca="1">IFERROR(__xludf.DUMMYFUNCTION("""COMPUTED_VALUE"""),"Manager who explains what is expected, sets a goal and helps achieve it")</f>
        <v>Manager who explains what is expected, sets a goal and helps achieve it</v>
      </c>
      <c r="P976" s="1" t="str">
        <f ca="1">IFERROR(__xludf.DUMMYFUNCTION("""COMPUTED_VALUE"""),"Work with 2 to 3 people in my team, Work with 5 to 6 people in my team")</f>
        <v>Work with 2 to 3 people in my team, Work with 5 to 6 people in my team</v>
      </c>
      <c r="Q976" s="1" t="str">
        <f ca="1">IFERROR(__xludf.DUMMYFUNCTION("""COMPUTED_VALUE"""),"I have NO other choice")</f>
        <v>I have NO other choice</v>
      </c>
      <c r="R976" s="1" t="str">
        <f ca="1">IFERROR(__xludf.DUMMYFUNCTION("""COMPUTED_VALUE"""),"No way")</f>
        <v>No way</v>
      </c>
      <c r="S976" s="1"/>
    </row>
    <row r="977" spans="1:19" ht="12.5" x14ac:dyDescent="0.25">
      <c r="A977" s="2">
        <f ca="1">IFERROR(__xludf.DUMMYFUNCTION("""COMPUTED_VALUE"""),45027.9461679744)</f>
        <v>45027.9461679745</v>
      </c>
      <c r="B977" s="1" t="str">
        <f ca="1">IFERROR(__xludf.DUMMYFUNCTION("""COMPUTED_VALUE"""),"India")</f>
        <v>India</v>
      </c>
      <c r="C977" s="1">
        <f ca="1">IFERROR(__xludf.DUMMYFUNCTION("""COMPUTED_VALUE"""),603209)</f>
        <v>603209</v>
      </c>
      <c r="D977" s="1" t="str">
        <f ca="1">IFERROR(__xludf.DUMMYFUNCTION("""COMPUTED_VALUE"""),"Male")</f>
        <v>Male</v>
      </c>
      <c r="E977" s="1" t="str">
        <f ca="1">IFERROR(__xludf.DUMMYFUNCTION("""COMPUTED_VALUE"""),"Social Media like LinkedIn")</f>
        <v>Social Media like LinkedIn</v>
      </c>
      <c r="F977" s="1" t="str">
        <f ca="1">IFERROR(__xludf.DUMMYFUNCTION("""COMPUTED_VALUE"""),"No I would not be pursuing Higher Education outside of India")</f>
        <v>No I would not be pursuing Higher Education outside of India</v>
      </c>
      <c r="G977" s="1" t="str">
        <f ca="1">IFERROR(__xludf.DUMMYFUNCTION("""COMPUTED_VALUE"""),"Will work for 3 years or more")</f>
        <v>Will work for 3 years or more</v>
      </c>
      <c r="H977" s="1" t="str">
        <f ca="1">IFERROR(__xludf.DUMMYFUNCTION("""COMPUTED_VALUE"""),"Yes")</f>
        <v>Yes</v>
      </c>
      <c r="I977" s="1" t="str">
        <f ca="1">IFERROR(__xludf.DUMMYFUNCTION("""COMPUTED_VALUE"""),"Will work for them")</f>
        <v>Will work for them</v>
      </c>
      <c r="J977" s="1">
        <f ca="1">IFERROR(__xludf.DUMMYFUNCTION("""COMPUTED_VALUE"""),8)</f>
        <v>8</v>
      </c>
      <c r="K977" s="1" t="str">
        <f ca="1">IFERROR(__xludf.DUMMYFUNCTION("""COMPUTED_VALUE"""),"Fully Remote with No option to visit offices")</f>
        <v>Fully Remote with No option to visit offices</v>
      </c>
      <c r="L977" s="1" t="str">
        <f ca="1">IFERROR(__xludf.DUMMYFUNCTION("""COMPUTED_VALUE"""),"Employer who rewards learning and enables that environment")</f>
        <v>Employer who rewards learning and enables that environment</v>
      </c>
      <c r="M97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977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977" s="1" t="str">
        <f ca="1">IFERROR(__xludf.DUMMYFUNCTION("""COMPUTED_VALUE"""),"Manager who clearly describes what she/he needs")</f>
        <v>Manager who clearly describes what she/he needs</v>
      </c>
      <c r="P977" s="1" t="str">
        <f ca="1">IFERROR(__xludf.DUMMYFUNCTION("""COMPUTED_VALUE"""),"Work with 5 to 6 people in my team")</f>
        <v>Work with 5 to 6 people in my team</v>
      </c>
      <c r="Q977" s="1" t="str">
        <f ca="1">IFERROR(__xludf.DUMMYFUNCTION("""COMPUTED_VALUE"""),"Yes")</f>
        <v>Yes</v>
      </c>
      <c r="R977" s="1" t="str">
        <f ca="1">IFERROR(__xludf.DUMMYFUNCTION("""COMPUTED_VALUE"""),"Will work for 7 years or more")</f>
        <v>Will work for 7 years or more</v>
      </c>
      <c r="S977" s="1"/>
    </row>
    <row r="978" spans="1:19" ht="12.5" x14ac:dyDescent="0.25">
      <c r="A978" s="2">
        <f ca="1">IFERROR(__xludf.DUMMYFUNCTION("""COMPUTED_VALUE"""),45028.3914289236)</f>
        <v>45028.391428923598</v>
      </c>
      <c r="B978" s="1" t="str">
        <f ca="1">IFERROR(__xludf.DUMMYFUNCTION("""COMPUTED_VALUE"""),"India")</f>
        <v>India</v>
      </c>
      <c r="C978" s="1">
        <f ca="1">IFERROR(__xludf.DUMMYFUNCTION("""COMPUTED_VALUE"""),110026)</f>
        <v>110026</v>
      </c>
      <c r="D978" s="1" t="str">
        <f ca="1">IFERROR(__xludf.DUMMYFUNCTION("""COMPUTED_VALUE"""),"Male")</f>
        <v>Male</v>
      </c>
      <c r="E978" s="1" t="str">
        <f ca="1">IFERROR(__xludf.DUMMYFUNCTION("""COMPUTED_VALUE"""),"People from my circle, but not family members")</f>
        <v>People from my circle, but not family members</v>
      </c>
      <c r="F978" s="1" t="str">
        <f ca="1">IFERROR(__xludf.DUMMYFUNCTION("""COMPUTED_VALUE"""),"No, But if someone could bare the cost I will")</f>
        <v>No, But if someone could bare the cost I will</v>
      </c>
      <c r="G978" s="1" t="str">
        <f ca="1">IFERROR(__xludf.DUMMYFUNCTION("""COMPUTED_VALUE"""),"Will work for 3 years or more")</f>
        <v>Will work for 3 years or more</v>
      </c>
      <c r="H978" s="1" t="str">
        <f ca="1">IFERROR(__xludf.DUMMYFUNCTION("""COMPUTED_VALUE"""),"No")</f>
        <v>No</v>
      </c>
      <c r="I978" s="1" t="str">
        <f ca="1">IFERROR(__xludf.DUMMYFUNCTION("""COMPUTED_VALUE"""),"Will NOT work for them")</f>
        <v>Will NOT work for them</v>
      </c>
      <c r="J978" s="1">
        <f ca="1">IFERROR(__xludf.DUMMYFUNCTION("""COMPUTED_VALUE"""),7)</f>
        <v>7</v>
      </c>
      <c r="K978" s="1" t="str">
        <f ca="1">IFERROR(__xludf.DUMMYFUNCTION("""COMPUTED_VALUE"""),"Every Day Office Environment")</f>
        <v>Every Day Office Environment</v>
      </c>
      <c r="L978" s="1" t="str">
        <f ca="1">IFERROR(__xludf.DUMMYFUNCTION("""COMPUTED_VALUE"""),"Employer who appreciates learning and enables that environment")</f>
        <v>Employer who appreciates learning and enables that environment</v>
      </c>
      <c r="M978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978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978" s="1" t="str">
        <f ca="1">IFERROR(__xludf.DUMMYFUNCTION("""COMPUTED_VALUE"""),"Manager who explains what is expected, sets a goal and helps achieve it")</f>
        <v>Manager who explains what is expected, sets a goal and helps achieve it</v>
      </c>
      <c r="P978" s="1" t="str">
        <f ca="1">IFERROR(__xludf.DUMMYFUNCTION("""COMPUTED_VALUE"""),"Work with 2 to 3 people in my team")</f>
        <v>Work with 2 to 3 people in my team</v>
      </c>
      <c r="Q978" s="1" t="str">
        <f ca="1">IFERROR(__xludf.DUMMYFUNCTION("""COMPUTED_VALUE"""),"No")</f>
        <v>No</v>
      </c>
      <c r="R978" s="1" t="str">
        <f ca="1">IFERROR(__xludf.DUMMYFUNCTION("""COMPUTED_VALUE"""),"This will be hard to do, but if it is the right company I would try")</f>
        <v>This will be hard to do, but if it is the right company I would try</v>
      </c>
      <c r="S978" s="1"/>
    </row>
    <row r="979" spans="1:19" ht="12.5" x14ac:dyDescent="0.25">
      <c r="A979" s="2">
        <f ca="1">IFERROR(__xludf.DUMMYFUNCTION("""COMPUTED_VALUE"""),45029.6407750463)</f>
        <v>45029.640775046297</v>
      </c>
      <c r="B979" s="1" t="str">
        <f ca="1">IFERROR(__xludf.DUMMYFUNCTION("""COMPUTED_VALUE"""),"India")</f>
        <v>India</v>
      </c>
      <c r="C979" s="1">
        <f ca="1">IFERROR(__xludf.DUMMYFUNCTION("""COMPUTED_VALUE"""),507002)</f>
        <v>507002</v>
      </c>
      <c r="D979" s="1" t="str">
        <f ca="1">IFERROR(__xludf.DUMMYFUNCTION("""COMPUTED_VALUE"""),"Male")</f>
        <v>Male</v>
      </c>
      <c r="E979" s="1" t="str">
        <f ca="1">IFERROR(__xludf.DUMMYFUNCTION("""COMPUTED_VALUE"""),"My Parents")</f>
        <v>My Parents</v>
      </c>
      <c r="F979" s="1" t="str">
        <f ca="1">IFERROR(__xludf.DUMMYFUNCTION("""COMPUTED_VALUE"""),"No I would not be pursuing Higher Education outside of India")</f>
        <v>No I would not be pursuing Higher Education outside of India</v>
      </c>
      <c r="G979" s="1" t="str">
        <f ca="1">IFERROR(__xludf.DUMMYFUNCTION("""COMPUTED_VALUE"""),"This will be hard to do, but if it is the right company I would try")</f>
        <v>This will be hard to do, but if it is the right company I would try</v>
      </c>
      <c r="H979" s="1" t="str">
        <f ca="1">IFERROR(__xludf.DUMMYFUNCTION("""COMPUTED_VALUE"""),"No")</f>
        <v>No</v>
      </c>
      <c r="I979" s="1" t="str">
        <f ca="1">IFERROR(__xludf.DUMMYFUNCTION("""COMPUTED_VALUE"""),"Will NOT work for them")</f>
        <v>Will NOT work for them</v>
      </c>
      <c r="J979" s="1">
        <f ca="1">IFERROR(__xludf.DUMMYFUNCTION("""COMPUTED_VALUE"""),7)</f>
        <v>7</v>
      </c>
      <c r="K979" s="1" t="str">
        <f ca="1">IFERROR(__xludf.DUMMYFUNCTION("""COMPUTED_VALUE"""),"Fully Remote with Options to travel as and when needed")</f>
        <v>Fully Remote with Options to travel as and when needed</v>
      </c>
      <c r="L979" s="1" t="str">
        <f ca="1">IFERROR(__xludf.DUMMYFUNCTION("""COMPUTED_VALUE"""),"Employer who rewards learning and enables that environment")</f>
        <v>Employer who rewards learning and enables that environment</v>
      </c>
      <c r="M97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979" s="1" t="str">
        <f ca="1">IFERROR(__xludf.DUMMYFUNCTION("""COMPUTED_VALUE"""),"Design and Creative strategy in any company, Business Operations in any organization, Design and Develop amazing software, Become a content Creator in some platform")</f>
        <v>Design and Creative strategy in any company, Business Operations in any organization, Design and Develop amazing software, Become a content Creator in some platform</v>
      </c>
      <c r="O979" s="1" t="str">
        <f ca="1">IFERROR(__xludf.DUMMYFUNCTION("""COMPUTED_VALUE"""),"Manager who sets goal and helps me achieve it")</f>
        <v>Manager who sets goal and helps me achieve it</v>
      </c>
      <c r="P979" s="1" t="str">
        <f ca="1">IFERROR(__xludf.DUMMYFUNCTION("""COMPUTED_VALUE"""),"Work with 5 to 6 people in my team")</f>
        <v>Work with 5 to 6 people in my team</v>
      </c>
      <c r="Q979" s="1" t="str">
        <f ca="1">IFERROR(__xludf.DUMMYFUNCTION("""COMPUTED_VALUE"""),"Yes")</f>
        <v>Yes</v>
      </c>
      <c r="R979" s="1" t="str">
        <f ca="1">IFERROR(__xludf.DUMMYFUNCTION("""COMPUTED_VALUE"""),"Will work for 7 years or more")</f>
        <v>Will work for 7 years or more</v>
      </c>
      <c r="S979" s="1"/>
    </row>
    <row r="980" spans="1:19" ht="12.5" x14ac:dyDescent="0.25">
      <c r="A980" s="2">
        <f ca="1">IFERROR(__xludf.DUMMYFUNCTION("""COMPUTED_VALUE"""),45030.4317929513)</f>
        <v>45030.431792951298</v>
      </c>
      <c r="B980" s="1" t="str">
        <f ca="1">IFERROR(__xludf.DUMMYFUNCTION("""COMPUTED_VALUE"""),"Others")</f>
        <v>Others</v>
      </c>
      <c r="C980" s="1">
        <f ca="1">IFERROR(__xludf.DUMMYFUNCTION("""COMPUTED_VALUE"""),6054)</f>
        <v>6054</v>
      </c>
      <c r="D980" s="1" t="str">
        <f ca="1">IFERROR(__xludf.DUMMYFUNCTION("""COMPUTED_VALUE"""),"Male")</f>
        <v>Male</v>
      </c>
      <c r="E980" s="1" t="str">
        <f ca="1">IFERROR(__xludf.DUMMYFUNCTION("""COMPUTED_VALUE"""),"People who have changed the world for better")</f>
        <v>People who have changed the world for better</v>
      </c>
      <c r="F980" s="1" t="str">
        <f ca="1">IFERROR(__xludf.DUMMYFUNCTION("""COMPUTED_VALUE"""),"Yes, I will earn and do that")</f>
        <v>Yes, I will earn and do that</v>
      </c>
      <c r="G980" s="1" t="str">
        <f ca="1">IFERROR(__xludf.DUMMYFUNCTION("""COMPUTED_VALUE"""),"Will work for 3 years or more")</f>
        <v>Will work for 3 years or more</v>
      </c>
      <c r="H980" s="1" t="str">
        <f ca="1">IFERROR(__xludf.DUMMYFUNCTION("""COMPUTED_VALUE"""),"No")</f>
        <v>No</v>
      </c>
      <c r="I980" s="1" t="str">
        <f ca="1">IFERROR(__xludf.DUMMYFUNCTION("""COMPUTED_VALUE"""),"Will NOT work for them")</f>
        <v>Will NOT work for them</v>
      </c>
      <c r="J980" s="1">
        <f ca="1">IFERROR(__xludf.DUMMYFUNCTION("""COMPUTED_VALUE"""),1)</f>
        <v>1</v>
      </c>
      <c r="K980" s="1" t="str">
        <f ca="1">IFERROR(__xludf.DUMMYFUNCTION("""COMPUTED_VALUE"""),"Every Day Office Environment")</f>
        <v>Every Day Office Environment</v>
      </c>
      <c r="L9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8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980" s="1" t="str">
        <f ca="1">IFERROR(__xludf.DUMMYFUNCTION("""COMPUTED_VALUE"""),"Manage and drive End-to-End Projects or Products, Design and Develop amazing software, Look deeply into Data and generate insights, An Artificial Intelligence Specialist / Talking to Robots")</f>
        <v>Manage and drive End-to-End Projects or Products, Design and Develop amazing software, Look deeply into Data and generate insights, An Artificial Intelligence Specialist / Talking to Robots</v>
      </c>
      <c r="O980" s="1" t="str">
        <f ca="1">IFERROR(__xludf.DUMMYFUNCTION("""COMPUTED_VALUE"""),"Manager who explains what is expected, sets a goal and helps achieve it")</f>
        <v>Manager who explains what is expected, sets a goal and helps achieve it</v>
      </c>
      <c r="P980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980" s="1" t="str">
        <f ca="1">IFERROR(__xludf.DUMMYFUNCTION("""COMPUTED_VALUE"""),"Yes")</f>
        <v>Yes</v>
      </c>
      <c r="R980" s="1" t="str">
        <f ca="1">IFERROR(__xludf.DUMMYFUNCTION("""COMPUTED_VALUE"""),"Will work for 7 years or more")</f>
        <v>Will work for 7 years or more</v>
      </c>
      <c r="S980" s="1"/>
    </row>
    <row r="981" spans="1:19" ht="12.5" x14ac:dyDescent="0.25">
      <c r="A981" s="2">
        <f ca="1">IFERROR(__xludf.DUMMYFUNCTION("""COMPUTED_VALUE"""),45033.6707267476)</f>
        <v>45033.670726747601</v>
      </c>
      <c r="B981" s="1" t="str">
        <f ca="1">IFERROR(__xludf.DUMMYFUNCTION("""COMPUTED_VALUE"""),"India")</f>
        <v>India</v>
      </c>
      <c r="C981" s="1">
        <f ca="1">IFERROR(__xludf.DUMMYFUNCTION("""COMPUTED_VALUE"""),110089)</f>
        <v>110089</v>
      </c>
      <c r="D981" s="1" t="str">
        <f ca="1">IFERROR(__xludf.DUMMYFUNCTION("""COMPUTED_VALUE"""),"Male")</f>
        <v>Male</v>
      </c>
      <c r="E981" s="1" t="str">
        <f ca="1">IFERROR(__xludf.DUMMYFUNCTION("""COMPUTED_VALUE"""),"People who have changed the world for better")</f>
        <v>People who have changed the world for better</v>
      </c>
      <c r="F981" s="1" t="str">
        <f ca="1">IFERROR(__xludf.DUMMYFUNCTION("""COMPUTED_VALUE"""),"No, But if someone could bare the cost I will")</f>
        <v>No, But if someone could bare the cost I will</v>
      </c>
      <c r="G981" s="1" t="str">
        <f ca="1">IFERROR(__xludf.DUMMYFUNCTION("""COMPUTED_VALUE"""),"Will work for 3 years or more")</f>
        <v>Will work for 3 years or more</v>
      </c>
      <c r="H981" s="1" t="str">
        <f ca="1">IFERROR(__xludf.DUMMYFUNCTION("""COMPUTED_VALUE"""),"No")</f>
        <v>No</v>
      </c>
      <c r="I981" s="1" t="str">
        <f ca="1">IFERROR(__xludf.DUMMYFUNCTION("""COMPUTED_VALUE"""),"Will NOT work for them")</f>
        <v>Will NOT work for them</v>
      </c>
      <c r="J981" s="1">
        <f ca="1">IFERROR(__xludf.DUMMYFUNCTION("""COMPUTED_VALUE"""),1)</f>
        <v>1</v>
      </c>
      <c r="K981" s="1" t="str">
        <f ca="1">IFERROR(__xludf.DUMMYFUNCTION("""COMPUTED_VALUE"""),"Fully Remote with Options to travel as and when needed")</f>
        <v>Fully Remote with Options to travel as and when needed</v>
      </c>
      <c r="L9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8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81" s="1" t="str">
        <f ca="1">IFERROR(__xludf.DUMMYFUNCTION("""COMPUTED_VALUE"""),"Design and Creative strategy in any company, Teaching in any of the institutes/colleges/online or offline, Become a content Creator in some platform, Entrepreneur or Start Up")</f>
        <v>Design and Creative strategy in any company, Teaching in any of the institutes/colleges/online or offline, Become a content Creator in some platform, Entrepreneur or Start Up</v>
      </c>
      <c r="O981" s="1" t="str">
        <f ca="1">IFERROR(__xludf.DUMMYFUNCTION("""COMPUTED_VALUE"""),"Manager who explains what is expected, sets a goal and helps achieve it")</f>
        <v>Manager who explains what is expected, sets a goal and helps achieve it</v>
      </c>
      <c r="P981" s="1" t="str">
        <f ca="1">IFERROR(__xludf.DUMMYFUNCTION("""COMPUTED_VALUE"""),"Work with more than 10 people in my team")</f>
        <v>Work with more than 10 people in my team</v>
      </c>
      <c r="Q981" s="1" t="str">
        <f ca="1">IFERROR(__xludf.DUMMYFUNCTION("""COMPUTED_VALUE"""),"No")</f>
        <v>No</v>
      </c>
      <c r="R981" s="1" t="str">
        <f ca="1">IFERROR(__xludf.DUMMYFUNCTION("""COMPUTED_VALUE"""),"Will work for 7 years or more")</f>
        <v>Will work for 7 years or more</v>
      </c>
      <c r="S981" s="1"/>
    </row>
    <row r="982" spans="1:19" ht="12.5" x14ac:dyDescent="0.25">
      <c r="A982" s="2">
        <f ca="1">IFERROR(__xludf.DUMMYFUNCTION("""COMPUTED_VALUE"""),45033.7427592361)</f>
        <v>45033.742759236098</v>
      </c>
      <c r="B982" s="1" t="str">
        <f ca="1">IFERROR(__xludf.DUMMYFUNCTION("""COMPUTED_VALUE"""),"India")</f>
        <v>India</v>
      </c>
      <c r="C982" s="1">
        <f ca="1">IFERROR(__xludf.DUMMYFUNCTION("""COMPUTED_VALUE"""),440008)</f>
        <v>440008</v>
      </c>
      <c r="D982" s="1" t="str">
        <f ca="1">IFERROR(__xludf.DUMMYFUNCTION("""COMPUTED_VALUE"""),"Male")</f>
        <v>Male</v>
      </c>
      <c r="E982" s="1" t="str">
        <f ca="1">IFERROR(__xludf.DUMMYFUNCTION("""COMPUTED_VALUE"""),"People who have changed the world for better")</f>
        <v>People who have changed the world for better</v>
      </c>
      <c r="F982" s="1" t="str">
        <f ca="1">IFERROR(__xludf.DUMMYFUNCTION("""COMPUTED_VALUE"""),"Yes, I will earn and do that")</f>
        <v>Yes, I will earn and do that</v>
      </c>
      <c r="G982" s="1" t="str">
        <f ca="1">IFERROR(__xludf.DUMMYFUNCTION("""COMPUTED_VALUE"""),"This will be hard to do, but if it is the right company I would try")</f>
        <v>This will be hard to do, but if it is the right company I would try</v>
      </c>
      <c r="H982" s="1" t="str">
        <f ca="1">IFERROR(__xludf.DUMMYFUNCTION("""COMPUTED_VALUE"""),"No")</f>
        <v>No</v>
      </c>
      <c r="I982" s="1" t="str">
        <f ca="1">IFERROR(__xludf.DUMMYFUNCTION("""COMPUTED_VALUE"""),"Will NOT work for them")</f>
        <v>Will NOT work for them</v>
      </c>
      <c r="J982" s="1">
        <f ca="1">IFERROR(__xludf.DUMMYFUNCTION("""COMPUTED_VALUE"""),5)</f>
        <v>5</v>
      </c>
      <c r="K982" s="1" t="str">
        <f ca="1">IFERROR(__xludf.DUMMYFUNCTION("""COMPUTED_VALUE"""),"Hybrid Working Environment with more than 15 days a month at office")</f>
        <v>Hybrid Working Environment with more than 15 days a month at office</v>
      </c>
      <c r="L9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8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82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982" s="1" t="str">
        <f ca="1">IFERROR(__xludf.DUMMYFUNCTION("""COMPUTED_VALUE"""),"Manager who sets goal and helps me achieve it")</f>
        <v>Manager who sets goal and helps me achieve it</v>
      </c>
      <c r="P982" s="1" t="str">
        <f ca="1">IFERROR(__xludf.DUMMYFUNCTION("""COMPUTED_VALUE"""),"Work with 5 to 6 people in my team")</f>
        <v>Work with 5 to 6 people in my team</v>
      </c>
      <c r="Q982" s="1" t="str">
        <f ca="1">IFERROR(__xludf.DUMMYFUNCTION("""COMPUTED_VALUE"""),"Yes")</f>
        <v>Yes</v>
      </c>
      <c r="R982" s="1" t="str">
        <f ca="1">IFERROR(__xludf.DUMMYFUNCTION("""COMPUTED_VALUE"""),"Will work for 7 years or more")</f>
        <v>Will work for 7 years or more</v>
      </c>
      <c r="S982" s="1"/>
    </row>
    <row r="983" spans="1:19" ht="12.5" x14ac:dyDescent="0.25">
      <c r="A983" s="2">
        <f ca="1">IFERROR(__xludf.DUMMYFUNCTION("""COMPUTED_VALUE"""),45033.7460310069)</f>
        <v>45033.7460310069</v>
      </c>
      <c r="B983" s="1" t="str">
        <f ca="1">IFERROR(__xludf.DUMMYFUNCTION("""COMPUTED_VALUE"""),"India")</f>
        <v>India</v>
      </c>
      <c r="C983" s="1">
        <f ca="1">IFERROR(__xludf.DUMMYFUNCTION("""COMPUTED_VALUE"""),441207)</f>
        <v>441207</v>
      </c>
      <c r="D983" s="1" t="str">
        <f ca="1">IFERROR(__xludf.DUMMYFUNCTION("""COMPUTED_VALUE"""),"Female")</f>
        <v>Female</v>
      </c>
      <c r="E983" s="1" t="str">
        <f ca="1">IFERROR(__xludf.DUMMYFUNCTION("""COMPUTED_VALUE"""),"My Parents")</f>
        <v>My Parents</v>
      </c>
      <c r="F983" s="1" t="str">
        <f ca="1">IFERROR(__xludf.DUMMYFUNCTION("""COMPUTED_VALUE"""),"Yes, I will earn and do that")</f>
        <v>Yes, I will earn and do that</v>
      </c>
      <c r="G983" s="1" t="str">
        <f ca="1">IFERROR(__xludf.DUMMYFUNCTION("""COMPUTED_VALUE"""),"This will be hard to do, but if it is the right company I would try")</f>
        <v>This will be hard to do, but if it is the right company I would try</v>
      </c>
      <c r="H983" s="1" t="str">
        <f ca="1">IFERROR(__xludf.DUMMYFUNCTION("""COMPUTED_VALUE"""),"No")</f>
        <v>No</v>
      </c>
      <c r="I983" s="1" t="str">
        <f ca="1">IFERROR(__xludf.DUMMYFUNCTION("""COMPUTED_VALUE"""),"Will NOT work for them")</f>
        <v>Will NOT work for them</v>
      </c>
      <c r="J983" s="1">
        <f ca="1">IFERROR(__xludf.DUMMYFUNCTION("""COMPUTED_VALUE"""),6)</f>
        <v>6</v>
      </c>
      <c r="K983" s="1" t="str">
        <f ca="1">IFERROR(__xludf.DUMMYFUNCTION("""COMPUTED_VALUE"""),"Hybrid Working Environment with less than 3 days a month at office")</f>
        <v>Hybrid Working Environment with less than 3 days a month at office</v>
      </c>
      <c r="L983" s="1" t="str">
        <f ca="1">IFERROR(__xludf.DUMMYFUNCTION("""COMPUTED_VALUE"""),"Employer who appreciates learning and enables that environment")</f>
        <v>Employer who appreciates learning and enables that environment</v>
      </c>
      <c r="M98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983" s="1" t="str">
        <f ca="1">IFERROR(__xludf.DUMMYFUNCTION("""COMPUTED_VALUE"""),"Teaching in any of the institutes/colleges/online or offline, Look deeply into Data and generate insights, Work as a freelancer and do my thing my way, Become a content Creator in some platform")</f>
        <v>Teaching in any of the institutes/colleges/online or offline, Look deeply into Data and generate insights, Work as a freelancer and do my thing my way, Become a content Creator in some platform</v>
      </c>
      <c r="O983" s="1" t="str">
        <f ca="1">IFERROR(__xludf.DUMMYFUNCTION("""COMPUTED_VALUE"""),"Manager who clearly describes what she/he needs")</f>
        <v>Manager who clearly describes what she/he needs</v>
      </c>
      <c r="P983" s="1" t="str">
        <f ca="1">IFERROR(__xludf.DUMMYFUNCTION("""COMPUTED_VALUE"""),"Work with 2 to 3 people in my team")</f>
        <v>Work with 2 to 3 people in my team</v>
      </c>
      <c r="Q983" s="1" t="str">
        <f ca="1">IFERROR(__xludf.DUMMYFUNCTION("""COMPUTED_VALUE"""),"Yes, I Understand this is gonna happen everywhere")</f>
        <v>Yes, I Understand this is gonna happen everywhere</v>
      </c>
      <c r="R983" s="1" t="str">
        <f ca="1">IFERROR(__xludf.DUMMYFUNCTION("""COMPUTED_VALUE"""),"This will be hard to do, but if it is the right company I would try")</f>
        <v>This will be hard to do, but if it is the right company I would try</v>
      </c>
      <c r="S983" s="1"/>
    </row>
    <row r="984" spans="1:19" ht="12.5" x14ac:dyDescent="0.25">
      <c r="A984" s="2">
        <f ca="1">IFERROR(__xludf.DUMMYFUNCTION("""COMPUTED_VALUE"""),45039.5162302662)</f>
        <v>45039.516230266199</v>
      </c>
      <c r="B984" s="1" t="str">
        <f ca="1">IFERROR(__xludf.DUMMYFUNCTION("""COMPUTED_VALUE"""),"India")</f>
        <v>India</v>
      </c>
      <c r="C984" s="1">
        <f ca="1">IFERROR(__xludf.DUMMYFUNCTION("""COMPUTED_VALUE"""),301001)</f>
        <v>301001</v>
      </c>
      <c r="D984" s="1" t="str">
        <f ca="1">IFERROR(__xludf.DUMMYFUNCTION("""COMPUTED_VALUE"""),"Male")</f>
        <v>Male</v>
      </c>
      <c r="E984" s="1" t="str">
        <f ca="1">IFERROR(__xludf.DUMMYFUNCTION("""COMPUTED_VALUE"""),"My Parents")</f>
        <v>My Parents</v>
      </c>
      <c r="F984" s="1" t="str">
        <f ca="1">IFERROR(__xludf.DUMMYFUNCTION("""COMPUTED_VALUE"""),"Yes, I will earn and do that")</f>
        <v>Yes, I will earn and do that</v>
      </c>
      <c r="G984" s="1" t="str">
        <f ca="1">IFERROR(__xludf.DUMMYFUNCTION("""COMPUTED_VALUE"""),"This will be hard to do, but if it is the right company I would try")</f>
        <v>This will be hard to do, but if it is the right company I would try</v>
      </c>
      <c r="H984" s="1" t="str">
        <f ca="1">IFERROR(__xludf.DUMMYFUNCTION("""COMPUTED_VALUE"""),"No")</f>
        <v>No</v>
      </c>
      <c r="I984" s="1" t="str">
        <f ca="1">IFERROR(__xludf.DUMMYFUNCTION("""COMPUTED_VALUE"""),"Will NOT work for them")</f>
        <v>Will NOT work for them</v>
      </c>
      <c r="J984" s="1">
        <f ca="1">IFERROR(__xludf.DUMMYFUNCTION("""COMPUTED_VALUE"""),7)</f>
        <v>7</v>
      </c>
      <c r="K984" s="1" t="str">
        <f ca="1">IFERROR(__xludf.DUMMYFUNCTION("""COMPUTED_VALUE"""),"Hybrid Working Environment with more than 15 days a month at office")</f>
        <v>Hybrid Working Environment with more than 15 days a month at office</v>
      </c>
      <c r="L9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8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84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984" s="1" t="str">
        <f ca="1">IFERROR(__xludf.DUMMYFUNCTION("""COMPUTED_VALUE"""),"Manager who explains what is expected, sets a goal and helps achieve it")</f>
        <v>Manager who explains what is expected, sets a goal and helps achieve it</v>
      </c>
      <c r="P984" s="1" t="str">
        <f ca="1">IFERROR(__xludf.DUMMYFUNCTION("""COMPUTED_VALUE"""),"Work with 5 to 6 people in my team")</f>
        <v>Work with 5 to 6 people in my team</v>
      </c>
      <c r="Q984" s="1" t="str">
        <f ca="1">IFERROR(__xludf.DUMMYFUNCTION("""COMPUTED_VALUE"""),"Yes, I Understand this is gonna happen everywhere")</f>
        <v>Yes, I Understand this is gonna happen everywhere</v>
      </c>
      <c r="R984" s="1" t="str">
        <f ca="1">IFERROR(__xludf.DUMMYFUNCTION("""COMPUTED_VALUE"""),"This will be hard to do, but if it is the right company I would try")</f>
        <v>This will be hard to do, but if it is the right company I would try</v>
      </c>
      <c r="S984" s="1"/>
    </row>
    <row r="985" spans="1:19" ht="12.5" x14ac:dyDescent="0.25">
      <c r="A985" s="2">
        <f ca="1">IFERROR(__xludf.DUMMYFUNCTION("""COMPUTED_VALUE"""),45043.8720767823)</f>
        <v>45043.872076782398</v>
      </c>
      <c r="B985" s="1" t="str">
        <f ca="1">IFERROR(__xludf.DUMMYFUNCTION("""COMPUTED_VALUE"""),"India")</f>
        <v>India</v>
      </c>
      <c r="C985" s="1">
        <f ca="1">IFERROR(__xludf.DUMMYFUNCTION("""COMPUTED_VALUE"""),431203)</f>
        <v>431203</v>
      </c>
      <c r="D985" s="1" t="str">
        <f ca="1">IFERROR(__xludf.DUMMYFUNCTION("""COMPUTED_VALUE"""),"Male")</f>
        <v>Male</v>
      </c>
      <c r="E985" s="1" t="str">
        <f ca="1">IFERROR(__xludf.DUMMYFUNCTION("""COMPUTED_VALUE"""),"People from my circle, but not family members")</f>
        <v>People from my circle, but not family members</v>
      </c>
      <c r="F985" s="1" t="str">
        <f ca="1">IFERROR(__xludf.DUMMYFUNCTION("""COMPUTED_VALUE"""),"Yes, I will earn and do that")</f>
        <v>Yes, I will earn and do that</v>
      </c>
      <c r="G985" s="1" t="str">
        <f ca="1">IFERROR(__xludf.DUMMYFUNCTION("""COMPUTED_VALUE"""),"This will be hard to do, but if it is the right company I would try")</f>
        <v>This will be hard to do, but if it is the right company I would try</v>
      </c>
      <c r="H985" s="1" t="str">
        <f ca="1">IFERROR(__xludf.DUMMYFUNCTION("""COMPUTED_VALUE"""),"No")</f>
        <v>No</v>
      </c>
      <c r="I985" s="1" t="str">
        <f ca="1">IFERROR(__xludf.DUMMYFUNCTION("""COMPUTED_VALUE"""),"Will NOT work for them")</f>
        <v>Will NOT work for them</v>
      </c>
      <c r="J985" s="1">
        <f ca="1">IFERROR(__xludf.DUMMYFUNCTION("""COMPUTED_VALUE"""),7)</f>
        <v>7</v>
      </c>
      <c r="K985" s="1" t="str">
        <f ca="1">IFERROR(__xludf.DUMMYFUNCTION("""COMPUTED_VALUE"""),"Hybrid Working Environment with more than 15 days a month at office")</f>
        <v>Hybrid Working Environment with more than 15 days a month at office</v>
      </c>
      <c r="L9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8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85" s="1" t="str">
        <f ca="1">IFERROR(__xludf.DUMMYFUNCTION("""COMPUTED_VALUE"""),"Business Operations in any organization, Manage and drive End-to-End Projects or Products, Look deeply into Data and generate insights, I Want to sell things/Sales")</f>
        <v>Business Operations in any organization, Manage and drive End-to-End Projects or Products, Look deeply into Data and generate insights, I Want to sell things/Sales</v>
      </c>
      <c r="O985" s="1" t="str">
        <f ca="1">IFERROR(__xludf.DUMMYFUNCTION("""COMPUTED_VALUE"""),"Manager who explains what is expected, sets a goal and helps achieve it")</f>
        <v>Manager who explains what is expected, sets a goal and helps achieve it</v>
      </c>
      <c r="P985" s="1" t="str">
        <f ca="1">IFERROR(__xludf.DUMMYFUNCTION("""COMPUTED_VALUE"""),"Work with more than 10 people in my team")</f>
        <v>Work with more than 10 people in my team</v>
      </c>
      <c r="Q985" s="1" t="str">
        <f ca="1">IFERROR(__xludf.DUMMYFUNCTION("""COMPUTED_VALUE"""),"Yes, I Understand this is gonna happen everywhere")</f>
        <v>Yes, I Understand this is gonna happen everywhere</v>
      </c>
      <c r="R985" s="1" t="str">
        <f ca="1">IFERROR(__xludf.DUMMYFUNCTION("""COMPUTED_VALUE"""),"This will be hard to do, but if it is the right company I would try")</f>
        <v>This will be hard to do, but if it is the right company I would try</v>
      </c>
      <c r="S985" s="1"/>
    </row>
    <row r="986" spans="1:19" ht="12.5" x14ac:dyDescent="0.25">
      <c r="A986" s="2">
        <f ca="1">IFERROR(__xludf.DUMMYFUNCTION("""COMPUTED_VALUE"""),45043.8772189004)</f>
        <v>45043.877218900401</v>
      </c>
      <c r="B986" s="1" t="str">
        <f ca="1">IFERROR(__xludf.DUMMYFUNCTION("""COMPUTED_VALUE"""),"India")</f>
        <v>India</v>
      </c>
      <c r="C986" s="1">
        <f ca="1">IFERROR(__xludf.DUMMYFUNCTION("""COMPUTED_VALUE"""),411047)</f>
        <v>411047</v>
      </c>
      <c r="D986" s="1" t="str">
        <f ca="1">IFERROR(__xludf.DUMMYFUNCTION("""COMPUTED_VALUE"""),"Male")</f>
        <v>Male</v>
      </c>
      <c r="E986" s="1" t="str">
        <f ca="1">IFERROR(__xludf.DUMMYFUNCTION("""COMPUTED_VALUE"""),"People from my circle, but not family members")</f>
        <v>People from my circle, but not family members</v>
      </c>
      <c r="F986" s="1" t="str">
        <f ca="1">IFERROR(__xludf.DUMMYFUNCTION("""COMPUTED_VALUE"""),"No, But if someone could bare the cost I will")</f>
        <v>No, But if someone could bare the cost I will</v>
      </c>
      <c r="G986" s="1" t="str">
        <f ca="1">IFERROR(__xludf.DUMMYFUNCTION("""COMPUTED_VALUE"""),"This will be hard to do, but if it is the right company I would try")</f>
        <v>This will be hard to do, but if it is the right company I would try</v>
      </c>
      <c r="H986" s="1" t="str">
        <f ca="1">IFERROR(__xludf.DUMMYFUNCTION("""COMPUTED_VALUE"""),"No")</f>
        <v>No</v>
      </c>
      <c r="I986" s="1" t="str">
        <f ca="1">IFERROR(__xludf.DUMMYFUNCTION("""COMPUTED_VALUE"""),"Will NOT work for them")</f>
        <v>Will NOT work for them</v>
      </c>
      <c r="J986" s="1">
        <f ca="1">IFERROR(__xludf.DUMMYFUNCTION("""COMPUTED_VALUE"""),4)</f>
        <v>4</v>
      </c>
      <c r="K986" s="1" t="str">
        <f ca="1">IFERROR(__xludf.DUMMYFUNCTION("""COMPUTED_VALUE"""),"Fully Remote with Options to travel as and when needed")</f>
        <v>Fully Remote with Options to travel as and when needed</v>
      </c>
      <c r="L9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8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86" s="1" t="str">
        <f ca="1">IFERROR(__xludf.DUMMYFUNCTION("""COMPUTED_VALUE"""),"Design and Creative strategy in any company, Teaching in any of the institutes/colleges/online or offline, Look deeply into Data and generate insights, Work as a freelancer and do my thing my way")</f>
        <v>Design and Creative strategy in any company, Teaching in any of the institutes/colleges/online or offline, Look deeply into Data and generate insights, Work as a freelancer and do my thing my way</v>
      </c>
      <c r="O986" s="1" t="str">
        <f ca="1">IFERROR(__xludf.DUMMYFUNCTION("""COMPUTED_VALUE"""),"Manager who explains what is expected, sets a goal and helps achieve it")</f>
        <v>Manager who explains what is expected, sets a goal and helps achieve it</v>
      </c>
      <c r="P986" s="1" t="str">
        <f ca="1">IFERROR(__xludf.DUMMYFUNCTION("""COMPUTED_VALUE"""),"Work alone, Work with 2 to 3 people in my team")</f>
        <v>Work alone, Work with 2 to 3 people in my team</v>
      </c>
      <c r="Q986" s="1" t="str">
        <f ca="1">IFERROR(__xludf.DUMMYFUNCTION("""COMPUTED_VALUE"""),"Yes, I Understand this is gonna happen everywhere")</f>
        <v>Yes, I Understand this is gonna happen everywhere</v>
      </c>
      <c r="R986" s="1" t="str">
        <f ca="1">IFERROR(__xludf.DUMMYFUNCTION("""COMPUTED_VALUE"""),"This will be hard to do, but if it is the right company I would try")</f>
        <v>This will be hard to do, but if it is the right company I would try</v>
      </c>
      <c r="S986" s="1"/>
    </row>
    <row r="987" spans="1:19" ht="12.5" x14ac:dyDescent="0.25">
      <c r="A987" s="2">
        <f ca="1">IFERROR(__xludf.DUMMYFUNCTION("""COMPUTED_VALUE"""),45043.8777726851)</f>
        <v>45043.877772685097</v>
      </c>
      <c r="B987" s="1" t="str">
        <f ca="1">IFERROR(__xludf.DUMMYFUNCTION("""COMPUTED_VALUE"""),"India")</f>
        <v>India</v>
      </c>
      <c r="C987" s="1">
        <f ca="1">IFERROR(__xludf.DUMMYFUNCTION("""COMPUTED_VALUE"""),641035)</f>
        <v>641035</v>
      </c>
      <c r="D987" s="1" t="str">
        <f ca="1">IFERROR(__xludf.DUMMYFUNCTION("""COMPUTED_VALUE"""),"Male")</f>
        <v>Male</v>
      </c>
      <c r="E987" s="1" t="str">
        <f ca="1">IFERROR(__xludf.DUMMYFUNCTION("""COMPUTED_VALUE"""),"My Parents")</f>
        <v>My Parents</v>
      </c>
      <c r="F987" s="1" t="str">
        <f ca="1">IFERROR(__xludf.DUMMYFUNCTION("""COMPUTED_VALUE"""),"Yes, I will earn and do that")</f>
        <v>Yes, I will earn and do that</v>
      </c>
      <c r="G987" s="1" t="str">
        <f ca="1">IFERROR(__xludf.DUMMYFUNCTION("""COMPUTED_VALUE"""),"Will work for 3 years or more")</f>
        <v>Will work for 3 years or more</v>
      </c>
      <c r="H987" s="1" t="str">
        <f ca="1">IFERROR(__xludf.DUMMYFUNCTION("""COMPUTED_VALUE"""),"Yes")</f>
        <v>Yes</v>
      </c>
      <c r="I987" s="1" t="str">
        <f ca="1">IFERROR(__xludf.DUMMYFUNCTION("""COMPUTED_VALUE"""),"Will work for them")</f>
        <v>Will work for them</v>
      </c>
      <c r="J987" s="1">
        <f ca="1">IFERROR(__xludf.DUMMYFUNCTION("""COMPUTED_VALUE"""),6)</f>
        <v>6</v>
      </c>
      <c r="K987" s="1" t="str">
        <f ca="1">IFERROR(__xludf.DUMMYFUNCTION("""COMPUTED_VALUE"""),"Hybrid Working Environment with less than 3 days a month at office")</f>
        <v>Hybrid Working Environment with less than 3 days a month at office</v>
      </c>
      <c r="L987" s="1" t="str">
        <f ca="1">IFERROR(__xludf.DUMMYFUNCTION("""COMPUTED_VALUE"""),"Employer who appreciates learning and enables that environment")</f>
        <v>Employer who appreciates learning and enables that environment</v>
      </c>
      <c r="M98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87" s="1" t="str">
        <f ca="1">IFERROR(__xludf.DUMMYFUNCTION("""COMPUTED_VALUE"""),"Design and Creative strategy in any company, Business Operations in any organization, Manage and drive End-to-End Projects or Products, Manufacturing / Oil and Gas/ Construction / Hard Physical Work related")</f>
        <v>Design and Creative strategy in any company, Business Operations in any organization, Manage and drive End-to-End Projects or Products, Manufacturing / Oil and Gas/ Construction / Hard Physical Work related</v>
      </c>
      <c r="O987" s="1" t="str">
        <f ca="1">IFERROR(__xludf.DUMMYFUNCTION("""COMPUTED_VALUE"""),"Manager who sets goal and helps me achieve it")</f>
        <v>Manager who sets goal and helps me achieve it</v>
      </c>
      <c r="P987" s="1" t="str">
        <f ca="1">IFERROR(__xludf.DUMMYFUNCTION("""COMPUTED_VALUE"""),"Work with 5 to 6 people in my team")</f>
        <v>Work with 5 to 6 people in my team</v>
      </c>
      <c r="Q987" s="1" t="str">
        <f ca="1">IFERROR(__xludf.DUMMYFUNCTION("""COMPUTED_VALUE"""),"Yes, I Understand this is gonna happen everywhere")</f>
        <v>Yes, I Understand this is gonna happen everywhere</v>
      </c>
      <c r="R987" s="1" t="str">
        <f ca="1">IFERROR(__xludf.DUMMYFUNCTION("""COMPUTED_VALUE"""),"This will be hard to do, but if it is the right company I would try")</f>
        <v>This will be hard to do, but if it is the right company I would try</v>
      </c>
      <c r="S987" s="1"/>
    </row>
    <row r="988" spans="1:19" ht="12.5" x14ac:dyDescent="0.25">
      <c r="A988" s="2">
        <f ca="1">IFERROR(__xludf.DUMMYFUNCTION("""COMPUTED_VALUE"""),45043.878563368)</f>
        <v>45043.878563368002</v>
      </c>
      <c r="B988" s="1" t="str">
        <f ca="1">IFERROR(__xludf.DUMMYFUNCTION("""COMPUTED_VALUE"""),"India")</f>
        <v>India</v>
      </c>
      <c r="C988" s="1">
        <f ca="1">IFERROR(__xludf.DUMMYFUNCTION("""COMPUTED_VALUE"""),431133)</f>
        <v>431133</v>
      </c>
      <c r="D988" s="1" t="str">
        <f ca="1">IFERROR(__xludf.DUMMYFUNCTION("""COMPUTED_VALUE"""),"Male")</f>
        <v>Male</v>
      </c>
      <c r="E988" s="1" t="str">
        <f ca="1">IFERROR(__xludf.DUMMYFUNCTION("""COMPUTED_VALUE"""),"People from my circle, but not family members")</f>
        <v>People from my circle, but not family members</v>
      </c>
      <c r="F988" s="1" t="str">
        <f ca="1">IFERROR(__xludf.DUMMYFUNCTION("""COMPUTED_VALUE"""),"No, But if someone could bare the cost I will")</f>
        <v>No, But if someone could bare the cost I will</v>
      </c>
      <c r="G988" s="1" t="str">
        <f ca="1">IFERROR(__xludf.DUMMYFUNCTION("""COMPUTED_VALUE"""),"This will be hard to do, but if it is the right company I would try")</f>
        <v>This will be hard to do, but if it is the right company I would try</v>
      </c>
      <c r="H988" s="1" t="str">
        <f ca="1">IFERROR(__xludf.DUMMYFUNCTION("""COMPUTED_VALUE"""),"No")</f>
        <v>No</v>
      </c>
      <c r="I988" s="1" t="str">
        <f ca="1">IFERROR(__xludf.DUMMYFUNCTION("""COMPUTED_VALUE"""),"Will NOT work for them")</f>
        <v>Will NOT work for them</v>
      </c>
      <c r="J988" s="1">
        <f ca="1">IFERROR(__xludf.DUMMYFUNCTION("""COMPUTED_VALUE"""),5)</f>
        <v>5</v>
      </c>
      <c r="K988" s="1" t="str">
        <f ca="1">IFERROR(__xludf.DUMMYFUNCTION("""COMPUTED_VALUE"""),"Hybrid Working Environment with more than 15 days a month at office")</f>
        <v>Hybrid Working Environment with more than 15 days a month at office</v>
      </c>
      <c r="L988" s="1" t="str">
        <f ca="1">IFERROR(__xludf.DUMMYFUNCTION("""COMPUTED_VALUE"""),"Employer who rewards learning and enables that environment")</f>
        <v>Employer who rewards learning and enables that environment</v>
      </c>
      <c r="M98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88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988" s="1" t="str">
        <f ca="1">IFERROR(__xludf.DUMMYFUNCTION("""COMPUTED_VALUE"""),"Manager who sets goal and helps me achieve it")</f>
        <v>Manager who sets goal and helps me achieve it</v>
      </c>
      <c r="P988" s="1" t="str">
        <f ca="1">IFERROR(__xludf.DUMMYFUNCTION("""COMPUTED_VALUE"""),"Work with 2 to 3 people in my team")</f>
        <v>Work with 2 to 3 people in my team</v>
      </c>
      <c r="Q988" s="1" t="str">
        <f ca="1">IFERROR(__xludf.DUMMYFUNCTION("""COMPUTED_VALUE"""),"Yes, I Understand this is gonna happen everywhere")</f>
        <v>Yes, I Understand this is gonna happen everywhere</v>
      </c>
      <c r="R988" s="1" t="str">
        <f ca="1">IFERROR(__xludf.DUMMYFUNCTION("""COMPUTED_VALUE"""),"This will be hard to do, but if it is the right company I would try")</f>
        <v>This will be hard to do, but if it is the right company I would try</v>
      </c>
      <c r="S988" s="1"/>
    </row>
    <row r="989" spans="1:19" ht="12.5" x14ac:dyDescent="0.25">
      <c r="A989" s="2">
        <f ca="1">IFERROR(__xludf.DUMMYFUNCTION("""COMPUTED_VALUE"""),45043.8789728125)</f>
        <v>45043.878972812498</v>
      </c>
      <c r="B989" s="1" t="str">
        <f ca="1">IFERROR(__xludf.DUMMYFUNCTION("""COMPUTED_VALUE"""),"India")</f>
        <v>India</v>
      </c>
      <c r="C989" s="1">
        <f ca="1">IFERROR(__xludf.DUMMYFUNCTION("""COMPUTED_VALUE"""),425001)</f>
        <v>425001</v>
      </c>
      <c r="D989" s="1" t="str">
        <f ca="1">IFERROR(__xludf.DUMMYFUNCTION("""COMPUTED_VALUE"""),"Male")</f>
        <v>Male</v>
      </c>
      <c r="E989" s="1" t="str">
        <f ca="1">IFERROR(__xludf.DUMMYFUNCTION("""COMPUTED_VALUE"""),"Social Media like LinkedIn")</f>
        <v>Social Media like LinkedIn</v>
      </c>
      <c r="F989" s="1" t="str">
        <f ca="1">IFERROR(__xludf.DUMMYFUNCTION("""COMPUTED_VALUE"""),"Yes, I will earn and do that")</f>
        <v>Yes, I will earn and do that</v>
      </c>
      <c r="G989" s="1" t="str">
        <f ca="1">IFERROR(__xludf.DUMMYFUNCTION("""COMPUTED_VALUE"""),"This will be hard to do, but if it is the right company I would try")</f>
        <v>This will be hard to do, but if it is the right company I would try</v>
      </c>
      <c r="H989" s="1" t="str">
        <f ca="1">IFERROR(__xludf.DUMMYFUNCTION("""COMPUTED_VALUE"""),"No")</f>
        <v>No</v>
      </c>
      <c r="I989" s="1" t="str">
        <f ca="1">IFERROR(__xludf.DUMMYFUNCTION("""COMPUTED_VALUE"""),"Will work for them")</f>
        <v>Will work for them</v>
      </c>
      <c r="J989" s="1">
        <f ca="1">IFERROR(__xludf.DUMMYFUNCTION("""COMPUTED_VALUE"""),8)</f>
        <v>8</v>
      </c>
      <c r="K989" s="1" t="str">
        <f ca="1">IFERROR(__xludf.DUMMYFUNCTION("""COMPUTED_VALUE"""),"Hybrid Working Environment with more than 15 days a month at office")</f>
        <v>Hybrid Working Environment with more than 15 days a month at office</v>
      </c>
      <c r="L9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8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989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989" s="1" t="str">
        <f ca="1">IFERROR(__xludf.DUMMYFUNCTION("""COMPUTED_VALUE"""),"Manager who sets goal and helps me achieve it")</f>
        <v>Manager who sets goal and helps me achieve it</v>
      </c>
      <c r="P989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989" s="1" t="str">
        <f ca="1">IFERROR(__xludf.DUMMYFUNCTION("""COMPUTED_VALUE"""),"Yes, I Understand this is gonna happen everywhere")</f>
        <v>Yes, I Understand this is gonna happen everywhere</v>
      </c>
      <c r="R989" s="1" t="str">
        <f ca="1">IFERROR(__xludf.DUMMYFUNCTION("""COMPUTED_VALUE"""),"This will be hard to do, but if it is the right company I would try")</f>
        <v>This will be hard to do, but if it is the right company I would try</v>
      </c>
      <c r="S989" s="1"/>
    </row>
    <row r="990" spans="1:19" ht="12.5" x14ac:dyDescent="0.25">
      <c r="A990" s="2">
        <f ca="1">IFERROR(__xludf.DUMMYFUNCTION("""COMPUTED_VALUE"""),45043.8793478125)</f>
        <v>45043.879347812501</v>
      </c>
      <c r="B990" s="1" t="str">
        <f ca="1">IFERROR(__xludf.DUMMYFUNCTION("""COMPUTED_VALUE"""),"India")</f>
        <v>India</v>
      </c>
      <c r="C990" s="1">
        <f ca="1">IFERROR(__xludf.DUMMYFUNCTION("""COMPUTED_VALUE"""),560075)</f>
        <v>560075</v>
      </c>
      <c r="D990" s="1" t="str">
        <f ca="1">IFERROR(__xludf.DUMMYFUNCTION("""COMPUTED_VALUE"""),"Female")</f>
        <v>Female</v>
      </c>
      <c r="E990" s="1" t="str">
        <f ca="1">IFERROR(__xludf.DUMMYFUNCTION("""COMPUTED_VALUE"""),"People who have changed the world for better")</f>
        <v>People who have changed the world for better</v>
      </c>
      <c r="F990" s="1" t="str">
        <f ca="1">IFERROR(__xludf.DUMMYFUNCTION("""COMPUTED_VALUE"""),"No I would not be pursuing Higher Education outside of India")</f>
        <v>No I would not be pursuing Higher Education outside of India</v>
      </c>
      <c r="G990" s="1" t="str">
        <f ca="1">IFERROR(__xludf.DUMMYFUNCTION("""COMPUTED_VALUE"""),"This will be hard to do, but if it is the right company I would try")</f>
        <v>This will be hard to do, but if it is the right company I would try</v>
      </c>
      <c r="H990" s="1" t="str">
        <f ca="1">IFERROR(__xludf.DUMMYFUNCTION("""COMPUTED_VALUE"""),"No")</f>
        <v>No</v>
      </c>
      <c r="I990" s="1" t="str">
        <f ca="1">IFERROR(__xludf.DUMMYFUNCTION("""COMPUTED_VALUE"""),"Will NOT work for them")</f>
        <v>Will NOT work for them</v>
      </c>
      <c r="J990" s="1">
        <f ca="1">IFERROR(__xludf.DUMMYFUNCTION("""COMPUTED_VALUE"""),8)</f>
        <v>8</v>
      </c>
      <c r="K990" s="1" t="str">
        <f ca="1">IFERROR(__xludf.DUMMYFUNCTION("""COMPUTED_VALUE"""),"Hybrid Working Environment with more than 15 days a month at office")</f>
        <v>Hybrid Working Environment with more than 15 days a month at office</v>
      </c>
      <c r="L9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9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90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990" s="1" t="str">
        <f ca="1">IFERROR(__xludf.DUMMYFUNCTION("""COMPUTED_VALUE"""),"Manager who explains what is expected, sets a goal and helps achieve it")</f>
        <v>Manager who explains what is expected, sets a goal and helps achieve it</v>
      </c>
      <c r="P990" s="1" t="str">
        <f ca="1">IFERROR(__xludf.DUMMYFUNCTION("""COMPUTED_VALUE"""),"Work with 7 to 10 or more people in my team")</f>
        <v>Work with 7 to 10 or more people in my team</v>
      </c>
      <c r="Q990" s="1" t="str">
        <f ca="1">IFERROR(__xludf.DUMMYFUNCTION("""COMPUTED_VALUE"""),"Yes, I Understand this is gonna happen everywhere")</f>
        <v>Yes, I Understand this is gonna happen everywhere</v>
      </c>
      <c r="R990" s="1" t="str">
        <f ca="1">IFERROR(__xludf.DUMMYFUNCTION("""COMPUTED_VALUE"""),"This will be hard to do, but if it is the right company I would try")</f>
        <v>This will be hard to do, but if it is the right company I would try</v>
      </c>
      <c r="S990" s="1"/>
    </row>
    <row r="991" spans="1:19" ht="12.5" x14ac:dyDescent="0.25">
      <c r="A991" s="2">
        <f ca="1">IFERROR(__xludf.DUMMYFUNCTION("""COMPUTED_VALUE"""),45043.8796213078)</f>
        <v>45043.879621307802</v>
      </c>
      <c r="B991" s="1" t="str">
        <f ca="1">IFERROR(__xludf.DUMMYFUNCTION("""COMPUTED_VALUE"""),"India")</f>
        <v>India</v>
      </c>
      <c r="C991" s="1">
        <f ca="1">IFERROR(__xludf.DUMMYFUNCTION("""COMPUTED_VALUE"""),226201)</f>
        <v>226201</v>
      </c>
      <c r="D991" s="1" t="str">
        <f ca="1">IFERROR(__xludf.DUMMYFUNCTION("""COMPUTED_VALUE"""),"Male")</f>
        <v>Male</v>
      </c>
      <c r="E991" s="1" t="str">
        <f ca="1">IFERROR(__xludf.DUMMYFUNCTION("""COMPUTED_VALUE"""),"People who have changed the world for better")</f>
        <v>People who have changed the world for better</v>
      </c>
      <c r="F991" s="1" t="str">
        <f ca="1">IFERROR(__xludf.DUMMYFUNCTION("""COMPUTED_VALUE"""),"Yes, I will earn and do that")</f>
        <v>Yes, I will earn and do that</v>
      </c>
      <c r="G991" s="1" t="str">
        <f ca="1">IFERROR(__xludf.DUMMYFUNCTION("""COMPUTED_VALUE"""),"This will be hard to do, but if it is the right company I would try")</f>
        <v>This will be hard to do, but if it is the right company I would try</v>
      </c>
      <c r="H991" s="1" t="str">
        <f ca="1">IFERROR(__xludf.DUMMYFUNCTION("""COMPUTED_VALUE"""),"No")</f>
        <v>No</v>
      </c>
      <c r="I991" s="1" t="str">
        <f ca="1">IFERROR(__xludf.DUMMYFUNCTION("""COMPUTED_VALUE"""),"Will NOT work for them")</f>
        <v>Will NOT work for them</v>
      </c>
      <c r="J991" s="1">
        <f ca="1">IFERROR(__xludf.DUMMYFUNCTION("""COMPUTED_VALUE"""),6)</f>
        <v>6</v>
      </c>
      <c r="K991" s="1" t="str">
        <f ca="1">IFERROR(__xludf.DUMMYFUNCTION("""COMPUTED_VALUE"""),"Hybrid Working Environment with more than 15 days a month at office")</f>
        <v>Hybrid Working Environment with more than 15 days a month at office</v>
      </c>
      <c r="L9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91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991" s="1" t="str">
        <f ca="1">IFERROR(__xludf.DUMMYFUNCTION("""COMPUTED_VALUE"""),"Manage and drive End-to-End Projects or Products, Look deeply into Data and generate insights, An Artificial Intelligence Specialist / Talking to Robots, Manufacturing / Oil and Gas/ Construction / Hard Physical Work related")</f>
        <v>Manage and drive End-to-End Projects or Products, Look deeply into Data and generate insights, An Artificial Intelligence Specialist / Talking to Robots, Manufacturing / Oil and Gas/ Construction / Hard Physical Work related</v>
      </c>
      <c r="O991" s="1" t="str">
        <f ca="1">IFERROR(__xludf.DUMMYFUNCTION("""COMPUTED_VALUE"""),"Manager who explains what is expected, sets a goal and helps achieve it")</f>
        <v>Manager who explains what is expected, sets a goal and helps achieve it</v>
      </c>
      <c r="P991" s="1" t="str">
        <f ca="1">IFERROR(__xludf.DUMMYFUNCTION("""COMPUTED_VALUE"""),"Work with 5 to 6 people in my team")</f>
        <v>Work with 5 to 6 people in my team</v>
      </c>
      <c r="Q991" s="1" t="str">
        <f ca="1">IFERROR(__xludf.DUMMYFUNCTION("""COMPUTED_VALUE"""),"Yes, I Understand this is gonna happen everywhere")</f>
        <v>Yes, I Understand this is gonna happen everywhere</v>
      </c>
      <c r="R991" s="1" t="str">
        <f ca="1">IFERROR(__xludf.DUMMYFUNCTION("""COMPUTED_VALUE"""),"This will be hard to do, but if it is the right company I would try")</f>
        <v>This will be hard to do, but if it is the right company I would try</v>
      </c>
      <c r="S991" s="1"/>
    </row>
    <row r="992" spans="1:19" ht="12.5" x14ac:dyDescent="0.25">
      <c r="A992" s="2">
        <f ca="1">IFERROR(__xludf.DUMMYFUNCTION("""COMPUTED_VALUE"""),45043.8799211458)</f>
        <v>45043.879921145803</v>
      </c>
      <c r="B992" s="1" t="str">
        <f ca="1">IFERROR(__xludf.DUMMYFUNCTION("""COMPUTED_VALUE"""),"India")</f>
        <v>India</v>
      </c>
      <c r="C992" s="1">
        <f ca="1">IFERROR(__xludf.DUMMYFUNCTION("""COMPUTED_VALUE"""),570003)</f>
        <v>570003</v>
      </c>
      <c r="D992" s="1" t="str">
        <f ca="1">IFERROR(__xludf.DUMMYFUNCTION("""COMPUTED_VALUE"""),"Male")</f>
        <v>Male</v>
      </c>
      <c r="E992" s="1" t="str">
        <f ca="1">IFERROR(__xludf.DUMMYFUNCTION("""COMPUTED_VALUE"""),"People who have changed the world for better")</f>
        <v>People who have changed the world for better</v>
      </c>
      <c r="F992" s="1" t="str">
        <f ca="1">IFERROR(__xludf.DUMMYFUNCTION("""COMPUTED_VALUE"""),"No I would not be pursuing Higher Education outside of India")</f>
        <v>No I would not be pursuing Higher Education outside of India</v>
      </c>
      <c r="G992" s="1" t="str">
        <f ca="1">IFERROR(__xludf.DUMMYFUNCTION("""COMPUTED_VALUE"""),"This will be hard to do, but if it is the right company I would try")</f>
        <v>This will be hard to do, but if it is the right company I would try</v>
      </c>
      <c r="H992" s="1" t="str">
        <f ca="1">IFERROR(__xludf.DUMMYFUNCTION("""COMPUTED_VALUE"""),"No")</f>
        <v>No</v>
      </c>
      <c r="I992" s="1" t="str">
        <f ca="1">IFERROR(__xludf.DUMMYFUNCTION("""COMPUTED_VALUE"""),"Will NOT work for them")</f>
        <v>Will NOT work for them</v>
      </c>
      <c r="J992" s="1">
        <f ca="1">IFERROR(__xludf.DUMMYFUNCTION("""COMPUTED_VALUE"""),5)</f>
        <v>5</v>
      </c>
      <c r="K992" s="1" t="str">
        <f ca="1">IFERROR(__xludf.DUMMYFUNCTION("""COMPUTED_VALUE"""),"Hybrid Working Environment with more than 15 days a month at office")</f>
        <v>Hybrid Working Environment with more than 15 days a month at office</v>
      </c>
      <c r="L992" s="1" t="str">
        <f ca="1">IFERROR(__xludf.DUMMYFUNCTION("""COMPUTED_VALUE"""),"Employer who rewards learning and enables that environment")</f>
        <v>Employer who rewards learning and enables that environment</v>
      </c>
      <c r="M99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992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992" s="1" t="str">
        <f ca="1">IFERROR(__xludf.DUMMYFUNCTION("""COMPUTED_VALUE"""),"Manager who explains what is expected, sets a goal and helps achieve it")</f>
        <v>Manager who explains what is expected, sets a goal and helps achieve it</v>
      </c>
      <c r="P992" s="1" t="str">
        <f ca="1">IFERROR(__xludf.DUMMYFUNCTION("""COMPUTED_VALUE"""),"Work with 2 to 3 people in my team, Work with 5 to 6 people in my team")</f>
        <v>Work with 2 to 3 people in my team, Work with 5 to 6 people in my team</v>
      </c>
      <c r="Q992" s="1" t="str">
        <f ca="1">IFERROR(__xludf.DUMMYFUNCTION("""COMPUTED_VALUE"""),"No")</f>
        <v>No</v>
      </c>
      <c r="R992" s="1" t="str">
        <f ca="1">IFERROR(__xludf.DUMMYFUNCTION("""COMPUTED_VALUE"""),"This will be hard to do, but if it is the right company I would try")</f>
        <v>This will be hard to do, but if it is the right company I would try</v>
      </c>
      <c r="S992" s="1"/>
    </row>
    <row r="993" spans="1:19" ht="12.5" x14ac:dyDescent="0.25">
      <c r="A993" s="2">
        <f ca="1">IFERROR(__xludf.DUMMYFUNCTION("""COMPUTED_VALUE"""),45043.8803072222)</f>
        <v>45043.8803072222</v>
      </c>
      <c r="B993" s="1" t="str">
        <f ca="1">IFERROR(__xludf.DUMMYFUNCTION("""COMPUTED_VALUE"""),"India")</f>
        <v>India</v>
      </c>
      <c r="C993" s="1">
        <f ca="1">IFERROR(__xludf.DUMMYFUNCTION("""COMPUTED_VALUE"""),201002)</f>
        <v>201002</v>
      </c>
      <c r="D993" s="1" t="str">
        <f ca="1">IFERROR(__xludf.DUMMYFUNCTION("""COMPUTED_VALUE"""),"Male")</f>
        <v>Male</v>
      </c>
      <c r="E993" s="1" t="str">
        <f ca="1">IFERROR(__xludf.DUMMYFUNCTION("""COMPUTED_VALUE"""),"Social Media like LinkedIn")</f>
        <v>Social Media like LinkedIn</v>
      </c>
      <c r="F993" s="1" t="str">
        <f ca="1">IFERROR(__xludf.DUMMYFUNCTION("""COMPUTED_VALUE"""),"Yes, I will earn and do that")</f>
        <v>Yes, I will earn and do that</v>
      </c>
      <c r="G993" s="1" t="str">
        <f ca="1">IFERROR(__xludf.DUMMYFUNCTION("""COMPUTED_VALUE"""),"This will be hard to do, but if it is the right company I would try")</f>
        <v>This will be hard to do, but if it is the right company I would try</v>
      </c>
      <c r="H993" s="1" t="str">
        <f ca="1">IFERROR(__xludf.DUMMYFUNCTION("""COMPUTED_VALUE"""),"No")</f>
        <v>No</v>
      </c>
      <c r="I993" s="1" t="str">
        <f ca="1">IFERROR(__xludf.DUMMYFUNCTION("""COMPUTED_VALUE"""),"Will NOT work for them")</f>
        <v>Will NOT work for them</v>
      </c>
      <c r="J993" s="1">
        <f ca="1">IFERROR(__xludf.DUMMYFUNCTION("""COMPUTED_VALUE"""),8)</f>
        <v>8</v>
      </c>
      <c r="K993" s="1" t="str">
        <f ca="1">IFERROR(__xludf.DUMMYFUNCTION("""COMPUTED_VALUE"""),"Fully Remote with No option to visit offices")</f>
        <v>Fully Remote with No option to visit offices</v>
      </c>
      <c r="L9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9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993" s="1" t="str">
        <f ca="1">IFERROR(__xludf.DUMMYFUNCTION("""COMPUTED_VALUE"""),"Business Operations in any organization, Look deeply into Data and generate insights, Become a content Creator in some platform, An Artificial Intelligence Specialist / Talking to Robots")</f>
        <v>Business Operations in any organization, Look deeply into Data and generate insights, Become a content Creator in some platform, An Artificial Intelligence Specialist / Talking to Robots</v>
      </c>
      <c r="O993" s="1" t="str">
        <f ca="1">IFERROR(__xludf.DUMMYFUNCTION("""COMPUTED_VALUE"""),"Manager who explains what is expected, sets a goal and helps achieve it")</f>
        <v>Manager who explains what is expected, sets a goal and helps achieve it</v>
      </c>
      <c r="P993" s="1" t="str">
        <f ca="1">IFERROR(__xludf.DUMMYFUNCTION("""COMPUTED_VALUE"""),"Work with 5 to 6 people in my team")</f>
        <v>Work with 5 to 6 people in my team</v>
      </c>
      <c r="Q993" s="1" t="str">
        <f ca="1">IFERROR(__xludf.DUMMYFUNCTION("""COMPUTED_VALUE"""),"No")</f>
        <v>No</v>
      </c>
      <c r="R993" s="1" t="str">
        <f ca="1">IFERROR(__xludf.DUMMYFUNCTION("""COMPUTED_VALUE"""),"No way")</f>
        <v>No way</v>
      </c>
      <c r="S993" s="1"/>
    </row>
    <row r="994" spans="1:19" ht="12.5" x14ac:dyDescent="0.25">
      <c r="A994" s="2">
        <f ca="1">IFERROR(__xludf.DUMMYFUNCTION("""COMPUTED_VALUE"""),45043.881235706)</f>
        <v>45043.881235706001</v>
      </c>
      <c r="B994" s="1" t="str">
        <f ca="1">IFERROR(__xludf.DUMMYFUNCTION("""COMPUTED_VALUE"""),"India")</f>
        <v>India</v>
      </c>
      <c r="C994" s="1">
        <f ca="1">IFERROR(__xludf.DUMMYFUNCTION("""COMPUTED_VALUE"""),411041)</f>
        <v>411041</v>
      </c>
      <c r="D994" s="1" t="str">
        <f ca="1">IFERROR(__xludf.DUMMYFUNCTION("""COMPUTED_VALUE"""),"Male")</f>
        <v>Male</v>
      </c>
      <c r="E994" s="1" t="str">
        <f ca="1">IFERROR(__xludf.DUMMYFUNCTION("""COMPUTED_VALUE"""),"People from my circle, but not family members")</f>
        <v>People from my circle, but not family members</v>
      </c>
      <c r="F994" s="1" t="str">
        <f ca="1">IFERROR(__xludf.DUMMYFUNCTION("""COMPUTED_VALUE"""),"Yes, I will earn and do that")</f>
        <v>Yes, I will earn and do that</v>
      </c>
      <c r="G994" s="1" t="str">
        <f ca="1">IFERROR(__xludf.DUMMYFUNCTION("""COMPUTED_VALUE"""),"Will work for 3 years or more")</f>
        <v>Will work for 3 years or more</v>
      </c>
      <c r="H994" s="1" t="str">
        <f ca="1">IFERROR(__xludf.DUMMYFUNCTION("""COMPUTED_VALUE"""),"No")</f>
        <v>No</v>
      </c>
      <c r="I994" s="1" t="str">
        <f ca="1">IFERROR(__xludf.DUMMYFUNCTION("""COMPUTED_VALUE"""),"Will NOT work for them")</f>
        <v>Will NOT work for them</v>
      </c>
      <c r="J994" s="1">
        <f ca="1">IFERROR(__xludf.DUMMYFUNCTION("""COMPUTED_VALUE"""),7)</f>
        <v>7</v>
      </c>
      <c r="K994" s="1" t="str">
        <f ca="1">IFERROR(__xludf.DUMMYFUNCTION("""COMPUTED_VALUE"""),"Hybrid Working Environment with less than 3 days a month at office")</f>
        <v>Hybrid Working Environment with less than 3 days a month at office</v>
      </c>
      <c r="L994" s="1" t="str">
        <f ca="1">IFERROR(__xludf.DUMMYFUNCTION("""COMPUTED_VALUE"""),"Employer who rewards learning and enables that environment")</f>
        <v>Employer who rewards learning and enables that environment</v>
      </c>
      <c r="M99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994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994" s="1" t="str">
        <f ca="1">IFERROR(__xludf.DUMMYFUNCTION("""COMPUTED_VALUE"""),"Manager who explains what is expected, sets a goal and helps achieve it")</f>
        <v>Manager who explains what is expected, sets a goal and helps achieve it</v>
      </c>
      <c r="P994" s="1" t="str">
        <f ca="1">IFERROR(__xludf.DUMMYFUNCTION("""COMPUTED_VALUE"""),"Work with more than 10 people in my team")</f>
        <v>Work with more than 10 people in my team</v>
      </c>
      <c r="Q994" s="1" t="str">
        <f ca="1">IFERROR(__xludf.DUMMYFUNCTION("""COMPUTED_VALUE"""),"No")</f>
        <v>No</v>
      </c>
      <c r="R994" s="1" t="str">
        <f ca="1">IFERROR(__xludf.DUMMYFUNCTION("""COMPUTED_VALUE"""),"This will be hard to do, but if it is the right company I would try")</f>
        <v>This will be hard to do, but if it is the right company I would try</v>
      </c>
      <c r="S994" s="1"/>
    </row>
    <row r="995" spans="1:19" ht="12.5" x14ac:dyDescent="0.25">
      <c r="A995" s="2">
        <f ca="1">IFERROR(__xludf.DUMMYFUNCTION("""COMPUTED_VALUE"""),45043.8816473726)</f>
        <v>45043.881647372596</v>
      </c>
      <c r="B995" s="1" t="str">
        <f ca="1">IFERROR(__xludf.DUMMYFUNCTION("""COMPUTED_VALUE"""),"India")</f>
        <v>India</v>
      </c>
      <c r="C995" s="1">
        <f ca="1">IFERROR(__xludf.DUMMYFUNCTION("""COMPUTED_VALUE"""),211002)</f>
        <v>211002</v>
      </c>
      <c r="D995" s="1" t="str">
        <f ca="1">IFERROR(__xludf.DUMMYFUNCTION("""COMPUTED_VALUE"""),"Female")</f>
        <v>Female</v>
      </c>
      <c r="E995" s="1" t="str">
        <f ca="1">IFERROR(__xludf.DUMMYFUNCTION("""COMPUTED_VALUE"""),"Influencers who had successful careers")</f>
        <v>Influencers who had successful careers</v>
      </c>
      <c r="F995" s="1" t="str">
        <f ca="1">IFERROR(__xludf.DUMMYFUNCTION("""COMPUTED_VALUE"""),"No I would not be pursuing Higher Education outside of India")</f>
        <v>No I would not be pursuing Higher Education outside of India</v>
      </c>
      <c r="G995" s="1" t="str">
        <f ca="1">IFERROR(__xludf.DUMMYFUNCTION("""COMPUTED_VALUE"""),"Will work for 3 years or more")</f>
        <v>Will work for 3 years or more</v>
      </c>
      <c r="H995" s="1" t="str">
        <f ca="1">IFERROR(__xludf.DUMMYFUNCTION("""COMPUTED_VALUE"""),"No")</f>
        <v>No</v>
      </c>
      <c r="I995" s="1" t="str">
        <f ca="1">IFERROR(__xludf.DUMMYFUNCTION("""COMPUTED_VALUE"""),"Will NOT work for them")</f>
        <v>Will NOT work for them</v>
      </c>
      <c r="J995" s="1">
        <f ca="1">IFERROR(__xludf.DUMMYFUNCTION("""COMPUTED_VALUE"""),4)</f>
        <v>4</v>
      </c>
      <c r="K995" s="1" t="str">
        <f ca="1">IFERROR(__xludf.DUMMYFUNCTION("""COMPUTED_VALUE"""),"Hybrid Working Environment with more than 15 days a month at office")</f>
        <v>Hybrid Working Environment with more than 15 days a month at office</v>
      </c>
      <c r="L9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9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95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995" s="1" t="str">
        <f ca="1">IFERROR(__xludf.DUMMYFUNCTION("""COMPUTED_VALUE"""),"Manager who explains what is expected, sets a goal and helps achieve it")</f>
        <v>Manager who explains what is expected, sets a goal and helps achieve it</v>
      </c>
      <c r="P995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995" s="1" t="str">
        <f ca="1">IFERROR(__xludf.DUMMYFUNCTION("""COMPUTED_VALUE"""),"No")</f>
        <v>No</v>
      </c>
      <c r="R995" s="1" t="str">
        <f ca="1">IFERROR(__xludf.DUMMYFUNCTION("""COMPUTED_VALUE"""),"This will be hard to do, but if it is the right company I would try")</f>
        <v>This will be hard to do, but if it is the right company I would try</v>
      </c>
      <c r="S995" s="1"/>
    </row>
    <row r="996" spans="1:19" ht="12.5" x14ac:dyDescent="0.25">
      <c r="A996" s="2">
        <f ca="1">IFERROR(__xludf.DUMMYFUNCTION("""COMPUTED_VALUE"""),45043.8821773495)</f>
        <v>45043.8821773495</v>
      </c>
      <c r="B996" s="1" t="str">
        <f ca="1">IFERROR(__xludf.DUMMYFUNCTION("""COMPUTED_VALUE"""),"India")</f>
        <v>India</v>
      </c>
      <c r="C996" s="1">
        <f ca="1">IFERROR(__xludf.DUMMYFUNCTION("""COMPUTED_VALUE"""),201204)</f>
        <v>201204</v>
      </c>
      <c r="D996" s="1" t="str">
        <f ca="1">IFERROR(__xludf.DUMMYFUNCTION("""COMPUTED_VALUE"""),"Female")</f>
        <v>Female</v>
      </c>
      <c r="E996" s="1" t="str">
        <f ca="1">IFERROR(__xludf.DUMMYFUNCTION("""COMPUTED_VALUE"""),"My Parents")</f>
        <v>My Parents</v>
      </c>
      <c r="F996" s="1" t="str">
        <f ca="1">IFERROR(__xludf.DUMMYFUNCTION("""COMPUTED_VALUE"""),"Yes, I will earn and do that")</f>
        <v>Yes, I will earn and do that</v>
      </c>
      <c r="G996" s="1" t="str">
        <f ca="1">IFERROR(__xludf.DUMMYFUNCTION("""COMPUTED_VALUE"""),"This will be hard to do, but if it is the right company I would try")</f>
        <v>This will be hard to do, but if it is the right company I would try</v>
      </c>
      <c r="H996" s="1" t="str">
        <f ca="1">IFERROR(__xludf.DUMMYFUNCTION("""COMPUTED_VALUE"""),"Yes")</f>
        <v>Yes</v>
      </c>
      <c r="I996" s="1" t="str">
        <f ca="1">IFERROR(__xludf.DUMMYFUNCTION("""COMPUTED_VALUE"""),"Will NOT work for them")</f>
        <v>Will NOT work for them</v>
      </c>
      <c r="J996" s="1">
        <f ca="1">IFERROR(__xludf.DUMMYFUNCTION("""COMPUTED_VALUE"""),8)</f>
        <v>8</v>
      </c>
      <c r="K996" s="1" t="str">
        <f ca="1">IFERROR(__xludf.DUMMYFUNCTION("""COMPUTED_VALUE"""),"Hybrid Working Environment with more than 15 days a month at office")</f>
        <v>Hybrid Working Environment with more than 15 days a month at office</v>
      </c>
      <c r="L9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9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96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996" s="1" t="str">
        <f ca="1">IFERROR(__xludf.DUMMYFUNCTION("""COMPUTED_VALUE"""),"Manager who explains what is expected, sets a goal and helps achieve it")</f>
        <v>Manager who explains what is expected, sets a goal and helps achieve it</v>
      </c>
      <c r="P996" s="1" t="str">
        <f ca="1">IFERROR(__xludf.DUMMYFUNCTION("""COMPUTED_VALUE"""),"Work with 2 to 3 people in my team, Work with 5 to 6 people in my team")</f>
        <v>Work with 2 to 3 people in my team, Work with 5 to 6 people in my team</v>
      </c>
      <c r="Q996" s="1" t="str">
        <f ca="1">IFERROR(__xludf.DUMMYFUNCTION("""COMPUTED_VALUE"""),"I have NO other choice")</f>
        <v>I have NO other choice</v>
      </c>
      <c r="R996" s="1" t="str">
        <f ca="1">IFERROR(__xludf.DUMMYFUNCTION("""COMPUTED_VALUE"""),"No way")</f>
        <v>No way</v>
      </c>
      <c r="S996" s="1"/>
    </row>
    <row r="997" spans="1:19" ht="12.5" x14ac:dyDescent="0.25">
      <c r="A997" s="2">
        <f ca="1">IFERROR(__xludf.DUMMYFUNCTION("""COMPUTED_VALUE"""),45043.8834200115)</f>
        <v>45043.883420011502</v>
      </c>
      <c r="B997" s="1" t="str">
        <f ca="1">IFERROR(__xludf.DUMMYFUNCTION("""COMPUTED_VALUE"""),"India")</f>
        <v>India</v>
      </c>
      <c r="C997" s="1">
        <f ca="1">IFERROR(__xludf.DUMMYFUNCTION("""COMPUTED_VALUE"""),503001)</f>
        <v>503001</v>
      </c>
      <c r="D997" s="1" t="str">
        <f ca="1">IFERROR(__xludf.DUMMYFUNCTION("""COMPUTED_VALUE"""),"Male")</f>
        <v>Male</v>
      </c>
      <c r="E997" s="1" t="str">
        <f ca="1">IFERROR(__xludf.DUMMYFUNCTION("""COMPUTED_VALUE"""),"Influencers who had successful careers")</f>
        <v>Influencers who had successful careers</v>
      </c>
      <c r="F997" s="1" t="str">
        <f ca="1">IFERROR(__xludf.DUMMYFUNCTION("""COMPUTED_VALUE"""),"No I would not be pursuing Higher Education outside of India")</f>
        <v>No I would not be pursuing Higher Education outside of India</v>
      </c>
      <c r="G997" s="1" t="str">
        <f ca="1">IFERROR(__xludf.DUMMYFUNCTION("""COMPUTED_VALUE"""),"This will be hard to do, but if it is the right company I would try")</f>
        <v>This will be hard to do, but if it is the right company I would try</v>
      </c>
      <c r="H997" s="1" t="str">
        <f ca="1">IFERROR(__xludf.DUMMYFUNCTION("""COMPUTED_VALUE"""),"Yes")</f>
        <v>Yes</v>
      </c>
      <c r="I997" s="1" t="str">
        <f ca="1">IFERROR(__xludf.DUMMYFUNCTION("""COMPUTED_VALUE"""),"Will work for them")</f>
        <v>Will work for them</v>
      </c>
      <c r="J997" s="1">
        <f ca="1">IFERROR(__xludf.DUMMYFUNCTION("""COMPUTED_VALUE"""),4)</f>
        <v>4</v>
      </c>
      <c r="K997" s="1" t="str">
        <f ca="1">IFERROR(__xludf.DUMMYFUNCTION("""COMPUTED_VALUE"""),"Hybrid Working Environment with more than 15 days a month at office")</f>
        <v>Hybrid Working Environment with more than 15 days a month at office</v>
      </c>
      <c r="L9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9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997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997" s="1" t="str">
        <f ca="1">IFERROR(__xludf.DUMMYFUNCTION("""COMPUTED_VALUE"""),"Manager who explains what is expected, sets a goal and helps achieve it")</f>
        <v>Manager who explains what is expected, sets a goal and helps achieve it</v>
      </c>
      <c r="P997" s="1" t="str">
        <f ca="1">IFERROR(__xludf.DUMMYFUNCTION("""COMPUTED_VALUE"""),"Work with 2 to 3 people in my team")</f>
        <v>Work with 2 to 3 people in my team</v>
      </c>
      <c r="Q997" s="1" t="str">
        <f ca="1">IFERROR(__xludf.DUMMYFUNCTION("""COMPUTED_VALUE"""),"Yes, I Understand this is gonna happen everywhere")</f>
        <v>Yes, I Understand this is gonna happen everywhere</v>
      </c>
      <c r="R997" s="1" t="str">
        <f ca="1">IFERROR(__xludf.DUMMYFUNCTION("""COMPUTED_VALUE"""),"This will be hard to do, but if it is the right company I would try")</f>
        <v>This will be hard to do, but if it is the right company I would try</v>
      </c>
      <c r="S997" s="1"/>
    </row>
    <row r="998" spans="1:19" ht="12.5" x14ac:dyDescent="0.25">
      <c r="A998" s="2">
        <f ca="1">IFERROR(__xludf.DUMMYFUNCTION("""COMPUTED_VALUE"""),45043.8835174768)</f>
        <v>45043.883517476803</v>
      </c>
      <c r="B998" s="1" t="str">
        <f ca="1">IFERROR(__xludf.DUMMYFUNCTION("""COMPUTED_VALUE"""),"India")</f>
        <v>India</v>
      </c>
      <c r="C998" s="1">
        <f ca="1">IFERROR(__xludf.DUMMYFUNCTION("""COMPUTED_VALUE"""),453441)</f>
        <v>453441</v>
      </c>
      <c r="D998" s="1" t="str">
        <f ca="1">IFERROR(__xludf.DUMMYFUNCTION("""COMPUTED_VALUE"""),"Female")</f>
        <v>Female</v>
      </c>
      <c r="E998" s="1" t="str">
        <f ca="1">IFERROR(__xludf.DUMMYFUNCTION("""COMPUTED_VALUE"""),"People who have changed the world for better")</f>
        <v>People who have changed the world for better</v>
      </c>
      <c r="F998" s="1" t="str">
        <f ca="1">IFERROR(__xludf.DUMMYFUNCTION("""COMPUTED_VALUE"""),"Yes, I will earn and do that")</f>
        <v>Yes, I will earn and do that</v>
      </c>
      <c r="G998" s="1" t="str">
        <f ca="1">IFERROR(__xludf.DUMMYFUNCTION("""COMPUTED_VALUE"""),"Will work for 3 years or more")</f>
        <v>Will work for 3 years or more</v>
      </c>
      <c r="H998" s="1" t="str">
        <f ca="1">IFERROR(__xludf.DUMMYFUNCTION("""COMPUTED_VALUE"""),"No")</f>
        <v>No</v>
      </c>
      <c r="I998" s="1" t="str">
        <f ca="1">IFERROR(__xludf.DUMMYFUNCTION("""COMPUTED_VALUE"""),"Will NOT work for them")</f>
        <v>Will NOT work for them</v>
      </c>
      <c r="J998" s="1">
        <f ca="1">IFERROR(__xludf.DUMMYFUNCTION("""COMPUTED_VALUE"""),2)</f>
        <v>2</v>
      </c>
      <c r="K998" s="1" t="str">
        <f ca="1">IFERROR(__xludf.DUMMYFUNCTION("""COMPUTED_VALUE"""),"Fully Remote with Options to travel as and when needed")</f>
        <v>Fully Remote with Options to travel as and when needed</v>
      </c>
      <c r="L998" s="1" t="str">
        <f ca="1">IFERROR(__xludf.DUMMYFUNCTION("""COMPUTED_VALUE"""),"Employer who rewards learning and enables that environment")</f>
        <v>Employer who rewards learning and enables that environment</v>
      </c>
      <c r="M99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998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998" s="1" t="str">
        <f ca="1">IFERROR(__xludf.DUMMYFUNCTION("""COMPUTED_VALUE"""),"Manager who explains what is expected, sets a goal and helps achieve it")</f>
        <v>Manager who explains what is expected, sets a goal and helps achieve it</v>
      </c>
      <c r="P998" s="1" t="str">
        <f ca="1">IFERROR(__xludf.DUMMYFUNCTION("""COMPUTED_VALUE"""),"Work with 2 to 3 people in my team, Work with 5 to 6 people in my team")</f>
        <v>Work with 2 to 3 people in my team, Work with 5 to 6 people in my team</v>
      </c>
      <c r="Q998" s="1" t="str">
        <f ca="1">IFERROR(__xludf.DUMMYFUNCTION("""COMPUTED_VALUE"""),"No")</f>
        <v>No</v>
      </c>
      <c r="R998" s="1" t="str">
        <f ca="1">IFERROR(__xludf.DUMMYFUNCTION("""COMPUTED_VALUE"""),"Will work for 7 years or more")</f>
        <v>Will work for 7 years or more</v>
      </c>
      <c r="S998" s="1"/>
    </row>
    <row r="999" spans="1:19" ht="12.5" x14ac:dyDescent="0.25">
      <c r="A999" s="2">
        <f ca="1">IFERROR(__xludf.DUMMYFUNCTION("""COMPUTED_VALUE"""),45043.8836455787)</f>
        <v>45043.883645578702</v>
      </c>
      <c r="B999" s="1" t="str">
        <f ca="1">IFERROR(__xludf.DUMMYFUNCTION("""COMPUTED_VALUE"""),"India")</f>
        <v>India</v>
      </c>
      <c r="C999" s="1">
        <f ca="1">IFERROR(__xludf.DUMMYFUNCTION("""COMPUTED_VALUE"""),761001)</f>
        <v>761001</v>
      </c>
      <c r="D999" s="1" t="str">
        <f ca="1">IFERROR(__xludf.DUMMYFUNCTION("""COMPUTED_VALUE"""),"Male")</f>
        <v>Male</v>
      </c>
      <c r="E999" s="1" t="str">
        <f ca="1">IFERROR(__xludf.DUMMYFUNCTION("""COMPUTED_VALUE"""),"People from my circle, but not family members")</f>
        <v>People from my circle, but not family members</v>
      </c>
      <c r="F999" s="1" t="str">
        <f ca="1">IFERROR(__xludf.DUMMYFUNCTION("""COMPUTED_VALUE"""),"No I would not be pursuing Higher Education outside of India")</f>
        <v>No I would not be pursuing Higher Education outside of India</v>
      </c>
      <c r="G999" s="1" t="str">
        <f ca="1">IFERROR(__xludf.DUMMYFUNCTION("""COMPUTED_VALUE"""),"Will work for 3 years or more")</f>
        <v>Will work for 3 years or more</v>
      </c>
      <c r="H999" s="1" t="str">
        <f ca="1">IFERROR(__xludf.DUMMYFUNCTION("""COMPUTED_VALUE"""),"No")</f>
        <v>No</v>
      </c>
      <c r="I999" s="1" t="str">
        <f ca="1">IFERROR(__xludf.DUMMYFUNCTION("""COMPUTED_VALUE"""),"Will NOT work for them")</f>
        <v>Will NOT work for them</v>
      </c>
      <c r="J999" s="1">
        <f ca="1">IFERROR(__xludf.DUMMYFUNCTION("""COMPUTED_VALUE"""),7)</f>
        <v>7</v>
      </c>
      <c r="K999" s="1" t="str">
        <f ca="1">IFERROR(__xludf.DUMMYFUNCTION("""COMPUTED_VALUE"""),"Hybrid Working Environment with more than 15 days a month at office")</f>
        <v>Hybrid Working Environment with more than 15 days a month at office</v>
      </c>
      <c r="L9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99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999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999" s="1" t="str">
        <f ca="1">IFERROR(__xludf.DUMMYFUNCTION("""COMPUTED_VALUE"""),"Manager who explains what is expected, sets a goal and helps achieve it")</f>
        <v>Manager who explains what is expected, sets a goal and helps achieve it</v>
      </c>
      <c r="P999" s="1" t="str">
        <f ca="1">IFERROR(__xludf.DUMMYFUNCTION("""COMPUTED_VALUE"""),"Work with 2 to 3 people in my team")</f>
        <v>Work with 2 to 3 people in my team</v>
      </c>
      <c r="Q999" s="1" t="str">
        <f ca="1">IFERROR(__xludf.DUMMYFUNCTION("""COMPUTED_VALUE"""),"I have NO other choice")</f>
        <v>I have NO other choice</v>
      </c>
      <c r="R999" s="1" t="str">
        <f ca="1">IFERROR(__xludf.DUMMYFUNCTION("""COMPUTED_VALUE"""),"This will be hard to do, but if it is the right company I would try")</f>
        <v>This will be hard to do, but if it is the right company I would try</v>
      </c>
      <c r="S999" s="1"/>
    </row>
    <row r="1000" spans="1:19" ht="12.5" x14ac:dyDescent="0.25">
      <c r="A1000" s="2">
        <f ca="1">IFERROR(__xludf.DUMMYFUNCTION("""COMPUTED_VALUE"""),45043.8837742824)</f>
        <v>45043.883774282403</v>
      </c>
      <c r="B1000" s="1" t="str">
        <f ca="1">IFERROR(__xludf.DUMMYFUNCTION("""COMPUTED_VALUE"""),"India")</f>
        <v>India</v>
      </c>
      <c r="C1000" s="1">
        <f ca="1">IFERROR(__xludf.DUMMYFUNCTION("""COMPUTED_VALUE"""),440030)</f>
        <v>440030</v>
      </c>
      <c r="D1000" s="1" t="str">
        <f ca="1">IFERROR(__xludf.DUMMYFUNCTION("""COMPUTED_VALUE"""),"Male")</f>
        <v>Male</v>
      </c>
      <c r="E1000" s="1" t="str">
        <f ca="1">IFERROR(__xludf.DUMMYFUNCTION("""COMPUTED_VALUE"""),"Influencers who had successful careers")</f>
        <v>Influencers who had successful careers</v>
      </c>
      <c r="F1000" s="1" t="str">
        <f ca="1">IFERROR(__xludf.DUMMYFUNCTION("""COMPUTED_VALUE"""),"Yes, I will earn and do that")</f>
        <v>Yes, I will earn and do that</v>
      </c>
      <c r="G1000" s="1" t="str">
        <f ca="1">IFERROR(__xludf.DUMMYFUNCTION("""COMPUTED_VALUE"""),"This will be hard to do, but if it is the right company I would try")</f>
        <v>This will be hard to do, but if it is the right company I would try</v>
      </c>
      <c r="H1000" s="1" t="str">
        <f ca="1">IFERROR(__xludf.DUMMYFUNCTION("""COMPUTED_VALUE"""),"No")</f>
        <v>No</v>
      </c>
      <c r="I1000" s="1" t="str">
        <f ca="1">IFERROR(__xludf.DUMMYFUNCTION("""COMPUTED_VALUE"""),"Will NOT work for them")</f>
        <v>Will NOT work for them</v>
      </c>
      <c r="J1000" s="1">
        <f ca="1">IFERROR(__xludf.DUMMYFUNCTION("""COMPUTED_VALUE"""),5)</f>
        <v>5</v>
      </c>
      <c r="K1000" s="1" t="str">
        <f ca="1">IFERROR(__xludf.DUMMYFUNCTION("""COMPUTED_VALUE"""),"Hybrid Working Environment with more than 15 days a month at office")</f>
        <v>Hybrid Working Environment with more than 15 days a month at office</v>
      </c>
      <c r="L10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00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1000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0" s="1" t="str">
        <f ca="1">IFERROR(__xludf.DUMMYFUNCTION("""COMPUTED_VALUE"""),"Work with 5 to 6 people in my team")</f>
        <v>Work with 5 to 6 people in my team</v>
      </c>
      <c r="Q1000" s="1" t="str">
        <f ca="1">IFERROR(__xludf.DUMMYFUNCTION("""COMPUTED_VALUE"""),"Yes, I Understand this is gonna happen everywhere")</f>
        <v>Yes, I Understand this is gonna happen everywhere</v>
      </c>
      <c r="R1000" s="1" t="str">
        <f ca="1">IFERROR(__xludf.DUMMYFUNCTION("""COMPUTED_VALUE"""),"This will be hard to do, but if it is the right company I would try")</f>
        <v>This will be hard to do, but if it is the right company I would try</v>
      </c>
      <c r="S1000" s="1"/>
    </row>
    <row r="1001" spans="1:19" ht="12.5" x14ac:dyDescent="0.25">
      <c r="A1001" s="2">
        <f ca="1">IFERROR(__xludf.DUMMYFUNCTION("""COMPUTED_VALUE"""),45043.8841438541)</f>
        <v>45043.884143854099</v>
      </c>
      <c r="B1001" s="1" t="str">
        <f ca="1">IFERROR(__xludf.DUMMYFUNCTION("""COMPUTED_VALUE"""),"India")</f>
        <v>India</v>
      </c>
      <c r="C1001" s="1">
        <f ca="1">IFERROR(__xludf.DUMMYFUNCTION("""COMPUTED_VALUE"""),500068)</f>
        <v>500068</v>
      </c>
      <c r="D1001" s="1" t="str">
        <f ca="1">IFERROR(__xludf.DUMMYFUNCTION("""COMPUTED_VALUE"""),"Male")</f>
        <v>Male</v>
      </c>
      <c r="E1001" s="1" t="str">
        <f ca="1">IFERROR(__xludf.DUMMYFUNCTION("""COMPUTED_VALUE"""),"Influencers who had successful careers")</f>
        <v>Influencers who had successful careers</v>
      </c>
      <c r="F1001" s="1" t="str">
        <f ca="1">IFERROR(__xludf.DUMMYFUNCTION("""COMPUTED_VALUE"""),"Yes, I will earn and do that")</f>
        <v>Yes, I will earn and do that</v>
      </c>
      <c r="G1001" s="1" t="str">
        <f ca="1">IFERROR(__xludf.DUMMYFUNCTION("""COMPUTED_VALUE"""),"Will work for 3 years or more")</f>
        <v>Will work for 3 years or more</v>
      </c>
      <c r="H1001" s="1" t="str">
        <f ca="1">IFERROR(__xludf.DUMMYFUNCTION("""COMPUTED_VALUE"""),"No")</f>
        <v>No</v>
      </c>
      <c r="I1001" s="1" t="str">
        <f ca="1">IFERROR(__xludf.DUMMYFUNCTION("""COMPUTED_VALUE"""),"Will NOT work for them")</f>
        <v>Will NOT work for them</v>
      </c>
      <c r="J1001" s="1">
        <f ca="1">IFERROR(__xludf.DUMMYFUNCTION("""COMPUTED_VALUE"""),2)</f>
        <v>2</v>
      </c>
      <c r="K1001" s="1" t="str">
        <f ca="1">IFERROR(__xludf.DUMMYFUNCTION("""COMPUTED_VALUE"""),"Hybrid Working Environment with more than 15 days a month at office")</f>
        <v>Hybrid Working Environment with more than 15 days a month at office</v>
      </c>
      <c r="L10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01" s="1" t="str">
        <f ca="1">IFERROR(__xludf.DUMMYFUNCTION("""COMPUTED_VALUE"""),"Design and Creative strategy in any company, Look deeply into Data and generate insights, Become a content Creator in some platform, An Artificial Intelligence Specialist / Talking to Robots")</f>
        <v>Design and Creative strategy in any company, Look deeply into Data and generate insights, Become a content Creator in some platform, An Artificial Intelligence Specialist / Talking to Robots</v>
      </c>
      <c r="O100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1" s="1" t="str">
        <f ca="1">IFERROR(__xludf.DUMMYFUNCTION("""COMPUTED_VALUE"""),"Work with 2 to 3 people in my team")</f>
        <v>Work with 2 to 3 people in my team</v>
      </c>
      <c r="Q1001" s="1" t="str">
        <f ca="1">IFERROR(__xludf.DUMMYFUNCTION("""COMPUTED_VALUE"""),"Yes, I Understand this is gonna happen everywhere")</f>
        <v>Yes, I Understand this is gonna happen everywhere</v>
      </c>
      <c r="R1001" s="1" t="str">
        <f ca="1">IFERROR(__xludf.DUMMYFUNCTION("""COMPUTED_VALUE"""),"This will be hard to do, but if it is the right company I would try")</f>
        <v>This will be hard to do, but if it is the right company I would try</v>
      </c>
      <c r="S1001" s="1"/>
    </row>
    <row r="1002" spans="1:19" ht="12.5" x14ac:dyDescent="0.25">
      <c r="A1002" s="2">
        <f ca="1">IFERROR(__xludf.DUMMYFUNCTION("""COMPUTED_VALUE"""),45043.8844094328)</f>
        <v>45043.884409432801</v>
      </c>
      <c r="B1002" s="1" t="str">
        <f ca="1">IFERROR(__xludf.DUMMYFUNCTION("""COMPUTED_VALUE"""),"India")</f>
        <v>India</v>
      </c>
      <c r="C1002" s="1">
        <f ca="1">IFERROR(__xludf.DUMMYFUNCTION("""COMPUTED_VALUE"""),500072)</f>
        <v>500072</v>
      </c>
      <c r="D1002" s="1" t="str">
        <f ca="1">IFERROR(__xludf.DUMMYFUNCTION("""COMPUTED_VALUE"""),"Female")</f>
        <v>Female</v>
      </c>
      <c r="E1002" s="1" t="str">
        <f ca="1">IFERROR(__xludf.DUMMYFUNCTION("""COMPUTED_VALUE"""),"People who have changed the world for better")</f>
        <v>People who have changed the world for better</v>
      </c>
      <c r="F1002" s="1" t="str">
        <f ca="1">IFERROR(__xludf.DUMMYFUNCTION("""COMPUTED_VALUE"""),"No, But if someone could bare the cost I will")</f>
        <v>No, But if someone could bare the cost I will</v>
      </c>
      <c r="G1002" s="1" t="str">
        <f ca="1">IFERROR(__xludf.DUMMYFUNCTION("""COMPUTED_VALUE"""),"Will work for 3 years or more")</f>
        <v>Will work for 3 years or more</v>
      </c>
      <c r="H1002" s="1" t="str">
        <f ca="1">IFERROR(__xludf.DUMMYFUNCTION("""COMPUTED_VALUE"""),"Yes")</f>
        <v>Yes</v>
      </c>
      <c r="I1002" s="1" t="str">
        <f ca="1">IFERROR(__xludf.DUMMYFUNCTION("""COMPUTED_VALUE"""),"Will work for them")</f>
        <v>Will work for them</v>
      </c>
      <c r="J1002" s="1">
        <f ca="1">IFERROR(__xludf.DUMMYFUNCTION("""COMPUTED_VALUE"""),10)</f>
        <v>10</v>
      </c>
      <c r="K1002" s="1" t="str">
        <f ca="1">IFERROR(__xludf.DUMMYFUNCTION("""COMPUTED_VALUE"""),"Fully Remote with Options to travel as and when needed")</f>
        <v>Fully Remote with Options to travel as and when needed</v>
      </c>
      <c r="L10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002" s="1" t="str">
        <f ca="1">IFERROR(__xludf.DUMMYFUNCTION("""COMPUTED_VALUE"""),"Teaching in any of the institutes/colleges/online or offline, Business Operations in any organization, Manage and drive End-to-End Projects or Products, Look deeply into Data and generate insights")</f>
        <v>Teaching in any of the institutes/colleges/online or offline, Business Operations in any organization, Manage and drive End-to-End Projects or Products, Look deeply into Data and generate insights</v>
      </c>
      <c r="O10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2" s="1" t="str">
        <f ca="1">IFERROR(__xludf.DUMMYFUNCTION("""COMPUTED_VALUE"""),"Work alone, Work with 2 to 3 people in my team")</f>
        <v>Work alone, Work with 2 to 3 people in my team</v>
      </c>
      <c r="Q1002" s="1" t="str">
        <f ca="1">IFERROR(__xludf.DUMMYFUNCTION("""COMPUTED_VALUE"""),"Yes, I Understand this is gonna happen everywhere")</f>
        <v>Yes, I Understand this is gonna happen everywhere</v>
      </c>
      <c r="R1002" s="1" t="str">
        <f ca="1">IFERROR(__xludf.DUMMYFUNCTION("""COMPUTED_VALUE"""),"This will be hard to do, but if it is the right company I would try")</f>
        <v>This will be hard to do, but if it is the right company I would try</v>
      </c>
      <c r="S1002" s="1"/>
    </row>
    <row r="1003" spans="1:19" ht="12.5" x14ac:dyDescent="0.25">
      <c r="A1003" s="2">
        <f ca="1">IFERROR(__xludf.DUMMYFUNCTION("""COMPUTED_VALUE"""),45043.8847065393)</f>
        <v>45043.884706539298</v>
      </c>
      <c r="B1003" s="1" t="str">
        <f ca="1">IFERROR(__xludf.DUMMYFUNCTION("""COMPUTED_VALUE"""),"India")</f>
        <v>India</v>
      </c>
      <c r="C1003" s="1">
        <f ca="1">IFERROR(__xludf.DUMMYFUNCTION("""COMPUTED_VALUE"""),509216)</f>
        <v>509216</v>
      </c>
      <c r="D1003" s="1" t="str">
        <f ca="1">IFERROR(__xludf.DUMMYFUNCTION("""COMPUTED_VALUE"""),"Male")</f>
        <v>Male</v>
      </c>
      <c r="E1003" s="1" t="str">
        <f ca="1">IFERROR(__xludf.DUMMYFUNCTION("""COMPUTED_VALUE"""),"Influencers who had successful careers")</f>
        <v>Influencers who had successful careers</v>
      </c>
      <c r="F1003" s="1" t="str">
        <f ca="1">IFERROR(__xludf.DUMMYFUNCTION("""COMPUTED_VALUE"""),"Yes, I will earn and do that")</f>
        <v>Yes, I will earn and do that</v>
      </c>
      <c r="G1003" s="1" t="str">
        <f ca="1">IFERROR(__xludf.DUMMYFUNCTION("""COMPUTED_VALUE"""),"Will work for 3 years or more")</f>
        <v>Will work for 3 years or more</v>
      </c>
      <c r="H1003" s="1" t="str">
        <f ca="1">IFERROR(__xludf.DUMMYFUNCTION("""COMPUTED_VALUE"""),"No")</f>
        <v>No</v>
      </c>
      <c r="I1003" s="1" t="str">
        <f ca="1">IFERROR(__xludf.DUMMYFUNCTION("""COMPUTED_VALUE"""),"Will NOT work for them")</f>
        <v>Will NOT work for them</v>
      </c>
      <c r="J1003" s="1">
        <f ca="1">IFERROR(__xludf.DUMMYFUNCTION("""COMPUTED_VALUE"""),5)</f>
        <v>5</v>
      </c>
      <c r="K1003" s="1" t="str">
        <f ca="1">IFERROR(__xludf.DUMMYFUNCTION("""COMPUTED_VALUE"""),"Hybrid Working Environment with more than 15 days a month at office")</f>
        <v>Hybrid Working Environment with more than 15 days a month at office</v>
      </c>
      <c r="L10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03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1003" s="1" t="str">
        <f ca="1">IFERROR(__xludf.DUMMYFUNCTION("""COMPUTED_VALUE"""),"Manager who sets goal and helps me achieve it")</f>
        <v>Manager who sets goal and helps me achieve it</v>
      </c>
      <c r="P1003" s="1" t="str">
        <f ca="1">IFERROR(__xludf.DUMMYFUNCTION("""COMPUTED_VALUE"""),"Work with 5 to 6 people in my team")</f>
        <v>Work with 5 to 6 people in my team</v>
      </c>
      <c r="Q1003" s="1" t="str">
        <f ca="1">IFERROR(__xludf.DUMMYFUNCTION("""COMPUTED_VALUE"""),"No")</f>
        <v>No</v>
      </c>
      <c r="R1003" s="1" t="str">
        <f ca="1">IFERROR(__xludf.DUMMYFUNCTION("""COMPUTED_VALUE"""),"This will be hard to do, but if it is the right company I would try")</f>
        <v>This will be hard to do, but if it is the right company I would try</v>
      </c>
      <c r="S1003" s="1"/>
    </row>
    <row r="1004" spans="1:19" ht="12.5" x14ac:dyDescent="0.25">
      <c r="A1004" s="2">
        <f ca="1">IFERROR(__xludf.DUMMYFUNCTION("""COMPUTED_VALUE"""),45043.8870573726)</f>
        <v>45043.887057372602</v>
      </c>
      <c r="B1004" s="1" t="str">
        <f ca="1">IFERROR(__xludf.DUMMYFUNCTION("""COMPUTED_VALUE"""),"India")</f>
        <v>India</v>
      </c>
      <c r="C1004" s="1">
        <f ca="1">IFERROR(__xludf.DUMMYFUNCTION("""COMPUTED_VALUE"""),781012)</f>
        <v>781012</v>
      </c>
      <c r="D1004" s="1" t="str">
        <f ca="1">IFERROR(__xludf.DUMMYFUNCTION("""COMPUTED_VALUE"""),"Female")</f>
        <v>Female</v>
      </c>
      <c r="E1004" s="1" t="str">
        <f ca="1">IFERROR(__xludf.DUMMYFUNCTION("""COMPUTED_VALUE"""),"Influencers who had successful careers")</f>
        <v>Influencers who had successful careers</v>
      </c>
      <c r="F1004" s="1" t="str">
        <f ca="1">IFERROR(__xludf.DUMMYFUNCTION("""COMPUTED_VALUE"""),"Yes, I will earn and do that")</f>
        <v>Yes, I will earn and do that</v>
      </c>
      <c r="G1004" s="1" t="str">
        <f ca="1">IFERROR(__xludf.DUMMYFUNCTION("""COMPUTED_VALUE"""),"This will be hard to do, but if it is the right company I would try")</f>
        <v>This will be hard to do, but if it is the right company I would try</v>
      </c>
      <c r="H1004" s="1" t="str">
        <f ca="1">IFERROR(__xludf.DUMMYFUNCTION("""COMPUTED_VALUE"""),"No")</f>
        <v>No</v>
      </c>
      <c r="I1004" s="1" t="str">
        <f ca="1">IFERROR(__xludf.DUMMYFUNCTION("""COMPUTED_VALUE"""),"Will NOT work for them")</f>
        <v>Will NOT work for them</v>
      </c>
      <c r="J1004" s="1">
        <f ca="1">IFERROR(__xludf.DUMMYFUNCTION("""COMPUTED_VALUE"""),3)</f>
        <v>3</v>
      </c>
      <c r="K1004" s="1" t="str">
        <f ca="1">IFERROR(__xludf.DUMMYFUNCTION("""COMPUTED_VALUE"""),"Fully Remote with Options to travel as and when needed")</f>
        <v>Fully Remote with Options to travel as and when needed</v>
      </c>
      <c r="L10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004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004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4" s="1" t="str">
        <f ca="1">IFERROR(__xludf.DUMMYFUNCTION("""COMPUTED_VALUE"""),"Work with 2 to 3 people in my team")</f>
        <v>Work with 2 to 3 people in my team</v>
      </c>
      <c r="Q1004" s="1" t="str">
        <f ca="1">IFERROR(__xludf.DUMMYFUNCTION("""COMPUTED_VALUE"""),"No")</f>
        <v>No</v>
      </c>
      <c r="R1004" s="1" t="str">
        <f ca="1">IFERROR(__xludf.DUMMYFUNCTION("""COMPUTED_VALUE"""),"This will be hard to do, but if it is the right company I would try")</f>
        <v>This will be hard to do, but if it is the right company I would try</v>
      </c>
      <c r="S1004" s="1"/>
    </row>
    <row r="1005" spans="1:19" ht="12.5" x14ac:dyDescent="0.25">
      <c r="A1005" s="2">
        <f ca="1">IFERROR(__xludf.DUMMYFUNCTION("""COMPUTED_VALUE"""),45043.8875142245)</f>
        <v>45043.887514224502</v>
      </c>
      <c r="B1005" s="1" t="str">
        <f ca="1">IFERROR(__xludf.DUMMYFUNCTION("""COMPUTED_VALUE"""),"India")</f>
        <v>India</v>
      </c>
      <c r="C1005" s="1">
        <f ca="1">IFERROR(__xludf.DUMMYFUNCTION("""COMPUTED_VALUE"""),560036)</f>
        <v>560036</v>
      </c>
      <c r="D1005" s="1" t="str">
        <f ca="1">IFERROR(__xludf.DUMMYFUNCTION("""COMPUTED_VALUE"""),"Female")</f>
        <v>Female</v>
      </c>
      <c r="E1005" s="1" t="str">
        <f ca="1">IFERROR(__xludf.DUMMYFUNCTION("""COMPUTED_VALUE"""),"Influencers who had successful careers")</f>
        <v>Influencers who had successful careers</v>
      </c>
      <c r="F1005" s="1" t="str">
        <f ca="1">IFERROR(__xludf.DUMMYFUNCTION("""COMPUTED_VALUE"""),"No I would not be pursuing Higher Education outside of India")</f>
        <v>No I would not be pursuing Higher Education outside of India</v>
      </c>
      <c r="G1005" s="1" t="str">
        <f ca="1">IFERROR(__xludf.DUMMYFUNCTION("""COMPUTED_VALUE"""),"Will work for 3 years or more")</f>
        <v>Will work for 3 years or more</v>
      </c>
      <c r="H1005" s="1" t="str">
        <f ca="1">IFERROR(__xludf.DUMMYFUNCTION("""COMPUTED_VALUE"""),"No")</f>
        <v>No</v>
      </c>
      <c r="I1005" s="1" t="str">
        <f ca="1">IFERROR(__xludf.DUMMYFUNCTION("""COMPUTED_VALUE"""),"Will NOT work for them")</f>
        <v>Will NOT work for them</v>
      </c>
      <c r="J1005" s="1">
        <f ca="1">IFERROR(__xludf.DUMMYFUNCTION("""COMPUTED_VALUE"""),2)</f>
        <v>2</v>
      </c>
      <c r="K1005" s="1" t="str">
        <f ca="1">IFERROR(__xludf.DUMMYFUNCTION("""COMPUTED_VALUE"""),"Hybrid Working Environment with less than 3 days a month at office")</f>
        <v>Hybrid Working Environment with less than 3 days a month at office</v>
      </c>
      <c r="L10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005" s="1" t="str">
        <f ca="1">IFERROR(__xludf.DUMMYFUNCTION("""COMPUTED_VALUE"""),"Manage and drive End-to-End Projects or Products, Look deeply into Data and generate insights, Work as a freelancer and do my thing my way, Become a content Creator in some platform")</f>
        <v>Manage and drive End-to-End Projects or Products, Look deeply into Data and generate insights, Work as a freelancer and do my thing my way, Become a content Creator in some platform</v>
      </c>
      <c r="O1005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5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005" s="1" t="str">
        <f ca="1">IFERROR(__xludf.DUMMYFUNCTION("""COMPUTED_VALUE"""),"No")</f>
        <v>No</v>
      </c>
      <c r="R1005" s="1" t="str">
        <f ca="1">IFERROR(__xludf.DUMMYFUNCTION("""COMPUTED_VALUE"""),"This will be hard to do, but if it is the right company I would try")</f>
        <v>This will be hard to do, but if it is the right company I would try</v>
      </c>
      <c r="S1005" s="1"/>
    </row>
    <row r="1006" spans="1:19" ht="12.5" x14ac:dyDescent="0.25">
      <c r="A1006" s="2">
        <f ca="1">IFERROR(__xludf.DUMMYFUNCTION("""COMPUTED_VALUE"""),45043.8878621643)</f>
        <v>45043.887862164302</v>
      </c>
      <c r="B1006" s="1" t="str">
        <f ca="1">IFERROR(__xludf.DUMMYFUNCTION("""COMPUTED_VALUE"""),"India")</f>
        <v>India</v>
      </c>
      <c r="C1006" s="1">
        <f ca="1">IFERROR(__xludf.DUMMYFUNCTION("""COMPUTED_VALUE"""),500077)</f>
        <v>500077</v>
      </c>
      <c r="D1006" s="1" t="str">
        <f ca="1">IFERROR(__xludf.DUMMYFUNCTION("""COMPUTED_VALUE"""),"Female")</f>
        <v>Female</v>
      </c>
      <c r="E1006" s="1" t="str">
        <f ca="1">IFERROR(__xludf.DUMMYFUNCTION("""COMPUTED_VALUE"""),"People from my circle, but not family members")</f>
        <v>People from my circle, but not family members</v>
      </c>
      <c r="F1006" s="1" t="str">
        <f ca="1">IFERROR(__xludf.DUMMYFUNCTION("""COMPUTED_VALUE"""),"Yes, I will earn and do that")</f>
        <v>Yes, I will earn and do that</v>
      </c>
      <c r="G1006" s="1" t="str">
        <f ca="1">IFERROR(__xludf.DUMMYFUNCTION("""COMPUTED_VALUE"""),"Will work for 3 years or more")</f>
        <v>Will work for 3 years or more</v>
      </c>
      <c r="H1006" s="1" t="str">
        <f ca="1">IFERROR(__xludf.DUMMYFUNCTION("""COMPUTED_VALUE"""),"No")</f>
        <v>No</v>
      </c>
      <c r="I1006" s="1" t="str">
        <f ca="1">IFERROR(__xludf.DUMMYFUNCTION("""COMPUTED_VALUE"""),"Will NOT work for them")</f>
        <v>Will NOT work for them</v>
      </c>
      <c r="J1006" s="1">
        <f ca="1">IFERROR(__xludf.DUMMYFUNCTION("""COMPUTED_VALUE"""),7)</f>
        <v>7</v>
      </c>
      <c r="K1006" s="1" t="str">
        <f ca="1">IFERROR(__xludf.DUMMYFUNCTION("""COMPUTED_VALUE"""),"Hybrid Working Environment with less than 3 days a month at office")</f>
        <v>Hybrid Working Environment with less than 3 days a month at office</v>
      </c>
      <c r="L10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006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006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6" s="1" t="str">
        <f ca="1">IFERROR(__xludf.DUMMYFUNCTION("""COMPUTED_VALUE"""),"Work with 5 to 6 people in my team")</f>
        <v>Work with 5 to 6 people in my team</v>
      </c>
      <c r="Q1006" s="1" t="str">
        <f ca="1">IFERROR(__xludf.DUMMYFUNCTION("""COMPUTED_VALUE"""),"Yes, I Understand this is gonna happen everywhere")</f>
        <v>Yes, I Understand this is gonna happen everywhere</v>
      </c>
      <c r="R1006" s="1" t="str">
        <f ca="1">IFERROR(__xludf.DUMMYFUNCTION("""COMPUTED_VALUE"""),"This will be hard to do, but if it is the right company I would try")</f>
        <v>This will be hard to do, but if it is the right company I would try</v>
      </c>
      <c r="S1006" s="1"/>
    </row>
    <row r="1007" spans="1:19" ht="12.5" x14ac:dyDescent="0.25">
      <c r="A1007" s="2">
        <f ca="1">IFERROR(__xludf.DUMMYFUNCTION("""COMPUTED_VALUE"""),45043.8895241666)</f>
        <v>45043.889524166603</v>
      </c>
      <c r="B1007" s="1" t="str">
        <f ca="1">IFERROR(__xludf.DUMMYFUNCTION("""COMPUTED_VALUE"""),"India")</f>
        <v>India</v>
      </c>
      <c r="C1007" s="1">
        <f ca="1">IFERROR(__xludf.DUMMYFUNCTION("""COMPUTED_VALUE"""),364710)</f>
        <v>364710</v>
      </c>
      <c r="D1007" s="1" t="str">
        <f ca="1">IFERROR(__xludf.DUMMYFUNCTION("""COMPUTED_VALUE"""),"Female")</f>
        <v>Female</v>
      </c>
      <c r="E1007" s="1" t="str">
        <f ca="1">IFERROR(__xludf.DUMMYFUNCTION("""COMPUTED_VALUE"""),"My Parents")</f>
        <v>My Parents</v>
      </c>
      <c r="F1007" s="1" t="str">
        <f ca="1">IFERROR(__xludf.DUMMYFUNCTION("""COMPUTED_VALUE"""),"No I would not be pursuing Higher Education outside of India")</f>
        <v>No I would not be pursuing Higher Education outside of India</v>
      </c>
      <c r="G1007" s="1" t="str">
        <f ca="1">IFERROR(__xludf.DUMMYFUNCTION("""COMPUTED_VALUE"""),"This will be hard to do, but if it is the right company I would try")</f>
        <v>This will be hard to do, but if it is the right company I would try</v>
      </c>
      <c r="H1007" s="1" t="str">
        <f ca="1">IFERROR(__xludf.DUMMYFUNCTION("""COMPUTED_VALUE"""),"No")</f>
        <v>No</v>
      </c>
      <c r="I1007" s="1" t="str">
        <f ca="1">IFERROR(__xludf.DUMMYFUNCTION("""COMPUTED_VALUE"""),"Will NOT work for them")</f>
        <v>Will NOT work for them</v>
      </c>
      <c r="J1007" s="1">
        <f ca="1">IFERROR(__xludf.DUMMYFUNCTION("""COMPUTED_VALUE"""),4)</f>
        <v>4</v>
      </c>
      <c r="K1007" s="1" t="str">
        <f ca="1">IFERROR(__xludf.DUMMYFUNCTION("""COMPUTED_VALUE"""),"Hybrid Working Environment with more than 15 days a month at office")</f>
        <v>Hybrid Working Environment with more than 15 days a month at office</v>
      </c>
      <c r="L1007" s="1" t="str">
        <f ca="1">IFERROR(__xludf.DUMMYFUNCTION("""COMPUTED_VALUE"""),"Employer who appreciates learning and enables that environment")</f>
        <v>Employer who appreciates learning and enables that environment</v>
      </c>
      <c r="M10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07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100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7" s="1" t="str">
        <f ca="1">IFERROR(__xludf.DUMMYFUNCTION("""COMPUTED_VALUE"""),"Work with 2 to 3 people in my team")</f>
        <v>Work with 2 to 3 people in my team</v>
      </c>
      <c r="Q1007" s="1" t="str">
        <f ca="1">IFERROR(__xludf.DUMMYFUNCTION("""COMPUTED_VALUE"""),"I have NO other choice")</f>
        <v>I have NO other choice</v>
      </c>
      <c r="R1007" s="1" t="str">
        <f ca="1">IFERROR(__xludf.DUMMYFUNCTION("""COMPUTED_VALUE"""),"No way")</f>
        <v>No way</v>
      </c>
      <c r="S1007" s="1"/>
    </row>
    <row r="1008" spans="1:19" ht="12.5" x14ac:dyDescent="0.25">
      <c r="A1008" s="2">
        <f ca="1">IFERROR(__xludf.DUMMYFUNCTION("""COMPUTED_VALUE"""),45043.8898105902)</f>
        <v>45043.889810590197</v>
      </c>
      <c r="B1008" s="1" t="str">
        <f ca="1">IFERROR(__xludf.DUMMYFUNCTION("""COMPUTED_VALUE"""),"India")</f>
        <v>India</v>
      </c>
      <c r="C1008" s="1">
        <f ca="1">IFERROR(__xludf.DUMMYFUNCTION("""COMPUTED_VALUE"""),201306)</f>
        <v>201306</v>
      </c>
      <c r="D1008" s="1" t="str">
        <f ca="1">IFERROR(__xludf.DUMMYFUNCTION("""COMPUTED_VALUE"""),"Female")</f>
        <v>Female</v>
      </c>
      <c r="E1008" s="1" t="str">
        <f ca="1">IFERROR(__xludf.DUMMYFUNCTION("""COMPUTED_VALUE"""),"People from my circle, but not family members")</f>
        <v>People from my circle, but not family members</v>
      </c>
      <c r="F1008" s="1" t="str">
        <f ca="1">IFERROR(__xludf.DUMMYFUNCTION("""COMPUTED_VALUE"""),"No I would not be pursuing Higher Education outside of India")</f>
        <v>No I would not be pursuing Higher Education outside of India</v>
      </c>
      <c r="G1008" s="1" t="str">
        <f ca="1">IFERROR(__xludf.DUMMYFUNCTION("""COMPUTED_VALUE"""),"Will work for 3 years or more")</f>
        <v>Will work for 3 years or more</v>
      </c>
      <c r="H1008" s="1" t="str">
        <f ca="1">IFERROR(__xludf.DUMMYFUNCTION("""COMPUTED_VALUE"""),"No")</f>
        <v>No</v>
      </c>
      <c r="I1008" s="1" t="str">
        <f ca="1">IFERROR(__xludf.DUMMYFUNCTION("""COMPUTED_VALUE"""),"Will NOT work for them")</f>
        <v>Will NOT work for them</v>
      </c>
      <c r="J1008" s="1">
        <f ca="1">IFERROR(__xludf.DUMMYFUNCTION("""COMPUTED_VALUE"""),8)</f>
        <v>8</v>
      </c>
      <c r="K1008" s="1" t="str">
        <f ca="1">IFERROR(__xludf.DUMMYFUNCTION("""COMPUTED_VALUE"""),"Every Day Office Environment")</f>
        <v>Every Day Office Environment</v>
      </c>
      <c r="L1008" s="1" t="str">
        <f ca="1">IFERROR(__xludf.DUMMYFUNCTION("""COMPUTED_VALUE"""),"Employer who appreciates learning and enables that environment")</f>
        <v>Employer who appreciates learning and enables that environment</v>
      </c>
      <c r="M100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0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008" s="1" t="str">
        <f ca="1">IFERROR(__xludf.DUMMYFUNCTION("""COMPUTED_VALUE"""),"Manager who explains what is expected, sets a goal and helps achieve it")</f>
        <v>Manager who explains what is expected, sets a goal and helps achieve it</v>
      </c>
      <c r="P1008" s="1" t="str">
        <f ca="1">IFERROR(__xludf.DUMMYFUNCTION("""COMPUTED_VALUE"""),"Work with 2 to 3 people in my team")</f>
        <v>Work with 2 to 3 people in my team</v>
      </c>
      <c r="Q1008" s="1" t="str">
        <f ca="1">IFERROR(__xludf.DUMMYFUNCTION("""COMPUTED_VALUE"""),"I have NO other choice")</f>
        <v>I have NO other choice</v>
      </c>
      <c r="R1008" s="1" t="str">
        <f ca="1">IFERROR(__xludf.DUMMYFUNCTION("""COMPUTED_VALUE"""),"This will be hard to do, but if it is the right company I would try")</f>
        <v>This will be hard to do, but if it is the right company I would try</v>
      </c>
      <c r="S1008" s="1"/>
    </row>
    <row r="1009" spans="1:19" ht="12.5" x14ac:dyDescent="0.25">
      <c r="A1009" s="2">
        <f ca="1">IFERROR(__xludf.DUMMYFUNCTION("""COMPUTED_VALUE"""),45043.8900260648)</f>
        <v>45043.890026064801</v>
      </c>
      <c r="B1009" s="1" t="str">
        <f ca="1">IFERROR(__xludf.DUMMYFUNCTION("""COMPUTED_VALUE"""),"India")</f>
        <v>India</v>
      </c>
      <c r="C1009" s="1">
        <f ca="1">IFERROR(__xludf.DUMMYFUNCTION("""COMPUTED_VALUE"""),500005)</f>
        <v>500005</v>
      </c>
      <c r="D1009" s="1" t="str">
        <f ca="1">IFERROR(__xludf.DUMMYFUNCTION("""COMPUTED_VALUE"""),"Female")</f>
        <v>Female</v>
      </c>
      <c r="E1009" s="1" t="str">
        <f ca="1">IFERROR(__xludf.DUMMYFUNCTION("""COMPUTED_VALUE"""),"People from my circle, but not family members")</f>
        <v>People from my circle, but not family members</v>
      </c>
      <c r="F1009" s="1" t="str">
        <f ca="1">IFERROR(__xludf.DUMMYFUNCTION("""COMPUTED_VALUE"""),"No, But if someone could bare the cost I will")</f>
        <v>No, But if someone could bare the cost I will</v>
      </c>
      <c r="G1009" s="1" t="str">
        <f ca="1">IFERROR(__xludf.DUMMYFUNCTION("""COMPUTED_VALUE"""),"This will be hard to do, but if it is the right company I would try")</f>
        <v>This will be hard to do, but if it is the right company I would try</v>
      </c>
      <c r="H1009" s="1" t="str">
        <f ca="1">IFERROR(__xludf.DUMMYFUNCTION("""COMPUTED_VALUE"""),"Yes")</f>
        <v>Yes</v>
      </c>
      <c r="I1009" s="1" t="str">
        <f ca="1">IFERROR(__xludf.DUMMYFUNCTION("""COMPUTED_VALUE"""),"Will NOT work for them")</f>
        <v>Will NOT work for them</v>
      </c>
      <c r="J1009" s="1">
        <f ca="1">IFERROR(__xludf.DUMMYFUNCTION("""COMPUTED_VALUE"""),7)</f>
        <v>7</v>
      </c>
      <c r="K1009" s="1" t="str">
        <f ca="1">IFERROR(__xludf.DUMMYFUNCTION("""COMPUTED_VALUE"""),"Every Day Office Environment")</f>
        <v>Every Day Office Environment</v>
      </c>
      <c r="L10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0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09" s="1" t="str">
        <f ca="1">IFERROR(__xludf.DUMMYFUNCTION("""COMPUTED_VALUE"""),"Business Operations in any organization, Manage and drive End-to-End Projects or Products, Work as a freelancer and do my thing my way, Entrepreneur or Start Up")</f>
        <v>Business Operations in any organization, Manage and drive End-to-End Projects or Products, Work as a freelancer and do my thing my way, Entrepreneur or Start Up</v>
      </c>
      <c r="O1009" s="1" t="str">
        <f ca="1">IFERROR(__xludf.DUMMYFUNCTION("""COMPUTED_VALUE"""),"Manager who sets goal and helps me achieve it")</f>
        <v>Manager who sets goal and helps me achieve it</v>
      </c>
      <c r="P1009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009" s="1" t="str">
        <f ca="1">IFERROR(__xludf.DUMMYFUNCTION("""COMPUTED_VALUE"""),"No")</f>
        <v>No</v>
      </c>
      <c r="R1009" s="1" t="str">
        <f ca="1">IFERROR(__xludf.DUMMYFUNCTION("""COMPUTED_VALUE"""),"No way")</f>
        <v>No way</v>
      </c>
      <c r="S1009" s="1"/>
    </row>
    <row r="1010" spans="1:19" ht="12.5" x14ac:dyDescent="0.25">
      <c r="A1010" s="2">
        <f ca="1">IFERROR(__xludf.DUMMYFUNCTION("""COMPUTED_VALUE"""),45043.8914080324)</f>
        <v>45043.891408032403</v>
      </c>
      <c r="B1010" s="1" t="str">
        <f ca="1">IFERROR(__xludf.DUMMYFUNCTION("""COMPUTED_VALUE"""),"India")</f>
        <v>India</v>
      </c>
      <c r="C1010" s="1">
        <f ca="1">IFERROR(__xludf.DUMMYFUNCTION("""COMPUTED_VALUE"""),250002)</f>
        <v>250002</v>
      </c>
      <c r="D1010" s="1" t="str">
        <f ca="1">IFERROR(__xludf.DUMMYFUNCTION("""COMPUTED_VALUE"""),"Male")</f>
        <v>Male</v>
      </c>
      <c r="E1010" s="1" t="str">
        <f ca="1">IFERROR(__xludf.DUMMYFUNCTION("""COMPUTED_VALUE"""),"People who have changed the world for better")</f>
        <v>People who have changed the world for better</v>
      </c>
      <c r="F1010" s="1" t="str">
        <f ca="1">IFERROR(__xludf.DUMMYFUNCTION("""COMPUTED_VALUE"""),"Yes, I will earn and do that")</f>
        <v>Yes, I will earn and do that</v>
      </c>
      <c r="G1010" s="1" t="str">
        <f ca="1">IFERROR(__xludf.DUMMYFUNCTION("""COMPUTED_VALUE"""),"This will be hard to do, but if it is the right company I would try")</f>
        <v>This will be hard to do, but if it is the right company I would try</v>
      </c>
      <c r="H1010" s="1" t="str">
        <f ca="1">IFERROR(__xludf.DUMMYFUNCTION("""COMPUTED_VALUE"""),"No")</f>
        <v>No</v>
      </c>
      <c r="I1010" s="1" t="str">
        <f ca="1">IFERROR(__xludf.DUMMYFUNCTION("""COMPUTED_VALUE"""),"Will NOT work for them")</f>
        <v>Will NOT work for them</v>
      </c>
      <c r="J1010" s="1">
        <f ca="1">IFERROR(__xludf.DUMMYFUNCTION("""COMPUTED_VALUE"""),2)</f>
        <v>2</v>
      </c>
      <c r="K1010" s="1" t="str">
        <f ca="1">IFERROR(__xludf.DUMMYFUNCTION("""COMPUTED_VALUE"""),"Fully Remote with Options to travel as and when needed")</f>
        <v>Fully Remote with Options to travel as and when needed</v>
      </c>
      <c r="L10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1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10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010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0" s="1" t="str">
        <f ca="1">IFERROR(__xludf.DUMMYFUNCTION("""COMPUTED_VALUE"""),"Work with 5 to 6 people in my team")</f>
        <v>Work with 5 to 6 people in my team</v>
      </c>
      <c r="Q1010" s="1" t="str">
        <f ca="1">IFERROR(__xludf.DUMMYFUNCTION("""COMPUTED_VALUE"""),"Yes, I Understand this is gonna happen everywhere")</f>
        <v>Yes, I Understand this is gonna happen everywhere</v>
      </c>
      <c r="R1010" s="1" t="str">
        <f ca="1">IFERROR(__xludf.DUMMYFUNCTION("""COMPUTED_VALUE"""),"This will be hard to do, but if it is the right company I would try")</f>
        <v>This will be hard to do, but if it is the right company I would try</v>
      </c>
      <c r="S1010" s="1"/>
    </row>
    <row r="1011" spans="1:19" ht="12.5" x14ac:dyDescent="0.25">
      <c r="A1011" s="2">
        <f ca="1">IFERROR(__xludf.DUMMYFUNCTION("""COMPUTED_VALUE"""),45043.8917826041)</f>
        <v>45043.8917826041</v>
      </c>
      <c r="B1011" s="1" t="str">
        <f ca="1">IFERROR(__xludf.DUMMYFUNCTION("""COMPUTED_VALUE"""),"India")</f>
        <v>India</v>
      </c>
      <c r="C1011" s="1">
        <f ca="1">IFERROR(__xludf.DUMMYFUNCTION("""COMPUTED_VALUE"""),400709)</f>
        <v>400709</v>
      </c>
      <c r="D1011" s="1" t="str">
        <f ca="1">IFERROR(__xludf.DUMMYFUNCTION("""COMPUTED_VALUE"""),"Male")</f>
        <v>Male</v>
      </c>
      <c r="E1011" s="1" t="str">
        <f ca="1">IFERROR(__xludf.DUMMYFUNCTION("""COMPUTED_VALUE"""),"Influencers who had successful careers")</f>
        <v>Influencers who had successful careers</v>
      </c>
      <c r="F1011" s="1" t="str">
        <f ca="1">IFERROR(__xludf.DUMMYFUNCTION("""COMPUTED_VALUE"""),"Yes, I will earn and do that")</f>
        <v>Yes, I will earn and do that</v>
      </c>
      <c r="G1011" s="1" t="str">
        <f ca="1">IFERROR(__xludf.DUMMYFUNCTION("""COMPUTED_VALUE"""),"No way")</f>
        <v>No way</v>
      </c>
      <c r="H1011" s="1" t="str">
        <f ca="1">IFERROR(__xludf.DUMMYFUNCTION("""COMPUTED_VALUE"""),"No")</f>
        <v>No</v>
      </c>
      <c r="I1011" s="1" t="str">
        <f ca="1">IFERROR(__xludf.DUMMYFUNCTION("""COMPUTED_VALUE"""),"Will NOT work for them")</f>
        <v>Will NOT work for them</v>
      </c>
      <c r="J1011" s="1">
        <f ca="1">IFERROR(__xludf.DUMMYFUNCTION("""COMPUTED_VALUE"""),2)</f>
        <v>2</v>
      </c>
      <c r="K1011" s="1" t="str">
        <f ca="1">IFERROR(__xludf.DUMMYFUNCTION("""COMPUTED_VALUE"""),"Every Day Office Environment")</f>
        <v>Every Day Office Environment</v>
      </c>
      <c r="L10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1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11" s="1" t="str">
        <f ca="1">IFERROR(__xludf.DUMMYFUNCTION("""COMPUTED_VALUE"""),"Business Operations in any organization, Design and Develop amazing software, Look deeply into Data and generate insights, Entrepreneur or Start Up")</f>
        <v>Business Operations in any organization, Design and Develop amazing software, Look deeply into Data and generate insights, Entrepreneur or Start Up</v>
      </c>
      <c r="O101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1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1011" s="1" t="str">
        <f ca="1">IFERROR(__xludf.DUMMYFUNCTION("""COMPUTED_VALUE"""),"No")</f>
        <v>No</v>
      </c>
      <c r="R1011" s="1" t="str">
        <f ca="1">IFERROR(__xludf.DUMMYFUNCTION("""COMPUTED_VALUE"""),"No way")</f>
        <v>No way</v>
      </c>
      <c r="S1011" s="1"/>
    </row>
    <row r="1012" spans="1:19" ht="12.5" x14ac:dyDescent="0.25">
      <c r="A1012" s="2">
        <f ca="1">IFERROR(__xludf.DUMMYFUNCTION("""COMPUTED_VALUE"""),45043.8923026736)</f>
        <v>45043.892302673601</v>
      </c>
      <c r="B1012" s="1" t="str">
        <f ca="1">IFERROR(__xludf.DUMMYFUNCTION("""COMPUTED_VALUE"""),"India")</f>
        <v>India</v>
      </c>
      <c r="C1012" s="1">
        <f ca="1">IFERROR(__xludf.DUMMYFUNCTION("""COMPUTED_VALUE"""),492001)</f>
        <v>492001</v>
      </c>
      <c r="D1012" s="1" t="str">
        <f ca="1">IFERROR(__xludf.DUMMYFUNCTION("""COMPUTED_VALUE"""),"Male")</f>
        <v>Male</v>
      </c>
      <c r="E1012" s="1" t="str">
        <f ca="1">IFERROR(__xludf.DUMMYFUNCTION("""COMPUTED_VALUE"""),"People who have changed the world for better")</f>
        <v>People who have changed the world for better</v>
      </c>
      <c r="F1012" s="1" t="str">
        <f ca="1">IFERROR(__xludf.DUMMYFUNCTION("""COMPUTED_VALUE"""),"No I would not be pursuing Higher Education outside of India")</f>
        <v>No I would not be pursuing Higher Education outside of India</v>
      </c>
      <c r="G1012" s="1" t="str">
        <f ca="1">IFERROR(__xludf.DUMMYFUNCTION("""COMPUTED_VALUE"""),"This will be hard to do, but if it is the right company I would try")</f>
        <v>This will be hard to do, but if it is the right company I would try</v>
      </c>
      <c r="H1012" s="1" t="str">
        <f ca="1">IFERROR(__xludf.DUMMYFUNCTION("""COMPUTED_VALUE"""),"No")</f>
        <v>No</v>
      </c>
      <c r="I1012" s="1" t="str">
        <f ca="1">IFERROR(__xludf.DUMMYFUNCTION("""COMPUTED_VALUE"""),"Will NOT work for them")</f>
        <v>Will NOT work for them</v>
      </c>
      <c r="J1012" s="1">
        <f ca="1">IFERROR(__xludf.DUMMYFUNCTION("""COMPUTED_VALUE"""),7)</f>
        <v>7</v>
      </c>
      <c r="K1012" s="1" t="str">
        <f ca="1">IFERROR(__xludf.DUMMYFUNCTION("""COMPUTED_VALUE"""),"Fully Remote with Options to travel as and when needed")</f>
        <v>Fully Remote with Options to travel as and when needed</v>
      </c>
      <c r="L10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1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12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10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2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012" s="1" t="str">
        <f ca="1">IFERROR(__xludf.DUMMYFUNCTION("""COMPUTED_VALUE"""),"I have NO other choice")</f>
        <v>I have NO other choice</v>
      </c>
      <c r="R1012" s="1" t="str">
        <f ca="1">IFERROR(__xludf.DUMMYFUNCTION("""COMPUTED_VALUE"""),"This will be hard to do, but if it is the right company I would try")</f>
        <v>This will be hard to do, but if it is the right company I would try</v>
      </c>
      <c r="S1012" s="1"/>
    </row>
    <row r="1013" spans="1:19" ht="12.5" x14ac:dyDescent="0.25">
      <c r="A1013" s="2">
        <f ca="1">IFERROR(__xludf.DUMMYFUNCTION("""COMPUTED_VALUE"""),45043.8924039236)</f>
        <v>45043.892403923601</v>
      </c>
      <c r="B1013" s="1" t="str">
        <f ca="1">IFERROR(__xludf.DUMMYFUNCTION("""COMPUTED_VALUE"""),"India")</f>
        <v>India</v>
      </c>
      <c r="C1013" s="1">
        <f ca="1">IFERROR(__xludf.DUMMYFUNCTION("""COMPUTED_VALUE"""),382028)</f>
        <v>382028</v>
      </c>
      <c r="D1013" s="1" t="str">
        <f ca="1">IFERROR(__xludf.DUMMYFUNCTION("""COMPUTED_VALUE"""),"Female")</f>
        <v>Female</v>
      </c>
      <c r="E1013" s="1" t="str">
        <f ca="1">IFERROR(__xludf.DUMMYFUNCTION("""COMPUTED_VALUE"""),"Influencers who had successful careers")</f>
        <v>Influencers who had successful careers</v>
      </c>
      <c r="F1013" s="1" t="str">
        <f ca="1">IFERROR(__xludf.DUMMYFUNCTION("""COMPUTED_VALUE"""),"Yes, I will earn and do that")</f>
        <v>Yes, I will earn and do that</v>
      </c>
      <c r="G1013" s="1" t="str">
        <f ca="1">IFERROR(__xludf.DUMMYFUNCTION("""COMPUTED_VALUE"""),"This will be hard to do, but if it is the right company I would try")</f>
        <v>This will be hard to do, but if it is the right company I would try</v>
      </c>
      <c r="H1013" s="1" t="str">
        <f ca="1">IFERROR(__xludf.DUMMYFUNCTION("""COMPUTED_VALUE"""),"No")</f>
        <v>No</v>
      </c>
      <c r="I1013" s="1" t="str">
        <f ca="1">IFERROR(__xludf.DUMMYFUNCTION("""COMPUTED_VALUE"""),"Will NOT work for them")</f>
        <v>Will NOT work for them</v>
      </c>
      <c r="J1013" s="1">
        <f ca="1">IFERROR(__xludf.DUMMYFUNCTION("""COMPUTED_VALUE"""),7)</f>
        <v>7</v>
      </c>
      <c r="K1013" s="1" t="str">
        <f ca="1">IFERROR(__xludf.DUMMYFUNCTION("""COMPUTED_VALUE"""),"Hybrid Working Environment with more than 15 days a month at office")</f>
        <v>Hybrid Working Environment with more than 15 days a month at office</v>
      </c>
      <c r="L10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1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13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013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3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013" s="1" t="str">
        <f ca="1">IFERROR(__xludf.DUMMYFUNCTION("""COMPUTED_VALUE"""),"Yes, I Understand this is gonna happen everywhere")</f>
        <v>Yes, I Understand this is gonna happen everywhere</v>
      </c>
      <c r="R1013" s="1" t="str">
        <f ca="1">IFERROR(__xludf.DUMMYFUNCTION("""COMPUTED_VALUE"""),"This will be hard to do, but if it is the right company I would try")</f>
        <v>This will be hard to do, but if it is the right company I would try</v>
      </c>
      <c r="S1013" s="1"/>
    </row>
    <row r="1014" spans="1:19" ht="12.5" x14ac:dyDescent="0.25">
      <c r="A1014" s="2">
        <f ca="1">IFERROR(__xludf.DUMMYFUNCTION("""COMPUTED_VALUE"""),45043.8927948379)</f>
        <v>45043.892794837899</v>
      </c>
      <c r="B1014" s="1" t="str">
        <f ca="1">IFERROR(__xludf.DUMMYFUNCTION("""COMPUTED_VALUE"""),"India")</f>
        <v>India</v>
      </c>
      <c r="C1014" s="1">
        <f ca="1">IFERROR(__xludf.DUMMYFUNCTION("""COMPUTED_VALUE"""),560037)</f>
        <v>560037</v>
      </c>
      <c r="D1014" s="1" t="str">
        <f ca="1">IFERROR(__xludf.DUMMYFUNCTION("""COMPUTED_VALUE"""),"Female")</f>
        <v>Female</v>
      </c>
      <c r="E1014" s="1" t="str">
        <f ca="1">IFERROR(__xludf.DUMMYFUNCTION("""COMPUTED_VALUE"""),"People who have changed the world for better")</f>
        <v>People who have changed the world for better</v>
      </c>
      <c r="F1014" s="1" t="str">
        <f ca="1">IFERROR(__xludf.DUMMYFUNCTION("""COMPUTED_VALUE"""),"Yes, I will earn and do that")</f>
        <v>Yes, I will earn and do that</v>
      </c>
      <c r="G1014" s="1" t="str">
        <f ca="1">IFERROR(__xludf.DUMMYFUNCTION("""COMPUTED_VALUE"""),"This will be hard to do, but if it is the right company I would try")</f>
        <v>This will be hard to do, but if it is the right company I would try</v>
      </c>
      <c r="H1014" s="1" t="str">
        <f ca="1">IFERROR(__xludf.DUMMYFUNCTION("""COMPUTED_VALUE"""),"No")</f>
        <v>No</v>
      </c>
      <c r="I1014" s="1" t="str">
        <f ca="1">IFERROR(__xludf.DUMMYFUNCTION("""COMPUTED_VALUE"""),"Will NOT work for them")</f>
        <v>Will NOT work for them</v>
      </c>
      <c r="J1014" s="1">
        <f ca="1">IFERROR(__xludf.DUMMYFUNCTION("""COMPUTED_VALUE"""),5)</f>
        <v>5</v>
      </c>
      <c r="K1014" s="1" t="str">
        <f ca="1">IFERROR(__xludf.DUMMYFUNCTION("""COMPUTED_VALUE"""),"Hybrid Working Environment with less than 3 days a month at office")</f>
        <v>Hybrid Working Environment with less than 3 days a month at office</v>
      </c>
      <c r="L1014" s="1" t="str">
        <f ca="1">IFERROR(__xludf.DUMMYFUNCTION("""COMPUTED_VALUE"""),"Employer who appreciates learning and enables that environment")</f>
        <v>Employer who appreciates learning and enables that environment</v>
      </c>
      <c r="M101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14" s="1" t="str">
        <f ca="1">IFERROR(__xludf.DUMMYFUNCTION("""COMPUTED_VALUE"""),"Teaching in any of the institutes/colleges/online or offline, Business Operations in any organization, Build and develop a Team, Work as a freelancer and do my thing my way")</f>
        <v>Teaching in any of the institutes/colleges/online or offline, Business Operations in any organization, Build and develop a Team, Work as a freelancer and do my thing my way</v>
      </c>
      <c r="O1014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4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014" s="1" t="str">
        <f ca="1">IFERROR(__xludf.DUMMYFUNCTION("""COMPUTED_VALUE"""),"No")</f>
        <v>No</v>
      </c>
      <c r="R1014" s="1" t="str">
        <f ca="1">IFERROR(__xludf.DUMMYFUNCTION("""COMPUTED_VALUE"""),"This will be hard to do, but if it is the right company I would try")</f>
        <v>This will be hard to do, but if it is the right company I would try</v>
      </c>
      <c r="S1014" s="1"/>
    </row>
    <row r="1015" spans="1:19" ht="12.5" x14ac:dyDescent="0.25">
      <c r="A1015" s="2">
        <f ca="1">IFERROR(__xludf.DUMMYFUNCTION("""COMPUTED_VALUE"""),45043.8929442245)</f>
        <v>45043.892944224499</v>
      </c>
      <c r="B1015" s="1" t="str">
        <f ca="1">IFERROR(__xludf.DUMMYFUNCTION("""COMPUTED_VALUE"""),"India")</f>
        <v>India</v>
      </c>
      <c r="C1015" s="1">
        <f ca="1">IFERROR(__xludf.DUMMYFUNCTION("""COMPUTED_VALUE"""),401107)</f>
        <v>401107</v>
      </c>
      <c r="D1015" s="1" t="str">
        <f ca="1">IFERROR(__xludf.DUMMYFUNCTION("""COMPUTED_VALUE"""),"Male")</f>
        <v>Male</v>
      </c>
      <c r="E1015" s="1" t="str">
        <f ca="1">IFERROR(__xludf.DUMMYFUNCTION("""COMPUTED_VALUE"""),"My Parents")</f>
        <v>My Parents</v>
      </c>
      <c r="F1015" s="1" t="str">
        <f ca="1">IFERROR(__xludf.DUMMYFUNCTION("""COMPUTED_VALUE"""),"No I would not be pursuing Higher Education outside of India")</f>
        <v>No I would not be pursuing Higher Education outside of India</v>
      </c>
      <c r="G1015" s="1" t="str">
        <f ca="1">IFERROR(__xludf.DUMMYFUNCTION("""COMPUTED_VALUE"""),"This will be hard to do, but if it is the right company I would try")</f>
        <v>This will be hard to do, but if it is the right company I would try</v>
      </c>
      <c r="H1015" s="1" t="str">
        <f ca="1">IFERROR(__xludf.DUMMYFUNCTION("""COMPUTED_VALUE"""),"Yes")</f>
        <v>Yes</v>
      </c>
      <c r="I1015" s="1" t="str">
        <f ca="1">IFERROR(__xludf.DUMMYFUNCTION("""COMPUTED_VALUE"""),"Will NOT work for them")</f>
        <v>Will NOT work for them</v>
      </c>
      <c r="J1015" s="1">
        <f ca="1">IFERROR(__xludf.DUMMYFUNCTION("""COMPUTED_VALUE"""),6)</f>
        <v>6</v>
      </c>
      <c r="K1015" s="1" t="str">
        <f ca="1">IFERROR(__xludf.DUMMYFUNCTION("""COMPUTED_VALUE"""),"Hybrid Working Environment with more than 15 days a month at office")</f>
        <v>Hybrid Working Environment with more than 15 days a month at office</v>
      </c>
      <c r="L1015" s="1" t="str">
        <f ca="1">IFERROR(__xludf.DUMMYFUNCTION("""COMPUTED_VALUE"""),"Employer who appreciates learning and enables that environment")</f>
        <v>Employer who appreciates learning and enables that environment</v>
      </c>
      <c r="M1015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015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1015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5" s="1" t="str">
        <f ca="1">IFERROR(__xludf.DUMMYFUNCTION("""COMPUTED_VALUE"""),"Work with 2 to 3 people in my team")</f>
        <v>Work with 2 to 3 people in my team</v>
      </c>
      <c r="Q1015" s="1" t="str">
        <f ca="1">IFERROR(__xludf.DUMMYFUNCTION("""COMPUTED_VALUE"""),"Yes, I Understand this is gonna happen everywhere")</f>
        <v>Yes, I Understand this is gonna happen everywhere</v>
      </c>
      <c r="R1015" s="1" t="str">
        <f ca="1">IFERROR(__xludf.DUMMYFUNCTION("""COMPUTED_VALUE"""),"No way")</f>
        <v>No way</v>
      </c>
      <c r="S1015" s="1"/>
    </row>
    <row r="1016" spans="1:19" ht="12.5" x14ac:dyDescent="0.25">
      <c r="A1016" s="2">
        <f ca="1">IFERROR(__xludf.DUMMYFUNCTION("""COMPUTED_VALUE"""),45043.8932961689)</f>
        <v>45043.893296168899</v>
      </c>
      <c r="B1016" s="1" t="str">
        <f ca="1">IFERROR(__xludf.DUMMYFUNCTION("""COMPUTED_VALUE"""),"India")</f>
        <v>India</v>
      </c>
      <c r="C1016" s="1">
        <f ca="1">IFERROR(__xludf.DUMMYFUNCTION("""COMPUTED_VALUE"""),534134)</f>
        <v>534134</v>
      </c>
      <c r="D1016" s="1" t="str">
        <f ca="1">IFERROR(__xludf.DUMMYFUNCTION("""COMPUTED_VALUE"""),"Female")</f>
        <v>Female</v>
      </c>
      <c r="E1016" s="1" t="str">
        <f ca="1">IFERROR(__xludf.DUMMYFUNCTION("""COMPUTED_VALUE"""),"Influencers who had successful careers")</f>
        <v>Influencers who had successful careers</v>
      </c>
      <c r="F1016" s="1" t="str">
        <f ca="1">IFERROR(__xludf.DUMMYFUNCTION("""COMPUTED_VALUE"""),"Yes, I will earn and do that")</f>
        <v>Yes, I will earn and do that</v>
      </c>
      <c r="G1016" s="1" t="str">
        <f ca="1">IFERROR(__xludf.DUMMYFUNCTION("""COMPUTED_VALUE"""),"Will work for 3 years or more")</f>
        <v>Will work for 3 years or more</v>
      </c>
      <c r="H1016" s="1" t="str">
        <f ca="1">IFERROR(__xludf.DUMMYFUNCTION("""COMPUTED_VALUE"""),"No")</f>
        <v>No</v>
      </c>
      <c r="I1016" s="1" t="str">
        <f ca="1">IFERROR(__xludf.DUMMYFUNCTION("""COMPUTED_VALUE"""),"Will work for them")</f>
        <v>Will work for them</v>
      </c>
      <c r="J1016" s="1">
        <f ca="1">IFERROR(__xludf.DUMMYFUNCTION("""COMPUTED_VALUE"""),6)</f>
        <v>6</v>
      </c>
      <c r="K1016" s="1" t="str">
        <f ca="1">IFERROR(__xludf.DUMMYFUNCTION("""COMPUTED_VALUE"""),"Fully Remote with Options to travel as and when needed")</f>
        <v>Fully Remote with Options to travel as and when needed</v>
      </c>
      <c r="L1016" s="1" t="str">
        <f ca="1">IFERROR(__xludf.DUMMYFUNCTION("""COMPUTED_VALUE"""),"Employer who appreciates learning and enables that environment")</f>
        <v>Employer who appreciates learning and enables that environment</v>
      </c>
      <c r="M101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16" s="1" t="str">
        <f ca="1">IFERROR(__xludf.DUMMYFUNCTION("""COMPUTED_VALUE"""),"Manage and drive End-to-End Projects or Products, Work as a freelancer and do my thing my way, Become a content Creator in some platform, I Want to sell things/Sales")</f>
        <v>Manage and drive End-to-End Projects or Products, Work as a freelancer and do my thing my way, Become a content Creator in some platform, I Want to sell things/Sales</v>
      </c>
      <c r="O10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6" s="1" t="str">
        <f ca="1">IFERROR(__xludf.DUMMYFUNCTION("""COMPUTED_VALUE"""),"Work with 2 to 3 people in my team")</f>
        <v>Work with 2 to 3 people in my team</v>
      </c>
      <c r="Q1016" s="1" t="str">
        <f ca="1">IFERROR(__xludf.DUMMYFUNCTION("""COMPUTED_VALUE"""),"Yes")</f>
        <v>Yes</v>
      </c>
      <c r="R1016" s="1" t="str">
        <f ca="1">IFERROR(__xludf.DUMMYFUNCTION("""COMPUTED_VALUE"""),"This will be hard to do, but if it is the right company I would try")</f>
        <v>This will be hard to do, but if it is the right company I would try</v>
      </c>
      <c r="S1016" s="1"/>
    </row>
    <row r="1017" spans="1:19" ht="12.5" x14ac:dyDescent="0.25">
      <c r="A1017" s="2">
        <f ca="1">IFERROR(__xludf.DUMMYFUNCTION("""COMPUTED_VALUE"""),45043.8934969213)</f>
        <v>45043.893496921301</v>
      </c>
      <c r="B1017" s="1" t="str">
        <f ca="1">IFERROR(__xludf.DUMMYFUNCTION("""COMPUTED_VALUE"""),"India")</f>
        <v>India</v>
      </c>
      <c r="C1017" s="1">
        <f ca="1">IFERROR(__xludf.DUMMYFUNCTION("""COMPUTED_VALUE"""),247776)</f>
        <v>247776</v>
      </c>
      <c r="D1017" s="1" t="str">
        <f ca="1">IFERROR(__xludf.DUMMYFUNCTION("""COMPUTED_VALUE"""),"Female")</f>
        <v>Female</v>
      </c>
      <c r="E1017" s="1" t="str">
        <f ca="1">IFERROR(__xludf.DUMMYFUNCTION("""COMPUTED_VALUE"""),"My Parents")</f>
        <v>My Parents</v>
      </c>
      <c r="F1017" s="1" t="str">
        <f ca="1">IFERROR(__xludf.DUMMYFUNCTION("""COMPUTED_VALUE"""),"No I would not be pursuing Higher Education outside of India")</f>
        <v>No I would not be pursuing Higher Education outside of India</v>
      </c>
      <c r="G1017" s="1" t="str">
        <f ca="1">IFERROR(__xludf.DUMMYFUNCTION("""COMPUTED_VALUE"""),"This will be hard to do, but if it is the right company I would try")</f>
        <v>This will be hard to do, but if it is the right company I would try</v>
      </c>
      <c r="H1017" s="1" t="str">
        <f ca="1">IFERROR(__xludf.DUMMYFUNCTION("""COMPUTED_VALUE"""),"No")</f>
        <v>No</v>
      </c>
      <c r="I1017" s="1" t="str">
        <f ca="1">IFERROR(__xludf.DUMMYFUNCTION("""COMPUTED_VALUE"""),"Will NOT work for them")</f>
        <v>Will NOT work for them</v>
      </c>
      <c r="J1017" s="1">
        <f ca="1">IFERROR(__xludf.DUMMYFUNCTION("""COMPUTED_VALUE"""),8)</f>
        <v>8</v>
      </c>
      <c r="K1017" s="1" t="str">
        <f ca="1">IFERROR(__xludf.DUMMYFUNCTION("""COMPUTED_VALUE"""),"Fully Remote with Options to travel as and when needed")</f>
        <v>Fully Remote with Options to travel as and when needed</v>
      </c>
      <c r="L10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1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017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10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7" s="1" t="str">
        <f ca="1">IFERROR(__xludf.DUMMYFUNCTION("""COMPUTED_VALUE"""),"Work with 5 to 6 people in my team")</f>
        <v>Work with 5 to 6 people in my team</v>
      </c>
      <c r="Q1017" s="1" t="str">
        <f ca="1">IFERROR(__xludf.DUMMYFUNCTION("""COMPUTED_VALUE"""),"Yes, I Understand this is gonna happen everywhere")</f>
        <v>Yes, I Understand this is gonna happen everywhere</v>
      </c>
      <c r="R1017" s="1" t="str">
        <f ca="1">IFERROR(__xludf.DUMMYFUNCTION("""COMPUTED_VALUE"""),"No way")</f>
        <v>No way</v>
      </c>
      <c r="S1017" s="1"/>
    </row>
    <row r="1018" spans="1:19" ht="12.5" x14ac:dyDescent="0.25">
      <c r="A1018" s="2">
        <f ca="1">IFERROR(__xludf.DUMMYFUNCTION("""COMPUTED_VALUE"""),45043.8943732638)</f>
        <v>45043.8943732638</v>
      </c>
      <c r="B1018" s="1" t="str">
        <f ca="1">IFERROR(__xludf.DUMMYFUNCTION("""COMPUTED_VALUE"""),"India")</f>
        <v>India</v>
      </c>
      <c r="C1018" s="1">
        <f ca="1">IFERROR(__xludf.DUMMYFUNCTION("""COMPUTED_VALUE"""),508223)</f>
        <v>508223</v>
      </c>
      <c r="D1018" s="1" t="str">
        <f ca="1">IFERROR(__xludf.DUMMYFUNCTION("""COMPUTED_VALUE"""),"Male")</f>
        <v>Male</v>
      </c>
      <c r="E1018" s="1" t="str">
        <f ca="1">IFERROR(__xludf.DUMMYFUNCTION("""COMPUTED_VALUE"""),"Social Media like LinkedIn")</f>
        <v>Social Media like LinkedIn</v>
      </c>
      <c r="F1018" s="1" t="str">
        <f ca="1">IFERROR(__xludf.DUMMYFUNCTION("""COMPUTED_VALUE"""),"Yes, I will earn and do that")</f>
        <v>Yes, I will earn and do that</v>
      </c>
      <c r="G1018" s="1" t="str">
        <f ca="1">IFERROR(__xludf.DUMMYFUNCTION("""COMPUTED_VALUE"""),"Will work for 3 years or more")</f>
        <v>Will work for 3 years or more</v>
      </c>
      <c r="H1018" s="1" t="str">
        <f ca="1">IFERROR(__xludf.DUMMYFUNCTION("""COMPUTED_VALUE"""),"No")</f>
        <v>No</v>
      </c>
      <c r="I1018" s="1" t="str">
        <f ca="1">IFERROR(__xludf.DUMMYFUNCTION("""COMPUTED_VALUE"""),"Will NOT work for them")</f>
        <v>Will NOT work for them</v>
      </c>
      <c r="J1018" s="1">
        <f ca="1">IFERROR(__xludf.DUMMYFUNCTION("""COMPUTED_VALUE"""),4)</f>
        <v>4</v>
      </c>
      <c r="K1018" s="1" t="str">
        <f ca="1">IFERROR(__xludf.DUMMYFUNCTION("""COMPUTED_VALUE"""),"Every Day Office Environment")</f>
        <v>Every Day Office Environment</v>
      </c>
      <c r="L1018" s="1" t="str">
        <f ca="1">IFERROR(__xludf.DUMMYFUNCTION("""COMPUTED_VALUE"""),"Employer who appreciates learning and enables that environment")</f>
        <v>Employer who appreciates learning and enables that environment</v>
      </c>
      <c r="M101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018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1018" s="1" t="str">
        <f ca="1">IFERROR(__xludf.DUMMYFUNCTION("""COMPUTED_VALUE"""),"Manager who clearly describes what she/he needs")</f>
        <v>Manager who clearly describes what she/he needs</v>
      </c>
      <c r="P1018" s="1" t="str">
        <f ca="1">IFERROR(__xludf.DUMMYFUNCTION("""COMPUTED_VALUE"""),"Work alone")</f>
        <v>Work alone</v>
      </c>
      <c r="Q1018" s="1" t="str">
        <f ca="1">IFERROR(__xludf.DUMMYFUNCTION("""COMPUTED_VALUE"""),"Yes")</f>
        <v>Yes</v>
      </c>
      <c r="R1018" s="1" t="str">
        <f ca="1">IFERROR(__xludf.DUMMYFUNCTION("""COMPUTED_VALUE"""),"No way")</f>
        <v>No way</v>
      </c>
      <c r="S1018" s="1"/>
    </row>
    <row r="1019" spans="1:19" ht="12.5" x14ac:dyDescent="0.25">
      <c r="A1019" s="2">
        <f ca="1">IFERROR(__xludf.DUMMYFUNCTION("""COMPUTED_VALUE"""),45043.8944377546)</f>
        <v>45043.894437754599</v>
      </c>
      <c r="B1019" s="1" t="str">
        <f ca="1">IFERROR(__xludf.DUMMYFUNCTION("""COMPUTED_VALUE"""),"India")</f>
        <v>India</v>
      </c>
      <c r="C1019" s="1">
        <f ca="1">IFERROR(__xludf.DUMMYFUNCTION("""COMPUTED_VALUE"""),484551)</f>
        <v>484551</v>
      </c>
      <c r="D1019" s="1" t="str">
        <f ca="1">IFERROR(__xludf.DUMMYFUNCTION("""COMPUTED_VALUE"""),"Male")</f>
        <v>Male</v>
      </c>
      <c r="E1019" s="1" t="str">
        <f ca="1">IFERROR(__xludf.DUMMYFUNCTION("""COMPUTED_VALUE"""),"Influencers who had successful careers")</f>
        <v>Influencers who had successful careers</v>
      </c>
      <c r="F1019" s="1" t="str">
        <f ca="1">IFERROR(__xludf.DUMMYFUNCTION("""COMPUTED_VALUE"""),"No, But if someone could bare the cost I will")</f>
        <v>No, But if someone could bare the cost I will</v>
      </c>
      <c r="G1019" s="1" t="str">
        <f ca="1">IFERROR(__xludf.DUMMYFUNCTION("""COMPUTED_VALUE"""),"This will be hard to do, but if it is the right company I would try")</f>
        <v>This will be hard to do, but if it is the right company I would try</v>
      </c>
      <c r="H1019" s="1" t="str">
        <f ca="1">IFERROR(__xludf.DUMMYFUNCTION("""COMPUTED_VALUE"""),"Yes")</f>
        <v>Yes</v>
      </c>
      <c r="I1019" s="1" t="str">
        <f ca="1">IFERROR(__xludf.DUMMYFUNCTION("""COMPUTED_VALUE"""),"Will work for them")</f>
        <v>Will work for them</v>
      </c>
      <c r="J1019" s="1">
        <f ca="1">IFERROR(__xludf.DUMMYFUNCTION("""COMPUTED_VALUE"""),5)</f>
        <v>5</v>
      </c>
      <c r="K1019" s="1" t="str">
        <f ca="1">IFERROR(__xludf.DUMMYFUNCTION("""COMPUTED_VALUE"""),"Hybrid Working Environment with more than 15 days a month at office")</f>
        <v>Hybrid Working Environment with more than 15 days a month at office</v>
      </c>
      <c r="L10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1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19" s="1" t="str">
        <f ca="1">IFERROR(__xludf.DUMMYFUNCTION("""COMPUTED_VALUE"""),"Business Operations in any organization, Look deeply into Data and generate insights, Work as a freelancer and do my thing my way, Become a content Creator in some platform")</f>
        <v>Business Operations in any organization, Look deeply into Data and generate insights, Work as a freelancer and do my thing my way, Become a content Creator in some platform</v>
      </c>
      <c r="O101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19" s="1" t="str">
        <f ca="1">IFERROR(__xludf.DUMMYFUNCTION("""COMPUTED_VALUE"""),"Work with 5 to 6 people in my team")</f>
        <v>Work with 5 to 6 people in my team</v>
      </c>
      <c r="Q1019" s="1" t="str">
        <f ca="1">IFERROR(__xludf.DUMMYFUNCTION("""COMPUTED_VALUE"""),"No")</f>
        <v>No</v>
      </c>
      <c r="R1019" s="1" t="str">
        <f ca="1">IFERROR(__xludf.DUMMYFUNCTION("""COMPUTED_VALUE"""),"No way")</f>
        <v>No way</v>
      </c>
      <c r="S1019" s="1"/>
    </row>
    <row r="1020" spans="1:19" ht="12.5" x14ac:dyDescent="0.25">
      <c r="A1020" s="2">
        <f ca="1">IFERROR(__xludf.DUMMYFUNCTION("""COMPUTED_VALUE"""),45043.8970999768)</f>
        <v>45043.897099976799</v>
      </c>
      <c r="B1020" s="1" t="str">
        <f ca="1">IFERROR(__xludf.DUMMYFUNCTION("""COMPUTED_VALUE"""),"India")</f>
        <v>India</v>
      </c>
      <c r="C1020" s="1">
        <f ca="1">IFERROR(__xludf.DUMMYFUNCTION("""COMPUTED_VALUE"""),560038)</f>
        <v>560038</v>
      </c>
      <c r="D1020" s="1" t="str">
        <f ca="1">IFERROR(__xludf.DUMMYFUNCTION("""COMPUTED_VALUE"""),"Male")</f>
        <v>Male</v>
      </c>
      <c r="E1020" s="1" t="str">
        <f ca="1">IFERROR(__xludf.DUMMYFUNCTION("""COMPUTED_VALUE"""),"Social Media like LinkedIn")</f>
        <v>Social Media like LinkedIn</v>
      </c>
      <c r="F1020" s="1" t="str">
        <f ca="1">IFERROR(__xludf.DUMMYFUNCTION("""COMPUTED_VALUE"""),"No I would not be pursuing Higher Education outside of India")</f>
        <v>No I would not be pursuing Higher Education outside of India</v>
      </c>
      <c r="G1020" s="1" t="str">
        <f ca="1">IFERROR(__xludf.DUMMYFUNCTION("""COMPUTED_VALUE"""),"This will be hard to do, but if it is the right company I would try")</f>
        <v>This will be hard to do, but if it is the right company I would try</v>
      </c>
      <c r="H1020" s="1" t="str">
        <f ca="1">IFERROR(__xludf.DUMMYFUNCTION("""COMPUTED_VALUE"""),"Yes")</f>
        <v>Yes</v>
      </c>
      <c r="I1020" s="1" t="str">
        <f ca="1">IFERROR(__xludf.DUMMYFUNCTION("""COMPUTED_VALUE"""),"Will NOT work for them")</f>
        <v>Will NOT work for them</v>
      </c>
      <c r="J1020" s="1">
        <f ca="1">IFERROR(__xludf.DUMMYFUNCTION("""COMPUTED_VALUE"""),8)</f>
        <v>8</v>
      </c>
      <c r="K1020" s="1" t="str">
        <f ca="1">IFERROR(__xludf.DUMMYFUNCTION("""COMPUTED_VALUE"""),"Fully Remote with Options to travel as and when needed")</f>
        <v>Fully Remote with Options to travel as and when needed</v>
      </c>
      <c r="L1020" s="1" t="str">
        <f ca="1">IFERROR(__xludf.DUMMYFUNCTION("""COMPUTED_VALUE"""),"Employer who rewards learning and enables that environment")</f>
        <v>Employer who rewards learning and enables that environment</v>
      </c>
      <c r="M102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020" s="1" t="str">
        <f ca="1">IFERROR(__xludf.DUMMYFUNCTION("""COMPUTED_VALUE"""),"Business Operations in any organization, Work as a freelancer and do my thing my way, Become a content Creator in some platform, I Want to sell things/Sales")</f>
        <v>Business Operations in any organization, Work as a freelancer and do my thing my way, Become a content Creator in some platform, I Want to sell things/Sales</v>
      </c>
      <c r="O1020" s="1" t="str">
        <f ca="1">IFERROR(__xludf.DUMMYFUNCTION("""COMPUTED_VALUE"""),"Manager who clearly describes what she/he needs")</f>
        <v>Manager who clearly describes what she/he needs</v>
      </c>
      <c r="P1020" s="1" t="str">
        <f ca="1">IFERROR(__xludf.DUMMYFUNCTION("""COMPUTED_VALUE"""),"Work with 7 to 10 or more people in my team")</f>
        <v>Work with 7 to 10 or more people in my team</v>
      </c>
      <c r="Q1020" s="1" t="str">
        <f ca="1">IFERROR(__xludf.DUMMYFUNCTION("""COMPUTED_VALUE"""),"No")</f>
        <v>No</v>
      </c>
      <c r="R1020" s="1" t="str">
        <f ca="1">IFERROR(__xludf.DUMMYFUNCTION("""COMPUTED_VALUE"""),"This will be hard to do, but if it is the right company I would try")</f>
        <v>This will be hard to do, but if it is the right company I would try</v>
      </c>
      <c r="S1020" s="1"/>
    </row>
    <row r="1021" spans="1:19" ht="12.5" x14ac:dyDescent="0.25">
      <c r="A1021" s="2">
        <f ca="1">IFERROR(__xludf.DUMMYFUNCTION("""COMPUTED_VALUE"""),45043.8972831134)</f>
        <v>45043.897283113401</v>
      </c>
      <c r="B1021" s="1" t="str">
        <f ca="1">IFERROR(__xludf.DUMMYFUNCTION("""COMPUTED_VALUE"""),"India")</f>
        <v>India</v>
      </c>
      <c r="C1021" s="1">
        <f ca="1">IFERROR(__xludf.DUMMYFUNCTION("""COMPUTED_VALUE"""),781012)</f>
        <v>781012</v>
      </c>
      <c r="D1021" s="1" t="str">
        <f ca="1">IFERROR(__xludf.DUMMYFUNCTION("""COMPUTED_VALUE"""),"Male")</f>
        <v>Male</v>
      </c>
      <c r="E1021" s="1" t="str">
        <f ca="1">IFERROR(__xludf.DUMMYFUNCTION("""COMPUTED_VALUE"""),"My Parents")</f>
        <v>My Parents</v>
      </c>
      <c r="F1021" s="1" t="str">
        <f ca="1">IFERROR(__xludf.DUMMYFUNCTION("""COMPUTED_VALUE"""),"No, But if someone could bare the cost I will")</f>
        <v>No, But if someone could bare the cost I will</v>
      </c>
      <c r="G1021" s="1" t="str">
        <f ca="1">IFERROR(__xludf.DUMMYFUNCTION("""COMPUTED_VALUE"""),"This will be hard to do, but if it is the right company I would try")</f>
        <v>This will be hard to do, but if it is the right company I would try</v>
      </c>
      <c r="H1021" s="1" t="str">
        <f ca="1">IFERROR(__xludf.DUMMYFUNCTION("""COMPUTED_VALUE"""),"No")</f>
        <v>No</v>
      </c>
      <c r="I1021" s="1" t="str">
        <f ca="1">IFERROR(__xludf.DUMMYFUNCTION("""COMPUTED_VALUE"""),"Will NOT work for them")</f>
        <v>Will NOT work for them</v>
      </c>
      <c r="J1021" s="1">
        <f ca="1">IFERROR(__xludf.DUMMYFUNCTION("""COMPUTED_VALUE"""),1)</f>
        <v>1</v>
      </c>
      <c r="K1021" s="1" t="str">
        <f ca="1">IFERROR(__xludf.DUMMYFUNCTION("""COMPUTED_VALUE"""),"Hybrid Working Environment with more than 15 days a month at office")</f>
        <v>Hybrid Working Environment with more than 15 days a month at office</v>
      </c>
      <c r="L10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2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21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02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21" s="1" t="str">
        <f ca="1">IFERROR(__xludf.DUMMYFUNCTION("""COMPUTED_VALUE"""),"Work with 2 to 3 people in my team")</f>
        <v>Work with 2 to 3 people in my team</v>
      </c>
      <c r="Q1021" s="1" t="str">
        <f ca="1">IFERROR(__xludf.DUMMYFUNCTION("""COMPUTED_VALUE"""),"No")</f>
        <v>No</v>
      </c>
      <c r="R1021" s="1" t="str">
        <f ca="1">IFERROR(__xludf.DUMMYFUNCTION("""COMPUTED_VALUE"""),"This will be hard to do, but if it is the right company I would try")</f>
        <v>This will be hard to do, but if it is the right company I would try</v>
      </c>
      <c r="S1021" s="1"/>
    </row>
    <row r="1022" spans="1:19" ht="12.5" x14ac:dyDescent="0.25">
      <c r="A1022" s="2">
        <f ca="1">IFERROR(__xludf.DUMMYFUNCTION("""COMPUTED_VALUE"""),45043.8979126041)</f>
        <v>45043.897912604101</v>
      </c>
      <c r="B1022" s="1" t="str">
        <f ca="1">IFERROR(__xludf.DUMMYFUNCTION("""COMPUTED_VALUE"""),"India")</f>
        <v>India</v>
      </c>
      <c r="C1022" s="1">
        <f ca="1">IFERROR(__xludf.DUMMYFUNCTION("""COMPUTED_VALUE"""),508284)</f>
        <v>508284</v>
      </c>
      <c r="D1022" s="1" t="str">
        <f ca="1">IFERROR(__xludf.DUMMYFUNCTION("""COMPUTED_VALUE"""),"Male")</f>
        <v>Male</v>
      </c>
      <c r="E1022" s="1" t="str">
        <f ca="1">IFERROR(__xludf.DUMMYFUNCTION("""COMPUTED_VALUE"""),"Influencers who had successful careers")</f>
        <v>Influencers who had successful careers</v>
      </c>
      <c r="F1022" s="1" t="str">
        <f ca="1">IFERROR(__xludf.DUMMYFUNCTION("""COMPUTED_VALUE"""),"Yes, I will earn and do that")</f>
        <v>Yes, I will earn and do that</v>
      </c>
      <c r="G1022" s="1" t="str">
        <f ca="1">IFERROR(__xludf.DUMMYFUNCTION("""COMPUTED_VALUE"""),"Will work for 3 years or more")</f>
        <v>Will work for 3 years or more</v>
      </c>
      <c r="H1022" s="1" t="str">
        <f ca="1">IFERROR(__xludf.DUMMYFUNCTION("""COMPUTED_VALUE"""),"No")</f>
        <v>No</v>
      </c>
      <c r="I1022" s="1" t="str">
        <f ca="1">IFERROR(__xludf.DUMMYFUNCTION("""COMPUTED_VALUE"""),"Will NOT work for them")</f>
        <v>Will NOT work for them</v>
      </c>
      <c r="J1022" s="1">
        <f ca="1">IFERROR(__xludf.DUMMYFUNCTION("""COMPUTED_VALUE"""),4)</f>
        <v>4</v>
      </c>
      <c r="K1022" s="1" t="str">
        <f ca="1">IFERROR(__xludf.DUMMYFUNCTION("""COMPUTED_VALUE"""),"Every Day Office Environment")</f>
        <v>Every Day Office Environment</v>
      </c>
      <c r="L1022" s="1" t="str">
        <f ca="1">IFERROR(__xludf.DUMMYFUNCTION("""COMPUTED_VALUE"""),"Employer who appreciates learning and enables that environment")</f>
        <v>Employer who appreciates learning and enables that environment</v>
      </c>
      <c r="M102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22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022" s="1" t="str">
        <f ca="1">IFERROR(__xludf.DUMMYFUNCTION("""COMPUTED_VALUE"""),"Manager who explains what is expected, sets a goal and helps achieve it")</f>
        <v>Manager who explains what is expected, sets a goal and helps achieve it</v>
      </c>
      <c r="P1022" s="1" t="str">
        <f ca="1">IFERROR(__xludf.DUMMYFUNCTION("""COMPUTED_VALUE"""),"Work with 5 to 6 people in my team")</f>
        <v>Work with 5 to 6 people in my team</v>
      </c>
      <c r="Q1022" s="1" t="str">
        <f ca="1">IFERROR(__xludf.DUMMYFUNCTION("""COMPUTED_VALUE"""),"Yes, I Understand this is gonna happen everywhere")</f>
        <v>Yes, I Understand this is gonna happen everywhere</v>
      </c>
      <c r="R1022" s="1" t="str">
        <f ca="1">IFERROR(__xludf.DUMMYFUNCTION("""COMPUTED_VALUE"""),"This will be hard to do, but if it is the right company I would try")</f>
        <v>This will be hard to do, but if it is the right company I would try</v>
      </c>
      <c r="S1022" s="1"/>
    </row>
    <row r="1023" spans="1:19" ht="12.5" x14ac:dyDescent="0.25">
      <c r="A1023" s="2">
        <f ca="1">IFERROR(__xludf.DUMMYFUNCTION("""COMPUTED_VALUE"""),45043.8981961226)</f>
        <v>45043.898196122602</v>
      </c>
      <c r="B1023" s="1" t="str">
        <f ca="1">IFERROR(__xludf.DUMMYFUNCTION("""COMPUTED_VALUE"""),"Others")</f>
        <v>Others</v>
      </c>
      <c r="C1023" s="1">
        <f ca="1">IFERROR(__xludf.DUMMYFUNCTION("""COMPUTED_VALUE"""),805125)</f>
        <v>805125</v>
      </c>
      <c r="D1023" s="1" t="str">
        <f ca="1">IFERROR(__xludf.DUMMYFUNCTION("""COMPUTED_VALUE"""),"Male")</f>
        <v>Male</v>
      </c>
      <c r="E1023" s="1" t="str">
        <f ca="1">IFERROR(__xludf.DUMMYFUNCTION("""COMPUTED_VALUE"""),"People from my circle, but not family members")</f>
        <v>People from my circle, but not family members</v>
      </c>
      <c r="F1023" s="1" t="str">
        <f ca="1">IFERROR(__xludf.DUMMYFUNCTION("""COMPUTED_VALUE"""),"Yes, I will earn and do that")</f>
        <v>Yes, I will earn and do that</v>
      </c>
      <c r="G1023" s="1" t="str">
        <f ca="1">IFERROR(__xludf.DUMMYFUNCTION("""COMPUTED_VALUE"""),"This will be hard to do, but if it is the right company I would try")</f>
        <v>This will be hard to do, but if it is the right company I would try</v>
      </c>
      <c r="H1023" s="1" t="str">
        <f ca="1">IFERROR(__xludf.DUMMYFUNCTION("""COMPUTED_VALUE"""),"Yes")</f>
        <v>Yes</v>
      </c>
      <c r="I1023" s="1" t="str">
        <f ca="1">IFERROR(__xludf.DUMMYFUNCTION("""COMPUTED_VALUE"""),"Will work for them")</f>
        <v>Will work for them</v>
      </c>
      <c r="J1023" s="1">
        <f ca="1">IFERROR(__xludf.DUMMYFUNCTION("""COMPUTED_VALUE"""),7)</f>
        <v>7</v>
      </c>
      <c r="K1023" s="1" t="str">
        <f ca="1">IFERROR(__xludf.DUMMYFUNCTION("""COMPUTED_VALUE"""),"Hybrid Working Environment with more than 15 days a month at office")</f>
        <v>Hybrid Working Environment with more than 15 days a month at office</v>
      </c>
      <c r="L10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23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023" s="1" t="str">
        <f ca="1">IFERROR(__xludf.DUMMYFUNCTION("""COMPUTED_VALUE"""),"Manage and drive End-to-End Projects or Products, Work as a freelancer and do my thing my way, Entrepreneur or Start Up, An Artificial Intelligence Specialist / Talking to Robots")</f>
        <v>Manage and drive End-to-End Projects or Products, Work as a freelancer and do my thing my way, Entrepreneur or Start Up, An Artificial Intelligence Specialist / Talking to Robots</v>
      </c>
      <c r="O1023" s="1" t="str">
        <f ca="1">IFERROR(__xludf.DUMMYFUNCTION("""COMPUTED_VALUE"""),"Manager who sets unrealistic targets")</f>
        <v>Manager who sets unrealistic targets</v>
      </c>
      <c r="P1023" s="1" t="str">
        <f ca="1">IFERROR(__xludf.DUMMYFUNCTION("""COMPUTED_VALUE"""),"Work with more than 10 people in my team")</f>
        <v>Work with more than 10 people in my team</v>
      </c>
      <c r="Q1023" s="1" t="str">
        <f ca="1">IFERROR(__xludf.DUMMYFUNCTION("""COMPUTED_VALUE"""),"I have NO other choice")</f>
        <v>I have NO other choice</v>
      </c>
      <c r="R1023" s="1" t="str">
        <f ca="1">IFERROR(__xludf.DUMMYFUNCTION("""COMPUTED_VALUE"""),"This will be hard to do, but if it is the right company I would try")</f>
        <v>This will be hard to do, but if it is the right company I would try</v>
      </c>
      <c r="S1023" s="1"/>
    </row>
    <row r="1024" spans="1:19" ht="12.5" x14ac:dyDescent="0.25">
      <c r="A1024" s="2">
        <f ca="1">IFERROR(__xludf.DUMMYFUNCTION("""COMPUTED_VALUE"""),45043.8988596759)</f>
        <v>45043.898859675901</v>
      </c>
      <c r="B1024" s="1" t="str">
        <f ca="1">IFERROR(__xludf.DUMMYFUNCTION("""COMPUTED_VALUE"""),"India")</f>
        <v>India</v>
      </c>
      <c r="C1024" s="1">
        <f ca="1">IFERROR(__xludf.DUMMYFUNCTION("""COMPUTED_VALUE"""),247554)</f>
        <v>247554</v>
      </c>
      <c r="D1024" s="1" t="str">
        <f ca="1">IFERROR(__xludf.DUMMYFUNCTION("""COMPUTED_VALUE"""),"Male")</f>
        <v>Male</v>
      </c>
      <c r="E1024" s="1" t="str">
        <f ca="1">IFERROR(__xludf.DUMMYFUNCTION("""COMPUTED_VALUE"""),"My Parents")</f>
        <v>My Parents</v>
      </c>
      <c r="F1024" s="1" t="str">
        <f ca="1">IFERROR(__xludf.DUMMYFUNCTION("""COMPUTED_VALUE"""),"Yes, I will earn and do that")</f>
        <v>Yes, I will earn and do that</v>
      </c>
      <c r="G1024" s="1" t="str">
        <f ca="1">IFERROR(__xludf.DUMMYFUNCTION("""COMPUTED_VALUE"""),"This will be hard to do, but if it is the right company I would try")</f>
        <v>This will be hard to do, but if it is the right company I would try</v>
      </c>
      <c r="H1024" s="1" t="str">
        <f ca="1">IFERROR(__xludf.DUMMYFUNCTION("""COMPUTED_VALUE"""),"No")</f>
        <v>No</v>
      </c>
      <c r="I1024" s="1" t="str">
        <f ca="1">IFERROR(__xludf.DUMMYFUNCTION("""COMPUTED_VALUE"""),"Will work for them")</f>
        <v>Will work for them</v>
      </c>
      <c r="J1024" s="1">
        <f ca="1">IFERROR(__xludf.DUMMYFUNCTION("""COMPUTED_VALUE"""),7)</f>
        <v>7</v>
      </c>
      <c r="K1024" s="1" t="str">
        <f ca="1">IFERROR(__xludf.DUMMYFUNCTION("""COMPUTED_VALUE"""),"Fully Remote with Options to travel as and when needed")</f>
        <v>Fully Remote with Options to travel as and when needed</v>
      </c>
      <c r="L1024" s="1" t="str">
        <f ca="1">IFERROR(__xludf.DUMMYFUNCTION("""COMPUTED_VALUE"""),"Employer who rewards learning and enables that environment")</f>
        <v>Employer who rewards learning and enables that environment</v>
      </c>
      <c r="M1024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024" s="1" t="str">
        <f ca="1">IFERROR(__xludf.DUMMYFUNCTION("""COMPUTED_VALUE"""),"Look deeply into Data and generate insights, Work as a freelancer and do my thing my way, Become a content Creator in some platform, Entrepreneur or Start Up")</f>
        <v>Look deeply into Data and generate insights, Work as a freelancer and do my thing my way, Become a content Creator in some platform, Entrepreneur or Start Up</v>
      </c>
      <c r="O1024" s="1" t="str">
        <f ca="1">IFERROR(__xludf.DUMMYFUNCTION("""COMPUTED_VALUE"""),"Manager who explains what is expected, sets a goal and helps achieve it")</f>
        <v>Manager who explains what is expected, sets a goal and helps achieve it</v>
      </c>
      <c r="P1024" s="1" t="str">
        <f ca="1">IFERROR(__xludf.DUMMYFUNCTION("""COMPUTED_VALUE"""),"Work alone, Work with 2 to 3 people in my team")</f>
        <v>Work alone, Work with 2 to 3 people in my team</v>
      </c>
      <c r="Q1024" s="1" t="str">
        <f ca="1">IFERROR(__xludf.DUMMYFUNCTION("""COMPUTED_VALUE"""),"Yes, I Understand this is gonna happen everywhere")</f>
        <v>Yes, I Understand this is gonna happen everywhere</v>
      </c>
      <c r="R1024" s="1" t="str">
        <f ca="1">IFERROR(__xludf.DUMMYFUNCTION("""COMPUTED_VALUE"""),"This will be hard to do, but if it is the right company I would try")</f>
        <v>This will be hard to do, but if it is the right company I would try</v>
      </c>
      <c r="S1024" s="1"/>
    </row>
    <row r="1025" spans="1:19" ht="12.5" x14ac:dyDescent="0.25">
      <c r="A1025" s="2">
        <f ca="1">IFERROR(__xludf.DUMMYFUNCTION("""COMPUTED_VALUE"""),45043.8991071527)</f>
        <v>45043.899107152698</v>
      </c>
      <c r="B1025" s="1" t="str">
        <f ca="1">IFERROR(__xludf.DUMMYFUNCTION("""COMPUTED_VALUE"""),"Others")</f>
        <v>Others</v>
      </c>
      <c r="C1025" s="1">
        <f ca="1">IFERROR(__xludf.DUMMYFUNCTION("""COMPUTED_VALUE"""),80078)</f>
        <v>80078</v>
      </c>
      <c r="D1025" s="1" t="str">
        <f ca="1">IFERROR(__xludf.DUMMYFUNCTION("""COMPUTED_VALUE"""),"Male")</f>
        <v>Male</v>
      </c>
      <c r="E1025" s="1" t="str">
        <f ca="1">IFERROR(__xludf.DUMMYFUNCTION("""COMPUTED_VALUE"""),"My Parents")</f>
        <v>My Parents</v>
      </c>
      <c r="F1025" s="1" t="str">
        <f ca="1">IFERROR(__xludf.DUMMYFUNCTION("""COMPUTED_VALUE"""),"Yes, I will earn and do that")</f>
        <v>Yes, I will earn and do that</v>
      </c>
      <c r="G1025" s="1" t="str">
        <f ca="1">IFERROR(__xludf.DUMMYFUNCTION("""COMPUTED_VALUE"""),"This will be hard to do, but if it is the right company I would try")</f>
        <v>This will be hard to do, but if it is the right company I would try</v>
      </c>
      <c r="H1025" s="1" t="str">
        <f ca="1">IFERROR(__xludf.DUMMYFUNCTION("""COMPUTED_VALUE"""),"Yes")</f>
        <v>Yes</v>
      </c>
      <c r="I1025" s="1" t="str">
        <f ca="1">IFERROR(__xludf.DUMMYFUNCTION("""COMPUTED_VALUE"""),"Will work for them")</f>
        <v>Will work for them</v>
      </c>
      <c r="J1025" s="1">
        <f ca="1">IFERROR(__xludf.DUMMYFUNCTION("""COMPUTED_VALUE"""),10)</f>
        <v>10</v>
      </c>
      <c r="K1025" s="1" t="str">
        <f ca="1">IFERROR(__xludf.DUMMYFUNCTION("""COMPUTED_VALUE"""),"Hybrid Working Environment with more than 15 days a month at office")</f>
        <v>Hybrid Working Environment with more than 15 days a month at office</v>
      </c>
      <c r="L10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25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025" s="1" t="str">
        <f ca="1">IFERROR(__xludf.DUMMYFUNCTION("""COMPUTED_VALUE"""),"Design and Creative strategy in any company, Work as a freelancer and do my thing my way, Entrepreneur or Start Up, Manufacturing / Oil and Gas/ Construction / Hard Physical Work related")</f>
        <v>Design and Creative strategy in any company, Work as a freelancer and do my thing my way, Entrepreneur or Start Up, Manufacturing / Oil and Gas/ Construction / Hard Physical Work related</v>
      </c>
      <c r="O1025" s="1" t="str">
        <f ca="1">IFERROR(__xludf.DUMMYFUNCTION("""COMPUTED_VALUE"""),"Manager who clearly describes what she/he needs")</f>
        <v>Manager who clearly describes what she/he needs</v>
      </c>
      <c r="P1025" s="1" t="str">
        <f ca="1">IFERROR(__xludf.DUMMYFUNCTION("""COMPUTED_VALUE"""),"Work alone, Work with 5 to 6 people in my team")</f>
        <v>Work alone, Work with 5 to 6 people in my team</v>
      </c>
      <c r="Q1025" s="1" t="str">
        <f ca="1">IFERROR(__xludf.DUMMYFUNCTION("""COMPUTED_VALUE"""),"Yes, I Understand this is gonna happen everywhere")</f>
        <v>Yes, I Understand this is gonna happen everywhere</v>
      </c>
      <c r="R1025" s="1" t="str">
        <f ca="1">IFERROR(__xludf.DUMMYFUNCTION("""COMPUTED_VALUE"""),"This will be hard to do, but if it is the right company I would try")</f>
        <v>This will be hard to do, but if it is the right company I would try</v>
      </c>
      <c r="S1025" s="1"/>
    </row>
    <row r="1026" spans="1:19" ht="12.5" x14ac:dyDescent="0.25">
      <c r="A1026" s="2">
        <f ca="1">IFERROR(__xludf.DUMMYFUNCTION("""COMPUTED_VALUE"""),45043.9010489351)</f>
        <v>45043.901048935099</v>
      </c>
      <c r="B1026" s="1" t="str">
        <f ca="1">IFERROR(__xludf.DUMMYFUNCTION("""COMPUTED_VALUE"""),"India")</f>
        <v>India</v>
      </c>
      <c r="C1026" s="1">
        <f ca="1">IFERROR(__xludf.DUMMYFUNCTION("""COMPUTED_VALUE"""),505001)</f>
        <v>505001</v>
      </c>
      <c r="D1026" s="1" t="str">
        <f ca="1">IFERROR(__xludf.DUMMYFUNCTION("""COMPUTED_VALUE"""),"Female")</f>
        <v>Female</v>
      </c>
      <c r="E1026" s="1" t="str">
        <f ca="1">IFERROR(__xludf.DUMMYFUNCTION("""COMPUTED_VALUE"""),"People who have changed the world for better")</f>
        <v>People who have changed the world for better</v>
      </c>
      <c r="F1026" s="1" t="str">
        <f ca="1">IFERROR(__xludf.DUMMYFUNCTION("""COMPUTED_VALUE"""),"Yes, I will earn and do that")</f>
        <v>Yes, I will earn and do that</v>
      </c>
      <c r="G1026" s="1" t="str">
        <f ca="1">IFERROR(__xludf.DUMMYFUNCTION("""COMPUTED_VALUE"""),"Will work for 3 years or more")</f>
        <v>Will work for 3 years or more</v>
      </c>
      <c r="H1026" s="1" t="str">
        <f ca="1">IFERROR(__xludf.DUMMYFUNCTION("""COMPUTED_VALUE"""),"No")</f>
        <v>No</v>
      </c>
      <c r="I1026" s="1" t="str">
        <f ca="1">IFERROR(__xludf.DUMMYFUNCTION("""COMPUTED_VALUE"""),"Will NOT work for them")</f>
        <v>Will NOT work for them</v>
      </c>
      <c r="J1026" s="1">
        <f ca="1">IFERROR(__xludf.DUMMYFUNCTION("""COMPUTED_VALUE"""),8)</f>
        <v>8</v>
      </c>
      <c r="K1026" s="1" t="str">
        <f ca="1">IFERROR(__xludf.DUMMYFUNCTION("""COMPUTED_VALUE"""),"Hybrid Working Environment with less than 3 days a month at office")</f>
        <v>Hybrid Working Environment with less than 3 days a month at office</v>
      </c>
      <c r="L1026" s="1" t="str">
        <f ca="1">IFERROR(__xludf.DUMMYFUNCTION("""COMPUTED_VALUE"""),"Employer who appreciates learning and enables that environment")</f>
        <v>Employer who appreciates learning and enables that environment</v>
      </c>
      <c r="M1026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026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0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026" s="1" t="str">
        <f ca="1">IFERROR(__xludf.DUMMYFUNCTION("""COMPUTED_VALUE"""),"Work with 2 to 3 people in my team, Work with 5 to 6 people in my team")</f>
        <v>Work with 2 to 3 people in my team, Work with 5 to 6 people in my team</v>
      </c>
      <c r="Q1026" s="1" t="str">
        <f ca="1">IFERROR(__xludf.DUMMYFUNCTION("""COMPUTED_VALUE"""),"Yes, I Understand this is gonna happen everywhere")</f>
        <v>Yes, I Understand this is gonna happen everywhere</v>
      </c>
      <c r="R1026" s="1" t="str">
        <f ca="1">IFERROR(__xludf.DUMMYFUNCTION("""COMPUTED_VALUE"""),"This will be hard to do, but if it is the right company I would try")</f>
        <v>This will be hard to do, but if it is the right company I would try</v>
      </c>
      <c r="S1026" s="1"/>
    </row>
    <row r="1027" spans="1:19" ht="12.5" x14ac:dyDescent="0.25">
      <c r="A1027" s="2">
        <f ca="1">IFERROR(__xludf.DUMMYFUNCTION("""COMPUTED_VALUE"""),45043.902888368)</f>
        <v>45043.902888368</v>
      </c>
      <c r="B1027" s="1" t="str">
        <f ca="1">IFERROR(__xludf.DUMMYFUNCTION("""COMPUTED_VALUE"""),"India")</f>
        <v>India</v>
      </c>
      <c r="C1027" s="1">
        <f ca="1">IFERROR(__xludf.DUMMYFUNCTION("""COMPUTED_VALUE"""),509216)</f>
        <v>509216</v>
      </c>
      <c r="D1027" s="1" t="str">
        <f ca="1">IFERROR(__xludf.DUMMYFUNCTION("""COMPUTED_VALUE"""),"Male")</f>
        <v>Male</v>
      </c>
      <c r="E1027" s="1" t="str">
        <f ca="1">IFERROR(__xludf.DUMMYFUNCTION("""COMPUTED_VALUE"""),"People who have changed the world for better")</f>
        <v>People who have changed the world for better</v>
      </c>
      <c r="F1027" s="1" t="str">
        <f ca="1">IFERROR(__xludf.DUMMYFUNCTION("""COMPUTED_VALUE"""),"No, But if someone could bare the cost I will")</f>
        <v>No, But if someone could bare the cost I will</v>
      </c>
      <c r="G1027" s="1" t="str">
        <f ca="1">IFERROR(__xludf.DUMMYFUNCTION("""COMPUTED_VALUE"""),"Will work for 3 years or more")</f>
        <v>Will work for 3 years or more</v>
      </c>
      <c r="H1027" s="1" t="str">
        <f ca="1">IFERROR(__xludf.DUMMYFUNCTION("""COMPUTED_VALUE"""),"No")</f>
        <v>No</v>
      </c>
      <c r="I1027" s="1" t="str">
        <f ca="1">IFERROR(__xludf.DUMMYFUNCTION("""COMPUTED_VALUE"""),"Will NOT work for them")</f>
        <v>Will NOT work for them</v>
      </c>
      <c r="J1027" s="1">
        <f ca="1">IFERROR(__xludf.DUMMYFUNCTION("""COMPUTED_VALUE"""),6)</f>
        <v>6</v>
      </c>
      <c r="K1027" s="1" t="str">
        <f ca="1">IFERROR(__xludf.DUMMYFUNCTION("""COMPUTED_VALUE"""),"Fully Remote with No option to visit offices")</f>
        <v>Fully Remote with No option to visit offices</v>
      </c>
      <c r="L1027" s="1" t="str">
        <f ca="1">IFERROR(__xludf.DUMMYFUNCTION("""COMPUTED_VALUE"""),"Employer who appreciates learning and enables that environment")</f>
        <v>Employer who appreciates learning and enables that environment</v>
      </c>
      <c r="M1027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1027" s="1" t="str">
        <f ca="1">IFERROR(__xludf.DUMMYFUNCTION("""COMPUTED_VALUE"""),"Design and Develop amazing software, Work as a freelancer and do my thing my way, Become a content Creator in some platform, An Artificial Intelligence Specialist / Talking to Robots")</f>
        <v>Design and Develop amazing software, Work as a freelancer and do my thing my way, Become a content Creator in some platform, An Artificial Intelligence Specialist / Talking to Robots</v>
      </c>
      <c r="O102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27" s="1" t="str">
        <f ca="1">IFERROR(__xludf.DUMMYFUNCTION("""COMPUTED_VALUE"""),"Work with 2 to 3 people in my team")</f>
        <v>Work with 2 to 3 people in my team</v>
      </c>
      <c r="Q1027" s="1" t="str">
        <f ca="1">IFERROR(__xludf.DUMMYFUNCTION("""COMPUTED_VALUE"""),"Yes, I Understand this is gonna happen everywhere")</f>
        <v>Yes, I Understand this is gonna happen everywhere</v>
      </c>
      <c r="R1027" s="1" t="str">
        <f ca="1">IFERROR(__xludf.DUMMYFUNCTION("""COMPUTED_VALUE"""),"Will work for 7 years or more")</f>
        <v>Will work for 7 years or more</v>
      </c>
      <c r="S1027" s="1"/>
    </row>
    <row r="1028" spans="1:19" ht="12.5" x14ac:dyDescent="0.25">
      <c r="A1028" s="2">
        <f ca="1">IFERROR(__xludf.DUMMYFUNCTION("""COMPUTED_VALUE"""),45043.9031669213)</f>
        <v>45043.9031669213</v>
      </c>
      <c r="B1028" s="1" t="str">
        <f ca="1">IFERROR(__xludf.DUMMYFUNCTION("""COMPUTED_VALUE"""),"India")</f>
        <v>India</v>
      </c>
      <c r="C1028" s="1">
        <f ca="1">IFERROR(__xludf.DUMMYFUNCTION("""COMPUTED_VALUE"""),500035)</f>
        <v>500035</v>
      </c>
      <c r="D1028" s="1" t="str">
        <f ca="1">IFERROR(__xludf.DUMMYFUNCTION("""COMPUTED_VALUE"""),"Male")</f>
        <v>Male</v>
      </c>
      <c r="E1028" s="1" t="str">
        <f ca="1">IFERROR(__xludf.DUMMYFUNCTION("""COMPUTED_VALUE"""),"Social Media like LinkedIn")</f>
        <v>Social Media like LinkedIn</v>
      </c>
      <c r="F1028" s="1" t="str">
        <f ca="1">IFERROR(__xludf.DUMMYFUNCTION("""COMPUTED_VALUE"""),"No I would not be pursuing Higher Education outside of India")</f>
        <v>No I would not be pursuing Higher Education outside of India</v>
      </c>
      <c r="G1028" s="1" t="str">
        <f ca="1">IFERROR(__xludf.DUMMYFUNCTION("""COMPUTED_VALUE"""),"This will be hard to do, but if it is the right company I would try")</f>
        <v>This will be hard to do, but if it is the right company I would try</v>
      </c>
      <c r="H1028" s="1" t="str">
        <f ca="1">IFERROR(__xludf.DUMMYFUNCTION("""COMPUTED_VALUE"""),"Yes")</f>
        <v>Yes</v>
      </c>
      <c r="I1028" s="1" t="str">
        <f ca="1">IFERROR(__xludf.DUMMYFUNCTION("""COMPUTED_VALUE"""),"Will work for them")</f>
        <v>Will work for them</v>
      </c>
      <c r="J1028" s="1">
        <f ca="1">IFERROR(__xludf.DUMMYFUNCTION("""COMPUTED_VALUE"""),8)</f>
        <v>8</v>
      </c>
      <c r="K1028" s="1" t="str">
        <f ca="1">IFERROR(__xludf.DUMMYFUNCTION("""COMPUTED_VALUE"""),"Hybrid Working Environment with more than 15 days a month at office")</f>
        <v>Hybrid Working Environment with more than 15 days a month at office</v>
      </c>
      <c r="L1028" s="1" t="str">
        <f ca="1">IFERROR(__xludf.DUMMYFUNCTION("""COMPUTED_VALUE"""),"Employer who rewards learning and enables that environment")</f>
        <v>Employer who rewards learning and enables that environment</v>
      </c>
      <c r="M102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028" s="1" t="str">
        <f ca="1">IFERROR(__xludf.DUMMYFUNCTION("""COMPUTED_VALUE"""),"Design and Creative strategy in any company, Teaching in any of the institutes/colleges/online or offline, Build and develop a Team, I Want to sell things/Sales")</f>
        <v>Design and Creative strategy in any company, Teaching in any of the institutes/colleges/online or offline, Build and develop a Team, I Want to sell things/Sales</v>
      </c>
      <c r="O1028" s="1" t="str">
        <f ca="1">IFERROR(__xludf.DUMMYFUNCTION("""COMPUTED_VALUE"""),"Manager who sets goal and helps me achieve it")</f>
        <v>Manager who sets goal and helps me achieve it</v>
      </c>
      <c r="P1028" s="1" t="str">
        <f ca="1">IFERROR(__xludf.DUMMYFUNCTION("""COMPUTED_VALUE"""),"Work with 5 to 6 people in my team")</f>
        <v>Work with 5 to 6 people in my team</v>
      </c>
      <c r="Q1028" s="1" t="str">
        <f ca="1">IFERROR(__xludf.DUMMYFUNCTION("""COMPUTED_VALUE"""),"No")</f>
        <v>No</v>
      </c>
      <c r="R1028" s="1" t="str">
        <f ca="1">IFERROR(__xludf.DUMMYFUNCTION("""COMPUTED_VALUE"""),"This will be hard to do, but if it is the right company I would try")</f>
        <v>This will be hard to do, but if it is the right company I would try</v>
      </c>
      <c r="S1028" s="1"/>
    </row>
    <row r="1029" spans="1:19" ht="12.5" x14ac:dyDescent="0.25">
      <c r="A1029" s="2">
        <f ca="1">IFERROR(__xludf.DUMMYFUNCTION("""COMPUTED_VALUE"""),45043.9036453703)</f>
        <v>45043.903645370301</v>
      </c>
      <c r="B1029" s="1" t="str">
        <f ca="1">IFERROR(__xludf.DUMMYFUNCTION("""COMPUTED_VALUE"""),"India")</f>
        <v>India</v>
      </c>
      <c r="C1029" s="1">
        <f ca="1">IFERROR(__xludf.DUMMYFUNCTION("""COMPUTED_VALUE"""),250002)</f>
        <v>250002</v>
      </c>
      <c r="D1029" s="1" t="str">
        <f ca="1">IFERROR(__xludf.DUMMYFUNCTION("""COMPUTED_VALUE"""),"Female")</f>
        <v>Female</v>
      </c>
      <c r="E1029" s="1" t="str">
        <f ca="1">IFERROR(__xludf.DUMMYFUNCTION("""COMPUTED_VALUE"""),"People who have changed the world for better")</f>
        <v>People who have changed the world for better</v>
      </c>
      <c r="F1029" s="1" t="str">
        <f ca="1">IFERROR(__xludf.DUMMYFUNCTION("""COMPUTED_VALUE"""),"No I would not be pursuing Higher Education outside of India")</f>
        <v>No I would not be pursuing Higher Education outside of India</v>
      </c>
      <c r="G1029" s="1" t="str">
        <f ca="1">IFERROR(__xludf.DUMMYFUNCTION("""COMPUTED_VALUE"""),"This will be hard to do, but if it is the right company I would try")</f>
        <v>This will be hard to do, but if it is the right company I would try</v>
      </c>
      <c r="H1029" s="1" t="str">
        <f ca="1">IFERROR(__xludf.DUMMYFUNCTION("""COMPUTED_VALUE"""),"No")</f>
        <v>No</v>
      </c>
      <c r="I1029" s="1" t="str">
        <f ca="1">IFERROR(__xludf.DUMMYFUNCTION("""COMPUTED_VALUE"""),"Will NOT work for them")</f>
        <v>Will NOT work for them</v>
      </c>
      <c r="J1029" s="1">
        <f ca="1">IFERROR(__xludf.DUMMYFUNCTION("""COMPUTED_VALUE"""),5)</f>
        <v>5</v>
      </c>
      <c r="K1029" s="1" t="str">
        <f ca="1">IFERROR(__xludf.DUMMYFUNCTION("""COMPUTED_VALUE"""),"Hybrid Working Environment with less than 3 days a month at office")</f>
        <v>Hybrid Working Environment with less than 3 days a month at office</v>
      </c>
      <c r="L10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2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29" s="1" t="str">
        <f ca="1">IFERROR(__xludf.DUMMYFUNCTION("""COMPUTED_VALUE"""),"Build and develop a Team, Entrepreneur or Start Up, I Want to sell things/Sales, An Artificial Intelligence Specialist / Talking to Robots")</f>
        <v>Build and develop a Team, Entrepreneur or Start Up, I Want to sell things/Sales, An Artificial Intelligence Specialist / Talking to Robots</v>
      </c>
      <c r="O102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29" s="1" t="str">
        <f ca="1">IFERROR(__xludf.DUMMYFUNCTION("""COMPUTED_VALUE"""),"Work with 7 to 10 or more people in my team")</f>
        <v>Work with 7 to 10 or more people in my team</v>
      </c>
      <c r="Q1029" s="1" t="str">
        <f ca="1">IFERROR(__xludf.DUMMYFUNCTION("""COMPUTED_VALUE"""),"No")</f>
        <v>No</v>
      </c>
      <c r="R1029" s="1" t="str">
        <f ca="1">IFERROR(__xludf.DUMMYFUNCTION("""COMPUTED_VALUE"""),"No way")</f>
        <v>No way</v>
      </c>
      <c r="S1029" s="1"/>
    </row>
    <row r="1030" spans="1:19" ht="12.5" x14ac:dyDescent="0.25">
      <c r="A1030" s="2">
        <f ca="1">IFERROR(__xludf.DUMMYFUNCTION("""COMPUTED_VALUE"""),45043.9070152546)</f>
        <v>45043.907015254597</v>
      </c>
      <c r="B1030" s="1" t="str">
        <f ca="1">IFERROR(__xludf.DUMMYFUNCTION("""COMPUTED_VALUE"""),"India")</f>
        <v>India</v>
      </c>
      <c r="C1030" s="1">
        <f ca="1">IFERROR(__xludf.DUMMYFUNCTION("""COMPUTED_VALUE"""),509216)</f>
        <v>509216</v>
      </c>
      <c r="D1030" s="1" t="str">
        <f ca="1">IFERROR(__xludf.DUMMYFUNCTION("""COMPUTED_VALUE"""),"Male")</f>
        <v>Male</v>
      </c>
      <c r="E1030" s="1" t="str">
        <f ca="1">IFERROR(__xludf.DUMMYFUNCTION("""COMPUTED_VALUE"""),"Influencers who had successful careers")</f>
        <v>Influencers who had successful careers</v>
      </c>
      <c r="F1030" s="1" t="str">
        <f ca="1">IFERROR(__xludf.DUMMYFUNCTION("""COMPUTED_VALUE"""),"Yes, I will earn and do that")</f>
        <v>Yes, I will earn and do that</v>
      </c>
      <c r="G1030" s="1" t="str">
        <f ca="1">IFERROR(__xludf.DUMMYFUNCTION("""COMPUTED_VALUE"""),"This will be hard to do, but if it is the right company I would try")</f>
        <v>This will be hard to do, but if it is the right company I would try</v>
      </c>
      <c r="H1030" s="1" t="str">
        <f ca="1">IFERROR(__xludf.DUMMYFUNCTION("""COMPUTED_VALUE"""),"No")</f>
        <v>No</v>
      </c>
      <c r="I1030" s="1" t="str">
        <f ca="1">IFERROR(__xludf.DUMMYFUNCTION("""COMPUTED_VALUE"""),"Will NOT work for them")</f>
        <v>Will NOT work for them</v>
      </c>
      <c r="J1030" s="1">
        <f ca="1">IFERROR(__xludf.DUMMYFUNCTION("""COMPUTED_VALUE"""),5)</f>
        <v>5</v>
      </c>
      <c r="K1030" s="1" t="str">
        <f ca="1">IFERROR(__xludf.DUMMYFUNCTION("""COMPUTED_VALUE"""),"Hybrid Working Environment with more than 15 days a month at office")</f>
        <v>Hybrid Working Environment with more than 15 days a month at office</v>
      </c>
      <c r="L10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030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030" s="1" t="str">
        <f ca="1">IFERROR(__xludf.DUMMYFUNCTION("""COMPUTED_VALUE"""),"Manager who explains what is expected, sets a goal and helps achieve it")</f>
        <v>Manager who explains what is expected, sets a goal and helps achieve it</v>
      </c>
      <c r="P1030" s="1" t="str">
        <f ca="1">IFERROR(__xludf.DUMMYFUNCTION("""COMPUTED_VALUE"""),"Work with 7 to 10 or more people in my team")</f>
        <v>Work with 7 to 10 or more people in my team</v>
      </c>
      <c r="Q1030" s="1" t="str">
        <f ca="1">IFERROR(__xludf.DUMMYFUNCTION("""COMPUTED_VALUE"""),"Yes, I Understand this is gonna happen everywhere")</f>
        <v>Yes, I Understand this is gonna happen everywhere</v>
      </c>
      <c r="R1030" s="1" t="str">
        <f ca="1">IFERROR(__xludf.DUMMYFUNCTION("""COMPUTED_VALUE"""),"This will be hard to do, but if it is the right company I would try")</f>
        <v>This will be hard to do, but if it is the right company I would try</v>
      </c>
      <c r="S1030" s="1"/>
    </row>
    <row r="1031" spans="1:19" ht="12.5" x14ac:dyDescent="0.25">
      <c r="A1031" s="2">
        <f ca="1">IFERROR(__xludf.DUMMYFUNCTION("""COMPUTED_VALUE"""),45043.9077415972)</f>
        <v>45043.907741597199</v>
      </c>
      <c r="B1031" s="1" t="str">
        <f ca="1">IFERROR(__xludf.DUMMYFUNCTION("""COMPUTED_VALUE"""),"India")</f>
        <v>India</v>
      </c>
      <c r="C1031" s="1">
        <f ca="1">IFERROR(__xludf.DUMMYFUNCTION("""COMPUTED_VALUE"""),500008)</f>
        <v>500008</v>
      </c>
      <c r="D1031" s="1" t="str">
        <f ca="1">IFERROR(__xludf.DUMMYFUNCTION("""COMPUTED_VALUE"""),"Female")</f>
        <v>Female</v>
      </c>
      <c r="E1031" s="1" t="str">
        <f ca="1">IFERROR(__xludf.DUMMYFUNCTION("""COMPUTED_VALUE"""),"Influencers who had successful careers")</f>
        <v>Influencers who had successful careers</v>
      </c>
      <c r="F1031" s="1" t="str">
        <f ca="1">IFERROR(__xludf.DUMMYFUNCTION("""COMPUTED_VALUE"""),"No I would not be pursuing Higher Education outside of India")</f>
        <v>No I would not be pursuing Higher Education outside of India</v>
      </c>
      <c r="G1031" s="1" t="str">
        <f ca="1">IFERROR(__xludf.DUMMYFUNCTION("""COMPUTED_VALUE"""),"Will work for 3 years or more")</f>
        <v>Will work for 3 years or more</v>
      </c>
      <c r="H1031" s="1" t="str">
        <f ca="1">IFERROR(__xludf.DUMMYFUNCTION("""COMPUTED_VALUE"""),"No")</f>
        <v>No</v>
      </c>
      <c r="I1031" s="1" t="str">
        <f ca="1">IFERROR(__xludf.DUMMYFUNCTION("""COMPUTED_VALUE"""),"Will work for them")</f>
        <v>Will work for them</v>
      </c>
      <c r="J1031" s="1">
        <f ca="1">IFERROR(__xludf.DUMMYFUNCTION("""COMPUTED_VALUE"""),8)</f>
        <v>8</v>
      </c>
      <c r="K1031" s="1" t="str">
        <f ca="1">IFERROR(__xludf.DUMMYFUNCTION("""COMPUTED_VALUE"""),"Every Day Office Environment")</f>
        <v>Every Day Office Environment</v>
      </c>
      <c r="L10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31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03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31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031" s="1" t="str">
        <f ca="1">IFERROR(__xludf.DUMMYFUNCTION("""COMPUTED_VALUE"""),"No")</f>
        <v>No</v>
      </c>
      <c r="R1031" s="1" t="str">
        <f ca="1">IFERROR(__xludf.DUMMYFUNCTION("""COMPUTED_VALUE"""),"This will be hard to do, but if it is the right company I would try")</f>
        <v>This will be hard to do, but if it is the right company I would try</v>
      </c>
      <c r="S1031" s="1"/>
    </row>
    <row r="1032" spans="1:19" ht="12.5" x14ac:dyDescent="0.25">
      <c r="A1032" s="2">
        <f ca="1">IFERROR(__xludf.DUMMYFUNCTION("""COMPUTED_VALUE"""),45043.9103905902)</f>
        <v>45043.910390590201</v>
      </c>
      <c r="B1032" s="1" t="str">
        <f ca="1">IFERROR(__xludf.DUMMYFUNCTION("""COMPUTED_VALUE"""),"India")</f>
        <v>India</v>
      </c>
      <c r="C1032" s="1">
        <f ca="1">IFERROR(__xludf.DUMMYFUNCTION("""COMPUTED_VALUE"""),500092)</f>
        <v>500092</v>
      </c>
      <c r="D1032" s="1" t="str">
        <f ca="1">IFERROR(__xludf.DUMMYFUNCTION("""COMPUTED_VALUE"""),"Male")</f>
        <v>Male</v>
      </c>
      <c r="E1032" s="1" t="str">
        <f ca="1">IFERROR(__xludf.DUMMYFUNCTION("""COMPUTED_VALUE"""),"People from my circle, but not family members")</f>
        <v>People from my circle, but not family members</v>
      </c>
      <c r="F1032" s="1" t="str">
        <f ca="1">IFERROR(__xludf.DUMMYFUNCTION("""COMPUTED_VALUE"""),"Yes, I will earn and do that")</f>
        <v>Yes, I will earn and do that</v>
      </c>
      <c r="G1032" s="1" t="str">
        <f ca="1">IFERROR(__xludf.DUMMYFUNCTION("""COMPUTED_VALUE"""),"This will be hard to do, but if it is the right company I would try")</f>
        <v>This will be hard to do, but if it is the right company I would try</v>
      </c>
      <c r="H1032" s="1" t="str">
        <f ca="1">IFERROR(__xludf.DUMMYFUNCTION("""COMPUTED_VALUE"""),"No")</f>
        <v>No</v>
      </c>
      <c r="I1032" s="1" t="str">
        <f ca="1">IFERROR(__xludf.DUMMYFUNCTION("""COMPUTED_VALUE"""),"Will NOT work for them")</f>
        <v>Will NOT work for them</v>
      </c>
      <c r="J1032" s="1">
        <f ca="1">IFERROR(__xludf.DUMMYFUNCTION("""COMPUTED_VALUE"""),5)</f>
        <v>5</v>
      </c>
      <c r="K1032" s="1" t="str">
        <f ca="1">IFERROR(__xludf.DUMMYFUNCTION("""COMPUTED_VALUE"""),"Fully Remote with Options to travel as and when needed")</f>
        <v>Fully Remote with Options to travel as and when needed</v>
      </c>
      <c r="L10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32" s="1" t="str">
        <f ca="1">IFERROR(__xludf.DUMMYFUNCTION("""COMPUTED_VALUE"""),"Design and Creative strategy in any company, Business Operations in any organization, Look deeply into Data and generate insights, Manufacturing / Oil and Gas/ Construction / Hard Physical Work related")</f>
        <v>Design and Creative strategy in any company, Business Operations in any organization, Look deeply into Data and generate insights, Manufacturing / Oil and Gas/ Construction / Hard Physical Work related</v>
      </c>
      <c r="O1032" s="1" t="str">
        <f ca="1">IFERROR(__xludf.DUMMYFUNCTION("""COMPUTED_VALUE"""),"Manager who explains what is expected, sets a goal and helps achieve it")</f>
        <v>Manager who explains what is expected, sets a goal and helps achieve it</v>
      </c>
      <c r="P1032" s="1" t="str">
        <f ca="1">IFERROR(__xludf.DUMMYFUNCTION("""COMPUTED_VALUE"""),"Work with 2 to 3 people in my team, Work with 5 to 6 people in my team")</f>
        <v>Work with 2 to 3 people in my team, Work with 5 to 6 people in my team</v>
      </c>
      <c r="Q1032" s="1" t="str">
        <f ca="1">IFERROR(__xludf.DUMMYFUNCTION("""COMPUTED_VALUE"""),"Yes, I Understand this is gonna happen everywhere")</f>
        <v>Yes, I Understand this is gonna happen everywhere</v>
      </c>
      <c r="R1032" s="1" t="str">
        <f ca="1">IFERROR(__xludf.DUMMYFUNCTION("""COMPUTED_VALUE"""),"This will be hard to do, but if it is the right company I would try")</f>
        <v>This will be hard to do, but if it is the right company I would try</v>
      </c>
      <c r="S1032" s="1"/>
    </row>
    <row r="1033" spans="1:19" ht="12.5" x14ac:dyDescent="0.25">
      <c r="A1033" s="2">
        <f ca="1">IFERROR(__xludf.DUMMYFUNCTION("""COMPUTED_VALUE"""),45043.9137175694)</f>
        <v>45043.913717569398</v>
      </c>
      <c r="B1033" s="1" t="str">
        <f ca="1">IFERROR(__xludf.DUMMYFUNCTION("""COMPUTED_VALUE"""),"India")</f>
        <v>India</v>
      </c>
      <c r="C1033" s="1">
        <f ca="1">IFERROR(__xludf.DUMMYFUNCTION("""COMPUTED_VALUE"""),500016)</f>
        <v>500016</v>
      </c>
      <c r="D1033" s="1" t="str">
        <f ca="1">IFERROR(__xludf.DUMMYFUNCTION("""COMPUTED_VALUE"""),"Female")</f>
        <v>Female</v>
      </c>
      <c r="E1033" s="1" t="str">
        <f ca="1">IFERROR(__xludf.DUMMYFUNCTION("""COMPUTED_VALUE"""),"People who have changed the world for better")</f>
        <v>People who have changed the world for better</v>
      </c>
      <c r="F1033" s="1" t="str">
        <f ca="1">IFERROR(__xludf.DUMMYFUNCTION("""COMPUTED_VALUE"""),"No I would not be pursuing Higher Education outside of India")</f>
        <v>No I would not be pursuing Higher Education outside of India</v>
      </c>
      <c r="G1033" s="1" t="str">
        <f ca="1">IFERROR(__xludf.DUMMYFUNCTION("""COMPUTED_VALUE"""),"Will work for 3 years or more")</f>
        <v>Will work for 3 years or more</v>
      </c>
      <c r="H1033" s="1" t="str">
        <f ca="1">IFERROR(__xludf.DUMMYFUNCTION("""COMPUTED_VALUE"""),"Yes")</f>
        <v>Yes</v>
      </c>
      <c r="I1033" s="1" t="str">
        <f ca="1">IFERROR(__xludf.DUMMYFUNCTION("""COMPUTED_VALUE"""),"Will NOT work for them")</f>
        <v>Will NOT work for them</v>
      </c>
      <c r="J1033" s="1">
        <f ca="1">IFERROR(__xludf.DUMMYFUNCTION("""COMPUTED_VALUE"""),4)</f>
        <v>4</v>
      </c>
      <c r="K1033" s="1" t="str">
        <f ca="1">IFERROR(__xludf.DUMMYFUNCTION("""COMPUTED_VALUE"""),"Every Day Office Environment")</f>
        <v>Every Day Office Environment</v>
      </c>
      <c r="L10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33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033" s="1" t="str">
        <f ca="1">IFERROR(__xludf.DUMMYFUNCTION("""COMPUTED_VALUE"""),"Manager who explains what is expected, sets a goal and helps achieve it")</f>
        <v>Manager who explains what is expected, sets a goal and helps achieve it</v>
      </c>
      <c r="P1033" s="1" t="str">
        <f ca="1">IFERROR(__xludf.DUMMYFUNCTION("""COMPUTED_VALUE"""),"Work with 2 to 3 people in my team")</f>
        <v>Work with 2 to 3 people in my team</v>
      </c>
      <c r="Q1033" s="1" t="str">
        <f ca="1">IFERROR(__xludf.DUMMYFUNCTION("""COMPUTED_VALUE"""),"Yes, I Understand this is gonna happen everywhere")</f>
        <v>Yes, I Understand this is gonna happen everywhere</v>
      </c>
      <c r="R1033" s="1" t="str">
        <f ca="1">IFERROR(__xludf.DUMMYFUNCTION("""COMPUTED_VALUE"""),"This will be hard to do, but if it is the right company I would try")</f>
        <v>This will be hard to do, but if it is the right company I would try</v>
      </c>
      <c r="S1033" s="1"/>
    </row>
    <row r="1034" spans="1:19" ht="12.5" x14ac:dyDescent="0.25">
      <c r="A1034" s="2">
        <f ca="1">IFERROR(__xludf.DUMMYFUNCTION("""COMPUTED_VALUE"""),45043.9147123958)</f>
        <v>45043.914712395803</v>
      </c>
      <c r="B1034" s="1" t="str">
        <f ca="1">IFERROR(__xludf.DUMMYFUNCTION("""COMPUTED_VALUE"""),"India")</f>
        <v>India</v>
      </c>
      <c r="C1034" s="1">
        <f ca="1">IFERROR(__xludf.DUMMYFUNCTION("""COMPUTED_VALUE"""),509385)</f>
        <v>509385</v>
      </c>
      <c r="D1034" s="1" t="str">
        <f ca="1">IFERROR(__xludf.DUMMYFUNCTION("""COMPUTED_VALUE"""),"Female")</f>
        <v>Female</v>
      </c>
      <c r="E1034" s="1" t="str">
        <f ca="1">IFERROR(__xludf.DUMMYFUNCTION("""COMPUTED_VALUE"""),"People who have changed the world for better")</f>
        <v>People who have changed the world for better</v>
      </c>
      <c r="F1034" s="1" t="str">
        <f ca="1">IFERROR(__xludf.DUMMYFUNCTION("""COMPUTED_VALUE"""),"Yes, I will earn and do that")</f>
        <v>Yes, I will earn and do that</v>
      </c>
      <c r="G1034" s="1" t="str">
        <f ca="1">IFERROR(__xludf.DUMMYFUNCTION("""COMPUTED_VALUE"""),"Will work for 3 years or more")</f>
        <v>Will work for 3 years or more</v>
      </c>
      <c r="H1034" s="1" t="str">
        <f ca="1">IFERROR(__xludf.DUMMYFUNCTION("""COMPUTED_VALUE"""),"No")</f>
        <v>No</v>
      </c>
      <c r="I1034" s="1" t="str">
        <f ca="1">IFERROR(__xludf.DUMMYFUNCTION("""COMPUTED_VALUE"""),"Will NOT work for them")</f>
        <v>Will NOT work for them</v>
      </c>
      <c r="J1034" s="1">
        <f ca="1">IFERROR(__xludf.DUMMYFUNCTION("""COMPUTED_VALUE"""),8)</f>
        <v>8</v>
      </c>
      <c r="K1034" s="1" t="str">
        <f ca="1">IFERROR(__xludf.DUMMYFUNCTION("""COMPUTED_VALUE"""),"Every Day Office Environment")</f>
        <v>Every Day Office Environment</v>
      </c>
      <c r="L1034" s="1" t="str">
        <f ca="1">IFERROR(__xludf.DUMMYFUNCTION("""COMPUTED_VALUE"""),"Employer who appreciates learning and enables that environment")</f>
        <v>Employer who appreciates learning and enables that environment</v>
      </c>
      <c r="M103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034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1034" s="1" t="str">
        <f ca="1">IFERROR(__xludf.DUMMYFUNCTION("""COMPUTED_VALUE"""),"Manager who explains what is expected, sets a goal and helps achieve it")</f>
        <v>Manager who explains what is expected, sets a goal and helps achieve it</v>
      </c>
      <c r="P1034" s="1" t="str">
        <f ca="1">IFERROR(__xludf.DUMMYFUNCTION("""COMPUTED_VALUE"""),"Work with more than 10 people in my team")</f>
        <v>Work with more than 10 people in my team</v>
      </c>
      <c r="Q1034" s="1" t="str">
        <f ca="1">IFERROR(__xludf.DUMMYFUNCTION("""COMPUTED_VALUE"""),"Yes")</f>
        <v>Yes</v>
      </c>
      <c r="R1034" s="1" t="str">
        <f ca="1">IFERROR(__xludf.DUMMYFUNCTION("""COMPUTED_VALUE"""),"Will work for 7 years or more")</f>
        <v>Will work for 7 years or more</v>
      </c>
      <c r="S1034" s="1"/>
    </row>
    <row r="1035" spans="1:19" ht="12.5" x14ac:dyDescent="0.25">
      <c r="A1035" s="2">
        <f ca="1">IFERROR(__xludf.DUMMYFUNCTION("""COMPUTED_VALUE"""),45043.915758368)</f>
        <v>45043.915758367999</v>
      </c>
      <c r="B1035" s="1" t="str">
        <f ca="1">IFERROR(__xludf.DUMMYFUNCTION("""COMPUTED_VALUE"""),"India")</f>
        <v>India</v>
      </c>
      <c r="C1035" s="1">
        <f ca="1">IFERROR(__xludf.DUMMYFUNCTION("""COMPUTED_VALUE"""),110085)</f>
        <v>110085</v>
      </c>
      <c r="D1035" s="1" t="str">
        <f ca="1">IFERROR(__xludf.DUMMYFUNCTION("""COMPUTED_VALUE"""),"Female")</f>
        <v>Female</v>
      </c>
      <c r="E1035" s="1" t="str">
        <f ca="1">IFERROR(__xludf.DUMMYFUNCTION("""COMPUTED_VALUE"""),"People who have changed the world for better")</f>
        <v>People who have changed the world for better</v>
      </c>
      <c r="F1035" s="1" t="str">
        <f ca="1">IFERROR(__xludf.DUMMYFUNCTION("""COMPUTED_VALUE"""),"Yes, I will earn and do that")</f>
        <v>Yes, I will earn and do that</v>
      </c>
      <c r="G1035" s="1" t="str">
        <f ca="1">IFERROR(__xludf.DUMMYFUNCTION("""COMPUTED_VALUE"""),"This will be hard to do, but if it is the right company I would try")</f>
        <v>This will be hard to do, but if it is the right company I would try</v>
      </c>
      <c r="H1035" s="1" t="str">
        <f ca="1">IFERROR(__xludf.DUMMYFUNCTION("""COMPUTED_VALUE"""),"No")</f>
        <v>No</v>
      </c>
      <c r="I1035" s="1" t="str">
        <f ca="1">IFERROR(__xludf.DUMMYFUNCTION("""COMPUTED_VALUE"""),"Will NOT work for them")</f>
        <v>Will NOT work for them</v>
      </c>
      <c r="J1035" s="1">
        <f ca="1">IFERROR(__xludf.DUMMYFUNCTION("""COMPUTED_VALUE"""),4)</f>
        <v>4</v>
      </c>
      <c r="K1035" s="1" t="str">
        <f ca="1">IFERROR(__xludf.DUMMYFUNCTION("""COMPUTED_VALUE"""),"Hybrid Working Environment with more than 15 days a month at office")</f>
        <v>Hybrid Working Environment with more than 15 days a month at office</v>
      </c>
      <c r="L103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035" s="1" t="str">
        <f ca="1">IFERROR(__xludf.DUMMYFUNCTION("""COMPUTED_VALUE"""),"Teaching in any of the institutes/colleges/online or offline, Build and develop a Team, Become a content Creator in some platform, Entrepreneur or Start Up")</f>
        <v>Teaching in any of the institutes/colleges/online or offline, Build and develop a Team, Become a content Creator in some platform, Entrepreneur or Start Up</v>
      </c>
      <c r="O1035" s="1" t="str">
        <f ca="1">IFERROR(__xludf.DUMMYFUNCTION("""COMPUTED_VALUE"""),"Manager who sets goal and helps me achieve it")</f>
        <v>Manager who sets goal and helps me achieve it</v>
      </c>
      <c r="P1035" s="1" t="str">
        <f ca="1">IFERROR(__xludf.DUMMYFUNCTION("""COMPUTED_VALUE"""),"Work with 5 to 6 people in my team")</f>
        <v>Work with 5 to 6 people in my team</v>
      </c>
      <c r="Q1035" s="1" t="str">
        <f ca="1">IFERROR(__xludf.DUMMYFUNCTION("""COMPUTED_VALUE"""),"Yes, I Understand this is gonna happen everywhere")</f>
        <v>Yes, I Understand this is gonna happen everywhere</v>
      </c>
      <c r="R1035" s="1" t="str">
        <f ca="1">IFERROR(__xludf.DUMMYFUNCTION("""COMPUTED_VALUE"""),"This will be hard to do, but if it is the right company I would try")</f>
        <v>This will be hard to do, but if it is the right company I would try</v>
      </c>
      <c r="S1035" s="1"/>
    </row>
    <row r="1036" spans="1:19" ht="12.5" x14ac:dyDescent="0.25">
      <c r="A1036" s="2">
        <f ca="1">IFERROR(__xludf.DUMMYFUNCTION("""COMPUTED_VALUE"""),45043.91646603)</f>
        <v>45043.916466030001</v>
      </c>
      <c r="B1036" s="1" t="str">
        <f ca="1">IFERROR(__xludf.DUMMYFUNCTION("""COMPUTED_VALUE"""),"India")</f>
        <v>India</v>
      </c>
      <c r="C1036" s="1">
        <f ca="1">IFERROR(__xludf.DUMMYFUNCTION("""COMPUTED_VALUE"""),501504)</f>
        <v>501504</v>
      </c>
      <c r="D1036" s="1" t="str">
        <f ca="1">IFERROR(__xludf.DUMMYFUNCTION("""COMPUTED_VALUE"""),"Male")</f>
        <v>Male</v>
      </c>
      <c r="E1036" s="1" t="str">
        <f ca="1">IFERROR(__xludf.DUMMYFUNCTION("""COMPUTED_VALUE"""),"My Parents")</f>
        <v>My Parents</v>
      </c>
      <c r="F1036" s="1" t="str">
        <f ca="1">IFERROR(__xludf.DUMMYFUNCTION("""COMPUTED_VALUE"""),"No, But if someone could bare the cost I will")</f>
        <v>No, But if someone could bare the cost I will</v>
      </c>
      <c r="G1036" s="1" t="str">
        <f ca="1">IFERROR(__xludf.DUMMYFUNCTION("""COMPUTED_VALUE"""),"This will be hard to do, but if it is the right company I would try")</f>
        <v>This will be hard to do, but if it is the right company I would try</v>
      </c>
      <c r="H1036" s="1" t="str">
        <f ca="1">IFERROR(__xludf.DUMMYFUNCTION("""COMPUTED_VALUE"""),"Yes")</f>
        <v>Yes</v>
      </c>
      <c r="I1036" s="1" t="str">
        <f ca="1">IFERROR(__xludf.DUMMYFUNCTION("""COMPUTED_VALUE"""),"Will NOT work for them")</f>
        <v>Will NOT work for them</v>
      </c>
      <c r="J1036" s="1">
        <f ca="1">IFERROR(__xludf.DUMMYFUNCTION("""COMPUTED_VALUE"""),5)</f>
        <v>5</v>
      </c>
      <c r="K1036" s="1" t="str">
        <f ca="1">IFERROR(__xludf.DUMMYFUNCTION("""COMPUTED_VALUE"""),"Hybrid Working Environment with less than 3 days a month at office")</f>
        <v>Hybrid Working Environment with less than 3 days a month at office</v>
      </c>
      <c r="L10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036" s="1" t="str">
        <f ca="1">IFERROR(__xludf.DUMMYFUNCTION("""COMPUTED_VALUE"""),"Design and Creative strategy in any company, Build and develop a Team, Entrepreneur or Start Up, Manufacturing / Oil and Gas/ Construction / Hard Physical Work related")</f>
        <v>Design and Creative strategy in any company, Build and develop a Team, Entrepreneur or Start Up, Manufacturing / Oil and Gas/ Construction / Hard Physical Work related</v>
      </c>
      <c r="O1036" s="1" t="str">
        <f ca="1">IFERROR(__xludf.DUMMYFUNCTION("""COMPUTED_VALUE"""),"Manager who clearly describes what she/he needs")</f>
        <v>Manager who clearly describes what she/he needs</v>
      </c>
      <c r="P1036" s="1" t="str">
        <f ca="1">IFERROR(__xludf.DUMMYFUNCTION("""COMPUTED_VALUE"""),"Work with 2 to 3 people in my team")</f>
        <v>Work with 2 to 3 people in my team</v>
      </c>
      <c r="Q1036" s="1" t="str">
        <f ca="1">IFERROR(__xludf.DUMMYFUNCTION("""COMPUTED_VALUE"""),"Yes, I Understand this is gonna happen everywhere")</f>
        <v>Yes, I Understand this is gonna happen everywhere</v>
      </c>
      <c r="R1036" s="1" t="str">
        <f ca="1">IFERROR(__xludf.DUMMYFUNCTION("""COMPUTED_VALUE"""),"No way")</f>
        <v>No way</v>
      </c>
      <c r="S1036" s="1"/>
    </row>
    <row r="1037" spans="1:19" ht="12.5" x14ac:dyDescent="0.25">
      <c r="A1037" s="2">
        <f ca="1">IFERROR(__xludf.DUMMYFUNCTION("""COMPUTED_VALUE"""),45043.9166903588)</f>
        <v>45043.916690358797</v>
      </c>
      <c r="B1037" s="1" t="str">
        <f ca="1">IFERROR(__xludf.DUMMYFUNCTION("""COMPUTED_VALUE"""),"India")</f>
        <v>India</v>
      </c>
      <c r="C1037" s="1">
        <f ca="1">IFERROR(__xludf.DUMMYFUNCTION("""COMPUTED_VALUE"""),500037)</f>
        <v>500037</v>
      </c>
      <c r="D1037" s="1" t="str">
        <f ca="1">IFERROR(__xludf.DUMMYFUNCTION("""COMPUTED_VALUE"""),"Female")</f>
        <v>Female</v>
      </c>
      <c r="E1037" s="1" t="str">
        <f ca="1">IFERROR(__xludf.DUMMYFUNCTION("""COMPUTED_VALUE"""),"My Parents")</f>
        <v>My Parents</v>
      </c>
      <c r="F1037" s="1" t="str">
        <f ca="1">IFERROR(__xludf.DUMMYFUNCTION("""COMPUTED_VALUE"""),"Yes, I will earn and do that")</f>
        <v>Yes, I will earn and do that</v>
      </c>
      <c r="G1037" s="1" t="str">
        <f ca="1">IFERROR(__xludf.DUMMYFUNCTION("""COMPUTED_VALUE"""),"This will be hard to do, but if it is the right company I would try")</f>
        <v>This will be hard to do, but if it is the right company I would try</v>
      </c>
      <c r="H1037" s="1" t="str">
        <f ca="1">IFERROR(__xludf.DUMMYFUNCTION("""COMPUTED_VALUE"""),"No")</f>
        <v>No</v>
      </c>
      <c r="I1037" s="1" t="str">
        <f ca="1">IFERROR(__xludf.DUMMYFUNCTION("""COMPUTED_VALUE"""),"Will NOT work for them")</f>
        <v>Will NOT work for them</v>
      </c>
      <c r="J1037" s="1">
        <f ca="1">IFERROR(__xludf.DUMMYFUNCTION("""COMPUTED_VALUE"""),4)</f>
        <v>4</v>
      </c>
      <c r="K1037" s="1" t="str">
        <f ca="1">IFERROR(__xludf.DUMMYFUNCTION("""COMPUTED_VALUE"""),"Fully Remote with Options to travel as and when needed")</f>
        <v>Fully Remote with Options to travel as and when needed</v>
      </c>
      <c r="L10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37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03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37" s="1" t="str">
        <f ca="1">IFERROR(__xludf.DUMMYFUNCTION("""COMPUTED_VALUE"""),"Work with 5 to 6 people in my team")</f>
        <v>Work with 5 to 6 people in my team</v>
      </c>
      <c r="Q1037" s="1" t="str">
        <f ca="1">IFERROR(__xludf.DUMMYFUNCTION("""COMPUTED_VALUE"""),"Yes, I Understand this is gonna happen everywhere")</f>
        <v>Yes, I Understand this is gonna happen everywhere</v>
      </c>
      <c r="R1037" s="1" t="str">
        <f ca="1">IFERROR(__xludf.DUMMYFUNCTION("""COMPUTED_VALUE"""),"This will be hard to do, but if it is the right company I would try")</f>
        <v>This will be hard to do, but if it is the right company I would try</v>
      </c>
      <c r="S1037" s="1"/>
    </row>
    <row r="1038" spans="1:19" ht="12.5" x14ac:dyDescent="0.25">
      <c r="A1038" s="2">
        <f ca="1">IFERROR(__xludf.DUMMYFUNCTION("""COMPUTED_VALUE"""),45043.9182390625)</f>
        <v>45043.918239062499</v>
      </c>
      <c r="B1038" s="1" t="str">
        <f ca="1">IFERROR(__xludf.DUMMYFUNCTION("""COMPUTED_VALUE"""),"India")</f>
        <v>India</v>
      </c>
      <c r="C1038" s="1">
        <f ca="1">IFERROR(__xludf.DUMMYFUNCTION("""COMPUTED_VALUE"""),506002)</f>
        <v>506002</v>
      </c>
      <c r="D1038" s="1" t="str">
        <f ca="1">IFERROR(__xludf.DUMMYFUNCTION("""COMPUTED_VALUE"""),"Male")</f>
        <v>Male</v>
      </c>
      <c r="E1038" s="1" t="str">
        <f ca="1">IFERROR(__xludf.DUMMYFUNCTION("""COMPUTED_VALUE"""),"Influencers who had successful careers")</f>
        <v>Influencers who had successful careers</v>
      </c>
      <c r="F1038" s="1" t="str">
        <f ca="1">IFERROR(__xludf.DUMMYFUNCTION("""COMPUTED_VALUE"""),"Yes, I will earn and do that")</f>
        <v>Yes, I will earn and do that</v>
      </c>
      <c r="G1038" s="1" t="str">
        <f ca="1">IFERROR(__xludf.DUMMYFUNCTION("""COMPUTED_VALUE"""),"No way")</f>
        <v>No way</v>
      </c>
      <c r="H1038" s="1" t="str">
        <f ca="1">IFERROR(__xludf.DUMMYFUNCTION("""COMPUTED_VALUE"""),"No")</f>
        <v>No</v>
      </c>
      <c r="I1038" s="1" t="str">
        <f ca="1">IFERROR(__xludf.DUMMYFUNCTION("""COMPUTED_VALUE"""),"Will NOT work for them")</f>
        <v>Will NOT work for them</v>
      </c>
      <c r="J1038" s="1">
        <f ca="1">IFERROR(__xludf.DUMMYFUNCTION("""COMPUTED_VALUE"""),2)</f>
        <v>2</v>
      </c>
      <c r="K1038" s="1" t="str">
        <f ca="1">IFERROR(__xludf.DUMMYFUNCTION("""COMPUTED_VALUE"""),"Fully Remote with Options to travel as and when needed")</f>
        <v>Fully Remote with Options to travel as and when needed</v>
      </c>
      <c r="L10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3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38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1038" s="1" t="str">
        <f ca="1">IFERROR(__xludf.DUMMYFUNCTION("""COMPUTED_VALUE"""),"Manager who sets goal and helps me achieve it")</f>
        <v>Manager who sets goal and helps me achieve it</v>
      </c>
      <c r="P1038" s="1" t="str">
        <f ca="1">IFERROR(__xludf.DUMMYFUNCTION("""COMPUTED_VALUE"""),"Work with 2 to 3 people in my team")</f>
        <v>Work with 2 to 3 people in my team</v>
      </c>
      <c r="Q1038" s="1" t="str">
        <f ca="1">IFERROR(__xludf.DUMMYFUNCTION("""COMPUTED_VALUE"""),"Yes, I Understand this is gonna happen everywhere")</f>
        <v>Yes, I Understand this is gonna happen everywhere</v>
      </c>
      <c r="R1038" s="1" t="str">
        <f ca="1">IFERROR(__xludf.DUMMYFUNCTION("""COMPUTED_VALUE"""),"No way")</f>
        <v>No way</v>
      </c>
      <c r="S1038" s="1"/>
    </row>
    <row r="1039" spans="1:19" ht="12.5" x14ac:dyDescent="0.25">
      <c r="A1039" s="2">
        <f ca="1">IFERROR(__xludf.DUMMYFUNCTION("""COMPUTED_VALUE"""),45043.9222481944)</f>
        <v>45043.922248194402</v>
      </c>
      <c r="B1039" s="1" t="str">
        <f ca="1">IFERROR(__xludf.DUMMYFUNCTION("""COMPUTED_VALUE"""),"India")</f>
        <v>India</v>
      </c>
      <c r="C1039" s="1">
        <f ca="1">IFERROR(__xludf.DUMMYFUNCTION("""COMPUTED_VALUE"""),564114)</f>
        <v>564114</v>
      </c>
      <c r="D1039" s="1" t="str">
        <f ca="1">IFERROR(__xludf.DUMMYFUNCTION("""COMPUTED_VALUE"""),"Female")</f>
        <v>Female</v>
      </c>
      <c r="E1039" s="1" t="str">
        <f ca="1">IFERROR(__xludf.DUMMYFUNCTION("""COMPUTED_VALUE"""),"Influencers who had successful careers")</f>
        <v>Influencers who had successful careers</v>
      </c>
      <c r="F1039" s="1" t="str">
        <f ca="1">IFERROR(__xludf.DUMMYFUNCTION("""COMPUTED_VALUE"""),"No I would not be pursuing Higher Education outside of India")</f>
        <v>No I would not be pursuing Higher Education outside of India</v>
      </c>
      <c r="G1039" s="1" t="str">
        <f ca="1">IFERROR(__xludf.DUMMYFUNCTION("""COMPUTED_VALUE"""),"This will be hard to do, but if it is the right company I would try")</f>
        <v>This will be hard to do, but if it is the right company I would try</v>
      </c>
      <c r="H1039" s="1" t="str">
        <f ca="1">IFERROR(__xludf.DUMMYFUNCTION("""COMPUTED_VALUE"""),"Yes")</f>
        <v>Yes</v>
      </c>
      <c r="I1039" s="1" t="str">
        <f ca="1">IFERROR(__xludf.DUMMYFUNCTION("""COMPUTED_VALUE"""),"Will NOT work for them")</f>
        <v>Will NOT work for them</v>
      </c>
      <c r="J1039" s="1">
        <f ca="1">IFERROR(__xludf.DUMMYFUNCTION("""COMPUTED_VALUE"""),7)</f>
        <v>7</v>
      </c>
      <c r="K1039" s="1" t="str">
        <f ca="1">IFERROR(__xludf.DUMMYFUNCTION("""COMPUTED_VALUE"""),"Hybrid Working Environment with more than 15 days a month at office")</f>
        <v>Hybrid Working Environment with more than 15 days a month at office</v>
      </c>
      <c r="L1039" s="1" t="str">
        <f ca="1">IFERROR(__xludf.DUMMYFUNCTION("""COMPUTED_VALUE"""),"Employer who appreciates learning and enables that environment")</f>
        <v>Employer who appreciates learning and enables that environment</v>
      </c>
      <c r="M103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39" s="1" t="str">
        <f ca="1">IFERROR(__xludf.DUMMYFUNCTION("""COMPUTED_VALUE"""),"Design and Creative strategy in any company, Teaching in any of the institutes/colleges/online or offline, Look deeply into Data and generate insights, Work as a freelancer and do my thing my way")</f>
        <v>Design and Creative strategy in any company, Teaching in any of the institutes/colleges/online or offline, Look deeply into Data and generate insights, Work as a freelancer and do my thing my way</v>
      </c>
      <c r="O103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39" s="1" t="str">
        <f ca="1">IFERROR(__xludf.DUMMYFUNCTION("""COMPUTED_VALUE"""),"Work with 2 to 3 people in my team")</f>
        <v>Work with 2 to 3 people in my team</v>
      </c>
      <c r="Q1039" s="1" t="str">
        <f ca="1">IFERROR(__xludf.DUMMYFUNCTION("""COMPUTED_VALUE"""),"Yes, I Understand this is gonna happen everywhere")</f>
        <v>Yes, I Understand this is gonna happen everywhere</v>
      </c>
      <c r="R1039" s="1" t="str">
        <f ca="1">IFERROR(__xludf.DUMMYFUNCTION("""COMPUTED_VALUE"""),"No way")</f>
        <v>No way</v>
      </c>
      <c r="S1039" s="1"/>
    </row>
    <row r="1040" spans="1:19" ht="12.5" x14ac:dyDescent="0.25">
      <c r="A1040" s="2">
        <f ca="1">IFERROR(__xludf.DUMMYFUNCTION("""COMPUTED_VALUE"""),45043.9226165393)</f>
        <v>45043.922616539297</v>
      </c>
      <c r="B1040" s="1" t="str">
        <f ca="1">IFERROR(__xludf.DUMMYFUNCTION("""COMPUTED_VALUE"""),"India")</f>
        <v>India</v>
      </c>
      <c r="C1040" s="1">
        <f ca="1">IFERROR(__xludf.DUMMYFUNCTION("""COMPUTED_VALUE"""),501504)</f>
        <v>501504</v>
      </c>
      <c r="D1040" s="1" t="str">
        <f ca="1">IFERROR(__xludf.DUMMYFUNCTION("""COMPUTED_VALUE"""),"Female")</f>
        <v>Female</v>
      </c>
      <c r="E1040" s="1" t="str">
        <f ca="1">IFERROR(__xludf.DUMMYFUNCTION("""COMPUTED_VALUE"""),"My Parents")</f>
        <v>My Parents</v>
      </c>
      <c r="F1040" s="1" t="str">
        <f ca="1">IFERROR(__xludf.DUMMYFUNCTION("""COMPUTED_VALUE"""),"Yes, I will earn and do that")</f>
        <v>Yes, I will earn and do that</v>
      </c>
      <c r="G1040" s="1" t="str">
        <f ca="1">IFERROR(__xludf.DUMMYFUNCTION("""COMPUTED_VALUE"""),"This will be hard to do, but if it is the right company I would try")</f>
        <v>This will be hard to do, but if it is the right company I would try</v>
      </c>
      <c r="H1040" s="1" t="str">
        <f ca="1">IFERROR(__xludf.DUMMYFUNCTION("""COMPUTED_VALUE"""),"No")</f>
        <v>No</v>
      </c>
      <c r="I1040" s="1" t="str">
        <f ca="1">IFERROR(__xludf.DUMMYFUNCTION("""COMPUTED_VALUE"""),"Will NOT work for them")</f>
        <v>Will NOT work for them</v>
      </c>
      <c r="J1040" s="1">
        <f ca="1">IFERROR(__xludf.DUMMYFUNCTION("""COMPUTED_VALUE"""),5)</f>
        <v>5</v>
      </c>
      <c r="K1040" s="1" t="str">
        <f ca="1">IFERROR(__xludf.DUMMYFUNCTION("""COMPUTED_VALUE"""),"Hybrid Working Environment with more than 15 days a month at office")</f>
        <v>Hybrid Working Environment with more than 15 days a month at office</v>
      </c>
      <c r="L1040" s="1" t="str">
        <f ca="1">IFERROR(__xludf.DUMMYFUNCTION("""COMPUTED_VALUE"""),"Employer who appreciates learning and enables that environment")</f>
        <v>Employer who appreciates learning and enables that environment</v>
      </c>
      <c r="M104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040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1040" s="1" t="str">
        <f ca="1">IFERROR(__xludf.DUMMYFUNCTION("""COMPUTED_VALUE"""),"Manager who explains what is expected, sets a goal and helps achieve it")</f>
        <v>Manager who explains what is expected, sets a goal and helps achieve it</v>
      </c>
      <c r="P1040" s="1" t="str">
        <f ca="1">IFERROR(__xludf.DUMMYFUNCTION("""COMPUTED_VALUE"""),"Work with 5 to 6 people in my team")</f>
        <v>Work with 5 to 6 people in my team</v>
      </c>
      <c r="Q1040" s="1" t="str">
        <f ca="1">IFERROR(__xludf.DUMMYFUNCTION("""COMPUTED_VALUE"""),"Yes, I Understand this is gonna happen everywhere")</f>
        <v>Yes, I Understand this is gonna happen everywhere</v>
      </c>
      <c r="R1040" s="1" t="str">
        <f ca="1">IFERROR(__xludf.DUMMYFUNCTION("""COMPUTED_VALUE"""),"No way")</f>
        <v>No way</v>
      </c>
      <c r="S1040" s="1"/>
    </row>
    <row r="1041" spans="1:19" ht="12.5" x14ac:dyDescent="0.25">
      <c r="A1041" s="2">
        <f ca="1">IFERROR(__xludf.DUMMYFUNCTION("""COMPUTED_VALUE"""),45043.9228111226)</f>
        <v>45043.922811122597</v>
      </c>
      <c r="B1041" s="1" t="str">
        <f ca="1">IFERROR(__xludf.DUMMYFUNCTION("""COMPUTED_VALUE"""),"India")</f>
        <v>India</v>
      </c>
      <c r="C1041" s="1">
        <f ca="1">IFERROR(__xludf.DUMMYFUNCTION("""COMPUTED_VALUE"""),741121)</f>
        <v>741121</v>
      </c>
      <c r="D1041" s="1" t="str">
        <f ca="1">IFERROR(__xludf.DUMMYFUNCTION("""COMPUTED_VALUE"""),"Female")</f>
        <v>Female</v>
      </c>
      <c r="E1041" s="1" t="str">
        <f ca="1">IFERROR(__xludf.DUMMYFUNCTION("""COMPUTED_VALUE"""),"Influencers who had successful careers")</f>
        <v>Influencers who had successful careers</v>
      </c>
      <c r="F1041" s="1" t="str">
        <f ca="1">IFERROR(__xludf.DUMMYFUNCTION("""COMPUTED_VALUE"""),"No I would not be pursuing Higher Education outside of India")</f>
        <v>No I would not be pursuing Higher Education outside of India</v>
      </c>
      <c r="G1041" s="1" t="str">
        <f ca="1">IFERROR(__xludf.DUMMYFUNCTION("""COMPUTED_VALUE"""),"This will be hard to do, but if it is the right company I would try")</f>
        <v>This will be hard to do, but if it is the right company I would try</v>
      </c>
      <c r="H1041" s="1" t="str">
        <f ca="1">IFERROR(__xludf.DUMMYFUNCTION("""COMPUTED_VALUE"""),"No")</f>
        <v>No</v>
      </c>
      <c r="I1041" s="1" t="str">
        <f ca="1">IFERROR(__xludf.DUMMYFUNCTION("""COMPUTED_VALUE"""),"Will NOT work for them")</f>
        <v>Will NOT work for them</v>
      </c>
      <c r="J1041" s="1">
        <f ca="1">IFERROR(__xludf.DUMMYFUNCTION("""COMPUTED_VALUE"""),8)</f>
        <v>8</v>
      </c>
      <c r="K1041" s="1" t="str">
        <f ca="1">IFERROR(__xludf.DUMMYFUNCTION("""COMPUTED_VALUE"""),"Fully Remote with Options to travel as and when needed")</f>
        <v>Fully Remote with Options to travel as and when needed</v>
      </c>
      <c r="L10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4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41" s="1" t="str">
        <f ca="1">IFERROR(__xludf.DUMMYFUNCTION("""COMPUTED_VALUE"""),"Teaching in any of the institutes/colleges/online or offline, Work as a freelancer and do my thing my way, Become a content Creator in some platform, Manufacturing / Oil and Gas/ Construction / Hard Physical Work related")</f>
        <v>Teaching in any of the institutes/colleges/online or offline, Work as a freelancer and do my thing my way, Become a content Creator in some platform, Manufacturing / Oil and Gas/ Construction / Hard Physical Work related</v>
      </c>
      <c r="O1041" s="1" t="str">
        <f ca="1">IFERROR(__xludf.DUMMYFUNCTION("""COMPUTED_VALUE"""),"Manager who sets goal and helps me achieve it")</f>
        <v>Manager who sets goal and helps me achieve it</v>
      </c>
      <c r="P1041" s="1" t="str">
        <f ca="1">IFERROR(__xludf.DUMMYFUNCTION("""COMPUTED_VALUE"""),"Work with 2 to 3 people in my team")</f>
        <v>Work with 2 to 3 people in my team</v>
      </c>
      <c r="Q1041" s="1" t="str">
        <f ca="1">IFERROR(__xludf.DUMMYFUNCTION("""COMPUTED_VALUE"""),"No")</f>
        <v>No</v>
      </c>
      <c r="R1041" s="1" t="str">
        <f ca="1">IFERROR(__xludf.DUMMYFUNCTION("""COMPUTED_VALUE"""),"This will be hard to do, but if it is the right company I would try")</f>
        <v>This will be hard to do, but if it is the right company I would try</v>
      </c>
      <c r="S1041" s="1"/>
    </row>
    <row r="1042" spans="1:19" ht="12.5" x14ac:dyDescent="0.25">
      <c r="A1042" s="2">
        <f ca="1">IFERROR(__xludf.DUMMYFUNCTION("""COMPUTED_VALUE"""),45043.9242005324)</f>
        <v>45043.924200532398</v>
      </c>
      <c r="B1042" s="1" t="str">
        <f ca="1">IFERROR(__xludf.DUMMYFUNCTION("""COMPUTED_VALUE"""),"India")</f>
        <v>India</v>
      </c>
      <c r="C1042" s="1">
        <f ca="1">IFERROR(__xludf.DUMMYFUNCTION("""COMPUTED_VALUE"""),755051)</f>
        <v>755051</v>
      </c>
      <c r="D1042" s="1" t="str">
        <f ca="1">IFERROR(__xludf.DUMMYFUNCTION("""COMPUTED_VALUE"""),"Female")</f>
        <v>Female</v>
      </c>
      <c r="E1042" s="1" t="str">
        <f ca="1">IFERROR(__xludf.DUMMYFUNCTION("""COMPUTED_VALUE"""),"Social Media like LinkedIn")</f>
        <v>Social Media like LinkedIn</v>
      </c>
      <c r="F1042" s="1" t="str">
        <f ca="1">IFERROR(__xludf.DUMMYFUNCTION("""COMPUTED_VALUE"""),"No I would not be pursuing Higher Education outside of India")</f>
        <v>No I would not be pursuing Higher Education outside of India</v>
      </c>
      <c r="G1042" s="1" t="str">
        <f ca="1">IFERROR(__xludf.DUMMYFUNCTION("""COMPUTED_VALUE"""),"This will be hard to do, but if it is the right company I would try")</f>
        <v>This will be hard to do, but if it is the right company I would try</v>
      </c>
      <c r="H1042" s="1" t="str">
        <f ca="1">IFERROR(__xludf.DUMMYFUNCTION("""COMPUTED_VALUE"""),"No")</f>
        <v>No</v>
      </c>
      <c r="I1042" s="1" t="str">
        <f ca="1">IFERROR(__xludf.DUMMYFUNCTION("""COMPUTED_VALUE"""),"Will NOT work for them")</f>
        <v>Will NOT work for them</v>
      </c>
      <c r="J1042" s="1">
        <f ca="1">IFERROR(__xludf.DUMMYFUNCTION("""COMPUTED_VALUE"""),5)</f>
        <v>5</v>
      </c>
      <c r="K1042" s="1" t="str">
        <f ca="1">IFERROR(__xludf.DUMMYFUNCTION("""COMPUTED_VALUE"""),"Hybrid Working Environment with more than 15 days a month at office")</f>
        <v>Hybrid Working Environment with more than 15 days a month at office</v>
      </c>
      <c r="L10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4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42" s="1" t="str">
        <f ca="1">IFERROR(__xludf.DUMMYFUNCTION("""COMPUTED_VALUE"""),"Business Operations in any organization, Build and develop a Team, Design and Develop amazing software, Look deeply into Data and generate insights")</f>
        <v>Business Operations in any organization, Build and develop a Team, Design and Develop amazing software, Look deeply into Data and generate insights</v>
      </c>
      <c r="O1042" s="1" t="str">
        <f ca="1">IFERROR(__xludf.DUMMYFUNCTION("""COMPUTED_VALUE"""),"Manager who explains what is expected, sets a goal and helps achieve it")</f>
        <v>Manager who explains what is expected, sets a goal and helps achieve it</v>
      </c>
      <c r="P1042" s="1" t="str">
        <f ca="1">IFERROR(__xludf.DUMMYFUNCTION("""COMPUTED_VALUE"""),"Work with more than 10 people in my team")</f>
        <v>Work with more than 10 people in my team</v>
      </c>
      <c r="Q1042" s="1" t="str">
        <f ca="1">IFERROR(__xludf.DUMMYFUNCTION("""COMPUTED_VALUE"""),"Yes, I Understand this is gonna happen everywhere")</f>
        <v>Yes, I Understand this is gonna happen everywhere</v>
      </c>
      <c r="R1042" s="1" t="str">
        <f ca="1">IFERROR(__xludf.DUMMYFUNCTION("""COMPUTED_VALUE"""),"This will be hard to do, but if it is the right company I would try")</f>
        <v>This will be hard to do, but if it is the right company I would try</v>
      </c>
      <c r="S1042" s="1"/>
    </row>
    <row r="1043" spans="1:19" ht="12.5" x14ac:dyDescent="0.25">
      <c r="A1043" s="2">
        <f ca="1">IFERROR(__xludf.DUMMYFUNCTION("""COMPUTED_VALUE"""),45043.9246146296)</f>
        <v>45043.924614629599</v>
      </c>
      <c r="B1043" s="1" t="str">
        <f ca="1">IFERROR(__xludf.DUMMYFUNCTION("""COMPUTED_VALUE"""),"India")</f>
        <v>India</v>
      </c>
      <c r="C1043" s="1">
        <f ca="1">IFERROR(__xludf.DUMMYFUNCTION("""COMPUTED_VALUE"""),506315)</f>
        <v>506315</v>
      </c>
      <c r="D1043" s="1" t="str">
        <f ca="1">IFERROR(__xludf.DUMMYFUNCTION("""COMPUTED_VALUE"""),"Male")</f>
        <v>Male</v>
      </c>
      <c r="E1043" s="1" t="str">
        <f ca="1">IFERROR(__xludf.DUMMYFUNCTION("""COMPUTED_VALUE"""),"People who have changed the world for better")</f>
        <v>People who have changed the world for better</v>
      </c>
      <c r="F1043" s="1" t="str">
        <f ca="1">IFERROR(__xludf.DUMMYFUNCTION("""COMPUTED_VALUE"""),"No, But if someone could bare the cost I will")</f>
        <v>No, But if someone could bare the cost I will</v>
      </c>
      <c r="G1043" s="1" t="str">
        <f ca="1">IFERROR(__xludf.DUMMYFUNCTION("""COMPUTED_VALUE"""),"This will be hard to do, but if it is the right company I would try")</f>
        <v>This will be hard to do, but if it is the right company I would try</v>
      </c>
      <c r="H1043" s="1" t="str">
        <f ca="1">IFERROR(__xludf.DUMMYFUNCTION("""COMPUTED_VALUE"""),"No")</f>
        <v>No</v>
      </c>
      <c r="I1043" s="1" t="str">
        <f ca="1">IFERROR(__xludf.DUMMYFUNCTION("""COMPUTED_VALUE"""),"Will NOT work for them")</f>
        <v>Will NOT work for them</v>
      </c>
      <c r="J1043" s="1">
        <f ca="1">IFERROR(__xludf.DUMMYFUNCTION("""COMPUTED_VALUE"""),5)</f>
        <v>5</v>
      </c>
      <c r="K1043" s="1" t="str">
        <f ca="1">IFERROR(__xludf.DUMMYFUNCTION("""COMPUTED_VALUE"""),"Fully Remote with No option to visit offices")</f>
        <v>Fully Remote with No option to visit offices</v>
      </c>
      <c r="L10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4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43" s="1" t="str">
        <f ca="1">IFERROR(__xludf.DUMMYFUNCTION("""COMPUTED_VALUE"""),"Design and Creative strategy in any company, Teaching in any of the institutes/colleges/online or offline, Become a content Creator in some platform, Manufacturing / Oil and Gas/ Construction / Hard Physical Work related")</f>
        <v>Design and Creative strategy in any company, Teaching in any of the institutes/colleges/online or offline, Become a content Creator in some platform, Manufacturing / Oil and Gas/ Construction / Hard Physical Work related</v>
      </c>
      <c r="O1043" s="1" t="str">
        <f ca="1">IFERROR(__xludf.DUMMYFUNCTION("""COMPUTED_VALUE"""),"Manager who sets goal and helps me achieve it")</f>
        <v>Manager who sets goal and helps me achieve it</v>
      </c>
      <c r="P1043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043" s="1" t="str">
        <f ca="1">IFERROR(__xludf.DUMMYFUNCTION("""COMPUTED_VALUE"""),"Yes, I Understand this is gonna happen everywhere")</f>
        <v>Yes, I Understand this is gonna happen everywhere</v>
      </c>
      <c r="R1043" s="1" t="str">
        <f ca="1">IFERROR(__xludf.DUMMYFUNCTION("""COMPUTED_VALUE"""),"This will be hard to do, but if it is the right company I would try")</f>
        <v>This will be hard to do, but if it is the right company I would try</v>
      </c>
      <c r="S1043" s="1"/>
    </row>
    <row r="1044" spans="1:19" ht="12.5" x14ac:dyDescent="0.25">
      <c r="A1044" s="2">
        <f ca="1">IFERROR(__xludf.DUMMYFUNCTION("""COMPUTED_VALUE"""),45043.9266736689)</f>
        <v>45043.926673668902</v>
      </c>
      <c r="B1044" s="1" t="str">
        <f ca="1">IFERROR(__xludf.DUMMYFUNCTION("""COMPUTED_VALUE"""),"India")</f>
        <v>India</v>
      </c>
      <c r="C1044" s="1">
        <f ca="1">IFERROR(__xludf.DUMMYFUNCTION("""COMPUTED_VALUE"""),600056)</f>
        <v>600056</v>
      </c>
      <c r="D1044" s="1" t="str">
        <f ca="1">IFERROR(__xludf.DUMMYFUNCTION("""COMPUTED_VALUE"""),"Female")</f>
        <v>Female</v>
      </c>
      <c r="E1044" s="1" t="str">
        <f ca="1">IFERROR(__xludf.DUMMYFUNCTION("""COMPUTED_VALUE"""),"Influencers who had successful careers")</f>
        <v>Influencers who had successful careers</v>
      </c>
      <c r="F1044" s="1" t="str">
        <f ca="1">IFERROR(__xludf.DUMMYFUNCTION("""COMPUTED_VALUE"""),"No I would not be pursuing Higher Education outside of India")</f>
        <v>No I would not be pursuing Higher Education outside of India</v>
      </c>
      <c r="G1044" s="1" t="str">
        <f ca="1">IFERROR(__xludf.DUMMYFUNCTION("""COMPUTED_VALUE"""),"This will be hard to do, but if it is the right company I would try")</f>
        <v>This will be hard to do, but if it is the right company I would try</v>
      </c>
      <c r="H1044" s="1" t="str">
        <f ca="1">IFERROR(__xludf.DUMMYFUNCTION("""COMPUTED_VALUE"""),"No")</f>
        <v>No</v>
      </c>
      <c r="I1044" s="1" t="str">
        <f ca="1">IFERROR(__xludf.DUMMYFUNCTION("""COMPUTED_VALUE"""),"Will NOT work for them")</f>
        <v>Will NOT work for them</v>
      </c>
      <c r="J1044" s="1">
        <f ca="1">IFERROR(__xludf.DUMMYFUNCTION("""COMPUTED_VALUE"""),5)</f>
        <v>5</v>
      </c>
      <c r="K1044" s="1" t="str">
        <f ca="1">IFERROR(__xludf.DUMMYFUNCTION("""COMPUTED_VALUE"""),"Fully Remote with Options to travel as and when needed")</f>
        <v>Fully Remote with Options to travel as and when needed</v>
      </c>
      <c r="L1044" s="1" t="str">
        <f ca="1">IFERROR(__xludf.DUMMYFUNCTION("""COMPUTED_VALUE"""),"Employer who appreciates learning and enables that environment")</f>
        <v>Employer who appreciates learning and enables that environment</v>
      </c>
      <c r="M104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44" s="1" t="str">
        <f ca="1">IFERROR(__xludf.DUMMYFUNCTION("""COMPUTED_VALUE"""),"Teaching in any of the institutes/colleges/online or offline, Look deeply into Data and generate insights, Work as a freelancer and do my thing my way, Become a content Creator in some platform")</f>
        <v>Teaching in any of the institutes/colleges/online or offline, Look deeply into Data and generate insights, Work as a freelancer and do my thing my way, Become a content Creator in some platform</v>
      </c>
      <c r="O1044" s="1" t="str">
        <f ca="1">IFERROR(__xludf.DUMMYFUNCTION("""COMPUTED_VALUE"""),"Manager who clearly describes what she/he needs")</f>
        <v>Manager who clearly describes what she/he needs</v>
      </c>
      <c r="P1044" s="1" t="str">
        <f ca="1">IFERROR(__xludf.DUMMYFUNCTION("""COMPUTED_VALUE"""),"Work alone, Work with 2 to 3 people in my team")</f>
        <v>Work alone, Work with 2 to 3 people in my team</v>
      </c>
      <c r="Q1044" s="1" t="str">
        <f ca="1">IFERROR(__xludf.DUMMYFUNCTION("""COMPUTED_VALUE"""),"Yes, I Understand this is gonna happen everywhere")</f>
        <v>Yes, I Understand this is gonna happen everywhere</v>
      </c>
      <c r="R1044" s="1" t="str">
        <f ca="1">IFERROR(__xludf.DUMMYFUNCTION("""COMPUTED_VALUE"""),"No way")</f>
        <v>No way</v>
      </c>
      <c r="S1044" s="1"/>
    </row>
    <row r="1045" spans="1:19" ht="12.5" x14ac:dyDescent="0.25">
      <c r="A1045" s="2">
        <f ca="1">IFERROR(__xludf.DUMMYFUNCTION("""COMPUTED_VALUE"""),45043.9269128587)</f>
        <v>45043.926912858697</v>
      </c>
      <c r="B1045" s="1" t="str">
        <f ca="1">IFERROR(__xludf.DUMMYFUNCTION("""COMPUTED_VALUE"""),"India")</f>
        <v>India</v>
      </c>
      <c r="C1045" s="1">
        <f ca="1">IFERROR(__xludf.DUMMYFUNCTION("""COMPUTED_VALUE"""),500053)</f>
        <v>500053</v>
      </c>
      <c r="D1045" s="1" t="str">
        <f ca="1">IFERROR(__xludf.DUMMYFUNCTION("""COMPUTED_VALUE"""),"Male")</f>
        <v>Male</v>
      </c>
      <c r="E1045" s="1" t="str">
        <f ca="1">IFERROR(__xludf.DUMMYFUNCTION("""COMPUTED_VALUE"""),"Social Media like LinkedIn")</f>
        <v>Social Media like LinkedIn</v>
      </c>
      <c r="F1045" s="1" t="str">
        <f ca="1">IFERROR(__xludf.DUMMYFUNCTION("""COMPUTED_VALUE"""),"Yes, I will earn and do that")</f>
        <v>Yes, I will earn and do that</v>
      </c>
      <c r="G1045" s="1" t="str">
        <f ca="1">IFERROR(__xludf.DUMMYFUNCTION("""COMPUTED_VALUE"""),"Will work for 3 years or more")</f>
        <v>Will work for 3 years or more</v>
      </c>
      <c r="H1045" s="1" t="str">
        <f ca="1">IFERROR(__xludf.DUMMYFUNCTION("""COMPUTED_VALUE"""),"No")</f>
        <v>No</v>
      </c>
      <c r="I1045" s="1" t="str">
        <f ca="1">IFERROR(__xludf.DUMMYFUNCTION("""COMPUTED_VALUE"""),"Will NOT work for them")</f>
        <v>Will NOT work for them</v>
      </c>
      <c r="J1045" s="1">
        <f ca="1">IFERROR(__xludf.DUMMYFUNCTION("""COMPUTED_VALUE"""),6)</f>
        <v>6</v>
      </c>
      <c r="K1045" s="1" t="str">
        <f ca="1">IFERROR(__xludf.DUMMYFUNCTION("""COMPUTED_VALUE"""),"Hybrid Working Environment with more than 15 days a month at office")</f>
        <v>Hybrid Working Environment with more than 15 days a month at office</v>
      </c>
      <c r="L10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45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045" s="1" t="str">
        <f ca="1">IFERROR(__xludf.DUMMYFUNCTION("""COMPUTED_VALUE"""),"Design and Creative strategy in any company, Design and Develop amazing software, Look deeply into Data and generate insights, Work as a freelancer and do my thing my way")</f>
        <v>Design and Creative strategy in any company, Design and Develop amazing software, Look deeply into Data and generate insights, Work as a freelancer and do my thing my way</v>
      </c>
      <c r="O1045" s="1" t="str">
        <f ca="1">IFERROR(__xludf.DUMMYFUNCTION("""COMPUTED_VALUE"""),"Manager who explains what is expected, sets a goal and helps achieve it")</f>
        <v>Manager who explains what is expected, sets a goal and helps achieve it</v>
      </c>
      <c r="P1045" s="1" t="str">
        <f ca="1">IFERROR(__xludf.DUMMYFUNCTION("""COMPUTED_VALUE"""),"Work with 5 to 6 people in my team")</f>
        <v>Work with 5 to 6 people in my team</v>
      </c>
      <c r="Q1045" s="1" t="str">
        <f ca="1">IFERROR(__xludf.DUMMYFUNCTION("""COMPUTED_VALUE"""),"Yes, I Understand this is gonna happen everywhere")</f>
        <v>Yes, I Understand this is gonna happen everywhere</v>
      </c>
      <c r="R1045" s="1" t="str">
        <f ca="1">IFERROR(__xludf.DUMMYFUNCTION("""COMPUTED_VALUE"""),"This will be hard to do, but if it is the right company I would try")</f>
        <v>This will be hard to do, but if it is the right company I would try</v>
      </c>
      <c r="S1045" s="1"/>
    </row>
    <row r="1046" spans="1:19" ht="12.5" x14ac:dyDescent="0.25">
      <c r="A1046" s="2">
        <f ca="1">IFERROR(__xludf.DUMMYFUNCTION("""COMPUTED_VALUE"""),45043.9271459375)</f>
        <v>45043.927145937501</v>
      </c>
      <c r="B1046" s="1" t="str">
        <f ca="1">IFERROR(__xludf.DUMMYFUNCTION("""COMPUTED_VALUE"""),"India")</f>
        <v>India</v>
      </c>
      <c r="C1046" s="1">
        <f ca="1">IFERROR(__xludf.DUMMYFUNCTION("""COMPUTED_VALUE"""),402030)</f>
        <v>402030</v>
      </c>
      <c r="D1046" s="1" t="str">
        <f ca="1">IFERROR(__xludf.DUMMYFUNCTION("""COMPUTED_VALUE"""),"Female")</f>
        <v>Female</v>
      </c>
      <c r="E1046" s="1" t="str">
        <f ca="1">IFERROR(__xludf.DUMMYFUNCTION("""COMPUTED_VALUE"""),"People from my circle, but not family members")</f>
        <v>People from my circle, but not family members</v>
      </c>
      <c r="F1046" s="1" t="str">
        <f ca="1">IFERROR(__xludf.DUMMYFUNCTION("""COMPUTED_VALUE"""),"No I would not be pursuing Higher Education outside of India")</f>
        <v>No I would not be pursuing Higher Education outside of India</v>
      </c>
      <c r="G1046" s="1" t="str">
        <f ca="1">IFERROR(__xludf.DUMMYFUNCTION("""COMPUTED_VALUE"""),"This will be hard to do, but if it is the right company I would try")</f>
        <v>This will be hard to do, but if it is the right company I would try</v>
      </c>
      <c r="H1046" s="1" t="str">
        <f ca="1">IFERROR(__xludf.DUMMYFUNCTION("""COMPUTED_VALUE"""),"Yes")</f>
        <v>Yes</v>
      </c>
      <c r="I1046" s="1" t="str">
        <f ca="1">IFERROR(__xludf.DUMMYFUNCTION("""COMPUTED_VALUE"""),"Will NOT work for them")</f>
        <v>Will NOT work for them</v>
      </c>
      <c r="J1046" s="1">
        <f ca="1">IFERROR(__xludf.DUMMYFUNCTION("""COMPUTED_VALUE"""),6)</f>
        <v>6</v>
      </c>
      <c r="K1046" s="1" t="str">
        <f ca="1">IFERROR(__xludf.DUMMYFUNCTION("""COMPUTED_VALUE"""),"Every Day Office Environment")</f>
        <v>Every Day Office Environment</v>
      </c>
      <c r="L10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46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046" s="1" t="str">
        <f ca="1">IFERROR(__xludf.DUMMYFUNCTION("""COMPUTED_VALUE"""),"Design and Creative strategy in any company, Business Operations in any organization, Build and develop a Team, Manufacturing / Oil and Gas/ Construction / Hard Physical Work related")</f>
        <v>Design and Creative strategy in any company, Business Operations in any organization, Build and develop a Team, Manufacturing / Oil and Gas/ Construction / Hard Physical Work related</v>
      </c>
      <c r="O1046" s="1" t="str">
        <f ca="1">IFERROR(__xludf.DUMMYFUNCTION("""COMPUTED_VALUE"""),"Manager who explains what is expected, sets a goal and helps achieve it")</f>
        <v>Manager who explains what is expected, sets a goal and helps achieve it</v>
      </c>
      <c r="P1046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046" s="1" t="str">
        <f ca="1">IFERROR(__xludf.DUMMYFUNCTION("""COMPUTED_VALUE"""),"Yes, I Understand this is gonna happen everywhere")</f>
        <v>Yes, I Understand this is gonna happen everywhere</v>
      </c>
      <c r="R1046" s="1" t="str">
        <f ca="1">IFERROR(__xludf.DUMMYFUNCTION("""COMPUTED_VALUE"""),"This will be hard to do, but if it is the right company I would try")</f>
        <v>This will be hard to do, but if it is the right company I would try</v>
      </c>
      <c r="S1046" s="1"/>
    </row>
    <row r="1047" spans="1:19" ht="12.5" x14ac:dyDescent="0.25">
      <c r="A1047" s="2">
        <f ca="1">IFERROR(__xludf.DUMMYFUNCTION("""COMPUTED_VALUE"""),45043.9274724421)</f>
        <v>45043.927472442097</v>
      </c>
      <c r="B1047" s="1" t="str">
        <f ca="1">IFERROR(__xludf.DUMMYFUNCTION("""COMPUTED_VALUE"""),"India")</f>
        <v>India</v>
      </c>
      <c r="C1047" s="1">
        <f ca="1">IFERROR(__xludf.DUMMYFUNCTION("""COMPUTED_VALUE"""),503201)</f>
        <v>503201</v>
      </c>
      <c r="D1047" s="1" t="str">
        <f ca="1">IFERROR(__xludf.DUMMYFUNCTION("""COMPUTED_VALUE"""),"Male")</f>
        <v>Male</v>
      </c>
      <c r="E1047" s="1" t="str">
        <f ca="1">IFERROR(__xludf.DUMMYFUNCTION("""COMPUTED_VALUE"""),"People who have changed the world for better")</f>
        <v>People who have changed the world for better</v>
      </c>
      <c r="F1047" s="1" t="str">
        <f ca="1">IFERROR(__xludf.DUMMYFUNCTION("""COMPUTED_VALUE"""),"No, But if someone could bare the cost I will")</f>
        <v>No, But if someone could bare the cost I will</v>
      </c>
      <c r="G1047" s="1" t="str">
        <f ca="1">IFERROR(__xludf.DUMMYFUNCTION("""COMPUTED_VALUE"""),"This will be hard to do, but if it is the right company I would try")</f>
        <v>This will be hard to do, but if it is the right company I would try</v>
      </c>
      <c r="H1047" s="1" t="str">
        <f ca="1">IFERROR(__xludf.DUMMYFUNCTION("""COMPUTED_VALUE"""),"Yes")</f>
        <v>Yes</v>
      </c>
      <c r="I1047" s="1" t="str">
        <f ca="1">IFERROR(__xludf.DUMMYFUNCTION("""COMPUTED_VALUE"""),"Will NOT work for them")</f>
        <v>Will NOT work for them</v>
      </c>
      <c r="J1047" s="1">
        <f ca="1">IFERROR(__xludf.DUMMYFUNCTION("""COMPUTED_VALUE"""),8)</f>
        <v>8</v>
      </c>
      <c r="K1047" s="1" t="str">
        <f ca="1">IFERROR(__xludf.DUMMYFUNCTION("""COMPUTED_VALUE"""),"Fully Remote with Options to travel as and when needed")</f>
        <v>Fully Remote with Options to travel as and when needed</v>
      </c>
      <c r="L10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4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47" s="1" t="str">
        <f ca="1">IFERROR(__xludf.DUMMYFUNCTION("""COMPUTED_VALUE"""),"Design and Creative strategy in any company, Build and develop a Team, Become a content Creator in some platform, Manufacturing / Oil and Gas/ Construction / Hard Physical Work related")</f>
        <v>Design and Creative strategy in any company, Build and develop a Team, Become a content Creator in some platform, Manufacturing / Oil and Gas/ Construction / Hard Physical Work related</v>
      </c>
      <c r="O104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47" s="1" t="str">
        <f ca="1">IFERROR(__xludf.DUMMYFUNCTION("""COMPUTED_VALUE"""),"Work with more than 10 people in my team")</f>
        <v>Work with more than 10 people in my team</v>
      </c>
      <c r="Q1047" s="1" t="str">
        <f ca="1">IFERROR(__xludf.DUMMYFUNCTION("""COMPUTED_VALUE"""),"Yes")</f>
        <v>Yes</v>
      </c>
      <c r="R1047" s="1" t="str">
        <f ca="1">IFERROR(__xludf.DUMMYFUNCTION("""COMPUTED_VALUE"""),"Will work for 7 years or more")</f>
        <v>Will work for 7 years or more</v>
      </c>
      <c r="S1047" s="1"/>
    </row>
    <row r="1048" spans="1:19" ht="12.5" x14ac:dyDescent="0.25">
      <c r="A1048" s="2">
        <f ca="1">IFERROR(__xludf.DUMMYFUNCTION("""COMPUTED_VALUE"""),45043.9277236805)</f>
        <v>45043.927723680499</v>
      </c>
      <c r="B1048" s="1" t="str">
        <f ca="1">IFERROR(__xludf.DUMMYFUNCTION("""COMPUTED_VALUE"""),"India")</f>
        <v>India</v>
      </c>
      <c r="C1048" s="1">
        <f ca="1">IFERROR(__xludf.DUMMYFUNCTION("""COMPUTED_VALUE"""),500074)</f>
        <v>500074</v>
      </c>
      <c r="D1048" s="1" t="str">
        <f ca="1">IFERROR(__xludf.DUMMYFUNCTION("""COMPUTED_VALUE"""),"Female")</f>
        <v>Female</v>
      </c>
      <c r="E1048" s="1" t="str">
        <f ca="1">IFERROR(__xludf.DUMMYFUNCTION("""COMPUTED_VALUE"""),"My Parents")</f>
        <v>My Parents</v>
      </c>
      <c r="F1048" s="1" t="str">
        <f ca="1">IFERROR(__xludf.DUMMYFUNCTION("""COMPUTED_VALUE"""),"Yes, I will earn and do that")</f>
        <v>Yes, I will earn and do that</v>
      </c>
      <c r="G1048" s="1" t="str">
        <f ca="1">IFERROR(__xludf.DUMMYFUNCTION("""COMPUTED_VALUE"""),"Will work for 3 years or more")</f>
        <v>Will work for 3 years or more</v>
      </c>
      <c r="H1048" s="1" t="str">
        <f ca="1">IFERROR(__xludf.DUMMYFUNCTION("""COMPUTED_VALUE"""),"No")</f>
        <v>No</v>
      </c>
      <c r="I1048" s="1" t="str">
        <f ca="1">IFERROR(__xludf.DUMMYFUNCTION("""COMPUTED_VALUE"""),"Will work for them")</f>
        <v>Will work for them</v>
      </c>
      <c r="J1048" s="1">
        <f ca="1">IFERROR(__xludf.DUMMYFUNCTION("""COMPUTED_VALUE"""),1)</f>
        <v>1</v>
      </c>
      <c r="K1048" s="1" t="str">
        <f ca="1">IFERROR(__xludf.DUMMYFUNCTION("""COMPUTED_VALUE"""),"Fully Remote with Options to travel as and when needed")</f>
        <v>Fully Remote with Options to travel as and when needed</v>
      </c>
      <c r="L10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4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48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048" s="1" t="str">
        <f ca="1">IFERROR(__xludf.DUMMYFUNCTION("""COMPUTED_VALUE"""),"Manager who clearly describes what she/he needs")</f>
        <v>Manager who clearly describes what she/he needs</v>
      </c>
      <c r="P1048" s="1" t="str">
        <f ca="1">IFERROR(__xludf.DUMMYFUNCTION("""COMPUTED_VALUE"""),"Work with 2 to 3 people in my team, Work with 5 to 6 people in my team, Work with more than 10 people in my team")</f>
        <v>Work with 2 to 3 people in my team, Work with 5 to 6 people in my team, Work with more than 10 people in my team</v>
      </c>
      <c r="Q1048" s="1" t="str">
        <f ca="1">IFERROR(__xludf.DUMMYFUNCTION("""COMPUTED_VALUE"""),"Yes, I Understand this is gonna happen everywhere")</f>
        <v>Yes, I Understand this is gonna happen everywhere</v>
      </c>
      <c r="R1048" s="1" t="str">
        <f ca="1">IFERROR(__xludf.DUMMYFUNCTION("""COMPUTED_VALUE"""),"This will be hard to do, but if it is the right company I would try")</f>
        <v>This will be hard to do, but if it is the right company I would try</v>
      </c>
      <c r="S1048" s="1"/>
    </row>
    <row r="1049" spans="1:19" ht="12.5" x14ac:dyDescent="0.25">
      <c r="A1049" s="2">
        <f ca="1">IFERROR(__xludf.DUMMYFUNCTION("""COMPUTED_VALUE"""),45043.9278896296)</f>
        <v>45043.927889629602</v>
      </c>
      <c r="B1049" s="1" t="str">
        <f ca="1">IFERROR(__xludf.DUMMYFUNCTION("""COMPUTED_VALUE"""),"India")</f>
        <v>India</v>
      </c>
      <c r="C1049" s="1">
        <f ca="1">IFERROR(__xludf.DUMMYFUNCTION("""COMPUTED_VALUE"""),600044)</f>
        <v>600044</v>
      </c>
      <c r="D1049" s="1" t="str">
        <f ca="1">IFERROR(__xludf.DUMMYFUNCTION("""COMPUTED_VALUE"""),"Male")</f>
        <v>Male</v>
      </c>
      <c r="E1049" s="1" t="str">
        <f ca="1">IFERROR(__xludf.DUMMYFUNCTION("""COMPUTED_VALUE"""),"Social Media like LinkedIn")</f>
        <v>Social Media like LinkedIn</v>
      </c>
      <c r="F1049" s="1" t="str">
        <f ca="1">IFERROR(__xludf.DUMMYFUNCTION("""COMPUTED_VALUE"""),"No, But if someone could bare the cost I will")</f>
        <v>No, But if someone could bare the cost I will</v>
      </c>
      <c r="G1049" s="1" t="str">
        <f ca="1">IFERROR(__xludf.DUMMYFUNCTION("""COMPUTED_VALUE"""),"This will be hard to do, but if it is the right company I would try")</f>
        <v>This will be hard to do, but if it is the right company I would try</v>
      </c>
      <c r="H1049" s="1" t="str">
        <f ca="1">IFERROR(__xludf.DUMMYFUNCTION("""COMPUTED_VALUE"""),"Yes")</f>
        <v>Yes</v>
      </c>
      <c r="I1049" s="1" t="str">
        <f ca="1">IFERROR(__xludf.DUMMYFUNCTION("""COMPUTED_VALUE"""),"Will NOT work for them")</f>
        <v>Will NOT work for them</v>
      </c>
      <c r="J1049" s="1">
        <f ca="1">IFERROR(__xludf.DUMMYFUNCTION("""COMPUTED_VALUE"""),8)</f>
        <v>8</v>
      </c>
      <c r="K1049" s="1" t="str">
        <f ca="1">IFERROR(__xludf.DUMMYFUNCTION("""COMPUTED_VALUE"""),"Hybrid Working Environment with less than 3 days a month at office")</f>
        <v>Hybrid Working Environment with less than 3 days a month at office</v>
      </c>
      <c r="L1049" s="1" t="str">
        <f ca="1">IFERROR(__xludf.DUMMYFUNCTION("""COMPUTED_VALUE"""),"Employer who appreciates learning and enables that environment")</f>
        <v>Employer who appreciates learning and enables that environment</v>
      </c>
      <c r="M104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49" s="1" t="str">
        <f ca="1">IFERROR(__xludf.DUMMYFUNCTION("""COMPUTED_VALUE"""),"Teaching in any of the institutes/colleges/online or offline, Business Operations in any organization, Manage and drive End-to-End Projects or Products, Look deeply into Data and generate insights")</f>
        <v>Teaching in any of the institutes/colleges/online or offline, Business Operations in any organization, Manage and drive End-to-End Projects or Products, Look deeply into Data and generate insights</v>
      </c>
      <c r="O104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49" s="1" t="str">
        <f ca="1">IFERROR(__xludf.DUMMYFUNCTION("""COMPUTED_VALUE"""),"Work with 5 to 6 people in my team")</f>
        <v>Work with 5 to 6 people in my team</v>
      </c>
      <c r="Q1049" s="1" t="str">
        <f ca="1">IFERROR(__xludf.DUMMYFUNCTION("""COMPUTED_VALUE"""),"No")</f>
        <v>No</v>
      </c>
      <c r="R1049" s="1" t="str">
        <f ca="1">IFERROR(__xludf.DUMMYFUNCTION("""COMPUTED_VALUE"""),"No way")</f>
        <v>No way</v>
      </c>
      <c r="S1049" s="1"/>
    </row>
    <row r="1050" spans="1:19" ht="12.5" x14ac:dyDescent="0.25">
      <c r="A1050" s="2">
        <f ca="1">IFERROR(__xludf.DUMMYFUNCTION("""COMPUTED_VALUE"""),45043.9280240162)</f>
        <v>45043.928024016197</v>
      </c>
      <c r="B1050" s="1" t="str">
        <f ca="1">IFERROR(__xludf.DUMMYFUNCTION("""COMPUTED_VALUE"""),"India")</f>
        <v>India</v>
      </c>
      <c r="C1050" s="1">
        <f ca="1">IFERROR(__xludf.DUMMYFUNCTION("""COMPUTED_VALUE"""),759107)</f>
        <v>759107</v>
      </c>
      <c r="D1050" s="1" t="str">
        <f ca="1">IFERROR(__xludf.DUMMYFUNCTION("""COMPUTED_VALUE"""),"Female")</f>
        <v>Female</v>
      </c>
      <c r="E1050" s="1" t="str">
        <f ca="1">IFERROR(__xludf.DUMMYFUNCTION("""COMPUTED_VALUE"""),"People from my circle, but not family members")</f>
        <v>People from my circle, but not family members</v>
      </c>
      <c r="F1050" s="1" t="str">
        <f ca="1">IFERROR(__xludf.DUMMYFUNCTION("""COMPUTED_VALUE"""),"No I would not be pursuing Higher Education outside of India")</f>
        <v>No I would not be pursuing Higher Education outside of India</v>
      </c>
      <c r="G1050" s="1" t="str">
        <f ca="1">IFERROR(__xludf.DUMMYFUNCTION("""COMPUTED_VALUE"""),"No way")</f>
        <v>No way</v>
      </c>
      <c r="H1050" s="1" t="str">
        <f ca="1">IFERROR(__xludf.DUMMYFUNCTION("""COMPUTED_VALUE"""),"No")</f>
        <v>No</v>
      </c>
      <c r="I1050" s="1" t="str">
        <f ca="1">IFERROR(__xludf.DUMMYFUNCTION("""COMPUTED_VALUE"""),"Will NOT work for them")</f>
        <v>Will NOT work for them</v>
      </c>
      <c r="J1050" s="1">
        <f ca="1">IFERROR(__xludf.DUMMYFUNCTION("""COMPUTED_VALUE"""),2)</f>
        <v>2</v>
      </c>
      <c r="K1050" s="1" t="str">
        <f ca="1">IFERROR(__xludf.DUMMYFUNCTION("""COMPUTED_VALUE"""),"Fully Remote with Options to travel as and when needed")</f>
        <v>Fully Remote with Options to travel as and when needed</v>
      </c>
      <c r="L1050" s="1" t="str">
        <f ca="1">IFERROR(__xludf.DUMMYFUNCTION("""COMPUTED_VALUE"""),"Employer who appreciates learning and enables that environment")</f>
        <v>Employer who appreciates learning and enables that environment</v>
      </c>
      <c r="M105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50" s="1" t="str">
        <f ca="1">IFERROR(__xludf.DUMMYFUNCTION("""COMPUTED_VALUE"""),"Design and Creative strategy in any company, Teaching in any of the institutes/colleges/online or offline, Build and develop a Team, I Want to sell things/Sales")</f>
        <v>Design and Creative strategy in any company, Teaching in any of the institutes/colleges/online or offline, Build and develop a Team, I Want to sell things/Sales</v>
      </c>
      <c r="O1050" s="1" t="str">
        <f ca="1">IFERROR(__xludf.DUMMYFUNCTION("""COMPUTED_VALUE"""),"Manager who explains what is expected, sets a goal and helps achieve it")</f>
        <v>Manager who explains what is expected, sets a goal and helps achieve it</v>
      </c>
      <c r="P1050" s="1" t="str">
        <f ca="1">IFERROR(__xludf.DUMMYFUNCTION("""COMPUTED_VALUE"""),"Work with 2 to 3 people in my team")</f>
        <v>Work with 2 to 3 people in my team</v>
      </c>
      <c r="Q1050" s="1" t="str">
        <f ca="1">IFERROR(__xludf.DUMMYFUNCTION("""COMPUTED_VALUE"""),"Yes, I Understand this is gonna happen everywhere")</f>
        <v>Yes, I Understand this is gonna happen everywhere</v>
      </c>
      <c r="R1050" s="1" t="str">
        <f ca="1">IFERROR(__xludf.DUMMYFUNCTION("""COMPUTED_VALUE"""),"No way")</f>
        <v>No way</v>
      </c>
      <c r="S1050" s="1"/>
    </row>
    <row r="1051" spans="1:19" ht="12.5" x14ac:dyDescent="0.25">
      <c r="A1051" s="2">
        <f ca="1">IFERROR(__xludf.DUMMYFUNCTION("""COMPUTED_VALUE"""),45043.9282011226)</f>
        <v>45043.928201122602</v>
      </c>
      <c r="B1051" s="1" t="str">
        <f ca="1">IFERROR(__xludf.DUMMYFUNCTION("""COMPUTED_VALUE"""),"India")</f>
        <v>India</v>
      </c>
      <c r="C1051" s="1">
        <f ca="1">IFERROR(__xludf.DUMMYFUNCTION("""COMPUTED_VALUE"""),201002)</f>
        <v>201002</v>
      </c>
      <c r="D1051" s="1" t="str">
        <f ca="1">IFERROR(__xludf.DUMMYFUNCTION("""COMPUTED_VALUE"""),"Female")</f>
        <v>Female</v>
      </c>
      <c r="E1051" s="1" t="str">
        <f ca="1">IFERROR(__xludf.DUMMYFUNCTION("""COMPUTED_VALUE"""),"Social Media like LinkedIn")</f>
        <v>Social Media like LinkedIn</v>
      </c>
      <c r="F1051" s="1" t="str">
        <f ca="1">IFERROR(__xludf.DUMMYFUNCTION("""COMPUTED_VALUE"""),"No I would not be pursuing Higher Education outside of India")</f>
        <v>No I would not be pursuing Higher Education outside of India</v>
      </c>
      <c r="G1051" s="1" t="str">
        <f ca="1">IFERROR(__xludf.DUMMYFUNCTION("""COMPUTED_VALUE"""),"Will work for 3 years or more")</f>
        <v>Will work for 3 years or more</v>
      </c>
      <c r="H1051" s="1" t="str">
        <f ca="1">IFERROR(__xludf.DUMMYFUNCTION("""COMPUTED_VALUE"""),"No")</f>
        <v>No</v>
      </c>
      <c r="I1051" s="1" t="str">
        <f ca="1">IFERROR(__xludf.DUMMYFUNCTION("""COMPUTED_VALUE"""),"Will NOT work for them")</f>
        <v>Will NOT work for them</v>
      </c>
      <c r="J1051" s="1">
        <f ca="1">IFERROR(__xludf.DUMMYFUNCTION("""COMPUTED_VALUE"""),7)</f>
        <v>7</v>
      </c>
      <c r="K1051" s="1" t="str">
        <f ca="1">IFERROR(__xludf.DUMMYFUNCTION("""COMPUTED_VALUE"""),"Hybrid Working Environment with more than 15 days a month at office")</f>
        <v>Hybrid Working Environment with more than 15 days a month at office</v>
      </c>
      <c r="L10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51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051" s="1" t="str">
        <f ca="1">IFERROR(__xludf.DUMMYFUNCTION("""COMPUTED_VALUE"""),"Business Operations in any organization, Manage and drive End-to-End Projects or Products, Work in a BPO setup for some well known client, Work as a freelancer and do my thing my way")</f>
        <v>Business Operations in any organization, Manage and drive End-to-End Projects or Products, Work in a BPO setup for some well known client, Work as a freelancer and do my thing my way</v>
      </c>
      <c r="O105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51" s="1" t="str">
        <f ca="1">IFERROR(__xludf.DUMMYFUNCTION("""COMPUTED_VALUE"""),"Work with 7 to 10 or more people in my team")</f>
        <v>Work with 7 to 10 or more people in my team</v>
      </c>
      <c r="Q1051" s="1" t="str">
        <f ca="1">IFERROR(__xludf.DUMMYFUNCTION("""COMPUTED_VALUE"""),"Yes, I Understand this is gonna happen everywhere")</f>
        <v>Yes, I Understand this is gonna happen everywhere</v>
      </c>
      <c r="R1051" s="1" t="str">
        <f ca="1">IFERROR(__xludf.DUMMYFUNCTION("""COMPUTED_VALUE"""),"This will be hard to do, but if it is the right company I would try")</f>
        <v>This will be hard to do, but if it is the right company I would try</v>
      </c>
      <c r="S1051" s="1"/>
    </row>
    <row r="1052" spans="1:19" ht="12.5" x14ac:dyDescent="0.25">
      <c r="A1052" s="2">
        <f ca="1">IFERROR(__xludf.DUMMYFUNCTION("""COMPUTED_VALUE"""),45043.9306859259)</f>
        <v>45043.930685925901</v>
      </c>
      <c r="B1052" s="1" t="str">
        <f ca="1">IFERROR(__xludf.DUMMYFUNCTION("""COMPUTED_VALUE"""),"India")</f>
        <v>India</v>
      </c>
      <c r="C1052" s="1">
        <f ca="1">IFERROR(__xludf.DUMMYFUNCTION("""COMPUTED_VALUE"""),560091)</f>
        <v>560091</v>
      </c>
      <c r="D1052" s="1" t="str">
        <f ca="1">IFERROR(__xludf.DUMMYFUNCTION("""COMPUTED_VALUE"""),"Male")</f>
        <v>Male</v>
      </c>
      <c r="E1052" s="1" t="str">
        <f ca="1">IFERROR(__xludf.DUMMYFUNCTION("""COMPUTED_VALUE"""),"People from my circle, but not family members")</f>
        <v>People from my circle, but not family members</v>
      </c>
      <c r="F1052" s="1" t="str">
        <f ca="1">IFERROR(__xludf.DUMMYFUNCTION("""COMPUTED_VALUE"""),"Yes, I will earn and do that")</f>
        <v>Yes, I will earn and do that</v>
      </c>
      <c r="G1052" s="1" t="str">
        <f ca="1">IFERROR(__xludf.DUMMYFUNCTION("""COMPUTED_VALUE"""),"This will be hard to do, but if it is the right company I would try")</f>
        <v>This will be hard to do, but if it is the right company I would try</v>
      </c>
      <c r="H1052" s="1" t="str">
        <f ca="1">IFERROR(__xludf.DUMMYFUNCTION("""COMPUTED_VALUE"""),"No")</f>
        <v>No</v>
      </c>
      <c r="I1052" s="1" t="str">
        <f ca="1">IFERROR(__xludf.DUMMYFUNCTION("""COMPUTED_VALUE"""),"Will work for them")</f>
        <v>Will work for them</v>
      </c>
      <c r="J1052" s="1">
        <f ca="1">IFERROR(__xludf.DUMMYFUNCTION("""COMPUTED_VALUE"""),10)</f>
        <v>10</v>
      </c>
      <c r="K1052" s="1" t="str">
        <f ca="1">IFERROR(__xludf.DUMMYFUNCTION("""COMPUTED_VALUE"""),"Hybrid Working Environment with less than 3 days a month at office")</f>
        <v>Hybrid Working Environment with less than 3 days a month at office</v>
      </c>
      <c r="L10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5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52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1052" s="1" t="str">
        <f ca="1">IFERROR(__xludf.DUMMYFUNCTION("""COMPUTED_VALUE"""),"Manager who clearly describes what she/he needs")</f>
        <v>Manager who clearly describes what she/he needs</v>
      </c>
      <c r="P1052" s="1" t="str">
        <f ca="1">IFERROR(__xludf.DUMMYFUNCTION("""COMPUTED_VALUE"""),"Work with 2 to 3 people in my team")</f>
        <v>Work with 2 to 3 people in my team</v>
      </c>
      <c r="Q1052" s="1" t="str">
        <f ca="1">IFERROR(__xludf.DUMMYFUNCTION("""COMPUTED_VALUE"""),"Yes, I Understand this is gonna happen everywhere")</f>
        <v>Yes, I Understand this is gonna happen everywhere</v>
      </c>
      <c r="R1052" s="1" t="str">
        <f ca="1">IFERROR(__xludf.DUMMYFUNCTION("""COMPUTED_VALUE"""),"This will be hard to do, but if it is the right company I would try")</f>
        <v>This will be hard to do, but if it is the right company I would try</v>
      </c>
      <c r="S1052" s="1"/>
    </row>
    <row r="1053" spans="1:19" ht="12.5" x14ac:dyDescent="0.25">
      <c r="A1053" s="2">
        <f ca="1">IFERROR(__xludf.DUMMYFUNCTION("""COMPUTED_VALUE"""),45043.9311880208)</f>
        <v>45043.931188020797</v>
      </c>
      <c r="B1053" s="1" t="str">
        <f ca="1">IFERROR(__xludf.DUMMYFUNCTION("""COMPUTED_VALUE"""),"India")</f>
        <v>India</v>
      </c>
      <c r="C1053" s="1">
        <f ca="1">IFERROR(__xludf.DUMMYFUNCTION("""COMPUTED_VALUE"""),425310)</f>
        <v>425310</v>
      </c>
      <c r="D1053" s="1" t="str">
        <f ca="1">IFERROR(__xludf.DUMMYFUNCTION("""COMPUTED_VALUE"""),"Female")</f>
        <v>Female</v>
      </c>
      <c r="E1053" s="1" t="str">
        <f ca="1">IFERROR(__xludf.DUMMYFUNCTION("""COMPUTED_VALUE"""),"Influencers who had successful careers")</f>
        <v>Influencers who had successful careers</v>
      </c>
      <c r="F1053" s="1" t="str">
        <f ca="1">IFERROR(__xludf.DUMMYFUNCTION("""COMPUTED_VALUE"""),"Yes, I will earn and do that")</f>
        <v>Yes, I will earn and do that</v>
      </c>
      <c r="G1053" s="1" t="str">
        <f ca="1">IFERROR(__xludf.DUMMYFUNCTION("""COMPUTED_VALUE"""),"This will be hard to do, but if it is the right company I would try")</f>
        <v>This will be hard to do, but if it is the right company I would try</v>
      </c>
      <c r="H1053" s="1" t="str">
        <f ca="1">IFERROR(__xludf.DUMMYFUNCTION("""COMPUTED_VALUE"""),"No")</f>
        <v>No</v>
      </c>
      <c r="I1053" s="1" t="str">
        <f ca="1">IFERROR(__xludf.DUMMYFUNCTION("""COMPUTED_VALUE"""),"Will NOT work for them")</f>
        <v>Will NOT work for them</v>
      </c>
      <c r="J1053" s="1">
        <f ca="1">IFERROR(__xludf.DUMMYFUNCTION("""COMPUTED_VALUE"""),5)</f>
        <v>5</v>
      </c>
      <c r="K1053" s="1" t="str">
        <f ca="1">IFERROR(__xludf.DUMMYFUNCTION("""COMPUTED_VALUE"""),"Hybrid Working Environment with more than 15 days a month at office")</f>
        <v>Hybrid Working Environment with more than 15 days a month at office</v>
      </c>
      <c r="L1053" s="1" t="str">
        <f ca="1">IFERROR(__xludf.DUMMYFUNCTION("""COMPUTED_VALUE"""),"Employer who appreciates learning and enables that environment")</f>
        <v>Employer who appreciates learning and enables that environment</v>
      </c>
      <c r="M105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53" s="1" t="str">
        <f ca="1">IFERROR(__xludf.DUMMYFUNCTION("""COMPUTED_VALUE"""),"Manage and drive End-to-End Projects or Products, Look deeply into Data and generate insights, Work as a freelancer and do my thing my way, An Artificial Intelligence Specialist / Talking to Robots")</f>
        <v>Manage and drive End-to-End Projects or Products, Look deeply into Data and generate insights, Work as a freelancer and do my thing my way, An Artificial Intelligence Specialist / Talking to Robots</v>
      </c>
      <c r="O1053" s="1" t="str">
        <f ca="1">IFERROR(__xludf.DUMMYFUNCTION("""COMPUTED_VALUE"""),"Manager who explains what is expected, sets a goal and helps achieve it")</f>
        <v>Manager who explains what is expected, sets a goal and helps achieve it</v>
      </c>
      <c r="P1053" s="1" t="str">
        <f ca="1">IFERROR(__xludf.DUMMYFUNCTION("""COMPUTED_VALUE"""),"Work alone")</f>
        <v>Work alone</v>
      </c>
      <c r="Q1053" s="1" t="str">
        <f ca="1">IFERROR(__xludf.DUMMYFUNCTION("""COMPUTED_VALUE"""),"Yes, I Understand this is gonna happen everywhere")</f>
        <v>Yes, I Understand this is gonna happen everywhere</v>
      </c>
      <c r="R1053" s="1" t="str">
        <f ca="1">IFERROR(__xludf.DUMMYFUNCTION("""COMPUTED_VALUE"""),"This will be hard to do, but if it is the right company I would try")</f>
        <v>This will be hard to do, but if it is the right company I would try</v>
      </c>
      <c r="S1053" s="1"/>
    </row>
    <row r="1054" spans="1:19" ht="12.5" x14ac:dyDescent="0.25">
      <c r="A1054" s="2">
        <f ca="1">IFERROR(__xludf.DUMMYFUNCTION("""COMPUTED_VALUE"""),45043.9312067592)</f>
        <v>45043.931206759204</v>
      </c>
      <c r="B1054" s="1" t="str">
        <f ca="1">IFERROR(__xludf.DUMMYFUNCTION("""COMPUTED_VALUE"""),"India")</f>
        <v>India</v>
      </c>
      <c r="C1054" s="1">
        <f ca="1">IFERROR(__xludf.DUMMYFUNCTION("""COMPUTED_VALUE"""),251201)</f>
        <v>251201</v>
      </c>
      <c r="D1054" s="1" t="str">
        <f ca="1">IFERROR(__xludf.DUMMYFUNCTION("""COMPUTED_VALUE"""),"Female")</f>
        <v>Female</v>
      </c>
      <c r="E1054" s="1" t="str">
        <f ca="1">IFERROR(__xludf.DUMMYFUNCTION("""COMPUTED_VALUE"""),"People who have changed the world for better")</f>
        <v>People who have changed the world for better</v>
      </c>
      <c r="F1054" s="1" t="str">
        <f ca="1">IFERROR(__xludf.DUMMYFUNCTION("""COMPUTED_VALUE"""),"No I would not be pursuing Higher Education outside of India")</f>
        <v>No I would not be pursuing Higher Education outside of India</v>
      </c>
      <c r="G1054" s="1" t="str">
        <f ca="1">IFERROR(__xludf.DUMMYFUNCTION("""COMPUTED_VALUE"""),"This will be hard to do, but if it is the right company I would try")</f>
        <v>This will be hard to do, but if it is the right company I would try</v>
      </c>
      <c r="H1054" s="1" t="str">
        <f ca="1">IFERROR(__xludf.DUMMYFUNCTION("""COMPUTED_VALUE"""),"No")</f>
        <v>No</v>
      </c>
      <c r="I1054" s="1" t="str">
        <f ca="1">IFERROR(__xludf.DUMMYFUNCTION("""COMPUTED_VALUE"""),"Will NOT work for them")</f>
        <v>Will NOT work for them</v>
      </c>
      <c r="J1054" s="1">
        <f ca="1">IFERROR(__xludf.DUMMYFUNCTION("""COMPUTED_VALUE"""),1)</f>
        <v>1</v>
      </c>
      <c r="K1054" s="1" t="str">
        <f ca="1">IFERROR(__xludf.DUMMYFUNCTION("""COMPUTED_VALUE"""),"Fully Remote with Options to travel as and when needed")</f>
        <v>Fully Remote with Options to travel as and when needed</v>
      </c>
      <c r="L10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5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54" s="1" t="str">
        <f ca="1">IFERROR(__xludf.DUMMYFUNCTION("""COMPUTED_VALUE"""),"Design and Creative strategy in any company, Manage and drive End-to-End Projects or Products, Work as a freelancer and do my thing my way, Entrepreneur or Start Up")</f>
        <v>Design and Creative strategy in any company, Manage and drive End-to-End Projects or Products, Work as a freelancer and do my thing my way, Entrepreneur or Start Up</v>
      </c>
      <c r="O1054" s="1" t="str">
        <f ca="1">IFERROR(__xludf.DUMMYFUNCTION("""COMPUTED_VALUE"""),"Manager who explains what is expected, sets a goal and helps achieve it")</f>
        <v>Manager who explains what is expected, sets a goal and helps achieve it</v>
      </c>
      <c r="P1054" s="1" t="str">
        <f ca="1">IFERROR(__xludf.DUMMYFUNCTION("""COMPUTED_VALUE"""),"Work with 5 to 6 people in my team")</f>
        <v>Work with 5 to 6 people in my team</v>
      </c>
      <c r="Q1054" s="1" t="str">
        <f ca="1">IFERROR(__xludf.DUMMYFUNCTION("""COMPUTED_VALUE"""),"No")</f>
        <v>No</v>
      </c>
      <c r="R1054" s="1" t="str">
        <f ca="1">IFERROR(__xludf.DUMMYFUNCTION("""COMPUTED_VALUE"""),"This will be hard to do, but if it is the right company I would try")</f>
        <v>This will be hard to do, but if it is the right company I would try</v>
      </c>
      <c r="S1054" s="1"/>
    </row>
    <row r="1055" spans="1:19" ht="12.5" x14ac:dyDescent="0.25">
      <c r="A1055" s="2">
        <f ca="1">IFERROR(__xludf.DUMMYFUNCTION("""COMPUTED_VALUE"""),45043.9321820023)</f>
        <v>45043.932182002303</v>
      </c>
      <c r="B1055" s="1" t="str">
        <f ca="1">IFERROR(__xludf.DUMMYFUNCTION("""COMPUTED_VALUE"""),"India")</f>
        <v>India</v>
      </c>
      <c r="C1055" s="1">
        <f ca="1">IFERROR(__xludf.DUMMYFUNCTION("""COMPUTED_VALUE"""),600025)</f>
        <v>600025</v>
      </c>
      <c r="D1055" s="1" t="str">
        <f ca="1">IFERROR(__xludf.DUMMYFUNCTION("""COMPUTED_VALUE"""),"Male")</f>
        <v>Male</v>
      </c>
      <c r="E1055" s="1" t="str">
        <f ca="1">IFERROR(__xludf.DUMMYFUNCTION("""COMPUTED_VALUE"""),"My Parents")</f>
        <v>My Parents</v>
      </c>
      <c r="F1055" s="1" t="str">
        <f ca="1">IFERROR(__xludf.DUMMYFUNCTION("""COMPUTED_VALUE"""),"Yes, I will earn and do that")</f>
        <v>Yes, I will earn and do that</v>
      </c>
      <c r="G1055" s="1" t="str">
        <f ca="1">IFERROR(__xludf.DUMMYFUNCTION("""COMPUTED_VALUE"""),"This will be hard to do, but if it is the right company I would try")</f>
        <v>This will be hard to do, but if it is the right company I would try</v>
      </c>
      <c r="H1055" s="1" t="str">
        <f ca="1">IFERROR(__xludf.DUMMYFUNCTION("""COMPUTED_VALUE"""),"Yes")</f>
        <v>Yes</v>
      </c>
      <c r="I1055" s="1" t="str">
        <f ca="1">IFERROR(__xludf.DUMMYFUNCTION("""COMPUTED_VALUE"""),"Will work for them")</f>
        <v>Will work for them</v>
      </c>
      <c r="J1055" s="1">
        <f ca="1">IFERROR(__xludf.DUMMYFUNCTION("""COMPUTED_VALUE"""),5)</f>
        <v>5</v>
      </c>
      <c r="K1055" s="1" t="str">
        <f ca="1">IFERROR(__xludf.DUMMYFUNCTION("""COMPUTED_VALUE"""),"Every Day Office Environment")</f>
        <v>Every Day Office Environment</v>
      </c>
      <c r="L10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5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55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055" s="1" t="str">
        <f ca="1">IFERROR(__xludf.DUMMYFUNCTION("""COMPUTED_VALUE"""),"Manager who clearly describes what she/he needs")</f>
        <v>Manager who clearly describes what she/he needs</v>
      </c>
      <c r="P1055" s="1" t="str">
        <f ca="1">IFERROR(__xludf.DUMMYFUNCTION("""COMPUTED_VALUE"""),"Work alone")</f>
        <v>Work alone</v>
      </c>
      <c r="Q1055" s="1" t="str">
        <f ca="1">IFERROR(__xludf.DUMMYFUNCTION("""COMPUTED_VALUE"""),"Yes, I Understand this is gonna happen everywhere")</f>
        <v>Yes, I Understand this is gonna happen everywhere</v>
      </c>
      <c r="R1055" s="1" t="str">
        <f ca="1">IFERROR(__xludf.DUMMYFUNCTION("""COMPUTED_VALUE"""),"No way")</f>
        <v>No way</v>
      </c>
      <c r="S1055" s="1"/>
    </row>
    <row r="1056" spans="1:19" ht="12.5" x14ac:dyDescent="0.25">
      <c r="A1056" s="2">
        <f ca="1">IFERROR(__xludf.DUMMYFUNCTION("""COMPUTED_VALUE"""),45043.9326134838)</f>
        <v>45043.932613483797</v>
      </c>
      <c r="B1056" s="1" t="str">
        <f ca="1">IFERROR(__xludf.DUMMYFUNCTION("""COMPUTED_VALUE"""),"India")</f>
        <v>India</v>
      </c>
      <c r="C1056" s="1">
        <f ca="1">IFERROR(__xludf.DUMMYFUNCTION("""COMPUTED_VALUE"""),500076)</f>
        <v>500076</v>
      </c>
      <c r="D1056" s="1" t="str">
        <f ca="1">IFERROR(__xludf.DUMMYFUNCTION("""COMPUTED_VALUE"""),"Female")</f>
        <v>Female</v>
      </c>
      <c r="E1056" s="1" t="str">
        <f ca="1">IFERROR(__xludf.DUMMYFUNCTION("""COMPUTED_VALUE"""),"People who have changed the world for better")</f>
        <v>People who have changed the world for better</v>
      </c>
      <c r="F1056" s="1" t="str">
        <f ca="1">IFERROR(__xludf.DUMMYFUNCTION("""COMPUTED_VALUE"""),"Yes, I will earn and do that")</f>
        <v>Yes, I will earn and do that</v>
      </c>
      <c r="G1056" s="1" t="str">
        <f ca="1">IFERROR(__xludf.DUMMYFUNCTION("""COMPUTED_VALUE"""),"Will work for 3 years or more")</f>
        <v>Will work for 3 years or more</v>
      </c>
      <c r="H1056" s="1" t="str">
        <f ca="1">IFERROR(__xludf.DUMMYFUNCTION("""COMPUTED_VALUE"""),"No")</f>
        <v>No</v>
      </c>
      <c r="I1056" s="1" t="str">
        <f ca="1">IFERROR(__xludf.DUMMYFUNCTION("""COMPUTED_VALUE"""),"Will NOT work for them")</f>
        <v>Will NOT work for them</v>
      </c>
      <c r="J1056" s="1">
        <f ca="1">IFERROR(__xludf.DUMMYFUNCTION("""COMPUTED_VALUE"""),5)</f>
        <v>5</v>
      </c>
      <c r="K1056" s="1" t="str">
        <f ca="1">IFERROR(__xludf.DUMMYFUNCTION("""COMPUTED_VALUE"""),"Fully Remote with Options to travel as and when needed")</f>
        <v>Fully Remote with Options to travel as and when needed</v>
      </c>
      <c r="L10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5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56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1056" s="1" t="str">
        <f ca="1">IFERROR(__xludf.DUMMYFUNCTION("""COMPUTED_VALUE"""),"Manager who explains what is expected, sets a goal and helps achieve it")</f>
        <v>Manager who explains what is expected, sets a goal and helps achieve it</v>
      </c>
      <c r="P1056" s="1" t="str">
        <f ca="1">IFERROR(__xludf.DUMMYFUNCTION("""COMPUTED_VALUE"""),"Work with 7 to 10 or more people in my team")</f>
        <v>Work with 7 to 10 or more people in my team</v>
      </c>
      <c r="Q1056" s="1" t="str">
        <f ca="1">IFERROR(__xludf.DUMMYFUNCTION("""COMPUTED_VALUE"""),"No")</f>
        <v>No</v>
      </c>
      <c r="R1056" s="1" t="str">
        <f ca="1">IFERROR(__xludf.DUMMYFUNCTION("""COMPUTED_VALUE"""),"No way")</f>
        <v>No way</v>
      </c>
      <c r="S1056" s="1"/>
    </row>
    <row r="1057" spans="1:19" ht="12.5" x14ac:dyDescent="0.25">
      <c r="A1057" s="2">
        <f ca="1">IFERROR(__xludf.DUMMYFUNCTION("""COMPUTED_VALUE"""),45043.9326739351)</f>
        <v>45043.932673935102</v>
      </c>
      <c r="B1057" s="1" t="str">
        <f ca="1">IFERROR(__xludf.DUMMYFUNCTION("""COMPUTED_VALUE"""),"India")</f>
        <v>India</v>
      </c>
      <c r="C1057" s="1">
        <f ca="1">IFERROR(__xludf.DUMMYFUNCTION("""COMPUTED_VALUE"""),263139)</f>
        <v>263139</v>
      </c>
      <c r="D1057" s="1" t="str">
        <f ca="1">IFERROR(__xludf.DUMMYFUNCTION("""COMPUTED_VALUE"""),"Male")</f>
        <v>Male</v>
      </c>
      <c r="E1057" s="1" t="str">
        <f ca="1">IFERROR(__xludf.DUMMYFUNCTION("""COMPUTED_VALUE"""),"Social Media like LinkedIn")</f>
        <v>Social Media like LinkedIn</v>
      </c>
      <c r="F1057" s="1" t="str">
        <f ca="1">IFERROR(__xludf.DUMMYFUNCTION("""COMPUTED_VALUE"""),"No I would not be pursuing Higher Education outside of India")</f>
        <v>No I would not be pursuing Higher Education outside of India</v>
      </c>
      <c r="G1057" s="1" t="str">
        <f ca="1">IFERROR(__xludf.DUMMYFUNCTION("""COMPUTED_VALUE"""),"This will be hard to do, but if it is the right company I would try")</f>
        <v>This will be hard to do, but if it is the right company I would try</v>
      </c>
      <c r="H1057" s="1" t="str">
        <f ca="1">IFERROR(__xludf.DUMMYFUNCTION("""COMPUTED_VALUE"""),"No")</f>
        <v>No</v>
      </c>
      <c r="I1057" s="1" t="str">
        <f ca="1">IFERROR(__xludf.DUMMYFUNCTION("""COMPUTED_VALUE"""),"Will NOT work for them")</f>
        <v>Will NOT work for them</v>
      </c>
      <c r="J1057" s="1">
        <f ca="1">IFERROR(__xludf.DUMMYFUNCTION("""COMPUTED_VALUE"""),8)</f>
        <v>8</v>
      </c>
      <c r="K1057" s="1" t="str">
        <f ca="1">IFERROR(__xludf.DUMMYFUNCTION("""COMPUTED_VALUE"""),"Fully Remote with Options to travel as and when needed")</f>
        <v>Fully Remote with Options to travel as and when needed</v>
      </c>
      <c r="L10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5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57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05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57" s="1" t="str">
        <f ca="1">IFERROR(__xludf.DUMMYFUNCTION("""COMPUTED_VALUE"""),"Work with 5 to 6 people in my team")</f>
        <v>Work with 5 to 6 people in my team</v>
      </c>
      <c r="Q1057" s="1" t="str">
        <f ca="1">IFERROR(__xludf.DUMMYFUNCTION("""COMPUTED_VALUE"""),"Yes, I Understand this is gonna happen everywhere")</f>
        <v>Yes, I Understand this is gonna happen everywhere</v>
      </c>
      <c r="R1057" s="1" t="str">
        <f ca="1">IFERROR(__xludf.DUMMYFUNCTION("""COMPUTED_VALUE"""),"This will be hard to do, but if it is the right company I would try")</f>
        <v>This will be hard to do, but if it is the right company I would try</v>
      </c>
      <c r="S1057" s="1"/>
    </row>
    <row r="1058" spans="1:19" ht="12.5" x14ac:dyDescent="0.25">
      <c r="A1058" s="2">
        <f ca="1">IFERROR(__xludf.DUMMYFUNCTION("""COMPUTED_VALUE"""),45043.9338199768)</f>
        <v>45043.933819976803</v>
      </c>
      <c r="B1058" s="1" t="str">
        <f ca="1">IFERROR(__xludf.DUMMYFUNCTION("""COMPUTED_VALUE"""),"India")</f>
        <v>India</v>
      </c>
      <c r="C1058" s="1">
        <f ca="1">IFERROR(__xludf.DUMMYFUNCTION("""COMPUTED_VALUE"""),600107)</f>
        <v>600107</v>
      </c>
      <c r="D1058" s="1" t="str">
        <f ca="1">IFERROR(__xludf.DUMMYFUNCTION("""COMPUTED_VALUE"""),"Female")</f>
        <v>Female</v>
      </c>
      <c r="E1058" s="1" t="str">
        <f ca="1">IFERROR(__xludf.DUMMYFUNCTION("""COMPUTED_VALUE"""),"My Parents")</f>
        <v>My Parents</v>
      </c>
      <c r="F1058" s="1" t="str">
        <f ca="1">IFERROR(__xludf.DUMMYFUNCTION("""COMPUTED_VALUE"""),"Yes, I will earn and do that")</f>
        <v>Yes, I will earn and do that</v>
      </c>
      <c r="G1058" s="1" t="str">
        <f ca="1">IFERROR(__xludf.DUMMYFUNCTION("""COMPUTED_VALUE"""),"Will work for 3 years or more")</f>
        <v>Will work for 3 years or more</v>
      </c>
      <c r="H1058" s="1" t="str">
        <f ca="1">IFERROR(__xludf.DUMMYFUNCTION("""COMPUTED_VALUE"""),"No")</f>
        <v>No</v>
      </c>
      <c r="I1058" s="1" t="str">
        <f ca="1">IFERROR(__xludf.DUMMYFUNCTION("""COMPUTED_VALUE"""),"Will NOT work for them")</f>
        <v>Will NOT work for them</v>
      </c>
      <c r="J1058" s="1">
        <f ca="1">IFERROR(__xludf.DUMMYFUNCTION("""COMPUTED_VALUE"""),10)</f>
        <v>10</v>
      </c>
      <c r="K1058" s="1" t="str">
        <f ca="1">IFERROR(__xludf.DUMMYFUNCTION("""COMPUTED_VALUE"""),"Every Day Office Environment")</f>
        <v>Every Day Office Environment</v>
      </c>
      <c r="L1058" s="1" t="str">
        <f ca="1">IFERROR(__xludf.DUMMYFUNCTION("""COMPUTED_VALUE"""),"Employer who appreciates learning and enables that environment")</f>
        <v>Employer who appreciates learning and enables that environment</v>
      </c>
      <c r="M105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058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058" s="1" t="str">
        <f ca="1">IFERROR(__xludf.DUMMYFUNCTION("""COMPUTED_VALUE"""),"Manager who clearly describes what she/he needs")</f>
        <v>Manager who clearly describes what she/he needs</v>
      </c>
      <c r="P1058" s="1" t="str">
        <f ca="1">IFERROR(__xludf.DUMMYFUNCTION("""COMPUTED_VALUE"""),"Work with 2 to 3 people in my team")</f>
        <v>Work with 2 to 3 people in my team</v>
      </c>
      <c r="Q1058" s="1" t="str">
        <f ca="1">IFERROR(__xludf.DUMMYFUNCTION("""COMPUTED_VALUE"""),"I have NO other choice")</f>
        <v>I have NO other choice</v>
      </c>
      <c r="R1058" s="1" t="str">
        <f ca="1">IFERROR(__xludf.DUMMYFUNCTION("""COMPUTED_VALUE"""),"This will be hard to do, but if it is the right company I would try")</f>
        <v>This will be hard to do, but if it is the right company I would try</v>
      </c>
      <c r="S1058" s="1"/>
    </row>
    <row r="1059" spans="1:19" ht="12.5" x14ac:dyDescent="0.25">
      <c r="A1059" s="2">
        <f ca="1">IFERROR(__xludf.DUMMYFUNCTION("""COMPUTED_VALUE"""),45043.9346025)</f>
        <v>45043.934602499998</v>
      </c>
      <c r="B1059" s="1" t="str">
        <f ca="1">IFERROR(__xludf.DUMMYFUNCTION("""COMPUTED_VALUE"""),"India")</f>
        <v>India</v>
      </c>
      <c r="C1059" s="1">
        <f ca="1">IFERROR(__xludf.DUMMYFUNCTION("""COMPUTED_VALUE"""),600056)</f>
        <v>600056</v>
      </c>
      <c r="D1059" s="1" t="str">
        <f ca="1">IFERROR(__xludf.DUMMYFUNCTION("""COMPUTED_VALUE"""),"Female")</f>
        <v>Female</v>
      </c>
      <c r="E1059" s="1" t="str">
        <f ca="1">IFERROR(__xludf.DUMMYFUNCTION("""COMPUTED_VALUE"""),"People who have changed the world for better")</f>
        <v>People who have changed the world for better</v>
      </c>
      <c r="F1059" s="1" t="str">
        <f ca="1">IFERROR(__xludf.DUMMYFUNCTION("""COMPUTED_VALUE"""),"No, But if someone could bare the cost I will")</f>
        <v>No, But if someone could bare the cost I will</v>
      </c>
      <c r="G1059" s="1" t="str">
        <f ca="1">IFERROR(__xludf.DUMMYFUNCTION("""COMPUTED_VALUE"""),"This will be hard to do, but if it is the right company I would try")</f>
        <v>This will be hard to do, but if it is the right company I would try</v>
      </c>
      <c r="H1059" s="1" t="str">
        <f ca="1">IFERROR(__xludf.DUMMYFUNCTION("""COMPUTED_VALUE"""),"No")</f>
        <v>No</v>
      </c>
      <c r="I1059" s="1" t="str">
        <f ca="1">IFERROR(__xludf.DUMMYFUNCTION("""COMPUTED_VALUE"""),"Will NOT work for them")</f>
        <v>Will NOT work for them</v>
      </c>
      <c r="J1059" s="1">
        <f ca="1">IFERROR(__xludf.DUMMYFUNCTION("""COMPUTED_VALUE"""),2)</f>
        <v>2</v>
      </c>
      <c r="K1059" s="1" t="str">
        <f ca="1">IFERROR(__xludf.DUMMYFUNCTION("""COMPUTED_VALUE"""),"Fully Remote with Options to travel as and when needed")</f>
        <v>Fully Remote with Options to travel as and when needed</v>
      </c>
      <c r="L10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5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59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1059" s="1" t="str">
        <f ca="1">IFERROR(__xludf.DUMMYFUNCTION("""COMPUTED_VALUE"""),"Manager who clearly describes what she/he needs")</f>
        <v>Manager who clearly describes what she/he needs</v>
      </c>
      <c r="P1059" s="1" t="str">
        <f ca="1">IFERROR(__xludf.DUMMYFUNCTION("""COMPUTED_VALUE"""),"Work with 5 to 6 people in my team")</f>
        <v>Work with 5 to 6 people in my team</v>
      </c>
      <c r="Q1059" s="1" t="str">
        <f ca="1">IFERROR(__xludf.DUMMYFUNCTION("""COMPUTED_VALUE"""),"Yes, I Understand this is gonna happen everywhere")</f>
        <v>Yes, I Understand this is gonna happen everywhere</v>
      </c>
      <c r="R1059" s="1" t="str">
        <f ca="1">IFERROR(__xludf.DUMMYFUNCTION("""COMPUTED_VALUE"""),"This will be hard to do, but if it is the right company I would try")</f>
        <v>This will be hard to do, but if it is the right company I would try</v>
      </c>
      <c r="S1059" s="1"/>
    </row>
    <row r="1060" spans="1:19" ht="12.5" x14ac:dyDescent="0.25">
      <c r="A1060" s="2">
        <f ca="1">IFERROR(__xludf.DUMMYFUNCTION("""COMPUTED_VALUE"""),45043.9376346527)</f>
        <v>45043.937634652699</v>
      </c>
      <c r="B1060" s="1" t="str">
        <f ca="1">IFERROR(__xludf.DUMMYFUNCTION("""COMPUTED_VALUE"""),"India")</f>
        <v>India</v>
      </c>
      <c r="C1060" s="1">
        <f ca="1">IFERROR(__xludf.DUMMYFUNCTION("""COMPUTED_VALUE"""),831013)</f>
        <v>831013</v>
      </c>
      <c r="D1060" s="1" t="str">
        <f ca="1">IFERROR(__xludf.DUMMYFUNCTION("""COMPUTED_VALUE"""),"Female")</f>
        <v>Female</v>
      </c>
      <c r="E1060" s="1" t="str">
        <f ca="1">IFERROR(__xludf.DUMMYFUNCTION("""COMPUTED_VALUE"""),"My Parents")</f>
        <v>My Parents</v>
      </c>
      <c r="F1060" s="1" t="str">
        <f ca="1">IFERROR(__xludf.DUMMYFUNCTION("""COMPUTED_VALUE"""),"Yes, I will earn and do that")</f>
        <v>Yes, I will earn and do that</v>
      </c>
      <c r="G1060" s="1" t="str">
        <f ca="1">IFERROR(__xludf.DUMMYFUNCTION("""COMPUTED_VALUE"""),"This will be hard to do, but if it is the right company I would try")</f>
        <v>This will be hard to do, but if it is the right company I would try</v>
      </c>
      <c r="H1060" s="1" t="str">
        <f ca="1">IFERROR(__xludf.DUMMYFUNCTION("""COMPUTED_VALUE"""),"No")</f>
        <v>No</v>
      </c>
      <c r="I1060" s="1" t="str">
        <f ca="1">IFERROR(__xludf.DUMMYFUNCTION("""COMPUTED_VALUE"""),"Will NOT work for them")</f>
        <v>Will NOT work for them</v>
      </c>
      <c r="J1060" s="1">
        <f ca="1">IFERROR(__xludf.DUMMYFUNCTION("""COMPUTED_VALUE"""),4)</f>
        <v>4</v>
      </c>
      <c r="K1060" s="1" t="str">
        <f ca="1">IFERROR(__xludf.DUMMYFUNCTION("""COMPUTED_VALUE"""),"Fully Remote with Options to travel as and when needed")</f>
        <v>Fully Remote with Options to travel as and when needed</v>
      </c>
      <c r="L1060" s="1" t="str">
        <f ca="1">IFERROR(__xludf.DUMMYFUNCTION("""COMPUTED_VALUE"""),"Employer who rewards learning and enables that environment")</f>
        <v>Employer who rewards learning and enables that environment</v>
      </c>
      <c r="M106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060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1060" s="1" t="str">
        <f ca="1">IFERROR(__xludf.DUMMYFUNCTION("""COMPUTED_VALUE"""),"Manager who sets goal and helps me achieve it")</f>
        <v>Manager who sets goal and helps me achieve it</v>
      </c>
      <c r="P106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060" s="1" t="str">
        <f ca="1">IFERROR(__xludf.DUMMYFUNCTION("""COMPUTED_VALUE"""),"Yes, I Understand this is gonna happen everywhere")</f>
        <v>Yes, I Understand this is gonna happen everywhere</v>
      </c>
      <c r="R1060" s="1" t="str">
        <f ca="1">IFERROR(__xludf.DUMMYFUNCTION("""COMPUTED_VALUE"""),"This will be hard to do, but if it is the right company I would try")</f>
        <v>This will be hard to do, but if it is the right company I would try</v>
      </c>
      <c r="S1060" s="1"/>
    </row>
    <row r="1061" spans="1:19" ht="12.5" x14ac:dyDescent="0.25">
      <c r="A1061" s="2">
        <f ca="1">IFERROR(__xludf.DUMMYFUNCTION("""COMPUTED_VALUE"""),45043.9389921296)</f>
        <v>45043.938992129602</v>
      </c>
      <c r="B1061" s="1" t="str">
        <f ca="1">IFERROR(__xludf.DUMMYFUNCTION("""COMPUTED_VALUE"""),"India")</f>
        <v>India</v>
      </c>
      <c r="C1061" s="1">
        <f ca="1">IFERROR(__xludf.DUMMYFUNCTION("""COMPUTED_VALUE"""),462030)</f>
        <v>462030</v>
      </c>
      <c r="D1061" s="1" t="str">
        <f ca="1">IFERROR(__xludf.DUMMYFUNCTION("""COMPUTED_VALUE"""),"Female")</f>
        <v>Female</v>
      </c>
      <c r="E1061" s="1" t="str">
        <f ca="1">IFERROR(__xludf.DUMMYFUNCTION("""COMPUTED_VALUE"""),"People who have changed the world for better")</f>
        <v>People who have changed the world for better</v>
      </c>
      <c r="F1061" s="1" t="str">
        <f ca="1">IFERROR(__xludf.DUMMYFUNCTION("""COMPUTED_VALUE"""),"No, But if someone could bare the cost I will")</f>
        <v>No, But if someone could bare the cost I will</v>
      </c>
      <c r="G1061" s="1" t="str">
        <f ca="1">IFERROR(__xludf.DUMMYFUNCTION("""COMPUTED_VALUE"""),"Will work for 3 years or more")</f>
        <v>Will work for 3 years or more</v>
      </c>
      <c r="H1061" s="1" t="str">
        <f ca="1">IFERROR(__xludf.DUMMYFUNCTION("""COMPUTED_VALUE"""),"No")</f>
        <v>No</v>
      </c>
      <c r="I1061" s="1" t="str">
        <f ca="1">IFERROR(__xludf.DUMMYFUNCTION("""COMPUTED_VALUE"""),"Will NOT work for them")</f>
        <v>Will NOT work for them</v>
      </c>
      <c r="J1061" s="1">
        <f ca="1">IFERROR(__xludf.DUMMYFUNCTION("""COMPUTED_VALUE"""),6)</f>
        <v>6</v>
      </c>
      <c r="K1061" s="1" t="str">
        <f ca="1">IFERROR(__xludf.DUMMYFUNCTION("""COMPUTED_VALUE"""),"Hybrid Working Environment with less than 3 days a month at office")</f>
        <v>Hybrid Working Environment with less than 3 days a month at office</v>
      </c>
      <c r="L10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6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61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106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61" s="1" t="str">
        <f ca="1">IFERROR(__xludf.DUMMYFUNCTION("""COMPUTED_VALUE"""),"Work with 2 to 3 people in my team, Work with 5 to 6 people in my team")</f>
        <v>Work with 2 to 3 people in my team, Work with 5 to 6 people in my team</v>
      </c>
      <c r="Q1061" s="1" t="str">
        <f ca="1">IFERROR(__xludf.DUMMYFUNCTION("""COMPUTED_VALUE"""),"I have NO other choice")</f>
        <v>I have NO other choice</v>
      </c>
      <c r="R1061" s="1" t="str">
        <f ca="1">IFERROR(__xludf.DUMMYFUNCTION("""COMPUTED_VALUE"""),"This will be hard to do, but if it is the right company I would try")</f>
        <v>This will be hard to do, but if it is the right company I would try</v>
      </c>
      <c r="S1061" s="1"/>
    </row>
    <row r="1062" spans="1:19" ht="12.5" x14ac:dyDescent="0.25">
      <c r="A1062" s="2">
        <f ca="1">IFERROR(__xludf.DUMMYFUNCTION("""COMPUTED_VALUE"""),45043.9390910763)</f>
        <v>45043.939091076303</v>
      </c>
      <c r="B1062" s="1" t="str">
        <f ca="1">IFERROR(__xludf.DUMMYFUNCTION("""COMPUTED_VALUE"""),"India")</f>
        <v>India</v>
      </c>
      <c r="C1062" s="1">
        <f ca="1">IFERROR(__xludf.DUMMYFUNCTION("""COMPUTED_VALUE"""),492008)</f>
        <v>492008</v>
      </c>
      <c r="D1062" s="1" t="str">
        <f ca="1">IFERROR(__xludf.DUMMYFUNCTION("""COMPUTED_VALUE"""),"Male")</f>
        <v>Male</v>
      </c>
      <c r="E1062" s="1" t="str">
        <f ca="1">IFERROR(__xludf.DUMMYFUNCTION("""COMPUTED_VALUE"""),"Influencers who had successful careers")</f>
        <v>Influencers who had successful careers</v>
      </c>
      <c r="F1062" s="1" t="str">
        <f ca="1">IFERROR(__xludf.DUMMYFUNCTION("""COMPUTED_VALUE"""),"Yes, I will earn and do that")</f>
        <v>Yes, I will earn and do that</v>
      </c>
      <c r="G1062" s="1" t="str">
        <f ca="1">IFERROR(__xludf.DUMMYFUNCTION("""COMPUTED_VALUE"""),"This will be hard to do, but if it is the right company I would try")</f>
        <v>This will be hard to do, but if it is the right company I would try</v>
      </c>
      <c r="H1062" s="1" t="str">
        <f ca="1">IFERROR(__xludf.DUMMYFUNCTION("""COMPUTED_VALUE"""),"Yes")</f>
        <v>Yes</v>
      </c>
      <c r="I1062" s="1" t="str">
        <f ca="1">IFERROR(__xludf.DUMMYFUNCTION("""COMPUTED_VALUE"""),"Will work for them")</f>
        <v>Will work for them</v>
      </c>
      <c r="J1062" s="1">
        <f ca="1">IFERROR(__xludf.DUMMYFUNCTION("""COMPUTED_VALUE"""),6)</f>
        <v>6</v>
      </c>
      <c r="K1062" s="1" t="str">
        <f ca="1">IFERROR(__xludf.DUMMYFUNCTION("""COMPUTED_VALUE"""),"Every Day Office Environment")</f>
        <v>Every Day Office Environment</v>
      </c>
      <c r="L10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6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62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1062" s="1" t="str">
        <f ca="1">IFERROR(__xludf.DUMMYFUNCTION("""COMPUTED_VALUE"""),"Manager who sets goal and helps me achieve it")</f>
        <v>Manager who sets goal and helps me achieve it</v>
      </c>
      <c r="P1062" s="1" t="str">
        <f ca="1">IFERROR(__xludf.DUMMYFUNCTION("""COMPUTED_VALUE"""),"Work with more than 10 people in my team")</f>
        <v>Work with more than 10 people in my team</v>
      </c>
      <c r="Q1062" s="1" t="str">
        <f ca="1">IFERROR(__xludf.DUMMYFUNCTION("""COMPUTED_VALUE"""),"Yes, I Understand this is gonna happen everywhere")</f>
        <v>Yes, I Understand this is gonna happen everywhere</v>
      </c>
      <c r="R1062" s="1" t="str">
        <f ca="1">IFERROR(__xludf.DUMMYFUNCTION("""COMPUTED_VALUE"""),"No way")</f>
        <v>No way</v>
      </c>
      <c r="S1062" s="1"/>
    </row>
    <row r="1063" spans="1:19" ht="12.5" x14ac:dyDescent="0.25">
      <c r="A1063" s="2">
        <f ca="1">IFERROR(__xludf.DUMMYFUNCTION("""COMPUTED_VALUE"""),45043.9426491666)</f>
        <v>45043.942649166602</v>
      </c>
      <c r="B1063" s="1" t="str">
        <f ca="1">IFERROR(__xludf.DUMMYFUNCTION("""COMPUTED_VALUE"""),"India")</f>
        <v>India</v>
      </c>
      <c r="C1063" s="1">
        <f ca="1">IFERROR(__xludf.DUMMYFUNCTION("""COMPUTED_VALUE"""),530051)</f>
        <v>530051</v>
      </c>
      <c r="D1063" s="1" t="str">
        <f ca="1">IFERROR(__xludf.DUMMYFUNCTION("""COMPUTED_VALUE"""),"Female")</f>
        <v>Female</v>
      </c>
      <c r="E1063" s="1" t="str">
        <f ca="1">IFERROR(__xludf.DUMMYFUNCTION("""COMPUTED_VALUE"""),"My Parents")</f>
        <v>My Parents</v>
      </c>
      <c r="F1063" s="1" t="str">
        <f ca="1">IFERROR(__xludf.DUMMYFUNCTION("""COMPUTED_VALUE"""),"Yes, I will earn and do that")</f>
        <v>Yes, I will earn and do that</v>
      </c>
      <c r="G1063" s="1" t="str">
        <f ca="1">IFERROR(__xludf.DUMMYFUNCTION("""COMPUTED_VALUE"""),"Will work for 3 years or more")</f>
        <v>Will work for 3 years or more</v>
      </c>
      <c r="H1063" s="1" t="str">
        <f ca="1">IFERROR(__xludf.DUMMYFUNCTION("""COMPUTED_VALUE"""),"No")</f>
        <v>No</v>
      </c>
      <c r="I1063" s="1" t="str">
        <f ca="1">IFERROR(__xludf.DUMMYFUNCTION("""COMPUTED_VALUE"""),"Will NOT work for them")</f>
        <v>Will NOT work for them</v>
      </c>
      <c r="J1063" s="1">
        <f ca="1">IFERROR(__xludf.DUMMYFUNCTION("""COMPUTED_VALUE"""),5)</f>
        <v>5</v>
      </c>
      <c r="K1063" s="1" t="str">
        <f ca="1">IFERROR(__xludf.DUMMYFUNCTION("""COMPUTED_VALUE"""),"Fully Remote with Options to travel as and when needed")</f>
        <v>Fully Remote with Options to travel as and when needed</v>
      </c>
      <c r="L10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6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63" s="1" t="str">
        <f ca="1">IFERROR(__xludf.DUMMYFUNCTION("""COMPUTED_VALUE"""),"Manage and drive End-to-End Projects or Products, Look deeply into Data and generate insights, Work as a freelancer and do my thing my way, An Artificial Intelligence Specialist / Talking to Robots")</f>
        <v>Manage and drive End-to-End Projects or Products, Look deeply into Data and generate insights, Work as a freelancer and do my thing my way, An Artificial Intelligence Specialist / Talking to Robots</v>
      </c>
      <c r="O1063" s="1" t="str">
        <f ca="1">IFERROR(__xludf.DUMMYFUNCTION("""COMPUTED_VALUE"""),"Manager who explains what is expected, sets a goal and helps achieve it")</f>
        <v>Manager who explains what is expected, sets a goal and helps achieve it</v>
      </c>
      <c r="P1063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063" s="1" t="str">
        <f ca="1">IFERROR(__xludf.DUMMYFUNCTION("""COMPUTED_VALUE"""),"I have NO other choice")</f>
        <v>I have NO other choice</v>
      </c>
      <c r="R1063" s="1" t="str">
        <f ca="1">IFERROR(__xludf.DUMMYFUNCTION("""COMPUTED_VALUE"""),"This will be hard to do, but if it is the right company I would try")</f>
        <v>This will be hard to do, but if it is the right company I would try</v>
      </c>
      <c r="S1063" s="1"/>
    </row>
    <row r="1064" spans="1:19" ht="12.5" x14ac:dyDescent="0.25">
      <c r="A1064" s="2">
        <f ca="1">IFERROR(__xludf.DUMMYFUNCTION("""COMPUTED_VALUE"""),45043.943020081)</f>
        <v>45043.943020081002</v>
      </c>
      <c r="B1064" s="1" t="str">
        <f ca="1">IFERROR(__xludf.DUMMYFUNCTION("""COMPUTED_VALUE"""),"India")</f>
        <v>India</v>
      </c>
      <c r="C1064" s="1">
        <f ca="1">IFERROR(__xludf.DUMMYFUNCTION("""COMPUTED_VALUE"""),500097)</f>
        <v>500097</v>
      </c>
      <c r="D1064" s="1" t="str">
        <f ca="1">IFERROR(__xludf.DUMMYFUNCTION("""COMPUTED_VALUE"""),"Female")</f>
        <v>Female</v>
      </c>
      <c r="E1064" s="1" t="str">
        <f ca="1">IFERROR(__xludf.DUMMYFUNCTION("""COMPUTED_VALUE"""),"My Parents")</f>
        <v>My Parents</v>
      </c>
      <c r="F1064" s="1" t="str">
        <f ca="1">IFERROR(__xludf.DUMMYFUNCTION("""COMPUTED_VALUE"""),"Yes, I will earn and do that")</f>
        <v>Yes, I will earn and do that</v>
      </c>
      <c r="G1064" s="1" t="str">
        <f ca="1">IFERROR(__xludf.DUMMYFUNCTION("""COMPUTED_VALUE"""),"This will be hard to do, but if it is the right company I would try")</f>
        <v>This will be hard to do, but if it is the right company I would try</v>
      </c>
      <c r="H1064" s="1" t="str">
        <f ca="1">IFERROR(__xludf.DUMMYFUNCTION("""COMPUTED_VALUE"""),"No")</f>
        <v>No</v>
      </c>
      <c r="I1064" s="1" t="str">
        <f ca="1">IFERROR(__xludf.DUMMYFUNCTION("""COMPUTED_VALUE"""),"Will NOT work for them")</f>
        <v>Will NOT work for them</v>
      </c>
      <c r="J1064" s="1">
        <f ca="1">IFERROR(__xludf.DUMMYFUNCTION("""COMPUTED_VALUE"""),7)</f>
        <v>7</v>
      </c>
      <c r="K1064" s="1" t="str">
        <f ca="1">IFERROR(__xludf.DUMMYFUNCTION("""COMPUTED_VALUE"""),"Every Day Office Environment")</f>
        <v>Every Day Office Environment</v>
      </c>
      <c r="L1064" s="1" t="str">
        <f ca="1">IFERROR(__xludf.DUMMYFUNCTION("""COMPUTED_VALUE"""),"Employer who appreciates learning and enables that environment")</f>
        <v>Employer who appreciates learning and enables that environment</v>
      </c>
      <c r="M106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064" s="1" t="str">
        <f ca="1">IFERROR(__xludf.DUMMYFUNCTION("""COMPUTED_VALUE"""),"Business Operations in any organization, Manage and drive End-to-End Projects or Products, Work as a freelancer and do my thing my way, Entrepreneur or Start Up")</f>
        <v>Business Operations in any organization, Manage and drive End-to-End Projects or Products, Work as a freelancer and do my thing my way, Entrepreneur or Start Up</v>
      </c>
      <c r="O1064" s="1" t="str">
        <f ca="1">IFERROR(__xludf.DUMMYFUNCTION("""COMPUTED_VALUE"""),"Manager who explains what is expected, sets a goal and helps achieve it")</f>
        <v>Manager who explains what is expected, sets a goal and helps achieve it</v>
      </c>
      <c r="P1064" s="1" t="str">
        <f ca="1">IFERROR(__xludf.DUMMYFUNCTION("""COMPUTED_VALUE"""),"Work with 5 to 6 people in my team")</f>
        <v>Work with 5 to 6 people in my team</v>
      </c>
      <c r="Q1064" s="1" t="str">
        <f ca="1">IFERROR(__xludf.DUMMYFUNCTION("""COMPUTED_VALUE"""),"Yes, I Understand this is gonna happen everywhere")</f>
        <v>Yes, I Understand this is gonna happen everywhere</v>
      </c>
      <c r="R1064" s="1" t="str">
        <f ca="1">IFERROR(__xludf.DUMMYFUNCTION("""COMPUTED_VALUE"""),"This will be hard to do, but if it is the right company I would try")</f>
        <v>This will be hard to do, but if it is the right company I would try</v>
      </c>
      <c r="S1064" s="1"/>
    </row>
    <row r="1065" spans="1:19" ht="12.5" x14ac:dyDescent="0.25">
      <c r="A1065" s="2">
        <f ca="1">IFERROR(__xludf.DUMMYFUNCTION("""COMPUTED_VALUE"""),45043.9439383449)</f>
        <v>45043.943938344899</v>
      </c>
      <c r="B1065" s="1" t="str">
        <f ca="1">IFERROR(__xludf.DUMMYFUNCTION("""COMPUTED_VALUE"""),"India")</f>
        <v>India</v>
      </c>
      <c r="C1065" s="1">
        <f ca="1">IFERROR(__xludf.DUMMYFUNCTION("""COMPUTED_VALUE"""),411027)</f>
        <v>411027</v>
      </c>
      <c r="D1065" s="1" t="str">
        <f ca="1">IFERROR(__xludf.DUMMYFUNCTION("""COMPUTED_VALUE"""),"Male")</f>
        <v>Male</v>
      </c>
      <c r="E1065" s="1" t="str">
        <f ca="1">IFERROR(__xludf.DUMMYFUNCTION("""COMPUTED_VALUE"""),"Social Media like LinkedIn")</f>
        <v>Social Media like LinkedIn</v>
      </c>
      <c r="F1065" s="1" t="str">
        <f ca="1">IFERROR(__xludf.DUMMYFUNCTION("""COMPUTED_VALUE"""),"Yes, I will earn and do that")</f>
        <v>Yes, I will earn and do that</v>
      </c>
      <c r="G1065" s="1" t="str">
        <f ca="1">IFERROR(__xludf.DUMMYFUNCTION("""COMPUTED_VALUE"""),"Will work for 3 years or more")</f>
        <v>Will work for 3 years or more</v>
      </c>
      <c r="H1065" s="1" t="str">
        <f ca="1">IFERROR(__xludf.DUMMYFUNCTION("""COMPUTED_VALUE"""),"No")</f>
        <v>No</v>
      </c>
      <c r="I1065" s="1" t="str">
        <f ca="1">IFERROR(__xludf.DUMMYFUNCTION("""COMPUTED_VALUE"""),"Will NOT work for them")</f>
        <v>Will NOT work for them</v>
      </c>
      <c r="J1065" s="1">
        <f ca="1">IFERROR(__xludf.DUMMYFUNCTION("""COMPUTED_VALUE"""),10)</f>
        <v>10</v>
      </c>
      <c r="K1065" s="1" t="str">
        <f ca="1">IFERROR(__xludf.DUMMYFUNCTION("""COMPUTED_VALUE"""),"Every Day Office Environment")</f>
        <v>Every Day Office Environment</v>
      </c>
      <c r="L10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6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65" s="1" t="str">
        <f ca="1">IFERROR(__xludf.DUMMYFUNCTION("""COMPUTED_VALUE"""),"Design and Develop amazing software, Look deeply into Data and generate insights, Work as a freelancer and do my thing my way, An Artificial Intelligence Specialist / Talking to Robots")</f>
        <v>Design and Develop amazing software, Look deeply into Data and generate insights, Work as a freelancer and do my thing my way, An Artificial Intelligence Specialist / Talking to Robots</v>
      </c>
      <c r="O1065" s="1" t="str">
        <f ca="1">IFERROR(__xludf.DUMMYFUNCTION("""COMPUTED_VALUE"""),"Manager who explains what is expected, sets a goal and helps achieve it")</f>
        <v>Manager who explains what is expected, sets a goal and helps achieve it</v>
      </c>
      <c r="P1065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065" s="1" t="str">
        <f ca="1">IFERROR(__xludf.DUMMYFUNCTION("""COMPUTED_VALUE"""),"Yes, I Understand this is gonna happen everywhere")</f>
        <v>Yes, I Understand this is gonna happen everywhere</v>
      </c>
      <c r="R1065" s="1" t="str">
        <f ca="1">IFERROR(__xludf.DUMMYFUNCTION("""COMPUTED_VALUE"""),"This will be hard to do, but if it is the right company I would try")</f>
        <v>This will be hard to do, but if it is the right company I would try</v>
      </c>
      <c r="S1065" s="1"/>
    </row>
    <row r="1066" spans="1:19" ht="12.5" x14ac:dyDescent="0.25">
      <c r="A1066" s="2">
        <f ca="1">IFERROR(__xludf.DUMMYFUNCTION("""COMPUTED_VALUE"""),45043.9440781018)</f>
        <v>45043.944078101798</v>
      </c>
      <c r="B1066" s="1" t="str">
        <f ca="1">IFERROR(__xludf.DUMMYFUNCTION("""COMPUTED_VALUE"""),"India")</f>
        <v>India</v>
      </c>
      <c r="C1066" s="1">
        <f ca="1">IFERROR(__xludf.DUMMYFUNCTION("""COMPUTED_VALUE"""),492001)</f>
        <v>492001</v>
      </c>
      <c r="D1066" s="1" t="str">
        <f ca="1">IFERROR(__xludf.DUMMYFUNCTION("""COMPUTED_VALUE"""),"Female")</f>
        <v>Female</v>
      </c>
      <c r="E1066" s="1" t="str">
        <f ca="1">IFERROR(__xludf.DUMMYFUNCTION("""COMPUTED_VALUE"""),"My Parents")</f>
        <v>My Parents</v>
      </c>
      <c r="F1066" s="1" t="str">
        <f ca="1">IFERROR(__xludf.DUMMYFUNCTION("""COMPUTED_VALUE"""),"No, But if someone could bare the cost I will")</f>
        <v>No, But if someone could bare the cost I will</v>
      </c>
      <c r="G1066" s="1" t="str">
        <f ca="1">IFERROR(__xludf.DUMMYFUNCTION("""COMPUTED_VALUE"""),"This will be hard to do, but if it is the right company I would try")</f>
        <v>This will be hard to do, but if it is the right company I would try</v>
      </c>
      <c r="H1066" s="1" t="str">
        <f ca="1">IFERROR(__xludf.DUMMYFUNCTION("""COMPUTED_VALUE"""),"No")</f>
        <v>No</v>
      </c>
      <c r="I1066" s="1" t="str">
        <f ca="1">IFERROR(__xludf.DUMMYFUNCTION("""COMPUTED_VALUE"""),"Will work for them")</f>
        <v>Will work for them</v>
      </c>
      <c r="J1066" s="1">
        <f ca="1">IFERROR(__xludf.DUMMYFUNCTION("""COMPUTED_VALUE"""),7)</f>
        <v>7</v>
      </c>
      <c r="K1066" s="1" t="str">
        <f ca="1">IFERROR(__xludf.DUMMYFUNCTION("""COMPUTED_VALUE"""),"Fully Remote with Options to travel as and when needed")</f>
        <v>Fully Remote with Options to travel as and when needed</v>
      </c>
      <c r="L10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6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066" s="1" t="str">
        <f ca="1">IFERROR(__xludf.DUMMYFUNCTION("""COMPUTED_VALUE"""),"Design and Creative strategy in any company, Teaching in any of the institutes/colleges/online or offline, Design and Develop amazing software, An Artificial Intelligence Specialist / Talking to Robots")</f>
        <v>Design and Creative strategy in any company, Teaching in any of the institutes/colleges/online or offline, Design and Develop amazing software, An Artificial Intelligence Specialist / Talking to Robots</v>
      </c>
      <c r="O1066" s="1" t="str">
        <f ca="1">IFERROR(__xludf.DUMMYFUNCTION("""COMPUTED_VALUE"""),"Manager who clearly describes what she/he needs")</f>
        <v>Manager who clearly describes what she/he needs</v>
      </c>
      <c r="P1066" s="1" t="str">
        <f ca="1">IFERROR(__xludf.DUMMYFUNCTION("""COMPUTED_VALUE"""),"Work alone, Work with 2 to 3 people in my team")</f>
        <v>Work alone, Work with 2 to 3 people in my team</v>
      </c>
      <c r="Q1066" s="1" t="str">
        <f ca="1">IFERROR(__xludf.DUMMYFUNCTION("""COMPUTED_VALUE"""),"Yes, I Understand this is gonna happen everywhere")</f>
        <v>Yes, I Understand this is gonna happen everywhere</v>
      </c>
      <c r="R1066" s="1" t="str">
        <f ca="1">IFERROR(__xludf.DUMMYFUNCTION("""COMPUTED_VALUE"""),"No way")</f>
        <v>No way</v>
      </c>
      <c r="S1066" s="1"/>
    </row>
    <row r="1067" spans="1:19" ht="12.5" x14ac:dyDescent="0.25">
      <c r="A1067" s="2">
        <f ca="1">IFERROR(__xludf.DUMMYFUNCTION("""COMPUTED_VALUE"""),45043.9441305671)</f>
        <v>45043.944130567099</v>
      </c>
      <c r="B1067" s="1" t="str">
        <f ca="1">IFERROR(__xludf.DUMMYFUNCTION("""COMPUTED_VALUE"""),"India")</f>
        <v>India</v>
      </c>
      <c r="C1067" s="1">
        <f ca="1">IFERROR(__xludf.DUMMYFUNCTION("""COMPUTED_VALUE"""),411027)</f>
        <v>411027</v>
      </c>
      <c r="D1067" s="1" t="str">
        <f ca="1">IFERROR(__xludf.DUMMYFUNCTION("""COMPUTED_VALUE"""),"Male")</f>
        <v>Male</v>
      </c>
      <c r="E1067" s="1" t="str">
        <f ca="1">IFERROR(__xludf.DUMMYFUNCTION("""COMPUTED_VALUE"""),"People who have changed the world for better")</f>
        <v>People who have changed the world for better</v>
      </c>
      <c r="F1067" s="1" t="str">
        <f ca="1">IFERROR(__xludf.DUMMYFUNCTION("""COMPUTED_VALUE"""),"No I would not be pursuing Higher Education outside of India")</f>
        <v>No I would not be pursuing Higher Education outside of India</v>
      </c>
      <c r="G1067" s="1" t="str">
        <f ca="1">IFERROR(__xludf.DUMMYFUNCTION("""COMPUTED_VALUE"""),"This will be hard to do, but if it is the right company I would try")</f>
        <v>This will be hard to do, but if it is the right company I would try</v>
      </c>
      <c r="H1067" s="1" t="str">
        <f ca="1">IFERROR(__xludf.DUMMYFUNCTION("""COMPUTED_VALUE"""),"Yes")</f>
        <v>Yes</v>
      </c>
      <c r="I1067" s="1" t="str">
        <f ca="1">IFERROR(__xludf.DUMMYFUNCTION("""COMPUTED_VALUE"""),"Will NOT work for them")</f>
        <v>Will NOT work for them</v>
      </c>
      <c r="J1067" s="1">
        <f ca="1">IFERROR(__xludf.DUMMYFUNCTION("""COMPUTED_VALUE"""),8)</f>
        <v>8</v>
      </c>
      <c r="K1067" s="1" t="str">
        <f ca="1">IFERROR(__xludf.DUMMYFUNCTION("""COMPUTED_VALUE"""),"Fully Remote with Options to travel as and when needed")</f>
        <v>Fully Remote with Options to travel as and when needed</v>
      </c>
      <c r="L10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6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67" s="1" t="str">
        <f ca="1">IFERROR(__xludf.DUMMYFUNCTION("""COMPUTED_VALUE"""),"Design and Creative strategy in any company, Design and Develop amazing software, Work as a freelancer and do my thing my way, An Artificial Intelligence Specialist / Talking to Robots")</f>
        <v>Design and Creative strategy in any company, Design and Develop amazing software, Work as a freelancer and do my thing my way, An Artificial Intelligence Specialist / Talking to Robots</v>
      </c>
      <c r="O106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67" s="1" t="str">
        <f ca="1">IFERROR(__xludf.DUMMYFUNCTION("""COMPUTED_VALUE"""),"Work with 5 to 6 people in my team")</f>
        <v>Work with 5 to 6 people in my team</v>
      </c>
      <c r="Q1067" s="1" t="str">
        <f ca="1">IFERROR(__xludf.DUMMYFUNCTION("""COMPUTED_VALUE"""),"Yes, I Understand this is gonna happen everywhere")</f>
        <v>Yes, I Understand this is gonna happen everywhere</v>
      </c>
      <c r="R1067" s="1" t="str">
        <f ca="1">IFERROR(__xludf.DUMMYFUNCTION("""COMPUTED_VALUE"""),"No way")</f>
        <v>No way</v>
      </c>
      <c r="S1067" s="1"/>
    </row>
    <row r="1068" spans="1:19" ht="12.5" x14ac:dyDescent="0.25">
      <c r="A1068" s="2">
        <f ca="1">IFERROR(__xludf.DUMMYFUNCTION("""COMPUTED_VALUE"""),45043.9458601041)</f>
        <v>45043.945860104097</v>
      </c>
      <c r="B1068" s="1" t="str">
        <f ca="1">IFERROR(__xludf.DUMMYFUNCTION("""COMPUTED_VALUE"""),"India")</f>
        <v>India</v>
      </c>
      <c r="C1068" s="1">
        <f ca="1">IFERROR(__xludf.DUMMYFUNCTION("""COMPUTED_VALUE"""),191103)</f>
        <v>191103</v>
      </c>
      <c r="D1068" s="1" t="str">
        <f ca="1">IFERROR(__xludf.DUMMYFUNCTION("""COMPUTED_VALUE"""),"Male")</f>
        <v>Male</v>
      </c>
      <c r="E1068" s="1" t="str">
        <f ca="1">IFERROR(__xludf.DUMMYFUNCTION("""COMPUTED_VALUE"""),"My Parents")</f>
        <v>My Parents</v>
      </c>
      <c r="F1068" s="1" t="str">
        <f ca="1">IFERROR(__xludf.DUMMYFUNCTION("""COMPUTED_VALUE"""),"No I would not be pursuing Higher Education outside of India")</f>
        <v>No I would not be pursuing Higher Education outside of India</v>
      </c>
      <c r="G1068" s="1" t="str">
        <f ca="1">IFERROR(__xludf.DUMMYFUNCTION("""COMPUTED_VALUE"""),"This will be hard to do, but if it is the right company I would try")</f>
        <v>This will be hard to do, but if it is the right company I would try</v>
      </c>
      <c r="H1068" s="1" t="str">
        <f ca="1">IFERROR(__xludf.DUMMYFUNCTION("""COMPUTED_VALUE"""),"No")</f>
        <v>No</v>
      </c>
      <c r="I1068" s="1" t="str">
        <f ca="1">IFERROR(__xludf.DUMMYFUNCTION("""COMPUTED_VALUE"""),"Will NOT work for them")</f>
        <v>Will NOT work for them</v>
      </c>
      <c r="J1068" s="1">
        <f ca="1">IFERROR(__xludf.DUMMYFUNCTION("""COMPUTED_VALUE"""),7)</f>
        <v>7</v>
      </c>
      <c r="K1068" s="1" t="str">
        <f ca="1">IFERROR(__xludf.DUMMYFUNCTION("""COMPUTED_VALUE"""),"Fully Remote with Options to travel as and when needed")</f>
        <v>Fully Remote with Options to travel as and when needed</v>
      </c>
      <c r="L10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6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68" s="1" t="str">
        <f ca="1">IFERROR(__xludf.DUMMYFUNCTION("""COMPUTED_VALUE"""),"Teaching in any of the institutes/colleges/online or offline, Business Operations in any organization, Look deeply into Data and generate insights, Work as a freelancer and do my thing my way")</f>
        <v>Teaching in any of the institutes/colleges/online or offline, Business Operations in any organization, Look deeply into Data and generate insights, Work as a freelancer and do my thing my way</v>
      </c>
      <c r="O1068" s="1" t="str">
        <f ca="1">IFERROR(__xludf.DUMMYFUNCTION("""COMPUTED_VALUE"""),"Manager who explains what is expected, sets a goal and helps achieve it")</f>
        <v>Manager who explains what is expected, sets a goal and helps achieve it</v>
      </c>
      <c r="P1068" s="1" t="str">
        <f ca="1">IFERROR(__xludf.DUMMYFUNCTION("""COMPUTED_VALUE"""),"Work alone")</f>
        <v>Work alone</v>
      </c>
      <c r="Q1068" s="1" t="str">
        <f ca="1">IFERROR(__xludf.DUMMYFUNCTION("""COMPUTED_VALUE"""),"Yes, I Understand this is gonna happen everywhere")</f>
        <v>Yes, I Understand this is gonna happen everywhere</v>
      </c>
      <c r="R1068" s="1" t="str">
        <f ca="1">IFERROR(__xludf.DUMMYFUNCTION("""COMPUTED_VALUE"""),"This will be hard to do, but if it is the right company I would try")</f>
        <v>This will be hard to do, but if it is the right company I would try</v>
      </c>
      <c r="S1068" s="1"/>
    </row>
    <row r="1069" spans="1:19" ht="12.5" x14ac:dyDescent="0.25">
      <c r="A1069" s="2">
        <f ca="1">IFERROR(__xludf.DUMMYFUNCTION("""COMPUTED_VALUE"""),45043.946103368)</f>
        <v>45043.946103367998</v>
      </c>
      <c r="B1069" s="1" t="str">
        <f ca="1">IFERROR(__xludf.DUMMYFUNCTION("""COMPUTED_VALUE"""),"India")</f>
        <v>India</v>
      </c>
      <c r="C1069" s="1">
        <f ca="1">IFERROR(__xludf.DUMMYFUNCTION("""COMPUTED_VALUE"""),201002)</f>
        <v>201002</v>
      </c>
      <c r="D1069" s="1" t="str">
        <f ca="1">IFERROR(__xludf.DUMMYFUNCTION("""COMPUTED_VALUE"""),"Male")</f>
        <v>Male</v>
      </c>
      <c r="E1069" s="1" t="str">
        <f ca="1">IFERROR(__xludf.DUMMYFUNCTION("""COMPUTED_VALUE"""),"People who have changed the world for better")</f>
        <v>People who have changed the world for better</v>
      </c>
      <c r="F1069" s="1" t="str">
        <f ca="1">IFERROR(__xludf.DUMMYFUNCTION("""COMPUTED_VALUE"""),"Yes, I will earn and do that")</f>
        <v>Yes, I will earn and do that</v>
      </c>
      <c r="G1069" s="1" t="str">
        <f ca="1">IFERROR(__xludf.DUMMYFUNCTION("""COMPUTED_VALUE"""),"This will be hard to do, but if it is the right company I would try")</f>
        <v>This will be hard to do, but if it is the right company I would try</v>
      </c>
      <c r="H1069" s="1" t="str">
        <f ca="1">IFERROR(__xludf.DUMMYFUNCTION("""COMPUTED_VALUE"""),"No")</f>
        <v>No</v>
      </c>
      <c r="I1069" s="1" t="str">
        <f ca="1">IFERROR(__xludf.DUMMYFUNCTION("""COMPUTED_VALUE"""),"Will NOT work for them")</f>
        <v>Will NOT work for them</v>
      </c>
      <c r="J1069" s="1">
        <f ca="1">IFERROR(__xludf.DUMMYFUNCTION("""COMPUTED_VALUE"""),1)</f>
        <v>1</v>
      </c>
      <c r="K1069" s="1" t="str">
        <f ca="1">IFERROR(__xludf.DUMMYFUNCTION("""COMPUTED_VALUE"""),"Fully Remote with Options to travel as and when needed")</f>
        <v>Fully Remote with Options to travel as and when needed</v>
      </c>
      <c r="L1069" s="1" t="str">
        <f ca="1">IFERROR(__xludf.DUMMYFUNCTION("""COMPUTED_VALUE"""),"Employer who appreciates learning and enables that environment")</f>
        <v>Employer who appreciates learning and enables that environment</v>
      </c>
      <c r="M106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69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106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69" s="1" t="str">
        <f ca="1">IFERROR(__xludf.DUMMYFUNCTION("""COMPUTED_VALUE"""),"Work with 7 to 10 or more people in my team")</f>
        <v>Work with 7 to 10 or more people in my team</v>
      </c>
      <c r="Q1069" s="1" t="str">
        <f ca="1">IFERROR(__xludf.DUMMYFUNCTION("""COMPUTED_VALUE"""),"Yes, I Understand this is gonna happen everywhere")</f>
        <v>Yes, I Understand this is gonna happen everywhere</v>
      </c>
      <c r="R1069" s="1" t="str">
        <f ca="1">IFERROR(__xludf.DUMMYFUNCTION("""COMPUTED_VALUE"""),"This will be hard to do, but if it is the right company I would try")</f>
        <v>This will be hard to do, but if it is the right company I would try</v>
      </c>
      <c r="S1069" s="1"/>
    </row>
    <row r="1070" spans="1:19" ht="12.5" x14ac:dyDescent="0.25">
      <c r="A1070" s="2">
        <f ca="1">IFERROR(__xludf.DUMMYFUNCTION("""COMPUTED_VALUE"""),45043.9509361342)</f>
        <v>45043.950936134199</v>
      </c>
      <c r="B1070" s="1" t="str">
        <f ca="1">IFERROR(__xludf.DUMMYFUNCTION("""COMPUTED_VALUE"""),"India")</f>
        <v>India</v>
      </c>
      <c r="C1070" s="1">
        <f ca="1">IFERROR(__xludf.DUMMYFUNCTION("""COMPUTED_VALUE"""),530028)</f>
        <v>530028</v>
      </c>
      <c r="D1070" s="1" t="str">
        <f ca="1">IFERROR(__xludf.DUMMYFUNCTION("""COMPUTED_VALUE"""),"Male")</f>
        <v>Male</v>
      </c>
      <c r="E1070" s="1" t="str">
        <f ca="1">IFERROR(__xludf.DUMMYFUNCTION("""COMPUTED_VALUE"""),"Influencers who had successful careers")</f>
        <v>Influencers who had successful careers</v>
      </c>
      <c r="F1070" s="1" t="str">
        <f ca="1">IFERROR(__xludf.DUMMYFUNCTION("""COMPUTED_VALUE"""),"No I would not be pursuing Higher Education outside of India")</f>
        <v>No I would not be pursuing Higher Education outside of India</v>
      </c>
      <c r="G1070" s="1" t="str">
        <f ca="1">IFERROR(__xludf.DUMMYFUNCTION("""COMPUTED_VALUE"""),"Will work for 3 years or more")</f>
        <v>Will work for 3 years or more</v>
      </c>
      <c r="H1070" s="1" t="str">
        <f ca="1">IFERROR(__xludf.DUMMYFUNCTION("""COMPUTED_VALUE"""),"No")</f>
        <v>No</v>
      </c>
      <c r="I1070" s="1" t="str">
        <f ca="1">IFERROR(__xludf.DUMMYFUNCTION("""COMPUTED_VALUE"""),"Will NOT work for them")</f>
        <v>Will NOT work for them</v>
      </c>
      <c r="J1070" s="1">
        <f ca="1">IFERROR(__xludf.DUMMYFUNCTION("""COMPUTED_VALUE"""),5)</f>
        <v>5</v>
      </c>
      <c r="K1070" s="1" t="str">
        <f ca="1">IFERROR(__xludf.DUMMYFUNCTION("""COMPUTED_VALUE"""),"Fully Remote with Options to travel as and when needed")</f>
        <v>Fully Remote with Options to travel as and when needed</v>
      </c>
      <c r="L1070" s="1" t="str">
        <f ca="1">IFERROR(__xludf.DUMMYFUNCTION("""COMPUTED_VALUE"""),"Employer who appreciates learning and enables that environment")</f>
        <v>Employer who appreciates learning and enables that environment</v>
      </c>
      <c r="M107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70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1070" s="1" t="str">
        <f ca="1">IFERROR(__xludf.DUMMYFUNCTION("""COMPUTED_VALUE"""),"Manager who clearly describes what she/he needs")</f>
        <v>Manager who clearly describes what she/he needs</v>
      </c>
      <c r="P1070" s="1" t="str">
        <f ca="1">IFERROR(__xludf.DUMMYFUNCTION("""COMPUTED_VALUE"""),"Work with 5 to 6 people in my team")</f>
        <v>Work with 5 to 6 people in my team</v>
      </c>
      <c r="Q1070" s="1" t="str">
        <f ca="1">IFERROR(__xludf.DUMMYFUNCTION("""COMPUTED_VALUE"""),"No")</f>
        <v>No</v>
      </c>
      <c r="R1070" s="1" t="str">
        <f ca="1">IFERROR(__xludf.DUMMYFUNCTION("""COMPUTED_VALUE"""),"This will be hard to do, but if it is the right company I would try")</f>
        <v>This will be hard to do, but if it is the right company I would try</v>
      </c>
      <c r="S1070" s="1"/>
    </row>
    <row r="1071" spans="1:19" ht="12.5" x14ac:dyDescent="0.25">
      <c r="A1071" s="2">
        <f ca="1">IFERROR(__xludf.DUMMYFUNCTION("""COMPUTED_VALUE"""),45043.9513848611)</f>
        <v>45043.951384861102</v>
      </c>
      <c r="B1071" s="1" t="str">
        <f ca="1">IFERROR(__xludf.DUMMYFUNCTION("""COMPUTED_VALUE"""),"India")</f>
        <v>India</v>
      </c>
      <c r="C1071" s="1">
        <f ca="1">IFERROR(__xludf.DUMMYFUNCTION("""COMPUTED_VALUE"""),533201)</f>
        <v>533201</v>
      </c>
      <c r="D1071" s="1" t="str">
        <f ca="1">IFERROR(__xludf.DUMMYFUNCTION("""COMPUTED_VALUE"""),"Male")</f>
        <v>Male</v>
      </c>
      <c r="E1071" s="1" t="str">
        <f ca="1">IFERROR(__xludf.DUMMYFUNCTION("""COMPUTED_VALUE"""),"People from my circle, but not family members")</f>
        <v>People from my circle, but not family members</v>
      </c>
      <c r="F1071" s="1" t="str">
        <f ca="1">IFERROR(__xludf.DUMMYFUNCTION("""COMPUTED_VALUE"""),"No I would not be pursuing Higher Education outside of India")</f>
        <v>No I would not be pursuing Higher Education outside of India</v>
      </c>
      <c r="G1071" s="1" t="str">
        <f ca="1">IFERROR(__xludf.DUMMYFUNCTION("""COMPUTED_VALUE"""),"Will work for 3 years or more")</f>
        <v>Will work for 3 years or more</v>
      </c>
      <c r="H1071" s="1" t="str">
        <f ca="1">IFERROR(__xludf.DUMMYFUNCTION("""COMPUTED_VALUE"""),"No")</f>
        <v>No</v>
      </c>
      <c r="I1071" s="1" t="str">
        <f ca="1">IFERROR(__xludf.DUMMYFUNCTION("""COMPUTED_VALUE"""),"Will NOT work for them")</f>
        <v>Will NOT work for them</v>
      </c>
      <c r="J1071" s="1">
        <f ca="1">IFERROR(__xludf.DUMMYFUNCTION("""COMPUTED_VALUE"""),7)</f>
        <v>7</v>
      </c>
      <c r="K1071" s="1" t="str">
        <f ca="1">IFERROR(__xludf.DUMMYFUNCTION("""COMPUTED_VALUE"""),"Fully Remote with Options to travel as and when needed")</f>
        <v>Fully Remote with Options to travel as and when needed</v>
      </c>
      <c r="L10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7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71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107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71" s="1" t="str">
        <f ca="1">IFERROR(__xludf.DUMMYFUNCTION("""COMPUTED_VALUE"""),"Work with 2 to 3 people in my team")</f>
        <v>Work with 2 to 3 people in my team</v>
      </c>
      <c r="Q1071" s="1" t="str">
        <f ca="1">IFERROR(__xludf.DUMMYFUNCTION("""COMPUTED_VALUE"""),"Yes, I Understand this is gonna happen everywhere")</f>
        <v>Yes, I Understand this is gonna happen everywhere</v>
      </c>
      <c r="R1071" s="1" t="str">
        <f ca="1">IFERROR(__xludf.DUMMYFUNCTION("""COMPUTED_VALUE"""),"This will be hard to do, but if it is the right company I would try")</f>
        <v>This will be hard to do, but if it is the right company I would try</v>
      </c>
      <c r="S1071" s="1"/>
    </row>
    <row r="1072" spans="1:19" ht="12.5" x14ac:dyDescent="0.25">
      <c r="A1072" s="2">
        <f ca="1">IFERROR(__xludf.DUMMYFUNCTION("""COMPUTED_VALUE"""),45043.9517117245)</f>
        <v>45043.951711724498</v>
      </c>
      <c r="B1072" s="1" t="str">
        <f ca="1">IFERROR(__xludf.DUMMYFUNCTION("""COMPUTED_VALUE"""),"India")</f>
        <v>India</v>
      </c>
      <c r="C1072" s="1">
        <f ca="1">IFERROR(__xludf.DUMMYFUNCTION("""COMPUTED_VALUE"""),500060)</f>
        <v>500060</v>
      </c>
      <c r="D1072" s="1" t="str">
        <f ca="1">IFERROR(__xludf.DUMMYFUNCTION("""COMPUTED_VALUE"""),"Male")</f>
        <v>Male</v>
      </c>
      <c r="E1072" s="1" t="str">
        <f ca="1">IFERROR(__xludf.DUMMYFUNCTION("""COMPUTED_VALUE"""),"People who have changed the world for better")</f>
        <v>People who have changed the world for better</v>
      </c>
      <c r="F1072" s="1" t="str">
        <f ca="1">IFERROR(__xludf.DUMMYFUNCTION("""COMPUTED_VALUE"""),"Yes, I will earn and do that")</f>
        <v>Yes, I will earn and do that</v>
      </c>
      <c r="G1072" s="1" t="str">
        <f ca="1">IFERROR(__xludf.DUMMYFUNCTION("""COMPUTED_VALUE"""),"This will be hard to do, but if it is the right company I would try")</f>
        <v>This will be hard to do, but if it is the right company I would try</v>
      </c>
      <c r="H1072" s="1" t="str">
        <f ca="1">IFERROR(__xludf.DUMMYFUNCTION("""COMPUTED_VALUE"""),"No")</f>
        <v>No</v>
      </c>
      <c r="I1072" s="1" t="str">
        <f ca="1">IFERROR(__xludf.DUMMYFUNCTION("""COMPUTED_VALUE"""),"Will NOT work for them")</f>
        <v>Will NOT work for them</v>
      </c>
      <c r="J1072" s="1">
        <f ca="1">IFERROR(__xludf.DUMMYFUNCTION("""COMPUTED_VALUE"""),6)</f>
        <v>6</v>
      </c>
      <c r="K1072" s="1" t="str">
        <f ca="1">IFERROR(__xludf.DUMMYFUNCTION("""COMPUTED_VALUE"""),"Every Day Office Environment")</f>
        <v>Every Day Office Environment</v>
      </c>
      <c r="L1072" s="1" t="str">
        <f ca="1">IFERROR(__xludf.DUMMYFUNCTION("""COMPUTED_VALUE"""),"Employer who appreciates learning and enables that environment")</f>
        <v>Employer who appreciates learning and enables that environment</v>
      </c>
      <c r="M107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72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072" s="1" t="str">
        <f ca="1">IFERROR(__xludf.DUMMYFUNCTION("""COMPUTED_VALUE"""),"Manager who clearly describes what she/he needs")</f>
        <v>Manager who clearly describes what she/he needs</v>
      </c>
      <c r="P1072" s="1" t="str">
        <f ca="1">IFERROR(__xludf.DUMMYFUNCTION("""COMPUTED_VALUE"""),"Work with 2 to 3 people in my team")</f>
        <v>Work with 2 to 3 people in my team</v>
      </c>
      <c r="Q1072" s="1" t="str">
        <f ca="1">IFERROR(__xludf.DUMMYFUNCTION("""COMPUTED_VALUE"""),"Yes, I Understand this is gonna happen everywhere")</f>
        <v>Yes, I Understand this is gonna happen everywhere</v>
      </c>
      <c r="R1072" s="1" t="str">
        <f ca="1">IFERROR(__xludf.DUMMYFUNCTION("""COMPUTED_VALUE"""),"This will be hard to do, but if it is the right company I would try")</f>
        <v>This will be hard to do, but if it is the right company I would try</v>
      </c>
      <c r="S1072" s="1"/>
    </row>
    <row r="1073" spans="1:19" ht="12.5" x14ac:dyDescent="0.25">
      <c r="A1073" s="2">
        <f ca="1">IFERROR(__xludf.DUMMYFUNCTION("""COMPUTED_VALUE"""),45043.9521828819)</f>
        <v>45043.952182881898</v>
      </c>
      <c r="B1073" s="1" t="str">
        <f ca="1">IFERROR(__xludf.DUMMYFUNCTION("""COMPUTED_VALUE"""),"India")</f>
        <v>India</v>
      </c>
      <c r="C1073" s="1">
        <f ca="1">IFERROR(__xludf.DUMMYFUNCTION("""COMPUTED_VALUE"""),500053)</f>
        <v>500053</v>
      </c>
      <c r="D1073" s="1" t="str">
        <f ca="1">IFERROR(__xludf.DUMMYFUNCTION("""COMPUTED_VALUE"""),"Male")</f>
        <v>Male</v>
      </c>
      <c r="E1073" s="1" t="str">
        <f ca="1">IFERROR(__xludf.DUMMYFUNCTION("""COMPUTED_VALUE"""),"Influencers who had successful careers")</f>
        <v>Influencers who had successful careers</v>
      </c>
      <c r="F1073" s="1" t="str">
        <f ca="1">IFERROR(__xludf.DUMMYFUNCTION("""COMPUTED_VALUE"""),"Yes, I will earn and do that")</f>
        <v>Yes, I will earn and do that</v>
      </c>
      <c r="G1073" s="1" t="str">
        <f ca="1">IFERROR(__xludf.DUMMYFUNCTION("""COMPUTED_VALUE"""),"Will work for 3 years or more")</f>
        <v>Will work for 3 years or more</v>
      </c>
      <c r="H1073" s="1" t="str">
        <f ca="1">IFERROR(__xludf.DUMMYFUNCTION("""COMPUTED_VALUE"""),"No")</f>
        <v>No</v>
      </c>
      <c r="I1073" s="1" t="str">
        <f ca="1">IFERROR(__xludf.DUMMYFUNCTION("""COMPUTED_VALUE"""),"Will work for them")</f>
        <v>Will work for them</v>
      </c>
      <c r="J1073" s="1">
        <f ca="1">IFERROR(__xludf.DUMMYFUNCTION("""COMPUTED_VALUE"""),8)</f>
        <v>8</v>
      </c>
      <c r="K1073" s="1" t="str">
        <f ca="1">IFERROR(__xludf.DUMMYFUNCTION("""COMPUTED_VALUE"""),"Hybrid Working Environment with less than 3 days a month at office")</f>
        <v>Hybrid Working Environment with less than 3 days a month at office</v>
      </c>
      <c r="L1073" s="1" t="str">
        <f ca="1">IFERROR(__xludf.DUMMYFUNCTION("""COMPUTED_VALUE"""),"Employer who appreciates learning and enables that environment")</f>
        <v>Employer who appreciates learning and enables that environment</v>
      </c>
      <c r="M107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7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073" s="1" t="str">
        <f ca="1">IFERROR(__xludf.DUMMYFUNCTION("""COMPUTED_VALUE"""),"Manager who sets goal and helps me achieve it")</f>
        <v>Manager who sets goal and helps me achieve it</v>
      </c>
      <c r="P1073" s="1" t="str">
        <f ca="1">IFERROR(__xludf.DUMMYFUNCTION("""COMPUTED_VALUE"""),"Work with 5 to 6 people in my team")</f>
        <v>Work with 5 to 6 people in my team</v>
      </c>
      <c r="Q1073" s="1" t="str">
        <f ca="1">IFERROR(__xludf.DUMMYFUNCTION("""COMPUTED_VALUE"""),"Yes, I Understand this is gonna happen everywhere")</f>
        <v>Yes, I Understand this is gonna happen everywhere</v>
      </c>
      <c r="R1073" s="1" t="str">
        <f ca="1">IFERROR(__xludf.DUMMYFUNCTION("""COMPUTED_VALUE"""),"Will work for 7 years or more")</f>
        <v>Will work for 7 years or more</v>
      </c>
      <c r="S1073" s="1"/>
    </row>
    <row r="1074" spans="1:19" ht="12.5" x14ac:dyDescent="0.25">
      <c r="A1074" s="2">
        <f ca="1">IFERROR(__xludf.DUMMYFUNCTION("""COMPUTED_VALUE"""),45043.9535406713)</f>
        <v>45043.953540671297</v>
      </c>
      <c r="B1074" s="1" t="str">
        <f ca="1">IFERROR(__xludf.DUMMYFUNCTION("""COMPUTED_VALUE"""),"India")</f>
        <v>India</v>
      </c>
      <c r="C1074" s="1">
        <f ca="1">IFERROR(__xludf.DUMMYFUNCTION("""COMPUTED_VALUE"""),500081)</f>
        <v>500081</v>
      </c>
      <c r="D1074" s="1" t="str">
        <f ca="1">IFERROR(__xludf.DUMMYFUNCTION("""COMPUTED_VALUE"""),"Male")</f>
        <v>Male</v>
      </c>
      <c r="E1074" s="1" t="str">
        <f ca="1">IFERROR(__xludf.DUMMYFUNCTION("""COMPUTED_VALUE"""),"My Parents")</f>
        <v>My Parents</v>
      </c>
      <c r="F1074" s="1" t="str">
        <f ca="1">IFERROR(__xludf.DUMMYFUNCTION("""COMPUTED_VALUE"""),"No I would not be pursuing Higher Education outside of India")</f>
        <v>No I would not be pursuing Higher Education outside of India</v>
      </c>
      <c r="G1074" s="1" t="str">
        <f ca="1">IFERROR(__xludf.DUMMYFUNCTION("""COMPUTED_VALUE"""),"This will be hard to do, but if it is the right company I would try")</f>
        <v>This will be hard to do, but if it is the right company I would try</v>
      </c>
      <c r="H1074" s="1" t="str">
        <f ca="1">IFERROR(__xludf.DUMMYFUNCTION("""COMPUTED_VALUE"""),"Yes")</f>
        <v>Yes</v>
      </c>
      <c r="I1074" s="1" t="str">
        <f ca="1">IFERROR(__xludf.DUMMYFUNCTION("""COMPUTED_VALUE"""),"Will NOT work for them")</f>
        <v>Will NOT work for them</v>
      </c>
      <c r="J1074" s="1">
        <f ca="1">IFERROR(__xludf.DUMMYFUNCTION("""COMPUTED_VALUE"""),3)</f>
        <v>3</v>
      </c>
      <c r="K1074" s="1" t="str">
        <f ca="1">IFERROR(__xludf.DUMMYFUNCTION("""COMPUTED_VALUE"""),"Every Day Office Environment")</f>
        <v>Every Day Office Environment</v>
      </c>
      <c r="L1074" s="1" t="str">
        <f ca="1">IFERROR(__xludf.DUMMYFUNCTION("""COMPUTED_VALUE"""),"Employer who appreciates learning and enables that environment")</f>
        <v>Employer who appreciates learning and enables that environment</v>
      </c>
      <c r="M1074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074" s="1" t="str">
        <f ca="1">IFERROR(__xludf.DUMMYFUNCTION("""COMPUTED_VALUE"""),"Entrepreneur or Start Up, I Want to sell things/Sales, An Artificial Intelligence Specialist / Talking to Robots, Manufacturing / Oil and Gas/ Construction / Hard Physical Work related")</f>
        <v>Entrepreneur or Start Up, I Want to sell things/Sales, An Artificial Intelligence Specialist / Talking to Robots, Manufacturing / Oil and Gas/ Construction / Hard Physical Work related</v>
      </c>
      <c r="O1074" s="1" t="str">
        <f ca="1">IFERROR(__xludf.DUMMYFUNCTION("""COMPUTED_VALUE"""),"Manager who sets targets and expects me to achieve it")</f>
        <v>Manager who sets targets and expects me to achieve it</v>
      </c>
      <c r="P107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074" s="1" t="str">
        <f ca="1">IFERROR(__xludf.DUMMYFUNCTION("""COMPUTED_VALUE"""),"Yes, I Understand this is gonna happen everywhere")</f>
        <v>Yes, I Understand this is gonna happen everywhere</v>
      </c>
      <c r="R1074" s="1" t="str">
        <f ca="1">IFERROR(__xludf.DUMMYFUNCTION("""COMPUTED_VALUE"""),"This will be hard to do, but if it is the right company I would try")</f>
        <v>This will be hard to do, but if it is the right company I would try</v>
      </c>
      <c r="S1074" s="1"/>
    </row>
    <row r="1075" spans="1:19" ht="12.5" x14ac:dyDescent="0.25">
      <c r="A1075" s="2">
        <f ca="1">IFERROR(__xludf.DUMMYFUNCTION("""COMPUTED_VALUE"""),45043.9535597453)</f>
        <v>45043.9535597453</v>
      </c>
      <c r="B1075" s="1" t="str">
        <f ca="1">IFERROR(__xludf.DUMMYFUNCTION("""COMPUTED_VALUE"""),"India")</f>
        <v>India</v>
      </c>
      <c r="C1075" s="1">
        <f ca="1">IFERROR(__xludf.DUMMYFUNCTION("""COMPUTED_VALUE"""),500034)</f>
        <v>500034</v>
      </c>
      <c r="D1075" s="1" t="str">
        <f ca="1">IFERROR(__xludf.DUMMYFUNCTION("""COMPUTED_VALUE"""),"Male")</f>
        <v>Male</v>
      </c>
      <c r="E1075" s="1" t="str">
        <f ca="1">IFERROR(__xludf.DUMMYFUNCTION("""COMPUTED_VALUE"""),"Influencers who had successful careers")</f>
        <v>Influencers who had successful careers</v>
      </c>
      <c r="F1075" s="1" t="str">
        <f ca="1">IFERROR(__xludf.DUMMYFUNCTION("""COMPUTED_VALUE"""),"No, But if someone could bare the cost I will")</f>
        <v>No, But if someone could bare the cost I will</v>
      </c>
      <c r="G1075" s="1" t="str">
        <f ca="1">IFERROR(__xludf.DUMMYFUNCTION("""COMPUTED_VALUE"""),"This will be hard to do, but if it is the right company I would try")</f>
        <v>This will be hard to do, but if it is the right company I would try</v>
      </c>
      <c r="H1075" s="1" t="str">
        <f ca="1">IFERROR(__xludf.DUMMYFUNCTION("""COMPUTED_VALUE"""),"Yes")</f>
        <v>Yes</v>
      </c>
      <c r="I1075" s="1" t="str">
        <f ca="1">IFERROR(__xludf.DUMMYFUNCTION("""COMPUTED_VALUE"""),"Will work for them")</f>
        <v>Will work for them</v>
      </c>
      <c r="J1075" s="1">
        <f ca="1">IFERROR(__xludf.DUMMYFUNCTION("""COMPUTED_VALUE"""),9)</f>
        <v>9</v>
      </c>
      <c r="K1075" s="1" t="str">
        <f ca="1">IFERROR(__xludf.DUMMYFUNCTION("""COMPUTED_VALUE"""),"Fully Remote with Options to travel as and when needed")</f>
        <v>Fully Remote with Options to travel as and when needed</v>
      </c>
      <c r="L1075" s="1" t="str">
        <f ca="1">IFERROR(__xludf.DUMMYFUNCTION("""COMPUTED_VALUE"""),"Employer who appreciates learning and enables that environment")</f>
        <v>Employer who appreciates learning and enables that environment</v>
      </c>
      <c r="M107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75" s="1" t="str">
        <f ca="1">IFERROR(__xludf.DUMMYFUNCTION("""COMPUTED_VALUE"""),"Design and Creative strategy in any company, Look deeply into Data and generate insights, Become a content Creator in some platform, An Artificial Intelligence Specialist / Talking to Robots")</f>
        <v>Design and Creative strategy in any company, Look deeply into Data and generate insights, Become a content Creator in some platform, An Artificial Intelligence Specialist / Talking to Robots</v>
      </c>
      <c r="O1075" s="1" t="str">
        <f ca="1">IFERROR(__xludf.DUMMYFUNCTION("""COMPUTED_VALUE"""),"Manager who explains what is expected, sets a goal and helps achieve it")</f>
        <v>Manager who explains what is expected, sets a goal and helps achieve it</v>
      </c>
      <c r="P1075" s="1" t="str">
        <f ca="1">IFERROR(__xludf.DUMMYFUNCTION("""COMPUTED_VALUE"""),"Work with 5 to 6 people in my team")</f>
        <v>Work with 5 to 6 people in my team</v>
      </c>
      <c r="Q1075" s="1" t="str">
        <f ca="1">IFERROR(__xludf.DUMMYFUNCTION("""COMPUTED_VALUE"""),"Yes, I Understand this is gonna happen everywhere")</f>
        <v>Yes, I Understand this is gonna happen everywhere</v>
      </c>
      <c r="R1075" s="1" t="str">
        <f ca="1">IFERROR(__xludf.DUMMYFUNCTION("""COMPUTED_VALUE"""),"No way")</f>
        <v>No way</v>
      </c>
      <c r="S1075" s="1"/>
    </row>
    <row r="1076" spans="1:19" ht="12.5" x14ac:dyDescent="0.25">
      <c r="A1076" s="2">
        <f ca="1">IFERROR(__xludf.DUMMYFUNCTION("""COMPUTED_VALUE"""),45043.9537238194)</f>
        <v>45043.953723819403</v>
      </c>
      <c r="B1076" s="1" t="str">
        <f ca="1">IFERROR(__xludf.DUMMYFUNCTION("""COMPUTED_VALUE"""),"India")</f>
        <v>India</v>
      </c>
      <c r="C1076" s="1">
        <f ca="1">IFERROR(__xludf.DUMMYFUNCTION("""COMPUTED_VALUE"""),600107)</f>
        <v>600107</v>
      </c>
      <c r="D1076" s="1" t="str">
        <f ca="1">IFERROR(__xludf.DUMMYFUNCTION("""COMPUTED_VALUE"""),"Female")</f>
        <v>Female</v>
      </c>
      <c r="E1076" s="1" t="str">
        <f ca="1">IFERROR(__xludf.DUMMYFUNCTION("""COMPUTED_VALUE"""),"My Parents")</f>
        <v>My Parents</v>
      </c>
      <c r="F1076" s="1" t="str">
        <f ca="1">IFERROR(__xludf.DUMMYFUNCTION("""COMPUTED_VALUE"""),"Yes, I will earn and do that")</f>
        <v>Yes, I will earn and do that</v>
      </c>
      <c r="G1076" s="1" t="str">
        <f ca="1">IFERROR(__xludf.DUMMYFUNCTION("""COMPUTED_VALUE"""),"This will be hard to do, but if it is the right company I would try")</f>
        <v>This will be hard to do, but if it is the right company I would try</v>
      </c>
      <c r="H1076" s="1" t="str">
        <f ca="1">IFERROR(__xludf.DUMMYFUNCTION("""COMPUTED_VALUE"""),"No")</f>
        <v>No</v>
      </c>
      <c r="I1076" s="1" t="str">
        <f ca="1">IFERROR(__xludf.DUMMYFUNCTION("""COMPUTED_VALUE"""),"Will NOT work for them")</f>
        <v>Will NOT work for them</v>
      </c>
      <c r="J1076" s="1">
        <f ca="1">IFERROR(__xludf.DUMMYFUNCTION("""COMPUTED_VALUE"""),9)</f>
        <v>9</v>
      </c>
      <c r="K1076" s="1" t="str">
        <f ca="1">IFERROR(__xludf.DUMMYFUNCTION("""COMPUTED_VALUE"""),"Hybrid Working Environment with more than 15 days a month at office")</f>
        <v>Hybrid Working Environment with more than 15 days a month at office</v>
      </c>
      <c r="L1076" s="1" t="str">
        <f ca="1">IFERROR(__xludf.DUMMYFUNCTION("""COMPUTED_VALUE"""),"Employer who appreciates learning and enables that environment")</f>
        <v>Employer who appreciates learning and enables that environment</v>
      </c>
      <c r="M107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76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076" s="1" t="str">
        <f ca="1">IFERROR(__xludf.DUMMYFUNCTION("""COMPUTED_VALUE"""),"Manager who explains what is expected, sets a goal and helps achieve it")</f>
        <v>Manager who explains what is expected, sets a goal and helps achieve it</v>
      </c>
      <c r="P1076" s="1" t="str">
        <f ca="1">IFERROR(__xludf.DUMMYFUNCTION("""COMPUTED_VALUE"""),"Work with 2 to 3 people in my team")</f>
        <v>Work with 2 to 3 people in my team</v>
      </c>
      <c r="Q1076" s="1" t="str">
        <f ca="1">IFERROR(__xludf.DUMMYFUNCTION("""COMPUTED_VALUE"""),"Yes, I Understand this is gonna happen everywhere")</f>
        <v>Yes, I Understand this is gonna happen everywhere</v>
      </c>
      <c r="R1076" s="1" t="str">
        <f ca="1">IFERROR(__xludf.DUMMYFUNCTION("""COMPUTED_VALUE"""),"This will be hard to do, but if it is the right company I would try")</f>
        <v>This will be hard to do, but if it is the right company I would try</v>
      </c>
      <c r="S1076" s="1"/>
    </row>
    <row r="1077" spans="1:19" ht="12.5" x14ac:dyDescent="0.25">
      <c r="A1077" s="2">
        <f ca="1">IFERROR(__xludf.DUMMYFUNCTION("""COMPUTED_VALUE"""),45043.9546244791)</f>
        <v>45043.954624479098</v>
      </c>
      <c r="B1077" s="1" t="str">
        <f ca="1">IFERROR(__xludf.DUMMYFUNCTION("""COMPUTED_VALUE"""),"India")</f>
        <v>India</v>
      </c>
      <c r="C1077" s="1">
        <f ca="1">IFERROR(__xludf.DUMMYFUNCTION("""COMPUTED_VALUE"""),440026)</f>
        <v>440026</v>
      </c>
      <c r="D1077" s="1" t="str">
        <f ca="1">IFERROR(__xludf.DUMMYFUNCTION("""COMPUTED_VALUE"""),"Female")</f>
        <v>Female</v>
      </c>
      <c r="E1077" s="1" t="str">
        <f ca="1">IFERROR(__xludf.DUMMYFUNCTION("""COMPUTED_VALUE"""),"My Parents")</f>
        <v>My Parents</v>
      </c>
      <c r="F1077" s="1" t="str">
        <f ca="1">IFERROR(__xludf.DUMMYFUNCTION("""COMPUTED_VALUE"""),"No, But if someone could bare the cost I will")</f>
        <v>No, But if someone could bare the cost I will</v>
      </c>
      <c r="G1077" s="1" t="str">
        <f ca="1">IFERROR(__xludf.DUMMYFUNCTION("""COMPUTED_VALUE"""),"This will be hard to do, but if it is the right company I would try")</f>
        <v>This will be hard to do, but if it is the right company I would try</v>
      </c>
      <c r="H1077" s="1" t="str">
        <f ca="1">IFERROR(__xludf.DUMMYFUNCTION("""COMPUTED_VALUE"""),"No")</f>
        <v>No</v>
      </c>
      <c r="I1077" s="1" t="str">
        <f ca="1">IFERROR(__xludf.DUMMYFUNCTION("""COMPUTED_VALUE"""),"Will NOT work for them")</f>
        <v>Will NOT work for them</v>
      </c>
      <c r="J1077" s="1">
        <f ca="1">IFERROR(__xludf.DUMMYFUNCTION("""COMPUTED_VALUE"""),1)</f>
        <v>1</v>
      </c>
      <c r="K1077" s="1" t="str">
        <f ca="1">IFERROR(__xludf.DUMMYFUNCTION("""COMPUTED_VALUE"""),"Fully Remote with Options to travel as and when needed")</f>
        <v>Fully Remote with Options to travel as and when needed</v>
      </c>
      <c r="L1077" s="1" t="str">
        <f ca="1">IFERROR(__xludf.DUMMYFUNCTION("""COMPUTED_VALUE"""),"Employer who appreciates learning and enables that environment")</f>
        <v>Employer who appreciates learning and enables that environment</v>
      </c>
      <c r="M1077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077" s="1" t="str">
        <f ca="1">IFERROR(__xludf.DUMMYFUNCTION("""COMPUTED_VALUE"""),"Design and Creative strategy in any company, Teaching in any of the institutes/colleges/online or offline, Business Operations in any organization, Manufacturing / Oil and Gas/ Construction / Hard Physical Work related")</f>
        <v>Design and Creative strategy in any company, Teaching in any of the institutes/colleges/online or offline, Business Operations in any organization, Manufacturing / Oil and Gas/ Construction / Hard Physical Work related</v>
      </c>
      <c r="O1077" s="1" t="str">
        <f ca="1">IFERROR(__xludf.DUMMYFUNCTION("""COMPUTED_VALUE"""),"Manager who clearly describes what she/he needs")</f>
        <v>Manager who clearly describes what she/he needs</v>
      </c>
      <c r="P1077" s="1" t="str">
        <f ca="1">IFERROR(__xludf.DUMMYFUNCTION("""COMPUTED_VALUE"""),"Work with 2 to 3 people in my team")</f>
        <v>Work with 2 to 3 people in my team</v>
      </c>
      <c r="Q1077" s="1" t="str">
        <f ca="1">IFERROR(__xludf.DUMMYFUNCTION("""COMPUTED_VALUE"""),"Yes, I Understand this is gonna happen everywhere")</f>
        <v>Yes, I Understand this is gonna happen everywhere</v>
      </c>
      <c r="R1077" s="1" t="str">
        <f ca="1">IFERROR(__xludf.DUMMYFUNCTION("""COMPUTED_VALUE"""),"No way")</f>
        <v>No way</v>
      </c>
      <c r="S1077" s="1"/>
    </row>
    <row r="1078" spans="1:19" ht="12.5" x14ac:dyDescent="0.25">
      <c r="A1078" s="2">
        <f ca="1">IFERROR(__xludf.DUMMYFUNCTION("""COMPUTED_VALUE"""),45043.9604955902)</f>
        <v>45043.960495590203</v>
      </c>
      <c r="B1078" s="1" t="str">
        <f ca="1">IFERROR(__xludf.DUMMYFUNCTION("""COMPUTED_VALUE"""),"India")</f>
        <v>India</v>
      </c>
      <c r="C1078" s="1">
        <f ca="1">IFERROR(__xludf.DUMMYFUNCTION("""COMPUTED_VALUE"""),412207)</f>
        <v>412207</v>
      </c>
      <c r="D1078" s="1" t="str">
        <f ca="1">IFERROR(__xludf.DUMMYFUNCTION("""COMPUTED_VALUE"""),"Male")</f>
        <v>Male</v>
      </c>
      <c r="E1078" s="1" t="str">
        <f ca="1">IFERROR(__xludf.DUMMYFUNCTION("""COMPUTED_VALUE"""),"Social Media like LinkedIn")</f>
        <v>Social Media like LinkedIn</v>
      </c>
      <c r="F1078" s="1" t="str">
        <f ca="1">IFERROR(__xludf.DUMMYFUNCTION("""COMPUTED_VALUE"""),"No I would not be pursuing Higher Education outside of India")</f>
        <v>No I would not be pursuing Higher Education outside of India</v>
      </c>
      <c r="G1078" s="1" t="str">
        <f ca="1">IFERROR(__xludf.DUMMYFUNCTION("""COMPUTED_VALUE"""),"Will work for 3 years or more")</f>
        <v>Will work for 3 years or more</v>
      </c>
      <c r="H1078" s="1" t="str">
        <f ca="1">IFERROR(__xludf.DUMMYFUNCTION("""COMPUTED_VALUE"""),"No")</f>
        <v>No</v>
      </c>
      <c r="I1078" s="1" t="str">
        <f ca="1">IFERROR(__xludf.DUMMYFUNCTION("""COMPUTED_VALUE"""),"Will NOT work for them")</f>
        <v>Will NOT work for them</v>
      </c>
      <c r="J1078" s="1">
        <f ca="1">IFERROR(__xludf.DUMMYFUNCTION("""COMPUTED_VALUE"""),5)</f>
        <v>5</v>
      </c>
      <c r="K1078" s="1" t="str">
        <f ca="1">IFERROR(__xludf.DUMMYFUNCTION("""COMPUTED_VALUE"""),"Hybrid Working Environment with more than 15 days a month at office")</f>
        <v>Hybrid Working Environment with more than 15 days a month at office</v>
      </c>
      <c r="L1078" s="1" t="str">
        <f ca="1">IFERROR(__xludf.DUMMYFUNCTION("""COMPUTED_VALUE"""),"Employer who appreciates learning and enables that environment")</f>
        <v>Employer who appreciates learning and enables that environment</v>
      </c>
      <c r="M107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078" s="1" t="str">
        <f ca="1">IFERROR(__xludf.DUMMYFUNCTION("""COMPUTED_VALUE"""),"Design and Creative strategy in any company, Design and Develop amazing software, Look deeply into Data and generate insights, Work in a BPO setup for some well known client")</f>
        <v>Design and Creative strategy in any company, Design and Develop amazing software, Look deeply into Data and generate insights, Work in a BPO setup for some well known client</v>
      </c>
      <c r="O1078" s="1" t="str">
        <f ca="1">IFERROR(__xludf.DUMMYFUNCTION("""COMPUTED_VALUE"""),"Manager who explains what is expected, sets a goal and helps achieve it")</f>
        <v>Manager who explains what is expected, sets a goal and helps achieve it</v>
      </c>
      <c r="P1078" s="1" t="str">
        <f ca="1">IFERROR(__xludf.DUMMYFUNCTION("""COMPUTED_VALUE"""),"Work with 5 to 6 people in my team")</f>
        <v>Work with 5 to 6 people in my team</v>
      </c>
      <c r="Q1078" s="1" t="str">
        <f ca="1">IFERROR(__xludf.DUMMYFUNCTION("""COMPUTED_VALUE"""),"Yes, I Understand this is gonna happen everywhere")</f>
        <v>Yes, I Understand this is gonna happen everywhere</v>
      </c>
      <c r="R1078" s="1" t="str">
        <f ca="1">IFERROR(__xludf.DUMMYFUNCTION("""COMPUTED_VALUE"""),"This will be hard to do, but if it is the right company I would try")</f>
        <v>This will be hard to do, but if it is the right company I would try</v>
      </c>
      <c r="S1078" s="1"/>
    </row>
    <row r="1079" spans="1:19" ht="12.5" x14ac:dyDescent="0.25">
      <c r="A1079" s="2">
        <f ca="1">IFERROR(__xludf.DUMMYFUNCTION("""COMPUTED_VALUE"""),45043.9615465856)</f>
        <v>45043.961546585597</v>
      </c>
      <c r="B1079" s="1" t="str">
        <f ca="1">IFERROR(__xludf.DUMMYFUNCTION("""COMPUTED_VALUE"""),"India")</f>
        <v>India</v>
      </c>
      <c r="C1079" s="1">
        <f ca="1">IFERROR(__xludf.DUMMYFUNCTION("""COMPUTED_VALUE"""),500085)</f>
        <v>500085</v>
      </c>
      <c r="D1079" s="1" t="str">
        <f ca="1">IFERROR(__xludf.DUMMYFUNCTION("""COMPUTED_VALUE"""),"Male")</f>
        <v>Male</v>
      </c>
      <c r="E1079" s="1" t="str">
        <f ca="1">IFERROR(__xludf.DUMMYFUNCTION("""COMPUTED_VALUE"""),"People from my circle, but not family members")</f>
        <v>People from my circle, but not family members</v>
      </c>
      <c r="F1079" s="1" t="str">
        <f ca="1">IFERROR(__xludf.DUMMYFUNCTION("""COMPUTED_VALUE"""),"No I would not be pursuing Higher Education outside of India")</f>
        <v>No I would not be pursuing Higher Education outside of India</v>
      </c>
      <c r="G1079" s="1" t="str">
        <f ca="1">IFERROR(__xludf.DUMMYFUNCTION("""COMPUTED_VALUE"""),"This will be hard to do, but if it is the right company I would try")</f>
        <v>This will be hard to do, but if it is the right company I would try</v>
      </c>
      <c r="H1079" s="1" t="str">
        <f ca="1">IFERROR(__xludf.DUMMYFUNCTION("""COMPUTED_VALUE"""),"No")</f>
        <v>No</v>
      </c>
      <c r="I1079" s="1" t="str">
        <f ca="1">IFERROR(__xludf.DUMMYFUNCTION("""COMPUTED_VALUE"""),"Will NOT work for them")</f>
        <v>Will NOT work for them</v>
      </c>
      <c r="J1079" s="1">
        <f ca="1">IFERROR(__xludf.DUMMYFUNCTION("""COMPUTED_VALUE"""),4)</f>
        <v>4</v>
      </c>
      <c r="K1079" s="1" t="str">
        <f ca="1">IFERROR(__xludf.DUMMYFUNCTION("""COMPUTED_VALUE"""),"Fully Remote with Options to travel as and when needed")</f>
        <v>Fully Remote with Options to travel as and when needed</v>
      </c>
      <c r="L1079" s="1" t="str">
        <f ca="1">IFERROR(__xludf.DUMMYFUNCTION("""COMPUTED_VALUE"""),"Employer who appreciates learning and enables that environment")</f>
        <v>Employer who appreciates learning and enables that environment</v>
      </c>
      <c r="M107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79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107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79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079" s="1" t="str">
        <f ca="1">IFERROR(__xludf.DUMMYFUNCTION("""COMPUTED_VALUE"""),"Yes, I Understand this is gonna happen everywhere")</f>
        <v>Yes, I Understand this is gonna happen everywhere</v>
      </c>
      <c r="R1079" s="1" t="str">
        <f ca="1">IFERROR(__xludf.DUMMYFUNCTION("""COMPUTED_VALUE"""),"No way")</f>
        <v>No way</v>
      </c>
      <c r="S1079" s="1"/>
    </row>
    <row r="1080" spans="1:19" ht="12.5" x14ac:dyDescent="0.25">
      <c r="A1080" s="2">
        <f ca="1">IFERROR(__xludf.DUMMYFUNCTION("""COMPUTED_VALUE"""),45043.9662882291)</f>
        <v>45043.966288229101</v>
      </c>
      <c r="B1080" s="1" t="str">
        <f ca="1">IFERROR(__xludf.DUMMYFUNCTION("""COMPUTED_VALUE"""),"India")</f>
        <v>India</v>
      </c>
      <c r="C1080" s="1">
        <f ca="1">IFERROR(__xludf.DUMMYFUNCTION("""COMPUTED_VALUE"""),466001)</f>
        <v>466001</v>
      </c>
      <c r="D1080" s="1" t="str">
        <f ca="1">IFERROR(__xludf.DUMMYFUNCTION("""COMPUTED_VALUE"""),"Female")</f>
        <v>Female</v>
      </c>
      <c r="E1080" s="1" t="str">
        <f ca="1">IFERROR(__xludf.DUMMYFUNCTION("""COMPUTED_VALUE"""),"My Parents")</f>
        <v>My Parents</v>
      </c>
      <c r="F1080" s="1" t="str">
        <f ca="1">IFERROR(__xludf.DUMMYFUNCTION("""COMPUTED_VALUE"""),"No, But if someone could bare the cost I will")</f>
        <v>No, But if someone could bare the cost I will</v>
      </c>
      <c r="G1080" s="1" t="str">
        <f ca="1">IFERROR(__xludf.DUMMYFUNCTION("""COMPUTED_VALUE"""),"Will work for 3 years or more")</f>
        <v>Will work for 3 years or more</v>
      </c>
      <c r="H1080" s="1" t="str">
        <f ca="1">IFERROR(__xludf.DUMMYFUNCTION("""COMPUTED_VALUE"""),"Yes")</f>
        <v>Yes</v>
      </c>
      <c r="I1080" s="1" t="str">
        <f ca="1">IFERROR(__xludf.DUMMYFUNCTION("""COMPUTED_VALUE"""),"Will work for them")</f>
        <v>Will work for them</v>
      </c>
      <c r="J1080" s="1">
        <f ca="1">IFERROR(__xludf.DUMMYFUNCTION("""COMPUTED_VALUE"""),10)</f>
        <v>10</v>
      </c>
      <c r="K1080" s="1" t="str">
        <f ca="1">IFERROR(__xludf.DUMMYFUNCTION("""COMPUTED_VALUE"""),"Fully Remote with Options to travel as and when needed")</f>
        <v>Fully Remote with Options to travel as and when needed</v>
      </c>
      <c r="L1080" s="1" t="str">
        <f ca="1">IFERROR(__xludf.DUMMYFUNCTION("""COMPUTED_VALUE"""),"Employer who appreciates learning and enables that environment")</f>
        <v>Employer who appreciates learning and enables that environment</v>
      </c>
      <c r="M108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80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1080" s="1" t="str">
        <f ca="1">IFERROR(__xludf.DUMMYFUNCTION("""COMPUTED_VALUE"""),"Manager who sets goal and helps me achieve it")</f>
        <v>Manager who sets goal and helps me achieve it</v>
      </c>
      <c r="P1080" s="1" t="str">
        <f ca="1">IFERROR(__xludf.DUMMYFUNCTION("""COMPUTED_VALUE"""),"Work with 5 to 6 people in my team")</f>
        <v>Work with 5 to 6 people in my team</v>
      </c>
      <c r="Q1080" s="1" t="str">
        <f ca="1">IFERROR(__xludf.DUMMYFUNCTION("""COMPUTED_VALUE"""),"Yes, I Understand this is gonna happen everywhere")</f>
        <v>Yes, I Understand this is gonna happen everywhere</v>
      </c>
      <c r="R1080" s="1" t="str">
        <f ca="1">IFERROR(__xludf.DUMMYFUNCTION("""COMPUTED_VALUE"""),"This will be hard to do, but if it is the right company I would try")</f>
        <v>This will be hard to do, but if it is the right company I would try</v>
      </c>
      <c r="S1080" s="1"/>
    </row>
    <row r="1081" spans="1:19" ht="12.5" x14ac:dyDescent="0.25">
      <c r="A1081" s="2">
        <f ca="1">IFERROR(__xludf.DUMMYFUNCTION("""COMPUTED_VALUE"""),45043.9665542361)</f>
        <v>45043.966554236104</v>
      </c>
      <c r="B1081" s="1" t="str">
        <f ca="1">IFERROR(__xludf.DUMMYFUNCTION("""COMPUTED_VALUE"""),"India")</f>
        <v>India</v>
      </c>
      <c r="C1081" s="1">
        <f ca="1">IFERROR(__xludf.DUMMYFUNCTION("""COMPUTED_VALUE"""),533210)</f>
        <v>533210</v>
      </c>
      <c r="D1081" s="1" t="str">
        <f ca="1">IFERROR(__xludf.DUMMYFUNCTION("""COMPUTED_VALUE"""),"Male")</f>
        <v>Male</v>
      </c>
      <c r="E1081" s="1" t="str">
        <f ca="1">IFERROR(__xludf.DUMMYFUNCTION("""COMPUTED_VALUE"""),"People from my circle, but not family members")</f>
        <v>People from my circle, but not family members</v>
      </c>
      <c r="F1081" s="1" t="str">
        <f ca="1">IFERROR(__xludf.DUMMYFUNCTION("""COMPUTED_VALUE"""),"No I would not be pursuing Higher Education outside of India")</f>
        <v>No I would not be pursuing Higher Education outside of India</v>
      </c>
      <c r="G1081" s="1" t="str">
        <f ca="1">IFERROR(__xludf.DUMMYFUNCTION("""COMPUTED_VALUE"""),"Will work for 3 years or more")</f>
        <v>Will work for 3 years or more</v>
      </c>
      <c r="H1081" s="1" t="str">
        <f ca="1">IFERROR(__xludf.DUMMYFUNCTION("""COMPUTED_VALUE"""),"Yes")</f>
        <v>Yes</v>
      </c>
      <c r="I1081" s="1" t="str">
        <f ca="1">IFERROR(__xludf.DUMMYFUNCTION("""COMPUTED_VALUE"""),"Will work for them")</f>
        <v>Will work for them</v>
      </c>
      <c r="J1081" s="1">
        <f ca="1">IFERROR(__xludf.DUMMYFUNCTION("""COMPUTED_VALUE"""),7)</f>
        <v>7</v>
      </c>
      <c r="K1081" s="1" t="str">
        <f ca="1">IFERROR(__xludf.DUMMYFUNCTION("""COMPUTED_VALUE"""),"Fully Remote with Options to travel as and when needed")</f>
        <v>Fully Remote with Options to travel as and when needed</v>
      </c>
      <c r="L10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8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81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081" s="1" t="str">
        <f ca="1">IFERROR(__xludf.DUMMYFUNCTION("""COMPUTED_VALUE"""),"Manager who explains what is expected, sets a goal and helps achieve it")</f>
        <v>Manager who explains what is expected, sets a goal and helps achieve it</v>
      </c>
      <c r="P1081" s="1" t="str">
        <f ca="1">IFERROR(__xludf.DUMMYFUNCTION("""COMPUTED_VALUE"""),"Work with 7 to 10 or more people in my team")</f>
        <v>Work with 7 to 10 or more people in my team</v>
      </c>
      <c r="Q1081" s="1" t="str">
        <f ca="1">IFERROR(__xludf.DUMMYFUNCTION("""COMPUTED_VALUE"""),"Yes, I Understand this is gonna happen everywhere")</f>
        <v>Yes, I Understand this is gonna happen everywhere</v>
      </c>
      <c r="R1081" s="1" t="str">
        <f ca="1">IFERROR(__xludf.DUMMYFUNCTION("""COMPUTED_VALUE"""),"This will be hard to do, but if it is the right company I would try")</f>
        <v>This will be hard to do, but if it is the right company I would try</v>
      </c>
      <c r="S1081" s="1"/>
    </row>
    <row r="1082" spans="1:19" ht="12.5" x14ac:dyDescent="0.25">
      <c r="A1082" s="2">
        <f ca="1">IFERROR(__xludf.DUMMYFUNCTION("""COMPUTED_VALUE"""),45043.967546956)</f>
        <v>45043.967546956002</v>
      </c>
      <c r="B1082" s="1" t="str">
        <f ca="1">IFERROR(__xludf.DUMMYFUNCTION("""COMPUTED_VALUE"""),"India")</f>
        <v>India</v>
      </c>
      <c r="C1082" s="1">
        <f ca="1">IFERROR(__xludf.DUMMYFUNCTION("""COMPUTED_VALUE"""),496661)</f>
        <v>496661</v>
      </c>
      <c r="D1082" s="1" t="str">
        <f ca="1">IFERROR(__xludf.DUMMYFUNCTION("""COMPUTED_VALUE"""),"Male")</f>
        <v>Male</v>
      </c>
      <c r="E1082" s="1" t="str">
        <f ca="1">IFERROR(__xludf.DUMMYFUNCTION("""COMPUTED_VALUE"""),"People who have changed the world for better")</f>
        <v>People who have changed the world for better</v>
      </c>
      <c r="F1082" s="1" t="str">
        <f ca="1">IFERROR(__xludf.DUMMYFUNCTION("""COMPUTED_VALUE"""),"Yes, I will earn and do that")</f>
        <v>Yes, I will earn and do that</v>
      </c>
      <c r="G1082" s="1" t="str">
        <f ca="1">IFERROR(__xludf.DUMMYFUNCTION("""COMPUTED_VALUE"""),"This will be hard to do, but if it is the right company I would try")</f>
        <v>This will be hard to do, but if it is the right company I would try</v>
      </c>
      <c r="H1082" s="1" t="str">
        <f ca="1">IFERROR(__xludf.DUMMYFUNCTION("""COMPUTED_VALUE"""),"Yes")</f>
        <v>Yes</v>
      </c>
      <c r="I1082" s="1" t="str">
        <f ca="1">IFERROR(__xludf.DUMMYFUNCTION("""COMPUTED_VALUE"""),"Will NOT work for them")</f>
        <v>Will NOT work for them</v>
      </c>
      <c r="J1082" s="1">
        <f ca="1">IFERROR(__xludf.DUMMYFUNCTION("""COMPUTED_VALUE"""),5)</f>
        <v>5</v>
      </c>
      <c r="K1082" s="1" t="str">
        <f ca="1">IFERROR(__xludf.DUMMYFUNCTION("""COMPUTED_VALUE"""),"Fully Remote with Options to travel as and when needed")</f>
        <v>Fully Remote with Options to travel as and when needed</v>
      </c>
      <c r="L10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8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082" s="1" t="str">
        <f ca="1">IFERROR(__xludf.DUMMYFUNCTION("""COMPUTED_VALUE"""),"Design and Creative strategy in any company, Work as a freelancer and do my thing my way, Entrepreneur or Start Up, An Artificial Intelligence Specialist / Talking to Robots")</f>
        <v>Design and Creative strategy in any company, Work as a freelancer and do my thing my way, Entrepreneur or Start Up, An Artificial Intelligence Specialist / Talking to Robots</v>
      </c>
      <c r="O1082" s="1" t="str">
        <f ca="1">IFERROR(__xludf.DUMMYFUNCTION("""COMPUTED_VALUE"""),"Manager who explains what is expected, sets a goal and helps achieve it")</f>
        <v>Manager who explains what is expected, sets a goal and helps achieve it</v>
      </c>
      <c r="P1082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1082" s="1" t="str">
        <f ca="1">IFERROR(__xludf.DUMMYFUNCTION("""COMPUTED_VALUE"""),"Yes, I Understand this is gonna happen everywhere")</f>
        <v>Yes, I Understand this is gonna happen everywhere</v>
      </c>
      <c r="R1082" s="1" t="str">
        <f ca="1">IFERROR(__xludf.DUMMYFUNCTION("""COMPUTED_VALUE"""),"This will be hard to do, but if it is the right company I would try")</f>
        <v>This will be hard to do, but if it is the right company I would try</v>
      </c>
      <c r="S1082" s="1"/>
    </row>
    <row r="1083" spans="1:19" ht="12.5" x14ac:dyDescent="0.25">
      <c r="A1083" s="2">
        <f ca="1">IFERROR(__xludf.DUMMYFUNCTION("""COMPUTED_VALUE"""),45043.9680245023)</f>
        <v>45043.968024502297</v>
      </c>
      <c r="B1083" s="1" t="str">
        <f ca="1">IFERROR(__xludf.DUMMYFUNCTION("""COMPUTED_VALUE"""),"India")</f>
        <v>India</v>
      </c>
      <c r="C1083" s="1">
        <f ca="1">IFERROR(__xludf.DUMMYFUNCTION("""COMPUTED_VALUE"""),500085)</f>
        <v>500085</v>
      </c>
      <c r="D1083" s="1" t="str">
        <f ca="1">IFERROR(__xludf.DUMMYFUNCTION("""COMPUTED_VALUE"""),"Male")</f>
        <v>Male</v>
      </c>
      <c r="E1083" s="1" t="str">
        <f ca="1">IFERROR(__xludf.DUMMYFUNCTION("""COMPUTED_VALUE"""),"People from my circle, but not family members")</f>
        <v>People from my circle, but not family members</v>
      </c>
      <c r="F1083" s="1" t="str">
        <f ca="1">IFERROR(__xludf.DUMMYFUNCTION("""COMPUTED_VALUE"""),"No I would not be pursuing Higher Education outside of India")</f>
        <v>No I would not be pursuing Higher Education outside of India</v>
      </c>
      <c r="G1083" s="1" t="str">
        <f ca="1">IFERROR(__xludf.DUMMYFUNCTION("""COMPUTED_VALUE"""),"This will be hard to do, but if it is the right company I would try")</f>
        <v>This will be hard to do, but if it is the right company I would try</v>
      </c>
      <c r="H1083" s="1" t="str">
        <f ca="1">IFERROR(__xludf.DUMMYFUNCTION("""COMPUTED_VALUE"""),"No")</f>
        <v>No</v>
      </c>
      <c r="I1083" s="1" t="str">
        <f ca="1">IFERROR(__xludf.DUMMYFUNCTION("""COMPUTED_VALUE"""),"Will NOT work for them")</f>
        <v>Will NOT work for them</v>
      </c>
      <c r="J1083" s="1">
        <f ca="1">IFERROR(__xludf.DUMMYFUNCTION("""COMPUTED_VALUE"""),8)</f>
        <v>8</v>
      </c>
      <c r="K1083" s="1" t="str">
        <f ca="1">IFERROR(__xludf.DUMMYFUNCTION("""COMPUTED_VALUE"""),"Fully Remote with Options to travel as and when needed")</f>
        <v>Fully Remote with Options to travel as and when needed</v>
      </c>
      <c r="L10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8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83" s="1" t="str">
        <f ca="1">IFERROR(__xludf.DUMMYFUNCTION("""COMPUTED_VALUE"""),"Build and develop a Team, Design and Develop amazing software, Work as a freelancer and do my thing my way, Entrepreneur or Start Up")</f>
        <v>Build and develop a Team, Design and Develop amazing software, Work as a freelancer and do my thing my way, Entrepreneur or Start Up</v>
      </c>
      <c r="O10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083" s="1" t="str">
        <f ca="1">IFERROR(__xludf.DUMMYFUNCTION("""COMPUTED_VALUE"""),"Work with 5 to 6 people in my team")</f>
        <v>Work with 5 to 6 people in my team</v>
      </c>
      <c r="Q1083" s="1" t="str">
        <f ca="1">IFERROR(__xludf.DUMMYFUNCTION("""COMPUTED_VALUE"""),"Yes, I Understand this is gonna happen everywhere")</f>
        <v>Yes, I Understand this is gonna happen everywhere</v>
      </c>
      <c r="R1083" s="1" t="str">
        <f ca="1">IFERROR(__xludf.DUMMYFUNCTION("""COMPUTED_VALUE"""),"No way")</f>
        <v>No way</v>
      </c>
      <c r="S1083" s="1"/>
    </row>
    <row r="1084" spans="1:19" ht="12.5" x14ac:dyDescent="0.25">
      <c r="A1084" s="2">
        <f ca="1">IFERROR(__xludf.DUMMYFUNCTION("""COMPUTED_VALUE"""),45043.9685923263)</f>
        <v>45043.968592326302</v>
      </c>
      <c r="B1084" s="1" t="str">
        <f ca="1">IFERROR(__xludf.DUMMYFUNCTION("""COMPUTED_VALUE"""),"India")</f>
        <v>India</v>
      </c>
      <c r="C1084" s="1">
        <f ca="1">IFERROR(__xludf.DUMMYFUNCTION("""COMPUTED_VALUE"""),492001)</f>
        <v>492001</v>
      </c>
      <c r="D1084" s="1" t="str">
        <f ca="1">IFERROR(__xludf.DUMMYFUNCTION("""COMPUTED_VALUE"""),"Female")</f>
        <v>Female</v>
      </c>
      <c r="E1084" s="1" t="str">
        <f ca="1">IFERROR(__xludf.DUMMYFUNCTION("""COMPUTED_VALUE"""),"People from my circle, but not family members")</f>
        <v>People from my circle, but not family members</v>
      </c>
      <c r="F1084" s="1" t="str">
        <f ca="1">IFERROR(__xludf.DUMMYFUNCTION("""COMPUTED_VALUE"""),"Yes, I will earn and do that")</f>
        <v>Yes, I will earn and do that</v>
      </c>
      <c r="G1084" s="1" t="str">
        <f ca="1">IFERROR(__xludf.DUMMYFUNCTION("""COMPUTED_VALUE"""),"This will be hard to do, but if it is the right company I would try")</f>
        <v>This will be hard to do, but if it is the right company I would try</v>
      </c>
      <c r="H1084" s="1" t="str">
        <f ca="1">IFERROR(__xludf.DUMMYFUNCTION("""COMPUTED_VALUE"""),"Yes")</f>
        <v>Yes</v>
      </c>
      <c r="I1084" s="1" t="str">
        <f ca="1">IFERROR(__xludf.DUMMYFUNCTION("""COMPUTED_VALUE"""),"Will NOT work for them")</f>
        <v>Will NOT work for them</v>
      </c>
      <c r="J1084" s="1">
        <f ca="1">IFERROR(__xludf.DUMMYFUNCTION("""COMPUTED_VALUE"""),7)</f>
        <v>7</v>
      </c>
      <c r="K1084" s="1" t="str">
        <f ca="1">IFERROR(__xludf.DUMMYFUNCTION("""COMPUTED_VALUE"""),"Fully Remote with Options to travel as and when needed")</f>
        <v>Fully Remote with Options to travel as and when needed</v>
      </c>
      <c r="L1084" s="1" t="str">
        <f ca="1">IFERROR(__xludf.DUMMYFUNCTION("""COMPUTED_VALUE"""),"Employer who rewards learning and enables that environment")</f>
        <v>Employer who rewards learning and enables that environment</v>
      </c>
      <c r="M108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84" s="1" t="str">
        <f ca="1">IFERROR(__xludf.DUMMYFUNCTION("""COMPUTED_VALUE"""),"Work as a freelancer and do my thing my way, Become a content Creator in some platform, Entrepreneur or Start Up, An Artificial Intelligence Specialist / Talking to Robots")</f>
        <v>Work as a freelancer and do my thing my way, Become a content Creator in some platform, Entrepreneur or Start Up, An Artificial Intelligence Specialist / Talking to Robots</v>
      </c>
      <c r="O1084" s="1" t="str">
        <f ca="1">IFERROR(__xludf.DUMMYFUNCTION("""COMPUTED_VALUE"""),"Manager who explains what is expected, sets a goal and helps achieve it")</f>
        <v>Manager who explains what is expected, sets a goal and helps achieve it</v>
      </c>
      <c r="P1084" s="1" t="str">
        <f ca="1">IFERROR(__xludf.DUMMYFUNCTION("""COMPUTED_VALUE"""),"Work with 5 to 6 people in my team")</f>
        <v>Work with 5 to 6 people in my team</v>
      </c>
      <c r="Q1084" s="1" t="str">
        <f ca="1">IFERROR(__xludf.DUMMYFUNCTION("""COMPUTED_VALUE"""),"Yes, I Understand this is gonna happen everywhere")</f>
        <v>Yes, I Understand this is gonna happen everywhere</v>
      </c>
      <c r="R1084" s="1" t="str">
        <f ca="1">IFERROR(__xludf.DUMMYFUNCTION("""COMPUTED_VALUE"""),"No way")</f>
        <v>No way</v>
      </c>
      <c r="S1084" s="1"/>
    </row>
    <row r="1085" spans="1:19" ht="12.5" x14ac:dyDescent="0.25">
      <c r="A1085" s="2">
        <f ca="1">IFERROR(__xludf.DUMMYFUNCTION("""COMPUTED_VALUE"""),45043.9689180671)</f>
        <v>45043.968918067098</v>
      </c>
      <c r="B1085" s="1" t="str">
        <f ca="1">IFERROR(__xludf.DUMMYFUNCTION("""COMPUTED_VALUE"""),"India")</f>
        <v>India</v>
      </c>
      <c r="C1085" s="1">
        <f ca="1">IFERROR(__xludf.DUMMYFUNCTION("""COMPUTED_VALUE"""),493221)</f>
        <v>493221</v>
      </c>
      <c r="D1085" s="1" t="str">
        <f ca="1">IFERROR(__xludf.DUMMYFUNCTION("""COMPUTED_VALUE"""),"Male")</f>
        <v>Male</v>
      </c>
      <c r="E1085" s="1" t="str">
        <f ca="1">IFERROR(__xludf.DUMMYFUNCTION("""COMPUTED_VALUE"""),"People who have changed the world for better")</f>
        <v>People who have changed the world for better</v>
      </c>
      <c r="F1085" s="1" t="str">
        <f ca="1">IFERROR(__xludf.DUMMYFUNCTION("""COMPUTED_VALUE"""),"No, But if someone could bare the cost I will")</f>
        <v>No, But if someone could bare the cost I will</v>
      </c>
      <c r="G1085" s="1" t="str">
        <f ca="1">IFERROR(__xludf.DUMMYFUNCTION("""COMPUTED_VALUE"""),"This will be hard to do, but if it is the right company I would try")</f>
        <v>This will be hard to do, but if it is the right company I would try</v>
      </c>
      <c r="H1085" s="1" t="str">
        <f ca="1">IFERROR(__xludf.DUMMYFUNCTION("""COMPUTED_VALUE"""),"No")</f>
        <v>No</v>
      </c>
      <c r="I1085" s="1" t="str">
        <f ca="1">IFERROR(__xludf.DUMMYFUNCTION("""COMPUTED_VALUE"""),"Will NOT work for them")</f>
        <v>Will NOT work for them</v>
      </c>
      <c r="J1085" s="1">
        <f ca="1">IFERROR(__xludf.DUMMYFUNCTION("""COMPUTED_VALUE"""),3)</f>
        <v>3</v>
      </c>
      <c r="K1085" s="1" t="str">
        <f ca="1">IFERROR(__xludf.DUMMYFUNCTION("""COMPUTED_VALUE"""),"Fully Remote with Options to travel as and when needed")</f>
        <v>Fully Remote with Options to travel as and when needed</v>
      </c>
      <c r="L10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8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85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085" s="1" t="str">
        <f ca="1">IFERROR(__xludf.DUMMYFUNCTION("""COMPUTED_VALUE"""),"Manager who clearly describes what she/he needs")</f>
        <v>Manager who clearly describes what she/he needs</v>
      </c>
      <c r="P1085" s="1" t="str">
        <f ca="1">IFERROR(__xludf.DUMMYFUNCTION("""COMPUTED_VALUE"""),"Work with 2 to 3 people in my team, Work with 5 to 6 people in my team")</f>
        <v>Work with 2 to 3 people in my team, Work with 5 to 6 people in my team</v>
      </c>
      <c r="Q1085" s="1" t="str">
        <f ca="1">IFERROR(__xludf.DUMMYFUNCTION("""COMPUTED_VALUE"""),"No")</f>
        <v>No</v>
      </c>
      <c r="R1085" s="1" t="str">
        <f ca="1">IFERROR(__xludf.DUMMYFUNCTION("""COMPUTED_VALUE"""),"This will be hard to do, but if it is the right company I would try")</f>
        <v>This will be hard to do, but if it is the right company I would try</v>
      </c>
      <c r="S1085" s="1"/>
    </row>
    <row r="1086" spans="1:19" ht="12.5" x14ac:dyDescent="0.25">
      <c r="A1086" s="2">
        <f ca="1">IFERROR(__xludf.DUMMYFUNCTION("""COMPUTED_VALUE"""),45043.9697812963)</f>
        <v>45043.969781296299</v>
      </c>
      <c r="B1086" s="1" t="str">
        <f ca="1">IFERROR(__xludf.DUMMYFUNCTION("""COMPUTED_VALUE"""),"India")</f>
        <v>India</v>
      </c>
      <c r="C1086" s="1">
        <f ca="1">IFERROR(__xludf.DUMMYFUNCTION("""COMPUTED_VALUE"""),520003)</f>
        <v>520003</v>
      </c>
      <c r="D1086" s="1" t="str">
        <f ca="1">IFERROR(__xludf.DUMMYFUNCTION("""COMPUTED_VALUE"""),"Male")</f>
        <v>Male</v>
      </c>
      <c r="E1086" s="1" t="str">
        <f ca="1">IFERROR(__xludf.DUMMYFUNCTION("""COMPUTED_VALUE"""),"Influencers who had successful careers")</f>
        <v>Influencers who had successful careers</v>
      </c>
      <c r="F1086" s="1" t="str">
        <f ca="1">IFERROR(__xludf.DUMMYFUNCTION("""COMPUTED_VALUE"""),"No, But if someone could bare the cost I will")</f>
        <v>No, But if someone could bare the cost I will</v>
      </c>
      <c r="G1086" s="1" t="str">
        <f ca="1">IFERROR(__xludf.DUMMYFUNCTION("""COMPUTED_VALUE"""),"This will be hard to do, but if it is the right company I would try")</f>
        <v>This will be hard to do, but if it is the right company I would try</v>
      </c>
      <c r="H1086" s="1" t="str">
        <f ca="1">IFERROR(__xludf.DUMMYFUNCTION("""COMPUTED_VALUE"""),"No")</f>
        <v>No</v>
      </c>
      <c r="I1086" s="1" t="str">
        <f ca="1">IFERROR(__xludf.DUMMYFUNCTION("""COMPUTED_VALUE"""),"Will NOT work for them")</f>
        <v>Will NOT work for them</v>
      </c>
      <c r="J1086" s="1">
        <f ca="1">IFERROR(__xludf.DUMMYFUNCTION("""COMPUTED_VALUE"""),8)</f>
        <v>8</v>
      </c>
      <c r="K1086" s="1" t="str">
        <f ca="1">IFERROR(__xludf.DUMMYFUNCTION("""COMPUTED_VALUE"""),"Hybrid Working Environment with more than 15 days a month at office")</f>
        <v>Hybrid Working Environment with more than 15 days a month at office</v>
      </c>
      <c r="L1086" s="1" t="str">
        <f ca="1">IFERROR(__xludf.DUMMYFUNCTION("""COMPUTED_VALUE"""),"Employer who appreciates learning and enables that environment")</f>
        <v>Employer who appreciates learning and enables that environment</v>
      </c>
      <c r="M1086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086" s="1" t="str">
        <f ca="1">IFERROR(__xludf.DUMMYFUNCTION("""COMPUTED_VALUE"""),"Manage and drive End-to-End Projects or Products, Look deeply into Data and generate insights, Work as a freelancer and do my thing my way, An Artificial Intelligence Specialist / Talking to Robots")</f>
        <v>Manage and drive End-to-End Projects or Products, Look deeply into Data and generate insights, Work as a freelancer and do my thing my way, An Artificial Intelligence Specialist / Talking to Robots</v>
      </c>
      <c r="O1086" s="1" t="str">
        <f ca="1">IFERROR(__xludf.DUMMYFUNCTION("""COMPUTED_VALUE"""),"Manager who sets goal and helps me achieve it")</f>
        <v>Manager who sets goal and helps me achieve it</v>
      </c>
      <c r="P108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086" s="1" t="str">
        <f ca="1">IFERROR(__xludf.DUMMYFUNCTION("""COMPUTED_VALUE"""),"No")</f>
        <v>No</v>
      </c>
      <c r="R1086" s="1" t="str">
        <f ca="1">IFERROR(__xludf.DUMMYFUNCTION("""COMPUTED_VALUE"""),"This will be hard to do, but if it is the right company I would try")</f>
        <v>This will be hard to do, but if it is the right company I would try</v>
      </c>
      <c r="S1086" s="1"/>
    </row>
    <row r="1087" spans="1:19" ht="12.5" x14ac:dyDescent="0.25">
      <c r="A1087" s="2">
        <f ca="1">IFERROR(__xludf.DUMMYFUNCTION("""COMPUTED_VALUE"""),45043.970007905)</f>
        <v>45043.970007905002</v>
      </c>
      <c r="B1087" s="1" t="str">
        <f ca="1">IFERROR(__xludf.DUMMYFUNCTION("""COMPUTED_VALUE"""),"India")</f>
        <v>India</v>
      </c>
      <c r="C1087" s="1">
        <f ca="1">IFERROR(__xludf.DUMMYFUNCTION("""COMPUTED_VALUE"""),560103)</f>
        <v>560103</v>
      </c>
      <c r="D1087" s="1" t="str">
        <f ca="1">IFERROR(__xludf.DUMMYFUNCTION("""COMPUTED_VALUE"""),"Male")</f>
        <v>Male</v>
      </c>
      <c r="E1087" s="1" t="str">
        <f ca="1">IFERROR(__xludf.DUMMYFUNCTION("""COMPUTED_VALUE"""),"People who have changed the world for better")</f>
        <v>People who have changed the world for better</v>
      </c>
      <c r="F1087" s="1" t="str">
        <f ca="1">IFERROR(__xludf.DUMMYFUNCTION("""COMPUTED_VALUE"""),"No, But if someone could bare the cost I will")</f>
        <v>No, But if someone could bare the cost I will</v>
      </c>
      <c r="G1087" s="1" t="str">
        <f ca="1">IFERROR(__xludf.DUMMYFUNCTION("""COMPUTED_VALUE"""),"Will work for 3 years or more")</f>
        <v>Will work for 3 years or more</v>
      </c>
      <c r="H1087" s="1" t="str">
        <f ca="1">IFERROR(__xludf.DUMMYFUNCTION("""COMPUTED_VALUE"""),"No")</f>
        <v>No</v>
      </c>
      <c r="I1087" s="1" t="str">
        <f ca="1">IFERROR(__xludf.DUMMYFUNCTION("""COMPUTED_VALUE"""),"Will NOT work for them")</f>
        <v>Will NOT work for them</v>
      </c>
      <c r="J1087" s="1">
        <f ca="1">IFERROR(__xludf.DUMMYFUNCTION("""COMPUTED_VALUE"""),1)</f>
        <v>1</v>
      </c>
      <c r="K1087" s="1" t="str">
        <f ca="1">IFERROR(__xludf.DUMMYFUNCTION("""COMPUTED_VALUE"""),"Fully Remote with Options to travel as and when needed")</f>
        <v>Fully Remote with Options to travel as and when needed</v>
      </c>
      <c r="L10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8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087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08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87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087" s="1" t="str">
        <f ca="1">IFERROR(__xludf.DUMMYFUNCTION("""COMPUTED_VALUE"""),"No")</f>
        <v>No</v>
      </c>
      <c r="R1087" s="1" t="str">
        <f ca="1">IFERROR(__xludf.DUMMYFUNCTION("""COMPUTED_VALUE"""),"This will be hard to do, but if it is the right company I would try")</f>
        <v>This will be hard to do, but if it is the right company I would try</v>
      </c>
      <c r="S1087" s="1"/>
    </row>
    <row r="1088" spans="1:19" ht="12.5" x14ac:dyDescent="0.25">
      <c r="A1088" s="2">
        <f ca="1">IFERROR(__xludf.DUMMYFUNCTION("""COMPUTED_VALUE"""),45043.9701072222)</f>
        <v>45043.970107222201</v>
      </c>
      <c r="B1088" s="1" t="str">
        <f ca="1">IFERROR(__xludf.DUMMYFUNCTION("""COMPUTED_VALUE"""),"India")</f>
        <v>India</v>
      </c>
      <c r="C1088" s="1">
        <f ca="1">IFERROR(__xludf.DUMMYFUNCTION("""COMPUTED_VALUE"""),176215)</f>
        <v>176215</v>
      </c>
      <c r="D1088" s="1" t="str">
        <f ca="1">IFERROR(__xludf.DUMMYFUNCTION("""COMPUTED_VALUE"""),"Female")</f>
        <v>Female</v>
      </c>
      <c r="E1088" s="1" t="str">
        <f ca="1">IFERROR(__xludf.DUMMYFUNCTION("""COMPUTED_VALUE"""),"My Parents")</f>
        <v>My Parents</v>
      </c>
      <c r="F1088" s="1" t="str">
        <f ca="1">IFERROR(__xludf.DUMMYFUNCTION("""COMPUTED_VALUE"""),"Yes, I will earn and do that")</f>
        <v>Yes, I will earn and do that</v>
      </c>
      <c r="G1088" s="1" t="str">
        <f ca="1">IFERROR(__xludf.DUMMYFUNCTION("""COMPUTED_VALUE"""),"This will be hard to do, but if it is the right company I would try")</f>
        <v>This will be hard to do, but if it is the right company I would try</v>
      </c>
      <c r="H1088" s="1" t="str">
        <f ca="1">IFERROR(__xludf.DUMMYFUNCTION("""COMPUTED_VALUE"""),"No")</f>
        <v>No</v>
      </c>
      <c r="I1088" s="1" t="str">
        <f ca="1">IFERROR(__xludf.DUMMYFUNCTION("""COMPUTED_VALUE"""),"Will work for them")</f>
        <v>Will work for them</v>
      </c>
      <c r="J1088" s="1">
        <f ca="1">IFERROR(__xludf.DUMMYFUNCTION("""COMPUTED_VALUE"""),5)</f>
        <v>5</v>
      </c>
      <c r="K1088" s="1" t="str">
        <f ca="1">IFERROR(__xludf.DUMMYFUNCTION("""COMPUTED_VALUE"""),"Hybrid Working Environment with more than 15 days a month at office")</f>
        <v>Hybrid Working Environment with more than 15 days a month at office</v>
      </c>
      <c r="L1088" s="1" t="str">
        <f ca="1">IFERROR(__xludf.DUMMYFUNCTION("""COMPUTED_VALUE"""),"Employer who appreciates learning and enables that environment")</f>
        <v>Employer who appreciates learning and enables that environment</v>
      </c>
      <c r="M1088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088" s="1" t="str">
        <f ca="1">IFERROR(__xludf.DUMMYFUNCTION("""COMPUTED_VALUE"""),"Design and Creative strategy in any company, Build and develop a Team, Look deeply into Data and generate insights, Entrepreneur or Start Up")</f>
        <v>Design and Creative strategy in any company, Build and develop a Team, Look deeply into Data and generate insights, Entrepreneur or Start Up</v>
      </c>
      <c r="O1088" s="1" t="str">
        <f ca="1">IFERROR(__xludf.DUMMYFUNCTION("""COMPUTED_VALUE"""),"Manager who clearly describes what she/he needs")</f>
        <v>Manager who clearly describes what she/he needs</v>
      </c>
      <c r="P1088" s="1" t="str">
        <f ca="1">IFERROR(__xludf.DUMMYFUNCTION("""COMPUTED_VALUE"""),"Work with 2 to 3 people in my team")</f>
        <v>Work with 2 to 3 people in my team</v>
      </c>
      <c r="Q1088" s="1" t="str">
        <f ca="1">IFERROR(__xludf.DUMMYFUNCTION("""COMPUTED_VALUE"""),"Yes, I Understand this is gonna happen everywhere")</f>
        <v>Yes, I Understand this is gonna happen everywhere</v>
      </c>
      <c r="R1088" s="1" t="str">
        <f ca="1">IFERROR(__xludf.DUMMYFUNCTION("""COMPUTED_VALUE"""),"This will be hard to do, but if it is the right company I would try")</f>
        <v>This will be hard to do, but if it is the right company I would try</v>
      </c>
      <c r="S1088" s="1"/>
    </row>
    <row r="1089" spans="1:19" ht="12.5" x14ac:dyDescent="0.25">
      <c r="A1089" s="2">
        <f ca="1">IFERROR(__xludf.DUMMYFUNCTION("""COMPUTED_VALUE"""),45043.9709004166)</f>
        <v>45043.9709004166</v>
      </c>
      <c r="B1089" s="1" t="str">
        <f ca="1">IFERROR(__xludf.DUMMYFUNCTION("""COMPUTED_VALUE"""),"India")</f>
        <v>India</v>
      </c>
      <c r="C1089" s="1">
        <f ca="1">IFERROR(__xludf.DUMMYFUNCTION("""COMPUTED_VALUE"""),611001)</f>
        <v>611001</v>
      </c>
      <c r="D1089" s="1" t="str">
        <f ca="1">IFERROR(__xludf.DUMMYFUNCTION("""COMPUTED_VALUE"""),"Male")</f>
        <v>Male</v>
      </c>
      <c r="E1089" s="1" t="str">
        <f ca="1">IFERROR(__xludf.DUMMYFUNCTION("""COMPUTED_VALUE"""),"My Parents")</f>
        <v>My Parents</v>
      </c>
      <c r="F1089" s="1" t="str">
        <f ca="1">IFERROR(__xludf.DUMMYFUNCTION("""COMPUTED_VALUE"""),"Yes, I will earn and do that")</f>
        <v>Yes, I will earn and do that</v>
      </c>
      <c r="G1089" s="1" t="str">
        <f ca="1">IFERROR(__xludf.DUMMYFUNCTION("""COMPUTED_VALUE"""),"Will work for 3 years or more")</f>
        <v>Will work for 3 years or more</v>
      </c>
      <c r="H1089" s="1" t="str">
        <f ca="1">IFERROR(__xludf.DUMMYFUNCTION("""COMPUTED_VALUE"""),"No")</f>
        <v>No</v>
      </c>
      <c r="I1089" s="1" t="str">
        <f ca="1">IFERROR(__xludf.DUMMYFUNCTION("""COMPUTED_VALUE"""),"Will NOT work for them")</f>
        <v>Will NOT work for them</v>
      </c>
      <c r="J1089" s="1">
        <f ca="1">IFERROR(__xludf.DUMMYFUNCTION("""COMPUTED_VALUE"""),1)</f>
        <v>1</v>
      </c>
      <c r="K1089" s="1" t="str">
        <f ca="1">IFERROR(__xludf.DUMMYFUNCTION("""COMPUTED_VALUE"""),"Every Day Office Environment")</f>
        <v>Every Day Office Environment</v>
      </c>
      <c r="L1089" s="1" t="str">
        <f ca="1">IFERROR(__xludf.DUMMYFUNCTION("""COMPUTED_VALUE"""),"Employer who rewards learning and enables that environment")</f>
        <v>Employer who rewards learning and enables that environment</v>
      </c>
      <c r="M1089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089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108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89" s="1" t="str">
        <f ca="1">IFERROR(__xludf.DUMMYFUNCTION("""COMPUTED_VALUE"""),"Work with more than 10 people in my team")</f>
        <v>Work with more than 10 people in my team</v>
      </c>
      <c r="Q1089" s="1" t="str">
        <f ca="1">IFERROR(__xludf.DUMMYFUNCTION("""COMPUTED_VALUE"""),"Yes, I Understand this is gonna happen everywhere")</f>
        <v>Yes, I Understand this is gonna happen everywhere</v>
      </c>
      <c r="R1089" s="1" t="str">
        <f ca="1">IFERROR(__xludf.DUMMYFUNCTION("""COMPUTED_VALUE"""),"This will be hard to do, but if it is the right company I would try")</f>
        <v>This will be hard to do, but if it is the right company I would try</v>
      </c>
      <c r="S1089" s="1"/>
    </row>
    <row r="1090" spans="1:19" ht="12.5" x14ac:dyDescent="0.25">
      <c r="A1090" s="2">
        <f ca="1">IFERROR(__xludf.DUMMYFUNCTION("""COMPUTED_VALUE"""),45043.971775625)</f>
        <v>45043.971775625003</v>
      </c>
      <c r="B1090" s="1" t="str">
        <f ca="1">IFERROR(__xludf.DUMMYFUNCTION("""COMPUTED_VALUE"""),"India")</f>
        <v>India</v>
      </c>
      <c r="C1090" s="1">
        <f ca="1">IFERROR(__xludf.DUMMYFUNCTION("""COMPUTED_VALUE"""),603103)</f>
        <v>603103</v>
      </c>
      <c r="D1090" s="1" t="str">
        <f ca="1">IFERROR(__xludf.DUMMYFUNCTION("""COMPUTED_VALUE"""),"Female")</f>
        <v>Female</v>
      </c>
      <c r="E1090" s="1" t="str">
        <f ca="1">IFERROR(__xludf.DUMMYFUNCTION("""COMPUTED_VALUE"""),"People who have changed the world for better")</f>
        <v>People who have changed the world for better</v>
      </c>
      <c r="F1090" s="1" t="str">
        <f ca="1">IFERROR(__xludf.DUMMYFUNCTION("""COMPUTED_VALUE"""),"Yes, I will earn and do that")</f>
        <v>Yes, I will earn and do that</v>
      </c>
      <c r="G1090" s="1" t="str">
        <f ca="1">IFERROR(__xludf.DUMMYFUNCTION("""COMPUTED_VALUE"""),"Will work for 3 years or more")</f>
        <v>Will work for 3 years or more</v>
      </c>
      <c r="H1090" s="1" t="str">
        <f ca="1">IFERROR(__xludf.DUMMYFUNCTION("""COMPUTED_VALUE"""),"No")</f>
        <v>No</v>
      </c>
      <c r="I1090" s="1" t="str">
        <f ca="1">IFERROR(__xludf.DUMMYFUNCTION("""COMPUTED_VALUE"""),"Will NOT work for them")</f>
        <v>Will NOT work for them</v>
      </c>
      <c r="J1090" s="1">
        <f ca="1">IFERROR(__xludf.DUMMYFUNCTION("""COMPUTED_VALUE"""),5)</f>
        <v>5</v>
      </c>
      <c r="K1090" s="1" t="str">
        <f ca="1">IFERROR(__xludf.DUMMYFUNCTION("""COMPUTED_VALUE"""),"Fully Remote with Options to travel as and when needed")</f>
        <v>Fully Remote with Options to travel as and when needed</v>
      </c>
      <c r="L10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9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90" s="1" t="str">
        <f ca="1">IFERROR(__xludf.DUMMYFUNCTION("""COMPUTED_VALUE"""),"Business Operations in any organization, Build and develop a Team, Become a content Creator in some platform, Entrepreneur or Start Up")</f>
        <v>Business Operations in any organization, Build and develop a Team, Become a content Creator in some platform, Entrepreneur or Start Up</v>
      </c>
      <c r="O1090" s="1" t="str">
        <f ca="1">IFERROR(__xludf.DUMMYFUNCTION("""COMPUTED_VALUE"""),"Manager who sets goal and helps me achieve it")</f>
        <v>Manager who sets goal and helps me achieve it</v>
      </c>
      <c r="P1090" s="1" t="str">
        <f ca="1">IFERROR(__xludf.DUMMYFUNCTION("""COMPUTED_VALUE"""),"Work with 5 to 6 people in my team")</f>
        <v>Work with 5 to 6 people in my team</v>
      </c>
      <c r="Q1090" s="1" t="str">
        <f ca="1">IFERROR(__xludf.DUMMYFUNCTION("""COMPUTED_VALUE"""),"No")</f>
        <v>No</v>
      </c>
      <c r="R1090" s="1" t="str">
        <f ca="1">IFERROR(__xludf.DUMMYFUNCTION("""COMPUTED_VALUE"""),"Will work for 7 years or more")</f>
        <v>Will work for 7 years or more</v>
      </c>
      <c r="S1090" s="1"/>
    </row>
    <row r="1091" spans="1:19" ht="12.5" x14ac:dyDescent="0.25">
      <c r="A1091" s="2">
        <f ca="1">IFERROR(__xludf.DUMMYFUNCTION("""COMPUTED_VALUE"""),45043.9723964699)</f>
        <v>45043.972396469901</v>
      </c>
      <c r="B1091" s="1" t="str">
        <f ca="1">IFERROR(__xludf.DUMMYFUNCTION("""COMPUTED_VALUE"""),"India")</f>
        <v>India</v>
      </c>
      <c r="C1091" s="1">
        <f ca="1">IFERROR(__xludf.DUMMYFUNCTION("""COMPUTED_VALUE"""),492008)</f>
        <v>492008</v>
      </c>
      <c r="D1091" s="1" t="str">
        <f ca="1">IFERROR(__xludf.DUMMYFUNCTION("""COMPUTED_VALUE"""),"Female")</f>
        <v>Female</v>
      </c>
      <c r="E1091" s="1" t="str">
        <f ca="1">IFERROR(__xludf.DUMMYFUNCTION("""COMPUTED_VALUE"""),"Influencers who had successful careers")</f>
        <v>Influencers who had successful careers</v>
      </c>
      <c r="F1091" s="1" t="str">
        <f ca="1">IFERROR(__xludf.DUMMYFUNCTION("""COMPUTED_VALUE"""),"No I would not be pursuing Higher Education outside of India")</f>
        <v>No I would not be pursuing Higher Education outside of India</v>
      </c>
      <c r="G1091" s="1" t="str">
        <f ca="1">IFERROR(__xludf.DUMMYFUNCTION("""COMPUTED_VALUE"""),"This will be hard to do, but if it is the right company I would try")</f>
        <v>This will be hard to do, but if it is the right company I would try</v>
      </c>
      <c r="H1091" s="1" t="str">
        <f ca="1">IFERROR(__xludf.DUMMYFUNCTION("""COMPUTED_VALUE"""),"No")</f>
        <v>No</v>
      </c>
      <c r="I1091" s="1" t="str">
        <f ca="1">IFERROR(__xludf.DUMMYFUNCTION("""COMPUTED_VALUE"""),"Will NOT work for them")</f>
        <v>Will NOT work for them</v>
      </c>
      <c r="J1091" s="1">
        <f ca="1">IFERROR(__xludf.DUMMYFUNCTION("""COMPUTED_VALUE"""),7)</f>
        <v>7</v>
      </c>
      <c r="K1091" s="1" t="str">
        <f ca="1">IFERROR(__xludf.DUMMYFUNCTION("""COMPUTED_VALUE"""),"Hybrid Working Environment with less than 3 days a month at office")</f>
        <v>Hybrid Working Environment with less than 3 days a month at office</v>
      </c>
      <c r="L10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9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91" s="1" t="str">
        <f ca="1">IFERROR(__xludf.DUMMYFUNCTION("""COMPUTED_VALUE"""),"Design and Creative strategy in any company, Teaching in any of the institutes/colleges/online or offline, Design and Develop amazing software, Become a content Creator in some platform")</f>
        <v>Design and Creative strategy in any company, Teaching in any of the institutes/colleges/online or offline, Design and Develop amazing software, Become a content Creator in some platform</v>
      </c>
      <c r="O1091" s="1" t="str">
        <f ca="1">IFERROR(__xludf.DUMMYFUNCTION("""COMPUTED_VALUE"""),"Manager who clearly describes what she/he needs")</f>
        <v>Manager who clearly describes what she/he needs</v>
      </c>
      <c r="P1091" s="1" t="str">
        <f ca="1">IFERROR(__xludf.DUMMYFUNCTION("""COMPUTED_VALUE"""),"Work alone")</f>
        <v>Work alone</v>
      </c>
      <c r="Q1091" s="1" t="str">
        <f ca="1">IFERROR(__xludf.DUMMYFUNCTION("""COMPUTED_VALUE"""),"Yes, I Understand this is gonna happen everywhere")</f>
        <v>Yes, I Understand this is gonna happen everywhere</v>
      </c>
      <c r="R1091" s="1" t="str">
        <f ca="1">IFERROR(__xludf.DUMMYFUNCTION("""COMPUTED_VALUE"""),"This will be hard to do, but if it is the right company I would try")</f>
        <v>This will be hard to do, but if it is the right company I would try</v>
      </c>
      <c r="S1091" s="1"/>
    </row>
    <row r="1092" spans="1:19" ht="12.5" x14ac:dyDescent="0.25">
      <c r="A1092" s="2">
        <f ca="1">IFERROR(__xludf.DUMMYFUNCTION("""COMPUTED_VALUE"""),45043.9795642592)</f>
        <v>45043.9795642592</v>
      </c>
      <c r="B1092" s="1" t="str">
        <f ca="1">IFERROR(__xludf.DUMMYFUNCTION("""COMPUTED_VALUE"""),"India")</f>
        <v>India</v>
      </c>
      <c r="C1092" s="1">
        <f ca="1">IFERROR(__xludf.DUMMYFUNCTION("""COMPUTED_VALUE"""),535145)</f>
        <v>535145</v>
      </c>
      <c r="D1092" s="1" t="str">
        <f ca="1">IFERROR(__xludf.DUMMYFUNCTION("""COMPUTED_VALUE"""),"Male")</f>
        <v>Male</v>
      </c>
      <c r="E1092" s="1" t="str">
        <f ca="1">IFERROR(__xludf.DUMMYFUNCTION("""COMPUTED_VALUE"""),"My Parents")</f>
        <v>My Parents</v>
      </c>
      <c r="F1092" s="1" t="str">
        <f ca="1">IFERROR(__xludf.DUMMYFUNCTION("""COMPUTED_VALUE"""),"No I would not be pursuing Higher Education outside of India")</f>
        <v>No I would not be pursuing Higher Education outside of India</v>
      </c>
      <c r="G1092" s="1" t="str">
        <f ca="1">IFERROR(__xludf.DUMMYFUNCTION("""COMPUTED_VALUE"""),"Will work for 3 years or more")</f>
        <v>Will work for 3 years or more</v>
      </c>
      <c r="H1092" s="1" t="str">
        <f ca="1">IFERROR(__xludf.DUMMYFUNCTION("""COMPUTED_VALUE"""),"No")</f>
        <v>No</v>
      </c>
      <c r="I1092" s="1" t="str">
        <f ca="1">IFERROR(__xludf.DUMMYFUNCTION("""COMPUTED_VALUE"""),"Will NOT work for them")</f>
        <v>Will NOT work for them</v>
      </c>
      <c r="J1092" s="1">
        <f ca="1">IFERROR(__xludf.DUMMYFUNCTION("""COMPUTED_VALUE"""),7)</f>
        <v>7</v>
      </c>
      <c r="K1092" s="1" t="str">
        <f ca="1">IFERROR(__xludf.DUMMYFUNCTION("""COMPUTED_VALUE"""),"Hybrid Working Environment with more than 15 days a month at office")</f>
        <v>Hybrid Working Environment with more than 15 days a month at office</v>
      </c>
      <c r="L1092" s="1" t="str">
        <f ca="1">IFERROR(__xludf.DUMMYFUNCTION("""COMPUTED_VALUE"""),"Employer who appreciates learning and enables that environment")</f>
        <v>Employer who appreciates learning and enables that environment</v>
      </c>
      <c r="M109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92" s="1" t="str">
        <f ca="1">IFERROR(__xludf.DUMMYFUNCTION("""COMPUTED_VALUE"""),"Design and Creative strategy in any company, Build and develop a Team, Design and Develop amazing software, I Want to sell things/Sales")</f>
        <v>Design and Creative strategy in any company, Build and develop a Team, Design and Develop amazing software, I Want to sell things/Sales</v>
      </c>
      <c r="O1092" s="1" t="str">
        <f ca="1">IFERROR(__xludf.DUMMYFUNCTION("""COMPUTED_VALUE"""),"Manager who sets targets and expects me to achieve it")</f>
        <v>Manager who sets targets and expects me to achieve it</v>
      </c>
      <c r="P1092" s="1" t="str">
        <f ca="1">IFERROR(__xludf.DUMMYFUNCTION("""COMPUTED_VALUE"""),"Work with 2 to 3 people in my team")</f>
        <v>Work with 2 to 3 people in my team</v>
      </c>
      <c r="Q1092" s="1" t="str">
        <f ca="1">IFERROR(__xludf.DUMMYFUNCTION("""COMPUTED_VALUE"""),"Yes, I Understand this is gonna happen everywhere")</f>
        <v>Yes, I Understand this is gonna happen everywhere</v>
      </c>
      <c r="R1092" s="1" t="str">
        <f ca="1">IFERROR(__xludf.DUMMYFUNCTION("""COMPUTED_VALUE"""),"This will be hard to do, but if it is the right company I would try")</f>
        <v>This will be hard to do, but if it is the right company I would try</v>
      </c>
      <c r="S1092" s="1"/>
    </row>
    <row r="1093" spans="1:19" ht="12.5" x14ac:dyDescent="0.25">
      <c r="A1093" s="2">
        <f ca="1">IFERROR(__xludf.DUMMYFUNCTION("""COMPUTED_VALUE"""),45043.9799024768)</f>
        <v>45043.9799024768</v>
      </c>
      <c r="B1093" s="1" t="str">
        <f ca="1">IFERROR(__xludf.DUMMYFUNCTION("""COMPUTED_VALUE"""),"India")</f>
        <v>India</v>
      </c>
      <c r="C1093" s="1">
        <f ca="1">IFERROR(__xludf.DUMMYFUNCTION("""COMPUTED_VALUE"""),535003)</f>
        <v>535003</v>
      </c>
      <c r="D1093" s="1" t="str">
        <f ca="1">IFERROR(__xludf.DUMMYFUNCTION("""COMPUTED_VALUE"""),"Female")</f>
        <v>Female</v>
      </c>
      <c r="E1093" s="1" t="str">
        <f ca="1">IFERROR(__xludf.DUMMYFUNCTION("""COMPUTED_VALUE"""),"People who have changed the world for better")</f>
        <v>People who have changed the world for better</v>
      </c>
      <c r="F1093" s="1" t="str">
        <f ca="1">IFERROR(__xludf.DUMMYFUNCTION("""COMPUTED_VALUE"""),"No I would not be pursuing Higher Education outside of India")</f>
        <v>No I would not be pursuing Higher Education outside of India</v>
      </c>
      <c r="G1093" s="1" t="str">
        <f ca="1">IFERROR(__xludf.DUMMYFUNCTION("""COMPUTED_VALUE"""),"This will be hard to do, but if it is the right company I would try")</f>
        <v>This will be hard to do, but if it is the right company I would try</v>
      </c>
      <c r="H1093" s="1" t="str">
        <f ca="1">IFERROR(__xludf.DUMMYFUNCTION("""COMPUTED_VALUE"""),"Yes")</f>
        <v>Yes</v>
      </c>
      <c r="I1093" s="1" t="str">
        <f ca="1">IFERROR(__xludf.DUMMYFUNCTION("""COMPUTED_VALUE"""),"Will work for them")</f>
        <v>Will work for them</v>
      </c>
      <c r="J1093" s="1">
        <f ca="1">IFERROR(__xludf.DUMMYFUNCTION("""COMPUTED_VALUE"""),5)</f>
        <v>5</v>
      </c>
      <c r="K1093" s="1" t="str">
        <f ca="1">IFERROR(__xludf.DUMMYFUNCTION("""COMPUTED_VALUE"""),"Fully Remote with Options to travel as and when needed")</f>
        <v>Fully Remote with Options to travel as and when needed</v>
      </c>
      <c r="L10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9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093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1093" s="1" t="str">
        <f ca="1">IFERROR(__xludf.DUMMYFUNCTION("""COMPUTED_VALUE"""),"Manager who explains what is expected, sets a goal and helps achieve it")</f>
        <v>Manager who explains what is expected, sets a goal and helps achieve it</v>
      </c>
      <c r="P1093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093" s="1" t="str">
        <f ca="1">IFERROR(__xludf.DUMMYFUNCTION("""COMPUTED_VALUE"""),"Yes, I Understand this is gonna happen everywhere")</f>
        <v>Yes, I Understand this is gonna happen everywhere</v>
      </c>
      <c r="R1093" s="1" t="str">
        <f ca="1">IFERROR(__xludf.DUMMYFUNCTION("""COMPUTED_VALUE"""),"This will be hard to do, but if it is the right company I would try")</f>
        <v>This will be hard to do, but if it is the right company I would try</v>
      </c>
      <c r="S1093" s="1"/>
    </row>
    <row r="1094" spans="1:19" ht="12.5" x14ac:dyDescent="0.25">
      <c r="A1094" s="2">
        <f ca="1">IFERROR(__xludf.DUMMYFUNCTION("""COMPUTED_VALUE"""),45043.980799699)</f>
        <v>45043.980799698998</v>
      </c>
      <c r="B1094" s="1" t="str">
        <f ca="1">IFERROR(__xludf.DUMMYFUNCTION("""COMPUTED_VALUE"""),"India")</f>
        <v>India</v>
      </c>
      <c r="C1094" s="1">
        <f ca="1">IFERROR(__xludf.DUMMYFUNCTION("""COMPUTED_VALUE"""),502279)</f>
        <v>502279</v>
      </c>
      <c r="D1094" s="1" t="str">
        <f ca="1">IFERROR(__xludf.DUMMYFUNCTION("""COMPUTED_VALUE"""),"Female")</f>
        <v>Female</v>
      </c>
      <c r="E1094" s="1" t="str">
        <f ca="1">IFERROR(__xludf.DUMMYFUNCTION("""COMPUTED_VALUE"""),"People who have changed the world for better")</f>
        <v>People who have changed the world for better</v>
      </c>
      <c r="F1094" s="1" t="str">
        <f ca="1">IFERROR(__xludf.DUMMYFUNCTION("""COMPUTED_VALUE"""),"Yes, I will earn and do that")</f>
        <v>Yes, I will earn and do that</v>
      </c>
      <c r="G1094" s="1" t="str">
        <f ca="1">IFERROR(__xludf.DUMMYFUNCTION("""COMPUTED_VALUE"""),"Will work for 3 years or more")</f>
        <v>Will work for 3 years or more</v>
      </c>
      <c r="H1094" s="1" t="str">
        <f ca="1">IFERROR(__xludf.DUMMYFUNCTION("""COMPUTED_VALUE"""),"No")</f>
        <v>No</v>
      </c>
      <c r="I1094" s="1" t="str">
        <f ca="1">IFERROR(__xludf.DUMMYFUNCTION("""COMPUTED_VALUE"""),"Will NOT work for them")</f>
        <v>Will NOT work for them</v>
      </c>
      <c r="J1094" s="1">
        <f ca="1">IFERROR(__xludf.DUMMYFUNCTION("""COMPUTED_VALUE"""),7)</f>
        <v>7</v>
      </c>
      <c r="K1094" s="1" t="str">
        <f ca="1">IFERROR(__xludf.DUMMYFUNCTION("""COMPUTED_VALUE"""),"Hybrid Working Environment with more than 15 days a month at office")</f>
        <v>Hybrid Working Environment with more than 15 days a month at office</v>
      </c>
      <c r="L10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94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094" s="1" t="str">
        <f ca="1">IFERROR(__xludf.DUMMYFUNCTION("""COMPUTED_VALUE"""),"Design and Creative strategy in any company, Design and Develop amazing software, Work as a freelancer and do my thing my way, Become a content Creator in some platform")</f>
        <v>Design and Creative strategy in any company, Design and Develop amazing software, Work as a freelancer and do my thing my way, Become a content Creator in some platform</v>
      </c>
      <c r="O1094" s="1" t="str">
        <f ca="1">IFERROR(__xludf.DUMMYFUNCTION("""COMPUTED_VALUE"""),"Manager who sets goal and helps me achieve it")</f>
        <v>Manager who sets goal and helps me achieve it</v>
      </c>
      <c r="P1094" s="1" t="str">
        <f ca="1">IFERROR(__xludf.DUMMYFUNCTION("""COMPUTED_VALUE"""),"Work with 7 to 10 or more people in my team")</f>
        <v>Work with 7 to 10 or more people in my team</v>
      </c>
      <c r="Q1094" s="1" t="str">
        <f ca="1">IFERROR(__xludf.DUMMYFUNCTION("""COMPUTED_VALUE"""),"Yes")</f>
        <v>Yes</v>
      </c>
      <c r="R1094" s="1" t="str">
        <f ca="1">IFERROR(__xludf.DUMMYFUNCTION("""COMPUTED_VALUE"""),"This will be hard to do, but if it is the right company I would try")</f>
        <v>This will be hard to do, but if it is the right company I would try</v>
      </c>
      <c r="S1094" s="1"/>
    </row>
    <row r="1095" spans="1:19" ht="12.5" x14ac:dyDescent="0.25">
      <c r="A1095" s="2">
        <f ca="1">IFERROR(__xludf.DUMMYFUNCTION("""COMPUTED_VALUE"""),45043.9808260069)</f>
        <v>45043.980826006897</v>
      </c>
      <c r="B1095" s="1" t="str">
        <f ca="1">IFERROR(__xludf.DUMMYFUNCTION("""COMPUTED_VALUE"""),"India")</f>
        <v>India</v>
      </c>
      <c r="C1095" s="1">
        <f ca="1">IFERROR(__xludf.DUMMYFUNCTION("""COMPUTED_VALUE"""),500075)</f>
        <v>500075</v>
      </c>
      <c r="D1095" s="1" t="str">
        <f ca="1">IFERROR(__xludf.DUMMYFUNCTION("""COMPUTED_VALUE"""),"Female")</f>
        <v>Female</v>
      </c>
      <c r="E1095" s="1" t="str">
        <f ca="1">IFERROR(__xludf.DUMMYFUNCTION("""COMPUTED_VALUE"""),"Influencers who had successful careers")</f>
        <v>Influencers who had successful careers</v>
      </c>
      <c r="F1095" s="1" t="str">
        <f ca="1">IFERROR(__xludf.DUMMYFUNCTION("""COMPUTED_VALUE"""),"No I would not be pursuing Higher Education outside of India")</f>
        <v>No I would not be pursuing Higher Education outside of India</v>
      </c>
      <c r="G1095" s="1" t="str">
        <f ca="1">IFERROR(__xludf.DUMMYFUNCTION("""COMPUTED_VALUE"""),"This will be hard to do, but if it is the right company I would try")</f>
        <v>This will be hard to do, but if it is the right company I would try</v>
      </c>
      <c r="H1095" s="1" t="str">
        <f ca="1">IFERROR(__xludf.DUMMYFUNCTION("""COMPUTED_VALUE"""),"Yes")</f>
        <v>Yes</v>
      </c>
      <c r="I1095" s="1" t="str">
        <f ca="1">IFERROR(__xludf.DUMMYFUNCTION("""COMPUTED_VALUE"""),"Will work for them")</f>
        <v>Will work for them</v>
      </c>
      <c r="J1095" s="1">
        <f ca="1">IFERROR(__xludf.DUMMYFUNCTION("""COMPUTED_VALUE"""),3)</f>
        <v>3</v>
      </c>
      <c r="K1095" s="1" t="str">
        <f ca="1">IFERROR(__xludf.DUMMYFUNCTION("""COMPUTED_VALUE"""),"Hybrid Working Environment with less than 3 days a month at office")</f>
        <v>Hybrid Working Environment with less than 3 days a month at office</v>
      </c>
      <c r="L1095" s="1" t="str">
        <f ca="1">IFERROR(__xludf.DUMMYFUNCTION("""COMPUTED_VALUE"""),"Employer who appreciates learning and enables that environment")</f>
        <v>Employer who appreciates learning and enables that environment</v>
      </c>
      <c r="M109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095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095" s="1" t="str">
        <f ca="1">IFERROR(__xludf.DUMMYFUNCTION("""COMPUTED_VALUE"""),"Manager who sets targets and expects me to achieve it")</f>
        <v>Manager who sets targets and expects me to achieve it</v>
      </c>
      <c r="P1095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095" s="1" t="str">
        <f ca="1">IFERROR(__xludf.DUMMYFUNCTION("""COMPUTED_VALUE"""),"Yes, I Understand this is gonna happen everywhere")</f>
        <v>Yes, I Understand this is gonna happen everywhere</v>
      </c>
      <c r="R1095" s="1" t="str">
        <f ca="1">IFERROR(__xludf.DUMMYFUNCTION("""COMPUTED_VALUE"""),"No way")</f>
        <v>No way</v>
      </c>
      <c r="S1095" s="1"/>
    </row>
    <row r="1096" spans="1:19" ht="12.5" x14ac:dyDescent="0.25">
      <c r="A1096" s="2">
        <f ca="1">IFERROR(__xludf.DUMMYFUNCTION("""COMPUTED_VALUE"""),45043.9810652893)</f>
        <v>45043.981065289299</v>
      </c>
      <c r="B1096" s="1" t="str">
        <f ca="1">IFERROR(__xludf.DUMMYFUNCTION("""COMPUTED_VALUE"""),"India")</f>
        <v>India</v>
      </c>
      <c r="C1096" s="1">
        <f ca="1">IFERROR(__xludf.DUMMYFUNCTION("""COMPUTED_VALUE"""),679102)</f>
        <v>679102</v>
      </c>
      <c r="D1096" s="1" t="str">
        <f ca="1">IFERROR(__xludf.DUMMYFUNCTION("""COMPUTED_VALUE"""),"Female")</f>
        <v>Female</v>
      </c>
      <c r="E1096" s="1" t="str">
        <f ca="1">IFERROR(__xludf.DUMMYFUNCTION("""COMPUTED_VALUE"""),"People who have changed the world for better")</f>
        <v>People who have changed the world for better</v>
      </c>
      <c r="F1096" s="1" t="str">
        <f ca="1">IFERROR(__xludf.DUMMYFUNCTION("""COMPUTED_VALUE"""),"No I would not be pursuing Higher Education outside of India")</f>
        <v>No I would not be pursuing Higher Education outside of India</v>
      </c>
      <c r="G1096" s="1" t="str">
        <f ca="1">IFERROR(__xludf.DUMMYFUNCTION("""COMPUTED_VALUE"""),"This will be hard to do, but if it is the right company I would try")</f>
        <v>This will be hard to do, but if it is the right company I would try</v>
      </c>
      <c r="H1096" s="1" t="str">
        <f ca="1">IFERROR(__xludf.DUMMYFUNCTION("""COMPUTED_VALUE"""),"No")</f>
        <v>No</v>
      </c>
      <c r="I1096" s="1" t="str">
        <f ca="1">IFERROR(__xludf.DUMMYFUNCTION("""COMPUTED_VALUE"""),"Will NOT work for them")</f>
        <v>Will NOT work for them</v>
      </c>
      <c r="J1096" s="1">
        <f ca="1">IFERROR(__xludf.DUMMYFUNCTION("""COMPUTED_VALUE"""),1)</f>
        <v>1</v>
      </c>
      <c r="K1096" s="1" t="str">
        <f ca="1">IFERROR(__xludf.DUMMYFUNCTION("""COMPUTED_VALUE"""),"Hybrid Working Environment with less than 3 days a month at office")</f>
        <v>Hybrid Working Environment with less than 3 days a month at office</v>
      </c>
      <c r="L10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9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096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1096" s="1" t="str">
        <f ca="1">IFERROR(__xludf.DUMMYFUNCTION("""COMPUTED_VALUE"""),"Manager who explains what is expected, sets a goal and helps achieve it")</f>
        <v>Manager who explains what is expected, sets a goal and helps achieve it</v>
      </c>
      <c r="P1096" s="1" t="str">
        <f ca="1">IFERROR(__xludf.DUMMYFUNCTION("""COMPUTED_VALUE"""),"Work with 2 to 3 people in my team")</f>
        <v>Work with 2 to 3 people in my team</v>
      </c>
      <c r="Q1096" s="1" t="str">
        <f ca="1">IFERROR(__xludf.DUMMYFUNCTION("""COMPUTED_VALUE"""),"Yes, I Understand this is gonna happen everywhere")</f>
        <v>Yes, I Understand this is gonna happen everywhere</v>
      </c>
      <c r="R1096" s="1" t="str">
        <f ca="1">IFERROR(__xludf.DUMMYFUNCTION("""COMPUTED_VALUE"""),"This will be hard to do, but if it is the right company I would try")</f>
        <v>This will be hard to do, but if it is the right company I would try</v>
      </c>
      <c r="S1096" s="1"/>
    </row>
    <row r="1097" spans="1:19" ht="12.5" x14ac:dyDescent="0.25">
      <c r="A1097" s="2">
        <f ca="1">IFERROR(__xludf.DUMMYFUNCTION("""COMPUTED_VALUE"""),45043.9810679745)</f>
        <v>45043.981067974499</v>
      </c>
      <c r="B1097" s="1" t="str">
        <f ca="1">IFERROR(__xludf.DUMMYFUNCTION("""COMPUTED_VALUE"""),"India")</f>
        <v>India</v>
      </c>
      <c r="C1097" s="1">
        <f ca="1">IFERROR(__xludf.DUMMYFUNCTION("""COMPUTED_VALUE"""),533222)</f>
        <v>533222</v>
      </c>
      <c r="D1097" s="1" t="str">
        <f ca="1">IFERROR(__xludf.DUMMYFUNCTION("""COMPUTED_VALUE"""),"Female")</f>
        <v>Female</v>
      </c>
      <c r="E1097" s="1" t="str">
        <f ca="1">IFERROR(__xludf.DUMMYFUNCTION("""COMPUTED_VALUE"""),"My Parents")</f>
        <v>My Parents</v>
      </c>
      <c r="F1097" s="1" t="str">
        <f ca="1">IFERROR(__xludf.DUMMYFUNCTION("""COMPUTED_VALUE"""),"No, But if someone could bare the cost I will")</f>
        <v>No, But if someone could bare the cost I will</v>
      </c>
      <c r="G1097" s="1" t="str">
        <f ca="1">IFERROR(__xludf.DUMMYFUNCTION("""COMPUTED_VALUE"""),"Will work for 3 years or more")</f>
        <v>Will work for 3 years or more</v>
      </c>
      <c r="H1097" s="1" t="str">
        <f ca="1">IFERROR(__xludf.DUMMYFUNCTION("""COMPUTED_VALUE"""),"Yes")</f>
        <v>Yes</v>
      </c>
      <c r="I1097" s="1" t="str">
        <f ca="1">IFERROR(__xludf.DUMMYFUNCTION("""COMPUTED_VALUE"""),"Will NOT work for them")</f>
        <v>Will NOT work for them</v>
      </c>
      <c r="J1097" s="1">
        <f ca="1">IFERROR(__xludf.DUMMYFUNCTION("""COMPUTED_VALUE"""),8)</f>
        <v>8</v>
      </c>
      <c r="K1097" s="1" t="str">
        <f ca="1">IFERROR(__xludf.DUMMYFUNCTION("""COMPUTED_VALUE"""),"Fully Remote with Options to travel as and when needed")</f>
        <v>Fully Remote with Options to travel as and when needed</v>
      </c>
      <c r="L1097" s="1" t="str">
        <f ca="1">IFERROR(__xludf.DUMMYFUNCTION("""COMPUTED_VALUE"""),"Employer who rewards learning and enables that environment")</f>
        <v>Employer who rewards learning and enables that environment</v>
      </c>
      <c r="M109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097" s="1" t="str">
        <f ca="1">IFERROR(__xludf.DUMMYFUNCTION("""COMPUTED_VALUE"""),"Design and Creative strategy in any company, Build and develop a Team, Work as a freelancer and do my thing my way, An Artificial Intelligence Specialist / Talking to Robots")</f>
        <v>Design and Creative strategy in any company, Build and develop a Team, Work as a freelancer and do my thing my way, An Artificial Intelligence Specialist / Talking to Robots</v>
      </c>
      <c r="O1097" s="1" t="str">
        <f ca="1">IFERROR(__xludf.DUMMYFUNCTION("""COMPUTED_VALUE"""),"Manager who explains what is expected, sets a goal and helps achieve it")</f>
        <v>Manager who explains what is expected, sets a goal and helps achieve it</v>
      </c>
      <c r="P1097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1097" s="1" t="str">
        <f ca="1">IFERROR(__xludf.DUMMYFUNCTION("""COMPUTED_VALUE"""),"Yes, I Understand this is gonna happen everywhere")</f>
        <v>Yes, I Understand this is gonna happen everywhere</v>
      </c>
      <c r="R1097" s="1" t="str">
        <f ca="1">IFERROR(__xludf.DUMMYFUNCTION("""COMPUTED_VALUE"""),"This will be hard to do, but if it is the right company I would try")</f>
        <v>This will be hard to do, but if it is the right company I would try</v>
      </c>
      <c r="S1097" s="1"/>
    </row>
    <row r="1098" spans="1:19" ht="12.5" x14ac:dyDescent="0.25">
      <c r="A1098" s="2">
        <f ca="1">IFERROR(__xludf.DUMMYFUNCTION("""COMPUTED_VALUE"""),45043.9814858449)</f>
        <v>45043.981485844903</v>
      </c>
      <c r="B1098" s="1" t="str">
        <f ca="1">IFERROR(__xludf.DUMMYFUNCTION("""COMPUTED_VALUE"""),"India")</f>
        <v>India</v>
      </c>
      <c r="C1098" s="1">
        <f ca="1">IFERROR(__xludf.DUMMYFUNCTION("""COMPUTED_VALUE"""),768017)</f>
        <v>768017</v>
      </c>
      <c r="D1098" s="1" t="str">
        <f ca="1">IFERROR(__xludf.DUMMYFUNCTION("""COMPUTED_VALUE"""),"Male")</f>
        <v>Male</v>
      </c>
      <c r="E1098" s="1" t="str">
        <f ca="1">IFERROR(__xludf.DUMMYFUNCTION("""COMPUTED_VALUE"""),"People from my circle, but not family members")</f>
        <v>People from my circle, but not family members</v>
      </c>
      <c r="F1098" s="1" t="str">
        <f ca="1">IFERROR(__xludf.DUMMYFUNCTION("""COMPUTED_VALUE"""),"Yes, I will earn and do that")</f>
        <v>Yes, I will earn and do that</v>
      </c>
      <c r="G1098" s="1" t="str">
        <f ca="1">IFERROR(__xludf.DUMMYFUNCTION("""COMPUTED_VALUE"""),"Will work for 3 years or more")</f>
        <v>Will work for 3 years or more</v>
      </c>
      <c r="H1098" s="1" t="str">
        <f ca="1">IFERROR(__xludf.DUMMYFUNCTION("""COMPUTED_VALUE"""),"No")</f>
        <v>No</v>
      </c>
      <c r="I1098" s="1" t="str">
        <f ca="1">IFERROR(__xludf.DUMMYFUNCTION("""COMPUTED_VALUE"""),"Will NOT work for them")</f>
        <v>Will NOT work for them</v>
      </c>
      <c r="J1098" s="1">
        <f ca="1">IFERROR(__xludf.DUMMYFUNCTION("""COMPUTED_VALUE"""),5)</f>
        <v>5</v>
      </c>
      <c r="K1098" s="1" t="str">
        <f ca="1">IFERROR(__xludf.DUMMYFUNCTION("""COMPUTED_VALUE"""),"Fully Remote with Options to travel as and when needed")</f>
        <v>Fully Remote with Options to travel as and when needed</v>
      </c>
      <c r="L1098" s="1" t="str">
        <f ca="1">IFERROR(__xludf.DUMMYFUNCTION("""COMPUTED_VALUE"""),"Employer who rewards learning and enables that environment")</f>
        <v>Employer who rewards learning and enables that environment</v>
      </c>
      <c r="M109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098" s="1" t="str">
        <f ca="1">IFERROR(__xludf.DUMMYFUNCTION("""COMPUTED_VALUE"""),"Teaching in any of the institutes/colleges/online or offline, Business Operations in any organization, Build and develop a Team, Look deeply into Data and generate insights")</f>
        <v>Teaching in any of the institutes/colleges/online or offline, Business Operations in any organization, Build and develop a Team, Look deeply into Data and generate insights</v>
      </c>
      <c r="O10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098" s="1" t="str">
        <f ca="1">IFERROR(__xludf.DUMMYFUNCTION("""COMPUTED_VALUE"""),"Work with 2 to 3 people in my team")</f>
        <v>Work with 2 to 3 people in my team</v>
      </c>
      <c r="Q1098" s="1" t="str">
        <f ca="1">IFERROR(__xludf.DUMMYFUNCTION("""COMPUTED_VALUE"""),"Yes, I Understand this is gonna happen everywhere")</f>
        <v>Yes, I Understand this is gonna happen everywhere</v>
      </c>
      <c r="R1098" s="1" t="str">
        <f ca="1">IFERROR(__xludf.DUMMYFUNCTION("""COMPUTED_VALUE"""),"This will be hard to do, but if it is the right company I would try")</f>
        <v>This will be hard to do, but if it is the right company I would try</v>
      </c>
      <c r="S1098" s="1"/>
    </row>
    <row r="1099" spans="1:19" ht="12.5" x14ac:dyDescent="0.25">
      <c r="A1099" s="2">
        <f ca="1">IFERROR(__xludf.DUMMYFUNCTION("""COMPUTED_VALUE"""),45043.9840046759)</f>
        <v>45043.984004675898</v>
      </c>
      <c r="B1099" s="1" t="str">
        <f ca="1">IFERROR(__xludf.DUMMYFUNCTION("""COMPUTED_VALUE"""),"India")</f>
        <v>India</v>
      </c>
      <c r="C1099" s="1">
        <f ca="1">IFERROR(__xludf.DUMMYFUNCTION("""COMPUTED_VALUE"""),500006)</f>
        <v>500006</v>
      </c>
      <c r="D1099" s="1" t="str">
        <f ca="1">IFERROR(__xludf.DUMMYFUNCTION("""COMPUTED_VALUE"""),"Female")</f>
        <v>Female</v>
      </c>
      <c r="E1099" s="1" t="str">
        <f ca="1">IFERROR(__xludf.DUMMYFUNCTION("""COMPUTED_VALUE"""),"My Parents")</f>
        <v>My Parents</v>
      </c>
      <c r="F1099" s="1" t="str">
        <f ca="1">IFERROR(__xludf.DUMMYFUNCTION("""COMPUTED_VALUE"""),"No I would not be pursuing Higher Education outside of India")</f>
        <v>No I would not be pursuing Higher Education outside of India</v>
      </c>
      <c r="G1099" s="1" t="str">
        <f ca="1">IFERROR(__xludf.DUMMYFUNCTION("""COMPUTED_VALUE"""),"Will work for 3 years or more")</f>
        <v>Will work for 3 years or more</v>
      </c>
      <c r="H1099" s="1" t="str">
        <f ca="1">IFERROR(__xludf.DUMMYFUNCTION("""COMPUTED_VALUE"""),"Yes")</f>
        <v>Yes</v>
      </c>
      <c r="I1099" s="1" t="str">
        <f ca="1">IFERROR(__xludf.DUMMYFUNCTION("""COMPUTED_VALUE"""),"Will NOT work for them")</f>
        <v>Will NOT work for them</v>
      </c>
      <c r="J1099" s="1">
        <f ca="1">IFERROR(__xludf.DUMMYFUNCTION("""COMPUTED_VALUE"""),6)</f>
        <v>6</v>
      </c>
      <c r="K1099" s="1" t="str">
        <f ca="1">IFERROR(__xludf.DUMMYFUNCTION("""COMPUTED_VALUE"""),"Fully Remote with Options to travel as and when needed")</f>
        <v>Fully Remote with Options to travel as and when needed</v>
      </c>
      <c r="L10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09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099" s="1" t="str">
        <f ca="1">IFERROR(__xludf.DUMMYFUNCTION("""COMPUTED_VALUE"""),"Design and Creative strategy in any company, Manage and drive End-to-End Projects or Products, Work as a freelancer and do my thing my way, An Artificial Intelligence Specialist / Talking to Robots")</f>
        <v>Design and Creative strategy in any company, Manage and drive End-to-End Projects or Products, Work as a freelancer and do my thing my way, An Artificial Intelligence Specialist / Talking to Robots</v>
      </c>
      <c r="O1099" s="1" t="str">
        <f ca="1">IFERROR(__xludf.DUMMYFUNCTION("""COMPUTED_VALUE"""),"Manager who explains what is expected, sets a goal and helps achieve it")</f>
        <v>Manager who explains what is expected, sets a goal and helps achieve it</v>
      </c>
      <c r="P1099" s="1" t="str">
        <f ca="1">IFERROR(__xludf.DUMMYFUNCTION("""COMPUTED_VALUE"""),"Work with 2 to 3 people in my team")</f>
        <v>Work with 2 to 3 people in my team</v>
      </c>
      <c r="Q1099" s="1" t="str">
        <f ca="1">IFERROR(__xludf.DUMMYFUNCTION("""COMPUTED_VALUE"""),"Yes, I Understand this is gonna happen everywhere")</f>
        <v>Yes, I Understand this is gonna happen everywhere</v>
      </c>
      <c r="R1099" s="1" t="str">
        <f ca="1">IFERROR(__xludf.DUMMYFUNCTION("""COMPUTED_VALUE"""),"This will be hard to do, but if it is the right company I would try")</f>
        <v>This will be hard to do, but if it is the right company I would try</v>
      </c>
      <c r="S1099" s="1"/>
    </row>
    <row r="1100" spans="1:19" ht="12.5" x14ac:dyDescent="0.25">
      <c r="A1100" s="2">
        <f ca="1">IFERROR(__xludf.DUMMYFUNCTION("""COMPUTED_VALUE"""),45043.9889055902)</f>
        <v>45043.988905590202</v>
      </c>
      <c r="B1100" s="1" t="str">
        <f ca="1">IFERROR(__xludf.DUMMYFUNCTION("""COMPUTED_VALUE"""),"India")</f>
        <v>India</v>
      </c>
      <c r="C1100" s="1">
        <f ca="1">IFERROR(__xludf.DUMMYFUNCTION("""COMPUTED_VALUE"""),440035)</f>
        <v>440035</v>
      </c>
      <c r="D1100" s="1" t="str">
        <f ca="1">IFERROR(__xludf.DUMMYFUNCTION("""COMPUTED_VALUE"""),"Female")</f>
        <v>Female</v>
      </c>
      <c r="E1100" s="1" t="str">
        <f ca="1">IFERROR(__xludf.DUMMYFUNCTION("""COMPUTED_VALUE"""),"Social Media like LinkedIn")</f>
        <v>Social Media like LinkedIn</v>
      </c>
      <c r="F1100" s="1" t="str">
        <f ca="1">IFERROR(__xludf.DUMMYFUNCTION("""COMPUTED_VALUE"""),"No, But if someone could bare the cost I will")</f>
        <v>No, But if someone could bare the cost I will</v>
      </c>
      <c r="G1100" s="1" t="str">
        <f ca="1">IFERROR(__xludf.DUMMYFUNCTION("""COMPUTED_VALUE"""),"This will be hard to do, but if it is the right company I would try")</f>
        <v>This will be hard to do, but if it is the right company I would try</v>
      </c>
      <c r="H1100" s="1" t="str">
        <f ca="1">IFERROR(__xludf.DUMMYFUNCTION("""COMPUTED_VALUE"""),"No")</f>
        <v>No</v>
      </c>
      <c r="I1100" s="1" t="str">
        <f ca="1">IFERROR(__xludf.DUMMYFUNCTION("""COMPUTED_VALUE"""),"Will NOT work for them")</f>
        <v>Will NOT work for them</v>
      </c>
      <c r="J1100" s="1">
        <f ca="1">IFERROR(__xludf.DUMMYFUNCTION("""COMPUTED_VALUE"""),8)</f>
        <v>8</v>
      </c>
      <c r="K1100" s="1" t="str">
        <f ca="1">IFERROR(__xludf.DUMMYFUNCTION("""COMPUTED_VALUE"""),"Hybrid Working Environment with less than 3 days a month at office")</f>
        <v>Hybrid Working Environment with less than 3 days a month at office</v>
      </c>
      <c r="L11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0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00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1100" s="1" t="str">
        <f ca="1">IFERROR(__xludf.DUMMYFUNCTION("""COMPUTED_VALUE"""),"Manager who explains what is expected, sets a goal and helps achieve it")</f>
        <v>Manager who explains what is expected, sets a goal and helps achieve it</v>
      </c>
      <c r="P1100" s="1" t="str">
        <f ca="1">IFERROR(__xludf.DUMMYFUNCTION("""COMPUTED_VALUE"""),"Work with 5 to 6 people in my team")</f>
        <v>Work with 5 to 6 people in my team</v>
      </c>
      <c r="Q1100" s="1" t="str">
        <f ca="1">IFERROR(__xludf.DUMMYFUNCTION("""COMPUTED_VALUE"""),"No")</f>
        <v>No</v>
      </c>
      <c r="R1100" s="1" t="str">
        <f ca="1">IFERROR(__xludf.DUMMYFUNCTION("""COMPUTED_VALUE"""),"This will be hard to do, but if it is the right company I would try")</f>
        <v>This will be hard to do, but if it is the right company I would try</v>
      </c>
      <c r="S1100" s="1"/>
    </row>
    <row r="1101" spans="1:19" ht="12.5" x14ac:dyDescent="0.25">
      <c r="A1101" s="2">
        <f ca="1">IFERROR(__xludf.DUMMYFUNCTION("""COMPUTED_VALUE"""),45043.9896493981)</f>
        <v>45043.9896493981</v>
      </c>
      <c r="B1101" s="1" t="str">
        <f ca="1">IFERROR(__xludf.DUMMYFUNCTION("""COMPUTED_VALUE"""),"India")</f>
        <v>India</v>
      </c>
      <c r="C1101" s="1">
        <f ca="1">IFERROR(__xludf.DUMMYFUNCTION("""COMPUTED_VALUE"""),390023)</f>
        <v>390023</v>
      </c>
      <c r="D1101" s="1" t="str">
        <f ca="1">IFERROR(__xludf.DUMMYFUNCTION("""COMPUTED_VALUE"""),"Male")</f>
        <v>Male</v>
      </c>
      <c r="E1101" s="1" t="str">
        <f ca="1">IFERROR(__xludf.DUMMYFUNCTION("""COMPUTED_VALUE"""),"Influencers who had successful careers")</f>
        <v>Influencers who had successful careers</v>
      </c>
      <c r="F1101" s="1" t="str">
        <f ca="1">IFERROR(__xludf.DUMMYFUNCTION("""COMPUTED_VALUE"""),"No I would not be pursuing Higher Education outside of India")</f>
        <v>No I would not be pursuing Higher Education outside of India</v>
      </c>
      <c r="G1101" s="1" t="str">
        <f ca="1">IFERROR(__xludf.DUMMYFUNCTION("""COMPUTED_VALUE"""),"This will be hard to do, but if it is the right company I would try")</f>
        <v>This will be hard to do, but if it is the right company I would try</v>
      </c>
      <c r="H1101" s="1" t="str">
        <f ca="1">IFERROR(__xludf.DUMMYFUNCTION("""COMPUTED_VALUE"""),"Yes")</f>
        <v>Yes</v>
      </c>
      <c r="I1101" s="1" t="str">
        <f ca="1">IFERROR(__xludf.DUMMYFUNCTION("""COMPUTED_VALUE"""),"Will work for them")</f>
        <v>Will work for them</v>
      </c>
      <c r="J1101" s="1">
        <f ca="1">IFERROR(__xludf.DUMMYFUNCTION("""COMPUTED_VALUE"""),8)</f>
        <v>8</v>
      </c>
      <c r="K1101" s="1" t="str">
        <f ca="1">IFERROR(__xludf.DUMMYFUNCTION("""COMPUTED_VALUE"""),"Hybrid Working Environment with more than 15 days a month at office")</f>
        <v>Hybrid Working Environment with more than 15 days a month at office</v>
      </c>
      <c r="L11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0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101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1101" s="1" t="str">
        <f ca="1">IFERROR(__xludf.DUMMYFUNCTION("""COMPUTED_VALUE"""),"Manager who explains what is expected, sets a goal and helps achieve it")</f>
        <v>Manager who explains what is expected, sets a goal and helps achieve it</v>
      </c>
      <c r="P1101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101" s="1" t="str">
        <f ca="1">IFERROR(__xludf.DUMMYFUNCTION("""COMPUTED_VALUE"""),"Yes, I Understand this is gonna happen everywhere")</f>
        <v>Yes, I Understand this is gonna happen everywhere</v>
      </c>
      <c r="R1101" s="1" t="str">
        <f ca="1">IFERROR(__xludf.DUMMYFUNCTION("""COMPUTED_VALUE"""),"This will be hard to do, but if it is the right company I would try")</f>
        <v>This will be hard to do, but if it is the right company I would try</v>
      </c>
      <c r="S1101" s="1"/>
    </row>
    <row r="1102" spans="1:19" ht="12.5" x14ac:dyDescent="0.25">
      <c r="A1102" s="2">
        <f ca="1">IFERROR(__xludf.DUMMYFUNCTION("""COMPUTED_VALUE"""),45043.992150081)</f>
        <v>45043.992150081001</v>
      </c>
      <c r="B1102" s="1" t="str">
        <f ca="1">IFERROR(__xludf.DUMMYFUNCTION("""COMPUTED_VALUE"""),"India")</f>
        <v>India</v>
      </c>
      <c r="C1102" s="1">
        <f ca="1">IFERROR(__xludf.DUMMYFUNCTION("""COMPUTED_VALUE"""),440024)</f>
        <v>440024</v>
      </c>
      <c r="D1102" s="1" t="str">
        <f ca="1">IFERROR(__xludf.DUMMYFUNCTION("""COMPUTED_VALUE"""),"Male")</f>
        <v>Male</v>
      </c>
      <c r="E1102" s="1" t="str">
        <f ca="1">IFERROR(__xludf.DUMMYFUNCTION("""COMPUTED_VALUE"""),"Social Media like LinkedIn")</f>
        <v>Social Media like LinkedIn</v>
      </c>
      <c r="F1102" s="1" t="str">
        <f ca="1">IFERROR(__xludf.DUMMYFUNCTION("""COMPUTED_VALUE"""),"No I would not be pursuing Higher Education outside of India")</f>
        <v>No I would not be pursuing Higher Education outside of India</v>
      </c>
      <c r="G1102" s="1" t="str">
        <f ca="1">IFERROR(__xludf.DUMMYFUNCTION("""COMPUTED_VALUE"""),"Will work for 3 years or more")</f>
        <v>Will work for 3 years or more</v>
      </c>
      <c r="H1102" s="1" t="str">
        <f ca="1">IFERROR(__xludf.DUMMYFUNCTION("""COMPUTED_VALUE"""),"No")</f>
        <v>No</v>
      </c>
      <c r="I1102" s="1" t="str">
        <f ca="1">IFERROR(__xludf.DUMMYFUNCTION("""COMPUTED_VALUE"""),"Will NOT work for them")</f>
        <v>Will NOT work for them</v>
      </c>
      <c r="J1102" s="1">
        <f ca="1">IFERROR(__xludf.DUMMYFUNCTION("""COMPUTED_VALUE"""),5)</f>
        <v>5</v>
      </c>
      <c r="K1102" s="1" t="str">
        <f ca="1">IFERROR(__xludf.DUMMYFUNCTION("""COMPUTED_VALUE"""),"Fully Remote with Options to travel as and when needed")</f>
        <v>Fully Remote with Options to travel as and when needed</v>
      </c>
      <c r="L1102" s="1" t="str">
        <f ca="1">IFERROR(__xludf.DUMMYFUNCTION("""COMPUTED_VALUE"""),"Employer who rewards learning and enables that environment")</f>
        <v>Employer who rewards learning and enables that environment</v>
      </c>
      <c r="M1102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102" s="1" t="str">
        <f ca="1">IFERROR(__xludf.DUMMYFUNCTION("""COMPUTED_VALUE"""),"Design and Creative strategy in any company, Business Operations in any organization, Design and Develop amazing software, Work as a freelancer and do my thing my way")</f>
        <v>Design and Creative strategy in any company, Business Operations in any organization, Design and Develop amazing software, Work as a freelancer and do my thing my way</v>
      </c>
      <c r="O11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102" s="1" t="str">
        <f ca="1">IFERROR(__xludf.DUMMYFUNCTION("""COMPUTED_VALUE"""),"Work with 2 to 3 people in my team, Work with 5 to 6 people in my team")</f>
        <v>Work with 2 to 3 people in my team, Work with 5 to 6 people in my team</v>
      </c>
      <c r="Q1102" s="1" t="str">
        <f ca="1">IFERROR(__xludf.DUMMYFUNCTION("""COMPUTED_VALUE"""),"Yes, I Understand this is gonna happen everywhere")</f>
        <v>Yes, I Understand this is gonna happen everywhere</v>
      </c>
      <c r="R1102" s="1" t="str">
        <f ca="1">IFERROR(__xludf.DUMMYFUNCTION("""COMPUTED_VALUE"""),"This will be hard to do, but if it is the right company I would try")</f>
        <v>This will be hard to do, but if it is the right company I would try</v>
      </c>
      <c r="S1102" s="1"/>
    </row>
    <row r="1103" spans="1:19" ht="12.5" x14ac:dyDescent="0.25">
      <c r="A1103" s="2">
        <f ca="1">IFERROR(__xludf.DUMMYFUNCTION("""COMPUTED_VALUE"""),45043.9933065625)</f>
        <v>45043.993306562501</v>
      </c>
      <c r="B1103" s="1" t="str">
        <f ca="1">IFERROR(__xludf.DUMMYFUNCTION("""COMPUTED_VALUE"""),"India")</f>
        <v>India</v>
      </c>
      <c r="C1103" s="1">
        <f ca="1">IFERROR(__xludf.DUMMYFUNCTION("""COMPUTED_VALUE"""),509110)</f>
        <v>509110</v>
      </c>
      <c r="D1103" s="1" t="str">
        <f ca="1">IFERROR(__xludf.DUMMYFUNCTION("""COMPUTED_VALUE"""),"Female")</f>
        <v>Female</v>
      </c>
      <c r="E1103" s="1" t="str">
        <f ca="1">IFERROR(__xludf.DUMMYFUNCTION("""COMPUTED_VALUE"""),"My Parents")</f>
        <v>My Parents</v>
      </c>
      <c r="F1103" s="1" t="str">
        <f ca="1">IFERROR(__xludf.DUMMYFUNCTION("""COMPUTED_VALUE"""),"Yes, I will earn and do that")</f>
        <v>Yes, I will earn and do that</v>
      </c>
      <c r="G1103" s="1" t="str">
        <f ca="1">IFERROR(__xludf.DUMMYFUNCTION("""COMPUTED_VALUE"""),"Will work for 3 years or more")</f>
        <v>Will work for 3 years or more</v>
      </c>
      <c r="H1103" s="1" t="str">
        <f ca="1">IFERROR(__xludf.DUMMYFUNCTION("""COMPUTED_VALUE"""),"Yes")</f>
        <v>Yes</v>
      </c>
      <c r="I1103" s="1" t="str">
        <f ca="1">IFERROR(__xludf.DUMMYFUNCTION("""COMPUTED_VALUE"""),"Will work for them")</f>
        <v>Will work for them</v>
      </c>
      <c r="J1103" s="1">
        <f ca="1">IFERROR(__xludf.DUMMYFUNCTION("""COMPUTED_VALUE"""),10)</f>
        <v>10</v>
      </c>
      <c r="K1103" s="1" t="str">
        <f ca="1">IFERROR(__xludf.DUMMYFUNCTION("""COMPUTED_VALUE"""),"Fully Remote with No option to visit offices")</f>
        <v>Fully Remote with No option to visit offices</v>
      </c>
      <c r="L1103" s="1" t="str">
        <f ca="1">IFERROR(__xludf.DUMMYFUNCTION("""COMPUTED_VALUE"""),"Employer who appreciates learning and enables that environment")</f>
        <v>Employer who appreciates learning and enables that environment</v>
      </c>
      <c r="M110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03" s="1" t="str">
        <f ca="1">IFERROR(__xludf.DUMMYFUNCTION("""COMPUTED_VALUE"""),"Design and Creative strategy in any company, Business Operations in any organization, Work in a BPO setup for some well known client, Entrepreneur or Start Up")</f>
        <v>Design and Creative strategy in any company, Business Operations in any organization, Work in a BPO setup for some well known client, Entrepreneur or Start Up</v>
      </c>
      <c r="O1103" s="1" t="str">
        <f ca="1">IFERROR(__xludf.DUMMYFUNCTION("""COMPUTED_VALUE"""),"Manager who clearly describes what she/he needs")</f>
        <v>Manager who clearly describes what she/he needs</v>
      </c>
      <c r="P1103" s="1" t="str">
        <f ca="1">IFERROR(__xludf.DUMMYFUNCTION("""COMPUTED_VALUE"""),"Work alone")</f>
        <v>Work alone</v>
      </c>
      <c r="Q1103" s="1" t="str">
        <f ca="1">IFERROR(__xludf.DUMMYFUNCTION("""COMPUTED_VALUE"""),"Yes")</f>
        <v>Yes</v>
      </c>
      <c r="R1103" s="1" t="str">
        <f ca="1">IFERROR(__xludf.DUMMYFUNCTION("""COMPUTED_VALUE"""),"Will work for 7 years or more")</f>
        <v>Will work for 7 years or more</v>
      </c>
      <c r="S1103" s="1"/>
    </row>
    <row r="1104" spans="1:19" ht="12.5" x14ac:dyDescent="0.25">
      <c r="A1104" s="2">
        <f ca="1">IFERROR(__xludf.DUMMYFUNCTION("""COMPUTED_VALUE"""),45043.9933990856)</f>
        <v>45043.993399085601</v>
      </c>
      <c r="B1104" s="1" t="str">
        <f ca="1">IFERROR(__xludf.DUMMYFUNCTION("""COMPUTED_VALUE"""),"India")</f>
        <v>India</v>
      </c>
      <c r="C1104" s="1">
        <f ca="1">IFERROR(__xludf.DUMMYFUNCTION("""COMPUTED_VALUE"""),679101)</f>
        <v>679101</v>
      </c>
      <c r="D1104" s="1" t="str">
        <f ca="1">IFERROR(__xludf.DUMMYFUNCTION("""COMPUTED_VALUE"""),"Male")</f>
        <v>Male</v>
      </c>
      <c r="E1104" s="1" t="str">
        <f ca="1">IFERROR(__xludf.DUMMYFUNCTION("""COMPUTED_VALUE"""),"People from my circle, but not family members")</f>
        <v>People from my circle, but not family members</v>
      </c>
      <c r="F1104" s="1" t="str">
        <f ca="1">IFERROR(__xludf.DUMMYFUNCTION("""COMPUTED_VALUE"""),"No, But if someone could bare the cost I will")</f>
        <v>No, But if someone could bare the cost I will</v>
      </c>
      <c r="G1104" s="1" t="str">
        <f ca="1">IFERROR(__xludf.DUMMYFUNCTION("""COMPUTED_VALUE"""),"This will be hard to do, but if it is the right company I would try")</f>
        <v>This will be hard to do, but if it is the right company I would try</v>
      </c>
      <c r="H1104" s="1" t="str">
        <f ca="1">IFERROR(__xludf.DUMMYFUNCTION("""COMPUTED_VALUE"""),"No")</f>
        <v>No</v>
      </c>
      <c r="I1104" s="1" t="str">
        <f ca="1">IFERROR(__xludf.DUMMYFUNCTION("""COMPUTED_VALUE"""),"Will NOT work for them")</f>
        <v>Will NOT work for them</v>
      </c>
      <c r="J1104" s="1">
        <f ca="1">IFERROR(__xludf.DUMMYFUNCTION("""COMPUTED_VALUE"""),5)</f>
        <v>5</v>
      </c>
      <c r="K1104" s="1" t="str">
        <f ca="1">IFERROR(__xludf.DUMMYFUNCTION("""COMPUTED_VALUE"""),"Hybrid Working Environment with more than 15 days a month at office")</f>
        <v>Hybrid Working Environment with more than 15 days a month at office</v>
      </c>
      <c r="L1104" s="1" t="str">
        <f ca="1">IFERROR(__xludf.DUMMYFUNCTION("""COMPUTED_VALUE"""),"Employer who rewards learning and enables that environment")</f>
        <v>Employer who rewards learning and enables that environment</v>
      </c>
      <c r="M110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04" s="1" t="str">
        <f ca="1">IFERROR(__xludf.DUMMYFUNCTION("""COMPUTED_VALUE"""),"Teaching in any of the institutes/colleges/online or offline, Build and develop a Team, Look deeply into Data and generate insights, Work in a BPO setup for some well known client")</f>
        <v>Teaching in any of the institutes/colleges/online or offline, Build and develop a Team, Look deeply into Data and generate insights, Work in a BPO setup for some well known client</v>
      </c>
      <c r="O1104" s="1" t="str">
        <f ca="1">IFERROR(__xludf.DUMMYFUNCTION("""COMPUTED_VALUE"""),"Manager who explains what is expected, sets a goal and helps achieve it")</f>
        <v>Manager who explains what is expected, sets a goal and helps achieve it</v>
      </c>
      <c r="P1104" s="1" t="str">
        <f ca="1">IFERROR(__xludf.DUMMYFUNCTION("""COMPUTED_VALUE"""),"Work with 2 to 3 people in my team")</f>
        <v>Work with 2 to 3 people in my team</v>
      </c>
      <c r="Q1104" s="1" t="str">
        <f ca="1">IFERROR(__xludf.DUMMYFUNCTION("""COMPUTED_VALUE"""),"I have NO other choice")</f>
        <v>I have NO other choice</v>
      </c>
      <c r="R1104" s="1" t="str">
        <f ca="1">IFERROR(__xludf.DUMMYFUNCTION("""COMPUTED_VALUE"""),"This will be hard to do, but if it is the right company I would try")</f>
        <v>This will be hard to do, but if it is the right company I would try</v>
      </c>
      <c r="S1104" s="1"/>
    </row>
    <row r="1105" spans="1:19" ht="12.5" x14ac:dyDescent="0.25">
      <c r="A1105" s="2">
        <f ca="1">IFERROR(__xludf.DUMMYFUNCTION("""COMPUTED_VALUE"""),45043.9935000925)</f>
        <v>45043.993500092503</v>
      </c>
      <c r="B1105" s="1" t="str">
        <f ca="1">IFERROR(__xludf.DUMMYFUNCTION("""COMPUTED_VALUE"""),"India")</f>
        <v>India</v>
      </c>
      <c r="C1105" s="1">
        <f ca="1">IFERROR(__xludf.DUMMYFUNCTION("""COMPUTED_VALUE"""),535145)</f>
        <v>535145</v>
      </c>
      <c r="D1105" s="1" t="str">
        <f ca="1">IFERROR(__xludf.DUMMYFUNCTION("""COMPUTED_VALUE"""),"Male")</f>
        <v>Male</v>
      </c>
      <c r="E1105" s="1" t="str">
        <f ca="1">IFERROR(__xludf.DUMMYFUNCTION("""COMPUTED_VALUE"""),"My Parents")</f>
        <v>My Parents</v>
      </c>
      <c r="F1105" s="1" t="str">
        <f ca="1">IFERROR(__xludf.DUMMYFUNCTION("""COMPUTED_VALUE"""),"No I would not be pursuing Higher Education outside of India")</f>
        <v>No I would not be pursuing Higher Education outside of India</v>
      </c>
      <c r="G1105" s="1" t="str">
        <f ca="1">IFERROR(__xludf.DUMMYFUNCTION("""COMPUTED_VALUE"""),"Will work for 3 years or more")</f>
        <v>Will work for 3 years or more</v>
      </c>
      <c r="H1105" s="1" t="str">
        <f ca="1">IFERROR(__xludf.DUMMYFUNCTION("""COMPUTED_VALUE"""),"No")</f>
        <v>No</v>
      </c>
      <c r="I1105" s="1" t="str">
        <f ca="1">IFERROR(__xludf.DUMMYFUNCTION("""COMPUTED_VALUE"""),"Will NOT work for them")</f>
        <v>Will NOT work for them</v>
      </c>
      <c r="J1105" s="1">
        <f ca="1">IFERROR(__xludf.DUMMYFUNCTION("""COMPUTED_VALUE"""),8)</f>
        <v>8</v>
      </c>
      <c r="K1105" s="1" t="str">
        <f ca="1">IFERROR(__xludf.DUMMYFUNCTION("""COMPUTED_VALUE"""),"Hybrid Working Environment with less than 3 days a month at office")</f>
        <v>Hybrid Working Environment with less than 3 days a month at office</v>
      </c>
      <c r="L11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0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05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1105" s="1" t="str">
        <f ca="1">IFERROR(__xludf.DUMMYFUNCTION("""COMPUTED_VALUE"""),"Manager who clearly describes what she/he needs")</f>
        <v>Manager who clearly describes what she/he needs</v>
      </c>
      <c r="P1105" s="1" t="str">
        <f ca="1">IFERROR(__xludf.DUMMYFUNCTION("""COMPUTED_VALUE"""),"Work with 5 to 6 people in my team")</f>
        <v>Work with 5 to 6 people in my team</v>
      </c>
      <c r="Q1105" s="1" t="str">
        <f ca="1">IFERROR(__xludf.DUMMYFUNCTION("""COMPUTED_VALUE"""),"Yes, I Understand this is gonna happen everywhere")</f>
        <v>Yes, I Understand this is gonna happen everywhere</v>
      </c>
      <c r="R1105" s="1" t="str">
        <f ca="1">IFERROR(__xludf.DUMMYFUNCTION("""COMPUTED_VALUE"""),"This will be hard to do, but if it is the right company I would try")</f>
        <v>This will be hard to do, but if it is the right company I would try</v>
      </c>
      <c r="S1105" s="1"/>
    </row>
    <row r="1106" spans="1:19" ht="12.5" x14ac:dyDescent="0.25">
      <c r="A1106" s="2">
        <f ca="1">IFERROR(__xludf.DUMMYFUNCTION("""COMPUTED_VALUE"""),45043.9983019444)</f>
        <v>45043.998301944397</v>
      </c>
      <c r="B1106" s="1" t="str">
        <f ca="1">IFERROR(__xludf.DUMMYFUNCTION("""COMPUTED_VALUE"""),"India")</f>
        <v>India</v>
      </c>
      <c r="C1106" s="1">
        <f ca="1">IFERROR(__xludf.DUMMYFUNCTION("""COMPUTED_VALUE"""),440008)</f>
        <v>440008</v>
      </c>
      <c r="D1106" s="1" t="str">
        <f ca="1">IFERROR(__xludf.DUMMYFUNCTION("""COMPUTED_VALUE"""),"Female")</f>
        <v>Female</v>
      </c>
      <c r="E1106" s="1" t="str">
        <f ca="1">IFERROR(__xludf.DUMMYFUNCTION("""COMPUTED_VALUE"""),"People who have changed the world for better")</f>
        <v>People who have changed the world for better</v>
      </c>
      <c r="F1106" s="1" t="str">
        <f ca="1">IFERROR(__xludf.DUMMYFUNCTION("""COMPUTED_VALUE"""),"No I would not be pursuing Higher Education outside of India")</f>
        <v>No I would not be pursuing Higher Education outside of India</v>
      </c>
      <c r="G1106" s="1" t="str">
        <f ca="1">IFERROR(__xludf.DUMMYFUNCTION("""COMPUTED_VALUE"""),"This will be hard to do, but if it is the right company I would try")</f>
        <v>This will be hard to do, but if it is the right company I would try</v>
      </c>
      <c r="H1106" s="1" t="str">
        <f ca="1">IFERROR(__xludf.DUMMYFUNCTION("""COMPUTED_VALUE"""),"No")</f>
        <v>No</v>
      </c>
      <c r="I1106" s="1" t="str">
        <f ca="1">IFERROR(__xludf.DUMMYFUNCTION("""COMPUTED_VALUE"""),"Will NOT work for them")</f>
        <v>Will NOT work for them</v>
      </c>
      <c r="J1106" s="1">
        <f ca="1">IFERROR(__xludf.DUMMYFUNCTION("""COMPUTED_VALUE"""),1)</f>
        <v>1</v>
      </c>
      <c r="K1106" s="1" t="str">
        <f ca="1">IFERROR(__xludf.DUMMYFUNCTION("""COMPUTED_VALUE"""),"Fully Remote with Options to travel as and when needed")</f>
        <v>Fully Remote with Options to travel as and when needed</v>
      </c>
      <c r="L11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0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06" s="1" t="str">
        <f ca="1">IFERROR(__xludf.DUMMYFUNCTION("""COMPUTED_VALUE"""),"Teaching in any of the institutes/colleges/online or offline, Work in a BPO setup for some well known client, Work as a freelancer and do my thing my way, Entrepreneur or Start Up")</f>
        <v>Teaching in any of the institutes/colleges/online or offline, Work in a BPO setup for some well known client, Work as a freelancer and do my thing my way, Entrepreneur or Start Up</v>
      </c>
      <c r="O110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06" s="1" t="str">
        <f ca="1">IFERROR(__xludf.DUMMYFUNCTION("""COMPUTED_VALUE"""),"Work with 2 to 3 people in my team")</f>
        <v>Work with 2 to 3 people in my team</v>
      </c>
      <c r="Q1106" s="1" t="str">
        <f ca="1">IFERROR(__xludf.DUMMYFUNCTION("""COMPUTED_VALUE"""),"Yes, I Understand this is gonna happen everywhere")</f>
        <v>Yes, I Understand this is gonna happen everywhere</v>
      </c>
      <c r="R1106" s="1" t="str">
        <f ca="1">IFERROR(__xludf.DUMMYFUNCTION("""COMPUTED_VALUE"""),"This will be hard to do, but if it is the right company I would try")</f>
        <v>This will be hard to do, but if it is the right company I would try</v>
      </c>
      <c r="S1106" s="1"/>
    </row>
    <row r="1107" spans="1:19" ht="12.5" x14ac:dyDescent="0.25">
      <c r="A1107" s="2">
        <f ca="1">IFERROR(__xludf.DUMMYFUNCTION("""COMPUTED_VALUE"""),45043.998483206)</f>
        <v>45043.998483206</v>
      </c>
      <c r="B1107" s="1" t="str">
        <f ca="1">IFERROR(__xludf.DUMMYFUNCTION("""COMPUTED_VALUE"""),"India")</f>
        <v>India</v>
      </c>
      <c r="C1107" s="1">
        <f ca="1">IFERROR(__xludf.DUMMYFUNCTION("""COMPUTED_VALUE"""),500062)</f>
        <v>500062</v>
      </c>
      <c r="D1107" s="1" t="str">
        <f ca="1">IFERROR(__xludf.DUMMYFUNCTION("""COMPUTED_VALUE"""),"Male")</f>
        <v>Male</v>
      </c>
      <c r="E1107" s="1" t="str">
        <f ca="1">IFERROR(__xludf.DUMMYFUNCTION("""COMPUTED_VALUE"""),"My Parents")</f>
        <v>My Parents</v>
      </c>
      <c r="F1107" s="1" t="str">
        <f ca="1">IFERROR(__xludf.DUMMYFUNCTION("""COMPUTED_VALUE"""),"No I would not be pursuing Higher Education outside of India")</f>
        <v>No I would not be pursuing Higher Education outside of India</v>
      </c>
      <c r="G1107" s="1" t="str">
        <f ca="1">IFERROR(__xludf.DUMMYFUNCTION("""COMPUTED_VALUE"""),"Will work for 3 years or more")</f>
        <v>Will work for 3 years or more</v>
      </c>
      <c r="H1107" s="1" t="str">
        <f ca="1">IFERROR(__xludf.DUMMYFUNCTION("""COMPUTED_VALUE"""),"No")</f>
        <v>No</v>
      </c>
      <c r="I1107" s="1" t="str">
        <f ca="1">IFERROR(__xludf.DUMMYFUNCTION("""COMPUTED_VALUE"""),"Will NOT work for them")</f>
        <v>Will NOT work for them</v>
      </c>
      <c r="J1107" s="1">
        <f ca="1">IFERROR(__xludf.DUMMYFUNCTION("""COMPUTED_VALUE"""),1)</f>
        <v>1</v>
      </c>
      <c r="K1107" s="1" t="str">
        <f ca="1">IFERROR(__xludf.DUMMYFUNCTION("""COMPUTED_VALUE"""),"Hybrid Working Environment with more than 15 days a month at office")</f>
        <v>Hybrid Working Environment with more than 15 days a month at office</v>
      </c>
      <c r="L11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0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07" s="1" t="str">
        <f ca="1">IFERROR(__xludf.DUMMYFUNCTION("""COMPUTED_VALUE"""),"Business Operations in any organization, Build and develop a Team, Design and Develop amazing software, Work in a BPO setup for some well known client")</f>
        <v>Business Operations in any organization, Build and develop a Team, Design and Develop amazing software, Work in a BPO setup for some well known client</v>
      </c>
      <c r="O1107" s="1" t="str">
        <f ca="1">IFERROR(__xludf.DUMMYFUNCTION("""COMPUTED_VALUE"""),"Manager who explains what is expected, sets a goal and helps achieve it")</f>
        <v>Manager who explains what is expected, sets a goal and helps achieve it</v>
      </c>
      <c r="P1107" s="1" t="str">
        <f ca="1">IFERROR(__xludf.DUMMYFUNCTION("""COMPUTED_VALUE"""),"Work with more than 10 people in my team")</f>
        <v>Work with more than 10 people in my team</v>
      </c>
      <c r="Q1107" s="1" t="str">
        <f ca="1">IFERROR(__xludf.DUMMYFUNCTION("""COMPUTED_VALUE"""),"Yes, I Understand this is gonna happen everywhere")</f>
        <v>Yes, I Understand this is gonna happen everywhere</v>
      </c>
      <c r="R1107" s="1" t="str">
        <f ca="1">IFERROR(__xludf.DUMMYFUNCTION("""COMPUTED_VALUE"""),"This will be hard to do, but if it is the right company I would try")</f>
        <v>This will be hard to do, but if it is the right company I would try</v>
      </c>
      <c r="S1107" s="1"/>
    </row>
    <row r="1108" spans="1:19" ht="12.5" x14ac:dyDescent="0.25">
      <c r="A1108" s="2">
        <f ca="1">IFERROR(__xludf.DUMMYFUNCTION("""COMPUTED_VALUE"""),45044.0014722569)</f>
        <v>45044.001472256903</v>
      </c>
      <c r="B1108" s="1" t="str">
        <f ca="1">IFERROR(__xludf.DUMMYFUNCTION("""COMPUTED_VALUE"""),"India")</f>
        <v>India</v>
      </c>
      <c r="C1108" s="1">
        <f ca="1">IFERROR(__xludf.DUMMYFUNCTION("""COMPUTED_VALUE"""),679103)</f>
        <v>679103</v>
      </c>
      <c r="D1108" s="1" t="str">
        <f ca="1">IFERROR(__xludf.DUMMYFUNCTION("""COMPUTED_VALUE"""),"Female")</f>
        <v>Female</v>
      </c>
      <c r="E1108" s="1" t="str">
        <f ca="1">IFERROR(__xludf.DUMMYFUNCTION("""COMPUTED_VALUE"""),"Influencers who had successful careers")</f>
        <v>Influencers who had successful careers</v>
      </c>
      <c r="F1108" s="1" t="str">
        <f ca="1">IFERROR(__xludf.DUMMYFUNCTION("""COMPUTED_VALUE"""),"Yes, I will earn and do that")</f>
        <v>Yes, I will earn and do that</v>
      </c>
      <c r="G1108" s="1" t="str">
        <f ca="1">IFERROR(__xludf.DUMMYFUNCTION("""COMPUTED_VALUE"""),"This will be hard to do, but if it is the right company I would try")</f>
        <v>This will be hard to do, but if it is the right company I would try</v>
      </c>
      <c r="H1108" s="1" t="str">
        <f ca="1">IFERROR(__xludf.DUMMYFUNCTION("""COMPUTED_VALUE"""),"No")</f>
        <v>No</v>
      </c>
      <c r="I1108" s="1" t="str">
        <f ca="1">IFERROR(__xludf.DUMMYFUNCTION("""COMPUTED_VALUE"""),"Will NOT work for them")</f>
        <v>Will NOT work for them</v>
      </c>
      <c r="J1108" s="1">
        <f ca="1">IFERROR(__xludf.DUMMYFUNCTION("""COMPUTED_VALUE"""),1)</f>
        <v>1</v>
      </c>
      <c r="K1108" s="1" t="str">
        <f ca="1">IFERROR(__xludf.DUMMYFUNCTION("""COMPUTED_VALUE"""),"Every Day Office Environment")</f>
        <v>Every Day Office Environment</v>
      </c>
      <c r="L1108" s="1" t="str">
        <f ca="1">IFERROR(__xludf.DUMMYFUNCTION("""COMPUTED_VALUE"""),"Employer who appreciates learning and enables that environment")</f>
        <v>Employer who appreciates learning and enables that environment</v>
      </c>
      <c r="M110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108" s="1" t="str">
        <f ca="1">IFERROR(__xludf.DUMMYFUNCTION("""COMPUTED_VALUE"""),"Teaching in any of the institutes/colleges/online or offline, Manage and drive End-to-End Projects or Products, Look deeply into Data and generate insights, Work as a freelancer and do my thing my way")</f>
        <v>Teaching in any of the institutes/colleges/online or offline, Manage and drive End-to-End Projects or Products, Look deeply into Data and generate insights, Work as a freelancer and do my thing my way</v>
      </c>
      <c r="O1108" s="1" t="str">
        <f ca="1">IFERROR(__xludf.DUMMYFUNCTION("""COMPUTED_VALUE"""),"Manager who clearly describes what she/he needs")</f>
        <v>Manager who clearly describes what she/he needs</v>
      </c>
      <c r="P1108" s="1" t="str">
        <f ca="1">IFERROR(__xludf.DUMMYFUNCTION("""COMPUTED_VALUE"""),"Work with 7 to 10 or more people in my team")</f>
        <v>Work with 7 to 10 or more people in my team</v>
      </c>
      <c r="Q1108" s="1" t="str">
        <f ca="1">IFERROR(__xludf.DUMMYFUNCTION("""COMPUTED_VALUE"""),"No")</f>
        <v>No</v>
      </c>
      <c r="R1108" s="1" t="str">
        <f ca="1">IFERROR(__xludf.DUMMYFUNCTION("""COMPUTED_VALUE"""),"This will be hard to do, but if it is the right company I would try")</f>
        <v>This will be hard to do, but if it is the right company I would try</v>
      </c>
      <c r="S1108" s="1"/>
    </row>
    <row r="1109" spans="1:19" ht="12.5" x14ac:dyDescent="0.25">
      <c r="A1109" s="2">
        <f ca="1">IFERROR(__xludf.DUMMYFUNCTION("""COMPUTED_VALUE"""),45044.0021423032)</f>
        <v>45044.002142303201</v>
      </c>
      <c r="B1109" s="1" t="str">
        <f ca="1">IFERROR(__xludf.DUMMYFUNCTION("""COMPUTED_VALUE"""),"India")</f>
        <v>India</v>
      </c>
      <c r="C1109" s="1">
        <f ca="1">IFERROR(__xludf.DUMMYFUNCTION("""COMPUTED_VALUE"""),500007)</f>
        <v>500007</v>
      </c>
      <c r="D1109" s="1" t="str">
        <f ca="1">IFERROR(__xludf.DUMMYFUNCTION("""COMPUTED_VALUE"""),"Male")</f>
        <v>Male</v>
      </c>
      <c r="E1109" s="1" t="str">
        <f ca="1">IFERROR(__xludf.DUMMYFUNCTION("""COMPUTED_VALUE"""),"Influencers who had successful careers")</f>
        <v>Influencers who had successful careers</v>
      </c>
      <c r="F1109" s="1" t="str">
        <f ca="1">IFERROR(__xludf.DUMMYFUNCTION("""COMPUTED_VALUE"""),"Yes, I will earn and do that")</f>
        <v>Yes, I will earn and do that</v>
      </c>
      <c r="G1109" s="1" t="str">
        <f ca="1">IFERROR(__xludf.DUMMYFUNCTION("""COMPUTED_VALUE"""),"Will work for 3 years or more")</f>
        <v>Will work for 3 years or more</v>
      </c>
      <c r="H1109" s="1" t="str">
        <f ca="1">IFERROR(__xludf.DUMMYFUNCTION("""COMPUTED_VALUE"""),"No")</f>
        <v>No</v>
      </c>
      <c r="I1109" s="1" t="str">
        <f ca="1">IFERROR(__xludf.DUMMYFUNCTION("""COMPUTED_VALUE"""),"Will NOT work for them")</f>
        <v>Will NOT work for them</v>
      </c>
      <c r="J1109" s="1">
        <f ca="1">IFERROR(__xludf.DUMMYFUNCTION("""COMPUTED_VALUE"""),8)</f>
        <v>8</v>
      </c>
      <c r="K1109" s="1" t="str">
        <f ca="1">IFERROR(__xludf.DUMMYFUNCTION("""COMPUTED_VALUE"""),"Every Day Office Environment")</f>
        <v>Every Day Office Environment</v>
      </c>
      <c r="L110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10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09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1109" s="1" t="str">
        <f ca="1">IFERROR(__xludf.DUMMYFUNCTION("""COMPUTED_VALUE"""),"Manager who sets goal and helps me achieve it")</f>
        <v>Manager who sets goal and helps me achieve it</v>
      </c>
      <c r="P1109" s="1" t="str">
        <f ca="1">IFERROR(__xludf.DUMMYFUNCTION("""COMPUTED_VALUE"""),"Work alone")</f>
        <v>Work alone</v>
      </c>
      <c r="Q1109" s="1" t="str">
        <f ca="1">IFERROR(__xludf.DUMMYFUNCTION("""COMPUTED_VALUE"""),"Yes, I Understand this is gonna happen everywhere")</f>
        <v>Yes, I Understand this is gonna happen everywhere</v>
      </c>
      <c r="R1109" s="1" t="str">
        <f ca="1">IFERROR(__xludf.DUMMYFUNCTION("""COMPUTED_VALUE"""),"This will be hard to do, but if it is the right company I would try")</f>
        <v>This will be hard to do, but if it is the right company I would try</v>
      </c>
      <c r="S1109" s="1"/>
    </row>
    <row r="1110" spans="1:19" ht="12.5" x14ac:dyDescent="0.25">
      <c r="A1110" s="2">
        <f ca="1">IFERROR(__xludf.DUMMYFUNCTION("""COMPUTED_VALUE"""),45044.0063875578)</f>
        <v>45044.006387557798</v>
      </c>
      <c r="B1110" s="1" t="str">
        <f ca="1">IFERROR(__xludf.DUMMYFUNCTION("""COMPUTED_VALUE"""),"India")</f>
        <v>India</v>
      </c>
      <c r="C1110" s="1">
        <f ca="1">IFERROR(__xludf.DUMMYFUNCTION("""COMPUTED_VALUE"""),440008)</f>
        <v>440008</v>
      </c>
      <c r="D1110" s="1" t="str">
        <f ca="1">IFERROR(__xludf.DUMMYFUNCTION("""COMPUTED_VALUE"""),"Female")</f>
        <v>Female</v>
      </c>
      <c r="E1110" s="1" t="str">
        <f ca="1">IFERROR(__xludf.DUMMYFUNCTION("""COMPUTED_VALUE"""),"Social Media like LinkedIn")</f>
        <v>Social Media like LinkedIn</v>
      </c>
      <c r="F1110" s="1" t="str">
        <f ca="1">IFERROR(__xludf.DUMMYFUNCTION("""COMPUTED_VALUE"""),"Yes, I will earn and do that")</f>
        <v>Yes, I will earn and do that</v>
      </c>
      <c r="G1110" s="1" t="str">
        <f ca="1">IFERROR(__xludf.DUMMYFUNCTION("""COMPUTED_VALUE"""),"Will work for 3 years or more")</f>
        <v>Will work for 3 years or more</v>
      </c>
      <c r="H1110" s="1" t="str">
        <f ca="1">IFERROR(__xludf.DUMMYFUNCTION("""COMPUTED_VALUE"""),"No")</f>
        <v>No</v>
      </c>
      <c r="I1110" s="1" t="str">
        <f ca="1">IFERROR(__xludf.DUMMYFUNCTION("""COMPUTED_VALUE"""),"Will NOT work for them")</f>
        <v>Will NOT work for them</v>
      </c>
      <c r="J1110" s="1">
        <f ca="1">IFERROR(__xludf.DUMMYFUNCTION("""COMPUTED_VALUE"""),5)</f>
        <v>5</v>
      </c>
      <c r="K1110" s="1" t="str">
        <f ca="1">IFERROR(__xludf.DUMMYFUNCTION("""COMPUTED_VALUE"""),"Fully Remote with Options to travel as and when needed")</f>
        <v>Fully Remote with Options to travel as and when needed</v>
      </c>
      <c r="L1110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110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110" s="1" t="str">
        <f ca="1">IFERROR(__xludf.DUMMYFUNCTION("""COMPUTED_VALUE"""),"Design and Creative strategy in any company, Business Operations in any organization, Entrepreneur or Start Up, An Artificial Intelligence Specialist / Talking to Robots")</f>
        <v>Design and Creative strategy in any company, Business Operations in any organization, Entrepreneur or Start Up, An Artificial Intelligence Specialist / Talking to Robots</v>
      </c>
      <c r="O1110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0" s="1" t="str">
        <f ca="1">IFERROR(__xludf.DUMMYFUNCTION("""COMPUTED_VALUE"""),"Work with 2 to 3 people in my team")</f>
        <v>Work with 2 to 3 people in my team</v>
      </c>
      <c r="Q1110" s="1" t="str">
        <f ca="1">IFERROR(__xludf.DUMMYFUNCTION("""COMPUTED_VALUE"""),"Yes, I Understand this is gonna happen everywhere")</f>
        <v>Yes, I Understand this is gonna happen everywhere</v>
      </c>
      <c r="R1110" s="1" t="str">
        <f ca="1">IFERROR(__xludf.DUMMYFUNCTION("""COMPUTED_VALUE"""),"This will be hard to do, but if it is the right company I would try")</f>
        <v>This will be hard to do, but if it is the right company I would try</v>
      </c>
      <c r="S1110" s="1"/>
    </row>
    <row r="1111" spans="1:19" ht="12.5" x14ac:dyDescent="0.25">
      <c r="A1111" s="2">
        <f ca="1">IFERROR(__xludf.DUMMYFUNCTION("""COMPUTED_VALUE"""),45044.0077854513)</f>
        <v>45044.0077854513</v>
      </c>
      <c r="B1111" s="1" t="str">
        <f ca="1">IFERROR(__xludf.DUMMYFUNCTION("""COMPUTED_VALUE"""),"India")</f>
        <v>India</v>
      </c>
      <c r="C1111" s="1">
        <f ca="1">IFERROR(__xludf.DUMMYFUNCTION("""COMPUTED_VALUE"""),803110)</f>
        <v>803110</v>
      </c>
      <c r="D1111" s="1" t="str">
        <f ca="1">IFERROR(__xludf.DUMMYFUNCTION("""COMPUTED_VALUE"""),"Male")</f>
        <v>Male</v>
      </c>
      <c r="E1111" s="1" t="str">
        <f ca="1">IFERROR(__xludf.DUMMYFUNCTION("""COMPUTED_VALUE"""),"People who have changed the world for better")</f>
        <v>People who have changed the world for better</v>
      </c>
      <c r="F1111" s="1" t="str">
        <f ca="1">IFERROR(__xludf.DUMMYFUNCTION("""COMPUTED_VALUE"""),"No, But if someone could bare the cost I will")</f>
        <v>No, But if someone could bare the cost I will</v>
      </c>
      <c r="G1111" s="1" t="str">
        <f ca="1">IFERROR(__xludf.DUMMYFUNCTION("""COMPUTED_VALUE"""),"No way")</f>
        <v>No way</v>
      </c>
      <c r="H1111" s="1" t="str">
        <f ca="1">IFERROR(__xludf.DUMMYFUNCTION("""COMPUTED_VALUE"""),"Yes")</f>
        <v>Yes</v>
      </c>
      <c r="I1111" s="1" t="str">
        <f ca="1">IFERROR(__xludf.DUMMYFUNCTION("""COMPUTED_VALUE"""),"Will work for them")</f>
        <v>Will work for them</v>
      </c>
      <c r="J1111" s="1">
        <f ca="1">IFERROR(__xludf.DUMMYFUNCTION("""COMPUTED_VALUE"""),7)</f>
        <v>7</v>
      </c>
      <c r="K1111" s="1" t="str">
        <f ca="1">IFERROR(__xludf.DUMMYFUNCTION("""COMPUTED_VALUE"""),"Hybrid Working Environment with more than 15 days a month at office")</f>
        <v>Hybrid Working Environment with more than 15 days a month at office</v>
      </c>
      <c r="L11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11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111" s="1" t="str">
        <f ca="1">IFERROR(__xludf.DUMMYFUNCTION("""COMPUTED_VALUE"""),"Teaching in any of the institutes/colleges/online or offline, Design and Develop amazing software, Entrepreneur or Start Up, I Want to sell things/Sales")</f>
        <v>Teaching in any of the institutes/colleges/online or offline, Design and Develop amazing software, Entrepreneur or Start Up, I Want to sell things/Sales</v>
      </c>
      <c r="O1111" s="1" t="str">
        <f ca="1">IFERROR(__xludf.DUMMYFUNCTION("""COMPUTED_VALUE"""),"Manager who sets targets and expects me to achieve it")</f>
        <v>Manager who sets targets and expects me to achieve it</v>
      </c>
      <c r="P1111" s="1" t="str">
        <f ca="1">IFERROR(__xludf.DUMMYFUNCTION("""COMPUTED_VALUE"""),"Work with 5 to 6 people in my team")</f>
        <v>Work with 5 to 6 people in my team</v>
      </c>
      <c r="Q1111" s="1" t="str">
        <f ca="1">IFERROR(__xludf.DUMMYFUNCTION("""COMPUTED_VALUE"""),"Yes, I Understand this is gonna happen everywhere")</f>
        <v>Yes, I Understand this is gonna happen everywhere</v>
      </c>
      <c r="R1111" s="1" t="str">
        <f ca="1">IFERROR(__xludf.DUMMYFUNCTION("""COMPUTED_VALUE"""),"This will be hard to do, but if it is the right company I would try")</f>
        <v>This will be hard to do, but if it is the right company I would try</v>
      </c>
      <c r="S1111" s="1"/>
    </row>
    <row r="1112" spans="1:19" ht="12.5" x14ac:dyDescent="0.25">
      <c r="A1112" s="2">
        <f ca="1">IFERROR(__xludf.DUMMYFUNCTION("""COMPUTED_VALUE"""),45044.010195949)</f>
        <v>45044.010195948998</v>
      </c>
      <c r="B1112" s="1" t="str">
        <f ca="1">IFERROR(__xludf.DUMMYFUNCTION("""COMPUTED_VALUE"""),"India")</f>
        <v>India</v>
      </c>
      <c r="C1112" s="1">
        <f ca="1">IFERROR(__xludf.DUMMYFUNCTION("""COMPUTED_VALUE"""),401303)</f>
        <v>401303</v>
      </c>
      <c r="D1112" s="1" t="str">
        <f ca="1">IFERROR(__xludf.DUMMYFUNCTION("""COMPUTED_VALUE"""),"Male")</f>
        <v>Male</v>
      </c>
      <c r="E1112" s="1" t="str">
        <f ca="1">IFERROR(__xludf.DUMMYFUNCTION("""COMPUTED_VALUE"""),"Influencers who had successful careers")</f>
        <v>Influencers who had successful careers</v>
      </c>
      <c r="F1112" s="1" t="str">
        <f ca="1">IFERROR(__xludf.DUMMYFUNCTION("""COMPUTED_VALUE"""),"No I would not be pursuing Higher Education outside of India")</f>
        <v>No I would not be pursuing Higher Education outside of India</v>
      </c>
      <c r="G1112" s="1" t="str">
        <f ca="1">IFERROR(__xludf.DUMMYFUNCTION("""COMPUTED_VALUE"""),"Will work for 3 years or more")</f>
        <v>Will work for 3 years or more</v>
      </c>
      <c r="H1112" s="1" t="str">
        <f ca="1">IFERROR(__xludf.DUMMYFUNCTION("""COMPUTED_VALUE"""),"Yes")</f>
        <v>Yes</v>
      </c>
      <c r="I1112" s="1" t="str">
        <f ca="1">IFERROR(__xludf.DUMMYFUNCTION("""COMPUTED_VALUE"""),"Will NOT work for them")</f>
        <v>Will NOT work for them</v>
      </c>
      <c r="J1112" s="1">
        <f ca="1">IFERROR(__xludf.DUMMYFUNCTION("""COMPUTED_VALUE"""),7)</f>
        <v>7</v>
      </c>
      <c r="K1112" s="1" t="str">
        <f ca="1">IFERROR(__xludf.DUMMYFUNCTION("""COMPUTED_VALUE"""),"Every Day Office Environment")</f>
        <v>Every Day Office Environment</v>
      </c>
      <c r="L11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1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112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11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2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112" s="1" t="str">
        <f ca="1">IFERROR(__xludf.DUMMYFUNCTION("""COMPUTED_VALUE"""),"Yes, I Understand this is gonna happen everywhere")</f>
        <v>Yes, I Understand this is gonna happen everywhere</v>
      </c>
      <c r="R1112" s="1" t="str">
        <f ca="1">IFERROR(__xludf.DUMMYFUNCTION("""COMPUTED_VALUE"""),"This will be hard to do, but if it is the right company I would try")</f>
        <v>This will be hard to do, but if it is the right company I would try</v>
      </c>
      <c r="S1112" s="1"/>
    </row>
    <row r="1113" spans="1:19" ht="12.5" x14ac:dyDescent="0.25">
      <c r="A1113" s="2">
        <f ca="1">IFERROR(__xludf.DUMMYFUNCTION("""COMPUTED_VALUE"""),45044.0104529745)</f>
        <v>45044.0104529745</v>
      </c>
      <c r="B1113" s="1" t="str">
        <f ca="1">IFERROR(__xludf.DUMMYFUNCTION("""COMPUTED_VALUE"""),"United States of America")</f>
        <v>United States of America</v>
      </c>
      <c r="C1113" s="1">
        <f ca="1">IFERROR(__xludf.DUMMYFUNCTION("""COMPUTED_VALUE"""),90001)</f>
        <v>90001</v>
      </c>
      <c r="D1113" s="1" t="str">
        <f ca="1">IFERROR(__xludf.DUMMYFUNCTION("""COMPUTED_VALUE"""),"Male")</f>
        <v>Male</v>
      </c>
      <c r="E1113" s="1" t="str">
        <f ca="1">IFERROR(__xludf.DUMMYFUNCTION("""COMPUTED_VALUE"""),"Influencers who had successful careers")</f>
        <v>Influencers who had successful careers</v>
      </c>
      <c r="F1113" s="1" t="str">
        <f ca="1">IFERROR(__xludf.DUMMYFUNCTION("""COMPUTED_VALUE"""),"No I would not be pursuing Higher Education outside of India")</f>
        <v>No I would not be pursuing Higher Education outside of India</v>
      </c>
      <c r="G1113" s="1" t="str">
        <f ca="1">IFERROR(__xludf.DUMMYFUNCTION("""COMPUTED_VALUE"""),"This will be hard to do, but if it is the right company I would try")</f>
        <v>This will be hard to do, but if it is the right company I would try</v>
      </c>
      <c r="H1113" s="1" t="str">
        <f ca="1">IFERROR(__xludf.DUMMYFUNCTION("""COMPUTED_VALUE"""),"No")</f>
        <v>No</v>
      </c>
      <c r="I1113" s="1" t="str">
        <f ca="1">IFERROR(__xludf.DUMMYFUNCTION("""COMPUTED_VALUE"""),"Will NOT work for them")</f>
        <v>Will NOT work for them</v>
      </c>
      <c r="J1113" s="1">
        <f ca="1">IFERROR(__xludf.DUMMYFUNCTION("""COMPUTED_VALUE"""),9)</f>
        <v>9</v>
      </c>
      <c r="K1113" s="1" t="str">
        <f ca="1">IFERROR(__xludf.DUMMYFUNCTION("""COMPUTED_VALUE"""),"Every Day Office Environment")</f>
        <v>Every Day Office Environment</v>
      </c>
      <c r="L1113" s="1" t="str">
        <f ca="1">IFERROR(__xludf.DUMMYFUNCTION("""COMPUTED_VALUE"""),"Employer who appreciates learning and enables that environment")</f>
        <v>Employer who appreciates learning and enables that environment</v>
      </c>
      <c r="M111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13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1113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3" s="1" t="str">
        <f ca="1">IFERROR(__xludf.DUMMYFUNCTION("""COMPUTED_VALUE"""),"Work with 7 to 10 or more people in my team")</f>
        <v>Work with 7 to 10 or more people in my team</v>
      </c>
      <c r="Q1113" s="1" t="str">
        <f ca="1">IFERROR(__xludf.DUMMYFUNCTION("""COMPUTED_VALUE"""),"Yes")</f>
        <v>Yes</v>
      </c>
      <c r="R1113" s="1" t="str">
        <f ca="1">IFERROR(__xludf.DUMMYFUNCTION("""COMPUTED_VALUE"""),"Will work for 7 years or more")</f>
        <v>Will work for 7 years or more</v>
      </c>
      <c r="S1113" s="1"/>
    </row>
    <row r="1114" spans="1:19" ht="12.5" x14ac:dyDescent="0.25">
      <c r="A1114" s="2">
        <f ca="1">IFERROR(__xludf.DUMMYFUNCTION("""COMPUTED_VALUE"""),45044.0107488078)</f>
        <v>45044.010748807799</v>
      </c>
      <c r="B1114" s="1" t="str">
        <f ca="1">IFERROR(__xludf.DUMMYFUNCTION("""COMPUTED_VALUE"""),"India")</f>
        <v>India</v>
      </c>
      <c r="C1114" s="1">
        <f ca="1">IFERROR(__xludf.DUMMYFUNCTION("""COMPUTED_VALUE"""),281001)</f>
        <v>281001</v>
      </c>
      <c r="D1114" s="1" t="str">
        <f ca="1">IFERROR(__xludf.DUMMYFUNCTION("""COMPUTED_VALUE"""),"Male")</f>
        <v>Male</v>
      </c>
      <c r="E1114" s="1" t="str">
        <f ca="1">IFERROR(__xludf.DUMMYFUNCTION("""COMPUTED_VALUE"""),"People from my circle, but not family members")</f>
        <v>People from my circle, but not family members</v>
      </c>
      <c r="F1114" s="1" t="str">
        <f ca="1">IFERROR(__xludf.DUMMYFUNCTION("""COMPUTED_VALUE"""),"No I would not be pursuing Higher Education outside of India")</f>
        <v>No I would not be pursuing Higher Education outside of India</v>
      </c>
      <c r="G1114" s="1" t="str">
        <f ca="1">IFERROR(__xludf.DUMMYFUNCTION("""COMPUTED_VALUE"""),"This will be hard to do, but if it is the right company I would try")</f>
        <v>This will be hard to do, but if it is the right company I would try</v>
      </c>
      <c r="H1114" s="1" t="str">
        <f ca="1">IFERROR(__xludf.DUMMYFUNCTION("""COMPUTED_VALUE"""),"No")</f>
        <v>No</v>
      </c>
      <c r="I1114" s="1" t="str">
        <f ca="1">IFERROR(__xludf.DUMMYFUNCTION("""COMPUTED_VALUE"""),"Will NOT work for them")</f>
        <v>Will NOT work for them</v>
      </c>
      <c r="J1114" s="1">
        <f ca="1">IFERROR(__xludf.DUMMYFUNCTION("""COMPUTED_VALUE"""),8)</f>
        <v>8</v>
      </c>
      <c r="K1114" s="1" t="str">
        <f ca="1">IFERROR(__xludf.DUMMYFUNCTION("""COMPUTED_VALUE"""),"Fully Remote with Options to travel as and when needed")</f>
        <v>Fully Remote with Options to travel as and when needed</v>
      </c>
      <c r="L1114" s="1" t="str">
        <f ca="1">IFERROR(__xludf.DUMMYFUNCTION("""COMPUTED_VALUE"""),"Employer who appreciates learning and enables that environment")</f>
        <v>Employer who appreciates learning and enables that environment</v>
      </c>
      <c r="M111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114" s="1" t="str">
        <f ca="1">IFERROR(__xludf.DUMMYFUNCTION("""COMPUTED_VALUE"""),"Look deeply into Data and generate insights, Work as a freelancer and do my thing my way, Entrepreneur or Start Up, An Artificial Intelligence Specialist / Talking to Robots")</f>
        <v>Look deeply into Data and generate insights, Work as a freelancer and do my thing my way, Entrepreneur or Start Up, An Artificial Intelligence Specialist / Talking to Robots</v>
      </c>
      <c r="O1114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4" s="1" t="str">
        <f ca="1">IFERROR(__xludf.DUMMYFUNCTION("""COMPUTED_VALUE"""),"Work with 2 to 3 people in my team")</f>
        <v>Work with 2 to 3 people in my team</v>
      </c>
      <c r="Q1114" s="1" t="str">
        <f ca="1">IFERROR(__xludf.DUMMYFUNCTION("""COMPUTED_VALUE"""),"Yes, I Understand this is gonna happen everywhere")</f>
        <v>Yes, I Understand this is gonna happen everywhere</v>
      </c>
      <c r="R1114" s="1" t="str">
        <f ca="1">IFERROR(__xludf.DUMMYFUNCTION("""COMPUTED_VALUE"""),"This will be hard to do, but if it is the right company I would try")</f>
        <v>This will be hard to do, but if it is the right company I would try</v>
      </c>
      <c r="S1114" s="1"/>
    </row>
    <row r="1115" spans="1:19" ht="12.5" x14ac:dyDescent="0.25">
      <c r="A1115" s="2">
        <f ca="1">IFERROR(__xludf.DUMMYFUNCTION("""COMPUTED_VALUE"""),45044.0117111689)</f>
        <v>45044.011711168903</v>
      </c>
      <c r="B1115" s="1" t="str">
        <f ca="1">IFERROR(__xludf.DUMMYFUNCTION("""COMPUTED_VALUE"""),"India")</f>
        <v>India</v>
      </c>
      <c r="C1115" s="1">
        <f ca="1">IFERROR(__xludf.DUMMYFUNCTION("""COMPUTED_VALUE"""),440018)</f>
        <v>440018</v>
      </c>
      <c r="D1115" s="1" t="str">
        <f ca="1">IFERROR(__xludf.DUMMYFUNCTION("""COMPUTED_VALUE"""),"Male")</f>
        <v>Male</v>
      </c>
      <c r="E1115" s="1" t="str">
        <f ca="1">IFERROR(__xludf.DUMMYFUNCTION("""COMPUTED_VALUE"""),"Influencers who had successful careers")</f>
        <v>Influencers who had successful careers</v>
      </c>
      <c r="F1115" s="1" t="str">
        <f ca="1">IFERROR(__xludf.DUMMYFUNCTION("""COMPUTED_VALUE"""),"Yes, I will earn and do that")</f>
        <v>Yes, I will earn and do that</v>
      </c>
      <c r="G1115" s="1" t="str">
        <f ca="1">IFERROR(__xludf.DUMMYFUNCTION("""COMPUTED_VALUE"""),"This will be hard to do, but if it is the right company I would try")</f>
        <v>This will be hard to do, but if it is the right company I would try</v>
      </c>
      <c r="H1115" s="1" t="str">
        <f ca="1">IFERROR(__xludf.DUMMYFUNCTION("""COMPUTED_VALUE"""),"Yes")</f>
        <v>Yes</v>
      </c>
      <c r="I1115" s="1" t="str">
        <f ca="1">IFERROR(__xludf.DUMMYFUNCTION("""COMPUTED_VALUE"""),"Will NOT work for them")</f>
        <v>Will NOT work for them</v>
      </c>
      <c r="J1115" s="1">
        <f ca="1">IFERROR(__xludf.DUMMYFUNCTION("""COMPUTED_VALUE"""),2)</f>
        <v>2</v>
      </c>
      <c r="K1115" s="1" t="str">
        <f ca="1">IFERROR(__xludf.DUMMYFUNCTION("""COMPUTED_VALUE"""),"Hybrid Working Environment with more than 15 days a month at office")</f>
        <v>Hybrid Working Environment with more than 15 days a month at office</v>
      </c>
      <c r="L11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1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115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115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5" s="1" t="str">
        <f ca="1">IFERROR(__xludf.DUMMYFUNCTION("""COMPUTED_VALUE"""),"Work with more than 10 people in my team")</f>
        <v>Work with more than 10 people in my team</v>
      </c>
      <c r="Q1115" s="1" t="str">
        <f ca="1">IFERROR(__xludf.DUMMYFUNCTION("""COMPUTED_VALUE"""),"Yes, I Understand this is gonna happen everywhere")</f>
        <v>Yes, I Understand this is gonna happen everywhere</v>
      </c>
      <c r="R1115" s="1" t="str">
        <f ca="1">IFERROR(__xludf.DUMMYFUNCTION("""COMPUTED_VALUE"""),"No way")</f>
        <v>No way</v>
      </c>
      <c r="S1115" s="1"/>
    </row>
    <row r="1116" spans="1:19" ht="12.5" x14ac:dyDescent="0.25">
      <c r="A1116" s="2">
        <f ca="1">IFERROR(__xludf.DUMMYFUNCTION("""COMPUTED_VALUE"""),45044.0163620486)</f>
        <v>45044.016362048598</v>
      </c>
      <c r="B1116" s="1" t="str">
        <f ca="1">IFERROR(__xludf.DUMMYFUNCTION("""COMPUTED_VALUE"""),"India")</f>
        <v>India</v>
      </c>
      <c r="C1116" s="1">
        <f ca="1">IFERROR(__xludf.DUMMYFUNCTION("""COMPUTED_VALUE"""),760004)</f>
        <v>760004</v>
      </c>
      <c r="D1116" s="1" t="str">
        <f ca="1">IFERROR(__xludf.DUMMYFUNCTION("""COMPUTED_VALUE"""),"Male")</f>
        <v>Male</v>
      </c>
      <c r="E1116" s="1" t="str">
        <f ca="1">IFERROR(__xludf.DUMMYFUNCTION("""COMPUTED_VALUE"""),"My Parents")</f>
        <v>My Parents</v>
      </c>
      <c r="F1116" s="1" t="str">
        <f ca="1">IFERROR(__xludf.DUMMYFUNCTION("""COMPUTED_VALUE"""),"No, But if someone could bare the cost I will")</f>
        <v>No, But if someone could bare the cost I will</v>
      </c>
      <c r="G1116" s="1" t="str">
        <f ca="1">IFERROR(__xludf.DUMMYFUNCTION("""COMPUTED_VALUE"""),"This will be hard to do, but if it is the right company I would try")</f>
        <v>This will be hard to do, but if it is the right company I would try</v>
      </c>
      <c r="H1116" s="1" t="str">
        <f ca="1">IFERROR(__xludf.DUMMYFUNCTION("""COMPUTED_VALUE"""),"No")</f>
        <v>No</v>
      </c>
      <c r="I1116" s="1" t="str">
        <f ca="1">IFERROR(__xludf.DUMMYFUNCTION("""COMPUTED_VALUE"""),"Will NOT work for them")</f>
        <v>Will NOT work for them</v>
      </c>
      <c r="J1116" s="1">
        <f ca="1">IFERROR(__xludf.DUMMYFUNCTION("""COMPUTED_VALUE"""),1)</f>
        <v>1</v>
      </c>
      <c r="K1116" s="1" t="str">
        <f ca="1">IFERROR(__xludf.DUMMYFUNCTION("""COMPUTED_VALUE"""),"Hybrid Working Environment with more than 15 days a month at office")</f>
        <v>Hybrid Working Environment with more than 15 days a month at office</v>
      </c>
      <c r="L11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1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116" s="1" t="str">
        <f ca="1">IFERROR(__xludf.DUMMYFUNCTION("""COMPUTED_VALUE"""),"Teaching in any of the institutes/colleges/online or offline, Manage and drive End-to-End Projects or Products, Build and develop a Team, Look deeply into Data and generate insights")</f>
        <v>Teaching in any of the institutes/colleges/online or offline, Manage and drive End-to-End Projects or Products, Build and develop a Team, Look deeply into Data and generate insights</v>
      </c>
      <c r="O11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6" s="1" t="str">
        <f ca="1">IFERROR(__xludf.DUMMYFUNCTION("""COMPUTED_VALUE"""),"Work alone")</f>
        <v>Work alone</v>
      </c>
      <c r="Q1116" s="1" t="str">
        <f ca="1">IFERROR(__xludf.DUMMYFUNCTION("""COMPUTED_VALUE"""),"No")</f>
        <v>No</v>
      </c>
      <c r="R1116" s="1" t="str">
        <f ca="1">IFERROR(__xludf.DUMMYFUNCTION("""COMPUTED_VALUE"""),"This will be hard to do, but if it is the right company I would try")</f>
        <v>This will be hard to do, but if it is the right company I would try</v>
      </c>
      <c r="S1116" s="1"/>
    </row>
    <row r="1117" spans="1:19" ht="12.5" x14ac:dyDescent="0.25">
      <c r="A1117" s="2">
        <f ca="1">IFERROR(__xludf.DUMMYFUNCTION("""COMPUTED_VALUE"""),45044.0201141666)</f>
        <v>45044.020114166597</v>
      </c>
      <c r="B1117" s="1" t="str">
        <f ca="1">IFERROR(__xludf.DUMMYFUNCTION("""COMPUTED_VALUE"""),"India")</f>
        <v>India</v>
      </c>
      <c r="C1117" s="1">
        <f ca="1">IFERROR(__xludf.DUMMYFUNCTION("""COMPUTED_VALUE"""),440008)</f>
        <v>440008</v>
      </c>
      <c r="D1117" s="1" t="str">
        <f ca="1">IFERROR(__xludf.DUMMYFUNCTION("""COMPUTED_VALUE"""),"Female")</f>
        <v>Female</v>
      </c>
      <c r="E1117" s="1" t="str">
        <f ca="1">IFERROR(__xludf.DUMMYFUNCTION("""COMPUTED_VALUE"""),"My Parents")</f>
        <v>My Parents</v>
      </c>
      <c r="F1117" s="1" t="str">
        <f ca="1">IFERROR(__xludf.DUMMYFUNCTION("""COMPUTED_VALUE"""),"No, But if someone could bare the cost I will")</f>
        <v>No, But if someone could bare the cost I will</v>
      </c>
      <c r="G1117" s="1" t="str">
        <f ca="1">IFERROR(__xludf.DUMMYFUNCTION("""COMPUTED_VALUE"""),"This will be hard to do, but if it is the right company I would try")</f>
        <v>This will be hard to do, but if it is the right company I would try</v>
      </c>
      <c r="H1117" s="1" t="str">
        <f ca="1">IFERROR(__xludf.DUMMYFUNCTION("""COMPUTED_VALUE"""),"Yes")</f>
        <v>Yes</v>
      </c>
      <c r="I1117" s="1" t="str">
        <f ca="1">IFERROR(__xludf.DUMMYFUNCTION("""COMPUTED_VALUE"""),"Will NOT work for them")</f>
        <v>Will NOT work for them</v>
      </c>
      <c r="J1117" s="1">
        <f ca="1">IFERROR(__xludf.DUMMYFUNCTION("""COMPUTED_VALUE"""),7)</f>
        <v>7</v>
      </c>
      <c r="K1117" s="1" t="str">
        <f ca="1">IFERROR(__xludf.DUMMYFUNCTION("""COMPUTED_VALUE"""),"Fully Remote with Options to travel as and when needed")</f>
        <v>Fully Remote with Options to travel as and when needed</v>
      </c>
      <c r="L11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17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117" s="1" t="str">
        <f ca="1">IFERROR(__xludf.DUMMYFUNCTION("""COMPUTED_VALUE"""),"Business Operations in any organization, Work as a freelancer and do my thing my way, Become a content Creator in some platform, Entrepreneur or Start Up")</f>
        <v>Business Operations in any organization, Work as a freelancer and do my thing my way, Become a content Creator in some platform, Entrepreneur or Start Up</v>
      </c>
      <c r="O1117" s="1" t="str">
        <f ca="1">IFERROR(__xludf.DUMMYFUNCTION("""COMPUTED_VALUE"""),"Manager who sets goal and helps me achieve it")</f>
        <v>Manager who sets goal and helps me achieve it</v>
      </c>
      <c r="P1117" s="1" t="str">
        <f ca="1">IFERROR(__xludf.DUMMYFUNCTION("""COMPUTED_VALUE"""),"Work with 2 to 3 people in my team")</f>
        <v>Work with 2 to 3 people in my team</v>
      </c>
      <c r="Q1117" s="1" t="str">
        <f ca="1">IFERROR(__xludf.DUMMYFUNCTION("""COMPUTED_VALUE"""),"No")</f>
        <v>No</v>
      </c>
      <c r="R1117" s="1" t="str">
        <f ca="1">IFERROR(__xludf.DUMMYFUNCTION("""COMPUTED_VALUE"""),"This will be hard to do, but if it is the right company I would try")</f>
        <v>This will be hard to do, but if it is the right company I would try</v>
      </c>
      <c r="S1117" s="1"/>
    </row>
    <row r="1118" spans="1:19" ht="12.5" x14ac:dyDescent="0.25">
      <c r="A1118" s="2">
        <f ca="1">IFERROR(__xludf.DUMMYFUNCTION("""COMPUTED_VALUE"""),45044.0318261458)</f>
        <v>45044.031826145801</v>
      </c>
      <c r="B1118" s="1" t="str">
        <f ca="1">IFERROR(__xludf.DUMMYFUNCTION("""COMPUTED_VALUE"""),"India")</f>
        <v>India</v>
      </c>
      <c r="C1118" s="1">
        <f ca="1">IFERROR(__xludf.DUMMYFUNCTION("""COMPUTED_VALUE"""),560100)</f>
        <v>560100</v>
      </c>
      <c r="D1118" s="1" t="str">
        <f ca="1">IFERROR(__xludf.DUMMYFUNCTION("""COMPUTED_VALUE"""),"Female")</f>
        <v>Female</v>
      </c>
      <c r="E1118" s="1" t="str">
        <f ca="1">IFERROR(__xludf.DUMMYFUNCTION("""COMPUTED_VALUE"""),"Influencers who had successful careers")</f>
        <v>Influencers who had successful careers</v>
      </c>
      <c r="F1118" s="1" t="str">
        <f ca="1">IFERROR(__xludf.DUMMYFUNCTION("""COMPUTED_VALUE"""),"Yes, I will earn and do that")</f>
        <v>Yes, I will earn and do that</v>
      </c>
      <c r="G1118" s="1" t="str">
        <f ca="1">IFERROR(__xludf.DUMMYFUNCTION("""COMPUTED_VALUE"""),"Will work for 3 years or more")</f>
        <v>Will work for 3 years or more</v>
      </c>
      <c r="H1118" s="1" t="str">
        <f ca="1">IFERROR(__xludf.DUMMYFUNCTION("""COMPUTED_VALUE"""),"Yes")</f>
        <v>Yes</v>
      </c>
      <c r="I1118" s="1" t="str">
        <f ca="1">IFERROR(__xludf.DUMMYFUNCTION("""COMPUTED_VALUE"""),"Will work for them")</f>
        <v>Will work for them</v>
      </c>
      <c r="J1118" s="1">
        <f ca="1">IFERROR(__xludf.DUMMYFUNCTION("""COMPUTED_VALUE"""),5)</f>
        <v>5</v>
      </c>
      <c r="K1118" s="1" t="str">
        <f ca="1">IFERROR(__xludf.DUMMYFUNCTION("""COMPUTED_VALUE"""),"Hybrid Working Environment with less than 3 days a month at office")</f>
        <v>Hybrid Working Environment with less than 3 days a month at office</v>
      </c>
      <c r="L1118" s="1" t="str">
        <f ca="1">IFERROR(__xludf.DUMMYFUNCTION("""COMPUTED_VALUE"""),"Employer who appreciates learning and enables that environment")</f>
        <v>Employer who appreciates learning and enables that environment</v>
      </c>
      <c r="M111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1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1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8" s="1" t="str">
        <f ca="1">IFERROR(__xludf.DUMMYFUNCTION("""COMPUTED_VALUE"""),"Work with 5 to 6 people in my team")</f>
        <v>Work with 5 to 6 people in my team</v>
      </c>
      <c r="Q1118" s="1" t="str">
        <f ca="1">IFERROR(__xludf.DUMMYFUNCTION("""COMPUTED_VALUE"""),"No")</f>
        <v>No</v>
      </c>
      <c r="R1118" s="1" t="str">
        <f ca="1">IFERROR(__xludf.DUMMYFUNCTION("""COMPUTED_VALUE"""),"Will work for 7 years or more")</f>
        <v>Will work for 7 years or more</v>
      </c>
      <c r="S1118" s="1"/>
    </row>
    <row r="1119" spans="1:19" ht="12.5" x14ac:dyDescent="0.25">
      <c r="A1119" s="2">
        <f ca="1">IFERROR(__xludf.DUMMYFUNCTION("""COMPUTED_VALUE"""),45044.0319816088)</f>
        <v>45044.031981608801</v>
      </c>
      <c r="B1119" s="1" t="str">
        <f ca="1">IFERROR(__xludf.DUMMYFUNCTION("""COMPUTED_VALUE"""),"India")</f>
        <v>India</v>
      </c>
      <c r="C1119" s="1">
        <f ca="1">IFERROR(__xludf.DUMMYFUNCTION("""COMPUTED_VALUE"""),440024)</f>
        <v>440024</v>
      </c>
      <c r="D1119" s="1" t="str">
        <f ca="1">IFERROR(__xludf.DUMMYFUNCTION("""COMPUTED_VALUE"""),"Female")</f>
        <v>Female</v>
      </c>
      <c r="E1119" s="1" t="str">
        <f ca="1">IFERROR(__xludf.DUMMYFUNCTION("""COMPUTED_VALUE"""),"Influencers who had successful careers")</f>
        <v>Influencers who had successful careers</v>
      </c>
      <c r="F1119" s="1" t="str">
        <f ca="1">IFERROR(__xludf.DUMMYFUNCTION("""COMPUTED_VALUE"""),"Yes, I will earn and do that")</f>
        <v>Yes, I will earn and do that</v>
      </c>
      <c r="G1119" s="1" t="str">
        <f ca="1">IFERROR(__xludf.DUMMYFUNCTION("""COMPUTED_VALUE"""),"This will be hard to do, but if it is the right company I would try")</f>
        <v>This will be hard to do, but if it is the right company I would try</v>
      </c>
      <c r="H1119" s="1" t="str">
        <f ca="1">IFERROR(__xludf.DUMMYFUNCTION("""COMPUTED_VALUE"""),"No")</f>
        <v>No</v>
      </c>
      <c r="I1119" s="1" t="str">
        <f ca="1">IFERROR(__xludf.DUMMYFUNCTION("""COMPUTED_VALUE"""),"Will NOT work for them")</f>
        <v>Will NOT work for them</v>
      </c>
      <c r="J1119" s="1">
        <f ca="1">IFERROR(__xludf.DUMMYFUNCTION("""COMPUTED_VALUE"""),6)</f>
        <v>6</v>
      </c>
      <c r="K1119" s="1" t="str">
        <f ca="1">IFERROR(__xludf.DUMMYFUNCTION("""COMPUTED_VALUE"""),"Hybrid Working Environment with more than 15 days a month at office")</f>
        <v>Hybrid Working Environment with more than 15 days a month at office</v>
      </c>
      <c r="L1119" s="1" t="str">
        <f ca="1">IFERROR(__xludf.DUMMYFUNCTION("""COMPUTED_VALUE"""),"Employer who rewards learning and enables that environment")</f>
        <v>Employer who rewards learning and enables that environment</v>
      </c>
      <c r="M111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119" s="1" t="str">
        <f ca="1">IFERROR(__xludf.DUMMYFUNCTION("""COMPUTED_VALUE"""),"Design and Creative strategy in any company, Business Operations in any organization, Become a content Creator in some platform, Entrepreneur or Start Up")</f>
        <v>Design and Creative strategy in any company, Business Operations in any organization, Become a content Creator in some platform, Entrepreneur or Start Up</v>
      </c>
      <c r="O1119" s="1" t="str">
        <f ca="1">IFERROR(__xludf.DUMMYFUNCTION("""COMPUTED_VALUE"""),"Manager who explains what is expected, sets a goal and helps achieve it")</f>
        <v>Manager who explains what is expected, sets a goal and helps achieve it</v>
      </c>
      <c r="P1119" s="1" t="str">
        <f ca="1">IFERROR(__xludf.DUMMYFUNCTION("""COMPUTED_VALUE"""),"Work with 5 to 6 people in my team")</f>
        <v>Work with 5 to 6 people in my team</v>
      </c>
      <c r="Q1119" s="1" t="str">
        <f ca="1">IFERROR(__xludf.DUMMYFUNCTION("""COMPUTED_VALUE"""),"No")</f>
        <v>No</v>
      </c>
      <c r="R1119" s="1" t="str">
        <f ca="1">IFERROR(__xludf.DUMMYFUNCTION("""COMPUTED_VALUE"""),"This will be hard to do, but if it is the right company I would try")</f>
        <v>This will be hard to do, but if it is the right company I would try</v>
      </c>
      <c r="S1119" s="1"/>
    </row>
    <row r="1120" spans="1:19" ht="12.5" x14ac:dyDescent="0.25">
      <c r="A1120" s="2">
        <f ca="1">IFERROR(__xludf.DUMMYFUNCTION("""COMPUTED_VALUE"""),45044.0439959953)</f>
        <v>45044.0439959953</v>
      </c>
      <c r="B1120" s="1" t="str">
        <f ca="1">IFERROR(__xludf.DUMMYFUNCTION("""COMPUTED_VALUE"""),"India")</f>
        <v>India</v>
      </c>
      <c r="C1120" s="1">
        <f ca="1">IFERROR(__xludf.DUMMYFUNCTION("""COMPUTED_VALUE"""),121009)</f>
        <v>121009</v>
      </c>
      <c r="D1120" s="1" t="str">
        <f ca="1">IFERROR(__xludf.DUMMYFUNCTION("""COMPUTED_VALUE"""),"Female")</f>
        <v>Female</v>
      </c>
      <c r="E1120" s="1" t="str">
        <f ca="1">IFERROR(__xludf.DUMMYFUNCTION("""COMPUTED_VALUE"""),"My Parents")</f>
        <v>My Parents</v>
      </c>
      <c r="F1120" s="1" t="str">
        <f ca="1">IFERROR(__xludf.DUMMYFUNCTION("""COMPUTED_VALUE"""),"Yes, I will earn and do that")</f>
        <v>Yes, I will earn and do that</v>
      </c>
      <c r="G1120" s="1" t="str">
        <f ca="1">IFERROR(__xludf.DUMMYFUNCTION("""COMPUTED_VALUE"""),"This will be hard to do, but if it is the right company I would try")</f>
        <v>This will be hard to do, but if it is the right company I would try</v>
      </c>
      <c r="H1120" s="1" t="str">
        <f ca="1">IFERROR(__xludf.DUMMYFUNCTION("""COMPUTED_VALUE"""),"No")</f>
        <v>No</v>
      </c>
      <c r="I1120" s="1" t="str">
        <f ca="1">IFERROR(__xludf.DUMMYFUNCTION("""COMPUTED_VALUE"""),"Will NOT work for them")</f>
        <v>Will NOT work for them</v>
      </c>
      <c r="J1120" s="1">
        <f ca="1">IFERROR(__xludf.DUMMYFUNCTION("""COMPUTED_VALUE"""),2)</f>
        <v>2</v>
      </c>
      <c r="K1120" s="1" t="str">
        <f ca="1">IFERROR(__xludf.DUMMYFUNCTION("""COMPUTED_VALUE"""),"Every Day Office Environment")</f>
        <v>Every Day Office Environment</v>
      </c>
      <c r="L1120" s="1" t="str">
        <f ca="1">IFERROR(__xludf.DUMMYFUNCTION("""COMPUTED_VALUE"""),"Employer who appreciates learning and enables that environment")</f>
        <v>Employer who appreciates learning and enables that environment</v>
      </c>
      <c r="M1120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120" s="1" t="str">
        <f ca="1">IFERROR(__xludf.DUMMYFUNCTION("""COMPUTED_VALUE"""),"Design and Creative strategy in any company, Business Operations in any organization, Look deeply into Data and generate insights, Become a content Creator in some platform")</f>
        <v>Design and Creative strategy in any company, Business Operations in any organization, Look deeply into Data and generate insights, Become a content Creator in some platform</v>
      </c>
      <c r="O1120" s="1" t="str">
        <f ca="1">IFERROR(__xludf.DUMMYFUNCTION("""COMPUTED_VALUE"""),"Manager who explains what is expected, sets a goal and helps achieve it")</f>
        <v>Manager who explains what is expected, sets a goal and helps achieve it</v>
      </c>
      <c r="P1120" s="1" t="str">
        <f ca="1">IFERROR(__xludf.DUMMYFUNCTION("""COMPUTED_VALUE"""),"Work with 2 to 3 people in my team")</f>
        <v>Work with 2 to 3 people in my team</v>
      </c>
      <c r="Q1120" s="1" t="str">
        <f ca="1">IFERROR(__xludf.DUMMYFUNCTION("""COMPUTED_VALUE"""),"Yes")</f>
        <v>Yes</v>
      </c>
      <c r="R1120" s="1" t="str">
        <f ca="1">IFERROR(__xludf.DUMMYFUNCTION("""COMPUTED_VALUE"""),"This will be hard to do, but if it is the right company I would try")</f>
        <v>This will be hard to do, but if it is the right company I would try</v>
      </c>
      <c r="S1120" s="1"/>
    </row>
    <row r="1121" spans="1:19" ht="12.5" x14ac:dyDescent="0.25">
      <c r="A1121" s="2">
        <f ca="1">IFERROR(__xludf.DUMMYFUNCTION("""COMPUTED_VALUE"""),45044.0488197453)</f>
        <v>45044.048819745301</v>
      </c>
      <c r="B1121" s="1" t="str">
        <f ca="1">IFERROR(__xludf.DUMMYFUNCTION("""COMPUTED_VALUE"""),"India")</f>
        <v>India</v>
      </c>
      <c r="C1121" s="1">
        <f ca="1">IFERROR(__xludf.DUMMYFUNCTION("""COMPUTED_VALUE"""),490023)</f>
        <v>490023</v>
      </c>
      <c r="D1121" s="1" t="str">
        <f ca="1">IFERROR(__xludf.DUMMYFUNCTION("""COMPUTED_VALUE"""),"Male")</f>
        <v>Male</v>
      </c>
      <c r="E1121" s="1" t="str">
        <f ca="1">IFERROR(__xludf.DUMMYFUNCTION("""COMPUTED_VALUE"""),"People who have changed the world for better")</f>
        <v>People who have changed the world for better</v>
      </c>
      <c r="F1121" s="1" t="str">
        <f ca="1">IFERROR(__xludf.DUMMYFUNCTION("""COMPUTED_VALUE"""),"No I would not be pursuing Higher Education outside of India")</f>
        <v>No I would not be pursuing Higher Education outside of India</v>
      </c>
      <c r="G1121" s="1" t="str">
        <f ca="1">IFERROR(__xludf.DUMMYFUNCTION("""COMPUTED_VALUE"""),"Will work for 3 years or more")</f>
        <v>Will work for 3 years or more</v>
      </c>
      <c r="H1121" s="1" t="str">
        <f ca="1">IFERROR(__xludf.DUMMYFUNCTION("""COMPUTED_VALUE"""),"No")</f>
        <v>No</v>
      </c>
      <c r="I1121" s="1" t="str">
        <f ca="1">IFERROR(__xludf.DUMMYFUNCTION("""COMPUTED_VALUE"""),"Will work for them")</f>
        <v>Will work for them</v>
      </c>
      <c r="J1121" s="1">
        <f ca="1">IFERROR(__xludf.DUMMYFUNCTION("""COMPUTED_VALUE"""),8)</f>
        <v>8</v>
      </c>
      <c r="K1121" s="1" t="str">
        <f ca="1">IFERROR(__xludf.DUMMYFUNCTION("""COMPUTED_VALUE"""),"Hybrid Working Environment with more than 15 days a month at office")</f>
        <v>Hybrid Working Environment with more than 15 days a month at office</v>
      </c>
      <c r="L11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2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121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1121" s="1" t="str">
        <f ca="1">IFERROR(__xludf.DUMMYFUNCTION("""COMPUTED_VALUE"""),"Manager who explains what is expected, sets a goal and helps achieve it")</f>
        <v>Manager who explains what is expected, sets a goal and helps achieve it</v>
      </c>
      <c r="P1121" s="1" t="str">
        <f ca="1">IFERROR(__xludf.DUMMYFUNCTION("""COMPUTED_VALUE"""),"Work with 2 to 3 people in my team, Work with 5 to 6 people in my team")</f>
        <v>Work with 2 to 3 people in my team, Work with 5 to 6 people in my team</v>
      </c>
      <c r="Q1121" s="1" t="str">
        <f ca="1">IFERROR(__xludf.DUMMYFUNCTION("""COMPUTED_VALUE"""),"Yes")</f>
        <v>Yes</v>
      </c>
      <c r="R1121" s="1" t="str">
        <f ca="1">IFERROR(__xludf.DUMMYFUNCTION("""COMPUTED_VALUE"""),"Will work for 7 years or more")</f>
        <v>Will work for 7 years or more</v>
      </c>
      <c r="S1121" s="1"/>
    </row>
    <row r="1122" spans="1:19" ht="12.5" x14ac:dyDescent="0.25">
      <c r="A1122" s="2">
        <f ca="1">IFERROR(__xludf.DUMMYFUNCTION("""COMPUTED_VALUE"""),45044.0499119675)</f>
        <v>45044.049911967501</v>
      </c>
      <c r="B1122" s="1" t="str">
        <f ca="1">IFERROR(__xludf.DUMMYFUNCTION("""COMPUTED_VALUE"""),"India")</f>
        <v>India</v>
      </c>
      <c r="C1122" s="1">
        <f ca="1">IFERROR(__xludf.DUMMYFUNCTION("""COMPUTED_VALUE"""),500062)</f>
        <v>500062</v>
      </c>
      <c r="D1122" s="1" t="str">
        <f ca="1">IFERROR(__xludf.DUMMYFUNCTION("""COMPUTED_VALUE"""),"Female")</f>
        <v>Female</v>
      </c>
      <c r="E1122" s="1" t="str">
        <f ca="1">IFERROR(__xludf.DUMMYFUNCTION("""COMPUTED_VALUE"""),"My Parents")</f>
        <v>My Parents</v>
      </c>
      <c r="F1122" s="1" t="str">
        <f ca="1">IFERROR(__xludf.DUMMYFUNCTION("""COMPUTED_VALUE"""),"Yes, I will earn and do that")</f>
        <v>Yes, I will earn and do that</v>
      </c>
      <c r="G1122" s="1" t="str">
        <f ca="1">IFERROR(__xludf.DUMMYFUNCTION("""COMPUTED_VALUE"""),"This will be hard to do, but if it is the right company I would try")</f>
        <v>This will be hard to do, but if it is the right company I would try</v>
      </c>
      <c r="H1122" s="1" t="str">
        <f ca="1">IFERROR(__xludf.DUMMYFUNCTION("""COMPUTED_VALUE"""),"No")</f>
        <v>No</v>
      </c>
      <c r="I1122" s="1" t="str">
        <f ca="1">IFERROR(__xludf.DUMMYFUNCTION("""COMPUTED_VALUE"""),"Will NOT work for them")</f>
        <v>Will NOT work for them</v>
      </c>
      <c r="J1122" s="1">
        <f ca="1">IFERROR(__xludf.DUMMYFUNCTION("""COMPUTED_VALUE"""),5)</f>
        <v>5</v>
      </c>
      <c r="K1122" s="1" t="str">
        <f ca="1">IFERROR(__xludf.DUMMYFUNCTION("""COMPUTED_VALUE"""),"Hybrid Working Environment with less than 3 days a month at office")</f>
        <v>Hybrid Working Environment with less than 3 days a month at office</v>
      </c>
      <c r="L1122" s="1" t="str">
        <f ca="1">IFERROR(__xludf.DUMMYFUNCTION("""COMPUTED_VALUE"""),"Employer who appreciates learning and enables that environment")</f>
        <v>Employer who appreciates learning and enables that environment</v>
      </c>
      <c r="M112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22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122" s="1" t="str">
        <f ca="1">IFERROR(__xludf.DUMMYFUNCTION("""COMPUTED_VALUE"""),"Manager who clearly describes what she/he needs")</f>
        <v>Manager who clearly describes what she/he needs</v>
      </c>
      <c r="P1122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122" s="1" t="str">
        <f ca="1">IFERROR(__xludf.DUMMYFUNCTION("""COMPUTED_VALUE"""),"No")</f>
        <v>No</v>
      </c>
      <c r="R1122" s="1" t="str">
        <f ca="1">IFERROR(__xludf.DUMMYFUNCTION("""COMPUTED_VALUE"""),"This will be hard to do, but if it is the right company I would try")</f>
        <v>This will be hard to do, but if it is the right company I would try</v>
      </c>
      <c r="S1122" s="1"/>
    </row>
    <row r="1123" spans="1:19" ht="12.5" x14ac:dyDescent="0.25">
      <c r="A1123" s="2">
        <f ca="1">IFERROR(__xludf.DUMMYFUNCTION("""COMPUTED_VALUE"""),45044.0536814004)</f>
        <v>45044.053681400401</v>
      </c>
      <c r="B1123" s="1" t="str">
        <f ca="1">IFERROR(__xludf.DUMMYFUNCTION("""COMPUTED_VALUE"""),"India")</f>
        <v>India</v>
      </c>
      <c r="C1123" s="1">
        <f ca="1">IFERROR(__xludf.DUMMYFUNCTION("""COMPUTED_VALUE"""),524001)</f>
        <v>524001</v>
      </c>
      <c r="D1123" s="1" t="str">
        <f ca="1">IFERROR(__xludf.DUMMYFUNCTION("""COMPUTED_VALUE"""),"Female")</f>
        <v>Female</v>
      </c>
      <c r="E1123" s="1" t="str">
        <f ca="1">IFERROR(__xludf.DUMMYFUNCTION("""COMPUTED_VALUE"""),"Influencers who had successful careers")</f>
        <v>Influencers who had successful careers</v>
      </c>
      <c r="F1123" s="1" t="str">
        <f ca="1">IFERROR(__xludf.DUMMYFUNCTION("""COMPUTED_VALUE"""),"No I would not be pursuing Higher Education outside of India")</f>
        <v>No I would not be pursuing Higher Education outside of India</v>
      </c>
      <c r="G1123" s="1" t="str">
        <f ca="1">IFERROR(__xludf.DUMMYFUNCTION("""COMPUTED_VALUE"""),"This will be hard to do, but if it is the right company I would try")</f>
        <v>This will be hard to do, but if it is the right company I would try</v>
      </c>
      <c r="H1123" s="1" t="str">
        <f ca="1">IFERROR(__xludf.DUMMYFUNCTION("""COMPUTED_VALUE"""),"No")</f>
        <v>No</v>
      </c>
      <c r="I1123" s="1" t="str">
        <f ca="1">IFERROR(__xludf.DUMMYFUNCTION("""COMPUTED_VALUE"""),"Will work for them")</f>
        <v>Will work for them</v>
      </c>
      <c r="J1123" s="1">
        <f ca="1">IFERROR(__xludf.DUMMYFUNCTION("""COMPUTED_VALUE"""),6)</f>
        <v>6</v>
      </c>
      <c r="K1123" s="1" t="str">
        <f ca="1">IFERROR(__xludf.DUMMYFUNCTION("""COMPUTED_VALUE"""),"Fully Remote with Options to travel as and when needed")</f>
        <v>Fully Remote with Options to travel as and when needed</v>
      </c>
      <c r="L1123" s="1" t="str">
        <f ca="1">IFERROR(__xludf.DUMMYFUNCTION("""COMPUTED_VALUE"""),"Employer who rewards learning and enables that environment")</f>
        <v>Employer who rewards learning and enables that environment</v>
      </c>
      <c r="M112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123" s="1" t="str">
        <f ca="1">IFERROR(__xludf.DUMMYFUNCTION("""COMPUTED_VALUE"""),"Design and Creative strategy in any company, Business Operations in any organization, Build and develop a Team, Work in a BPO setup for some well known client")</f>
        <v>Design and Creative strategy in any company, Business Operations in any organization, Build and develop a Team, Work in a BPO setup for some well known client</v>
      </c>
      <c r="O1123" s="1" t="str">
        <f ca="1">IFERROR(__xludf.DUMMYFUNCTION("""COMPUTED_VALUE"""),"Manager who explains what is expected, sets a goal and helps achieve it")</f>
        <v>Manager who explains what is expected, sets a goal and helps achieve it</v>
      </c>
      <c r="P1123" s="1" t="str">
        <f ca="1">IFERROR(__xludf.DUMMYFUNCTION("""COMPUTED_VALUE"""),"Work with 2 to 3 people in my team")</f>
        <v>Work with 2 to 3 people in my team</v>
      </c>
      <c r="Q1123" s="1" t="str">
        <f ca="1">IFERROR(__xludf.DUMMYFUNCTION("""COMPUTED_VALUE"""),"Yes, I Understand this is gonna happen everywhere")</f>
        <v>Yes, I Understand this is gonna happen everywhere</v>
      </c>
      <c r="R1123" s="1" t="str">
        <f ca="1">IFERROR(__xludf.DUMMYFUNCTION("""COMPUTED_VALUE"""),"This will be hard to do, but if it is the right company I would try")</f>
        <v>This will be hard to do, but if it is the right company I would try</v>
      </c>
      <c r="S1123" s="1"/>
    </row>
    <row r="1124" spans="1:19" ht="12.5" x14ac:dyDescent="0.25">
      <c r="A1124" s="2">
        <f ca="1">IFERROR(__xludf.DUMMYFUNCTION("""COMPUTED_VALUE"""),45044.0588253125)</f>
        <v>45044.058825312502</v>
      </c>
      <c r="B1124" s="1" t="str">
        <f ca="1">IFERROR(__xludf.DUMMYFUNCTION("""COMPUTED_VALUE"""),"India")</f>
        <v>India</v>
      </c>
      <c r="C1124" s="1">
        <f ca="1">IFERROR(__xludf.DUMMYFUNCTION("""COMPUTED_VALUE"""),500097)</f>
        <v>500097</v>
      </c>
      <c r="D1124" s="1" t="str">
        <f ca="1">IFERROR(__xludf.DUMMYFUNCTION("""COMPUTED_VALUE"""),"Female")</f>
        <v>Female</v>
      </c>
      <c r="E1124" s="1" t="str">
        <f ca="1">IFERROR(__xludf.DUMMYFUNCTION("""COMPUTED_VALUE"""),"Influencers who had successful careers")</f>
        <v>Influencers who had successful careers</v>
      </c>
      <c r="F1124" s="1" t="str">
        <f ca="1">IFERROR(__xludf.DUMMYFUNCTION("""COMPUTED_VALUE"""),"No, But if someone could bare the cost I will")</f>
        <v>No, But if someone could bare the cost I will</v>
      </c>
      <c r="G1124" s="1" t="str">
        <f ca="1">IFERROR(__xludf.DUMMYFUNCTION("""COMPUTED_VALUE"""),"Will work for 3 years or more")</f>
        <v>Will work for 3 years or more</v>
      </c>
      <c r="H1124" s="1" t="str">
        <f ca="1">IFERROR(__xludf.DUMMYFUNCTION("""COMPUTED_VALUE"""),"No")</f>
        <v>No</v>
      </c>
      <c r="I1124" s="1" t="str">
        <f ca="1">IFERROR(__xludf.DUMMYFUNCTION("""COMPUTED_VALUE"""),"Will NOT work for them")</f>
        <v>Will NOT work for them</v>
      </c>
      <c r="J1124" s="1">
        <f ca="1">IFERROR(__xludf.DUMMYFUNCTION("""COMPUTED_VALUE"""),1)</f>
        <v>1</v>
      </c>
      <c r="K1124" s="1" t="str">
        <f ca="1">IFERROR(__xludf.DUMMYFUNCTION("""COMPUTED_VALUE"""),"Hybrid Working Environment with less than 3 days a month at office")</f>
        <v>Hybrid Working Environment with less than 3 days a month at office</v>
      </c>
      <c r="L1124" s="1" t="str">
        <f ca="1">IFERROR(__xludf.DUMMYFUNCTION("""COMPUTED_VALUE"""),"Employer who rewards learning and enables that environment")</f>
        <v>Employer who rewards learning and enables that environment</v>
      </c>
      <c r="M112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24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1124" s="1" t="str">
        <f ca="1">IFERROR(__xludf.DUMMYFUNCTION("""COMPUTED_VALUE"""),"Manager who sets goal and helps me achieve it")</f>
        <v>Manager who sets goal and helps me achieve it</v>
      </c>
      <c r="P1124" s="1" t="str">
        <f ca="1">IFERROR(__xludf.DUMMYFUNCTION("""COMPUTED_VALUE"""),"Work with 5 to 6 people in my team")</f>
        <v>Work with 5 to 6 people in my team</v>
      </c>
      <c r="Q1124" s="1" t="str">
        <f ca="1">IFERROR(__xludf.DUMMYFUNCTION("""COMPUTED_VALUE"""),"No")</f>
        <v>No</v>
      </c>
      <c r="R1124" s="1" t="str">
        <f ca="1">IFERROR(__xludf.DUMMYFUNCTION("""COMPUTED_VALUE"""),"This will be hard to do, but if it is the right company I would try")</f>
        <v>This will be hard to do, but if it is the right company I would try</v>
      </c>
      <c r="S1124" s="1"/>
    </row>
    <row r="1125" spans="1:19" ht="12.5" x14ac:dyDescent="0.25">
      <c r="A1125" s="2">
        <f ca="1">IFERROR(__xludf.DUMMYFUNCTION("""COMPUTED_VALUE"""),45044.1029188425)</f>
        <v>45044.102918842502</v>
      </c>
      <c r="B1125" s="1" t="str">
        <f ca="1">IFERROR(__xludf.DUMMYFUNCTION("""COMPUTED_VALUE"""),"India")</f>
        <v>India</v>
      </c>
      <c r="C1125" s="1">
        <f ca="1">IFERROR(__xludf.DUMMYFUNCTION("""COMPUTED_VALUE"""),600122)</f>
        <v>600122</v>
      </c>
      <c r="D1125" s="1" t="str">
        <f ca="1">IFERROR(__xludf.DUMMYFUNCTION("""COMPUTED_VALUE"""),"Female")</f>
        <v>Female</v>
      </c>
      <c r="E1125" s="1" t="str">
        <f ca="1">IFERROR(__xludf.DUMMYFUNCTION("""COMPUTED_VALUE"""),"People from my circle, but not family members")</f>
        <v>People from my circle, but not family members</v>
      </c>
      <c r="F1125" s="1" t="str">
        <f ca="1">IFERROR(__xludf.DUMMYFUNCTION("""COMPUTED_VALUE"""),"Yes, I will earn and do that")</f>
        <v>Yes, I will earn and do that</v>
      </c>
      <c r="G1125" s="1" t="str">
        <f ca="1">IFERROR(__xludf.DUMMYFUNCTION("""COMPUTED_VALUE"""),"This will be hard to do, but if it is the right company I would try")</f>
        <v>This will be hard to do, but if it is the right company I would try</v>
      </c>
      <c r="H1125" s="1" t="str">
        <f ca="1">IFERROR(__xludf.DUMMYFUNCTION("""COMPUTED_VALUE"""),"No")</f>
        <v>No</v>
      </c>
      <c r="I1125" s="1" t="str">
        <f ca="1">IFERROR(__xludf.DUMMYFUNCTION("""COMPUTED_VALUE"""),"Will NOT work for them")</f>
        <v>Will NOT work for them</v>
      </c>
      <c r="J1125" s="1">
        <f ca="1">IFERROR(__xludf.DUMMYFUNCTION("""COMPUTED_VALUE"""),1)</f>
        <v>1</v>
      </c>
      <c r="K1125" s="1" t="str">
        <f ca="1">IFERROR(__xludf.DUMMYFUNCTION("""COMPUTED_VALUE"""),"Every Day Office Environment")</f>
        <v>Every Day Office Environment</v>
      </c>
      <c r="L1125" s="1" t="str">
        <f ca="1">IFERROR(__xludf.DUMMYFUNCTION("""COMPUTED_VALUE"""),"Employer who appreciates learning and enables that environment")</f>
        <v>Employer who appreciates learning and enables that environment</v>
      </c>
      <c r="M112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25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1125" s="1" t="str">
        <f ca="1">IFERROR(__xludf.DUMMYFUNCTION("""COMPUTED_VALUE"""),"Manager who explains what is expected, sets a goal and helps achieve it")</f>
        <v>Manager who explains what is expected, sets a goal and helps achieve it</v>
      </c>
      <c r="P1125" s="1" t="str">
        <f ca="1">IFERROR(__xludf.DUMMYFUNCTION("""COMPUTED_VALUE"""),"Work with 7 to 10 or more people in my team")</f>
        <v>Work with 7 to 10 or more people in my team</v>
      </c>
      <c r="Q1125" s="1" t="str">
        <f ca="1">IFERROR(__xludf.DUMMYFUNCTION("""COMPUTED_VALUE"""),"Yes, I Understand this is gonna happen everywhere")</f>
        <v>Yes, I Understand this is gonna happen everywhere</v>
      </c>
      <c r="R1125" s="1" t="str">
        <f ca="1">IFERROR(__xludf.DUMMYFUNCTION("""COMPUTED_VALUE"""),"This will be hard to do, but if it is the right company I would try")</f>
        <v>This will be hard to do, but if it is the right company I would try</v>
      </c>
      <c r="S1125" s="1"/>
    </row>
    <row r="1126" spans="1:19" ht="12.5" x14ac:dyDescent="0.25">
      <c r="A1126" s="2">
        <f ca="1">IFERROR(__xludf.DUMMYFUNCTION("""COMPUTED_VALUE"""),45044.1578602314)</f>
        <v>45044.157860231397</v>
      </c>
      <c r="B1126" s="1" t="str">
        <f ca="1">IFERROR(__xludf.DUMMYFUNCTION("""COMPUTED_VALUE"""),"India")</f>
        <v>India</v>
      </c>
      <c r="C1126" s="1">
        <f ca="1">IFERROR(__xludf.DUMMYFUNCTION("""COMPUTED_VALUE"""),600049)</f>
        <v>600049</v>
      </c>
      <c r="D1126" s="1" t="str">
        <f ca="1">IFERROR(__xludf.DUMMYFUNCTION("""COMPUTED_VALUE"""),"Female")</f>
        <v>Female</v>
      </c>
      <c r="E1126" s="1" t="str">
        <f ca="1">IFERROR(__xludf.DUMMYFUNCTION("""COMPUTED_VALUE"""),"People from my circle, but not family members")</f>
        <v>People from my circle, but not family members</v>
      </c>
      <c r="F1126" s="1" t="str">
        <f ca="1">IFERROR(__xludf.DUMMYFUNCTION("""COMPUTED_VALUE"""),"No, But if someone could bare the cost I will")</f>
        <v>No, But if someone could bare the cost I will</v>
      </c>
      <c r="G1126" s="1" t="str">
        <f ca="1">IFERROR(__xludf.DUMMYFUNCTION("""COMPUTED_VALUE"""),"Will work for 3 years or more")</f>
        <v>Will work for 3 years or more</v>
      </c>
      <c r="H1126" s="1" t="str">
        <f ca="1">IFERROR(__xludf.DUMMYFUNCTION("""COMPUTED_VALUE"""),"No")</f>
        <v>No</v>
      </c>
      <c r="I1126" s="1" t="str">
        <f ca="1">IFERROR(__xludf.DUMMYFUNCTION("""COMPUTED_VALUE"""),"Will work for them")</f>
        <v>Will work for them</v>
      </c>
      <c r="J1126" s="1">
        <f ca="1">IFERROR(__xludf.DUMMYFUNCTION("""COMPUTED_VALUE"""),8)</f>
        <v>8</v>
      </c>
      <c r="K1126" s="1" t="str">
        <f ca="1">IFERROR(__xludf.DUMMYFUNCTION("""COMPUTED_VALUE"""),"Hybrid Working Environment with more than 15 days a month at office")</f>
        <v>Hybrid Working Environment with more than 15 days a month at office</v>
      </c>
      <c r="L11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2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26" s="1" t="str">
        <f ca="1">IFERROR(__xludf.DUMMYFUNCTION("""COMPUTED_VALUE"""),"Teaching in any of the institutes/colleges/online or offline, Manage and drive End-to-End Projects or Products, Design and Develop amazing software, Look deeply into Data and generate insights")</f>
        <v>Teaching in any of the institutes/colleges/online or offline, Manage and drive End-to-End Projects or Products, Design and Develop amazing software, Look deeply into Data and generate insights</v>
      </c>
      <c r="O11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26" s="1" t="str">
        <f ca="1">IFERROR(__xludf.DUMMYFUNCTION("""COMPUTED_VALUE"""),"Work alone, Work with 5 to 6 people in my team")</f>
        <v>Work alone, Work with 5 to 6 people in my team</v>
      </c>
      <c r="Q1126" s="1" t="str">
        <f ca="1">IFERROR(__xludf.DUMMYFUNCTION("""COMPUTED_VALUE"""),"I have NO other choice")</f>
        <v>I have NO other choice</v>
      </c>
      <c r="R1126" s="1" t="str">
        <f ca="1">IFERROR(__xludf.DUMMYFUNCTION("""COMPUTED_VALUE"""),"No way")</f>
        <v>No way</v>
      </c>
      <c r="S1126" s="1"/>
    </row>
    <row r="1127" spans="1:19" ht="12.5" x14ac:dyDescent="0.25">
      <c r="A1127" s="2">
        <f ca="1">IFERROR(__xludf.DUMMYFUNCTION("""COMPUTED_VALUE"""),45044.1989993287)</f>
        <v>45044.198999328699</v>
      </c>
      <c r="B1127" s="1" t="str">
        <f ca="1">IFERROR(__xludf.DUMMYFUNCTION("""COMPUTED_VALUE"""),"India")</f>
        <v>India</v>
      </c>
      <c r="C1127" s="1">
        <f ca="1">IFERROR(__xludf.DUMMYFUNCTION("""COMPUTED_VALUE"""),500047)</f>
        <v>500047</v>
      </c>
      <c r="D1127" s="1" t="str">
        <f ca="1">IFERROR(__xludf.DUMMYFUNCTION("""COMPUTED_VALUE"""),"Male")</f>
        <v>Male</v>
      </c>
      <c r="E1127" s="1" t="str">
        <f ca="1">IFERROR(__xludf.DUMMYFUNCTION("""COMPUTED_VALUE"""),"People who have changed the world for better")</f>
        <v>People who have changed the world for better</v>
      </c>
      <c r="F1127" s="1" t="str">
        <f ca="1">IFERROR(__xludf.DUMMYFUNCTION("""COMPUTED_VALUE"""),"No I would not be pursuing Higher Education outside of India")</f>
        <v>No I would not be pursuing Higher Education outside of India</v>
      </c>
      <c r="G1127" s="1" t="str">
        <f ca="1">IFERROR(__xludf.DUMMYFUNCTION("""COMPUTED_VALUE"""),"Will work for 3 years or more")</f>
        <v>Will work for 3 years or more</v>
      </c>
      <c r="H1127" s="1" t="str">
        <f ca="1">IFERROR(__xludf.DUMMYFUNCTION("""COMPUTED_VALUE"""),"No")</f>
        <v>No</v>
      </c>
      <c r="I1127" s="1" t="str">
        <f ca="1">IFERROR(__xludf.DUMMYFUNCTION("""COMPUTED_VALUE"""),"Will NOT work for them")</f>
        <v>Will NOT work for them</v>
      </c>
      <c r="J1127" s="1">
        <f ca="1">IFERROR(__xludf.DUMMYFUNCTION("""COMPUTED_VALUE"""),6)</f>
        <v>6</v>
      </c>
      <c r="K1127" s="1" t="str">
        <f ca="1">IFERROR(__xludf.DUMMYFUNCTION("""COMPUTED_VALUE"""),"Fully Remote with No option to visit offices")</f>
        <v>Fully Remote with No option to visit offices</v>
      </c>
      <c r="L1127" s="1" t="str">
        <f ca="1">IFERROR(__xludf.DUMMYFUNCTION("""COMPUTED_VALUE"""),"Employer who appreciates learning and enables that environment")</f>
        <v>Employer who appreciates learning and enables that environment</v>
      </c>
      <c r="M112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27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127" s="1" t="str">
        <f ca="1">IFERROR(__xludf.DUMMYFUNCTION("""COMPUTED_VALUE"""),"Manager who explains what is expected, sets a goal and helps achieve it")</f>
        <v>Manager who explains what is expected, sets a goal and helps achieve it</v>
      </c>
      <c r="P1127" s="1" t="str">
        <f ca="1">IFERROR(__xludf.DUMMYFUNCTION("""COMPUTED_VALUE"""),"Work with 5 to 6 people in my team")</f>
        <v>Work with 5 to 6 people in my team</v>
      </c>
      <c r="Q1127" s="1" t="str">
        <f ca="1">IFERROR(__xludf.DUMMYFUNCTION("""COMPUTED_VALUE"""),"Yes, I Understand this is gonna happen everywhere")</f>
        <v>Yes, I Understand this is gonna happen everywhere</v>
      </c>
      <c r="R1127" s="1" t="str">
        <f ca="1">IFERROR(__xludf.DUMMYFUNCTION("""COMPUTED_VALUE"""),"Will work for 7 years or more")</f>
        <v>Will work for 7 years or more</v>
      </c>
      <c r="S1127" s="1"/>
    </row>
    <row r="1128" spans="1:19" ht="12.5" x14ac:dyDescent="0.25">
      <c r="A1128" s="2">
        <f ca="1">IFERROR(__xludf.DUMMYFUNCTION("""COMPUTED_VALUE"""),45044.204183206)</f>
        <v>45044.204183205999</v>
      </c>
      <c r="B1128" s="1" t="str">
        <f ca="1">IFERROR(__xludf.DUMMYFUNCTION("""COMPUTED_VALUE"""),"Others")</f>
        <v>Others</v>
      </c>
      <c r="C1128" s="1" t="str">
        <f ca="1">IFERROR(__xludf.DUMMYFUNCTION("""COMPUTED_VALUE"""),"GL50")</f>
        <v>GL50</v>
      </c>
      <c r="D1128" s="1" t="str">
        <f ca="1">IFERROR(__xludf.DUMMYFUNCTION("""COMPUTED_VALUE"""),"Female")</f>
        <v>Female</v>
      </c>
      <c r="E1128" s="1" t="str">
        <f ca="1">IFERROR(__xludf.DUMMYFUNCTION("""COMPUTED_VALUE"""),"People who have changed the world for better")</f>
        <v>People who have changed the world for better</v>
      </c>
      <c r="F1128" s="1" t="str">
        <f ca="1">IFERROR(__xludf.DUMMYFUNCTION("""COMPUTED_VALUE"""),"Yes, I will earn and do that")</f>
        <v>Yes, I will earn and do that</v>
      </c>
      <c r="G1128" s="1" t="str">
        <f ca="1">IFERROR(__xludf.DUMMYFUNCTION("""COMPUTED_VALUE"""),"Will work for 3 years or more")</f>
        <v>Will work for 3 years or more</v>
      </c>
      <c r="H1128" s="1" t="str">
        <f ca="1">IFERROR(__xludf.DUMMYFUNCTION("""COMPUTED_VALUE"""),"No")</f>
        <v>No</v>
      </c>
      <c r="I1128" s="1" t="str">
        <f ca="1">IFERROR(__xludf.DUMMYFUNCTION("""COMPUTED_VALUE"""),"Will NOT work for them")</f>
        <v>Will NOT work for them</v>
      </c>
      <c r="J1128" s="1">
        <f ca="1">IFERROR(__xludf.DUMMYFUNCTION("""COMPUTED_VALUE"""),8)</f>
        <v>8</v>
      </c>
      <c r="K1128" s="1" t="str">
        <f ca="1">IFERROR(__xludf.DUMMYFUNCTION("""COMPUTED_VALUE"""),"Fully Remote with Options to travel as and when needed")</f>
        <v>Fully Remote with Options to travel as and when needed</v>
      </c>
      <c r="L11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2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28" s="1" t="str">
        <f ca="1">IFERROR(__xludf.DUMMYFUNCTION("""COMPUTED_VALUE"""),"Design and Creative strategy in any company, Manage and drive End-to-End Projects or Products, Build and develop a Team, An Artificial Intelligence Specialist / Talking to Robots")</f>
        <v>Design and Creative strategy in any company, Manage and drive End-to-End Projects or Products, Build and develop a Team, An Artificial Intelligence Specialist / Talking to Robots</v>
      </c>
      <c r="O1128" s="1" t="str">
        <f ca="1">IFERROR(__xludf.DUMMYFUNCTION("""COMPUTED_VALUE"""),"Manager who explains what is expected, sets a goal and helps achieve it")</f>
        <v>Manager who explains what is expected, sets a goal and helps achieve it</v>
      </c>
      <c r="P1128" s="1" t="str">
        <f ca="1">IFERROR(__xludf.DUMMYFUNCTION("""COMPUTED_VALUE"""),"Work with 7 to 10 or more people in my team")</f>
        <v>Work with 7 to 10 or more people in my team</v>
      </c>
      <c r="Q1128" s="1" t="str">
        <f ca="1">IFERROR(__xludf.DUMMYFUNCTION("""COMPUTED_VALUE"""),"Yes, I Understand this is gonna happen everywhere")</f>
        <v>Yes, I Understand this is gonna happen everywhere</v>
      </c>
      <c r="R1128" s="1" t="str">
        <f ca="1">IFERROR(__xludf.DUMMYFUNCTION("""COMPUTED_VALUE"""),"Will work for 7 years or more")</f>
        <v>Will work for 7 years or more</v>
      </c>
      <c r="S1128" s="1"/>
    </row>
    <row r="1129" spans="1:19" ht="12.5" x14ac:dyDescent="0.25">
      <c r="A1129" s="2">
        <f ca="1">IFERROR(__xludf.DUMMYFUNCTION("""COMPUTED_VALUE"""),45044.2162216319)</f>
        <v>45044.216221631897</v>
      </c>
      <c r="B1129" s="1" t="str">
        <f ca="1">IFERROR(__xludf.DUMMYFUNCTION("""COMPUTED_VALUE"""),"India")</f>
        <v>India</v>
      </c>
      <c r="C1129" s="1">
        <f ca="1">IFERROR(__xludf.DUMMYFUNCTION("""COMPUTED_VALUE"""),500037)</f>
        <v>500037</v>
      </c>
      <c r="D1129" s="1" t="str">
        <f ca="1">IFERROR(__xludf.DUMMYFUNCTION("""COMPUTED_VALUE"""),"Male")</f>
        <v>Male</v>
      </c>
      <c r="E1129" s="1" t="str">
        <f ca="1">IFERROR(__xludf.DUMMYFUNCTION("""COMPUTED_VALUE"""),"People who have changed the world for better")</f>
        <v>People who have changed the world for better</v>
      </c>
      <c r="F1129" s="1" t="str">
        <f ca="1">IFERROR(__xludf.DUMMYFUNCTION("""COMPUTED_VALUE"""),"No, But if someone could bare the cost I will")</f>
        <v>No, But if someone could bare the cost I will</v>
      </c>
      <c r="G1129" s="1" t="str">
        <f ca="1">IFERROR(__xludf.DUMMYFUNCTION("""COMPUTED_VALUE"""),"Will work for 3 years or more")</f>
        <v>Will work for 3 years or more</v>
      </c>
      <c r="H1129" s="1" t="str">
        <f ca="1">IFERROR(__xludf.DUMMYFUNCTION("""COMPUTED_VALUE"""),"Yes")</f>
        <v>Yes</v>
      </c>
      <c r="I1129" s="1" t="str">
        <f ca="1">IFERROR(__xludf.DUMMYFUNCTION("""COMPUTED_VALUE"""),"Will work for them")</f>
        <v>Will work for them</v>
      </c>
      <c r="J1129" s="1">
        <f ca="1">IFERROR(__xludf.DUMMYFUNCTION("""COMPUTED_VALUE"""),5)</f>
        <v>5</v>
      </c>
      <c r="K1129" s="1" t="str">
        <f ca="1">IFERROR(__xludf.DUMMYFUNCTION("""COMPUTED_VALUE"""),"Every Day Office Environment")</f>
        <v>Every Day Office Environment</v>
      </c>
      <c r="L1129" s="1" t="str">
        <f ca="1">IFERROR(__xludf.DUMMYFUNCTION("""COMPUTED_VALUE"""),"Employer who rewards learning and enables that environment")</f>
        <v>Employer who rewards learning and enables that environment</v>
      </c>
      <c r="M112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29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1129" s="1" t="str">
        <f ca="1">IFERROR(__xludf.DUMMYFUNCTION("""COMPUTED_VALUE"""),"Manager who explains what is expected, sets a goal and helps achieve it")</f>
        <v>Manager who explains what is expected, sets a goal and helps achieve it</v>
      </c>
      <c r="P1129" s="1" t="str">
        <f ca="1">IFERROR(__xludf.DUMMYFUNCTION("""COMPUTED_VALUE"""),"Work with 2 to 3 people in my team")</f>
        <v>Work with 2 to 3 people in my team</v>
      </c>
      <c r="Q1129" s="1" t="str">
        <f ca="1">IFERROR(__xludf.DUMMYFUNCTION("""COMPUTED_VALUE"""),"Yes, I Understand this is gonna happen everywhere")</f>
        <v>Yes, I Understand this is gonna happen everywhere</v>
      </c>
      <c r="R1129" s="1" t="str">
        <f ca="1">IFERROR(__xludf.DUMMYFUNCTION("""COMPUTED_VALUE"""),"This will be hard to do, but if it is the right company I would try")</f>
        <v>This will be hard to do, but if it is the right company I would try</v>
      </c>
      <c r="S1129" s="1"/>
    </row>
    <row r="1130" spans="1:19" ht="12.5" x14ac:dyDescent="0.25">
      <c r="A1130" s="2">
        <f ca="1">IFERROR(__xludf.DUMMYFUNCTION("""COMPUTED_VALUE"""),45044.2212982291)</f>
        <v>45044.221298229102</v>
      </c>
      <c r="B1130" s="1" t="str">
        <f ca="1">IFERROR(__xludf.DUMMYFUNCTION("""COMPUTED_VALUE"""),"India")</f>
        <v>India</v>
      </c>
      <c r="C1130" s="1">
        <f ca="1">IFERROR(__xludf.DUMMYFUNCTION("""COMPUTED_VALUE"""),501218)</f>
        <v>501218</v>
      </c>
      <c r="D1130" s="1" t="str">
        <f ca="1">IFERROR(__xludf.DUMMYFUNCTION("""COMPUTED_VALUE"""),"Female")</f>
        <v>Female</v>
      </c>
      <c r="E1130" s="1" t="str">
        <f ca="1">IFERROR(__xludf.DUMMYFUNCTION("""COMPUTED_VALUE"""),"My Parents")</f>
        <v>My Parents</v>
      </c>
      <c r="F1130" s="1" t="str">
        <f ca="1">IFERROR(__xludf.DUMMYFUNCTION("""COMPUTED_VALUE"""),"No, But if someone could bare the cost I will")</f>
        <v>No, But if someone could bare the cost I will</v>
      </c>
      <c r="G1130" s="1" t="str">
        <f ca="1">IFERROR(__xludf.DUMMYFUNCTION("""COMPUTED_VALUE"""),"This will be hard to do, but if it is the right company I would try")</f>
        <v>This will be hard to do, but if it is the right company I would try</v>
      </c>
      <c r="H1130" s="1" t="str">
        <f ca="1">IFERROR(__xludf.DUMMYFUNCTION("""COMPUTED_VALUE"""),"Yes")</f>
        <v>Yes</v>
      </c>
      <c r="I1130" s="1" t="str">
        <f ca="1">IFERROR(__xludf.DUMMYFUNCTION("""COMPUTED_VALUE"""),"Will NOT work for them")</f>
        <v>Will NOT work for them</v>
      </c>
      <c r="J1130" s="1">
        <f ca="1">IFERROR(__xludf.DUMMYFUNCTION("""COMPUTED_VALUE"""),8)</f>
        <v>8</v>
      </c>
      <c r="K1130" s="1" t="str">
        <f ca="1">IFERROR(__xludf.DUMMYFUNCTION("""COMPUTED_VALUE"""),"Hybrid Working Environment with less than 3 days a month at office")</f>
        <v>Hybrid Working Environment with less than 3 days a month at office</v>
      </c>
      <c r="L11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3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30" s="1" t="str">
        <f ca="1">IFERROR(__xludf.DUMMYFUNCTION("""COMPUTED_VALUE"""),"Design and Creative strategy in any company, Design and Develop amazing software, Look deeply into Data and generate insights, Work in a BPO setup for some well known client")</f>
        <v>Design and Creative strategy in any company, Design and Develop amazing software, Look deeply into Data and generate insights, Work in a BPO setup for some well known client</v>
      </c>
      <c r="O1130" s="1" t="str">
        <f ca="1">IFERROR(__xludf.DUMMYFUNCTION("""COMPUTED_VALUE"""),"Manager who explains what is expected, sets a goal and helps achieve it")</f>
        <v>Manager who explains what is expected, sets a goal and helps achieve it</v>
      </c>
      <c r="P1130" s="1" t="str">
        <f ca="1">IFERROR(__xludf.DUMMYFUNCTION("""COMPUTED_VALUE"""),"Work with 2 to 3 people in my team")</f>
        <v>Work with 2 to 3 people in my team</v>
      </c>
      <c r="Q1130" s="1" t="str">
        <f ca="1">IFERROR(__xludf.DUMMYFUNCTION("""COMPUTED_VALUE"""),"Yes, I Understand this is gonna happen everywhere")</f>
        <v>Yes, I Understand this is gonna happen everywhere</v>
      </c>
      <c r="R1130" s="1" t="str">
        <f ca="1">IFERROR(__xludf.DUMMYFUNCTION("""COMPUTED_VALUE"""),"This will be hard to do, but if it is the right company I would try")</f>
        <v>This will be hard to do, but if it is the right company I would try</v>
      </c>
      <c r="S1130" s="1"/>
    </row>
    <row r="1131" spans="1:19" ht="12.5" x14ac:dyDescent="0.25">
      <c r="A1131" s="2">
        <f ca="1">IFERROR(__xludf.DUMMYFUNCTION("""COMPUTED_VALUE"""),45044.2248980671)</f>
        <v>45044.224898067099</v>
      </c>
      <c r="B1131" s="1" t="str">
        <f ca="1">IFERROR(__xludf.DUMMYFUNCTION("""COMPUTED_VALUE"""),"India")</f>
        <v>India</v>
      </c>
      <c r="C1131" s="1">
        <f ca="1">IFERROR(__xludf.DUMMYFUNCTION("""COMPUTED_VALUE"""),530046)</f>
        <v>530046</v>
      </c>
      <c r="D1131" s="1" t="str">
        <f ca="1">IFERROR(__xludf.DUMMYFUNCTION("""COMPUTED_VALUE"""),"Female")</f>
        <v>Female</v>
      </c>
      <c r="E1131" s="1" t="str">
        <f ca="1">IFERROR(__xludf.DUMMYFUNCTION("""COMPUTED_VALUE"""),"My Parents")</f>
        <v>My Parents</v>
      </c>
      <c r="F1131" s="1" t="str">
        <f ca="1">IFERROR(__xludf.DUMMYFUNCTION("""COMPUTED_VALUE"""),"No I would not be pursuing Higher Education outside of India")</f>
        <v>No I would not be pursuing Higher Education outside of India</v>
      </c>
      <c r="G1131" s="1" t="str">
        <f ca="1">IFERROR(__xludf.DUMMYFUNCTION("""COMPUTED_VALUE"""),"This will be hard to do, but if it is the right company I would try")</f>
        <v>This will be hard to do, but if it is the right company I would try</v>
      </c>
      <c r="H1131" s="1" t="str">
        <f ca="1">IFERROR(__xludf.DUMMYFUNCTION("""COMPUTED_VALUE"""),"No")</f>
        <v>No</v>
      </c>
      <c r="I1131" s="1" t="str">
        <f ca="1">IFERROR(__xludf.DUMMYFUNCTION("""COMPUTED_VALUE"""),"Will NOT work for them")</f>
        <v>Will NOT work for them</v>
      </c>
      <c r="J1131" s="1">
        <f ca="1">IFERROR(__xludf.DUMMYFUNCTION("""COMPUTED_VALUE"""),3)</f>
        <v>3</v>
      </c>
      <c r="K1131" s="1" t="str">
        <f ca="1">IFERROR(__xludf.DUMMYFUNCTION("""COMPUTED_VALUE"""),"Every Day Office Environment")</f>
        <v>Every Day Office Environment</v>
      </c>
      <c r="L11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3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31" s="1" t="str">
        <f ca="1">IFERROR(__xludf.DUMMYFUNCTION("""COMPUTED_VALUE"""),"Design and Creative strategy in any company, Teaching in any of the institutes/colleges/online or offline, Design and Develop amazing software, An Artificial Intelligence Specialist / Talking to Robots")</f>
        <v>Design and Creative strategy in any company, Teaching in any of the institutes/colleges/online or offline, Design and Develop amazing software, An Artificial Intelligence Specialist / Talking to Robots</v>
      </c>
      <c r="O1131" s="1" t="str">
        <f ca="1">IFERROR(__xludf.DUMMYFUNCTION("""COMPUTED_VALUE"""),"Manager who explains what is expected, sets a goal and helps achieve it")</f>
        <v>Manager who explains what is expected, sets a goal and helps achieve it</v>
      </c>
      <c r="P1131" s="1" t="str">
        <f ca="1">IFERROR(__xludf.DUMMYFUNCTION("""COMPUTED_VALUE"""),"Work with 5 to 6 people in my team")</f>
        <v>Work with 5 to 6 people in my team</v>
      </c>
      <c r="Q1131" s="1" t="str">
        <f ca="1">IFERROR(__xludf.DUMMYFUNCTION("""COMPUTED_VALUE"""),"Yes, I Understand this is gonna happen everywhere")</f>
        <v>Yes, I Understand this is gonna happen everywhere</v>
      </c>
      <c r="R1131" s="1" t="str">
        <f ca="1">IFERROR(__xludf.DUMMYFUNCTION("""COMPUTED_VALUE"""),"This will be hard to do, but if it is the right company I would try")</f>
        <v>This will be hard to do, but if it is the right company I would try</v>
      </c>
      <c r="S1131" s="1"/>
    </row>
    <row r="1132" spans="1:19" ht="12.5" x14ac:dyDescent="0.25">
      <c r="A1132" s="2">
        <f ca="1">IFERROR(__xludf.DUMMYFUNCTION("""COMPUTED_VALUE"""),45044.2525910532)</f>
        <v>45044.252591053199</v>
      </c>
      <c r="B1132" s="1" t="str">
        <f ca="1">IFERROR(__xludf.DUMMYFUNCTION("""COMPUTED_VALUE"""),"India")</f>
        <v>India</v>
      </c>
      <c r="C1132" s="1">
        <f ca="1">IFERROR(__xludf.DUMMYFUNCTION("""COMPUTED_VALUE"""),530051)</f>
        <v>530051</v>
      </c>
      <c r="D1132" s="1" t="str">
        <f ca="1">IFERROR(__xludf.DUMMYFUNCTION("""COMPUTED_VALUE"""),"Male")</f>
        <v>Male</v>
      </c>
      <c r="E1132" s="1" t="str">
        <f ca="1">IFERROR(__xludf.DUMMYFUNCTION("""COMPUTED_VALUE"""),"Influencers who had successful careers")</f>
        <v>Influencers who had successful careers</v>
      </c>
      <c r="F1132" s="1" t="str">
        <f ca="1">IFERROR(__xludf.DUMMYFUNCTION("""COMPUTED_VALUE"""),"No I would not be pursuing Higher Education outside of India")</f>
        <v>No I would not be pursuing Higher Education outside of India</v>
      </c>
      <c r="G1132" s="1" t="str">
        <f ca="1">IFERROR(__xludf.DUMMYFUNCTION("""COMPUTED_VALUE"""),"This will be hard to do, but if it is the right company I would try")</f>
        <v>This will be hard to do, but if it is the right company I would try</v>
      </c>
      <c r="H1132" s="1" t="str">
        <f ca="1">IFERROR(__xludf.DUMMYFUNCTION("""COMPUTED_VALUE"""),"No")</f>
        <v>No</v>
      </c>
      <c r="I1132" s="1" t="str">
        <f ca="1">IFERROR(__xludf.DUMMYFUNCTION("""COMPUTED_VALUE"""),"Will NOT work for them")</f>
        <v>Will NOT work for them</v>
      </c>
      <c r="J1132" s="1">
        <f ca="1">IFERROR(__xludf.DUMMYFUNCTION("""COMPUTED_VALUE"""),5)</f>
        <v>5</v>
      </c>
      <c r="K1132" s="1" t="str">
        <f ca="1">IFERROR(__xludf.DUMMYFUNCTION("""COMPUTED_VALUE"""),"Fully Remote with Options to travel as and when needed")</f>
        <v>Fully Remote with Options to travel as and when needed</v>
      </c>
      <c r="L11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3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32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1132" s="1" t="str">
        <f ca="1">IFERROR(__xludf.DUMMYFUNCTION("""COMPUTED_VALUE"""),"Manager who explains what is expected, sets a goal and helps achieve it")</f>
        <v>Manager who explains what is expected, sets a goal and helps achieve it</v>
      </c>
      <c r="P1132" s="1" t="str">
        <f ca="1">IFERROR(__xludf.DUMMYFUNCTION("""COMPUTED_VALUE"""),"Work with 2 to 3 people in my team")</f>
        <v>Work with 2 to 3 people in my team</v>
      </c>
      <c r="Q1132" s="1" t="str">
        <f ca="1">IFERROR(__xludf.DUMMYFUNCTION("""COMPUTED_VALUE"""),"Yes, I Understand this is gonna happen everywhere")</f>
        <v>Yes, I Understand this is gonna happen everywhere</v>
      </c>
      <c r="R1132" s="1" t="str">
        <f ca="1">IFERROR(__xludf.DUMMYFUNCTION("""COMPUTED_VALUE"""),"This will be hard to do, but if it is the right company I would try")</f>
        <v>This will be hard to do, but if it is the right company I would try</v>
      </c>
      <c r="S1132" s="1"/>
    </row>
    <row r="1133" spans="1:19" ht="12.5" x14ac:dyDescent="0.25">
      <c r="A1133" s="2">
        <f ca="1">IFERROR(__xludf.DUMMYFUNCTION("""COMPUTED_VALUE"""),45044.2614409838)</f>
        <v>45044.261440983799</v>
      </c>
      <c r="B1133" s="1" t="str">
        <f ca="1">IFERROR(__xludf.DUMMYFUNCTION("""COMPUTED_VALUE"""),"India")</f>
        <v>India</v>
      </c>
      <c r="C1133" s="1">
        <f ca="1">IFERROR(__xludf.DUMMYFUNCTION("""COMPUTED_VALUE"""),501510)</f>
        <v>501510</v>
      </c>
      <c r="D1133" s="1" t="str">
        <f ca="1">IFERROR(__xludf.DUMMYFUNCTION("""COMPUTED_VALUE"""),"Female")</f>
        <v>Female</v>
      </c>
      <c r="E1133" s="1" t="str">
        <f ca="1">IFERROR(__xludf.DUMMYFUNCTION("""COMPUTED_VALUE"""),"My Parents")</f>
        <v>My Parents</v>
      </c>
      <c r="F1133" s="1" t="str">
        <f ca="1">IFERROR(__xludf.DUMMYFUNCTION("""COMPUTED_VALUE"""),"Yes, I will earn and do that")</f>
        <v>Yes, I will earn and do that</v>
      </c>
      <c r="G1133" s="1" t="str">
        <f ca="1">IFERROR(__xludf.DUMMYFUNCTION("""COMPUTED_VALUE"""),"Will work for 3 years or more")</f>
        <v>Will work for 3 years or more</v>
      </c>
      <c r="H1133" s="1" t="str">
        <f ca="1">IFERROR(__xludf.DUMMYFUNCTION("""COMPUTED_VALUE"""),"No")</f>
        <v>No</v>
      </c>
      <c r="I1133" s="1" t="str">
        <f ca="1">IFERROR(__xludf.DUMMYFUNCTION("""COMPUTED_VALUE"""),"Will NOT work for them")</f>
        <v>Will NOT work for them</v>
      </c>
      <c r="J1133" s="1">
        <f ca="1">IFERROR(__xludf.DUMMYFUNCTION("""COMPUTED_VALUE"""),5)</f>
        <v>5</v>
      </c>
      <c r="K1133" s="1" t="str">
        <f ca="1">IFERROR(__xludf.DUMMYFUNCTION("""COMPUTED_VALUE"""),"Fully Remote with Options to travel as and when needed")</f>
        <v>Fully Remote with Options to travel as and when needed</v>
      </c>
      <c r="L11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33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133" s="1" t="str">
        <f ca="1">IFERROR(__xludf.DUMMYFUNCTION("""COMPUTED_VALUE"""),"Design and Creative strategy in any company, Manage and drive End-to-End Projects or Products, Design and Develop amazing software, Work in a BPO setup for some well known client")</f>
        <v>Design and Creative strategy in any company, Manage and drive End-to-End Projects or Products, Design and Develop amazing software, Work in a BPO setup for some well known client</v>
      </c>
      <c r="O1133" s="1" t="str">
        <f ca="1">IFERROR(__xludf.DUMMYFUNCTION("""COMPUTED_VALUE"""),"Manager who sets goal and helps me achieve it")</f>
        <v>Manager who sets goal and helps me achieve it</v>
      </c>
      <c r="P1133" s="1" t="str">
        <f ca="1">IFERROR(__xludf.DUMMYFUNCTION("""COMPUTED_VALUE"""),"Work with 5 to 6 people in my team")</f>
        <v>Work with 5 to 6 people in my team</v>
      </c>
      <c r="Q1133" s="1" t="str">
        <f ca="1">IFERROR(__xludf.DUMMYFUNCTION("""COMPUTED_VALUE"""),"Yes, I Understand this is gonna happen everywhere")</f>
        <v>Yes, I Understand this is gonna happen everywhere</v>
      </c>
      <c r="R1133" s="1" t="str">
        <f ca="1">IFERROR(__xludf.DUMMYFUNCTION("""COMPUTED_VALUE"""),"Will work for 7 years or more")</f>
        <v>Will work for 7 years or more</v>
      </c>
      <c r="S1133" s="1"/>
    </row>
    <row r="1134" spans="1:19" ht="12.5" x14ac:dyDescent="0.25">
      <c r="A1134" s="2">
        <f ca="1">IFERROR(__xludf.DUMMYFUNCTION("""COMPUTED_VALUE"""),45044.2635573379)</f>
        <v>45044.263557337901</v>
      </c>
      <c r="B1134" s="1" t="str">
        <f ca="1">IFERROR(__xludf.DUMMYFUNCTION("""COMPUTED_VALUE"""),"India")</f>
        <v>India</v>
      </c>
      <c r="C1134" s="1">
        <f ca="1">IFERROR(__xludf.DUMMYFUNCTION("""COMPUTED_VALUE"""),530051)</f>
        <v>530051</v>
      </c>
      <c r="D1134" s="1" t="str">
        <f ca="1">IFERROR(__xludf.DUMMYFUNCTION("""COMPUTED_VALUE"""),"Female")</f>
        <v>Female</v>
      </c>
      <c r="E1134" s="1" t="str">
        <f ca="1">IFERROR(__xludf.DUMMYFUNCTION("""COMPUTED_VALUE"""),"My Parents")</f>
        <v>My Parents</v>
      </c>
      <c r="F1134" s="1" t="str">
        <f ca="1">IFERROR(__xludf.DUMMYFUNCTION("""COMPUTED_VALUE"""),"Yes, I will earn and do that")</f>
        <v>Yes, I will earn and do that</v>
      </c>
      <c r="G1134" s="1" t="str">
        <f ca="1">IFERROR(__xludf.DUMMYFUNCTION("""COMPUTED_VALUE"""),"No way")</f>
        <v>No way</v>
      </c>
      <c r="H1134" s="1" t="str">
        <f ca="1">IFERROR(__xludf.DUMMYFUNCTION("""COMPUTED_VALUE"""),"No")</f>
        <v>No</v>
      </c>
      <c r="I1134" s="1" t="str">
        <f ca="1">IFERROR(__xludf.DUMMYFUNCTION("""COMPUTED_VALUE"""),"Will NOT work for them")</f>
        <v>Will NOT work for them</v>
      </c>
      <c r="J1134" s="1">
        <f ca="1">IFERROR(__xludf.DUMMYFUNCTION("""COMPUTED_VALUE"""),1)</f>
        <v>1</v>
      </c>
      <c r="K1134" s="1" t="str">
        <f ca="1">IFERROR(__xludf.DUMMYFUNCTION("""COMPUTED_VALUE"""),"Fully Remote with Options to travel as and when needed")</f>
        <v>Fully Remote with Options to travel as and when needed</v>
      </c>
      <c r="L11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3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34" s="1" t="str">
        <f ca="1">IFERROR(__xludf.DUMMYFUNCTION("""COMPUTED_VALUE"""),"Become a content Creator in some platform, Entrepreneur or Start Up, I Want to sell things/Sales, An Artificial Intelligence Specialist / Talking to Robots")</f>
        <v>Become a content Creator in some platform, Entrepreneur or Start Up, I Want to sell things/Sales, An Artificial Intelligence Specialist / Talking to Robots</v>
      </c>
      <c r="O1134" s="1" t="str">
        <f ca="1">IFERROR(__xludf.DUMMYFUNCTION("""COMPUTED_VALUE"""),"Manager who explains what is expected, sets a goal and helps achieve it")</f>
        <v>Manager who explains what is expected, sets a goal and helps achieve it</v>
      </c>
      <c r="P1134" s="1" t="str">
        <f ca="1">IFERROR(__xludf.DUMMYFUNCTION("""COMPUTED_VALUE"""),"Work with 2 to 3 people in my team")</f>
        <v>Work with 2 to 3 people in my team</v>
      </c>
      <c r="Q1134" s="1" t="str">
        <f ca="1">IFERROR(__xludf.DUMMYFUNCTION("""COMPUTED_VALUE"""),"No")</f>
        <v>No</v>
      </c>
      <c r="R1134" s="1" t="str">
        <f ca="1">IFERROR(__xludf.DUMMYFUNCTION("""COMPUTED_VALUE"""),"No way")</f>
        <v>No way</v>
      </c>
      <c r="S1134" s="1"/>
    </row>
    <row r="1135" spans="1:19" ht="12.5" x14ac:dyDescent="0.25">
      <c r="A1135" s="2">
        <f ca="1">IFERROR(__xludf.DUMMYFUNCTION("""COMPUTED_VALUE"""),45044.2656138078)</f>
        <v>45044.265613807802</v>
      </c>
      <c r="B1135" s="1" t="str">
        <f ca="1">IFERROR(__xludf.DUMMYFUNCTION("""COMPUTED_VALUE"""),"India")</f>
        <v>India</v>
      </c>
      <c r="C1135" s="1">
        <f ca="1">IFERROR(__xludf.DUMMYFUNCTION("""COMPUTED_VALUE"""),530029)</f>
        <v>530029</v>
      </c>
      <c r="D1135" s="1" t="str">
        <f ca="1">IFERROR(__xludf.DUMMYFUNCTION("""COMPUTED_VALUE"""),"Male")</f>
        <v>Male</v>
      </c>
      <c r="E1135" s="1" t="str">
        <f ca="1">IFERROR(__xludf.DUMMYFUNCTION("""COMPUTED_VALUE"""),"People from my circle, but not family members")</f>
        <v>People from my circle, but not family members</v>
      </c>
      <c r="F1135" s="1" t="str">
        <f ca="1">IFERROR(__xludf.DUMMYFUNCTION("""COMPUTED_VALUE"""),"No, But if someone could bare the cost I will")</f>
        <v>No, But if someone could bare the cost I will</v>
      </c>
      <c r="G1135" s="1" t="str">
        <f ca="1">IFERROR(__xludf.DUMMYFUNCTION("""COMPUTED_VALUE"""),"This will be hard to do, but if it is the right company I would try")</f>
        <v>This will be hard to do, but if it is the right company I would try</v>
      </c>
      <c r="H1135" s="1" t="str">
        <f ca="1">IFERROR(__xludf.DUMMYFUNCTION("""COMPUTED_VALUE"""),"No")</f>
        <v>No</v>
      </c>
      <c r="I1135" s="1" t="str">
        <f ca="1">IFERROR(__xludf.DUMMYFUNCTION("""COMPUTED_VALUE"""),"Will NOT work for them")</f>
        <v>Will NOT work for them</v>
      </c>
      <c r="J1135" s="1">
        <f ca="1">IFERROR(__xludf.DUMMYFUNCTION("""COMPUTED_VALUE"""),1)</f>
        <v>1</v>
      </c>
      <c r="K1135" s="1" t="str">
        <f ca="1">IFERROR(__xludf.DUMMYFUNCTION("""COMPUTED_VALUE"""),"Fully Remote with Options to travel as and when needed")</f>
        <v>Fully Remote with Options to travel as and when needed</v>
      </c>
      <c r="L1135" s="1" t="str">
        <f ca="1">IFERROR(__xludf.DUMMYFUNCTION("""COMPUTED_VALUE"""),"Employer who appreciates learning and enables that environment")</f>
        <v>Employer who appreciates learning and enables that environment</v>
      </c>
      <c r="M113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35" s="1" t="str">
        <f ca="1">IFERROR(__xludf.DUMMYFUNCTION("""COMPUTED_VALUE"""),"Design and Creative strategy in any company, Look deeply into Data and generate insights, Become a content Creator in some platform, An Artificial Intelligence Specialist / Talking to Robots")</f>
        <v>Design and Creative strategy in any company, Look deeply into Data and generate insights, Become a content Creator in some platform, An Artificial Intelligence Specialist / Talking to Robots</v>
      </c>
      <c r="O1135" s="1" t="str">
        <f ca="1">IFERROR(__xludf.DUMMYFUNCTION("""COMPUTED_VALUE"""),"Manager who explains what is expected, sets a goal and helps achieve it")</f>
        <v>Manager who explains what is expected, sets a goal and helps achieve it</v>
      </c>
      <c r="P1135" s="1" t="str">
        <f ca="1">IFERROR(__xludf.DUMMYFUNCTION("""COMPUTED_VALUE"""),"Work with 5 to 6 people in my team")</f>
        <v>Work with 5 to 6 people in my team</v>
      </c>
      <c r="Q1135" s="1" t="str">
        <f ca="1">IFERROR(__xludf.DUMMYFUNCTION("""COMPUTED_VALUE"""),"No")</f>
        <v>No</v>
      </c>
      <c r="R1135" s="1" t="str">
        <f ca="1">IFERROR(__xludf.DUMMYFUNCTION("""COMPUTED_VALUE"""),"This will be hard to do, but if it is the right company I would try")</f>
        <v>This will be hard to do, but if it is the right company I would try</v>
      </c>
      <c r="S1135" s="1"/>
    </row>
    <row r="1136" spans="1:19" ht="12.5" x14ac:dyDescent="0.25">
      <c r="A1136" s="2">
        <f ca="1">IFERROR(__xludf.DUMMYFUNCTION("""COMPUTED_VALUE"""),45044.2665764583)</f>
        <v>45044.2665764583</v>
      </c>
      <c r="B1136" s="1" t="str">
        <f ca="1">IFERROR(__xludf.DUMMYFUNCTION("""COMPUTED_VALUE"""),"India")</f>
        <v>India</v>
      </c>
      <c r="C1136" s="1">
        <f ca="1">IFERROR(__xludf.DUMMYFUNCTION("""COMPUTED_VALUE"""),530007)</f>
        <v>530007</v>
      </c>
      <c r="D1136" s="1" t="str">
        <f ca="1">IFERROR(__xludf.DUMMYFUNCTION("""COMPUTED_VALUE"""),"Female")</f>
        <v>Female</v>
      </c>
      <c r="E1136" s="1" t="str">
        <f ca="1">IFERROR(__xludf.DUMMYFUNCTION("""COMPUTED_VALUE"""),"People from my circle, but not family members")</f>
        <v>People from my circle, but not family members</v>
      </c>
      <c r="F1136" s="1" t="str">
        <f ca="1">IFERROR(__xludf.DUMMYFUNCTION("""COMPUTED_VALUE"""),"No I would not be pursuing Higher Education outside of India")</f>
        <v>No I would not be pursuing Higher Education outside of India</v>
      </c>
      <c r="G1136" s="1" t="str">
        <f ca="1">IFERROR(__xludf.DUMMYFUNCTION("""COMPUTED_VALUE"""),"This will be hard to do, but if it is the right company I would try")</f>
        <v>This will be hard to do, but if it is the right company I would try</v>
      </c>
      <c r="H1136" s="1" t="str">
        <f ca="1">IFERROR(__xludf.DUMMYFUNCTION("""COMPUTED_VALUE"""),"No")</f>
        <v>No</v>
      </c>
      <c r="I1136" s="1" t="str">
        <f ca="1">IFERROR(__xludf.DUMMYFUNCTION("""COMPUTED_VALUE"""),"Will NOT work for them")</f>
        <v>Will NOT work for them</v>
      </c>
      <c r="J1136" s="1">
        <f ca="1">IFERROR(__xludf.DUMMYFUNCTION("""COMPUTED_VALUE"""),4)</f>
        <v>4</v>
      </c>
      <c r="K1136" s="1" t="str">
        <f ca="1">IFERROR(__xludf.DUMMYFUNCTION("""COMPUTED_VALUE"""),"Fully Remote with Options to travel as and when needed")</f>
        <v>Fully Remote with Options to travel as and when needed</v>
      </c>
      <c r="L11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3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36" s="1" t="str">
        <f ca="1">IFERROR(__xludf.DUMMYFUNCTION("""COMPUTED_VALUE"""),"Teaching in any of the institutes/colleges/online or offline, Business Operations in any organization, Look deeply into Data and generate insights, An Artificial Intelligence Specialist / Talking to Robots")</f>
        <v>Teaching in any of the institutes/colleges/online or offline, Business Operations in any organization, Look deeply into Data and generate insights, An Artificial Intelligence Specialist / Talking to Robots</v>
      </c>
      <c r="O113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36" s="1" t="str">
        <f ca="1">IFERROR(__xludf.DUMMYFUNCTION("""COMPUTED_VALUE"""),"Work alone")</f>
        <v>Work alone</v>
      </c>
      <c r="Q1136" s="1" t="str">
        <f ca="1">IFERROR(__xludf.DUMMYFUNCTION("""COMPUTED_VALUE"""),"I have NO other choice")</f>
        <v>I have NO other choice</v>
      </c>
      <c r="R1136" s="1" t="str">
        <f ca="1">IFERROR(__xludf.DUMMYFUNCTION("""COMPUTED_VALUE"""),"This will be hard to do, but if it is the right company I would try")</f>
        <v>This will be hard to do, but if it is the right company I would try</v>
      </c>
      <c r="S1136" s="1"/>
    </row>
    <row r="1137" spans="1:19" ht="12.5" x14ac:dyDescent="0.25">
      <c r="A1137" s="2">
        <f ca="1">IFERROR(__xludf.DUMMYFUNCTION("""COMPUTED_VALUE"""),45044.2699898611)</f>
        <v>45044.269989861103</v>
      </c>
      <c r="B1137" s="1" t="str">
        <f ca="1">IFERROR(__xludf.DUMMYFUNCTION("""COMPUTED_VALUE"""),"India")</f>
        <v>India</v>
      </c>
      <c r="C1137" s="1" t="str">
        <f ca="1">IFERROR(__xludf.DUMMYFUNCTION("""COMPUTED_VALUE"""),"Lahari")</f>
        <v>Lahari</v>
      </c>
      <c r="D1137" s="1" t="str">
        <f ca="1">IFERROR(__xludf.DUMMYFUNCTION("""COMPUTED_VALUE"""),"Female")</f>
        <v>Female</v>
      </c>
      <c r="E1137" s="1" t="str">
        <f ca="1">IFERROR(__xludf.DUMMYFUNCTION("""COMPUTED_VALUE"""),"My Parents")</f>
        <v>My Parents</v>
      </c>
      <c r="F1137" s="1" t="str">
        <f ca="1">IFERROR(__xludf.DUMMYFUNCTION("""COMPUTED_VALUE"""),"No, But if someone could bare the cost I will")</f>
        <v>No, But if someone could bare the cost I will</v>
      </c>
      <c r="G1137" s="1" t="str">
        <f ca="1">IFERROR(__xludf.DUMMYFUNCTION("""COMPUTED_VALUE"""),"Will work for 3 years or more")</f>
        <v>Will work for 3 years or more</v>
      </c>
      <c r="H1137" s="1" t="str">
        <f ca="1">IFERROR(__xludf.DUMMYFUNCTION("""COMPUTED_VALUE"""),"No")</f>
        <v>No</v>
      </c>
      <c r="I1137" s="1" t="str">
        <f ca="1">IFERROR(__xludf.DUMMYFUNCTION("""COMPUTED_VALUE"""),"Will NOT work for them")</f>
        <v>Will NOT work for them</v>
      </c>
      <c r="J1137" s="1">
        <f ca="1">IFERROR(__xludf.DUMMYFUNCTION("""COMPUTED_VALUE"""),4)</f>
        <v>4</v>
      </c>
      <c r="K1137" s="1" t="str">
        <f ca="1">IFERROR(__xludf.DUMMYFUNCTION("""COMPUTED_VALUE"""),"Hybrid Working Environment with more than 15 days a month at office")</f>
        <v>Hybrid Working Environment with more than 15 days a month at office</v>
      </c>
      <c r="L1137" s="1" t="str">
        <f ca="1">IFERROR(__xludf.DUMMYFUNCTION("""COMPUTED_VALUE"""),"Employer who appreciates learning and enables that environment")</f>
        <v>Employer who appreciates learning and enables that environment</v>
      </c>
      <c r="M113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37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137" s="1" t="str">
        <f ca="1">IFERROR(__xludf.DUMMYFUNCTION("""COMPUTED_VALUE"""),"Manager who sets targets and expects me to achieve it")</f>
        <v>Manager who sets targets and expects me to achieve it</v>
      </c>
      <c r="P1137" s="1" t="str">
        <f ca="1">IFERROR(__xludf.DUMMYFUNCTION("""COMPUTED_VALUE"""),"Work with 5 to 6 people in my team")</f>
        <v>Work with 5 to 6 people in my team</v>
      </c>
      <c r="Q1137" s="1" t="str">
        <f ca="1">IFERROR(__xludf.DUMMYFUNCTION("""COMPUTED_VALUE"""),"Yes, I Understand this is gonna happen everywhere")</f>
        <v>Yes, I Understand this is gonna happen everywhere</v>
      </c>
      <c r="R1137" s="1" t="str">
        <f ca="1">IFERROR(__xludf.DUMMYFUNCTION("""COMPUTED_VALUE"""),"Will work for 7 years or more")</f>
        <v>Will work for 7 years or more</v>
      </c>
      <c r="S1137" s="1"/>
    </row>
    <row r="1138" spans="1:19" ht="12.5" x14ac:dyDescent="0.25">
      <c r="A1138" s="2">
        <f ca="1">IFERROR(__xludf.DUMMYFUNCTION("""COMPUTED_VALUE"""),45044.2758887963)</f>
        <v>45044.275888796299</v>
      </c>
      <c r="B1138" s="1" t="str">
        <f ca="1">IFERROR(__xludf.DUMMYFUNCTION("""COMPUTED_VALUE"""),"India")</f>
        <v>India</v>
      </c>
      <c r="C1138" s="1">
        <f ca="1">IFERROR(__xludf.DUMMYFUNCTION("""COMPUTED_VALUE"""),221304)</f>
        <v>221304</v>
      </c>
      <c r="D1138" s="1" t="str">
        <f ca="1">IFERROR(__xludf.DUMMYFUNCTION("""COMPUTED_VALUE"""),"Male")</f>
        <v>Male</v>
      </c>
      <c r="E1138" s="1" t="str">
        <f ca="1">IFERROR(__xludf.DUMMYFUNCTION("""COMPUTED_VALUE"""),"People who have changed the world for better")</f>
        <v>People who have changed the world for better</v>
      </c>
      <c r="F1138" s="1" t="str">
        <f ca="1">IFERROR(__xludf.DUMMYFUNCTION("""COMPUTED_VALUE"""),"No I would not be pursuing Higher Education outside of India")</f>
        <v>No I would not be pursuing Higher Education outside of India</v>
      </c>
      <c r="G1138" s="1" t="str">
        <f ca="1">IFERROR(__xludf.DUMMYFUNCTION("""COMPUTED_VALUE"""),"This will be hard to do, but if it is the right company I would try")</f>
        <v>This will be hard to do, but if it is the right company I would try</v>
      </c>
      <c r="H1138" s="1" t="str">
        <f ca="1">IFERROR(__xludf.DUMMYFUNCTION("""COMPUTED_VALUE"""),"No")</f>
        <v>No</v>
      </c>
      <c r="I1138" s="1" t="str">
        <f ca="1">IFERROR(__xludf.DUMMYFUNCTION("""COMPUTED_VALUE"""),"Will NOT work for them")</f>
        <v>Will NOT work for them</v>
      </c>
      <c r="J1138" s="1">
        <f ca="1">IFERROR(__xludf.DUMMYFUNCTION("""COMPUTED_VALUE"""),8)</f>
        <v>8</v>
      </c>
      <c r="K1138" s="1" t="str">
        <f ca="1">IFERROR(__xludf.DUMMYFUNCTION("""COMPUTED_VALUE"""),"Hybrid Working Environment with more than 15 days a month at office")</f>
        <v>Hybrid Working Environment with more than 15 days a month at office</v>
      </c>
      <c r="L11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3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3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138" s="1" t="str">
        <f ca="1">IFERROR(__xludf.DUMMYFUNCTION("""COMPUTED_VALUE"""),"Manager who clearly describes what she/he needs")</f>
        <v>Manager who clearly describes what she/he needs</v>
      </c>
      <c r="P113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138" s="1" t="str">
        <f ca="1">IFERROR(__xludf.DUMMYFUNCTION("""COMPUTED_VALUE"""),"Yes")</f>
        <v>Yes</v>
      </c>
      <c r="R1138" s="1" t="str">
        <f ca="1">IFERROR(__xludf.DUMMYFUNCTION("""COMPUTED_VALUE"""),"No way")</f>
        <v>No way</v>
      </c>
      <c r="S1138" s="1"/>
    </row>
    <row r="1139" spans="1:19" ht="12.5" x14ac:dyDescent="0.25">
      <c r="A1139" s="2">
        <f ca="1">IFERROR(__xludf.DUMMYFUNCTION("""COMPUTED_VALUE"""),45044.2826354513)</f>
        <v>45044.282635451302</v>
      </c>
      <c r="B1139" s="1" t="str">
        <f ca="1">IFERROR(__xludf.DUMMYFUNCTION("""COMPUTED_VALUE"""),"India")</f>
        <v>India</v>
      </c>
      <c r="C1139" s="1">
        <f ca="1">IFERROR(__xludf.DUMMYFUNCTION("""COMPUTED_VALUE"""),110025)</f>
        <v>110025</v>
      </c>
      <c r="D1139" s="1" t="str">
        <f ca="1">IFERROR(__xludf.DUMMYFUNCTION("""COMPUTED_VALUE"""),"Male")</f>
        <v>Male</v>
      </c>
      <c r="E1139" s="1" t="str">
        <f ca="1">IFERROR(__xludf.DUMMYFUNCTION("""COMPUTED_VALUE"""),"Social Media like LinkedIn")</f>
        <v>Social Media like LinkedIn</v>
      </c>
      <c r="F1139" s="1" t="str">
        <f ca="1">IFERROR(__xludf.DUMMYFUNCTION("""COMPUTED_VALUE"""),"No I would not be pursuing Higher Education outside of India")</f>
        <v>No I would not be pursuing Higher Education outside of India</v>
      </c>
      <c r="G1139" s="1" t="str">
        <f ca="1">IFERROR(__xludf.DUMMYFUNCTION("""COMPUTED_VALUE"""),"This will be hard to do, but if it is the right company I would try")</f>
        <v>This will be hard to do, but if it is the right company I would try</v>
      </c>
      <c r="H1139" s="1" t="str">
        <f ca="1">IFERROR(__xludf.DUMMYFUNCTION("""COMPUTED_VALUE"""),"Yes")</f>
        <v>Yes</v>
      </c>
      <c r="I1139" s="1" t="str">
        <f ca="1">IFERROR(__xludf.DUMMYFUNCTION("""COMPUTED_VALUE"""),"Will NOT work for them")</f>
        <v>Will NOT work for them</v>
      </c>
      <c r="J1139" s="1">
        <f ca="1">IFERROR(__xludf.DUMMYFUNCTION("""COMPUTED_VALUE"""),4)</f>
        <v>4</v>
      </c>
      <c r="K1139" s="1" t="str">
        <f ca="1">IFERROR(__xludf.DUMMYFUNCTION("""COMPUTED_VALUE"""),"Fully Remote with Options to travel as and when needed")</f>
        <v>Fully Remote with Options to travel as and when needed</v>
      </c>
      <c r="L11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3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139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139" s="1" t="str">
        <f ca="1">IFERROR(__xludf.DUMMYFUNCTION("""COMPUTED_VALUE"""),"Manager who explains what is expected, sets a goal and helps achieve it")</f>
        <v>Manager who explains what is expected, sets a goal and helps achieve it</v>
      </c>
      <c r="P1139" s="1" t="str">
        <f ca="1">IFERROR(__xludf.DUMMYFUNCTION("""COMPUTED_VALUE"""),"Work with 5 to 6 people in my team")</f>
        <v>Work with 5 to 6 people in my team</v>
      </c>
      <c r="Q1139" s="1" t="str">
        <f ca="1">IFERROR(__xludf.DUMMYFUNCTION("""COMPUTED_VALUE"""),"Yes, I Understand this is gonna happen everywhere")</f>
        <v>Yes, I Understand this is gonna happen everywhere</v>
      </c>
      <c r="R1139" s="1" t="str">
        <f ca="1">IFERROR(__xludf.DUMMYFUNCTION("""COMPUTED_VALUE"""),"No way")</f>
        <v>No way</v>
      </c>
      <c r="S1139" s="1"/>
    </row>
    <row r="1140" spans="1:19" ht="12.5" x14ac:dyDescent="0.25">
      <c r="A1140" s="2">
        <f ca="1">IFERROR(__xludf.DUMMYFUNCTION("""COMPUTED_VALUE"""),45044.2877974652)</f>
        <v>45044.2877974652</v>
      </c>
      <c r="B1140" s="1" t="str">
        <f ca="1">IFERROR(__xludf.DUMMYFUNCTION("""COMPUTED_VALUE"""),"India")</f>
        <v>India</v>
      </c>
      <c r="C1140" s="1">
        <f ca="1">IFERROR(__xludf.DUMMYFUNCTION("""COMPUTED_VALUE"""),530029)</f>
        <v>530029</v>
      </c>
      <c r="D1140" s="1" t="str">
        <f ca="1">IFERROR(__xludf.DUMMYFUNCTION("""COMPUTED_VALUE"""),"Female")</f>
        <v>Female</v>
      </c>
      <c r="E1140" s="1" t="str">
        <f ca="1">IFERROR(__xludf.DUMMYFUNCTION("""COMPUTED_VALUE"""),"People who have changed the world for better")</f>
        <v>People who have changed the world for better</v>
      </c>
      <c r="F1140" s="1" t="str">
        <f ca="1">IFERROR(__xludf.DUMMYFUNCTION("""COMPUTED_VALUE"""),"Yes, I will earn and do that")</f>
        <v>Yes, I will earn and do that</v>
      </c>
      <c r="G1140" s="1" t="str">
        <f ca="1">IFERROR(__xludf.DUMMYFUNCTION("""COMPUTED_VALUE"""),"Will work for 3 years or more")</f>
        <v>Will work for 3 years or more</v>
      </c>
      <c r="H1140" s="1" t="str">
        <f ca="1">IFERROR(__xludf.DUMMYFUNCTION("""COMPUTED_VALUE"""),"No")</f>
        <v>No</v>
      </c>
      <c r="I1140" s="1" t="str">
        <f ca="1">IFERROR(__xludf.DUMMYFUNCTION("""COMPUTED_VALUE"""),"Will NOT work for them")</f>
        <v>Will NOT work for them</v>
      </c>
      <c r="J1140" s="1">
        <f ca="1">IFERROR(__xludf.DUMMYFUNCTION("""COMPUTED_VALUE"""),5)</f>
        <v>5</v>
      </c>
      <c r="K1140" s="1" t="str">
        <f ca="1">IFERROR(__xludf.DUMMYFUNCTION("""COMPUTED_VALUE"""),"Every Day Office Environment")</f>
        <v>Every Day Office Environment</v>
      </c>
      <c r="L11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4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40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1140" s="1" t="str">
        <f ca="1">IFERROR(__xludf.DUMMYFUNCTION("""COMPUTED_VALUE"""),"Manager who explains what is expected, sets a goal and helps achieve it")</f>
        <v>Manager who explains what is expected, sets a goal and helps achieve it</v>
      </c>
      <c r="P1140" s="1" t="str">
        <f ca="1">IFERROR(__xludf.DUMMYFUNCTION("""COMPUTED_VALUE"""),"Work with more than 10 people in my team")</f>
        <v>Work with more than 10 people in my team</v>
      </c>
      <c r="Q1140" s="1" t="str">
        <f ca="1">IFERROR(__xludf.DUMMYFUNCTION("""COMPUTED_VALUE"""),"Yes, I Understand this is gonna happen everywhere")</f>
        <v>Yes, I Understand this is gonna happen everywhere</v>
      </c>
      <c r="R1140" s="1" t="str">
        <f ca="1">IFERROR(__xludf.DUMMYFUNCTION("""COMPUTED_VALUE"""),"This will be hard to do, but if it is the right company I would try")</f>
        <v>This will be hard to do, but if it is the right company I would try</v>
      </c>
      <c r="S1140" s="1"/>
    </row>
    <row r="1141" spans="1:19" ht="12.5" x14ac:dyDescent="0.25">
      <c r="A1141" s="2">
        <f ca="1">IFERROR(__xludf.DUMMYFUNCTION("""COMPUTED_VALUE"""),45044.2903220833)</f>
        <v>45044.290322083303</v>
      </c>
      <c r="B1141" s="1" t="str">
        <f ca="1">IFERROR(__xludf.DUMMYFUNCTION("""COMPUTED_VALUE"""),"India")</f>
        <v>India</v>
      </c>
      <c r="C1141" s="1">
        <f ca="1">IFERROR(__xludf.DUMMYFUNCTION("""COMPUTED_VALUE"""),243001)</f>
        <v>243001</v>
      </c>
      <c r="D1141" s="1" t="str">
        <f ca="1">IFERROR(__xludf.DUMMYFUNCTION("""COMPUTED_VALUE"""),"Female")</f>
        <v>Female</v>
      </c>
      <c r="E1141" s="1" t="str">
        <f ca="1">IFERROR(__xludf.DUMMYFUNCTION("""COMPUTED_VALUE"""),"My Parents")</f>
        <v>My Parents</v>
      </c>
      <c r="F1141" s="1" t="str">
        <f ca="1">IFERROR(__xludf.DUMMYFUNCTION("""COMPUTED_VALUE"""),"Yes, I will earn and do that")</f>
        <v>Yes, I will earn and do that</v>
      </c>
      <c r="G1141" s="1" t="str">
        <f ca="1">IFERROR(__xludf.DUMMYFUNCTION("""COMPUTED_VALUE"""),"This will be hard to do, but if it is the right company I would try")</f>
        <v>This will be hard to do, but if it is the right company I would try</v>
      </c>
      <c r="H1141" s="1" t="str">
        <f ca="1">IFERROR(__xludf.DUMMYFUNCTION("""COMPUTED_VALUE"""),"No")</f>
        <v>No</v>
      </c>
      <c r="I1141" s="1" t="str">
        <f ca="1">IFERROR(__xludf.DUMMYFUNCTION("""COMPUTED_VALUE"""),"Will NOT work for them")</f>
        <v>Will NOT work for them</v>
      </c>
      <c r="J1141" s="1">
        <f ca="1">IFERROR(__xludf.DUMMYFUNCTION("""COMPUTED_VALUE"""),10)</f>
        <v>10</v>
      </c>
      <c r="K1141" s="1" t="str">
        <f ca="1">IFERROR(__xludf.DUMMYFUNCTION("""COMPUTED_VALUE"""),"Fully Remote with Options to travel as and when needed")</f>
        <v>Fully Remote with Options to travel as and when needed</v>
      </c>
      <c r="L11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4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41" s="1" t="str">
        <f ca="1">IFERROR(__xludf.DUMMYFUNCTION("""COMPUTED_VALUE"""),"Design and Creative strategy in any company, Teaching in any of the institutes/colleges/online or offline, Business Operations in any organization, Work as a freelancer and do my thing my way")</f>
        <v>Design and Creative strategy in any company, Teaching in any of the institutes/colleges/online or offline, Business Operations in any organization, Work as a freelancer and do my thing my way</v>
      </c>
      <c r="O1141" s="1" t="str">
        <f ca="1">IFERROR(__xludf.DUMMYFUNCTION("""COMPUTED_VALUE"""),"Manager who sets goal and helps me achieve it")</f>
        <v>Manager who sets goal and helps me achieve it</v>
      </c>
      <c r="P1141" s="1" t="str">
        <f ca="1">IFERROR(__xludf.DUMMYFUNCTION("""COMPUTED_VALUE"""),"Work with 2 to 3 people in my team")</f>
        <v>Work with 2 to 3 people in my team</v>
      </c>
      <c r="Q1141" s="1" t="str">
        <f ca="1">IFERROR(__xludf.DUMMYFUNCTION("""COMPUTED_VALUE"""),"I have NO other choice")</f>
        <v>I have NO other choice</v>
      </c>
      <c r="R1141" s="1" t="str">
        <f ca="1">IFERROR(__xludf.DUMMYFUNCTION("""COMPUTED_VALUE"""),"This will be hard to do, but if it is the right company I would try")</f>
        <v>This will be hard to do, but if it is the right company I would try</v>
      </c>
      <c r="S1141" s="1"/>
    </row>
    <row r="1142" spans="1:19" ht="12.5" x14ac:dyDescent="0.25">
      <c r="A1142" s="2">
        <f ca="1">IFERROR(__xludf.DUMMYFUNCTION("""COMPUTED_VALUE"""),45044.2989393981)</f>
        <v>45044.298939398097</v>
      </c>
      <c r="B1142" s="1" t="str">
        <f ca="1">IFERROR(__xludf.DUMMYFUNCTION("""COMPUTED_VALUE"""),"India")</f>
        <v>India</v>
      </c>
      <c r="C1142" s="1">
        <f ca="1">IFERROR(__xludf.DUMMYFUNCTION("""COMPUTED_VALUE"""),530051)</f>
        <v>530051</v>
      </c>
      <c r="D1142" s="1" t="str">
        <f ca="1">IFERROR(__xludf.DUMMYFUNCTION("""COMPUTED_VALUE"""),"Female")</f>
        <v>Female</v>
      </c>
      <c r="E1142" s="1" t="str">
        <f ca="1">IFERROR(__xludf.DUMMYFUNCTION("""COMPUTED_VALUE"""),"Influencers who had successful careers")</f>
        <v>Influencers who had successful careers</v>
      </c>
      <c r="F1142" s="1" t="str">
        <f ca="1">IFERROR(__xludf.DUMMYFUNCTION("""COMPUTED_VALUE"""),"No I would not be pursuing Higher Education outside of India")</f>
        <v>No I would not be pursuing Higher Education outside of India</v>
      </c>
      <c r="G1142" s="1" t="str">
        <f ca="1">IFERROR(__xludf.DUMMYFUNCTION("""COMPUTED_VALUE"""),"This will be hard to do, but if it is the right company I would try")</f>
        <v>This will be hard to do, but if it is the right company I would try</v>
      </c>
      <c r="H1142" s="1" t="str">
        <f ca="1">IFERROR(__xludf.DUMMYFUNCTION("""COMPUTED_VALUE"""),"No")</f>
        <v>No</v>
      </c>
      <c r="I1142" s="1" t="str">
        <f ca="1">IFERROR(__xludf.DUMMYFUNCTION("""COMPUTED_VALUE"""),"Will NOT work for them")</f>
        <v>Will NOT work for them</v>
      </c>
      <c r="J1142" s="1">
        <f ca="1">IFERROR(__xludf.DUMMYFUNCTION("""COMPUTED_VALUE"""),5)</f>
        <v>5</v>
      </c>
      <c r="K1142" s="1" t="str">
        <f ca="1">IFERROR(__xludf.DUMMYFUNCTION("""COMPUTED_VALUE"""),"Hybrid Working Environment with more than 15 days a month at office")</f>
        <v>Hybrid Working Environment with more than 15 days a month at office</v>
      </c>
      <c r="L11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4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42" s="1" t="str">
        <f ca="1">IFERROR(__xludf.DUMMYFUNCTION("""COMPUTED_VALUE"""),"Design and Creative strategy in any company, Manage and drive End-to-End Projects or Products, I Want to sell things/Sales, Manufacturing / Oil and Gas/ Construction / Hard Physical Work related")</f>
        <v>Design and Creative strategy in any company, Manage and drive End-to-End Projects or Products, I Want to sell things/Sales, Manufacturing / Oil and Gas/ Construction / Hard Physical Work related</v>
      </c>
      <c r="O1142" s="1" t="str">
        <f ca="1">IFERROR(__xludf.DUMMYFUNCTION("""COMPUTED_VALUE"""),"Manager who clearly describes what she/he needs")</f>
        <v>Manager who clearly describes what she/he needs</v>
      </c>
      <c r="P1142" s="1" t="str">
        <f ca="1">IFERROR(__xludf.DUMMYFUNCTION("""COMPUTED_VALUE"""),"Work with 2 to 3 people in my team")</f>
        <v>Work with 2 to 3 people in my team</v>
      </c>
      <c r="Q1142" s="1" t="str">
        <f ca="1">IFERROR(__xludf.DUMMYFUNCTION("""COMPUTED_VALUE"""),"Yes, I Understand this is gonna happen everywhere")</f>
        <v>Yes, I Understand this is gonna happen everywhere</v>
      </c>
      <c r="R1142" s="1" t="str">
        <f ca="1">IFERROR(__xludf.DUMMYFUNCTION("""COMPUTED_VALUE"""),"This will be hard to do, but if it is the right company I would try")</f>
        <v>This will be hard to do, but if it is the right company I would try</v>
      </c>
      <c r="S1142" s="1"/>
    </row>
    <row r="1143" spans="1:19" ht="12.5" x14ac:dyDescent="0.25">
      <c r="A1143" s="2">
        <f ca="1">IFERROR(__xludf.DUMMYFUNCTION("""COMPUTED_VALUE"""),45044.3183920254)</f>
        <v>45044.318392025401</v>
      </c>
      <c r="B1143" s="1" t="str">
        <f ca="1">IFERROR(__xludf.DUMMYFUNCTION("""COMPUTED_VALUE"""),"India")</f>
        <v>India</v>
      </c>
      <c r="C1143" s="1">
        <f ca="1">IFERROR(__xludf.DUMMYFUNCTION("""COMPUTED_VALUE"""),500098)</f>
        <v>500098</v>
      </c>
      <c r="D1143" s="1" t="str">
        <f ca="1">IFERROR(__xludf.DUMMYFUNCTION("""COMPUTED_VALUE"""),"Male")</f>
        <v>Male</v>
      </c>
      <c r="E1143" s="1" t="str">
        <f ca="1">IFERROR(__xludf.DUMMYFUNCTION("""COMPUTED_VALUE"""),"People who have changed the world for better")</f>
        <v>People who have changed the world for better</v>
      </c>
      <c r="F1143" s="1" t="str">
        <f ca="1">IFERROR(__xludf.DUMMYFUNCTION("""COMPUTED_VALUE"""),"Yes, I will earn and do that")</f>
        <v>Yes, I will earn and do that</v>
      </c>
      <c r="G1143" s="1" t="str">
        <f ca="1">IFERROR(__xludf.DUMMYFUNCTION("""COMPUTED_VALUE"""),"This will be hard to do, but if it is the right company I would try")</f>
        <v>This will be hard to do, but if it is the right company I would try</v>
      </c>
      <c r="H1143" s="1" t="str">
        <f ca="1">IFERROR(__xludf.DUMMYFUNCTION("""COMPUTED_VALUE"""),"No")</f>
        <v>No</v>
      </c>
      <c r="I1143" s="1" t="str">
        <f ca="1">IFERROR(__xludf.DUMMYFUNCTION("""COMPUTED_VALUE"""),"Will NOT work for them")</f>
        <v>Will NOT work for them</v>
      </c>
      <c r="J1143" s="1">
        <f ca="1">IFERROR(__xludf.DUMMYFUNCTION("""COMPUTED_VALUE"""),9)</f>
        <v>9</v>
      </c>
      <c r="K1143" s="1" t="str">
        <f ca="1">IFERROR(__xludf.DUMMYFUNCTION("""COMPUTED_VALUE"""),"Fully Remote with Options to travel as and when needed")</f>
        <v>Fully Remote with Options to travel as and when needed</v>
      </c>
      <c r="L11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43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143" s="1" t="str">
        <f ca="1">IFERROR(__xludf.DUMMYFUNCTION("""COMPUTED_VALUE"""),"Look deeply into Data and generate insights, Work as a freelancer and do my thing my way, Entrepreneur or Start Up, An Artificial Intelligence Specialist / Talking to Robots")</f>
        <v>Look deeply into Data and generate insights, Work as a freelancer and do my thing my way, Entrepreneur or Start Up, An Artificial Intelligence Specialist / Talking to Robots</v>
      </c>
      <c r="O1143" s="1" t="str">
        <f ca="1">IFERROR(__xludf.DUMMYFUNCTION("""COMPUTED_VALUE"""),"Manager who clearly describes what she/he needs")</f>
        <v>Manager who clearly describes what she/he needs</v>
      </c>
      <c r="P1143" s="1" t="str">
        <f ca="1">IFERROR(__xludf.DUMMYFUNCTION("""COMPUTED_VALUE"""),"Work alone")</f>
        <v>Work alone</v>
      </c>
      <c r="Q1143" s="1" t="str">
        <f ca="1">IFERROR(__xludf.DUMMYFUNCTION("""COMPUTED_VALUE"""),"Yes, I Understand this is gonna happen everywhere")</f>
        <v>Yes, I Understand this is gonna happen everywhere</v>
      </c>
      <c r="R1143" s="1" t="str">
        <f ca="1">IFERROR(__xludf.DUMMYFUNCTION("""COMPUTED_VALUE"""),"This will be hard to do, but if it is the right company I would try")</f>
        <v>This will be hard to do, but if it is the right company I would try</v>
      </c>
      <c r="S1143" s="1"/>
    </row>
    <row r="1144" spans="1:19" ht="12.5" x14ac:dyDescent="0.25">
      <c r="A1144" s="2">
        <f ca="1">IFERROR(__xludf.DUMMYFUNCTION("""COMPUTED_VALUE"""),45044.3199665277)</f>
        <v>45044.319966527699</v>
      </c>
      <c r="B1144" s="1" t="str">
        <f ca="1">IFERROR(__xludf.DUMMYFUNCTION("""COMPUTED_VALUE"""),"India")</f>
        <v>India</v>
      </c>
      <c r="C1144" s="1">
        <f ca="1">IFERROR(__xludf.DUMMYFUNCTION("""COMPUTED_VALUE"""),534197)</f>
        <v>534197</v>
      </c>
      <c r="D1144" s="1" t="str">
        <f ca="1">IFERROR(__xludf.DUMMYFUNCTION("""COMPUTED_VALUE"""),"Male")</f>
        <v>Male</v>
      </c>
      <c r="E1144" s="1" t="str">
        <f ca="1">IFERROR(__xludf.DUMMYFUNCTION("""COMPUTED_VALUE"""),"Influencers who had successful careers")</f>
        <v>Influencers who had successful careers</v>
      </c>
      <c r="F1144" s="1" t="str">
        <f ca="1">IFERROR(__xludf.DUMMYFUNCTION("""COMPUTED_VALUE"""),"No I would not be pursuing Higher Education outside of India")</f>
        <v>No I would not be pursuing Higher Education outside of India</v>
      </c>
      <c r="G1144" s="1" t="str">
        <f ca="1">IFERROR(__xludf.DUMMYFUNCTION("""COMPUTED_VALUE"""),"Will work for 3 years or more")</f>
        <v>Will work for 3 years or more</v>
      </c>
      <c r="H1144" s="1" t="str">
        <f ca="1">IFERROR(__xludf.DUMMYFUNCTION("""COMPUTED_VALUE"""),"No")</f>
        <v>No</v>
      </c>
      <c r="I1144" s="1" t="str">
        <f ca="1">IFERROR(__xludf.DUMMYFUNCTION("""COMPUTED_VALUE"""),"Will NOT work for them")</f>
        <v>Will NOT work for them</v>
      </c>
      <c r="J1144" s="1">
        <f ca="1">IFERROR(__xludf.DUMMYFUNCTION("""COMPUTED_VALUE"""),2)</f>
        <v>2</v>
      </c>
      <c r="K1144" s="1" t="str">
        <f ca="1">IFERROR(__xludf.DUMMYFUNCTION("""COMPUTED_VALUE"""),"Every Day Office Environment")</f>
        <v>Every Day Office Environment</v>
      </c>
      <c r="L1144" s="1" t="str">
        <f ca="1">IFERROR(__xludf.DUMMYFUNCTION("""COMPUTED_VALUE"""),"Employer who appreciates learning and enables that environment")</f>
        <v>Employer who appreciates learning and enables that environment</v>
      </c>
      <c r="M114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144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144" s="1" t="str">
        <f ca="1">IFERROR(__xludf.DUMMYFUNCTION("""COMPUTED_VALUE"""),"Manager who explains what is expected, sets a goal and helps achieve it")</f>
        <v>Manager who explains what is expected, sets a goal and helps achieve it</v>
      </c>
      <c r="P1144" s="1" t="str">
        <f ca="1">IFERROR(__xludf.DUMMYFUNCTION("""COMPUTED_VALUE"""),"Work with 5 to 6 people in my team")</f>
        <v>Work with 5 to 6 people in my team</v>
      </c>
      <c r="Q1144" s="1" t="str">
        <f ca="1">IFERROR(__xludf.DUMMYFUNCTION("""COMPUTED_VALUE"""),"Yes")</f>
        <v>Yes</v>
      </c>
      <c r="R1144" s="1" t="str">
        <f ca="1">IFERROR(__xludf.DUMMYFUNCTION("""COMPUTED_VALUE"""),"This will be hard to do, but if it is the right company I would try")</f>
        <v>This will be hard to do, but if it is the right company I would try</v>
      </c>
      <c r="S1144" s="1"/>
    </row>
    <row r="1145" spans="1:19" ht="12.5" x14ac:dyDescent="0.25">
      <c r="A1145" s="2">
        <f ca="1">IFERROR(__xludf.DUMMYFUNCTION("""COMPUTED_VALUE"""),45044.3277191319)</f>
        <v>45044.327719131899</v>
      </c>
      <c r="B1145" s="1" t="str">
        <f ca="1">IFERROR(__xludf.DUMMYFUNCTION("""COMPUTED_VALUE"""),"India")</f>
        <v>India</v>
      </c>
      <c r="C1145" s="1">
        <f ca="1">IFERROR(__xludf.DUMMYFUNCTION("""COMPUTED_VALUE"""),535003)</f>
        <v>535003</v>
      </c>
      <c r="D1145" s="1" t="str">
        <f ca="1">IFERROR(__xludf.DUMMYFUNCTION("""COMPUTED_VALUE"""),"Female")</f>
        <v>Female</v>
      </c>
      <c r="E1145" s="1" t="str">
        <f ca="1">IFERROR(__xludf.DUMMYFUNCTION("""COMPUTED_VALUE"""),"Influencers who had successful careers")</f>
        <v>Influencers who had successful careers</v>
      </c>
      <c r="F1145" s="1" t="str">
        <f ca="1">IFERROR(__xludf.DUMMYFUNCTION("""COMPUTED_VALUE"""),"No, But if someone could bare the cost I will")</f>
        <v>No, But if someone could bare the cost I will</v>
      </c>
      <c r="G1145" s="1" t="str">
        <f ca="1">IFERROR(__xludf.DUMMYFUNCTION("""COMPUTED_VALUE"""),"This will be hard to do, but if it is the right company I would try")</f>
        <v>This will be hard to do, but if it is the right company I would try</v>
      </c>
      <c r="H1145" s="1" t="str">
        <f ca="1">IFERROR(__xludf.DUMMYFUNCTION("""COMPUTED_VALUE"""),"No")</f>
        <v>No</v>
      </c>
      <c r="I1145" s="1" t="str">
        <f ca="1">IFERROR(__xludf.DUMMYFUNCTION("""COMPUTED_VALUE"""),"Will NOT work for them")</f>
        <v>Will NOT work for them</v>
      </c>
      <c r="J1145" s="1">
        <f ca="1">IFERROR(__xludf.DUMMYFUNCTION("""COMPUTED_VALUE"""),1)</f>
        <v>1</v>
      </c>
      <c r="K1145" s="1" t="str">
        <f ca="1">IFERROR(__xludf.DUMMYFUNCTION("""COMPUTED_VALUE"""),"Hybrid Working Environment with more than 15 days a month at office")</f>
        <v>Hybrid Working Environment with more than 15 days a month at office</v>
      </c>
      <c r="L11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4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45" s="1" t="str">
        <f ca="1">IFERROR(__xludf.DUMMYFUNCTION("""COMPUTED_VALUE"""),"Build and develop a Team, Look deeply into Data and generate insights, Work in a BPO setup for some well known client, An Artificial Intelligence Specialist / Talking to Robots")</f>
        <v>Build and develop a Team, Look deeply into Data and generate insights, Work in a BPO setup for some well known client, An Artificial Intelligence Specialist / Talking to Robots</v>
      </c>
      <c r="O1145" s="1" t="str">
        <f ca="1">IFERROR(__xludf.DUMMYFUNCTION("""COMPUTED_VALUE"""),"Manager who explains what is expected, sets a goal and helps achieve it")</f>
        <v>Manager who explains what is expected, sets a goal and helps achieve it</v>
      </c>
      <c r="P1145" s="1" t="str">
        <f ca="1">IFERROR(__xludf.DUMMYFUNCTION("""COMPUTED_VALUE"""),"Work with 2 to 3 people in my team, Work with 5 to 6 people in my team")</f>
        <v>Work with 2 to 3 people in my team, Work with 5 to 6 people in my team</v>
      </c>
      <c r="Q1145" s="1" t="str">
        <f ca="1">IFERROR(__xludf.DUMMYFUNCTION("""COMPUTED_VALUE"""),"No")</f>
        <v>No</v>
      </c>
      <c r="R1145" s="1" t="str">
        <f ca="1">IFERROR(__xludf.DUMMYFUNCTION("""COMPUTED_VALUE"""),"Will work for 7 years or more")</f>
        <v>Will work for 7 years or more</v>
      </c>
      <c r="S1145" s="1"/>
    </row>
    <row r="1146" spans="1:19" ht="12.5" x14ac:dyDescent="0.25">
      <c r="A1146" s="2">
        <f ca="1">IFERROR(__xludf.DUMMYFUNCTION("""COMPUTED_VALUE"""),45044.3326683101)</f>
        <v>45044.332668310097</v>
      </c>
      <c r="B1146" s="1" t="str">
        <f ca="1">IFERROR(__xludf.DUMMYFUNCTION("""COMPUTED_VALUE"""),"India")</f>
        <v>India</v>
      </c>
      <c r="C1146" s="1">
        <f ca="1">IFERROR(__xludf.DUMMYFUNCTION("""COMPUTED_VALUE"""),500082)</f>
        <v>500082</v>
      </c>
      <c r="D1146" s="1" t="str">
        <f ca="1">IFERROR(__xludf.DUMMYFUNCTION("""COMPUTED_VALUE"""),"Female")</f>
        <v>Female</v>
      </c>
      <c r="E1146" s="1" t="str">
        <f ca="1">IFERROR(__xludf.DUMMYFUNCTION("""COMPUTED_VALUE"""),"People who have changed the world for better")</f>
        <v>People who have changed the world for better</v>
      </c>
      <c r="F1146" s="1" t="str">
        <f ca="1">IFERROR(__xludf.DUMMYFUNCTION("""COMPUTED_VALUE"""),"No I would not be pursuing Higher Education outside of India")</f>
        <v>No I would not be pursuing Higher Education outside of India</v>
      </c>
      <c r="G1146" s="1" t="str">
        <f ca="1">IFERROR(__xludf.DUMMYFUNCTION("""COMPUTED_VALUE"""),"Will work for 3 years or more")</f>
        <v>Will work for 3 years or more</v>
      </c>
      <c r="H1146" s="1" t="str">
        <f ca="1">IFERROR(__xludf.DUMMYFUNCTION("""COMPUTED_VALUE"""),"No")</f>
        <v>No</v>
      </c>
      <c r="I1146" s="1" t="str">
        <f ca="1">IFERROR(__xludf.DUMMYFUNCTION("""COMPUTED_VALUE"""),"Will NOT work for them")</f>
        <v>Will NOT work for them</v>
      </c>
      <c r="J1146" s="1">
        <f ca="1">IFERROR(__xludf.DUMMYFUNCTION("""COMPUTED_VALUE"""),3)</f>
        <v>3</v>
      </c>
      <c r="K1146" s="1" t="str">
        <f ca="1">IFERROR(__xludf.DUMMYFUNCTION("""COMPUTED_VALUE"""),"Every Day Office Environment")</f>
        <v>Every Day Office Environment</v>
      </c>
      <c r="L1146" s="1" t="str">
        <f ca="1">IFERROR(__xludf.DUMMYFUNCTION("""COMPUTED_VALUE"""),"Employer who appreciates learning and enables that environment")</f>
        <v>Employer who appreciates learning and enables that environment</v>
      </c>
      <c r="M114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46" s="1" t="str">
        <f ca="1">IFERROR(__xludf.DUMMYFUNCTION("""COMPUTED_VALUE"""),"Design and Creative strategy in any company, Teaching in any of the institutes/colleges/online or offline, Entrepreneur or Start Up, I Want to sell things/Sales")</f>
        <v>Design and Creative strategy in any company, Teaching in any of the institutes/colleges/online or offline, Entrepreneur or Start Up, I Want to sell things/Sales</v>
      </c>
      <c r="O114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46" s="1" t="str">
        <f ca="1">IFERROR(__xludf.DUMMYFUNCTION("""COMPUTED_VALUE"""),"Work with more than 10 people in my team")</f>
        <v>Work with more than 10 people in my team</v>
      </c>
      <c r="Q1146" s="1" t="str">
        <f ca="1">IFERROR(__xludf.DUMMYFUNCTION("""COMPUTED_VALUE"""),"No")</f>
        <v>No</v>
      </c>
      <c r="R1146" s="1" t="str">
        <f ca="1">IFERROR(__xludf.DUMMYFUNCTION("""COMPUTED_VALUE"""),"This will be hard to do, but if it is the right company I would try")</f>
        <v>This will be hard to do, but if it is the right company I would try</v>
      </c>
      <c r="S1146" s="1"/>
    </row>
    <row r="1147" spans="1:19" ht="12.5" x14ac:dyDescent="0.25">
      <c r="A1147" s="2">
        <f ca="1">IFERROR(__xludf.DUMMYFUNCTION("""COMPUTED_VALUE"""),45044.3351480208)</f>
        <v>45044.3351480208</v>
      </c>
      <c r="B1147" s="1" t="str">
        <f ca="1">IFERROR(__xludf.DUMMYFUNCTION("""COMPUTED_VALUE"""),"India")</f>
        <v>India</v>
      </c>
      <c r="C1147" s="1">
        <f ca="1">IFERROR(__xludf.DUMMYFUNCTION("""COMPUTED_VALUE"""),395006)</f>
        <v>395006</v>
      </c>
      <c r="D1147" s="1" t="str">
        <f ca="1">IFERROR(__xludf.DUMMYFUNCTION("""COMPUTED_VALUE"""),"Male")</f>
        <v>Male</v>
      </c>
      <c r="E1147" s="1" t="str">
        <f ca="1">IFERROR(__xludf.DUMMYFUNCTION("""COMPUTED_VALUE"""),"People from my circle, but not family members")</f>
        <v>People from my circle, but not family members</v>
      </c>
      <c r="F1147" s="1" t="str">
        <f ca="1">IFERROR(__xludf.DUMMYFUNCTION("""COMPUTED_VALUE"""),"Yes, I will earn and do that")</f>
        <v>Yes, I will earn and do that</v>
      </c>
      <c r="G1147" s="1" t="str">
        <f ca="1">IFERROR(__xludf.DUMMYFUNCTION("""COMPUTED_VALUE"""),"Will work for 3 years or more")</f>
        <v>Will work for 3 years or more</v>
      </c>
      <c r="H1147" s="1" t="str">
        <f ca="1">IFERROR(__xludf.DUMMYFUNCTION("""COMPUTED_VALUE"""),"No")</f>
        <v>No</v>
      </c>
      <c r="I1147" s="1" t="str">
        <f ca="1">IFERROR(__xludf.DUMMYFUNCTION("""COMPUTED_VALUE"""),"Will NOT work for them")</f>
        <v>Will NOT work for them</v>
      </c>
      <c r="J1147" s="1">
        <f ca="1">IFERROR(__xludf.DUMMYFUNCTION("""COMPUTED_VALUE"""),6)</f>
        <v>6</v>
      </c>
      <c r="K1147" s="1" t="str">
        <f ca="1">IFERROR(__xludf.DUMMYFUNCTION("""COMPUTED_VALUE"""),"Hybrid Working Environment with more than 15 days a month at office")</f>
        <v>Hybrid Working Environment with more than 15 days a month at office</v>
      </c>
      <c r="L1147" s="1" t="str">
        <f ca="1">IFERROR(__xludf.DUMMYFUNCTION("""COMPUTED_VALUE"""),"Employer who appreciates learning and enables that environment")</f>
        <v>Employer who appreciates learning and enables that environment</v>
      </c>
      <c r="M114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47" s="1" t="str">
        <f ca="1">IFERROR(__xludf.DUMMYFUNCTION("""COMPUTED_VALUE"""),"Business Operations in any organization, Build and develop a Team, Entrepreneur or Start Up, An Artificial Intelligence Specialist / Talking to Robots")</f>
        <v>Business Operations in any organization, Build and develop a Team, Entrepreneur or Start Up, An Artificial Intelligence Specialist / Talking to Robots</v>
      </c>
      <c r="O1147" s="1" t="str">
        <f ca="1">IFERROR(__xludf.DUMMYFUNCTION("""COMPUTED_VALUE"""),"Manager who explains what is expected, sets a goal and helps achieve it")</f>
        <v>Manager who explains what is expected, sets a goal and helps achieve it</v>
      </c>
      <c r="P1147" s="1" t="str">
        <f ca="1">IFERROR(__xludf.DUMMYFUNCTION("""COMPUTED_VALUE"""),"Work alone, Work with 5 to 6 people in my team")</f>
        <v>Work alone, Work with 5 to 6 people in my team</v>
      </c>
      <c r="Q1147" s="1" t="str">
        <f ca="1">IFERROR(__xludf.DUMMYFUNCTION("""COMPUTED_VALUE"""),"Yes, I Understand this is gonna happen everywhere")</f>
        <v>Yes, I Understand this is gonna happen everywhere</v>
      </c>
      <c r="R1147" s="1" t="str">
        <f ca="1">IFERROR(__xludf.DUMMYFUNCTION("""COMPUTED_VALUE"""),"This will be hard to do, but if it is the right company I would try")</f>
        <v>This will be hard to do, but if it is the right company I would try</v>
      </c>
      <c r="S1147" s="1"/>
    </row>
    <row r="1148" spans="1:19" ht="12.5" x14ac:dyDescent="0.25">
      <c r="A1148" s="2">
        <f ca="1">IFERROR(__xludf.DUMMYFUNCTION("""COMPUTED_VALUE"""),45044.3373971759)</f>
        <v>45044.337397175899</v>
      </c>
      <c r="B1148" s="1" t="str">
        <f ca="1">IFERROR(__xludf.DUMMYFUNCTION("""COMPUTED_VALUE"""),"India")</f>
        <v>India</v>
      </c>
      <c r="C1148" s="1">
        <f ca="1">IFERROR(__xludf.DUMMYFUNCTION("""COMPUTED_VALUE"""),500054)</f>
        <v>500054</v>
      </c>
      <c r="D1148" s="1" t="str">
        <f ca="1">IFERROR(__xludf.DUMMYFUNCTION("""COMPUTED_VALUE"""),"Female")</f>
        <v>Female</v>
      </c>
      <c r="E1148" s="1" t="str">
        <f ca="1">IFERROR(__xludf.DUMMYFUNCTION("""COMPUTED_VALUE"""),"People from my circle, but not family members")</f>
        <v>People from my circle, but not family members</v>
      </c>
      <c r="F1148" s="1" t="str">
        <f ca="1">IFERROR(__xludf.DUMMYFUNCTION("""COMPUTED_VALUE"""),"No I would not be pursuing Higher Education outside of India")</f>
        <v>No I would not be pursuing Higher Education outside of India</v>
      </c>
      <c r="G1148" s="1" t="str">
        <f ca="1">IFERROR(__xludf.DUMMYFUNCTION("""COMPUTED_VALUE"""),"This will be hard to do, but if it is the right company I would try")</f>
        <v>This will be hard to do, but if it is the right company I would try</v>
      </c>
      <c r="H1148" s="1" t="str">
        <f ca="1">IFERROR(__xludf.DUMMYFUNCTION("""COMPUTED_VALUE"""),"Yes")</f>
        <v>Yes</v>
      </c>
      <c r="I1148" s="1" t="str">
        <f ca="1">IFERROR(__xludf.DUMMYFUNCTION("""COMPUTED_VALUE"""),"Will NOT work for them")</f>
        <v>Will NOT work for them</v>
      </c>
      <c r="J1148" s="1">
        <f ca="1">IFERROR(__xludf.DUMMYFUNCTION("""COMPUTED_VALUE"""),5)</f>
        <v>5</v>
      </c>
      <c r="K1148" s="1" t="str">
        <f ca="1">IFERROR(__xludf.DUMMYFUNCTION("""COMPUTED_VALUE"""),"Hybrid Working Environment with more than 15 days a month at office")</f>
        <v>Hybrid Working Environment with more than 15 days a month at office</v>
      </c>
      <c r="L11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4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148" s="1" t="str">
        <f ca="1">IFERROR(__xludf.DUMMYFUNCTION("""COMPUTED_VALUE"""),"Manage and drive End-to-End Projects or Products, Build and develop a Team, Work as a freelancer and do my thing my way, An Artificial Intelligence Specialist / Talking to Robots")</f>
        <v>Manage and drive End-to-End Projects or Products, Build and develop a Team, Work as a freelancer and do my thing my way, An Artificial Intelligence Specialist / Talking to Robots</v>
      </c>
      <c r="O1148" s="1" t="str">
        <f ca="1">IFERROR(__xludf.DUMMYFUNCTION("""COMPUTED_VALUE"""),"Manager who explains what is expected, sets a goal and helps achieve it")</f>
        <v>Manager who explains what is expected, sets a goal and helps achieve it</v>
      </c>
      <c r="P1148" s="1" t="str">
        <f ca="1">IFERROR(__xludf.DUMMYFUNCTION("""COMPUTED_VALUE"""),"Work with 5 to 6 people in my team")</f>
        <v>Work with 5 to 6 people in my team</v>
      </c>
      <c r="Q1148" s="1" t="str">
        <f ca="1">IFERROR(__xludf.DUMMYFUNCTION("""COMPUTED_VALUE"""),"No")</f>
        <v>No</v>
      </c>
      <c r="R1148" s="1" t="str">
        <f ca="1">IFERROR(__xludf.DUMMYFUNCTION("""COMPUTED_VALUE"""),"This will be hard to do, but if it is the right company I would try")</f>
        <v>This will be hard to do, but if it is the right company I would try</v>
      </c>
      <c r="S1148" s="1"/>
    </row>
    <row r="1149" spans="1:19" ht="12.5" x14ac:dyDescent="0.25">
      <c r="A1149" s="2">
        <f ca="1">IFERROR(__xludf.DUMMYFUNCTION("""COMPUTED_VALUE"""),45044.3377527777)</f>
        <v>45044.337752777697</v>
      </c>
      <c r="B1149" s="1" t="str">
        <f ca="1">IFERROR(__xludf.DUMMYFUNCTION("""COMPUTED_VALUE"""),"Others")</f>
        <v>Others</v>
      </c>
      <c r="C1149" s="1">
        <f ca="1">IFERROR(__xludf.DUMMYFUNCTION("""COMPUTED_VALUE"""),4701)</f>
        <v>4701</v>
      </c>
      <c r="D1149" s="1" t="str">
        <f ca="1">IFERROR(__xludf.DUMMYFUNCTION("""COMPUTED_VALUE"""),"Female")</f>
        <v>Female</v>
      </c>
      <c r="E1149" s="1" t="str">
        <f ca="1">IFERROR(__xludf.DUMMYFUNCTION("""COMPUTED_VALUE"""),"My Parents")</f>
        <v>My Parents</v>
      </c>
      <c r="F1149" s="1" t="str">
        <f ca="1">IFERROR(__xludf.DUMMYFUNCTION("""COMPUTED_VALUE"""),"Yes, I will earn and do that")</f>
        <v>Yes, I will earn and do that</v>
      </c>
      <c r="G1149" s="1" t="str">
        <f ca="1">IFERROR(__xludf.DUMMYFUNCTION("""COMPUTED_VALUE"""),"This will be hard to do, but if it is the right company I would try")</f>
        <v>This will be hard to do, but if it is the right company I would try</v>
      </c>
      <c r="H1149" s="1" t="str">
        <f ca="1">IFERROR(__xludf.DUMMYFUNCTION("""COMPUTED_VALUE"""),"No")</f>
        <v>No</v>
      </c>
      <c r="I1149" s="1" t="str">
        <f ca="1">IFERROR(__xludf.DUMMYFUNCTION("""COMPUTED_VALUE"""),"Will NOT work for them")</f>
        <v>Will NOT work for them</v>
      </c>
      <c r="J1149" s="1">
        <f ca="1">IFERROR(__xludf.DUMMYFUNCTION("""COMPUTED_VALUE"""),5)</f>
        <v>5</v>
      </c>
      <c r="K1149" s="1" t="str">
        <f ca="1">IFERROR(__xludf.DUMMYFUNCTION("""COMPUTED_VALUE"""),"Hybrid Working Environment with more than 15 days a month at office")</f>
        <v>Hybrid Working Environment with more than 15 days a month at office</v>
      </c>
      <c r="L11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4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49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1149" s="1" t="str">
        <f ca="1">IFERROR(__xludf.DUMMYFUNCTION("""COMPUTED_VALUE"""),"Manager who explains what is expected, sets a goal and helps achieve it")</f>
        <v>Manager who explains what is expected, sets a goal and helps achieve it</v>
      </c>
      <c r="P1149" s="1" t="str">
        <f ca="1">IFERROR(__xludf.DUMMYFUNCTION("""COMPUTED_VALUE"""),"Work with 2 to 3 people in my team")</f>
        <v>Work with 2 to 3 people in my team</v>
      </c>
      <c r="Q1149" s="1" t="str">
        <f ca="1">IFERROR(__xludf.DUMMYFUNCTION("""COMPUTED_VALUE"""),"Yes, I Understand this is gonna happen everywhere")</f>
        <v>Yes, I Understand this is gonna happen everywhere</v>
      </c>
      <c r="R1149" s="1" t="str">
        <f ca="1">IFERROR(__xludf.DUMMYFUNCTION("""COMPUTED_VALUE"""),"This will be hard to do, but if it is the right company I would try")</f>
        <v>This will be hard to do, but if it is the right company I would try</v>
      </c>
      <c r="S1149" s="1"/>
    </row>
    <row r="1150" spans="1:19" ht="12.5" x14ac:dyDescent="0.25">
      <c r="A1150" s="2">
        <f ca="1">IFERROR(__xludf.DUMMYFUNCTION("""COMPUTED_VALUE"""),45044.3410362384)</f>
        <v>45044.341036238402</v>
      </c>
      <c r="B1150" s="1" t="str">
        <f ca="1">IFERROR(__xludf.DUMMYFUNCTION("""COMPUTED_VALUE"""),"India")</f>
        <v>India</v>
      </c>
      <c r="C1150" s="1">
        <f ca="1">IFERROR(__xludf.DUMMYFUNCTION("""COMPUTED_VALUE"""),600056)</f>
        <v>600056</v>
      </c>
      <c r="D1150" s="1" t="str">
        <f ca="1">IFERROR(__xludf.DUMMYFUNCTION("""COMPUTED_VALUE"""),"Female")</f>
        <v>Female</v>
      </c>
      <c r="E1150" s="1" t="str">
        <f ca="1">IFERROR(__xludf.DUMMYFUNCTION("""COMPUTED_VALUE"""),"People who have changed the world for better")</f>
        <v>People who have changed the world for better</v>
      </c>
      <c r="F1150" s="1" t="str">
        <f ca="1">IFERROR(__xludf.DUMMYFUNCTION("""COMPUTED_VALUE"""),"No I would not be pursuing Higher Education outside of India")</f>
        <v>No I would not be pursuing Higher Education outside of India</v>
      </c>
      <c r="G1150" s="1" t="str">
        <f ca="1">IFERROR(__xludf.DUMMYFUNCTION("""COMPUTED_VALUE"""),"This will be hard to do, but if it is the right company I would try")</f>
        <v>This will be hard to do, but if it is the right company I would try</v>
      </c>
      <c r="H1150" s="1" t="str">
        <f ca="1">IFERROR(__xludf.DUMMYFUNCTION("""COMPUTED_VALUE"""),"No")</f>
        <v>No</v>
      </c>
      <c r="I1150" s="1" t="str">
        <f ca="1">IFERROR(__xludf.DUMMYFUNCTION("""COMPUTED_VALUE"""),"Will NOT work for them")</f>
        <v>Will NOT work for them</v>
      </c>
      <c r="J1150" s="1">
        <f ca="1">IFERROR(__xludf.DUMMYFUNCTION("""COMPUTED_VALUE"""),2)</f>
        <v>2</v>
      </c>
      <c r="K1150" s="1" t="str">
        <f ca="1">IFERROR(__xludf.DUMMYFUNCTION("""COMPUTED_VALUE"""),"Hybrid Working Environment with more than 15 days a month at office")</f>
        <v>Hybrid Working Environment with more than 15 days a month at office</v>
      </c>
      <c r="L11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5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150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150" s="1" t="str">
        <f ca="1">IFERROR(__xludf.DUMMYFUNCTION("""COMPUTED_VALUE"""),"Manager who explains what is expected, sets a goal and helps achieve it")</f>
        <v>Manager who explains what is expected, sets a goal and helps achieve it</v>
      </c>
      <c r="P1150" s="1" t="str">
        <f ca="1">IFERROR(__xludf.DUMMYFUNCTION("""COMPUTED_VALUE"""),"Work with 5 to 6 people in my team")</f>
        <v>Work with 5 to 6 people in my team</v>
      </c>
      <c r="Q1150" s="1" t="str">
        <f ca="1">IFERROR(__xludf.DUMMYFUNCTION("""COMPUTED_VALUE"""),"Yes, I Understand this is gonna happen everywhere")</f>
        <v>Yes, I Understand this is gonna happen everywhere</v>
      </c>
      <c r="R1150" s="1" t="str">
        <f ca="1">IFERROR(__xludf.DUMMYFUNCTION("""COMPUTED_VALUE"""),"No way")</f>
        <v>No way</v>
      </c>
      <c r="S1150" s="1"/>
    </row>
    <row r="1151" spans="1:19" ht="12.5" x14ac:dyDescent="0.25">
      <c r="A1151" s="2">
        <f ca="1">IFERROR(__xludf.DUMMYFUNCTION("""COMPUTED_VALUE"""),45044.3424342476)</f>
        <v>45044.342434247599</v>
      </c>
      <c r="B1151" s="1" t="str">
        <f ca="1">IFERROR(__xludf.DUMMYFUNCTION("""COMPUTED_VALUE"""),"India")</f>
        <v>India</v>
      </c>
      <c r="C1151" s="1">
        <f ca="1">IFERROR(__xludf.DUMMYFUNCTION("""COMPUTED_VALUE"""),531031)</f>
        <v>531031</v>
      </c>
      <c r="D1151" s="1" t="str">
        <f ca="1">IFERROR(__xludf.DUMMYFUNCTION("""COMPUTED_VALUE"""),"Male")</f>
        <v>Male</v>
      </c>
      <c r="E1151" s="1" t="str">
        <f ca="1">IFERROR(__xludf.DUMMYFUNCTION("""COMPUTED_VALUE"""),"People who have changed the world for better")</f>
        <v>People who have changed the world for better</v>
      </c>
      <c r="F1151" s="1" t="str">
        <f ca="1">IFERROR(__xludf.DUMMYFUNCTION("""COMPUTED_VALUE"""),"No, But if someone could bare the cost I will")</f>
        <v>No, But if someone could bare the cost I will</v>
      </c>
      <c r="G1151" s="1" t="str">
        <f ca="1">IFERROR(__xludf.DUMMYFUNCTION("""COMPUTED_VALUE"""),"This will be hard to do, but if it is the right company I would try")</f>
        <v>This will be hard to do, but if it is the right company I would try</v>
      </c>
      <c r="H1151" s="1" t="str">
        <f ca="1">IFERROR(__xludf.DUMMYFUNCTION("""COMPUTED_VALUE"""),"No")</f>
        <v>No</v>
      </c>
      <c r="I1151" s="1" t="str">
        <f ca="1">IFERROR(__xludf.DUMMYFUNCTION("""COMPUTED_VALUE"""),"Will NOT work for them")</f>
        <v>Will NOT work for them</v>
      </c>
      <c r="J1151" s="1">
        <f ca="1">IFERROR(__xludf.DUMMYFUNCTION("""COMPUTED_VALUE"""),8)</f>
        <v>8</v>
      </c>
      <c r="K1151" s="1" t="str">
        <f ca="1">IFERROR(__xludf.DUMMYFUNCTION("""COMPUTED_VALUE"""),"Every Day Office Environment")</f>
        <v>Every Day Office Environment</v>
      </c>
      <c r="L11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5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51" s="1" t="str">
        <f ca="1">IFERROR(__xludf.DUMMYFUNCTION("""COMPUTED_VALUE"""),"Design and Creative strategy in any company, Teaching in any of the institutes/colleges/online or offline, Entrepreneur or Start Up, I Want to sell things/Sales")</f>
        <v>Design and Creative strategy in any company, Teaching in any of the institutes/colleges/online or offline, Entrepreneur or Start Up, I Want to sell things/Sales</v>
      </c>
      <c r="O1151" s="1" t="str">
        <f ca="1">IFERROR(__xludf.DUMMYFUNCTION("""COMPUTED_VALUE"""),"Manager who sets goal and helps me achieve it")</f>
        <v>Manager who sets goal and helps me achieve it</v>
      </c>
      <c r="P1151" s="1" t="str">
        <f ca="1">IFERROR(__xludf.DUMMYFUNCTION("""COMPUTED_VALUE"""),"Work with 7 to 10 or more people in my team")</f>
        <v>Work with 7 to 10 or more people in my team</v>
      </c>
      <c r="Q1151" s="1" t="str">
        <f ca="1">IFERROR(__xludf.DUMMYFUNCTION("""COMPUTED_VALUE"""),"Yes, I Understand this is gonna happen everywhere")</f>
        <v>Yes, I Understand this is gonna happen everywhere</v>
      </c>
      <c r="R1151" s="1" t="str">
        <f ca="1">IFERROR(__xludf.DUMMYFUNCTION("""COMPUTED_VALUE"""),"This will be hard to do, but if it is the right company I would try")</f>
        <v>This will be hard to do, but if it is the right company I would try</v>
      </c>
      <c r="S1151" s="1"/>
    </row>
    <row r="1152" spans="1:19" ht="12.5" x14ac:dyDescent="0.25">
      <c r="A1152" s="2">
        <f ca="1">IFERROR(__xludf.DUMMYFUNCTION("""COMPUTED_VALUE"""),45044.3453370717)</f>
        <v>45044.345337071703</v>
      </c>
      <c r="B1152" s="1" t="str">
        <f ca="1">IFERROR(__xludf.DUMMYFUNCTION("""COMPUTED_VALUE"""),"India")</f>
        <v>India</v>
      </c>
      <c r="C1152" s="1">
        <f ca="1">IFERROR(__xludf.DUMMYFUNCTION("""COMPUTED_VALUE"""),533435)</f>
        <v>533435</v>
      </c>
      <c r="D1152" s="1" t="str">
        <f ca="1">IFERROR(__xludf.DUMMYFUNCTION("""COMPUTED_VALUE"""),"Male")</f>
        <v>Male</v>
      </c>
      <c r="E1152" s="1" t="str">
        <f ca="1">IFERROR(__xludf.DUMMYFUNCTION("""COMPUTED_VALUE"""),"My Parents")</f>
        <v>My Parents</v>
      </c>
      <c r="F1152" s="1" t="str">
        <f ca="1">IFERROR(__xludf.DUMMYFUNCTION("""COMPUTED_VALUE"""),"Yes, I will earn and do that")</f>
        <v>Yes, I will earn and do that</v>
      </c>
      <c r="G1152" s="1" t="str">
        <f ca="1">IFERROR(__xludf.DUMMYFUNCTION("""COMPUTED_VALUE"""),"Will work for 3 years or more")</f>
        <v>Will work for 3 years or more</v>
      </c>
      <c r="H1152" s="1" t="str">
        <f ca="1">IFERROR(__xludf.DUMMYFUNCTION("""COMPUTED_VALUE"""),"No")</f>
        <v>No</v>
      </c>
      <c r="I1152" s="1" t="str">
        <f ca="1">IFERROR(__xludf.DUMMYFUNCTION("""COMPUTED_VALUE"""),"Will NOT work for them")</f>
        <v>Will NOT work for them</v>
      </c>
      <c r="J1152" s="1">
        <f ca="1">IFERROR(__xludf.DUMMYFUNCTION("""COMPUTED_VALUE"""),6)</f>
        <v>6</v>
      </c>
      <c r="K1152" s="1" t="str">
        <f ca="1">IFERROR(__xludf.DUMMYFUNCTION("""COMPUTED_VALUE"""),"Hybrid Working Environment with more than 15 days a month at office")</f>
        <v>Hybrid Working Environment with more than 15 days a month at office</v>
      </c>
      <c r="L11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5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152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152" s="1" t="str">
        <f ca="1">IFERROR(__xludf.DUMMYFUNCTION("""COMPUTED_VALUE"""),"Manager who explains what is expected, sets a goal and helps achieve it")</f>
        <v>Manager who explains what is expected, sets a goal and helps achieve it</v>
      </c>
      <c r="P115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152" s="1" t="str">
        <f ca="1">IFERROR(__xludf.DUMMYFUNCTION("""COMPUTED_VALUE"""),"Yes, I Understand this is gonna happen everywhere")</f>
        <v>Yes, I Understand this is gonna happen everywhere</v>
      </c>
      <c r="R1152" s="1" t="str">
        <f ca="1">IFERROR(__xludf.DUMMYFUNCTION("""COMPUTED_VALUE"""),"This will be hard to do, but if it is the right company I would try")</f>
        <v>This will be hard to do, but if it is the right company I would try</v>
      </c>
      <c r="S1152" s="1"/>
    </row>
    <row r="1153" spans="1:19" ht="12.5" x14ac:dyDescent="0.25">
      <c r="A1153" s="2">
        <f ca="1">IFERROR(__xludf.DUMMYFUNCTION("""COMPUTED_VALUE"""),45044.3478526851)</f>
        <v>45044.347852685103</v>
      </c>
      <c r="B1153" s="1" t="str">
        <f ca="1">IFERROR(__xludf.DUMMYFUNCTION("""COMPUTED_VALUE"""),"India")</f>
        <v>India</v>
      </c>
      <c r="C1153" s="1">
        <f ca="1">IFERROR(__xludf.DUMMYFUNCTION("""COMPUTED_VALUE"""),403801)</f>
        <v>403801</v>
      </c>
      <c r="D1153" s="1" t="str">
        <f ca="1">IFERROR(__xludf.DUMMYFUNCTION("""COMPUTED_VALUE"""),"Female")</f>
        <v>Female</v>
      </c>
      <c r="E1153" s="1" t="str">
        <f ca="1">IFERROR(__xludf.DUMMYFUNCTION("""COMPUTED_VALUE"""),"People who have changed the world for better")</f>
        <v>People who have changed the world for better</v>
      </c>
      <c r="F1153" s="1" t="str">
        <f ca="1">IFERROR(__xludf.DUMMYFUNCTION("""COMPUTED_VALUE"""),"Yes, I will earn and do that")</f>
        <v>Yes, I will earn and do that</v>
      </c>
      <c r="G1153" s="1" t="str">
        <f ca="1">IFERROR(__xludf.DUMMYFUNCTION("""COMPUTED_VALUE"""),"Will work for 3 years or more")</f>
        <v>Will work for 3 years or more</v>
      </c>
      <c r="H1153" s="1" t="str">
        <f ca="1">IFERROR(__xludf.DUMMYFUNCTION("""COMPUTED_VALUE"""),"Yes")</f>
        <v>Yes</v>
      </c>
      <c r="I1153" s="1" t="str">
        <f ca="1">IFERROR(__xludf.DUMMYFUNCTION("""COMPUTED_VALUE"""),"Will work for them")</f>
        <v>Will work for them</v>
      </c>
      <c r="J1153" s="1">
        <f ca="1">IFERROR(__xludf.DUMMYFUNCTION("""COMPUTED_VALUE"""),10)</f>
        <v>10</v>
      </c>
      <c r="K1153" s="1" t="str">
        <f ca="1">IFERROR(__xludf.DUMMYFUNCTION("""COMPUTED_VALUE"""),"Every Day Office Environment")</f>
        <v>Every Day Office Environment</v>
      </c>
      <c r="L1153" s="1" t="str">
        <f ca="1">IFERROR(__xludf.DUMMYFUNCTION("""COMPUTED_VALUE"""),"Employer who appreciates learning and enables that environment")</f>
        <v>Employer who appreciates learning and enables that environment</v>
      </c>
      <c r="M1153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153" s="1" t="str">
        <f ca="1">IFERROR(__xludf.DUMMYFUNCTION("""COMPUTED_VALUE"""),"Design and Creative strategy in any company, Work as a freelancer and do my thing my way, Entrepreneur or Start Up, An Artificial Intelligence Specialist / Talking to Robots")</f>
        <v>Design and Creative strategy in any company, Work as a freelancer and do my thing my way, Entrepreneur or Start Up, An Artificial Intelligence Specialist / Talking to Robots</v>
      </c>
      <c r="O1153" s="1" t="str">
        <f ca="1">IFERROR(__xludf.DUMMYFUNCTION("""COMPUTED_VALUE"""),"Manager who clearly describes what she/he needs")</f>
        <v>Manager who clearly describes what she/he needs</v>
      </c>
      <c r="P1153" s="1" t="str">
        <f ca="1">IFERROR(__xludf.DUMMYFUNCTION("""COMPUTED_VALUE"""),"Work with 5 to 6 people in my team")</f>
        <v>Work with 5 to 6 people in my team</v>
      </c>
      <c r="Q1153" s="1" t="str">
        <f ca="1">IFERROR(__xludf.DUMMYFUNCTION("""COMPUTED_VALUE"""),"No")</f>
        <v>No</v>
      </c>
      <c r="R1153" s="1" t="str">
        <f ca="1">IFERROR(__xludf.DUMMYFUNCTION("""COMPUTED_VALUE"""),"This will be hard to do, but if it is the right company I would try")</f>
        <v>This will be hard to do, but if it is the right company I would try</v>
      </c>
      <c r="S1153" s="1"/>
    </row>
    <row r="1154" spans="1:19" ht="12.5" x14ac:dyDescent="0.25">
      <c r="A1154" s="2">
        <f ca="1">IFERROR(__xludf.DUMMYFUNCTION("""COMPUTED_VALUE"""),45044.3507955555)</f>
        <v>45044.350795555503</v>
      </c>
      <c r="B1154" s="1" t="str">
        <f ca="1">IFERROR(__xludf.DUMMYFUNCTION("""COMPUTED_VALUE"""),"India")</f>
        <v>India</v>
      </c>
      <c r="C1154" s="1">
        <f ca="1">IFERROR(__xludf.DUMMYFUNCTION("""COMPUTED_VALUE"""),424307)</f>
        <v>424307</v>
      </c>
      <c r="D1154" s="1" t="str">
        <f ca="1">IFERROR(__xludf.DUMMYFUNCTION("""COMPUTED_VALUE"""),"Male")</f>
        <v>Male</v>
      </c>
      <c r="E1154" s="1" t="str">
        <f ca="1">IFERROR(__xludf.DUMMYFUNCTION("""COMPUTED_VALUE"""),"Social Media like LinkedIn")</f>
        <v>Social Media like LinkedIn</v>
      </c>
      <c r="F1154" s="1" t="str">
        <f ca="1">IFERROR(__xludf.DUMMYFUNCTION("""COMPUTED_VALUE"""),"Yes, I will earn and do that")</f>
        <v>Yes, I will earn and do that</v>
      </c>
      <c r="G1154" s="1" t="str">
        <f ca="1">IFERROR(__xludf.DUMMYFUNCTION("""COMPUTED_VALUE"""),"Will work for 3 years or more")</f>
        <v>Will work for 3 years or more</v>
      </c>
      <c r="H1154" s="1" t="str">
        <f ca="1">IFERROR(__xludf.DUMMYFUNCTION("""COMPUTED_VALUE"""),"No")</f>
        <v>No</v>
      </c>
      <c r="I1154" s="1" t="str">
        <f ca="1">IFERROR(__xludf.DUMMYFUNCTION("""COMPUTED_VALUE"""),"Will NOT work for them")</f>
        <v>Will NOT work for them</v>
      </c>
      <c r="J1154" s="1">
        <f ca="1">IFERROR(__xludf.DUMMYFUNCTION("""COMPUTED_VALUE"""),8)</f>
        <v>8</v>
      </c>
      <c r="K1154" s="1" t="str">
        <f ca="1">IFERROR(__xludf.DUMMYFUNCTION("""COMPUTED_VALUE"""),"Hybrid Working Environment with less than 3 days a month at office")</f>
        <v>Hybrid Working Environment with less than 3 days a month at office</v>
      </c>
      <c r="L1154" s="1" t="str">
        <f ca="1">IFERROR(__xludf.DUMMYFUNCTION("""COMPUTED_VALUE"""),"Employer who appreciates learning and enables that environment")</f>
        <v>Employer who appreciates learning and enables that environment</v>
      </c>
      <c r="M115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154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1154" s="1" t="str">
        <f ca="1">IFERROR(__xludf.DUMMYFUNCTION("""COMPUTED_VALUE"""),"Manager who clearly describes what she/he needs")</f>
        <v>Manager who clearly describes what she/he needs</v>
      </c>
      <c r="P1154" s="1" t="str">
        <f ca="1">IFERROR(__xludf.DUMMYFUNCTION("""COMPUTED_VALUE"""),"Work with 5 to 6 people in my team")</f>
        <v>Work with 5 to 6 people in my team</v>
      </c>
      <c r="Q1154" s="1" t="str">
        <f ca="1">IFERROR(__xludf.DUMMYFUNCTION("""COMPUTED_VALUE"""),"Yes, I Understand this is gonna happen everywhere")</f>
        <v>Yes, I Understand this is gonna happen everywhere</v>
      </c>
      <c r="R1154" s="1" t="str">
        <f ca="1">IFERROR(__xludf.DUMMYFUNCTION("""COMPUTED_VALUE"""),"This will be hard to do, but if it is the right company I would try")</f>
        <v>This will be hard to do, but if it is the right company I would try</v>
      </c>
      <c r="S1154" s="1"/>
    </row>
    <row r="1155" spans="1:19" ht="12.5" x14ac:dyDescent="0.25">
      <c r="A1155" s="2">
        <f ca="1">IFERROR(__xludf.DUMMYFUNCTION("""COMPUTED_VALUE"""),45044.350843368)</f>
        <v>45044.350843368004</v>
      </c>
      <c r="B1155" s="1" t="str">
        <f ca="1">IFERROR(__xludf.DUMMYFUNCTION("""COMPUTED_VALUE"""),"India")</f>
        <v>India</v>
      </c>
      <c r="C1155" s="1">
        <f ca="1">IFERROR(__xludf.DUMMYFUNCTION("""COMPUTED_VALUE"""),201303)</f>
        <v>201303</v>
      </c>
      <c r="D1155" s="1" t="str">
        <f ca="1">IFERROR(__xludf.DUMMYFUNCTION("""COMPUTED_VALUE"""),"Male")</f>
        <v>Male</v>
      </c>
      <c r="E1155" s="1" t="str">
        <f ca="1">IFERROR(__xludf.DUMMYFUNCTION("""COMPUTED_VALUE"""),"Influencers who had successful careers")</f>
        <v>Influencers who had successful careers</v>
      </c>
      <c r="F1155" s="1" t="str">
        <f ca="1">IFERROR(__xludf.DUMMYFUNCTION("""COMPUTED_VALUE"""),"Yes, I will earn and do that")</f>
        <v>Yes, I will earn and do that</v>
      </c>
      <c r="G1155" s="1" t="str">
        <f ca="1">IFERROR(__xludf.DUMMYFUNCTION("""COMPUTED_VALUE"""),"This will be hard to do, but if it is the right company I would try")</f>
        <v>This will be hard to do, but if it is the right company I would try</v>
      </c>
      <c r="H1155" s="1" t="str">
        <f ca="1">IFERROR(__xludf.DUMMYFUNCTION("""COMPUTED_VALUE"""),"No")</f>
        <v>No</v>
      </c>
      <c r="I1155" s="1" t="str">
        <f ca="1">IFERROR(__xludf.DUMMYFUNCTION("""COMPUTED_VALUE"""),"Will work for them")</f>
        <v>Will work for them</v>
      </c>
      <c r="J1155" s="1">
        <f ca="1">IFERROR(__xludf.DUMMYFUNCTION("""COMPUTED_VALUE"""),6)</f>
        <v>6</v>
      </c>
      <c r="K1155" s="1" t="str">
        <f ca="1">IFERROR(__xludf.DUMMYFUNCTION("""COMPUTED_VALUE"""),"Fully Remote with Options to travel as and when needed")</f>
        <v>Fully Remote with Options to travel as and when needed</v>
      </c>
      <c r="L11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5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155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1155" s="1" t="str">
        <f ca="1">IFERROR(__xludf.DUMMYFUNCTION("""COMPUTED_VALUE"""),"Manager who explains what is expected, sets a goal and helps achieve it")</f>
        <v>Manager who explains what is expected, sets a goal and helps achieve it</v>
      </c>
      <c r="P1155" s="1" t="str">
        <f ca="1">IFERROR(__xludf.DUMMYFUNCTION("""COMPUTED_VALUE"""),"Work with 5 to 6 people in my team")</f>
        <v>Work with 5 to 6 people in my team</v>
      </c>
      <c r="Q1155" s="1" t="str">
        <f ca="1">IFERROR(__xludf.DUMMYFUNCTION("""COMPUTED_VALUE"""),"No")</f>
        <v>No</v>
      </c>
      <c r="R1155" s="1" t="str">
        <f ca="1">IFERROR(__xludf.DUMMYFUNCTION("""COMPUTED_VALUE"""),"No way")</f>
        <v>No way</v>
      </c>
      <c r="S1155" s="1"/>
    </row>
    <row r="1156" spans="1:19" ht="12.5" x14ac:dyDescent="0.25">
      <c r="A1156" s="2">
        <f ca="1">IFERROR(__xludf.DUMMYFUNCTION("""COMPUTED_VALUE"""),45044.357799537)</f>
        <v>45044.357799537</v>
      </c>
      <c r="B1156" s="1" t="str">
        <f ca="1">IFERROR(__xludf.DUMMYFUNCTION("""COMPUTED_VALUE"""),"India")</f>
        <v>India</v>
      </c>
      <c r="C1156" s="1">
        <f ca="1">IFERROR(__xludf.DUMMYFUNCTION("""COMPUTED_VALUE"""),515122)</f>
        <v>515122</v>
      </c>
      <c r="D1156" s="1" t="str">
        <f ca="1">IFERROR(__xludf.DUMMYFUNCTION("""COMPUTED_VALUE"""),"Female")</f>
        <v>Female</v>
      </c>
      <c r="E1156" s="1" t="str">
        <f ca="1">IFERROR(__xludf.DUMMYFUNCTION("""COMPUTED_VALUE"""),"Influencers who had successful careers")</f>
        <v>Influencers who had successful careers</v>
      </c>
      <c r="F1156" s="1" t="str">
        <f ca="1">IFERROR(__xludf.DUMMYFUNCTION("""COMPUTED_VALUE"""),"Yes, I will earn and do that")</f>
        <v>Yes, I will earn and do that</v>
      </c>
      <c r="G1156" s="1" t="str">
        <f ca="1">IFERROR(__xludf.DUMMYFUNCTION("""COMPUTED_VALUE"""),"This will be hard to do, but if it is the right company I would try")</f>
        <v>This will be hard to do, but if it is the right company I would try</v>
      </c>
      <c r="H1156" s="1" t="str">
        <f ca="1">IFERROR(__xludf.DUMMYFUNCTION("""COMPUTED_VALUE"""),"No")</f>
        <v>No</v>
      </c>
      <c r="I1156" s="1" t="str">
        <f ca="1">IFERROR(__xludf.DUMMYFUNCTION("""COMPUTED_VALUE"""),"Will NOT work for them")</f>
        <v>Will NOT work for them</v>
      </c>
      <c r="J1156" s="1">
        <f ca="1">IFERROR(__xludf.DUMMYFUNCTION("""COMPUTED_VALUE"""),5)</f>
        <v>5</v>
      </c>
      <c r="K1156" s="1" t="str">
        <f ca="1">IFERROR(__xludf.DUMMYFUNCTION("""COMPUTED_VALUE"""),"Fully Remote with No option to visit offices")</f>
        <v>Fully Remote with No option to visit offices</v>
      </c>
      <c r="L1156" s="1" t="str">
        <f ca="1">IFERROR(__xludf.DUMMYFUNCTION("""COMPUTED_VALUE"""),"Employer who appreciates learning and enables that environment")</f>
        <v>Employer who appreciates learning and enables that environment</v>
      </c>
      <c r="M115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156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115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56" s="1" t="str">
        <f ca="1">IFERROR(__xludf.DUMMYFUNCTION("""COMPUTED_VALUE"""),"Work with more than 10 people in my team")</f>
        <v>Work with more than 10 people in my team</v>
      </c>
      <c r="Q1156" s="1" t="str">
        <f ca="1">IFERROR(__xludf.DUMMYFUNCTION("""COMPUTED_VALUE"""),"Yes, I Understand this is gonna happen everywhere")</f>
        <v>Yes, I Understand this is gonna happen everywhere</v>
      </c>
      <c r="R1156" s="1" t="str">
        <f ca="1">IFERROR(__xludf.DUMMYFUNCTION("""COMPUTED_VALUE"""),"No way")</f>
        <v>No way</v>
      </c>
      <c r="S1156" s="1"/>
    </row>
    <row r="1157" spans="1:19" ht="12.5" x14ac:dyDescent="0.25">
      <c r="A1157" s="2">
        <f ca="1">IFERROR(__xludf.DUMMYFUNCTION("""COMPUTED_VALUE"""),45044.3661189004)</f>
        <v>45044.366118900398</v>
      </c>
      <c r="B1157" s="1" t="str">
        <f ca="1">IFERROR(__xludf.DUMMYFUNCTION("""COMPUTED_VALUE"""),"India")</f>
        <v>India</v>
      </c>
      <c r="C1157" s="1">
        <f ca="1">IFERROR(__xludf.DUMMYFUNCTION("""COMPUTED_VALUE"""),530026)</f>
        <v>530026</v>
      </c>
      <c r="D1157" s="1" t="str">
        <f ca="1">IFERROR(__xludf.DUMMYFUNCTION("""COMPUTED_VALUE"""),"Female")</f>
        <v>Female</v>
      </c>
      <c r="E1157" s="1" t="str">
        <f ca="1">IFERROR(__xludf.DUMMYFUNCTION("""COMPUTED_VALUE"""),"People who have changed the world for better")</f>
        <v>People who have changed the world for better</v>
      </c>
      <c r="F1157" s="1" t="str">
        <f ca="1">IFERROR(__xludf.DUMMYFUNCTION("""COMPUTED_VALUE"""),"Yes, I will earn and do that")</f>
        <v>Yes, I will earn and do that</v>
      </c>
      <c r="G1157" s="1" t="str">
        <f ca="1">IFERROR(__xludf.DUMMYFUNCTION("""COMPUTED_VALUE"""),"This will be hard to do, but if it is the right company I would try")</f>
        <v>This will be hard to do, but if it is the right company I would try</v>
      </c>
      <c r="H1157" s="1" t="str">
        <f ca="1">IFERROR(__xludf.DUMMYFUNCTION("""COMPUTED_VALUE"""),"No")</f>
        <v>No</v>
      </c>
      <c r="I1157" s="1" t="str">
        <f ca="1">IFERROR(__xludf.DUMMYFUNCTION("""COMPUTED_VALUE"""),"Will NOT work for them")</f>
        <v>Will NOT work for them</v>
      </c>
      <c r="J1157" s="1">
        <f ca="1">IFERROR(__xludf.DUMMYFUNCTION("""COMPUTED_VALUE"""),8)</f>
        <v>8</v>
      </c>
      <c r="K1157" s="1" t="str">
        <f ca="1">IFERROR(__xludf.DUMMYFUNCTION("""COMPUTED_VALUE"""),"Hybrid Working Environment with less than 3 days a month at office")</f>
        <v>Hybrid Working Environment with less than 3 days a month at office</v>
      </c>
      <c r="L1157" s="1" t="str">
        <f ca="1">IFERROR(__xludf.DUMMYFUNCTION("""COMPUTED_VALUE"""),"Employer who appreciates learning and enables that environment")</f>
        <v>Employer who appreciates learning and enables that environment</v>
      </c>
      <c r="M115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57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157" s="1" t="str">
        <f ca="1">IFERROR(__xludf.DUMMYFUNCTION("""COMPUTED_VALUE"""),"Manager who sets unrealistic targets")</f>
        <v>Manager who sets unrealistic targets</v>
      </c>
      <c r="P1157" s="1" t="str">
        <f ca="1">IFERROR(__xludf.DUMMYFUNCTION("""COMPUTED_VALUE"""),"Work with 5 to 6 people in my team")</f>
        <v>Work with 5 to 6 people in my team</v>
      </c>
      <c r="Q1157" s="1" t="str">
        <f ca="1">IFERROR(__xludf.DUMMYFUNCTION("""COMPUTED_VALUE"""),"Yes, I Understand this is gonna happen everywhere")</f>
        <v>Yes, I Understand this is gonna happen everywhere</v>
      </c>
      <c r="R1157" s="1" t="str">
        <f ca="1">IFERROR(__xludf.DUMMYFUNCTION("""COMPUTED_VALUE"""),"This will be hard to do, but if it is the right company I would try")</f>
        <v>This will be hard to do, but if it is the right company I would try</v>
      </c>
      <c r="S1157" s="1"/>
    </row>
    <row r="1158" spans="1:19" ht="12.5" x14ac:dyDescent="0.25">
      <c r="A1158" s="2">
        <f ca="1">IFERROR(__xludf.DUMMYFUNCTION("""COMPUTED_VALUE"""),45044.3719316782)</f>
        <v>45044.371931678201</v>
      </c>
      <c r="B1158" s="1" t="str">
        <f ca="1">IFERROR(__xludf.DUMMYFUNCTION("""COMPUTED_VALUE"""),"India")</f>
        <v>India</v>
      </c>
      <c r="C1158" s="1">
        <f ca="1">IFERROR(__xludf.DUMMYFUNCTION("""COMPUTED_VALUE"""),143602)</f>
        <v>143602</v>
      </c>
      <c r="D1158" s="1" t="str">
        <f ca="1">IFERROR(__xludf.DUMMYFUNCTION("""COMPUTED_VALUE"""),"Male")</f>
        <v>Male</v>
      </c>
      <c r="E1158" s="1" t="str">
        <f ca="1">IFERROR(__xludf.DUMMYFUNCTION("""COMPUTED_VALUE"""),"People who have changed the world for better")</f>
        <v>People who have changed the world for better</v>
      </c>
      <c r="F1158" s="1" t="str">
        <f ca="1">IFERROR(__xludf.DUMMYFUNCTION("""COMPUTED_VALUE"""),"No, But if someone could bare the cost I will")</f>
        <v>No, But if someone could bare the cost I will</v>
      </c>
      <c r="G1158" s="1" t="str">
        <f ca="1">IFERROR(__xludf.DUMMYFUNCTION("""COMPUTED_VALUE"""),"This will be hard to do, but if it is the right company I would try")</f>
        <v>This will be hard to do, but if it is the right company I would try</v>
      </c>
      <c r="H1158" s="1" t="str">
        <f ca="1">IFERROR(__xludf.DUMMYFUNCTION("""COMPUTED_VALUE"""),"Yes")</f>
        <v>Yes</v>
      </c>
      <c r="I1158" s="1" t="str">
        <f ca="1">IFERROR(__xludf.DUMMYFUNCTION("""COMPUTED_VALUE"""),"Will work for them")</f>
        <v>Will work for them</v>
      </c>
      <c r="J1158" s="1">
        <f ca="1">IFERROR(__xludf.DUMMYFUNCTION("""COMPUTED_VALUE"""),9)</f>
        <v>9</v>
      </c>
      <c r="K1158" s="1" t="str">
        <f ca="1">IFERROR(__xludf.DUMMYFUNCTION("""COMPUTED_VALUE"""),"Hybrid Working Environment with more than 15 days a month at office")</f>
        <v>Hybrid Working Environment with more than 15 days a month at office</v>
      </c>
      <c r="L1158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15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158" s="1" t="str">
        <f ca="1">IFERROR(__xludf.DUMMYFUNCTION("""COMPUTED_VALUE"""),"Teaching in any of the institutes/colleges/online or offline, Build and develop a Team, Become a content Creator in some platform, An Artificial Intelligence Specialist / Talking to Robots")</f>
        <v>Teaching in any of the institutes/colleges/online or offline, Build and develop a Team, Become a content Creator in some platform, An Artificial Intelligence Specialist / Talking to Robots</v>
      </c>
      <c r="O1158" s="1" t="str">
        <f ca="1">IFERROR(__xludf.DUMMYFUNCTION("""COMPUTED_VALUE"""),"Manager who explains what is expected, sets a goal and helps achieve it")</f>
        <v>Manager who explains what is expected, sets a goal and helps achieve it</v>
      </c>
      <c r="P1158" s="1" t="str">
        <f ca="1">IFERROR(__xludf.DUMMYFUNCTION("""COMPUTED_VALUE"""),"Work with 5 to 6 people in my team")</f>
        <v>Work with 5 to 6 people in my team</v>
      </c>
      <c r="Q1158" s="1" t="str">
        <f ca="1">IFERROR(__xludf.DUMMYFUNCTION("""COMPUTED_VALUE"""),"Yes, I Understand this is gonna happen everywhere")</f>
        <v>Yes, I Understand this is gonna happen everywhere</v>
      </c>
      <c r="R1158" s="1" t="str">
        <f ca="1">IFERROR(__xludf.DUMMYFUNCTION("""COMPUTED_VALUE"""),"This will be hard to do, but if it is the right company I would try")</f>
        <v>This will be hard to do, but if it is the right company I would try</v>
      </c>
      <c r="S1158" s="1"/>
    </row>
    <row r="1159" spans="1:19" ht="12.5" x14ac:dyDescent="0.25">
      <c r="A1159" s="2">
        <f ca="1">IFERROR(__xludf.DUMMYFUNCTION("""COMPUTED_VALUE"""),45044.3828477546)</f>
        <v>45044.382847754598</v>
      </c>
      <c r="B1159" s="1" t="str">
        <f ca="1">IFERROR(__xludf.DUMMYFUNCTION("""COMPUTED_VALUE"""),"India")</f>
        <v>India</v>
      </c>
      <c r="C1159" s="1">
        <f ca="1">IFERROR(__xludf.DUMMYFUNCTION("""COMPUTED_VALUE"""),562106)</f>
        <v>562106</v>
      </c>
      <c r="D1159" s="1" t="str">
        <f ca="1">IFERROR(__xludf.DUMMYFUNCTION("""COMPUTED_VALUE"""),"Male")</f>
        <v>Male</v>
      </c>
      <c r="E1159" s="1" t="str">
        <f ca="1">IFERROR(__xludf.DUMMYFUNCTION("""COMPUTED_VALUE"""),"People who have changed the world for better")</f>
        <v>People who have changed the world for better</v>
      </c>
      <c r="F1159" s="1" t="str">
        <f ca="1">IFERROR(__xludf.DUMMYFUNCTION("""COMPUTED_VALUE"""),"Yes, I will earn and do that")</f>
        <v>Yes, I will earn and do that</v>
      </c>
      <c r="G1159" s="1" t="str">
        <f ca="1">IFERROR(__xludf.DUMMYFUNCTION("""COMPUTED_VALUE"""),"This will be hard to do, but if it is the right company I would try")</f>
        <v>This will be hard to do, but if it is the right company I would try</v>
      </c>
      <c r="H1159" s="1" t="str">
        <f ca="1">IFERROR(__xludf.DUMMYFUNCTION("""COMPUTED_VALUE"""),"No")</f>
        <v>No</v>
      </c>
      <c r="I1159" s="1" t="str">
        <f ca="1">IFERROR(__xludf.DUMMYFUNCTION("""COMPUTED_VALUE"""),"Will NOT work for them")</f>
        <v>Will NOT work for them</v>
      </c>
      <c r="J1159" s="1">
        <f ca="1">IFERROR(__xludf.DUMMYFUNCTION("""COMPUTED_VALUE"""),5)</f>
        <v>5</v>
      </c>
      <c r="K1159" s="1" t="str">
        <f ca="1">IFERROR(__xludf.DUMMYFUNCTION("""COMPUTED_VALUE"""),"Fully Remote with Options to travel as and when needed")</f>
        <v>Fully Remote with Options to travel as and when needed</v>
      </c>
      <c r="L11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5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159" s="1" t="str">
        <f ca="1">IFERROR(__xludf.DUMMYFUNCTION("""COMPUTED_VALUE"""),"Business Operations in any organization, Look deeply into Data and generate insights, Entrepreneur or Start Up, An Artificial Intelligence Specialist / Talking to Robots")</f>
        <v>Business Operations in any organization, Look deeply into Data and generate insights, Entrepreneur or Start Up, An Artificial Intelligence Specialist / Talking to Robots</v>
      </c>
      <c r="O1159" s="1" t="str">
        <f ca="1">IFERROR(__xludf.DUMMYFUNCTION("""COMPUTED_VALUE"""),"Manager who explains what is expected, sets a goal and helps achieve it")</f>
        <v>Manager who explains what is expected, sets a goal and helps achieve it</v>
      </c>
      <c r="P1159" s="1" t="str">
        <f ca="1">IFERROR(__xludf.DUMMYFUNCTION("""COMPUTED_VALUE"""),"Work with 5 to 6 people in my team")</f>
        <v>Work with 5 to 6 people in my team</v>
      </c>
      <c r="Q1159" s="1" t="str">
        <f ca="1">IFERROR(__xludf.DUMMYFUNCTION("""COMPUTED_VALUE"""),"Yes, I Understand this is gonna happen everywhere")</f>
        <v>Yes, I Understand this is gonna happen everywhere</v>
      </c>
      <c r="R1159" s="1" t="str">
        <f ca="1">IFERROR(__xludf.DUMMYFUNCTION("""COMPUTED_VALUE"""),"No way")</f>
        <v>No way</v>
      </c>
      <c r="S1159" s="1"/>
    </row>
    <row r="1160" spans="1:19" ht="12.5" x14ac:dyDescent="0.25">
      <c r="A1160" s="2">
        <f ca="1">IFERROR(__xludf.DUMMYFUNCTION("""COMPUTED_VALUE"""),45044.3844955671)</f>
        <v>45044.384495567101</v>
      </c>
      <c r="B1160" s="1" t="str">
        <f ca="1">IFERROR(__xludf.DUMMYFUNCTION("""COMPUTED_VALUE"""),"India")</f>
        <v>India</v>
      </c>
      <c r="C1160" s="1">
        <f ca="1">IFERROR(__xludf.DUMMYFUNCTION("""COMPUTED_VALUE"""),581336)</f>
        <v>581336</v>
      </c>
      <c r="D1160" s="1" t="str">
        <f ca="1">IFERROR(__xludf.DUMMYFUNCTION("""COMPUTED_VALUE"""),"Male")</f>
        <v>Male</v>
      </c>
      <c r="E1160" s="1" t="str">
        <f ca="1">IFERROR(__xludf.DUMMYFUNCTION("""COMPUTED_VALUE"""),"My Parents")</f>
        <v>My Parents</v>
      </c>
      <c r="F1160" s="1" t="str">
        <f ca="1">IFERROR(__xludf.DUMMYFUNCTION("""COMPUTED_VALUE"""),"No, But if someone could bare the cost I will")</f>
        <v>No, But if someone could bare the cost I will</v>
      </c>
      <c r="G1160" s="1" t="str">
        <f ca="1">IFERROR(__xludf.DUMMYFUNCTION("""COMPUTED_VALUE"""),"This will be hard to do, but if it is the right company I would try")</f>
        <v>This will be hard to do, but if it is the right company I would try</v>
      </c>
      <c r="H1160" s="1" t="str">
        <f ca="1">IFERROR(__xludf.DUMMYFUNCTION("""COMPUTED_VALUE"""),"No")</f>
        <v>No</v>
      </c>
      <c r="I1160" s="1" t="str">
        <f ca="1">IFERROR(__xludf.DUMMYFUNCTION("""COMPUTED_VALUE"""),"Will NOT work for them")</f>
        <v>Will NOT work for them</v>
      </c>
      <c r="J1160" s="1">
        <f ca="1">IFERROR(__xludf.DUMMYFUNCTION("""COMPUTED_VALUE"""),3)</f>
        <v>3</v>
      </c>
      <c r="K1160" s="1" t="str">
        <f ca="1">IFERROR(__xludf.DUMMYFUNCTION("""COMPUTED_VALUE"""),"Hybrid Working Environment with less than 3 days a month at office")</f>
        <v>Hybrid Working Environment with less than 3 days a month at office</v>
      </c>
      <c r="L1160" s="1" t="str">
        <f ca="1">IFERROR(__xludf.DUMMYFUNCTION("""COMPUTED_VALUE"""),"Employer who appreciates learning and enables that environment")</f>
        <v>Employer who appreciates learning and enables that environment</v>
      </c>
      <c r="M116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60" s="1" t="str">
        <f ca="1">IFERROR(__xludf.DUMMYFUNCTION("""COMPUTED_VALUE"""),"Design and Creative strategy in any company, Manage and drive End-to-End Projects or Products, An Artificial Intelligence Specialist / Talking to Robots, Manufacturing / Oil and Gas/ Construction / Hard Physical Work related")</f>
        <v>Design and Creative strategy in any company, Manage and drive End-to-End Projects or Products, An Artificial Intelligence Specialist / Talking to Robots, Manufacturing / Oil and Gas/ Construction / Hard Physical Work related</v>
      </c>
      <c r="O1160" s="1" t="str">
        <f ca="1">IFERROR(__xludf.DUMMYFUNCTION("""COMPUTED_VALUE"""),"Manager who clearly describes what she/he needs")</f>
        <v>Manager who clearly describes what she/he needs</v>
      </c>
      <c r="P1160" s="1" t="str">
        <f ca="1">IFERROR(__xludf.DUMMYFUNCTION("""COMPUTED_VALUE"""),"Work with 2 to 3 people in my team, Work with 5 to 6 people in my team")</f>
        <v>Work with 2 to 3 people in my team, Work with 5 to 6 people in my team</v>
      </c>
      <c r="Q1160" s="1" t="str">
        <f ca="1">IFERROR(__xludf.DUMMYFUNCTION("""COMPUTED_VALUE"""),"Yes, I Understand this is gonna happen everywhere")</f>
        <v>Yes, I Understand this is gonna happen everywhere</v>
      </c>
      <c r="R1160" s="1" t="str">
        <f ca="1">IFERROR(__xludf.DUMMYFUNCTION("""COMPUTED_VALUE"""),"This will be hard to do, but if it is the right company I would try")</f>
        <v>This will be hard to do, but if it is the right company I would try</v>
      </c>
      <c r="S1160" s="1"/>
    </row>
    <row r="1161" spans="1:19" ht="12.5" x14ac:dyDescent="0.25">
      <c r="A1161" s="2">
        <f ca="1">IFERROR(__xludf.DUMMYFUNCTION("""COMPUTED_VALUE"""),45044.3850417476)</f>
        <v>45044.385041747599</v>
      </c>
      <c r="B1161" s="1" t="str">
        <f ca="1">IFERROR(__xludf.DUMMYFUNCTION("""COMPUTED_VALUE"""),"India")</f>
        <v>India</v>
      </c>
      <c r="C1161" s="1">
        <f ca="1">IFERROR(__xludf.DUMMYFUNCTION("""COMPUTED_VALUE"""),440035)</f>
        <v>440035</v>
      </c>
      <c r="D1161" s="1" t="str">
        <f ca="1">IFERROR(__xludf.DUMMYFUNCTION("""COMPUTED_VALUE"""),"Female")</f>
        <v>Female</v>
      </c>
      <c r="E1161" s="1" t="str">
        <f ca="1">IFERROR(__xludf.DUMMYFUNCTION("""COMPUTED_VALUE"""),"My Parents")</f>
        <v>My Parents</v>
      </c>
      <c r="F1161" s="1" t="str">
        <f ca="1">IFERROR(__xludf.DUMMYFUNCTION("""COMPUTED_VALUE"""),"Yes, I will earn and do that")</f>
        <v>Yes, I will earn and do that</v>
      </c>
      <c r="G1161" s="1" t="str">
        <f ca="1">IFERROR(__xludf.DUMMYFUNCTION("""COMPUTED_VALUE"""),"Will work for 3 years or more")</f>
        <v>Will work for 3 years or more</v>
      </c>
      <c r="H1161" s="1" t="str">
        <f ca="1">IFERROR(__xludf.DUMMYFUNCTION("""COMPUTED_VALUE"""),"No")</f>
        <v>No</v>
      </c>
      <c r="I1161" s="1" t="str">
        <f ca="1">IFERROR(__xludf.DUMMYFUNCTION("""COMPUTED_VALUE"""),"Will NOT work for them")</f>
        <v>Will NOT work for them</v>
      </c>
      <c r="J1161" s="1">
        <f ca="1">IFERROR(__xludf.DUMMYFUNCTION("""COMPUTED_VALUE"""),1)</f>
        <v>1</v>
      </c>
      <c r="K1161" s="1" t="str">
        <f ca="1">IFERROR(__xludf.DUMMYFUNCTION("""COMPUTED_VALUE"""),"Fully Remote with Options to travel as and when needed")</f>
        <v>Fully Remote with Options to travel as and when needed</v>
      </c>
      <c r="L11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6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61" s="1" t="str">
        <f ca="1">IFERROR(__xludf.DUMMYFUNCTION("""COMPUTED_VALUE"""),"Design and Creative strategy in any company, Teaching in any of the institutes/colleges/online or offline, Design and Develop amazing software, Entrepreneur or Start Up")</f>
        <v>Design and Creative strategy in any company, Teaching in any of the institutes/colleges/online or offline, Design and Develop amazing software, Entrepreneur or Start Up</v>
      </c>
      <c r="O1161" s="1" t="str">
        <f ca="1">IFERROR(__xludf.DUMMYFUNCTION("""COMPUTED_VALUE"""),"Manager who explains what is expected, sets a goal and helps achieve it")</f>
        <v>Manager who explains what is expected, sets a goal and helps achieve it</v>
      </c>
      <c r="P1161" s="1" t="str">
        <f ca="1">IFERROR(__xludf.DUMMYFUNCTION("""COMPUTED_VALUE"""),"Work with 2 to 3 people in my team")</f>
        <v>Work with 2 to 3 people in my team</v>
      </c>
      <c r="Q1161" s="1" t="str">
        <f ca="1">IFERROR(__xludf.DUMMYFUNCTION("""COMPUTED_VALUE"""),"Yes, I Understand this is gonna happen everywhere")</f>
        <v>Yes, I Understand this is gonna happen everywhere</v>
      </c>
      <c r="R1161" s="1" t="str">
        <f ca="1">IFERROR(__xludf.DUMMYFUNCTION("""COMPUTED_VALUE"""),"This will be hard to do, but if it is the right company I would try")</f>
        <v>This will be hard to do, but if it is the right company I would try</v>
      </c>
      <c r="S1161" s="1"/>
    </row>
    <row r="1162" spans="1:19" ht="12.5" x14ac:dyDescent="0.25">
      <c r="A1162" s="2">
        <f ca="1">IFERROR(__xludf.DUMMYFUNCTION("""COMPUTED_VALUE"""),45044.3881473495)</f>
        <v>45044.388147349498</v>
      </c>
      <c r="B1162" s="1" t="str">
        <f ca="1">IFERROR(__xludf.DUMMYFUNCTION("""COMPUTED_VALUE"""),"India")</f>
        <v>India</v>
      </c>
      <c r="C1162" s="1">
        <f ca="1">IFERROR(__xludf.DUMMYFUNCTION("""COMPUTED_VALUE"""),423203)</f>
        <v>423203</v>
      </c>
      <c r="D1162" s="1" t="str">
        <f ca="1">IFERROR(__xludf.DUMMYFUNCTION("""COMPUTED_VALUE"""),"Male")</f>
        <v>Male</v>
      </c>
      <c r="E1162" s="1" t="str">
        <f ca="1">IFERROR(__xludf.DUMMYFUNCTION("""COMPUTED_VALUE"""),"Influencers who had successful careers")</f>
        <v>Influencers who had successful careers</v>
      </c>
      <c r="F1162" s="1" t="str">
        <f ca="1">IFERROR(__xludf.DUMMYFUNCTION("""COMPUTED_VALUE"""),"No I would not be pursuing Higher Education outside of India")</f>
        <v>No I would not be pursuing Higher Education outside of India</v>
      </c>
      <c r="G1162" s="1" t="str">
        <f ca="1">IFERROR(__xludf.DUMMYFUNCTION("""COMPUTED_VALUE"""),"This will be hard to do, but if it is the right company I would try")</f>
        <v>This will be hard to do, but if it is the right company I would try</v>
      </c>
      <c r="H1162" s="1" t="str">
        <f ca="1">IFERROR(__xludf.DUMMYFUNCTION("""COMPUTED_VALUE"""),"No")</f>
        <v>No</v>
      </c>
      <c r="I1162" s="1" t="str">
        <f ca="1">IFERROR(__xludf.DUMMYFUNCTION("""COMPUTED_VALUE"""),"Will NOT work for them")</f>
        <v>Will NOT work for them</v>
      </c>
      <c r="J1162" s="1">
        <f ca="1">IFERROR(__xludf.DUMMYFUNCTION("""COMPUTED_VALUE"""),3)</f>
        <v>3</v>
      </c>
      <c r="K1162" s="1" t="str">
        <f ca="1">IFERROR(__xludf.DUMMYFUNCTION("""COMPUTED_VALUE"""),"Fully Remote with Options to travel as and when needed")</f>
        <v>Fully Remote with Options to travel as and when needed</v>
      </c>
      <c r="L1162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16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162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162" s="1" t="str">
        <f ca="1">IFERROR(__xludf.DUMMYFUNCTION("""COMPUTED_VALUE"""),"Manager who explains what is expected, sets a goal and helps achieve it")</f>
        <v>Manager who explains what is expected, sets a goal and helps achieve it</v>
      </c>
      <c r="P1162" s="1" t="str">
        <f ca="1">IFERROR(__xludf.DUMMYFUNCTION("""COMPUTED_VALUE"""),"Work with 2 to 3 people in my team")</f>
        <v>Work with 2 to 3 people in my team</v>
      </c>
      <c r="Q1162" s="1" t="str">
        <f ca="1">IFERROR(__xludf.DUMMYFUNCTION("""COMPUTED_VALUE"""),"Yes, I Understand this is gonna happen everywhere")</f>
        <v>Yes, I Understand this is gonna happen everywhere</v>
      </c>
      <c r="R1162" s="1" t="str">
        <f ca="1">IFERROR(__xludf.DUMMYFUNCTION("""COMPUTED_VALUE"""),"This will be hard to do, but if it is the right company I would try")</f>
        <v>This will be hard to do, but if it is the right company I would try</v>
      </c>
      <c r="S1162" s="1"/>
    </row>
    <row r="1163" spans="1:19" ht="12.5" x14ac:dyDescent="0.25">
      <c r="A1163" s="2">
        <f ca="1">IFERROR(__xludf.DUMMYFUNCTION("""COMPUTED_VALUE"""),45044.3917809375)</f>
        <v>45044.391780937498</v>
      </c>
      <c r="B1163" s="1" t="str">
        <f ca="1">IFERROR(__xludf.DUMMYFUNCTION("""COMPUTED_VALUE"""),"India")</f>
        <v>India</v>
      </c>
      <c r="C1163" s="1">
        <f ca="1">IFERROR(__xludf.DUMMYFUNCTION("""COMPUTED_VALUE"""),201204)</f>
        <v>201204</v>
      </c>
      <c r="D1163" s="1" t="str">
        <f ca="1">IFERROR(__xludf.DUMMYFUNCTION("""COMPUTED_VALUE"""),"Female")</f>
        <v>Female</v>
      </c>
      <c r="E1163" s="1" t="str">
        <f ca="1">IFERROR(__xludf.DUMMYFUNCTION("""COMPUTED_VALUE"""),"My Parents")</f>
        <v>My Parents</v>
      </c>
      <c r="F1163" s="1" t="str">
        <f ca="1">IFERROR(__xludf.DUMMYFUNCTION("""COMPUTED_VALUE"""),"Yes, I will earn and do that")</f>
        <v>Yes, I will earn and do that</v>
      </c>
      <c r="G1163" s="1" t="str">
        <f ca="1">IFERROR(__xludf.DUMMYFUNCTION("""COMPUTED_VALUE"""),"Will work for 3 years or more")</f>
        <v>Will work for 3 years or more</v>
      </c>
      <c r="H1163" s="1" t="str">
        <f ca="1">IFERROR(__xludf.DUMMYFUNCTION("""COMPUTED_VALUE"""),"No")</f>
        <v>No</v>
      </c>
      <c r="I1163" s="1" t="str">
        <f ca="1">IFERROR(__xludf.DUMMYFUNCTION("""COMPUTED_VALUE"""),"Will NOT work for them")</f>
        <v>Will NOT work for them</v>
      </c>
      <c r="J1163" s="1">
        <f ca="1">IFERROR(__xludf.DUMMYFUNCTION("""COMPUTED_VALUE"""),5)</f>
        <v>5</v>
      </c>
      <c r="K1163" s="1" t="str">
        <f ca="1">IFERROR(__xludf.DUMMYFUNCTION("""COMPUTED_VALUE"""),"Every Day Office Environment")</f>
        <v>Every Day Office Environment</v>
      </c>
      <c r="L1163" s="1" t="str">
        <f ca="1">IFERROR(__xludf.DUMMYFUNCTION("""COMPUTED_VALUE"""),"Employer who appreciates learning and enables that environment")</f>
        <v>Employer who appreciates learning and enables that environment</v>
      </c>
      <c r="M116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63" s="1" t="str">
        <f ca="1">IFERROR(__xludf.DUMMYFUNCTION("""COMPUTED_VALUE"""),"Design and Creative strategy in any company, Become a content Creator in some platform, I Want to sell things/Sales, Manufacturing / Oil and Gas/ Construction / Hard Physical Work related")</f>
        <v>Design and Creative strategy in any company, Become a content Creator in some platform, I Want to sell things/Sales, Manufacturing / Oil and Gas/ Construction / Hard Physical Work related</v>
      </c>
      <c r="O1163" s="1" t="str">
        <f ca="1">IFERROR(__xludf.DUMMYFUNCTION("""COMPUTED_VALUE"""),"Manager who sets goal and helps me achieve it")</f>
        <v>Manager who sets goal and helps me achieve it</v>
      </c>
      <c r="P1163" s="1" t="str">
        <f ca="1">IFERROR(__xludf.DUMMYFUNCTION("""COMPUTED_VALUE"""),"Work alone")</f>
        <v>Work alone</v>
      </c>
      <c r="Q1163" s="1" t="str">
        <f ca="1">IFERROR(__xludf.DUMMYFUNCTION("""COMPUTED_VALUE"""),"Yes")</f>
        <v>Yes</v>
      </c>
      <c r="R1163" s="1" t="str">
        <f ca="1">IFERROR(__xludf.DUMMYFUNCTION("""COMPUTED_VALUE"""),"This will be hard to do, but if it is the right company I would try")</f>
        <v>This will be hard to do, but if it is the right company I would try</v>
      </c>
      <c r="S1163" s="1"/>
    </row>
    <row r="1164" spans="1:19" ht="12.5" x14ac:dyDescent="0.25">
      <c r="A1164" s="2">
        <f ca="1">IFERROR(__xludf.DUMMYFUNCTION("""COMPUTED_VALUE"""),45044.4011956597)</f>
        <v>45044.401195659702</v>
      </c>
      <c r="B1164" s="1" t="str">
        <f ca="1">IFERROR(__xludf.DUMMYFUNCTION("""COMPUTED_VALUE"""),"India")</f>
        <v>India</v>
      </c>
      <c r="C1164" s="1">
        <f ca="1">IFERROR(__xludf.DUMMYFUNCTION("""COMPUTED_VALUE"""),534002)</f>
        <v>534002</v>
      </c>
      <c r="D1164" s="1" t="str">
        <f ca="1">IFERROR(__xludf.DUMMYFUNCTION("""COMPUTED_VALUE"""),"Female")</f>
        <v>Female</v>
      </c>
      <c r="E1164" s="1" t="str">
        <f ca="1">IFERROR(__xludf.DUMMYFUNCTION("""COMPUTED_VALUE"""),"My Parents")</f>
        <v>My Parents</v>
      </c>
      <c r="F1164" s="1" t="str">
        <f ca="1">IFERROR(__xludf.DUMMYFUNCTION("""COMPUTED_VALUE"""),"No I would not be pursuing Higher Education outside of India")</f>
        <v>No I would not be pursuing Higher Education outside of India</v>
      </c>
      <c r="G1164" s="1" t="str">
        <f ca="1">IFERROR(__xludf.DUMMYFUNCTION("""COMPUTED_VALUE"""),"Will work for 3 years or more")</f>
        <v>Will work for 3 years or more</v>
      </c>
      <c r="H1164" s="1" t="str">
        <f ca="1">IFERROR(__xludf.DUMMYFUNCTION("""COMPUTED_VALUE"""),"No")</f>
        <v>No</v>
      </c>
      <c r="I1164" s="1" t="str">
        <f ca="1">IFERROR(__xludf.DUMMYFUNCTION("""COMPUTED_VALUE"""),"Will NOT work for them")</f>
        <v>Will NOT work for them</v>
      </c>
      <c r="J1164" s="1">
        <f ca="1">IFERROR(__xludf.DUMMYFUNCTION("""COMPUTED_VALUE"""),3)</f>
        <v>3</v>
      </c>
      <c r="K1164" s="1" t="str">
        <f ca="1">IFERROR(__xludf.DUMMYFUNCTION("""COMPUTED_VALUE"""),"Hybrid Working Environment with more than 15 days a month at office")</f>
        <v>Hybrid Working Environment with more than 15 days a month at office</v>
      </c>
      <c r="L1164" s="1" t="str">
        <f ca="1">IFERROR(__xludf.DUMMYFUNCTION("""COMPUTED_VALUE"""),"Employer who rewards learning and enables that environment")</f>
        <v>Employer who rewards learning and enables that environment</v>
      </c>
      <c r="M116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64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164" s="1" t="str">
        <f ca="1">IFERROR(__xludf.DUMMYFUNCTION("""COMPUTED_VALUE"""),"Manager who clearly describes what she/he needs")</f>
        <v>Manager who clearly describes what she/he needs</v>
      </c>
      <c r="P116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164" s="1" t="str">
        <f ca="1">IFERROR(__xludf.DUMMYFUNCTION("""COMPUTED_VALUE"""),"Yes, I Understand this is gonna happen everywhere")</f>
        <v>Yes, I Understand this is gonna happen everywhere</v>
      </c>
      <c r="R1164" s="1" t="str">
        <f ca="1">IFERROR(__xludf.DUMMYFUNCTION("""COMPUTED_VALUE"""),"This will be hard to do, but if it is the right company I would try")</f>
        <v>This will be hard to do, but if it is the right company I would try</v>
      </c>
      <c r="S1164" s="1"/>
    </row>
    <row r="1165" spans="1:19" ht="12.5" x14ac:dyDescent="0.25">
      <c r="A1165" s="2">
        <f ca="1">IFERROR(__xludf.DUMMYFUNCTION("""COMPUTED_VALUE"""),45044.4088640856)</f>
        <v>45044.408864085599</v>
      </c>
      <c r="B1165" s="1" t="str">
        <f ca="1">IFERROR(__xludf.DUMMYFUNCTION("""COMPUTED_VALUE"""),"India")</f>
        <v>India</v>
      </c>
      <c r="C1165" s="1">
        <f ca="1">IFERROR(__xludf.DUMMYFUNCTION("""COMPUTED_VALUE"""),560068)</f>
        <v>560068</v>
      </c>
      <c r="D1165" s="1" t="str">
        <f ca="1">IFERROR(__xludf.DUMMYFUNCTION("""COMPUTED_VALUE"""),"Female")</f>
        <v>Female</v>
      </c>
      <c r="E1165" s="1" t="str">
        <f ca="1">IFERROR(__xludf.DUMMYFUNCTION("""COMPUTED_VALUE"""),"My Parents")</f>
        <v>My Parents</v>
      </c>
      <c r="F1165" s="1" t="str">
        <f ca="1">IFERROR(__xludf.DUMMYFUNCTION("""COMPUTED_VALUE"""),"Yes, I will earn and do that")</f>
        <v>Yes, I will earn and do that</v>
      </c>
      <c r="G1165" s="1" t="str">
        <f ca="1">IFERROR(__xludf.DUMMYFUNCTION("""COMPUTED_VALUE"""),"This will be hard to do, but if it is the right company I would try")</f>
        <v>This will be hard to do, but if it is the right company I would try</v>
      </c>
      <c r="H1165" s="1" t="str">
        <f ca="1">IFERROR(__xludf.DUMMYFUNCTION("""COMPUTED_VALUE"""),"No")</f>
        <v>No</v>
      </c>
      <c r="I1165" s="1" t="str">
        <f ca="1">IFERROR(__xludf.DUMMYFUNCTION("""COMPUTED_VALUE"""),"Will NOT work for them")</f>
        <v>Will NOT work for them</v>
      </c>
      <c r="J1165" s="1">
        <f ca="1">IFERROR(__xludf.DUMMYFUNCTION("""COMPUTED_VALUE"""),5)</f>
        <v>5</v>
      </c>
      <c r="K1165" s="1" t="str">
        <f ca="1">IFERROR(__xludf.DUMMYFUNCTION("""COMPUTED_VALUE"""),"Fully Remote with Options to travel as and when needed")</f>
        <v>Fully Remote with Options to travel as and when needed</v>
      </c>
      <c r="L11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6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165" s="1" t="str">
        <f ca="1">IFERROR(__xludf.DUMMYFUNCTION("""COMPUTED_VALUE"""),"Design and Creative strategy in any company, Look deeply into Data and generate insights, Become a content Creator in some platform, Entrepreneur or Start Up")</f>
        <v>Design and Creative strategy in any company, Look deeply into Data and generate insights, Become a content Creator in some platform, Entrepreneur or Start Up</v>
      </c>
      <c r="O1165" s="1" t="str">
        <f ca="1">IFERROR(__xludf.DUMMYFUNCTION("""COMPUTED_VALUE"""),"Manager who explains what is expected, sets a goal and helps achieve it")</f>
        <v>Manager who explains what is expected, sets a goal and helps achieve it</v>
      </c>
      <c r="P1165" s="1" t="str">
        <f ca="1">IFERROR(__xludf.DUMMYFUNCTION("""COMPUTED_VALUE"""),"Work with 5 to 6 people in my team")</f>
        <v>Work with 5 to 6 people in my team</v>
      </c>
      <c r="Q1165" s="1" t="str">
        <f ca="1">IFERROR(__xludf.DUMMYFUNCTION("""COMPUTED_VALUE"""),"No")</f>
        <v>No</v>
      </c>
      <c r="R1165" s="1" t="str">
        <f ca="1">IFERROR(__xludf.DUMMYFUNCTION("""COMPUTED_VALUE"""),"This will be hard to do, but if it is the right company I would try")</f>
        <v>This will be hard to do, but if it is the right company I would try</v>
      </c>
      <c r="S1165" s="1"/>
    </row>
    <row r="1166" spans="1:19" ht="12.5" x14ac:dyDescent="0.25">
      <c r="A1166" s="2">
        <f ca="1">IFERROR(__xludf.DUMMYFUNCTION("""COMPUTED_VALUE"""),45044.411692037)</f>
        <v>45044.411692037</v>
      </c>
      <c r="B1166" s="1" t="str">
        <f ca="1">IFERROR(__xludf.DUMMYFUNCTION("""COMPUTED_VALUE"""),"India")</f>
        <v>India</v>
      </c>
      <c r="C1166" s="1">
        <f ca="1">IFERROR(__xludf.DUMMYFUNCTION("""COMPUTED_VALUE"""),530002)</f>
        <v>530002</v>
      </c>
      <c r="D1166" s="1" t="str">
        <f ca="1">IFERROR(__xludf.DUMMYFUNCTION("""COMPUTED_VALUE"""),"Female")</f>
        <v>Female</v>
      </c>
      <c r="E1166" s="1" t="str">
        <f ca="1">IFERROR(__xludf.DUMMYFUNCTION("""COMPUTED_VALUE"""),"People who have changed the world for better")</f>
        <v>People who have changed the world for better</v>
      </c>
      <c r="F1166" s="1" t="str">
        <f ca="1">IFERROR(__xludf.DUMMYFUNCTION("""COMPUTED_VALUE"""),"Yes, I will earn and do that")</f>
        <v>Yes, I will earn and do that</v>
      </c>
      <c r="G1166" s="1" t="str">
        <f ca="1">IFERROR(__xludf.DUMMYFUNCTION("""COMPUTED_VALUE"""),"This will be hard to do, but if it is the right company I would try")</f>
        <v>This will be hard to do, but if it is the right company I would try</v>
      </c>
      <c r="H1166" s="1" t="str">
        <f ca="1">IFERROR(__xludf.DUMMYFUNCTION("""COMPUTED_VALUE"""),"No")</f>
        <v>No</v>
      </c>
      <c r="I1166" s="1" t="str">
        <f ca="1">IFERROR(__xludf.DUMMYFUNCTION("""COMPUTED_VALUE"""),"Will NOT work for them")</f>
        <v>Will NOT work for them</v>
      </c>
      <c r="J1166" s="1">
        <f ca="1">IFERROR(__xludf.DUMMYFUNCTION("""COMPUTED_VALUE"""),3)</f>
        <v>3</v>
      </c>
      <c r="K1166" s="1" t="str">
        <f ca="1">IFERROR(__xludf.DUMMYFUNCTION("""COMPUTED_VALUE"""),"Fully Remote with Options to travel as and when needed")</f>
        <v>Fully Remote with Options to travel as and when needed</v>
      </c>
      <c r="L11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6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66" s="1" t="str">
        <f ca="1">IFERROR(__xludf.DUMMYFUNCTION("""COMPUTED_VALUE"""),"Design and Creative strategy in any company, Manage and drive End-to-End Projects or Products, Work as a freelancer and do my thing my way, Entrepreneur or Start Up")</f>
        <v>Design and Creative strategy in any company, Manage and drive End-to-End Projects or Products, Work as a freelancer and do my thing my way, Entrepreneur or Start Up</v>
      </c>
      <c r="O116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66" s="1" t="str">
        <f ca="1">IFERROR(__xludf.DUMMYFUNCTION("""COMPUTED_VALUE"""),"Work with 5 to 6 people in my team")</f>
        <v>Work with 5 to 6 people in my team</v>
      </c>
      <c r="Q1166" s="1" t="str">
        <f ca="1">IFERROR(__xludf.DUMMYFUNCTION("""COMPUTED_VALUE"""),"No")</f>
        <v>No</v>
      </c>
      <c r="R1166" s="1" t="str">
        <f ca="1">IFERROR(__xludf.DUMMYFUNCTION("""COMPUTED_VALUE"""),"This will be hard to do, but if it is the right company I would try")</f>
        <v>This will be hard to do, but if it is the right company I would try</v>
      </c>
      <c r="S1166" s="1"/>
    </row>
    <row r="1167" spans="1:19" ht="12.5" x14ac:dyDescent="0.25">
      <c r="A1167" s="2">
        <f ca="1">IFERROR(__xludf.DUMMYFUNCTION("""COMPUTED_VALUE"""),45044.4152023495)</f>
        <v>45044.415202349497</v>
      </c>
      <c r="B1167" s="1" t="str">
        <f ca="1">IFERROR(__xludf.DUMMYFUNCTION("""COMPUTED_VALUE"""),"India")</f>
        <v>India</v>
      </c>
      <c r="C1167" s="1">
        <f ca="1">IFERROR(__xludf.DUMMYFUNCTION("""COMPUTED_VALUE"""),560079)</f>
        <v>560079</v>
      </c>
      <c r="D1167" s="1" t="str">
        <f ca="1">IFERROR(__xludf.DUMMYFUNCTION("""COMPUTED_VALUE"""),"Male")</f>
        <v>Male</v>
      </c>
      <c r="E1167" s="1" t="str">
        <f ca="1">IFERROR(__xludf.DUMMYFUNCTION("""COMPUTED_VALUE"""),"My Parents")</f>
        <v>My Parents</v>
      </c>
      <c r="F1167" s="1" t="str">
        <f ca="1">IFERROR(__xludf.DUMMYFUNCTION("""COMPUTED_VALUE"""),"Yes, I will earn and do that")</f>
        <v>Yes, I will earn and do that</v>
      </c>
      <c r="G1167" s="1" t="str">
        <f ca="1">IFERROR(__xludf.DUMMYFUNCTION("""COMPUTED_VALUE"""),"Will work for 3 years or more")</f>
        <v>Will work for 3 years or more</v>
      </c>
      <c r="H1167" s="1" t="str">
        <f ca="1">IFERROR(__xludf.DUMMYFUNCTION("""COMPUTED_VALUE"""),"Yes")</f>
        <v>Yes</v>
      </c>
      <c r="I1167" s="1" t="str">
        <f ca="1">IFERROR(__xludf.DUMMYFUNCTION("""COMPUTED_VALUE"""),"Will work for them")</f>
        <v>Will work for them</v>
      </c>
      <c r="J1167" s="1">
        <f ca="1">IFERROR(__xludf.DUMMYFUNCTION("""COMPUTED_VALUE"""),5)</f>
        <v>5</v>
      </c>
      <c r="K1167" s="1" t="str">
        <f ca="1">IFERROR(__xludf.DUMMYFUNCTION("""COMPUTED_VALUE"""),"Every Day Office Environment")</f>
        <v>Every Day Office Environment</v>
      </c>
      <c r="L11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6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167" s="1" t="str">
        <f ca="1">IFERROR(__xludf.DUMMYFUNCTION("""COMPUTED_VALUE"""),"Manage and drive End-to-End Projects or Products, Become a content Creator in some platform, I Want to sell things/Sales, Manufacturing / Oil and Gas/ Construction / Hard Physical Work related")</f>
        <v>Manage and drive End-to-End Projects or Products, Become a content Creator in some platform, I Want to sell things/Sales, Manufacturing / Oil and Gas/ Construction / Hard Physical Work related</v>
      </c>
      <c r="O1167" s="1" t="str">
        <f ca="1">IFERROR(__xludf.DUMMYFUNCTION("""COMPUTED_VALUE"""),"Manager who clearly describes what she/he needs")</f>
        <v>Manager who clearly describes what she/he needs</v>
      </c>
      <c r="P1167" s="1" t="str">
        <f ca="1">IFERROR(__xludf.DUMMYFUNCTION("""COMPUTED_VALUE"""),"Work with 7 to 10 or more people in my team")</f>
        <v>Work with 7 to 10 or more people in my team</v>
      </c>
      <c r="Q1167" s="1" t="str">
        <f ca="1">IFERROR(__xludf.DUMMYFUNCTION("""COMPUTED_VALUE"""),"I have NO other choice")</f>
        <v>I have NO other choice</v>
      </c>
      <c r="R1167" s="1" t="str">
        <f ca="1">IFERROR(__xludf.DUMMYFUNCTION("""COMPUTED_VALUE"""),"This will be hard to do, but if it is the right company I would try")</f>
        <v>This will be hard to do, but if it is the right company I would try</v>
      </c>
      <c r="S1167" s="1"/>
    </row>
    <row r="1168" spans="1:19" ht="12.5" x14ac:dyDescent="0.25">
      <c r="A1168" s="2">
        <f ca="1">IFERROR(__xludf.DUMMYFUNCTION("""COMPUTED_VALUE"""),45044.4190348263)</f>
        <v>45044.4190348263</v>
      </c>
      <c r="B1168" s="1" t="str">
        <f ca="1">IFERROR(__xludf.DUMMYFUNCTION("""COMPUTED_VALUE"""),"India")</f>
        <v>India</v>
      </c>
      <c r="C1168" s="1">
        <f ca="1">IFERROR(__xludf.DUMMYFUNCTION("""COMPUTED_VALUE"""),530002)</f>
        <v>530002</v>
      </c>
      <c r="D1168" s="1" t="str">
        <f ca="1">IFERROR(__xludf.DUMMYFUNCTION("""COMPUTED_VALUE"""),"Female")</f>
        <v>Female</v>
      </c>
      <c r="E1168" s="1" t="str">
        <f ca="1">IFERROR(__xludf.DUMMYFUNCTION("""COMPUTED_VALUE"""),"People who have changed the world for better")</f>
        <v>People who have changed the world for better</v>
      </c>
      <c r="F1168" s="1" t="str">
        <f ca="1">IFERROR(__xludf.DUMMYFUNCTION("""COMPUTED_VALUE"""),"No, But if someone could bare the cost I will")</f>
        <v>No, But if someone could bare the cost I will</v>
      </c>
      <c r="G1168" s="1" t="str">
        <f ca="1">IFERROR(__xludf.DUMMYFUNCTION("""COMPUTED_VALUE"""),"This will be hard to do, but if it is the right company I would try")</f>
        <v>This will be hard to do, but if it is the right company I would try</v>
      </c>
      <c r="H1168" s="1" t="str">
        <f ca="1">IFERROR(__xludf.DUMMYFUNCTION("""COMPUTED_VALUE"""),"No")</f>
        <v>No</v>
      </c>
      <c r="I1168" s="1" t="str">
        <f ca="1">IFERROR(__xludf.DUMMYFUNCTION("""COMPUTED_VALUE"""),"Will NOT work for them")</f>
        <v>Will NOT work for them</v>
      </c>
      <c r="J1168" s="1">
        <f ca="1">IFERROR(__xludf.DUMMYFUNCTION("""COMPUTED_VALUE"""),6)</f>
        <v>6</v>
      </c>
      <c r="K1168" s="1" t="str">
        <f ca="1">IFERROR(__xludf.DUMMYFUNCTION("""COMPUTED_VALUE"""),"Hybrid Working Environment with more than 15 days a month at office")</f>
        <v>Hybrid Working Environment with more than 15 days a month at office</v>
      </c>
      <c r="L11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6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168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168" s="1" t="str">
        <f ca="1">IFERROR(__xludf.DUMMYFUNCTION("""COMPUTED_VALUE"""),"Manager who explains what is expected, sets a goal and helps achieve it")</f>
        <v>Manager who explains what is expected, sets a goal and helps achieve it</v>
      </c>
      <c r="P1168" s="1" t="str">
        <f ca="1">IFERROR(__xludf.DUMMYFUNCTION("""COMPUTED_VALUE"""),"Work with 2 to 3 people in my team")</f>
        <v>Work with 2 to 3 people in my team</v>
      </c>
      <c r="Q1168" s="1" t="str">
        <f ca="1">IFERROR(__xludf.DUMMYFUNCTION("""COMPUTED_VALUE"""),"No")</f>
        <v>No</v>
      </c>
      <c r="R1168" s="1" t="str">
        <f ca="1">IFERROR(__xludf.DUMMYFUNCTION("""COMPUTED_VALUE"""),"No way")</f>
        <v>No way</v>
      </c>
      <c r="S1168" s="1"/>
    </row>
    <row r="1169" spans="1:19" ht="12.5" x14ac:dyDescent="0.25">
      <c r="A1169" s="2">
        <f ca="1">IFERROR(__xludf.DUMMYFUNCTION("""COMPUTED_VALUE"""),45044.4201268171)</f>
        <v>45044.420126817102</v>
      </c>
      <c r="B1169" s="1" t="str">
        <f ca="1">IFERROR(__xludf.DUMMYFUNCTION("""COMPUTED_VALUE"""),"India")</f>
        <v>India</v>
      </c>
      <c r="C1169" s="1">
        <f ca="1">IFERROR(__xludf.DUMMYFUNCTION("""COMPUTED_VALUE"""),110091)</f>
        <v>110091</v>
      </c>
      <c r="D1169" s="1" t="str">
        <f ca="1">IFERROR(__xludf.DUMMYFUNCTION("""COMPUTED_VALUE"""),"Male")</f>
        <v>Male</v>
      </c>
      <c r="E1169" s="1" t="str">
        <f ca="1">IFERROR(__xludf.DUMMYFUNCTION("""COMPUTED_VALUE"""),"People from my circle, but not family members")</f>
        <v>People from my circle, but not family members</v>
      </c>
      <c r="F1169" s="1" t="str">
        <f ca="1">IFERROR(__xludf.DUMMYFUNCTION("""COMPUTED_VALUE"""),"No, But if someone could bare the cost I will")</f>
        <v>No, But if someone could bare the cost I will</v>
      </c>
      <c r="G1169" s="1" t="str">
        <f ca="1">IFERROR(__xludf.DUMMYFUNCTION("""COMPUTED_VALUE"""),"Will work for 3 years or more")</f>
        <v>Will work for 3 years or more</v>
      </c>
      <c r="H1169" s="1" t="str">
        <f ca="1">IFERROR(__xludf.DUMMYFUNCTION("""COMPUTED_VALUE"""),"No")</f>
        <v>No</v>
      </c>
      <c r="I1169" s="1" t="str">
        <f ca="1">IFERROR(__xludf.DUMMYFUNCTION("""COMPUTED_VALUE"""),"Will NOT work for them")</f>
        <v>Will NOT work for them</v>
      </c>
      <c r="J1169" s="1">
        <f ca="1">IFERROR(__xludf.DUMMYFUNCTION("""COMPUTED_VALUE"""),10)</f>
        <v>10</v>
      </c>
      <c r="K1169" s="1" t="str">
        <f ca="1">IFERROR(__xludf.DUMMYFUNCTION("""COMPUTED_VALUE"""),"Every Day Office Environment")</f>
        <v>Every Day Office Environment</v>
      </c>
      <c r="L11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6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169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1169" s="1" t="str">
        <f ca="1">IFERROR(__xludf.DUMMYFUNCTION("""COMPUTED_VALUE"""),"Manager who explains what is expected, sets a goal and helps achieve it")</f>
        <v>Manager who explains what is expected, sets a goal and helps achieve it</v>
      </c>
      <c r="P1169" s="1" t="str">
        <f ca="1">IFERROR(__xludf.DUMMYFUNCTION("""COMPUTED_VALUE"""),"Work with 5 to 6 people in my team")</f>
        <v>Work with 5 to 6 people in my team</v>
      </c>
      <c r="Q1169" s="1" t="str">
        <f ca="1">IFERROR(__xludf.DUMMYFUNCTION("""COMPUTED_VALUE"""),"Yes, I Understand this is gonna happen everywhere")</f>
        <v>Yes, I Understand this is gonna happen everywhere</v>
      </c>
      <c r="R1169" s="1" t="str">
        <f ca="1">IFERROR(__xludf.DUMMYFUNCTION("""COMPUTED_VALUE"""),"This will be hard to do, but if it is the right company I would try")</f>
        <v>This will be hard to do, but if it is the right company I would try</v>
      </c>
      <c r="S1169" s="1"/>
    </row>
    <row r="1170" spans="1:19" ht="12.5" x14ac:dyDescent="0.25">
      <c r="A1170" s="2">
        <f ca="1">IFERROR(__xludf.DUMMYFUNCTION("""COMPUTED_VALUE"""),45044.4214031944)</f>
        <v>45044.421403194399</v>
      </c>
      <c r="B1170" s="1" t="str">
        <f ca="1">IFERROR(__xludf.DUMMYFUNCTION("""COMPUTED_VALUE"""),"India")</f>
        <v>India</v>
      </c>
      <c r="C1170" s="1">
        <f ca="1">IFERROR(__xludf.DUMMYFUNCTION("""COMPUTED_VALUE"""),560100)</f>
        <v>560100</v>
      </c>
      <c r="D1170" s="1" t="str">
        <f ca="1">IFERROR(__xludf.DUMMYFUNCTION("""COMPUTED_VALUE"""),"Male")</f>
        <v>Male</v>
      </c>
      <c r="E1170" s="1" t="str">
        <f ca="1">IFERROR(__xludf.DUMMYFUNCTION("""COMPUTED_VALUE"""),"My Parents")</f>
        <v>My Parents</v>
      </c>
      <c r="F1170" s="1" t="str">
        <f ca="1">IFERROR(__xludf.DUMMYFUNCTION("""COMPUTED_VALUE"""),"Yes, I will earn and do that")</f>
        <v>Yes, I will earn and do that</v>
      </c>
      <c r="G1170" s="1" t="str">
        <f ca="1">IFERROR(__xludf.DUMMYFUNCTION("""COMPUTED_VALUE"""),"Will work for 3 years or more")</f>
        <v>Will work for 3 years or more</v>
      </c>
      <c r="H1170" s="1" t="str">
        <f ca="1">IFERROR(__xludf.DUMMYFUNCTION("""COMPUTED_VALUE"""),"No")</f>
        <v>No</v>
      </c>
      <c r="I1170" s="1" t="str">
        <f ca="1">IFERROR(__xludf.DUMMYFUNCTION("""COMPUTED_VALUE"""),"Will work for them")</f>
        <v>Will work for them</v>
      </c>
      <c r="J1170" s="1">
        <f ca="1">IFERROR(__xludf.DUMMYFUNCTION("""COMPUTED_VALUE"""),4)</f>
        <v>4</v>
      </c>
      <c r="K1170" s="1" t="str">
        <f ca="1">IFERROR(__xludf.DUMMYFUNCTION("""COMPUTED_VALUE"""),"Fully Remote with Options to travel as and when needed")</f>
        <v>Fully Remote with Options to travel as and when needed</v>
      </c>
      <c r="L1170" s="1" t="str">
        <f ca="1">IFERROR(__xludf.DUMMYFUNCTION("""COMPUTED_VALUE"""),"Employer who rewards learning and enables that environment")</f>
        <v>Employer who rewards learning and enables that environment</v>
      </c>
      <c r="M117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170" s="1" t="str">
        <f ca="1">IFERROR(__xludf.DUMMYFUNCTION("""COMPUTED_VALUE"""),"Design and Creative strategy in any company, Business Operations in any organization, Work in a BPO setup for some well known client, Manufacturing / Oil and Gas/ Construction / Hard Physical Work related")</f>
        <v>Design and Creative strategy in any company, Business Operations in any organization, Work in a BPO setup for some well known client, Manufacturing / Oil and Gas/ Construction / Hard Physical Work related</v>
      </c>
      <c r="O1170" s="1" t="str">
        <f ca="1">IFERROR(__xludf.DUMMYFUNCTION("""COMPUTED_VALUE"""),"Manager who clearly describes what she/he needs")</f>
        <v>Manager who clearly describes what she/he needs</v>
      </c>
      <c r="P1170" s="1" t="str">
        <f ca="1">IFERROR(__xludf.DUMMYFUNCTION("""COMPUTED_VALUE"""),"Work alone")</f>
        <v>Work alone</v>
      </c>
      <c r="Q1170" s="1" t="str">
        <f ca="1">IFERROR(__xludf.DUMMYFUNCTION("""COMPUTED_VALUE"""),"Yes")</f>
        <v>Yes</v>
      </c>
      <c r="R1170" s="1" t="str">
        <f ca="1">IFERROR(__xludf.DUMMYFUNCTION("""COMPUTED_VALUE"""),"No way")</f>
        <v>No way</v>
      </c>
      <c r="S1170" s="1"/>
    </row>
    <row r="1171" spans="1:19" ht="12.5" x14ac:dyDescent="0.25">
      <c r="A1171" s="2">
        <f ca="1">IFERROR(__xludf.DUMMYFUNCTION("""COMPUTED_VALUE"""),45044.4215646875)</f>
        <v>45044.421564687502</v>
      </c>
      <c r="B1171" s="1" t="str">
        <f ca="1">IFERROR(__xludf.DUMMYFUNCTION("""COMPUTED_VALUE"""),"India")</f>
        <v>India</v>
      </c>
      <c r="C1171" s="1">
        <f ca="1">IFERROR(__xludf.DUMMYFUNCTION("""COMPUTED_VALUE"""),530024)</f>
        <v>530024</v>
      </c>
      <c r="D1171" s="1" t="str">
        <f ca="1">IFERROR(__xludf.DUMMYFUNCTION("""COMPUTED_VALUE"""),"Male")</f>
        <v>Male</v>
      </c>
      <c r="E1171" s="1" t="str">
        <f ca="1">IFERROR(__xludf.DUMMYFUNCTION("""COMPUTED_VALUE"""),"People from my circle, but not family members")</f>
        <v>People from my circle, but not family members</v>
      </c>
      <c r="F1171" s="1" t="str">
        <f ca="1">IFERROR(__xludf.DUMMYFUNCTION("""COMPUTED_VALUE"""),"Yes, I will earn and do that")</f>
        <v>Yes, I will earn and do that</v>
      </c>
      <c r="G1171" s="1" t="str">
        <f ca="1">IFERROR(__xludf.DUMMYFUNCTION("""COMPUTED_VALUE"""),"This will be hard to do, but if it is the right company I would try")</f>
        <v>This will be hard to do, but if it is the right company I would try</v>
      </c>
      <c r="H1171" s="1" t="str">
        <f ca="1">IFERROR(__xludf.DUMMYFUNCTION("""COMPUTED_VALUE"""),"No")</f>
        <v>No</v>
      </c>
      <c r="I1171" s="1" t="str">
        <f ca="1">IFERROR(__xludf.DUMMYFUNCTION("""COMPUTED_VALUE"""),"Will NOT work for them")</f>
        <v>Will NOT work for them</v>
      </c>
      <c r="J1171" s="1">
        <f ca="1">IFERROR(__xludf.DUMMYFUNCTION("""COMPUTED_VALUE"""),8)</f>
        <v>8</v>
      </c>
      <c r="K1171" s="1" t="str">
        <f ca="1">IFERROR(__xludf.DUMMYFUNCTION("""COMPUTED_VALUE"""),"Hybrid Working Environment with more than 15 days a month at office")</f>
        <v>Hybrid Working Environment with more than 15 days a month at office</v>
      </c>
      <c r="L1171" s="1" t="str">
        <f ca="1">IFERROR(__xludf.DUMMYFUNCTION("""COMPUTED_VALUE"""),"Employer who appreciates learning and enables that environment")</f>
        <v>Employer who appreciates learning and enables that environment</v>
      </c>
      <c r="M117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171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1171" s="1" t="str">
        <f ca="1">IFERROR(__xludf.DUMMYFUNCTION("""COMPUTED_VALUE"""),"Manager who clearly describes what she/he needs")</f>
        <v>Manager who clearly describes what she/he needs</v>
      </c>
      <c r="P1171" s="1" t="str">
        <f ca="1">IFERROR(__xludf.DUMMYFUNCTION("""COMPUTED_VALUE"""),"Work with 5 to 6 people in my team")</f>
        <v>Work with 5 to 6 people in my team</v>
      </c>
      <c r="Q1171" s="1" t="str">
        <f ca="1">IFERROR(__xludf.DUMMYFUNCTION("""COMPUTED_VALUE"""),"Yes, I Understand this is gonna happen everywhere")</f>
        <v>Yes, I Understand this is gonna happen everywhere</v>
      </c>
      <c r="R1171" s="1" t="str">
        <f ca="1">IFERROR(__xludf.DUMMYFUNCTION("""COMPUTED_VALUE"""),"This will be hard to do, but if it is the right company I would try")</f>
        <v>This will be hard to do, but if it is the right company I would try</v>
      </c>
      <c r="S1171" s="1"/>
    </row>
    <row r="1172" spans="1:19" ht="12.5" x14ac:dyDescent="0.25">
      <c r="A1172" s="2">
        <f ca="1">IFERROR(__xludf.DUMMYFUNCTION("""COMPUTED_VALUE"""),45044.4234244213)</f>
        <v>45044.4234244213</v>
      </c>
      <c r="B1172" s="1" t="str">
        <f ca="1">IFERROR(__xludf.DUMMYFUNCTION("""COMPUTED_VALUE"""),"India")</f>
        <v>India</v>
      </c>
      <c r="C1172" s="1">
        <f ca="1">IFERROR(__xludf.DUMMYFUNCTION("""COMPUTED_VALUE"""),533005)</f>
        <v>533005</v>
      </c>
      <c r="D1172" s="1" t="str">
        <f ca="1">IFERROR(__xludf.DUMMYFUNCTION("""COMPUTED_VALUE"""),"Female")</f>
        <v>Female</v>
      </c>
      <c r="E1172" s="1" t="str">
        <f ca="1">IFERROR(__xludf.DUMMYFUNCTION("""COMPUTED_VALUE"""),"People who have changed the world for better")</f>
        <v>People who have changed the world for better</v>
      </c>
      <c r="F1172" s="1" t="str">
        <f ca="1">IFERROR(__xludf.DUMMYFUNCTION("""COMPUTED_VALUE"""),"Yes, I will earn and do that")</f>
        <v>Yes, I will earn and do that</v>
      </c>
      <c r="G1172" s="1" t="str">
        <f ca="1">IFERROR(__xludf.DUMMYFUNCTION("""COMPUTED_VALUE"""),"This will be hard to do, but if it is the right company I would try")</f>
        <v>This will be hard to do, but if it is the right company I would try</v>
      </c>
      <c r="H1172" s="1" t="str">
        <f ca="1">IFERROR(__xludf.DUMMYFUNCTION("""COMPUTED_VALUE"""),"No")</f>
        <v>No</v>
      </c>
      <c r="I1172" s="1" t="str">
        <f ca="1">IFERROR(__xludf.DUMMYFUNCTION("""COMPUTED_VALUE"""),"Will NOT work for them")</f>
        <v>Will NOT work for them</v>
      </c>
      <c r="J1172" s="1">
        <f ca="1">IFERROR(__xludf.DUMMYFUNCTION("""COMPUTED_VALUE"""),7)</f>
        <v>7</v>
      </c>
      <c r="K1172" s="1" t="str">
        <f ca="1">IFERROR(__xludf.DUMMYFUNCTION("""COMPUTED_VALUE"""),"Hybrid Working Environment with more than 15 days a month at office")</f>
        <v>Hybrid Working Environment with more than 15 days a month at office</v>
      </c>
      <c r="L1172" s="1" t="str">
        <f ca="1">IFERROR(__xludf.DUMMYFUNCTION("""COMPUTED_VALUE"""),"Employer who appreciates learning and enables that environment")</f>
        <v>Employer who appreciates learning and enables that environment</v>
      </c>
      <c r="M117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172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1172" s="1" t="str">
        <f ca="1">IFERROR(__xludf.DUMMYFUNCTION("""COMPUTED_VALUE"""),"Manager who explains what is expected, sets a goal and helps achieve it")</f>
        <v>Manager who explains what is expected, sets a goal and helps achieve it</v>
      </c>
      <c r="P1172" s="1" t="str">
        <f ca="1">IFERROR(__xludf.DUMMYFUNCTION("""COMPUTED_VALUE"""),"Work with 2 to 3 people in my team")</f>
        <v>Work with 2 to 3 people in my team</v>
      </c>
      <c r="Q1172" s="1" t="str">
        <f ca="1">IFERROR(__xludf.DUMMYFUNCTION("""COMPUTED_VALUE"""),"Yes, I Understand this is gonna happen everywhere")</f>
        <v>Yes, I Understand this is gonna happen everywhere</v>
      </c>
      <c r="R1172" s="1" t="str">
        <f ca="1">IFERROR(__xludf.DUMMYFUNCTION("""COMPUTED_VALUE"""),"This will be hard to do, but if it is the right company I would try")</f>
        <v>This will be hard to do, but if it is the right company I would try</v>
      </c>
      <c r="S1172" s="1"/>
    </row>
    <row r="1173" spans="1:19" ht="12.5" x14ac:dyDescent="0.25">
      <c r="A1173" s="2">
        <f ca="1">IFERROR(__xludf.DUMMYFUNCTION("""COMPUTED_VALUE"""),45044.4240322685)</f>
        <v>45044.4240322685</v>
      </c>
      <c r="B1173" s="1" t="str">
        <f ca="1">IFERROR(__xludf.DUMMYFUNCTION("""COMPUTED_VALUE"""),"India")</f>
        <v>India</v>
      </c>
      <c r="C1173" s="1">
        <f ca="1">IFERROR(__xludf.DUMMYFUNCTION("""COMPUTED_VALUE"""),501301)</f>
        <v>501301</v>
      </c>
      <c r="D1173" s="1" t="str">
        <f ca="1">IFERROR(__xludf.DUMMYFUNCTION("""COMPUTED_VALUE"""),"Male")</f>
        <v>Male</v>
      </c>
      <c r="E1173" s="1" t="str">
        <f ca="1">IFERROR(__xludf.DUMMYFUNCTION("""COMPUTED_VALUE"""),"People from my circle, but not family members")</f>
        <v>People from my circle, but not family members</v>
      </c>
      <c r="F1173" s="1" t="str">
        <f ca="1">IFERROR(__xludf.DUMMYFUNCTION("""COMPUTED_VALUE"""),"Yes, I will earn and do that")</f>
        <v>Yes, I will earn and do that</v>
      </c>
      <c r="G1173" s="1" t="str">
        <f ca="1">IFERROR(__xludf.DUMMYFUNCTION("""COMPUTED_VALUE"""),"This will be hard to do, but if it is the right company I would try")</f>
        <v>This will be hard to do, but if it is the right company I would try</v>
      </c>
      <c r="H1173" s="1" t="str">
        <f ca="1">IFERROR(__xludf.DUMMYFUNCTION("""COMPUTED_VALUE"""),"No")</f>
        <v>No</v>
      </c>
      <c r="I1173" s="1" t="str">
        <f ca="1">IFERROR(__xludf.DUMMYFUNCTION("""COMPUTED_VALUE"""),"Will NOT work for them")</f>
        <v>Will NOT work for them</v>
      </c>
      <c r="J1173" s="1">
        <f ca="1">IFERROR(__xludf.DUMMYFUNCTION("""COMPUTED_VALUE"""),6)</f>
        <v>6</v>
      </c>
      <c r="K1173" s="1" t="str">
        <f ca="1">IFERROR(__xludf.DUMMYFUNCTION("""COMPUTED_VALUE"""),"Hybrid Working Environment with more than 15 days a month at office")</f>
        <v>Hybrid Working Environment with more than 15 days a month at office</v>
      </c>
      <c r="L11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7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73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1173" s="1" t="str">
        <f ca="1">IFERROR(__xludf.DUMMYFUNCTION("""COMPUTED_VALUE"""),"Manager who explains what is expected, sets a goal and helps achieve it")</f>
        <v>Manager who explains what is expected, sets a goal and helps achieve it</v>
      </c>
      <c r="P1173" s="1" t="str">
        <f ca="1">IFERROR(__xludf.DUMMYFUNCTION("""COMPUTED_VALUE"""),"Work alone, Work with 2 to 3 people in my team")</f>
        <v>Work alone, Work with 2 to 3 people in my team</v>
      </c>
      <c r="Q1173" s="1" t="str">
        <f ca="1">IFERROR(__xludf.DUMMYFUNCTION("""COMPUTED_VALUE"""),"Yes, I Understand this is gonna happen everywhere")</f>
        <v>Yes, I Understand this is gonna happen everywhere</v>
      </c>
      <c r="R1173" s="1" t="str">
        <f ca="1">IFERROR(__xludf.DUMMYFUNCTION("""COMPUTED_VALUE"""),"No way")</f>
        <v>No way</v>
      </c>
      <c r="S1173" s="1"/>
    </row>
    <row r="1174" spans="1:19" ht="12.5" x14ac:dyDescent="0.25">
      <c r="A1174" s="2">
        <f ca="1">IFERROR(__xludf.DUMMYFUNCTION("""COMPUTED_VALUE"""),45044.4248139699)</f>
        <v>45044.424813969898</v>
      </c>
      <c r="B1174" s="1" t="str">
        <f ca="1">IFERROR(__xludf.DUMMYFUNCTION("""COMPUTED_VALUE"""),"India")</f>
        <v>India</v>
      </c>
      <c r="C1174" s="1">
        <f ca="1">IFERROR(__xludf.DUMMYFUNCTION("""COMPUTED_VALUE"""),562112)</f>
        <v>562112</v>
      </c>
      <c r="D1174" s="1" t="str">
        <f ca="1">IFERROR(__xludf.DUMMYFUNCTION("""COMPUTED_VALUE"""),"Male")</f>
        <v>Male</v>
      </c>
      <c r="E1174" s="1" t="str">
        <f ca="1">IFERROR(__xludf.DUMMYFUNCTION("""COMPUTED_VALUE"""),"People who have changed the world for better")</f>
        <v>People who have changed the world for better</v>
      </c>
      <c r="F1174" s="1" t="str">
        <f ca="1">IFERROR(__xludf.DUMMYFUNCTION("""COMPUTED_VALUE"""),"No, But if someone could bare the cost I will")</f>
        <v>No, But if someone could bare the cost I will</v>
      </c>
      <c r="G1174" s="1" t="str">
        <f ca="1">IFERROR(__xludf.DUMMYFUNCTION("""COMPUTED_VALUE"""),"This will be hard to do, but if it is the right company I would try")</f>
        <v>This will be hard to do, but if it is the right company I would try</v>
      </c>
      <c r="H1174" s="1" t="str">
        <f ca="1">IFERROR(__xludf.DUMMYFUNCTION("""COMPUTED_VALUE"""),"Yes")</f>
        <v>Yes</v>
      </c>
      <c r="I1174" s="1" t="str">
        <f ca="1">IFERROR(__xludf.DUMMYFUNCTION("""COMPUTED_VALUE"""),"Will NOT work for them")</f>
        <v>Will NOT work for them</v>
      </c>
      <c r="J1174" s="1">
        <f ca="1">IFERROR(__xludf.DUMMYFUNCTION("""COMPUTED_VALUE"""),2)</f>
        <v>2</v>
      </c>
      <c r="K1174" s="1" t="str">
        <f ca="1">IFERROR(__xludf.DUMMYFUNCTION("""COMPUTED_VALUE"""),"Hybrid Working Environment with less than 3 days a month at office")</f>
        <v>Hybrid Working Environment with less than 3 days a month at office</v>
      </c>
      <c r="L11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74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174" s="1" t="str">
        <f ca="1">IFERROR(__xludf.DUMMYFUNCTION("""COMPUTED_VALUE"""),"Design and Creative strategy in any company, Teaching in any of the institutes/colleges/online or offline, Entrepreneur or Start Up, Manufacturing / Oil and Gas/ Construction / Hard Physical Work related")</f>
        <v>Design and Creative strategy in any company, Teaching in any of the institutes/colleges/online or offline, Entrepreneur or Start Up, Manufacturing / Oil and Gas/ Construction / Hard Physical Work related</v>
      </c>
      <c r="O1174" s="1" t="str">
        <f ca="1">IFERROR(__xludf.DUMMYFUNCTION("""COMPUTED_VALUE"""),"Manager who clearly describes what she/he needs")</f>
        <v>Manager who clearly describes what she/he needs</v>
      </c>
      <c r="P1174" s="1" t="str">
        <f ca="1">IFERROR(__xludf.DUMMYFUNCTION("""COMPUTED_VALUE"""),"Work alone, Work with 5 to 6 people in my team")</f>
        <v>Work alone, Work with 5 to 6 people in my team</v>
      </c>
      <c r="Q1174" s="1" t="str">
        <f ca="1">IFERROR(__xludf.DUMMYFUNCTION("""COMPUTED_VALUE"""),"No")</f>
        <v>No</v>
      </c>
      <c r="R1174" s="1" t="str">
        <f ca="1">IFERROR(__xludf.DUMMYFUNCTION("""COMPUTED_VALUE"""),"No way")</f>
        <v>No way</v>
      </c>
      <c r="S1174" s="1"/>
    </row>
    <row r="1175" spans="1:19" ht="12.5" x14ac:dyDescent="0.25">
      <c r="A1175" s="2">
        <f ca="1">IFERROR(__xludf.DUMMYFUNCTION("""COMPUTED_VALUE"""),45044.425782743)</f>
        <v>45044.425782742997</v>
      </c>
      <c r="B1175" s="1" t="str">
        <f ca="1">IFERROR(__xludf.DUMMYFUNCTION("""COMPUTED_VALUE"""),"India")</f>
        <v>India</v>
      </c>
      <c r="C1175" s="1">
        <f ca="1">IFERROR(__xludf.DUMMYFUNCTION("""COMPUTED_VALUE"""),500085)</f>
        <v>500085</v>
      </c>
      <c r="D1175" s="1" t="str">
        <f ca="1">IFERROR(__xludf.DUMMYFUNCTION("""COMPUTED_VALUE"""),"Male")</f>
        <v>Male</v>
      </c>
      <c r="E1175" s="1" t="str">
        <f ca="1">IFERROR(__xludf.DUMMYFUNCTION("""COMPUTED_VALUE"""),"My Parents")</f>
        <v>My Parents</v>
      </c>
      <c r="F1175" s="1" t="str">
        <f ca="1">IFERROR(__xludf.DUMMYFUNCTION("""COMPUTED_VALUE"""),"Yes, I will earn and do that")</f>
        <v>Yes, I will earn and do that</v>
      </c>
      <c r="G1175" s="1" t="str">
        <f ca="1">IFERROR(__xludf.DUMMYFUNCTION("""COMPUTED_VALUE"""),"This will be hard to do, but if it is the right company I would try")</f>
        <v>This will be hard to do, but if it is the right company I would try</v>
      </c>
      <c r="H1175" s="1" t="str">
        <f ca="1">IFERROR(__xludf.DUMMYFUNCTION("""COMPUTED_VALUE"""),"No")</f>
        <v>No</v>
      </c>
      <c r="I1175" s="1" t="str">
        <f ca="1">IFERROR(__xludf.DUMMYFUNCTION("""COMPUTED_VALUE"""),"Will NOT work for them")</f>
        <v>Will NOT work for them</v>
      </c>
      <c r="J1175" s="1">
        <f ca="1">IFERROR(__xludf.DUMMYFUNCTION("""COMPUTED_VALUE"""),6)</f>
        <v>6</v>
      </c>
      <c r="K1175" s="1" t="str">
        <f ca="1">IFERROR(__xludf.DUMMYFUNCTION("""COMPUTED_VALUE"""),"Every Day Office Environment")</f>
        <v>Every Day Office Environment</v>
      </c>
      <c r="L1175" s="1" t="str">
        <f ca="1">IFERROR(__xludf.DUMMYFUNCTION("""COMPUTED_VALUE"""),"Employer who appreciates learning and enables that environment")</f>
        <v>Employer who appreciates learning and enables that environment</v>
      </c>
      <c r="M1175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1175" s="1" t="str">
        <f ca="1">IFERROR(__xludf.DUMMYFUNCTION("""COMPUTED_VALUE"""),"Business Operations in any organization, Build and develop a Team, Work as a freelancer and do my thing my way, An Artificial Intelligence Specialist / Talking to Robots")</f>
        <v>Business Operations in any organization, Build and develop a Team, Work as a freelancer and do my thing my way, An Artificial Intelligence Specialist / Talking to Robots</v>
      </c>
      <c r="O1175" s="1" t="str">
        <f ca="1">IFERROR(__xludf.DUMMYFUNCTION("""COMPUTED_VALUE"""),"Manager who clearly describes what she/he needs")</f>
        <v>Manager who clearly describes what she/he needs</v>
      </c>
      <c r="P1175" s="1" t="str">
        <f ca="1">IFERROR(__xludf.DUMMYFUNCTION("""COMPUTED_VALUE"""),"Work with 7 to 10 or more people in my team")</f>
        <v>Work with 7 to 10 or more people in my team</v>
      </c>
      <c r="Q1175" s="1" t="str">
        <f ca="1">IFERROR(__xludf.DUMMYFUNCTION("""COMPUTED_VALUE"""),"Yes, I Understand this is gonna happen everywhere")</f>
        <v>Yes, I Understand this is gonna happen everywhere</v>
      </c>
      <c r="R1175" s="1" t="str">
        <f ca="1">IFERROR(__xludf.DUMMYFUNCTION("""COMPUTED_VALUE"""),"No way")</f>
        <v>No way</v>
      </c>
      <c r="S1175" s="1"/>
    </row>
    <row r="1176" spans="1:19" ht="12.5" x14ac:dyDescent="0.25">
      <c r="A1176" s="2">
        <f ca="1">IFERROR(__xludf.DUMMYFUNCTION("""COMPUTED_VALUE"""),45044.4325346643)</f>
        <v>45044.432534664302</v>
      </c>
      <c r="B1176" s="1" t="str">
        <f ca="1">IFERROR(__xludf.DUMMYFUNCTION("""COMPUTED_VALUE"""),"India")</f>
        <v>India</v>
      </c>
      <c r="C1176" s="1">
        <f ca="1">IFERROR(__xludf.DUMMYFUNCTION("""COMPUTED_VALUE"""),110091)</f>
        <v>110091</v>
      </c>
      <c r="D1176" s="1" t="str">
        <f ca="1">IFERROR(__xludf.DUMMYFUNCTION("""COMPUTED_VALUE"""),"Male")</f>
        <v>Male</v>
      </c>
      <c r="E1176" s="1" t="str">
        <f ca="1">IFERROR(__xludf.DUMMYFUNCTION("""COMPUTED_VALUE"""),"Influencers who had successful careers")</f>
        <v>Influencers who had successful careers</v>
      </c>
      <c r="F1176" s="1" t="str">
        <f ca="1">IFERROR(__xludf.DUMMYFUNCTION("""COMPUTED_VALUE"""),"Yes, I will earn and do that")</f>
        <v>Yes, I will earn and do that</v>
      </c>
      <c r="G1176" s="1" t="str">
        <f ca="1">IFERROR(__xludf.DUMMYFUNCTION("""COMPUTED_VALUE"""),"Will work for 3 years or more")</f>
        <v>Will work for 3 years or more</v>
      </c>
      <c r="H1176" s="1" t="str">
        <f ca="1">IFERROR(__xludf.DUMMYFUNCTION("""COMPUTED_VALUE"""),"No")</f>
        <v>No</v>
      </c>
      <c r="I1176" s="1" t="str">
        <f ca="1">IFERROR(__xludf.DUMMYFUNCTION("""COMPUTED_VALUE"""),"Will NOT work for them")</f>
        <v>Will NOT work for them</v>
      </c>
      <c r="J1176" s="1">
        <f ca="1">IFERROR(__xludf.DUMMYFUNCTION("""COMPUTED_VALUE"""),7)</f>
        <v>7</v>
      </c>
      <c r="K1176" s="1" t="str">
        <f ca="1">IFERROR(__xludf.DUMMYFUNCTION("""COMPUTED_VALUE"""),"Hybrid Working Environment with more than 15 days a month at office")</f>
        <v>Hybrid Working Environment with more than 15 days a month at office</v>
      </c>
      <c r="L1176" s="1" t="str">
        <f ca="1">IFERROR(__xludf.DUMMYFUNCTION("""COMPUTED_VALUE"""),"Employer who rewards learning and enables that environment")</f>
        <v>Employer who rewards learning and enables that environment</v>
      </c>
      <c r="M117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76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1176" s="1" t="str">
        <f ca="1">IFERROR(__xludf.DUMMYFUNCTION("""COMPUTED_VALUE"""),"Manager who sets goal and helps me achieve it")</f>
        <v>Manager who sets goal and helps me achieve it</v>
      </c>
      <c r="P1176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176" s="1" t="str">
        <f ca="1">IFERROR(__xludf.DUMMYFUNCTION("""COMPUTED_VALUE"""),"Yes, I Understand this is gonna happen everywhere")</f>
        <v>Yes, I Understand this is gonna happen everywhere</v>
      </c>
      <c r="R1176" s="1" t="str">
        <f ca="1">IFERROR(__xludf.DUMMYFUNCTION("""COMPUTED_VALUE"""),"This will be hard to do, but if it is the right company I would try")</f>
        <v>This will be hard to do, but if it is the right company I would try</v>
      </c>
      <c r="S1176" s="1"/>
    </row>
    <row r="1177" spans="1:19" ht="12.5" x14ac:dyDescent="0.25">
      <c r="A1177" s="2">
        <f ca="1">IFERROR(__xludf.DUMMYFUNCTION("""COMPUTED_VALUE"""),45044.4331291782)</f>
        <v>45044.4331291782</v>
      </c>
      <c r="B1177" s="1" t="str">
        <f ca="1">IFERROR(__xludf.DUMMYFUNCTION("""COMPUTED_VALUE"""),"India")</f>
        <v>India</v>
      </c>
      <c r="C1177" s="1">
        <f ca="1">IFERROR(__xludf.DUMMYFUNCTION("""COMPUTED_VALUE"""),560067)</f>
        <v>560067</v>
      </c>
      <c r="D1177" s="1" t="str">
        <f ca="1">IFERROR(__xludf.DUMMYFUNCTION("""COMPUTED_VALUE"""),"Male")</f>
        <v>Male</v>
      </c>
      <c r="E1177" s="1" t="str">
        <f ca="1">IFERROR(__xludf.DUMMYFUNCTION("""COMPUTED_VALUE"""),"My Parents")</f>
        <v>My Parents</v>
      </c>
      <c r="F1177" s="1" t="str">
        <f ca="1">IFERROR(__xludf.DUMMYFUNCTION("""COMPUTED_VALUE"""),"No I would not be pursuing Higher Education outside of India")</f>
        <v>No I would not be pursuing Higher Education outside of India</v>
      </c>
      <c r="G1177" s="1" t="str">
        <f ca="1">IFERROR(__xludf.DUMMYFUNCTION("""COMPUTED_VALUE"""),"Will work for 3 years or more")</f>
        <v>Will work for 3 years or more</v>
      </c>
      <c r="H1177" s="1" t="str">
        <f ca="1">IFERROR(__xludf.DUMMYFUNCTION("""COMPUTED_VALUE"""),"Yes")</f>
        <v>Yes</v>
      </c>
      <c r="I1177" s="1" t="str">
        <f ca="1">IFERROR(__xludf.DUMMYFUNCTION("""COMPUTED_VALUE"""),"Will work for them")</f>
        <v>Will work for them</v>
      </c>
      <c r="J1177" s="1">
        <f ca="1">IFERROR(__xludf.DUMMYFUNCTION("""COMPUTED_VALUE"""),7)</f>
        <v>7</v>
      </c>
      <c r="K1177" s="1" t="str">
        <f ca="1">IFERROR(__xludf.DUMMYFUNCTION("""COMPUTED_VALUE"""),"Hybrid Working Environment with less than 3 days a month at office")</f>
        <v>Hybrid Working Environment with less than 3 days a month at office</v>
      </c>
      <c r="L11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7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77" s="1" t="str">
        <f ca="1">IFERROR(__xludf.DUMMYFUNCTION("""COMPUTED_VALUE"""),"Design and Creative strategy in any company, Manage and drive End-to-End Projects or Products, Build and develop a Team, Work as a freelancer and do my thing my way")</f>
        <v>Design and Creative strategy in any company, Manage and drive End-to-End Projects or Products, Build and develop a Team, Work as a freelancer and do my thing my way</v>
      </c>
      <c r="O1177" s="1" t="str">
        <f ca="1">IFERROR(__xludf.DUMMYFUNCTION("""COMPUTED_VALUE"""),"Manager who explains what is expected, sets a goal and helps achieve it")</f>
        <v>Manager who explains what is expected, sets a goal and helps achieve it</v>
      </c>
      <c r="P1177" s="1" t="str">
        <f ca="1">IFERROR(__xludf.DUMMYFUNCTION("""COMPUTED_VALUE"""),"Work with more than 10 people in my team")</f>
        <v>Work with more than 10 people in my team</v>
      </c>
      <c r="Q1177" s="1" t="str">
        <f ca="1">IFERROR(__xludf.DUMMYFUNCTION("""COMPUTED_VALUE"""),"Yes, I Understand this is gonna happen everywhere")</f>
        <v>Yes, I Understand this is gonna happen everywhere</v>
      </c>
      <c r="R1177" s="1" t="str">
        <f ca="1">IFERROR(__xludf.DUMMYFUNCTION("""COMPUTED_VALUE"""),"Will work for 7 years or more")</f>
        <v>Will work for 7 years or more</v>
      </c>
      <c r="S1177" s="1"/>
    </row>
    <row r="1178" spans="1:19" ht="12.5" x14ac:dyDescent="0.25">
      <c r="A1178" s="2">
        <f ca="1">IFERROR(__xludf.DUMMYFUNCTION("""COMPUTED_VALUE"""),45044.434236493)</f>
        <v>45044.434236492998</v>
      </c>
      <c r="B1178" s="1" t="str">
        <f ca="1">IFERROR(__xludf.DUMMYFUNCTION("""COMPUTED_VALUE"""),"India")</f>
        <v>India</v>
      </c>
      <c r="C1178" s="1">
        <f ca="1">IFERROR(__xludf.DUMMYFUNCTION("""COMPUTED_VALUE"""),462001)</f>
        <v>462001</v>
      </c>
      <c r="D1178" s="1" t="str">
        <f ca="1">IFERROR(__xludf.DUMMYFUNCTION("""COMPUTED_VALUE"""),"Female")</f>
        <v>Female</v>
      </c>
      <c r="E1178" s="1" t="str">
        <f ca="1">IFERROR(__xludf.DUMMYFUNCTION("""COMPUTED_VALUE"""),"Influencers who had successful careers")</f>
        <v>Influencers who had successful careers</v>
      </c>
      <c r="F1178" s="1" t="str">
        <f ca="1">IFERROR(__xludf.DUMMYFUNCTION("""COMPUTED_VALUE"""),"Yes, I will earn and do that")</f>
        <v>Yes, I will earn and do that</v>
      </c>
      <c r="G1178" s="1" t="str">
        <f ca="1">IFERROR(__xludf.DUMMYFUNCTION("""COMPUTED_VALUE"""),"This will be hard to do, but if it is the right company I would try")</f>
        <v>This will be hard to do, but if it is the right company I would try</v>
      </c>
      <c r="H1178" s="1" t="str">
        <f ca="1">IFERROR(__xludf.DUMMYFUNCTION("""COMPUTED_VALUE"""),"No")</f>
        <v>No</v>
      </c>
      <c r="I1178" s="1" t="str">
        <f ca="1">IFERROR(__xludf.DUMMYFUNCTION("""COMPUTED_VALUE"""),"Will NOT work for them")</f>
        <v>Will NOT work for them</v>
      </c>
      <c r="J1178" s="1">
        <f ca="1">IFERROR(__xludf.DUMMYFUNCTION("""COMPUTED_VALUE"""),6)</f>
        <v>6</v>
      </c>
      <c r="K1178" s="1" t="str">
        <f ca="1">IFERROR(__xludf.DUMMYFUNCTION("""COMPUTED_VALUE"""),"Hybrid Working Environment with more than 15 days a month at office")</f>
        <v>Hybrid Working Environment with more than 15 days a month at office</v>
      </c>
      <c r="L11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78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178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178" s="1" t="str">
        <f ca="1">IFERROR(__xludf.DUMMYFUNCTION("""COMPUTED_VALUE"""),"Manager who explains what is expected, sets a goal and helps achieve it")</f>
        <v>Manager who explains what is expected, sets a goal and helps achieve it</v>
      </c>
      <c r="P1178" s="1" t="str">
        <f ca="1">IFERROR(__xludf.DUMMYFUNCTION("""COMPUTED_VALUE"""),"Work with 5 to 6 people in my team")</f>
        <v>Work with 5 to 6 people in my team</v>
      </c>
      <c r="Q1178" s="1" t="str">
        <f ca="1">IFERROR(__xludf.DUMMYFUNCTION("""COMPUTED_VALUE"""),"Yes, I Understand this is gonna happen everywhere")</f>
        <v>Yes, I Understand this is gonna happen everywhere</v>
      </c>
      <c r="R1178" s="1" t="str">
        <f ca="1">IFERROR(__xludf.DUMMYFUNCTION("""COMPUTED_VALUE"""),"This will be hard to do, but if it is the right company I would try")</f>
        <v>This will be hard to do, but if it is the right company I would try</v>
      </c>
      <c r="S1178" s="1"/>
    </row>
    <row r="1179" spans="1:19" ht="12.5" x14ac:dyDescent="0.25">
      <c r="A1179" s="2">
        <f ca="1">IFERROR(__xludf.DUMMYFUNCTION("""COMPUTED_VALUE"""),45044.4343961805)</f>
        <v>45044.434396180499</v>
      </c>
      <c r="B1179" s="1" t="str">
        <f ca="1">IFERROR(__xludf.DUMMYFUNCTION("""COMPUTED_VALUE"""),"India")</f>
        <v>India</v>
      </c>
      <c r="C1179" s="1">
        <f ca="1">IFERROR(__xludf.DUMMYFUNCTION("""COMPUTED_VALUE"""),799006)</f>
        <v>799006</v>
      </c>
      <c r="D1179" s="1" t="str">
        <f ca="1">IFERROR(__xludf.DUMMYFUNCTION("""COMPUTED_VALUE"""),"Male")</f>
        <v>Male</v>
      </c>
      <c r="E1179" s="1" t="str">
        <f ca="1">IFERROR(__xludf.DUMMYFUNCTION("""COMPUTED_VALUE"""),"My Parents")</f>
        <v>My Parents</v>
      </c>
      <c r="F1179" s="1" t="str">
        <f ca="1">IFERROR(__xludf.DUMMYFUNCTION("""COMPUTED_VALUE"""),"Yes, I will earn and do that")</f>
        <v>Yes, I will earn and do that</v>
      </c>
      <c r="G1179" s="1" t="str">
        <f ca="1">IFERROR(__xludf.DUMMYFUNCTION("""COMPUTED_VALUE"""),"No way")</f>
        <v>No way</v>
      </c>
      <c r="H1179" s="1" t="str">
        <f ca="1">IFERROR(__xludf.DUMMYFUNCTION("""COMPUTED_VALUE"""),"Yes")</f>
        <v>Yes</v>
      </c>
      <c r="I1179" s="1" t="str">
        <f ca="1">IFERROR(__xludf.DUMMYFUNCTION("""COMPUTED_VALUE"""),"Will work for them")</f>
        <v>Will work for them</v>
      </c>
      <c r="J1179" s="1">
        <f ca="1">IFERROR(__xludf.DUMMYFUNCTION("""COMPUTED_VALUE"""),8)</f>
        <v>8</v>
      </c>
      <c r="K1179" s="1" t="str">
        <f ca="1">IFERROR(__xludf.DUMMYFUNCTION("""COMPUTED_VALUE"""),"Fully Remote with Options to travel as and when needed")</f>
        <v>Fully Remote with Options to travel as and when needed</v>
      </c>
      <c r="L11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7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79" s="1" t="str">
        <f ca="1">IFERROR(__xludf.DUMMYFUNCTION("""COMPUTED_VALUE"""),"Manage and drive End-to-End Projects or Products, Design and Develop amazing software, Entrepreneur or Start Up, I Want to sell things/Sales")</f>
        <v>Manage and drive End-to-End Projects or Products, Design and Develop amazing software, Entrepreneur or Start Up, I Want to sell things/Sales</v>
      </c>
      <c r="O1179" s="1" t="str">
        <f ca="1">IFERROR(__xludf.DUMMYFUNCTION("""COMPUTED_VALUE"""),"Manager who sets goal and helps me achieve it")</f>
        <v>Manager who sets goal and helps me achieve it</v>
      </c>
      <c r="P1179" s="1" t="str">
        <f ca="1">IFERROR(__xludf.DUMMYFUNCTION("""COMPUTED_VALUE"""),"Work with 2 to 3 people in my team, Work with 5 to 6 people in my team")</f>
        <v>Work with 2 to 3 people in my team, Work with 5 to 6 people in my team</v>
      </c>
      <c r="Q1179" s="1" t="str">
        <f ca="1">IFERROR(__xludf.DUMMYFUNCTION("""COMPUTED_VALUE"""),"Yes, I Understand this is gonna happen everywhere")</f>
        <v>Yes, I Understand this is gonna happen everywhere</v>
      </c>
      <c r="R1179" s="1" t="str">
        <f ca="1">IFERROR(__xludf.DUMMYFUNCTION("""COMPUTED_VALUE"""),"No way")</f>
        <v>No way</v>
      </c>
      <c r="S1179" s="1"/>
    </row>
    <row r="1180" spans="1:19" ht="12.5" x14ac:dyDescent="0.25">
      <c r="A1180" s="2">
        <f ca="1">IFERROR(__xludf.DUMMYFUNCTION("""COMPUTED_VALUE"""),45044.4414354745)</f>
        <v>45044.441435474502</v>
      </c>
      <c r="B1180" s="1" t="str">
        <f ca="1">IFERROR(__xludf.DUMMYFUNCTION("""COMPUTED_VALUE"""),"India")</f>
        <v>India</v>
      </c>
      <c r="C1180" s="1">
        <f ca="1">IFERROR(__xludf.DUMMYFUNCTION("""COMPUTED_VALUE"""),800024)</f>
        <v>800024</v>
      </c>
      <c r="D1180" s="1" t="str">
        <f ca="1">IFERROR(__xludf.DUMMYFUNCTION("""COMPUTED_VALUE"""),"Male")</f>
        <v>Male</v>
      </c>
      <c r="E1180" s="1" t="str">
        <f ca="1">IFERROR(__xludf.DUMMYFUNCTION("""COMPUTED_VALUE"""),"My Parents")</f>
        <v>My Parents</v>
      </c>
      <c r="F1180" s="1" t="str">
        <f ca="1">IFERROR(__xludf.DUMMYFUNCTION("""COMPUTED_VALUE"""),"No I would not be pursuing Higher Education outside of India")</f>
        <v>No I would not be pursuing Higher Education outside of India</v>
      </c>
      <c r="G1180" s="1" t="str">
        <f ca="1">IFERROR(__xludf.DUMMYFUNCTION("""COMPUTED_VALUE"""),"Will work for 3 years or more")</f>
        <v>Will work for 3 years or more</v>
      </c>
      <c r="H1180" s="1" t="str">
        <f ca="1">IFERROR(__xludf.DUMMYFUNCTION("""COMPUTED_VALUE"""),"No")</f>
        <v>No</v>
      </c>
      <c r="I1180" s="1" t="str">
        <f ca="1">IFERROR(__xludf.DUMMYFUNCTION("""COMPUTED_VALUE"""),"Will NOT work for them")</f>
        <v>Will NOT work for them</v>
      </c>
      <c r="J1180" s="1">
        <f ca="1">IFERROR(__xludf.DUMMYFUNCTION("""COMPUTED_VALUE"""),6)</f>
        <v>6</v>
      </c>
      <c r="K1180" s="1" t="str">
        <f ca="1">IFERROR(__xludf.DUMMYFUNCTION("""COMPUTED_VALUE"""),"Hybrid Working Environment with less than 3 days a month at office")</f>
        <v>Hybrid Working Environment with less than 3 days a month at office</v>
      </c>
      <c r="L1180" s="1" t="str">
        <f ca="1">IFERROR(__xludf.DUMMYFUNCTION("""COMPUTED_VALUE"""),"Employer who appreciates learning and enables that environment")</f>
        <v>Employer who appreciates learning and enables that environment</v>
      </c>
      <c r="M1180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180" s="1" t="str">
        <f ca="1">IFERROR(__xludf.DUMMYFUNCTION("""COMPUTED_VALUE"""),"Design and Creative strategy in any company, Business Operations in any organization, Build and develop a Team, I Want to sell things/Sales")</f>
        <v>Design and Creative strategy in any company, Business Operations in any organization, Build and develop a Team, I Want to sell things/Sales</v>
      </c>
      <c r="O1180" s="1" t="str">
        <f ca="1">IFERROR(__xludf.DUMMYFUNCTION("""COMPUTED_VALUE"""),"Manager who clearly describes what she/he needs")</f>
        <v>Manager who clearly describes what she/he needs</v>
      </c>
      <c r="P118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180" s="1" t="str">
        <f ca="1">IFERROR(__xludf.DUMMYFUNCTION("""COMPUTED_VALUE"""),"Yes, I Understand this is gonna happen everywhere")</f>
        <v>Yes, I Understand this is gonna happen everywhere</v>
      </c>
      <c r="R1180" s="1" t="str">
        <f ca="1">IFERROR(__xludf.DUMMYFUNCTION("""COMPUTED_VALUE"""),"This will be hard to do, but if it is the right company I would try")</f>
        <v>This will be hard to do, but if it is the right company I would try</v>
      </c>
      <c r="S1180" s="1"/>
    </row>
    <row r="1181" spans="1:19" ht="12.5" x14ac:dyDescent="0.25">
      <c r="A1181" s="2">
        <f ca="1">IFERROR(__xludf.DUMMYFUNCTION("""COMPUTED_VALUE"""),45044.4420592708)</f>
        <v>45044.442059270797</v>
      </c>
      <c r="B1181" s="1" t="str">
        <f ca="1">IFERROR(__xludf.DUMMYFUNCTION("""COMPUTED_VALUE"""),"United Arab Emirates")</f>
        <v>United Arab Emirates</v>
      </c>
      <c r="C1181" s="1">
        <f ca="1">IFERROR(__xludf.DUMMYFUNCTION("""COMPUTED_VALUE"""),111111)</f>
        <v>111111</v>
      </c>
      <c r="D1181" s="1" t="str">
        <f ca="1">IFERROR(__xludf.DUMMYFUNCTION("""COMPUTED_VALUE"""),"Male")</f>
        <v>Male</v>
      </c>
      <c r="E1181" s="1" t="str">
        <f ca="1">IFERROR(__xludf.DUMMYFUNCTION("""COMPUTED_VALUE"""),"Influencers who had successful careers")</f>
        <v>Influencers who had successful careers</v>
      </c>
      <c r="F1181" s="1" t="str">
        <f ca="1">IFERROR(__xludf.DUMMYFUNCTION("""COMPUTED_VALUE"""),"No, But if someone could bare the cost I will")</f>
        <v>No, But if someone could bare the cost I will</v>
      </c>
      <c r="G1181" s="1" t="str">
        <f ca="1">IFERROR(__xludf.DUMMYFUNCTION("""COMPUTED_VALUE"""),"Will work for 3 years or more")</f>
        <v>Will work for 3 years or more</v>
      </c>
      <c r="H1181" s="1" t="str">
        <f ca="1">IFERROR(__xludf.DUMMYFUNCTION("""COMPUTED_VALUE"""),"No")</f>
        <v>No</v>
      </c>
      <c r="I1181" s="1" t="str">
        <f ca="1">IFERROR(__xludf.DUMMYFUNCTION("""COMPUTED_VALUE"""),"Will NOT work for them")</f>
        <v>Will NOT work for them</v>
      </c>
      <c r="J1181" s="1">
        <f ca="1">IFERROR(__xludf.DUMMYFUNCTION("""COMPUTED_VALUE"""),2)</f>
        <v>2</v>
      </c>
      <c r="K1181" s="1" t="str">
        <f ca="1">IFERROR(__xludf.DUMMYFUNCTION("""COMPUTED_VALUE"""),"Hybrid Working Environment with less than 3 days a month at office")</f>
        <v>Hybrid Working Environment with less than 3 days a month at office</v>
      </c>
      <c r="L1181" s="1" t="str">
        <f ca="1">IFERROR(__xludf.DUMMYFUNCTION("""COMPUTED_VALUE"""),"Employer who appreciates learning and enables that environment")</f>
        <v>Employer who appreciates learning and enables that environment</v>
      </c>
      <c r="M1181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181" s="1" t="str">
        <f ca="1">IFERROR(__xludf.DUMMYFUNCTION("""COMPUTED_VALUE"""),"Design and Creative strategy in any company, Work in a BPO setup for some well known client, Work as a freelancer and do my thing my way, Become a content Creator in some platform")</f>
        <v>Design and Creative strategy in any company, Work in a BPO setup for some well known client, Work as a freelancer and do my thing my way, Become a content Creator in some platform</v>
      </c>
      <c r="O1181" s="1" t="str">
        <f ca="1">IFERROR(__xludf.DUMMYFUNCTION("""COMPUTED_VALUE"""),"Manager who sets targets and expects me to achieve it")</f>
        <v>Manager who sets targets and expects me to achieve it</v>
      </c>
      <c r="P1181" s="1" t="str">
        <f ca="1">IFERROR(__xludf.DUMMYFUNCTION("""COMPUTED_VALUE"""),"Work alone")</f>
        <v>Work alone</v>
      </c>
      <c r="Q1181" s="1" t="str">
        <f ca="1">IFERROR(__xludf.DUMMYFUNCTION("""COMPUTED_VALUE"""),"No")</f>
        <v>No</v>
      </c>
      <c r="R1181" s="1" t="str">
        <f ca="1">IFERROR(__xludf.DUMMYFUNCTION("""COMPUTED_VALUE"""),"No way")</f>
        <v>No way</v>
      </c>
      <c r="S1181" s="1"/>
    </row>
    <row r="1182" spans="1:19" ht="12.5" x14ac:dyDescent="0.25">
      <c r="A1182" s="2">
        <f ca="1">IFERROR(__xludf.DUMMYFUNCTION("""COMPUTED_VALUE"""),45044.4440710185)</f>
        <v>45044.444071018501</v>
      </c>
      <c r="B1182" s="1" t="str">
        <f ca="1">IFERROR(__xludf.DUMMYFUNCTION("""COMPUTED_VALUE"""),"India")</f>
        <v>India</v>
      </c>
      <c r="C1182" s="1">
        <f ca="1">IFERROR(__xludf.DUMMYFUNCTION("""COMPUTED_VALUE"""),700157)</f>
        <v>700157</v>
      </c>
      <c r="D1182" s="1" t="str">
        <f ca="1">IFERROR(__xludf.DUMMYFUNCTION("""COMPUTED_VALUE"""),"Male")</f>
        <v>Male</v>
      </c>
      <c r="E1182" s="1" t="str">
        <f ca="1">IFERROR(__xludf.DUMMYFUNCTION("""COMPUTED_VALUE"""),"My Parents")</f>
        <v>My Parents</v>
      </c>
      <c r="F1182" s="1" t="str">
        <f ca="1">IFERROR(__xludf.DUMMYFUNCTION("""COMPUTED_VALUE"""),"No I would not be pursuing Higher Education outside of India")</f>
        <v>No I would not be pursuing Higher Education outside of India</v>
      </c>
      <c r="G1182" s="1" t="str">
        <f ca="1">IFERROR(__xludf.DUMMYFUNCTION("""COMPUTED_VALUE"""),"This will be hard to do, but if it is the right company I would try")</f>
        <v>This will be hard to do, but if it is the right company I would try</v>
      </c>
      <c r="H1182" s="1" t="str">
        <f ca="1">IFERROR(__xludf.DUMMYFUNCTION("""COMPUTED_VALUE"""),"No")</f>
        <v>No</v>
      </c>
      <c r="I1182" s="1" t="str">
        <f ca="1">IFERROR(__xludf.DUMMYFUNCTION("""COMPUTED_VALUE"""),"Will NOT work for them")</f>
        <v>Will NOT work for them</v>
      </c>
      <c r="J1182" s="1">
        <f ca="1">IFERROR(__xludf.DUMMYFUNCTION("""COMPUTED_VALUE"""),5)</f>
        <v>5</v>
      </c>
      <c r="K1182" s="1" t="str">
        <f ca="1">IFERROR(__xludf.DUMMYFUNCTION("""COMPUTED_VALUE"""),"Every Day Office Environment")</f>
        <v>Every Day Office Environment</v>
      </c>
      <c r="L1182" s="1" t="str">
        <f ca="1">IFERROR(__xludf.DUMMYFUNCTION("""COMPUTED_VALUE"""),"Employer who rewards learning and enables that environment")</f>
        <v>Employer who rewards learning and enables that environment</v>
      </c>
      <c r="M118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82" s="1" t="str">
        <f ca="1">IFERROR(__xludf.DUMMYFUNCTION("""COMPUTED_VALUE"""),"Design and Creative strategy in any company, Look deeply into Data and generate insights, Become a content Creator in some platform, An Artificial Intelligence Specialist / Talking to Robots")</f>
        <v>Design and Creative strategy in any company, Look deeply into Data and generate insights, Become a content Creator in some platform, An Artificial Intelligence Specialist / Talking to Robots</v>
      </c>
      <c r="O1182" s="1" t="str">
        <f ca="1">IFERROR(__xludf.DUMMYFUNCTION("""COMPUTED_VALUE"""),"Manager who sets goal and helps me achieve it")</f>
        <v>Manager who sets goal and helps me achieve it</v>
      </c>
      <c r="P1182" s="1" t="str">
        <f ca="1">IFERROR(__xludf.DUMMYFUNCTION("""COMPUTED_VALUE"""),"Work with 2 to 3 people in my team")</f>
        <v>Work with 2 to 3 people in my team</v>
      </c>
      <c r="Q1182" s="1" t="str">
        <f ca="1">IFERROR(__xludf.DUMMYFUNCTION("""COMPUTED_VALUE"""),"Yes, I Understand this is gonna happen everywhere")</f>
        <v>Yes, I Understand this is gonna happen everywhere</v>
      </c>
      <c r="R1182" s="1" t="str">
        <f ca="1">IFERROR(__xludf.DUMMYFUNCTION("""COMPUTED_VALUE"""),"This will be hard to do, but if it is the right company I would try")</f>
        <v>This will be hard to do, but if it is the right company I would try</v>
      </c>
      <c r="S1182" s="1"/>
    </row>
    <row r="1183" spans="1:19" ht="12.5" x14ac:dyDescent="0.25">
      <c r="A1183" s="2">
        <f ca="1">IFERROR(__xludf.DUMMYFUNCTION("""COMPUTED_VALUE"""),45044.4460654861)</f>
        <v>45044.446065486103</v>
      </c>
      <c r="B1183" s="1" t="str">
        <f ca="1">IFERROR(__xludf.DUMMYFUNCTION("""COMPUTED_VALUE"""),"India")</f>
        <v>India</v>
      </c>
      <c r="C1183" s="1">
        <f ca="1">IFERROR(__xludf.DUMMYFUNCTION("""COMPUTED_VALUE"""),533201)</f>
        <v>533201</v>
      </c>
      <c r="D1183" s="1" t="str">
        <f ca="1">IFERROR(__xludf.DUMMYFUNCTION("""COMPUTED_VALUE"""),"Female")</f>
        <v>Female</v>
      </c>
      <c r="E1183" s="1" t="str">
        <f ca="1">IFERROR(__xludf.DUMMYFUNCTION("""COMPUTED_VALUE"""),"My Parents")</f>
        <v>My Parents</v>
      </c>
      <c r="F1183" s="1" t="str">
        <f ca="1">IFERROR(__xludf.DUMMYFUNCTION("""COMPUTED_VALUE"""),"No I would not be pursuing Higher Education outside of India")</f>
        <v>No I would not be pursuing Higher Education outside of India</v>
      </c>
      <c r="G1183" s="1" t="str">
        <f ca="1">IFERROR(__xludf.DUMMYFUNCTION("""COMPUTED_VALUE"""),"Will work for 3 years or more")</f>
        <v>Will work for 3 years or more</v>
      </c>
      <c r="H1183" s="1" t="str">
        <f ca="1">IFERROR(__xludf.DUMMYFUNCTION("""COMPUTED_VALUE"""),"No")</f>
        <v>No</v>
      </c>
      <c r="I1183" s="1" t="str">
        <f ca="1">IFERROR(__xludf.DUMMYFUNCTION("""COMPUTED_VALUE"""),"Will NOT work for them")</f>
        <v>Will NOT work for them</v>
      </c>
      <c r="J1183" s="1">
        <f ca="1">IFERROR(__xludf.DUMMYFUNCTION("""COMPUTED_VALUE"""),6)</f>
        <v>6</v>
      </c>
      <c r="K1183" s="1" t="str">
        <f ca="1">IFERROR(__xludf.DUMMYFUNCTION("""COMPUTED_VALUE"""),"Hybrid Working Environment with less than 3 days a month at office")</f>
        <v>Hybrid Working Environment with less than 3 days a month at office</v>
      </c>
      <c r="L11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8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183" s="1" t="str">
        <f ca="1">IFERROR(__xludf.DUMMYFUNCTION("""COMPUTED_VALUE"""),"Teaching in any of the institutes/colleges/online or offline, Business Operations in any organization, Work as a freelancer and do my thing my way, Become a content Creator in some platform")</f>
        <v>Teaching in any of the institutes/colleges/online or offline, Business Operations in any organization, Work as a freelancer and do my thing my way, Become a content Creator in some platform</v>
      </c>
      <c r="O11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183" s="1" t="str">
        <f ca="1">IFERROR(__xludf.DUMMYFUNCTION("""COMPUTED_VALUE"""),"Work alone, Work with 2 to 3 people in my team")</f>
        <v>Work alone, Work with 2 to 3 people in my team</v>
      </c>
      <c r="Q1183" s="1" t="str">
        <f ca="1">IFERROR(__xludf.DUMMYFUNCTION("""COMPUTED_VALUE"""),"Yes, I Understand this is gonna happen everywhere")</f>
        <v>Yes, I Understand this is gonna happen everywhere</v>
      </c>
      <c r="R1183" s="1" t="str">
        <f ca="1">IFERROR(__xludf.DUMMYFUNCTION("""COMPUTED_VALUE"""),"This will be hard to do, but if it is the right company I would try")</f>
        <v>This will be hard to do, but if it is the right company I would try</v>
      </c>
      <c r="S1183" s="1"/>
    </row>
    <row r="1184" spans="1:19" ht="12.5" x14ac:dyDescent="0.25">
      <c r="A1184" s="2">
        <f ca="1">IFERROR(__xludf.DUMMYFUNCTION("""COMPUTED_VALUE"""),45044.4461257638)</f>
        <v>45044.446125763803</v>
      </c>
      <c r="B1184" s="1" t="str">
        <f ca="1">IFERROR(__xludf.DUMMYFUNCTION("""COMPUTED_VALUE"""),"India")</f>
        <v>India</v>
      </c>
      <c r="C1184" s="1">
        <f ca="1">IFERROR(__xludf.DUMMYFUNCTION("""COMPUTED_VALUE"""),700056)</f>
        <v>700056</v>
      </c>
      <c r="D1184" s="1" t="str">
        <f ca="1">IFERROR(__xludf.DUMMYFUNCTION("""COMPUTED_VALUE"""),"Male")</f>
        <v>Male</v>
      </c>
      <c r="E1184" s="1" t="str">
        <f ca="1">IFERROR(__xludf.DUMMYFUNCTION("""COMPUTED_VALUE"""),"My Parents")</f>
        <v>My Parents</v>
      </c>
      <c r="F1184" s="1" t="str">
        <f ca="1">IFERROR(__xludf.DUMMYFUNCTION("""COMPUTED_VALUE"""),"No I would not be pursuing Higher Education outside of India")</f>
        <v>No I would not be pursuing Higher Education outside of India</v>
      </c>
      <c r="G1184" s="1" t="str">
        <f ca="1">IFERROR(__xludf.DUMMYFUNCTION("""COMPUTED_VALUE"""),"Will work for 3 years or more")</f>
        <v>Will work for 3 years or more</v>
      </c>
      <c r="H1184" s="1" t="str">
        <f ca="1">IFERROR(__xludf.DUMMYFUNCTION("""COMPUTED_VALUE"""),"No")</f>
        <v>No</v>
      </c>
      <c r="I1184" s="1" t="str">
        <f ca="1">IFERROR(__xludf.DUMMYFUNCTION("""COMPUTED_VALUE"""),"Will NOT work for them")</f>
        <v>Will NOT work for them</v>
      </c>
      <c r="J1184" s="1">
        <f ca="1">IFERROR(__xludf.DUMMYFUNCTION("""COMPUTED_VALUE"""),4)</f>
        <v>4</v>
      </c>
      <c r="K1184" s="1" t="str">
        <f ca="1">IFERROR(__xludf.DUMMYFUNCTION("""COMPUTED_VALUE"""),"Fully Remote with Options to travel as and when needed")</f>
        <v>Fully Remote with Options to travel as and when needed</v>
      </c>
      <c r="L1184" s="1" t="str">
        <f ca="1">IFERROR(__xludf.DUMMYFUNCTION("""COMPUTED_VALUE"""),"Employer who rewards learning and enables that environment")</f>
        <v>Employer who rewards learning and enables that environment</v>
      </c>
      <c r="M118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84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1184" s="1" t="str">
        <f ca="1">IFERROR(__xludf.DUMMYFUNCTION("""COMPUTED_VALUE"""),"Manager who clearly describes what she/he needs")</f>
        <v>Manager who clearly describes what she/he needs</v>
      </c>
      <c r="P1184" s="1" t="str">
        <f ca="1">IFERROR(__xludf.DUMMYFUNCTION("""COMPUTED_VALUE"""),"Work alone, Work with 2 to 3 people in my team")</f>
        <v>Work alone, Work with 2 to 3 people in my team</v>
      </c>
      <c r="Q1184" s="1" t="str">
        <f ca="1">IFERROR(__xludf.DUMMYFUNCTION("""COMPUTED_VALUE"""),"Yes, I Understand this is gonna happen everywhere")</f>
        <v>Yes, I Understand this is gonna happen everywhere</v>
      </c>
      <c r="R1184" s="1" t="str">
        <f ca="1">IFERROR(__xludf.DUMMYFUNCTION("""COMPUTED_VALUE"""),"Will work for 7 years or more")</f>
        <v>Will work for 7 years or more</v>
      </c>
      <c r="S1184" s="1"/>
    </row>
    <row r="1185" spans="1:19" ht="12.5" x14ac:dyDescent="0.25">
      <c r="A1185" s="2">
        <f ca="1">IFERROR(__xludf.DUMMYFUNCTION("""COMPUTED_VALUE"""),45044.4461522337)</f>
        <v>45044.446152233701</v>
      </c>
      <c r="B1185" s="1" t="str">
        <f ca="1">IFERROR(__xludf.DUMMYFUNCTION("""COMPUTED_VALUE"""),"India")</f>
        <v>India</v>
      </c>
      <c r="C1185" s="1">
        <f ca="1">IFERROR(__xludf.DUMMYFUNCTION("""COMPUTED_VALUE"""),641402)</f>
        <v>641402</v>
      </c>
      <c r="D1185" s="1" t="str">
        <f ca="1">IFERROR(__xludf.DUMMYFUNCTION("""COMPUTED_VALUE"""),"Male")</f>
        <v>Male</v>
      </c>
      <c r="E1185" s="1" t="str">
        <f ca="1">IFERROR(__xludf.DUMMYFUNCTION("""COMPUTED_VALUE"""),"People from my circle, but not family members")</f>
        <v>People from my circle, but not family members</v>
      </c>
      <c r="F1185" s="1" t="str">
        <f ca="1">IFERROR(__xludf.DUMMYFUNCTION("""COMPUTED_VALUE"""),"No I would not be pursuing Higher Education outside of India")</f>
        <v>No I would not be pursuing Higher Education outside of India</v>
      </c>
      <c r="G1185" s="1" t="str">
        <f ca="1">IFERROR(__xludf.DUMMYFUNCTION("""COMPUTED_VALUE"""),"Will work for 3 years or more")</f>
        <v>Will work for 3 years or more</v>
      </c>
      <c r="H1185" s="1" t="str">
        <f ca="1">IFERROR(__xludf.DUMMYFUNCTION("""COMPUTED_VALUE"""),"No")</f>
        <v>No</v>
      </c>
      <c r="I1185" s="1" t="str">
        <f ca="1">IFERROR(__xludf.DUMMYFUNCTION("""COMPUTED_VALUE"""),"Will NOT work for them")</f>
        <v>Will NOT work for them</v>
      </c>
      <c r="J1185" s="1">
        <f ca="1">IFERROR(__xludf.DUMMYFUNCTION("""COMPUTED_VALUE"""),5)</f>
        <v>5</v>
      </c>
      <c r="K1185" s="1" t="str">
        <f ca="1">IFERROR(__xludf.DUMMYFUNCTION("""COMPUTED_VALUE"""),"Fully Remote with Options to travel as and when needed")</f>
        <v>Fully Remote with Options to travel as and when needed</v>
      </c>
      <c r="L11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8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85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185" s="1" t="str">
        <f ca="1">IFERROR(__xludf.DUMMYFUNCTION("""COMPUTED_VALUE"""),"Manager who clearly describes what she/he needs")</f>
        <v>Manager who clearly describes what she/he needs</v>
      </c>
      <c r="P1185" s="1" t="str">
        <f ca="1">IFERROR(__xludf.DUMMYFUNCTION("""COMPUTED_VALUE"""),"Work with 2 to 3 people in my team")</f>
        <v>Work with 2 to 3 people in my team</v>
      </c>
      <c r="Q1185" s="1" t="str">
        <f ca="1">IFERROR(__xludf.DUMMYFUNCTION("""COMPUTED_VALUE"""),"Yes, I Understand this is gonna happen everywhere")</f>
        <v>Yes, I Understand this is gonna happen everywhere</v>
      </c>
      <c r="R1185" s="1" t="str">
        <f ca="1">IFERROR(__xludf.DUMMYFUNCTION("""COMPUTED_VALUE"""),"This will be hard to do, but if it is the right company I would try")</f>
        <v>This will be hard to do, but if it is the right company I would try</v>
      </c>
      <c r="S1185" s="1"/>
    </row>
    <row r="1186" spans="1:19" ht="12.5" x14ac:dyDescent="0.25">
      <c r="A1186" s="2">
        <f ca="1">IFERROR(__xludf.DUMMYFUNCTION("""COMPUTED_VALUE"""),45044.4464386458)</f>
        <v>45044.446438645798</v>
      </c>
      <c r="B1186" s="1" t="str">
        <f ca="1">IFERROR(__xludf.DUMMYFUNCTION("""COMPUTED_VALUE"""),"India")</f>
        <v>India</v>
      </c>
      <c r="C1186" s="1">
        <f ca="1">IFERROR(__xludf.DUMMYFUNCTION("""COMPUTED_VALUE"""),700036)</f>
        <v>700036</v>
      </c>
      <c r="D1186" s="1" t="str">
        <f ca="1">IFERROR(__xludf.DUMMYFUNCTION("""COMPUTED_VALUE"""),"Male")</f>
        <v>Male</v>
      </c>
      <c r="E1186" s="1" t="str">
        <f ca="1">IFERROR(__xludf.DUMMYFUNCTION("""COMPUTED_VALUE"""),"People from my circle, but not family members")</f>
        <v>People from my circle, but not family members</v>
      </c>
      <c r="F1186" s="1" t="str">
        <f ca="1">IFERROR(__xludf.DUMMYFUNCTION("""COMPUTED_VALUE"""),"No, But if someone could bare the cost I will")</f>
        <v>No, But if someone could bare the cost I will</v>
      </c>
      <c r="G1186" s="1" t="str">
        <f ca="1">IFERROR(__xludf.DUMMYFUNCTION("""COMPUTED_VALUE"""),"Will work for 3 years or more")</f>
        <v>Will work for 3 years or more</v>
      </c>
      <c r="H1186" s="1" t="str">
        <f ca="1">IFERROR(__xludf.DUMMYFUNCTION("""COMPUTED_VALUE"""),"No")</f>
        <v>No</v>
      </c>
      <c r="I1186" s="1" t="str">
        <f ca="1">IFERROR(__xludf.DUMMYFUNCTION("""COMPUTED_VALUE"""),"Will NOT work for them")</f>
        <v>Will NOT work for them</v>
      </c>
      <c r="J1186" s="1">
        <f ca="1">IFERROR(__xludf.DUMMYFUNCTION("""COMPUTED_VALUE"""),3)</f>
        <v>3</v>
      </c>
      <c r="K1186" s="1" t="str">
        <f ca="1">IFERROR(__xludf.DUMMYFUNCTION("""COMPUTED_VALUE"""),"Fully Remote with Options to travel as and when needed")</f>
        <v>Fully Remote with Options to travel as and when needed</v>
      </c>
      <c r="L11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8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86" s="1" t="str">
        <f ca="1">IFERROR(__xludf.DUMMYFUNCTION("""COMPUTED_VALUE"""),"Teaching in any of the institutes/colleges/online or offline, Build and develop a Team, Work as a freelancer and do my thing my way, Become a content Creator in some platform")</f>
        <v>Teaching in any of the institutes/colleges/online or offline, Build and develop a Team, Work as a freelancer and do my thing my way, Become a content Creator in some platform</v>
      </c>
      <c r="O118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86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186" s="1" t="str">
        <f ca="1">IFERROR(__xludf.DUMMYFUNCTION("""COMPUTED_VALUE"""),"No")</f>
        <v>No</v>
      </c>
      <c r="R1186" s="1" t="str">
        <f ca="1">IFERROR(__xludf.DUMMYFUNCTION("""COMPUTED_VALUE"""),"This will be hard to do, but if it is the right company I would try")</f>
        <v>This will be hard to do, but if it is the right company I would try</v>
      </c>
      <c r="S1186" s="1"/>
    </row>
    <row r="1187" spans="1:19" ht="12.5" x14ac:dyDescent="0.25">
      <c r="A1187" s="2">
        <f ca="1">IFERROR(__xludf.DUMMYFUNCTION("""COMPUTED_VALUE"""),45044.4473012731)</f>
        <v>45044.447301273103</v>
      </c>
      <c r="B1187" s="1" t="str">
        <f ca="1">IFERROR(__xludf.DUMMYFUNCTION("""COMPUTED_VALUE"""),"India")</f>
        <v>India</v>
      </c>
      <c r="C1187" s="1">
        <f ca="1">IFERROR(__xludf.DUMMYFUNCTION("""COMPUTED_VALUE"""),560047)</f>
        <v>560047</v>
      </c>
      <c r="D1187" s="1" t="str">
        <f ca="1">IFERROR(__xludf.DUMMYFUNCTION("""COMPUTED_VALUE"""),"Male")</f>
        <v>Male</v>
      </c>
      <c r="E1187" s="1" t="str">
        <f ca="1">IFERROR(__xludf.DUMMYFUNCTION("""COMPUTED_VALUE"""),"Influencers who had successful careers")</f>
        <v>Influencers who had successful careers</v>
      </c>
      <c r="F1187" s="1" t="str">
        <f ca="1">IFERROR(__xludf.DUMMYFUNCTION("""COMPUTED_VALUE"""),"No, But if someone could bare the cost I will")</f>
        <v>No, But if someone could bare the cost I will</v>
      </c>
      <c r="G1187" s="1" t="str">
        <f ca="1">IFERROR(__xludf.DUMMYFUNCTION("""COMPUTED_VALUE"""),"This will be hard to do, but if it is the right company I would try")</f>
        <v>This will be hard to do, but if it is the right company I would try</v>
      </c>
      <c r="H1187" s="1" t="str">
        <f ca="1">IFERROR(__xludf.DUMMYFUNCTION("""COMPUTED_VALUE"""),"Yes")</f>
        <v>Yes</v>
      </c>
      <c r="I1187" s="1" t="str">
        <f ca="1">IFERROR(__xludf.DUMMYFUNCTION("""COMPUTED_VALUE"""),"Will work for them")</f>
        <v>Will work for them</v>
      </c>
      <c r="J1187" s="1">
        <f ca="1">IFERROR(__xludf.DUMMYFUNCTION("""COMPUTED_VALUE"""),3)</f>
        <v>3</v>
      </c>
      <c r="K1187" s="1" t="str">
        <f ca="1">IFERROR(__xludf.DUMMYFUNCTION("""COMPUTED_VALUE"""),"Fully Remote with No option to visit offices")</f>
        <v>Fully Remote with No option to visit offices</v>
      </c>
      <c r="L1187" s="1" t="str">
        <f ca="1">IFERROR(__xludf.DUMMYFUNCTION("""COMPUTED_VALUE"""),"Employer who appreciates learning and enables that environment")</f>
        <v>Employer who appreciates learning and enables that environment</v>
      </c>
      <c r="M1187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187" s="1" t="str">
        <f ca="1">IFERROR(__xludf.DUMMYFUNCTION("""COMPUTED_VALUE"""),"Build and develop a Team, Design and Develop amazing software, I Want to sell things/Sales, Manufacturing / Oil and Gas/ Construction / Hard Physical Work related")</f>
        <v>Build and develop a Team, Design and Develop amazing software, I Want to sell things/Sales, Manufacturing / Oil and Gas/ Construction / Hard Physical Work related</v>
      </c>
      <c r="O1187" s="1" t="str">
        <f ca="1">IFERROR(__xludf.DUMMYFUNCTION("""COMPUTED_VALUE"""),"Manager who clearly describes what she/he needs")</f>
        <v>Manager who clearly describes what she/he needs</v>
      </c>
      <c r="P1187" s="1" t="str">
        <f ca="1">IFERROR(__xludf.DUMMYFUNCTION("""COMPUTED_VALUE"""),"Work with 2 to 3 people in my team")</f>
        <v>Work with 2 to 3 people in my team</v>
      </c>
      <c r="Q1187" s="1" t="str">
        <f ca="1">IFERROR(__xludf.DUMMYFUNCTION("""COMPUTED_VALUE"""),"I have NO other choice")</f>
        <v>I have NO other choice</v>
      </c>
      <c r="R1187" s="1" t="str">
        <f ca="1">IFERROR(__xludf.DUMMYFUNCTION("""COMPUTED_VALUE"""),"This will be hard to do, but if it is the right company I would try")</f>
        <v>This will be hard to do, but if it is the right company I would try</v>
      </c>
      <c r="S1187" s="1"/>
    </row>
    <row r="1188" spans="1:19" ht="12.5" x14ac:dyDescent="0.25">
      <c r="A1188" s="2">
        <f ca="1">IFERROR(__xludf.DUMMYFUNCTION("""COMPUTED_VALUE"""),45044.4477494097)</f>
        <v>45044.447749409701</v>
      </c>
      <c r="B1188" s="1" t="str">
        <f ca="1">IFERROR(__xludf.DUMMYFUNCTION("""COMPUTED_VALUE"""),"India")</f>
        <v>India</v>
      </c>
      <c r="C1188" s="1">
        <f ca="1">IFERROR(__xludf.DUMMYFUNCTION("""COMPUTED_VALUE"""),400049)</f>
        <v>400049</v>
      </c>
      <c r="D1188" s="1" t="str">
        <f ca="1">IFERROR(__xludf.DUMMYFUNCTION("""COMPUTED_VALUE"""),"Male")</f>
        <v>Male</v>
      </c>
      <c r="E1188" s="1" t="str">
        <f ca="1">IFERROR(__xludf.DUMMYFUNCTION("""COMPUTED_VALUE"""),"People from my circle, but not family members")</f>
        <v>People from my circle, but not family members</v>
      </c>
      <c r="F1188" s="1" t="str">
        <f ca="1">IFERROR(__xludf.DUMMYFUNCTION("""COMPUTED_VALUE"""),"Yes, I will earn and do that")</f>
        <v>Yes, I will earn and do that</v>
      </c>
      <c r="G1188" s="1" t="str">
        <f ca="1">IFERROR(__xludf.DUMMYFUNCTION("""COMPUTED_VALUE"""),"This will be hard to do, but if it is the right company I would try")</f>
        <v>This will be hard to do, but if it is the right company I would try</v>
      </c>
      <c r="H1188" s="1" t="str">
        <f ca="1">IFERROR(__xludf.DUMMYFUNCTION("""COMPUTED_VALUE"""),"No")</f>
        <v>No</v>
      </c>
      <c r="I1188" s="1" t="str">
        <f ca="1">IFERROR(__xludf.DUMMYFUNCTION("""COMPUTED_VALUE"""),"Will NOT work for them")</f>
        <v>Will NOT work for them</v>
      </c>
      <c r="J1188" s="1">
        <f ca="1">IFERROR(__xludf.DUMMYFUNCTION("""COMPUTED_VALUE"""),10)</f>
        <v>10</v>
      </c>
      <c r="K1188" s="1" t="str">
        <f ca="1">IFERROR(__xludf.DUMMYFUNCTION("""COMPUTED_VALUE"""),"Every Day Office Environment")</f>
        <v>Every Day Office Environment</v>
      </c>
      <c r="L11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8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188" s="1" t="str">
        <f ca="1">IFERROR(__xludf.DUMMYFUNCTION("""COMPUTED_VALUE"""),"Teaching in any of the institutes/colleges/online or offline, Build and develop a Team, Look deeply into Data and generate insights, Entrepreneur or Start Up")</f>
        <v>Teaching in any of the institutes/colleges/online or offline, Build and develop a Team, Look deeply into Data and generate insights, Entrepreneur or Start Up</v>
      </c>
      <c r="O1188" s="1" t="str">
        <f ca="1">IFERROR(__xludf.DUMMYFUNCTION("""COMPUTED_VALUE"""),"Manager who explains what is expected, sets a goal and helps achieve it")</f>
        <v>Manager who explains what is expected, sets a goal and helps achieve it</v>
      </c>
      <c r="P1188" s="1" t="str">
        <f ca="1">IFERROR(__xludf.DUMMYFUNCTION("""COMPUTED_VALUE"""),"Work with 5 to 6 people in my team")</f>
        <v>Work with 5 to 6 people in my team</v>
      </c>
      <c r="Q1188" s="1" t="str">
        <f ca="1">IFERROR(__xludf.DUMMYFUNCTION("""COMPUTED_VALUE"""),"Yes")</f>
        <v>Yes</v>
      </c>
      <c r="R1188" s="1" t="str">
        <f ca="1">IFERROR(__xludf.DUMMYFUNCTION("""COMPUTED_VALUE"""),"This will be hard to do, but if it is the right company I would try")</f>
        <v>This will be hard to do, but if it is the right company I would try</v>
      </c>
      <c r="S1188" s="1"/>
    </row>
    <row r="1189" spans="1:19" ht="12.5" x14ac:dyDescent="0.25">
      <c r="A1189" s="2">
        <f ca="1">IFERROR(__xludf.DUMMYFUNCTION("""COMPUTED_VALUE"""),45044.4479894097)</f>
        <v>45044.447989409702</v>
      </c>
      <c r="B1189" s="1" t="str">
        <f ca="1">IFERROR(__xludf.DUMMYFUNCTION("""COMPUTED_VALUE"""),"India")</f>
        <v>India</v>
      </c>
      <c r="C1189" s="1">
        <f ca="1">IFERROR(__xludf.DUMMYFUNCTION("""COMPUTED_VALUE"""),741101)</f>
        <v>741101</v>
      </c>
      <c r="D1189" s="1" t="str">
        <f ca="1">IFERROR(__xludf.DUMMYFUNCTION("""COMPUTED_VALUE"""),"Female")</f>
        <v>Female</v>
      </c>
      <c r="E1189" s="1" t="str">
        <f ca="1">IFERROR(__xludf.DUMMYFUNCTION("""COMPUTED_VALUE"""),"My Parents")</f>
        <v>My Parents</v>
      </c>
      <c r="F1189" s="1" t="str">
        <f ca="1">IFERROR(__xludf.DUMMYFUNCTION("""COMPUTED_VALUE"""),"Yes, I will earn and do that")</f>
        <v>Yes, I will earn and do that</v>
      </c>
      <c r="G1189" s="1" t="str">
        <f ca="1">IFERROR(__xludf.DUMMYFUNCTION("""COMPUTED_VALUE"""),"This will be hard to do, but if it is the right company I would try")</f>
        <v>This will be hard to do, but if it is the right company I would try</v>
      </c>
      <c r="H1189" s="1" t="str">
        <f ca="1">IFERROR(__xludf.DUMMYFUNCTION("""COMPUTED_VALUE"""),"No")</f>
        <v>No</v>
      </c>
      <c r="I1189" s="1" t="str">
        <f ca="1">IFERROR(__xludf.DUMMYFUNCTION("""COMPUTED_VALUE"""),"Will NOT work for them")</f>
        <v>Will NOT work for them</v>
      </c>
      <c r="J1189" s="1">
        <f ca="1">IFERROR(__xludf.DUMMYFUNCTION("""COMPUTED_VALUE"""),5)</f>
        <v>5</v>
      </c>
      <c r="K1189" s="1" t="str">
        <f ca="1">IFERROR(__xludf.DUMMYFUNCTION("""COMPUTED_VALUE"""),"Fully Remote with Options to travel as and when needed")</f>
        <v>Fully Remote with Options to travel as and when needed</v>
      </c>
      <c r="L11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8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189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1189" s="1" t="str">
        <f ca="1">IFERROR(__xludf.DUMMYFUNCTION("""COMPUTED_VALUE"""),"Manager who explains what is expected, sets a goal and helps achieve it")</f>
        <v>Manager who explains what is expected, sets a goal and helps achieve it</v>
      </c>
      <c r="P1189" s="1" t="str">
        <f ca="1">IFERROR(__xludf.DUMMYFUNCTION("""COMPUTED_VALUE"""),"Work with 7 to 10 or more people in my team")</f>
        <v>Work with 7 to 10 or more people in my team</v>
      </c>
      <c r="Q1189" s="1" t="str">
        <f ca="1">IFERROR(__xludf.DUMMYFUNCTION("""COMPUTED_VALUE"""),"No")</f>
        <v>No</v>
      </c>
      <c r="R1189" s="1" t="str">
        <f ca="1">IFERROR(__xludf.DUMMYFUNCTION("""COMPUTED_VALUE"""),"This will be hard to do, but if it is the right company I would try")</f>
        <v>This will be hard to do, but if it is the right company I would try</v>
      </c>
      <c r="S1189" s="1"/>
    </row>
    <row r="1190" spans="1:19" ht="12.5" x14ac:dyDescent="0.25">
      <c r="A1190" s="2">
        <f ca="1">IFERROR(__xludf.DUMMYFUNCTION("""COMPUTED_VALUE"""),45044.448465324)</f>
        <v>45044.448465324</v>
      </c>
      <c r="B1190" s="1" t="str">
        <f ca="1">IFERROR(__xludf.DUMMYFUNCTION("""COMPUTED_VALUE"""),"India")</f>
        <v>India</v>
      </c>
      <c r="C1190" s="1">
        <f ca="1">IFERROR(__xludf.DUMMYFUNCTION("""COMPUTED_VALUE"""),700028)</f>
        <v>700028</v>
      </c>
      <c r="D1190" s="1" t="str">
        <f ca="1">IFERROR(__xludf.DUMMYFUNCTION("""COMPUTED_VALUE"""),"Male")</f>
        <v>Male</v>
      </c>
      <c r="E1190" s="1" t="str">
        <f ca="1">IFERROR(__xludf.DUMMYFUNCTION("""COMPUTED_VALUE"""),"Social Media like LinkedIn")</f>
        <v>Social Media like LinkedIn</v>
      </c>
      <c r="F1190" s="1" t="str">
        <f ca="1">IFERROR(__xludf.DUMMYFUNCTION("""COMPUTED_VALUE"""),"No I would not be pursuing Higher Education outside of India")</f>
        <v>No I would not be pursuing Higher Education outside of India</v>
      </c>
      <c r="G1190" s="1" t="str">
        <f ca="1">IFERROR(__xludf.DUMMYFUNCTION("""COMPUTED_VALUE"""),"Will work for 3 years or more")</f>
        <v>Will work for 3 years or more</v>
      </c>
      <c r="H1190" s="1" t="str">
        <f ca="1">IFERROR(__xludf.DUMMYFUNCTION("""COMPUTED_VALUE"""),"Yes")</f>
        <v>Yes</v>
      </c>
      <c r="I1190" s="1" t="str">
        <f ca="1">IFERROR(__xludf.DUMMYFUNCTION("""COMPUTED_VALUE"""),"Will work for them")</f>
        <v>Will work for them</v>
      </c>
      <c r="J1190" s="1">
        <f ca="1">IFERROR(__xludf.DUMMYFUNCTION("""COMPUTED_VALUE"""),10)</f>
        <v>10</v>
      </c>
      <c r="K1190" s="1" t="str">
        <f ca="1">IFERROR(__xludf.DUMMYFUNCTION("""COMPUTED_VALUE"""),"Fully Remote with Options to travel as and when needed")</f>
        <v>Fully Remote with Options to travel as and when needed</v>
      </c>
      <c r="L1190" s="1" t="str">
        <f ca="1">IFERROR(__xludf.DUMMYFUNCTION("""COMPUTED_VALUE"""),"Employer who rewards learning and enables that environment")</f>
        <v>Employer who rewards learning and enables that environment</v>
      </c>
      <c r="M119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190" s="1" t="str">
        <f ca="1">IFERROR(__xludf.DUMMYFUNCTION("""COMPUTED_VALUE"""),"Design and Creative strategy in any company, Teaching in any of the institutes/colleges/online or offline, Manage and drive End-to-End Projects or Products, An Artificial Intelligence Specialist / Talking to Robots")</f>
        <v>Design and Creative strategy in any company, Teaching in any of the institutes/colleges/online or offline, Manage and drive End-to-End Projects or Products, An Artificial Intelligence Specialist / Talking to Robots</v>
      </c>
      <c r="O1190" s="1" t="str">
        <f ca="1">IFERROR(__xludf.DUMMYFUNCTION("""COMPUTED_VALUE"""),"Manager who clearly describes what she/he needs")</f>
        <v>Manager who clearly describes what she/he needs</v>
      </c>
      <c r="P1190" s="1" t="str">
        <f ca="1">IFERROR(__xludf.DUMMYFUNCTION("""COMPUTED_VALUE"""),"Work with 2 to 3 people in my team")</f>
        <v>Work with 2 to 3 people in my team</v>
      </c>
      <c r="Q1190" s="1" t="str">
        <f ca="1">IFERROR(__xludf.DUMMYFUNCTION("""COMPUTED_VALUE"""),"No")</f>
        <v>No</v>
      </c>
      <c r="R1190" s="1" t="str">
        <f ca="1">IFERROR(__xludf.DUMMYFUNCTION("""COMPUTED_VALUE"""),"This will be hard to do, but if it is the right company I would try")</f>
        <v>This will be hard to do, but if it is the right company I would try</v>
      </c>
      <c r="S1190" s="1"/>
    </row>
    <row r="1191" spans="1:19" ht="12.5" x14ac:dyDescent="0.25">
      <c r="A1191" s="2">
        <f ca="1">IFERROR(__xludf.DUMMYFUNCTION("""COMPUTED_VALUE"""),45044.4487385416)</f>
        <v>45044.4487385416</v>
      </c>
      <c r="B1191" s="1" t="str">
        <f ca="1">IFERROR(__xludf.DUMMYFUNCTION("""COMPUTED_VALUE"""),"India")</f>
        <v>India</v>
      </c>
      <c r="C1191" s="1">
        <f ca="1">IFERROR(__xludf.DUMMYFUNCTION("""COMPUTED_VALUE"""),700060)</f>
        <v>700060</v>
      </c>
      <c r="D1191" s="1" t="str">
        <f ca="1">IFERROR(__xludf.DUMMYFUNCTION("""COMPUTED_VALUE"""),"Male")</f>
        <v>Male</v>
      </c>
      <c r="E1191" s="1" t="str">
        <f ca="1">IFERROR(__xludf.DUMMYFUNCTION("""COMPUTED_VALUE"""),"Social Media like LinkedIn")</f>
        <v>Social Media like LinkedIn</v>
      </c>
      <c r="F1191" s="1" t="str">
        <f ca="1">IFERROR(__xludf.DUMMYFUNCTION("""COMPUTED_VALUE"""),"No, But if someone could bare the cost I will")</f>
        <v>No, But if someone could bare the cost I will</v>
      </c>
      <c r="G1191" s="1" t="str">
        <f ca="1">IFERROR(__xludf.DUMMYFUNCTION("""COMPUTED_VALUE"""),"This will be hard to do, but if it is the right company I would try")</f>
        <v>This will be hard to do, but if it is the right company I would try</v>
      </c>
      <c r="H1191" s="1" t="str">
        <f ca="1">IFERROR(__xludf.DUMMYFUNCTION("""COMPUTED_VALUE"""),"No")</f>
        <v>No</v>
      </c>
      <c r="I1191" s="1" t="str">
        <f ca="1">IFERROR(__xludf.DUMMYFUNCTION("""COMPUTED_VALUE"""),"Will NOT work for them")</f>
        <v>Will NOT work for them</v>
      </c>
      <c r="J1191" s="1">
        <f ca="1">IFERROR(__xludf.DUMMYFUNCTION("""COMPUTED_VALUE"""),5)</f>
        <v>5</v>
      </c>
      <c r="K1191" s="1" t="str">
        <f ca="1">IFERROR(__xludf.DUMMYFUNCTION("""COMPUTED_VALUE"""),"Fully Remote with No option to visit offices")</f>
        <v>Fully Remote with No option to visit offices</v>
      </c>
      <c r="L11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9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191" s="1" t="str">
        <f ca="1">IFERROR(__xludf.DUMMYFUNCTION("""COMPUTED_VALUE"""),"Teaching in any of the institutes/colleges/online or offline, Manage and drive End-to-End Projects or Products, Build and develop a Team, Become a content Creator in some platform")</f>
        <v>Teaching in any of the institutes/colleges/online or offline, Manage and drive End-to-End Projects or Products, Build and develop a Team, Become a content Creator in some platform</v>
      </c>
      <c r="O11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191" s="1" t="str">
        <f ca="1">IFERROR(__xludf.DUMMYFUNCTION("""COMPUTED_VALUE"""),"Work with 2 to 3 people in my team")</f>
        <v>Work with 2 to 3 people in my team</v>
      </c>
      <c r="Q1191" s="1" t="str">
        <f ca="1">IFERROR(__xludf.DUMMYFUNCTION("""COMPUTED_VALUE"""),"Yes, I Understand this is gonna happen everywhere")</f>
        <v>Yes, I Understand this is gonna happen everywhere</v>
      </c>
      <c r="R1191" s="1" t="str">
        <f ca="1">IFERROR(__xludf.DUMMYFUNCTION("""COMPUTED_VALUE"""),"No way")</f>
        <v>No way</v>
      </c>
      <c r="S1191" s="1"/>
    </row>
    <row r="1192" spans="1:19" ht="12.5" x14ac:dyDescent="0.25">
      <c r="A1192" s="2">
        <f ca="1">IFERROR(__xludf.DUMMYFUNCTION("""COMPUTED_VALUE"""),45044.44909103)</f>
        <v>45044.449091030001</v>
      </c>
      <c r="B1192" s="1" t="str">
        <f ca="1">IFERROR(__xludf.DUMMYFUNCTION("""COMPUTED_VALUE"""),"India")</f>
        <v>India</v>
      </c>
      <c r="C1192" s="1">
        <f ca="1">IFERROR(__xludf.DUMMYFUNCTION("""COMPUTED_VALUE"""),530040)</f>
        <v>530040</v>
      </c>
      <c r="D1192" s="1" t="str">
        <f ca="1">IFERROR(__xludf.DUMMYFUNCTION("""COMPUTED_VALUE"""),"Female")</f>
        <v>Female</v>
      </c>
      <c r="E1192" s="1" t="str">
        <f ca="1">IFERROR(__xludf.DUMMYFUNCTION("""COMPUTED_VALUE"""),"People who have changed the world for better")</f>
        <v>People who have changed the world for better</v>
      </c>
      <c r="F1192" s="1" t="str">
        <f ca="1">IFERROR(__xludf.DUMMYFUNCTION("""COMPUTED_VALUE"""),"No I would not be pursuing Higher Education outside of India")</f>
        <v>No I would not be pursuing Higher Education outside of India</v>
      </c>
      <c r="G1192" s="1" t="str">
        <f ca="1">IFERROR(__xludf.DUMMYFUNCTION("""COMPUTED_VALUE"""),"Will work for 3 years or more")</f>
        <v>Will work for 3 years or more</v>
      </c>
      <c r="H1192" s="1" t="str">
        <f ca="1">IFERROR(__xludf.DUMMYFUNCTION("""COMPUTED_VALUE"""),"No")</f>
        <v>No</v>
      </c>
      <c r="I1192" s="1" t="str">
        <f ca="1">IFERROR(__xludf.DUMMYFUNCTION("""COMPUTED_VALUE"""),"Will NOT work for them")</f>
        <v>Will NOT work for them</v>
      </c>
      <c r="J1192" s="1">
        <f ca="1">IFERROR(__xludf.DUMMYFUNCTION("""COMPUTED_VALUE"""),3)</f>
        <v>3</v>
      </c>
      <c r="K1192" s="1" t="str">
        <f ca="1">IFERROR(__xludf.DUMMYFUNCTION("""COMPUTED_VALUE"""),"Hybrid Working Environment with more than 15 days a month at office")</f>
        <v>Hybrid Working Environment with more than 15 days a month at office</v>
      </c>
      <c r="L1192" s="1" t="str">
        <f ca="1">IFERROR(__xludf.DUMMYFUNCTION("""COMPUTED_VALUE"""),"Employer who appreciates learning and enables that environment")</f>
        <v>Employer who appreciates learning and enables that environment</v>
      </c>
      <c r="M119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192" s="1" t="str">
        <f ca="1">IFERROR(__xludf.DUMMYFUNCTION("""COMPUTED_VALUE"""),"Design and Creative strategy in any company, Business Operations in any organization, Work in a BPO setup for some well known client, Become a content Creator in some platform")</f>
        <v>Design and Creative strategy in any company, Business Operations in any organization, Work in a BPO setup for some well known client, Become a content Creator in some platform</v>
      </c>
      <c r="O1192" s="1" t="str">
        <f ca="1">IFERROR(__xludf.DUMMYFUNCTION("""COMPUTED_VALUE"""),"Manager who clearly describes what she/he needs")</f>
        <v>Manager who clearly describes what she/he needs</v>
      </c>
      <c r="P1192" s="1" t="str">
        <f ca="1">IFERROR(__xludf.DUMMYFUNCTION("""COMPUTED_VALUE"""),"Work with more than 10 people in my team")</f>
        <v>Work with more than 10 people in my team</v>
      </c>
      <c r="Q1192" s="1" t="str">
        <f ca="1">IFERROR(__xludf.DUMMYFUNCTION("""COMPUTED_VALUE"""),"Yes, I Understand this is gonna happen everywhere")</f>
        <v>Yes, I Understand this is gonna happen everywhere</v>
      </c>
      <c r="R1192" s="1" t="str">
        <f ca="1">IFERROR(__xludf.DUMMYFUNCTION("""COMPUTED_VALUE"""),"This will be hard to do, but if it is the right company I would try")</f>
        <v>This will be hard to do, but if it is the right company I would try</v>
      </c>
      <c r="S1192" s="1"/>
    </row>
    <row r="1193" spans="1:19" ht="12.5" x14ac:dyDescent="0.25">
      <c r="A1193" s="2">
        <f ca="1">IFERROR(__xludf.DUMMYFUNCTION("""COMPUTED_VALUE"""),45044.449102199)</f>
        <v>45044.449102199003</v>
      </c>
      <c r="B1193" s="1" t="str">
        <f ca="1">IFERROR(__xludf.DUMMYFUNCTION("""COMPUTED_VALUE"""),"India")</f>
        <v>India</v>
      </c>
      <c r="C1193" s="1">
        <f ca="1">IFERROR(__xludf.DUMMYFUNCTION("""COMPUTED_VALUE"""),563132)</f>
        <v>563132</v>
      </c>
      <c r="D1193" s="1" t="str">
        <f ca="1">IFERROR(__xludf.DUMMYFUNCTION("""COMPUTED_VALUE"""),"Male")</f>
        <v>Male</v>
      </c>
      <c r="E1193" s="1" t="str">
        <f ca="1">IFERROR(__xludf.DUMMYFUNCTION("""COMPUTED_VALUE"""),"People from my circle, but not family members")</f>
        <v>People from my circle, but not family members</v>
      </c>
      <c r="F1193" s="1" t="str">
        <f ca="1">IFERROR(__xludf.DUMMYFUNCTION("""COMPUTED_VALUE"""),"No I would not be pursuing Higher Education outside of India")</f>
        <v>No I would not be pursuing Higher Education outside of India</v>
      </c>
      <c r="G1193" s="1" t="str">
        <f ca="1">IFERROR(__xludf.DUMMYFUNCTION("""COMPUTED_VALUE"""),"This will be hard to do, but if it is the right company I would try")</f>
        <v>This will be hard to do, but if it is the right company I would try</v>
      </c>
      <c r="H1193" s="1" t="str">
        <f ca="1">IFERROR(__xludf.DUMMYFUNCTION("""COMPUTED_VALUE"""),"No")</f>
        <v>No</v>
      </c>
      <c r="I1193" s="1" t="str">
        <f ca="1">IFERROR(__xludf.DUMMYFUNCTION("""COMPUTED_VALUE"""),"Will NOT work for them")</f>
        <v>Will NOT work for them</v>
      </c>
      <c r="J1193" s="1">
        <f ca="1">IFERROR(__xludf.DUMMYFUNCTION("""COMPUTED_VALUE"""),1)</f>
        <v>1</v>
      </c>
      <c r="K1193" s="1" t="str">
        <f ca="1">IFERROR(__xludf.DUMMYFUNCTION("""COMPUTED_VALUE"""),"Hybrid Working Environment with less than 3 days a month at office")</f>
        <v>Hybrid Working Environment with less than 3 days a month at office</v>
      </c>
      <c r="L1193" s="1" t="str">
        <f ca="1">IFERROR(__xludf.DUMMYFUNCTION("""COMPUTED_VALUE"""),"Employer who appreciates learning and enables that environment")</f>
        <v>Employer who appreciates learning and enables that environment</v>
      </c>
      <c r="M1193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193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1193" s="1" t="str">
        <f ca="1">IFERROR(__xludf.DUMMYFUNCTION("""COMPUTED_VALUE"""),"Manager who explains what is expected, sets a goal and helps achieve it")</f>
        <v>Manager who explains what is expected, sets a goal and helps achieve it</v>
      </c>
      <c r="P1193" s="1" t="str">
        <f ca="1">IFERROR(__xludf.DUMMYFUNCTION("""COMPUTED_VALUE"""),"Work with 5 to 6 people in my team")</f>
        <v>Work with 5 to 6 people in my team</v>
      </c>
      <c r="Q1193" s="1" t="str">
        <f ca="1">IFERROR(__xludf.DUMMYFUNCTION("""COMPUTED_VALUE"""),"Yes, I Understand this is gonna happen everywhere")</f>
        <v>Yes, I Understand this is gonna happen everywhere</v>
      </c>
      <c r="R1193" s="1" t="str">
        <f ca="1">IFERROR(__xludf.DUMMYFUNCTION("""COMPUTED_VALUE"""),"This will be hard to do, but if it is the right company I would try")</f>
        <v>This will be hard to do, but if it is the right company I would try</v>
      </c>
      <c r="S1193" s="1"/>
    </row>
    <row r="1194" spans="1:19" ht="12.5" x14ac:dyDescent="0.25">
      <c r="A1194" s="2">
        <f ca="1">IFERROR(__xludf.DUMMYFUNCTION("""COMPUTED_VALUE"""),45044.4495589699)</f>
        <v>45044.4495589699</v>
      </c>
      <c r="B1194" s="1" t="str">
        <f ca="1">IFERROR(__xludf.DUMMYFUNCTION("""COMPUTED_VALUE"""),"India")</f>
        <v>India</v>
      </c>
      <c r="C1194" s="1">
        <f ca="1">IFERROR(__xludf.DUMMYFUNCTION("""COMPUTED_VALUE"""),757001)</f>
        <v>757001</v>
      </c>
      <c r="D1194" s="1" t="str">
        <f ca="1">IFERROR(__xludf.DUMMYFUNCTION("""COMPUTED_VALUE"""),"Male")</f>
        <v>Male</v>
      </c>
      <c r="E1194" s="1" t="str">
        <f ca="1">IFERROR(__xludf.DUMMYFUNCTION("""COMPUTED_VALUE"""),"My Parents")</f>
        <v>My Parents</v>
      </c>
      <c r="F1194" s="1" t="str">
        <f ca="1">IFERROR(__xludf.DUMMYFUNCTION("""COMPUTED_VALUE"""),"Yes, I will earn and do that")</f>
        <v>Yes, I will earn and do that</v>
      </c>
      <c r="G1194" s="1" t="str">
        <f ca="1">IFERROR(__xludf.DUMMYFUNCTION("""COMPUTED_VALUE"""),"Will work for 3 years or more")</f>
        <v>Will work for 3 years or more</v>
      </c>
      <c r="H1194" s="1" t="str">
        <f ca="1">IFERROR(__xludf.DUMMYFUNCTION("""COMPUTED_VALUE"""),"No")</f>
        <v>No</v>
      </c>
      <c r="I1194" s="1" t="str">
        <f ca="1">IFERROR(__xludf.DUMMYFUNCTION("""COMPUTED_VALUE"""),"Will work for them")</f>
        <v>Will work for them</v>
      </c>
      <c r="J1194" s="1">
        <f ca="1">IFERROR(__xludf.DUMMYFUNCTION("""COMPUTED_VALUE"""),8)</f>
        <v>8</v>
      </c>
      <c r="K1194" s="1" t="str">
        <f ca="1">IFERROR(__xludf.DUMMYFUNCTION("""COMPUTED_VALUE"""),"Hybrid Working Environment with more than 15 days a month at office")</f>
        <v>Hybrid Working Environment with more than 15 days a month at office</v>
      </c>
      <c r="L1194" s="1" t="str">
        <f ca="1">IFERROR(__xludf.DUMMYFUNCTION("""COMPUTED_VALUE"""),"Employer who rewards learning and enables that environment")</f>
        <v>Employer who rewards learning and enables that environment</v>
      </c>
      <c r="M119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19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194" s="1" t="str">
        <f ca="1">IFERROR(__xludf.DUMMYFUNCTION("""COMPUTED_VALUE"""),"Manager who sets goal and helps me achieve it")</f>
        <v>Manager who sets goal and helps me achieve it</v>
      </c>
      <c r="P1194" s="1" t="str">
        <f ca="1">IFERROR(__xludf.DUMMYFUNCTION("""COMPUTED_VALUE"""),"Work with 5 to 6 people in my team")</f>
        <v>Work with 5 to 6 people in my team</v>
      </c>
      <c r="Q1194" s="1" t="str">
        <f ca="1">IFERROR(__xludf.DUMMYFUNCTION("""COMPUTED_VALUE"""),"No")</f>
        <v>No</v>
      </c>
      <c r="R1194" s="1" t="str">
        <f ca="1">IFERROR(__xludf.DUMMYFUNCTION("""COMPUTED_VALUE"""),"No way")</f>
        <v>No way</v>
      </c>
      <c r="S1194" s="1"/>
    </row>
    <row r="1195" spans="1:19" ht="12.5" x14ac:dyDescent="0.25">
      <c r="A1195" s="2">
        <f ca="1">IFERROR(__xludf.DUMMYFUNCTION("""COMPUTED_VALUE"""),45044.4504345717)</f>
        <v>45044.4504345717</v>
      </c>
      <c r="B1195" s="1" t="str">
        <f ca="1">IFERROR(__xludf.DUMMYFUNCTION("""COMPUTED_VALUE"""),"India")</f>
        <v>India</v>
      </c>
      <c r="C1195" s="1">
        <f ca="1">IFERROR(__xludf.DUMMYFUNCTION("""COMPUTED_VALUE"""),562106)</f>
        <v>562106</v>
      </c>
      <c r="D1195" s="1" t="str">
        <f ca="1">IFERROR(__xludf.DUMMYFUNCTION("""COMPUTED_VALUE"""),"Male")</f>
        <v>Male</v>
      </c>
      <c r="E1195" s="1" t="str">
        <f ca="1">IFERROR(__xludf.DUMMYFUNCTION("""COMPUTED_VALUE"""),"Influencers who had successful careers")</f>
        <v>Influencers who had successful careers</v>
      </c>
      <c r="F1195" s="1" t="str">
        <f ca="1">IFERROR(__xludf.DUMMYFUNCTION("""COMPUTED_VALUE"""),"Yes, I will earn and do that")</f>
        <v>Yes, I will earn and do that</v>
      </c>
      <c r="G1195" s="1" t="str">
        <f ca="1">IFERROR(__xludf.DUMMYFUNCTION("""COMPUTED_VALUE"""),"This will be hard to do, but if it is the right company I would try")</f>
        <v>This will be hard to do, but if it is the right company I would try</v>
      </c>
      <c r="H1195" s="1" t="str">
        <f ca="1">IFERROR(__xludf.DUMMYFUNCTION("""COMPUTED_VALUE"""),"No")</f>
        <v>No</v>
      </c>
      <c r="I1195" s="1" t="str">
        <f ca="1">IFERROR(__xludf.DUMMYFUNCTION("""COMPUTED_VALUE"""),"Will NOT work for them")</f>
        <v>Will NOT work for them</v>
      </c>
      <c r="J1195" s="1">
        <f ca="1">IFERROR(__xludf.DUMMYFUNCTION("""COMPUTED_VALUE"""),1)</f>
        <v>1</v>
      </c>
      <c r="K1195" s="1" t="str">
        <f ca="1">IFERROR(__xludf.DUMMYFUNCTION("""COMPUTED_VALUE"""),"Hybrid Working Environment with less than 3 days a month at office")</f>
        <v>Hybrid Working Environment with less than 3 days a month at office</v>
      </c>
      <c r="L11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9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195" s="1" t="str">
        <f ca="1">IFERROR(__xludf.DUMMYFUNCTION("""COMPUTED_VALUE"""),"Design and Creative strategy in any company, Entrepreneur or Start Up, I Want to sell things/Sales, An Artificial Intelligence Specialist / Talking to Robots")</f>
        <v>Design and Creative strategy in any company, Entrepreneur or Start Up, I Want to sell things/Sales, An Artificial Intelligence Specialist / Talking to Robots</v>
      </c>
      <c r="O1195" s="1" t="str">
        <f ca="1">IFERROR(__xludf.DUMMYFUNCTION("""COMPUTED_VALUE"""),"Manager who sets goal and helps me achieve it")</f>
        <v>Manager who sets goal and helps me achieve it</v>
      </c>
      <c r="P1195" s="1" t="str">
        <f ca="1">IFERROR(__xludf.DUMMYFUNCTION("""COMPUTED_VALUE"""),"Work with 2 to 3 people in my team")</f>
        <v>Work with 2 to 3 people in my team</v>
      </c>
      <c r="Q1195" s="1" t="str">
        <f ca="1">IFERROR(__xludf.DUMMYFUNCTION("""COMPUTED_VALUE"""),"Yes, I Understand this is gonna happen everywhere")</f>
        <v>Yes, I Understand this is gonna happen everywhere</v>
      </c>
      <c r="R1195" s="1" t="str">
        <f ca="1">IFERROR(__xludf.DUMMYFUNCTION("""COMPUTED_VALUE"""),"No way")</f>
        <v>No way</v>
      </c>
      <c r="S1195" s="1"/>
    </row>
    <row r="1196" spans="1:19" ht="12.5" x14ac:dyDescent="0.25">
      <c r="A1196" s="2">
        <f ca="1">IFERROR(__xludf.DUMMYFUNCTION("""COMPUTED_VALUE"""),45044.4519186574)</f>
        <v>45044.451918657403</v>
      </c>
      <c r="B1196" s="1" t="str">
        <f ca="1">IFERROR(__xludf.DUMMYFUNCTION("""COMPUTED_VALUE"""),"India")</f>
        <v>India</v>
      </c>
      <c r="C1196" s="1">
        <f ca="1">IFERROR(__xludf.DUMMYFUNCTION("""COMPUTED_VALUE"""),700060)</f>
        <v>700060</v>
      </c>
      <c r="D1196" s="1" t="str">
        <f ca="1">IFERROR(__xludf.DUMMYFUNCTION("""COMPUTED_VALUE"""),"Male")</f>
        <v>Male</v>
      </c>
      <c r="E1196" s="1" t="str">
        <f ca="1">IFERROR(__xludf.DUMMYFUNCTION("""COMPUTED_VALUE"""),"People from my circle, but not family members")</f>
        <v>People from my circle, but not family members</v>
      </c>
      <c r="F1196" s="1" t="str">
        <f ca="1">IFERROR(__xludf.DUMMYFUNCTION("""COMPUTED_VALUE"""),"Yes, I will earn and do that")</f>
        <v>Yes, I will earn and do that</v>
      </c>
      <c r="G1196" s="1" t="str">
        <f ca="1">IFERROR(__xludf.DUMMYFUNCTION("""COMPUTED_VALUE"""),"Will work for 3 years or more")</f>
        <v>Will work for 3 years or more</v>
      </c>
      <c r="H1196" s="1" t="str">
        <f ca="1">IFERROR(__xludf.DUMMYFUNCTION("""COMPUTED_VALUE"""),"Yes")</f>
        <v>Yes</v>
      </c>
      <c r="I1196" s="1" t="str">
        <f ca="1">IFERROR(__xludf.DUMMYFUNCTION("""COMPUTED_VALUE"""),"Will work for them")</f>
        <v>Will work for them</v>
      </c>
      <c r="J1196" s="1">
        <f ca="1">IFERROR(__xludf.DUMMYFUNCTION("""COMPUTED_VALUE"""),10)</f>
        <v>10</v>
      </c>
      <c r="K1196" s="1" t="str">
        <f ca="1">IFERROR(__xludf.DUMMYFUNCTION("""COMPUTED_VALUE"""),"Every Day Office Environment")</f>
        <v>Every Day Office Environment</v>
      </c>
      <c r="L11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9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96" s="1" t="str">
        <f ca="1">IFERROR(__xludf.DUMMYFUNCTION("""COMPUTED_VALUE"""),"Build and develop a Team, Entrepreneur or Start Up, I Want to sell things/Sales, Manufacturing / Oil and Gas/ Construction / Hard Physical Work related")</f>
        <v>Build and develop a Team, Entrepreneur or Start Up, I Want to sell things/Sales, Manufacturing / Oil and Gas/ Construction / Hard Physical Work related</v>
      </c>
      <c r="O1196" s="1" t="str">
        <f ca="1">IFERROR(__xludf.DUMMYFUNCTION("""COMPUTED_VALUE"""),"Manager who explains what is expected, sets a goal and helps achieve it")</f>
        <v>Manager who explains what is expected, sets a goal and helps achieve it</v>
      </c>
      <c r="P1196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196" s="1" t="str">
        <f ca="1">IFERROR(__xludf.DUMMYFUNCTION("""COMPUTED_VALUE"""),"No")</f>
        <v>No</v>
      </c>
      <c r="R1196" s="1" t="str">
        <f ca="1">IFERROR(__xludf.DUMMYFUNCTION("""COMPUTED_VALUE"""),"Will work for 7 years or more")</f>
        <v>Will work for 7 years or more</v>
      </c>
      <c r="S1196" s="1"/>
    </row>
    <row r="1197" spans="1:19" ht="12.5" x14ac:dyDescent="0.25">
      <c r="A1197" s="2">
        <f ca="1">IFERROR(__xludf.DUMMYFUNCTION("""COMPUTED_VALUE"""),45044.4521457754)</f>
        <v>45044.452145775402</v>
      </c>
      <c r="B1197" s="1" t="str">
        <f ca="1">IFERROR(__xludf.DUMMYFUNCTION("""COMPUTED_VALUE"""),"India")</f>
        <v>India</v>
      </c>
      <c r="C1197" s="1">
        <f ca="1">IFERROR(__xludf.DUMMYFUNCTION("""COMPUTED_VALUE"""),440008)</f>
        <v>440008</v>
      </c>
      <c r="D1197" s="1" t="str">
        <f ca="1">IFERROR(__xludf.DUMMYFUNCTION("""COMPUTED_VALUE"""),"Male")</f>
        <v>Male</v>
      </c>
      <c r="E1197" s="1" t="str">
        <f ca="1">IFERROR(__xludf.DUMMYFUNCTION("""COMPUTED_VALUE"""),"Social Media like LinkedIn")</f>
        <v>Social Media like LinkedIn</v>
      </c>
      <c r="F1197" s="1" t="str">
        <f ca="1">IFERROR(__xludf.DUMMYFUNCTION("""COMPUTED_VALUE"""),"Yes, I will earn and do that")</f>
        <v>Yes, I will earn and do that</v>
      </c>
      <c r="G1197" s="1" t="str">
        <f ca="1">IFERROR(__xludf.DUMMYFUNCTION("""COMPUTED_VALUE"""),"Will work for 3 years or more")</f>
        <v>Will work for 3 years or more</v>
      </c>
      <c r="H1197" s="1" t="str">
        <f ca="1">IFERROR(__xludf.DUMMYFUNCTION("""COMPUTED_VALUE"""),"No")</f>
        <v>No</v>
      </c>
      <c r="I1197" s="1" t="str">
        <f ca="1">IFERROR(__xludf.DUMMYFUNCTION("""COMPUTED_VALUE"""),"Will NOT work for them")</f>
        <v>Will NOT work for them</v>
      </c>
      <c r="J1197" s="1">
        <f ca="1">IFERROR(__xludf.DUMMYFUNCTION("""COMPUTED_VALUE"""),5)</f>
        <v>5</v>
      </c>
      <c r="K1197" s="1" t="str">
        <f ca="1">IFERROR(__xludf.DUMMYFUNCTION("""COMPUTED_VALUE"""),"Fully Remote with Options to travel as and when needed")</f>
        <v>Fully Remote with Options to travel as and when needed</v>
      </c>
      <c r="L1197" s="1" t="str">
        <f ca="1">IFERROR(__xludf.DUMMYFUNCTION("""COMPUTED_VALUE"""),"Employer who appreciates learning and enables that environment")</f>
        <v>Employer who appreciates learning and enables that environment</v>
      </c>
      <c r="M119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197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1197" s="1" t="str">
        <f ca="1">IFERROR(__xludf.DUMMYFUNCTION("""COMPUTED_VALUE"""),"Manager who explains what is expected, sets a goal and helps achieve it")</f>
        <v>Manager who explains what is expected, sets a goal and helps achieve it</v>
      </c>
      <c r="P1197" s="1" t="str">
        <f ca="1">IFERROR(__xludf.DUMMYFUNCTION("""COMPUTED_VALUE"""),"Work with 5 to 6 people in my team")</f>
        <v>Work with 5 to 6 people in my team</v>
      </c>
      <c r="Q1197" s="1" t="str">
        <f ca="1">IFERROR(__xludf.DUMMYFUNCTION("""COMPUTED_VALUE"""),"Yes, I Understand this is gonna happen everywhere")</f>
        <v>Yes, I Understand this is gonna happen everywhere</v>
      </c>
      <c r="R1197" s="1" t="str">
        <f ca="1">IFERROR(__xludf.DUMMYFUNCTION("""COMPUTED_VALUE"""),"This will be hard to do, but if it is the right company I would try")</f>
        <v>This will be hard to do, but if it is the right company I would try</v>
      </c>
      <c r="S1197" s="1"/>
    </row>
    <row r="1198" spans="1:19" ht="12.5" x14ac:dyDescent="0.25">
      <c r="A1198" s="2">
        <f ca="1">IFERROR(__xludf.DUMMYFUNCTION("""COMPUTED_VALUE"""),45044.4527563541)</f>
        <v>45044.452756354098</v>
      </c>
      <c r="B1198" s="1" t="str">
        <f ca="1">IFERROR(__xludf.DUMMYFUNCTION("""COMPUTED_VALUE"""),"India")</f>
        <v>India</v>
      </c>
      <c r="C1198" s="1">
        <f ca="1">IFERROR(__xludf.DUMMYFUNCTION("""COMPUTED_VALUE"""),700040)</f>
        <v>700040</v>
      </c>
      <c r="D1198" s="1" t="str">
        <f ca="1">IFERROR(__xludf.DUMMYFUNCTION("""COMPUTED_VALUE"""),"Male")</f>
        <v>Male</v>
      </c>
      <c r="E1198" s="1" t="str">
        <f ca="1">IFERROR(__xludf.DUMMYFUNCTION("""COMPUTED_VALUE"""),"People who have changed the world for better")</f>
        <v>People who have changed the world for better</v>
      </c>
      <c r="F1198" s="1" t="str">
        <f ca="1">IFERROR(__xludf.DUMMYFUNCTION("""COMPUTED_VALUE"""),"No I would not be pursuing Higher Education outside of India")</f>
        <v>No I would not be pursuing Higher Education outside of India</v>
      </c>
      <c r="G1198" s="1" t="str">
        <f ca="1">IFERROR(__xludf.DUMMYFUNCTION("""COMPUTED_VALUE"""),"Will work for 3 years or more")</f>
        <v>Will work for 3 years or more</v>
      </c>
      <c r="H1198" s="1" t="str">
        <f ca="1">IFERROR(__xludf.DUMMYFUNCTION("""COMPUTED_VALUE"""),"No")</f>
        <v>No</v>
      </c>
      <c r="I1198" s="1" t="str">
        <f ca="1">IFERROR(__xludf.DUMMYFUNCTION("""COMPUTED_VALUE"""),"Will NOT work for them")</f>
        <v>Will NOT work for them</v>
      </c>
      <c r="J1198" s="1">
        <f ca="1">IFERROR(__xludf.DUMMYFUNCTION("""COMPUTED_VALUE"""),1)</f>
        <v>1</v>
      </c>
      <c r="K1198" s="1" t="str">
        <f ca="1">IFERROR(__xludf.DUMMYFUNCTION("""COMPUTED_VALUE"""),"Fully Remote with Options to travel as and when needed")</f>
        <v>Fully Remote with Options to travel as and when needed</v>
      </c>
      <c r="L11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9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198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1198" s="1" t="str">
        <f ca="1">IFERROR(__xludf.DUMMYFUNCTION("""COMPUTED_VALUE"""),"Manager who clearly describes what she/he needs")</f>
        <v>Manager who clearly describes what she/he needs</v>
      </c>
      <c r="P1198" s="1" t="str">
        <f ca="1">IFERROR(__xludf.DUMMYFUNCTION("""COMPUTED_VALUE"""),"Work with 5 to 6 people in my team")</f>
        <v>Work with 5 to 6 people in my team</v>
      </c>
      <c r="Q1198" s="1" t="str">
        <f ca="1">IFERROR(__xludf.DUMMYFUNCTION("""COMPUTED_VALUE"""),"Yes, I Understand this is gonna happen everywhere")</f>
        <v>Yes, I Understand this is gonna happen everywhere</v>
      </c>
      <c r="R1198" s="1" t="str">
        <f ca="1">IFERROR(__xludf.DUMMYFUNCTION("""COMPUTED_VALUE"""),"Will work for 7 years or more")</f>
        <v>Will work for 7 years or more</v>
      </c>
      <c r="S1198" s="1"/>
    </row>
    <row r="1199" spans="1:19" ht="12.5" x14ac:dyDescent="0.25">
      <c r="A1199" s="2">
        <f ca="1">IFERROR(__xludf.DUMMYFUNCTION("""COMPUTED_VALUE"""),45044.4527770717)</f>
        <v>45044.452777071703</v>
      </c>
      <c r="B1199" s="1" t="str">
        <f ca="1">IFERROR(__xludf.DUMMYFUNCTION("""COMPUTED_VALUE"""),"India")</f>
        <v>India</v>
      </c>
      <c r="C1199" s="1">
        <f ca="1">IFERROR(__xludf.DUMMYFUNCTION("""COMPUTED_VALUE"""),700039)</f>
        <v>700039</v>
      </c>
      <c r="D1199" s="1" t="str">
        <f ca="1">IFERROR(__xludf.DUMMYFUNCTION("""COMPUTED_VALUE"""),"Male")</f>
        <v>Male</v>
      </c>
      <c r="E1199" s="1" t="str">
        <f ca="1">IFERROR(__xludf.DUMMYFUNCTION("""COMPUTED_VALUE"""),"People who have changed the world for better")</f>
        <v>People who have changed the world for better</v>
      </c>
      <c r="F1199" s="1" t="str">
        <f ca="1">IFERROR(__xludf.DUMMYFUNCTION("""COMPUTED_VALUE"""),"Yes, I will earn and do that")</f>
        <v>Yes, I will earn and do that</v>
      </c>
      <c r="G1199" s="1" t="str">
        <f ca="1">IFERROR(__xludf.DUMMYFUNCTION("""COMPUTED_VALUE"""),"Will work for 3 years or more")</f>
        <v>Will work for 3 years or more</v>
      </c>
      <c r="H1199" s="1" t="str">
        <f ca="1">IFERROR(__xludf.DUMMYFUNCTION("""COMPUTED_VALUE"""),"No")</f>
        <v>No</v>
      </c>
      <c r="I1199" s="1" t="str">
        <f ca="1">IFERROR(__xludf.DUMMYFUNCTION("""COMPUTED_VALUE"""),"Will NOT work for them")</f>
        <v>Will NOT work for them</v>
      </c>
      <c r="J1199" s="1">
        <f ca="1">IFERROR(__xludf.DUMMYFUNCTION("""COMPUTED_VALUE"""),2)</f>
        <v>2</v>
      </c>
      <c r="K1199" s="1" t="str">
        <f ca="1">IFERROR(__xludf.DUMMYFUNCTION("""COMPUTED_VALUE"""),"Every Day Office Environment")</f>
        <v>Every Day Office Environment</v>
      </c>
      <c r="L11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19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199" s="1" t="str">
        <f ca="1">IFERROR(__xludf.DUMMYFUNCTION("""COMPUTED_VALUE"""),"Business Operations in any organization, Manage and drive End-to-End Projects or Products, Build and develop a Team, I Want to sell things/Sales")</f>
        <v>Business Operations in any organization, Manage and drive End-to-End Projects or Products, Build and develop a Team, I Want to sell things/Sales</v>
      </c>
      <c r="O1199" s="1" t="str">
        <f ca="1">IFERROR(__xludf.DUMMYFUNCTION("""COMPUTED_VALUE"""),"Manager who explains what is expected, sets a goal and helps achieve it")</f>
        <v>Manager who explains what is expected, sets a goal and helps achieve it</v>
      </c>
      <c r="P1199" s="1" t="str">
        <f ca="1">IFERROR(__xludf.DUMMYFUNCTION("""COMPUTED_VALUE"""),"Work with more than 10 people in my team")</f>
        <v>Work with more than 10 people in my team</v>
      </c>
      <c r="Q1199" s="1" t="str">
        <f ca="1">IFERROR(__xludf.DUMMYFUNCTION("""COMPUTED_VALUE"""),"Yes")</f>
        <v>Yes</v>
      </c>
      <c r="R1199" s="1" t="str">
        <f ca="1">IFERROR(__xludf.DUMMYFUNCTION("""COMPUTED_VALUE"""),"Will work for 7 years or more")</f>
        <v>Will work for 7 years or more</v>
      </c>
      <c r="S1199" s="1"/>
    </row>
    <row r="1200" spans="1:19" ht="12.5" x14ac:dyDescent="0.25">
      <c r="A1200" s="2">
        <f ca="1">IFERROR(__xludf.DUMMYFUNCTION("""COMPUTED_VALUE"""),45044.4528585185)</f>
        <v>45044.452858518503</v>
      </c>
      <c r="B1200" s="1" t="str">
        <f ca="1">IFERROR(__xludf.DUMMYFUNCTION("""COMPUTED_VALUE"""),"India")</f>
        <v>India</v>
      </c>
      <c r="C1200" s="1">
        <f ca="1">IFERROR(__xludf.DUMMYFUNCTION("""COMPUTED_VALUE"""),563106)</f>
        <v>563106</v>
      </c>
      <c r="D1200" s="1" t="str">
        <f ca="1">IFERROR(__xludf.DUMMYFUNCTION("""COMPUTED_VALUE"""),"Male")</f>
        <v>Male</v>
      </c>
      <c r="E1200" s="1" t="str">
        <f ca="1">IFERROR(__xludf.DUMMYFUNCTION("""COMPUTED_VALUE"""),"Influencers who had successful careers")</f>
        <v>Influencers who had successful careers</v>
      </c>
      <c r="F1200" s="1" t="str">
        <f ca="1">IFERROR(__xludf.DUMMYFUNCTION("""COMPUTED_VALUE"""),"Yes, I will earn and do that")</f>
        <v>Yes, I will earn and do that</v>
      </c>
      <c r="G1200" s="1" t="str">
        <f ca="1">IFERROR(__xludf.DUMMYFUNCTION("""COMPUTED_VALUE"""),"This will be hard to do, but if it is the right company I would try")</f>
        <v>This will be hard to do, but if it is the right company I would try</v>
      </c>
      <c r="H1200" s="1" t="str">
        <f ca="1">IFERROR(__xludf.DUMMYFUNCTION("""COMPUTED_VALUE"""),"No")</f>
        <v>No</v>
      </c>
      <c r="I1200" s="1" t="str">
        <f ca="1">IFERROR(__xludf.DUMMYFUNCTION("""COMPUTED_VALUE"""),"Will NOT work for them")</f>
        <v>Will NOT work for them</v>
      </c>
      <c r="J1200" s="1">
        <f ca="1">IFERROR(__xludf.DUMMYFUNCTION("""COMPUTED_VALUE"""),1)</f>
        <v>1</v>
      </c>
      <c r="K1200" s="1" t="str">
        <f ca="1">IFERROR(__xludf.DUMMYFUNCTION("""COMPUTED_VALUE"""),"Hybrid Working Environment with less than 3 days a month at office")</f>
        <v>Hybrid Working Environment with less than 3 days a month at office</v>
      </c>
      <c r="L1200" s="1" t="str">
        <f ca="1">IFERROR(__xludf.DUMMYFUNCTION("""COMPUTED_VALUE"""),"Employer who rewards learning and enables that environment")</f>
        <v>Employer who rewards learning and enables that environment</v>
      </c>
      <c r="M120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00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1200" s="1" t="str">
        <f ca="1">IFERROR(__xludf.DUMMYFUNCTION("""COMPUTED_VALUE"""),"Manager who clearly describes what she/he needs")</f>
        <v>Manager who clearly describes what she/he needs</v>
      </c>
      <c r="P1200" s="1" t="str">
        <f ca="1">IFERROR(__xludf.DUMMYFUNCTION("""COMPUTED_VALUE"""),"Work with 2 to 3 people in my team")</f>
        <v>Work with 2 to 3 people in my team</v>
      </c>
      <c r="Q1200" s="1" t="str">
        <f ca="1">IFERROR(__xludf.DUMMYFUNCTION("""COMPUTED_VALUE"""),"No")</f>
        <v>No</v>
      </c>
      <c r="R1200" s="1" t="str">
        <f ca="1">IFERROR(__xludf.DUMMYFUNCTION("""COMPUTED_VALUE"""),"This will be hard to do, but if it is the right company I would try")</f>
        <v>This will be hard to do, but if it is the right company I would try</v>
      </c>
      <c r="S1200" s="1"/>
    </row>
    <row r="1201" spans="1:19" ht="12.5" x14ac:dyDescent="0.25">
      <c r="A1201" s="2">
        <f ca="1">IFERROR(__xludf.DUMMYFUNCTION("""COMPUTED_VALUE"""),45044.4545441782)</f>
        <v>45044.454544178203</v>
      </c>
      <c r="B1201" s="1" t="str">
        <f ca="1">IFERROR(__xludf.DUMMYFUNCTION("""COMPUTED_VALUE"""),"India")</f>
        <v>India</v>
      </c>
      <c r="C1201" s="1">
        <f ca="1">IFERROR(__xludf.DUMMYFUNCTION("""COMPUTED_VALUE"""),760001)</f>
        <v>760001</v>
      </c>
      <c r="D1201" s="1" t="str">
        <f ca="1">IFERROR(__xludf.DUMMYFUNCTION("""COMPUTED_VALUE"""),"Male")</f>
        <v>Male</v>
      </c>
      <c r="E1201" s="1" t="str">
        <f ca="1">IFERROR(__xludf.DUMMYFUNCTION("""COMPUTED_VALUE"""),"People who have changed the world for better")</f>
        <v>People who have changed the world for better</v>
      </c>
      <c r="F1201" s="1" t="str">
        <f ca="1">IFERROR(__xludf.DUMMYFUNCTION("""COMPUTED_VALUE"""),"Yes, I will earn and do that")</f>
        <v>Yes, I will earn and do that</v>
      </c>
      <c r="G1201" s="1" t="str">
        <f ca="1">IFERROR(__xludf.DUMMYFUNCTION("""COMPUTED_VALUE"""),"This will be hard to do, but if it is the right company I would try")</f>
        <v>This will be hard to do, but if it is the right company I would try</v>
      </c>
      <c r="H1201" s="1" t="str">
        <f ca="1">IFERROR(__xludf.DUMMYFUNCTION("""COMPUTED_VALUE"""),"No")</f>
        <v>No</v>
      </c>
      <c r="I1201" s="1" t="str">
        <f ca="1">IFERROR(__xludf.DUMMYFUNCTION("""COMPUTED_VALUE"""),"Will NOT work for them")</f>
        <v>Will NOT work for them</v>
      </c>
      <c r="J1201" s="1">
        <f ca="1">IFERROR(__xludf.DUMMYFUNCTION("""COMPUTED_VALUE"""),8)</f>
        <v>8</v>
      </c>
      <c r="K1201" s="1" t="str">
        <f ca="1">IFERROR(__xludf.DUMMYFUNCTION("""COMPUTED_VALUE"""),"Hybrid Working Environment with more than 15 days a month at office")</f>
        <v>Hybrid Working Environment with more than 15 days a month at office</v>
      </c>
      <c r="L12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0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201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1201" s="1" t="str">
        <f ca="1">IFERROR(__xludf.DUMMYFUNCTION("""COMPUTED_VALUE"""),"Manager who sets goal and helps me achieve it")</f>
        <v>Manager who sets goal and helps me achieve it</v>
      </c>
      <c r="P1201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201" s="1" t="str">
        <f ca="1">IFERROR(__xludf.DUMMYFUNCTION("""COMPUTED_VALUE"""),"Yes, I Understand this is gonna happen everywhere")</f>
        <v>Yes, I Understand this is gonna happen everywhere</v>
      </c>
      <c r="R1201" s="1" t="str">
        <f ca="1">IFERROR(__xludf.DUMMYFUNCTION("""COMPUTED_VALUE"""),"This will be hard to do, but if it is the right company I would try")</f>
        <v>This will be hard to do, but if it is the right company I would try</v>
      </c>
      <c r="S1201" s="1"/>
    </row>
    <row r="1202" spans="1:19" ht="12.5" x14ac:dyDescent="0.25">
      <c r="A1202" s="2">
        <f ca="1">IFERROR(__xludf.DUMMYFUNCTION("""COMPUTED_VALUE"""),45044.4572367013)</f>
        <v>45044.457236701302</v>
      </c>
      <c r="B1202" s="1" t="str">
        <f ca="1">IFERROR(__xludf.DUMMYFUNCTION("""COMPUTED_VALUE"""),"India")</f>
        <v>India</v>
      </c>
      <c r="C1202" s="1">
        <f ca="1">IFERROR(__xludf.DUMMYFUNCTION("""COMPUTED_VALUE"""),247001)</f>
        <v>247001</v>
      </c>
      <c r="D1202" s="1" t="str">
        <f ca="1">IFERROR(__xludf.DUMMYFUNCTION("""COMPUTED_VALUE"""),"Male")</f>
        <v>Male</v>
      </c>
      <c r="E1202" s="1" t="str">
        <f ca="1">IFERROR(__xludf.DUMMYFUNCTION("""COMPUTED_VALUE"""),"My Parents")</f>
        <v>My Parents</v>
      </c>
      <c r="F1202" s="1" t="str">
        <f ca="1">IFERROR(__xludf.DUMMYFUNCTION("""COMPUTED_VALUE"""),"No I would not be pursuing Higher Education outside of India")</f>
        <v>No I would not be pursuing Higher Education outside of India</v>
      </c>
      <c r="G1202" s="1" t="str">
        <f ca="1">IFERROR(__xludf.DUMMYFUNCTION("""COMPUTED_VALUE"""),"This will be hard to do, but if it is the right company I would try")</f>
        <v>This will be hard to do, but if it is the right company I would try</v>
      </c>
      <c r="H1202" s="1" t="str">
        <f ca="1">IFERROR(__xludf.DUMMYFUNCTION("""COMPUTED_VALUE"""),"No")</f>
        <v>No</v>
      </c>
      <c r="I1202" s="1" t="str">
        <f ca="1">IFERROR(__xludf.DUMMYFUNCTION("""COMPUTED_VALUE"""),"Will NOT work for them")</f>
        <v>Will NOT work for them</v>
      </c>
      <c r="J1202" s="1">
        <f ca="1">IFERROR(__xludf.DUMMYFUNCTION("""COMPUTED_VALUE"""),1)</f>
        <v>1</v>
      </c>
      <c r="K1202" s="1" t="str">
        <f ca="1">IFERROR(__xludf.DUMMYFUNCTION("""COMPUTED_VALUE"""),"Fully Remote with Options to travel as and when needed")</f>
        <v>Fully Remote with Options to travel as and when needed</v>
      </c>
      <c r="L12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0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202" s="1" t="str">
        <f ca="1">IFERROR(__xludf.DUMMYFUNCTION("""COMPUTED_VALUE"""),"Manage and drive End-to-End Projects or Products, Build and develop a Team, Look deeply into Data and generate insights, Work as a freelancer and do my thing my way")</f>
        <v>Manage and drive End-to-End Projects or Products, Build and develop a Team, Look deeply into Data and generate insights, Work as a freelancer and do my thing my way</v>
      </c>
      <c r="O12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202" s="1" t="str">
        <f ca="1">IFERROR(__xludf.DUMMYFUNCTION("""COMPUTED_VALUE"""),"Work with 2 to 3 people in my team")</f>
        <v>Work with 2 to 3 people in my team</v>
      </c>
      <c r="Q1202" s="1" t="str">
        <f ca="1">IFERROR(__xludf.DUMMYFUNCTION("""COMPUTED_VALUE"""),"No")</f>
        <v>No</v>
      </c>
      <c r="R1202" s="1" t="str">
        <f ca="1">IFERROR(__xludf.DUMMYFUNCTION("""COMPUTED_VALUE"""),"This will be hard to do, but if it is the right company I would try")</f>
        <v>This will be hard to do, but if it is the right company I would try</v>
      </c>
      <c r="S1202" s="1"/>
    </row>
    <row r="1203" spans="1:19" ht="12.5" x14ac:dyDescent="0.25">
      <c r="A1203" s="2">
        <f ca="1">IFERROR(__xludf.DUMMYFUNCTION("""COMPUTED_VALUE"""),45044.4576209259)</f>
        <v>45044.457620925903</v>
      </c>
      <c r="B1203" s="1" t="str">
        <f ca="1">IFERROR(__xludf.DUMMYFUNCTION("""COMPUTED_VALUE"""),"India")</f>
        <v>India</v>
      </c>
      <c r="C1203" s="1">
        <f ca="1">IFERROR(__xludf.DUMMYFUNCTION("""COMPUTED_VALUE"""),208001)</f>
        <v>208001</v>
      </c>
      <c r="D1203" s="1" t="str">
        <f ca="1">IFERROR(__xludf.DUMMYFUNCTION("""COMPUTED_VALUE"""),"Female")</f>
        <v>Female</v>
      </c>
      <c r="E1203" s="1" t="str">
        <f ca="1">IFERROR(__xludf.DUMMYFUNCTION("""COMPUTED_VALUE"""),"Influencers who had successful careers")</f>
        <v>Influencers who had successful careers</v>
      </c>
      <c r="F1203" s="1" t="str">
        <f ca="1">IFERROR(__xludf.DUMMYFUNCTION("""COMPUTED_VALUE"""),"No I would not be pursuing Higher Education outside of India")</f>
        <v>No I would not be pursuing Higher Education outside of India</v>
      </c>
      <c r="G1203" s="1" t="str">
        <f ca="1">IFERROR(__xludf.DUMMYFUNCTION("""COMPUTED_VALUE"""),"Will work for 3 years or more")</f>
        <v>Will work for 3 years or more</v>
      </c>
      <c r="H1203" s="1" t="str">
        <f ca="1">IFERROR(__xludf.DUMMYFUNCTION("""COMPUTED_VALUE"""),"No")</f>
        <v>No</v>
      </c>
      <c r="I1203" s="1" t="str">
        <f ca="1">IFERROR(__xludf.DUMMYFUNCTION("""COMPUTED_VALUE"""),"Will NOT work for them")</f>
        <v>Will NOT work for them</v>
      </c>
      <c r="J1203" s="1">
        <f ca="1">IFERROR(__xludf.DUMMYFUNCTION("""COMPUTED_VALUE"""),3)</f>
        <v>3</v>
      </c>
      <c r="K1203" s="1" t="str">
        <f ca="1">IFERROR(__xludf.DUMMYFUNCTION("""COMPUTED_VALUE"""),"Hybrid Working Environment with more than 15 days a month at office")</f>
        <v>Hybrid Working Environment with more than 15 days a month at office</v>
      </c>
      <c r="L12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03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203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203" s="1" t="str">
        <f ca="1">IFERROR(__xludf.DUMMYFUNCTION("""COMPUTED_VALUE"""),"Manager who explains what is expected, sets a goal and helps achieve it")</f>
        <v>Manager who explains what is expected, sets a goal and helps achieve it</v>
      </c>
      <c r="P1203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1203" s="1" t="str">
        <f ca="1">IFERROR(__xludf.DUMMYFUNCTION("""COMPUTED_VALUE"""),"Yes, I Understand this is gonna happen everywhere")</f>
        <v>Yes, I Understand this is gonna happen everywhere</v>
      </c>
      <c r="R1203" s="1" t="str">
        <f ca="1">IFERROR(__xludf.DUMMYFUNCTION("""COMPUTED_VALUE"""),"This will be hard to do, but if it is the right company I would try")</f>
        <v>This will be hard to do, but if it is the right company I would try</v>
      </c>
      <c r="S1203" s="1"/>
    </row>
    <row r="1204" spans="1:19" ht="12.5" x14ac:dyDescent="0.25">
      <c r="A1204" s="2">
        <f ca="1">IFERROR(__xludf.DUMMYFUNCTION("""COMPUTED_VALUE"""),45044.4586819444)</f>
        <v>45044.458681944401</v>
      </c>
      <c r="B1204" s="1" t="str">
        <f ca="1">IFERROR(__xludf.DUMMYFUNCTION("""COMPUTED_VALUE"""),"India")</f>
        <v>India</v>
      </c>
      <c r="C1204" s="1">
        <f ca="1">IFERROR(__xludf.DUMMYFUNCTION("""COMPUTED_VALUE"""),534002)</f>
        <v>534002</v>
      </c>
      <c r="D1204" s="1" t="str">
        <f ca="1">IFERROR(__xludf.DUMMYFUNCTION("""COMPUTED_VALUE"""),"Female")</f>
        <v>Female</v>
      </c>
      <c r="E1204" s="1" t="str">
        <f ca="1">IFERROR(__xludf.DUMMYFUNCTION("""COMPUTED_VALUE"""),"My Parents")</f>
        <v>My Parents</v>
      </c>
      <c r="F1204" s="1" t="str">
        <f ca="1">IFERROR(__xludf.DUMMYFUNCTION("""COMPUTED_VALUE"""),"Yes, I will earn and do that")</f>
        <v>Yes, I will earn and do that</v>
      </c>
      <c r="G1204" s="1" t="str">
        <f ca="1">IFERROR(__xludf.DUMMYFUNCTION("""COMPUTED_VALUE"""),"This will be hard to do, but if it is the right company I would try")</f>
        <v>This will be hard to do, but if it is the right company I would try</v>
      </c>
      <c r="H1204" s="1" t="str">
        <f ca="1">IFERROR(__xludf.DUMMYFUNCTION("""COMPUTED_VALUE"""),"Yes")</f>
        <v>Yes</v>
      </c>
      <c r="I1204" s="1" t="str">
        <f ca="1">IFERROR(__xludf.DUMMYFUNCTION("""COMPUTED_VALUE"""),"Will NOT work for them")</f>
        <v>Will NOT work for them</v>
      </c>
      <c r="J1204" s="1">
        <f ca="1">IFERROR(__xludf.DUMMYFUNCTION("""COMPUTED_VALUE"""),3)</f>
        <v>3</v>
      </c>
      <c r="K1204" s="1" t="str">
        <f ca="1">IFERROR(__xludf.DUMMYFUNCTION("""COMPUTED_VALUE"""),"Hybrid Working Environment with more than 15 days a month at office")</f>
        <v>Hybrid Working Environment with more than 15 days a month at office</v>
      </c>
      <c r="L1204" s="1" t="str">
        <f ca="1">IFERROR(__xludf.DUMMYFUNCTION("""COMPUTED_VALUE"""),"Employer who appreciates learning and enables that environment")</f>
        <v>Employer who appreciates learning and enables that environment</v>
      </c>
      <c r="M120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04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1204" s="1" t="str">
        <f ca="1">IFERROR(__xludf.DUMMYFUNCTION("""COMPUTED_VALUE"""),"Manager who sets goal and helps me achieve it")</f>
        <v>Manager who sets goal and helps me achieve it</v>
      </c>
      <c r="P1204" s="1" t="str">
        <f ca="1">IFERROR(__xludf.DUMMYFUNCTION("""COMPUTED_VALUE"""),"Work with 2 to 3 people in my team")</f>
        <v>Work with 2 to 3 people in my team</v>
      </c>
      <c r="Q1204" s="1" t="str">
        <f ca="1">IFERROR(__xludf.DUMMYFUNCTION("""COMPUTED_VALUE"""),"Yes, I Understand this is gonna happen everywhere")</f>
        <v>Yes, I Understand this is gonna happen everywhere</v>
      </c>
      <c r="R1204" s="1" t="str">
        <f ca="1">IFERROR(__xludf.DUMMYFUNCTION("""COMPUTED_VALUE"""),"This will be hard to do, but if it is the right company I would try")</f>
        <v>This will be hard to do, but if it is the right company I would try</v>
      </c>
      <c r="S1204" s="1"/>
    </row>
    <row r="1205" spans="1:19" ht="12.5" x14ac:dyDescent="0.25">
      <c r="A1205" s="2">
        <f ca="1">IFERROR(__xludf.DUMMYFUNCTION("""COMPUTED_VALUE"""),45044.4587421064)</f>
        <v>45044.458742106399</v>
      </c>
      <c r="B1205" s="1" t="str">
        <f ca="1">IFERROR(__xludf.DUMMYFUNCTION("""COMPUTED_VALUE"""),"India")</f>
        <v>India</v>
      </c>
      <c r="C1205" s="1">
        <f ca="1">IFERROR(__xludf.DUMMYFUNCTION("""COMPUTED_VALUE"""),500018)</f>
        <v>500018</v>
      </c>
      <c r="D1205" s="1" t="str">
        <f ca="1">IFERROR(__xludf.DUMMYFUNCTION("""COMPUTED_VALUE"""),"Male")</f>
        <v>Male</v>
      </c>
      <c r="E1205" s="1" t="str">
        <f ca="1">IFERROR(__xludf.DUMMYFUNCTION("""COMPUTED_VALUE"""),"My Parents")</f>
        <v>My Parents</v>
      </c>
      <c r="F1205" s="1" t="str">
        <f ca="1">IFERROR(__xludf.DUMMYFUNCTION("""COMPUTED_VALUE"""),"No, But if someone could bare the cost I will")</f>
        <v>No, But if someone could bare the cost I will</v>
      </c>
      <c r="G1205" s="1" t="str">
        <f ca="1">IFERROR(__xludf.DUMMYFUNCTION("""COMPUTED_VALUE"""),"This will be hard to do, but if it is the right company I would try")</f>
        <v>This will be hard to do, but if it is the right company I would try</v>
      </c>
      <c r="H1205" s="1" t="str">
        <f ca="1">IFERROR(__xludf.DUMMYFUNCTION("""COMPUTED_VALUE"""),"No")</f>
        <v>No</v>
      </c>
      <c r="I1205" s="1" t="str">
        <f ca="1">IFERROR(__xludf.DUMMYFUNCTION("""COMPUTED_VALUE"""),"Will NOT work for them")</f>
        <v>Will NOT work for them</v>
      </c>
      <c r="J1205" s="1">
        <f ca="1">IFERROR(__xludf.DUMMYFUNCTION("""COMPUTED_VALUE"""),7)</f>
        <v>7</v>
      </c>
      <c r="K1205" s="1" t="str">
        <f ca="1">IFERROR(__xludf.DUMMYFUNCTION("""COMPUTED_VALUE"""),"Hybrid Working Environment with less than 3 days a month at office")</f>
        <v>Hybrid Working Environment with less than 3 days a month at office</v>
      </c>
      <c r="L1205" s="1" t="str">
        <f ca="1">IFERROR(__xludf.DUMMYFUNCTION("""COMPUTED_VALUE"""),"Employer who appreciates learning and enables that environment")</f>
        <v>Employer who appreciates learning and enables that environment</v>
      </c>
      <c r="M120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205" s="1" t="str">
        <f ca="1">IFERROR(__xludf.DUMMYFUNCTION("""COMPUTED_VALUE"""),"Business Operations in any organization, Work as a freelancer and do my thing my way, Become a content Creator in some platform, Entrepreneur or Start Up")</f>
        <v>Business Operations in any organization, Work as a freelancer and do my thing my way, Become a content Creator in some platform, Entrepreneur or Start Up</v>
      </c>
      <c r="O1205" s="1" t="str">
        <f ca="1">IFERROR(__xludf.DUMMYFUNCTION("""COMPUTED_VALUE"""),"Manager who explains what is expected, sets a goal and helps achieve it")</f>
        <v>Manager who explains what is expected, sets a goal and helps achieve it</v>
      </c>
      <c r="P1205" s="1" t="str">
        <f ca="1">IFERROR(__xludf.DUMMYFUNCTION("""COMPUTED_VALUE"""),"Work with 5 to 6 people in my team")</f>
        <v>Work with 5 to 6 people in my team</v>
      </c>
      <c r="Q1205" s="1" t="str">
        <f ca="1">IFERROR(__xludf.DUMMYFUNCTION("""COMPUTED_VALUE"""),"Yes, I Understand this is gonna happen everywhere")</f>
        <v>Yes, I Understand this is gonna happen everywhere</v>
      </c>
      <c r="R1205" s="1" t="str">
        <f ca="1">IFERROR(__xludf.DUMMYFUNCTION("""COMPUTED_VALUE"""),"This will be hard to do, but if it is the right company I would try")</f>
        <v>This will be hard to do, but if it is the right company I would try</v>
      </c>
      <c r="S1205" s="1"/>
    </row>
    <row r="1206" spans="1:19" ht="12.5" x14ac:dyDescent="0.25">
      <c r="A1206" s="2">
        <f ca="1">IFERROR(__xludf.DUMMYFUNCTION("""COMPUTED_VALUE"""),45044.4609335879)</f>
        <v>45044.460933587899</v>
      </c>
      <c r="B1206" s="1" t="str">
        <f ca="1">IFERROR(__xludf.DUMMYFUNCTION("""COMPUTED_VALUE"""),"India")</f>
        <v>India</v>
      </c>
      <c r="C1206" s="1">
        <f ca="1">IFERROR(__xludf.DUMMYFUNCTION("""COMPUTED_VALUE"""),530001)</f>
        <v>530001</v>
      </c>
      <c r="D1206" s="1" t="str">
        <f ca="1">IFERROR(__xludf.DUMMYFUNCTION("""COMPUTED_VALUE"""),"Female")</f>
        <v>Female</v>
      </c>
      <c r="E1206" s="1" t="str">
        <f ca="1">IFERROR(__xludf.DUMMYFUNCTION("""COMPUTED_VALUE"""),"People from my circle, but not family members")</f>
        <v>People from my circle, but not family members</v>
      </c>
      <c r="F1206" s="1" t="str">
        <f ca="1">IFERROR(__xludf.DUMMYFUNCTION("""COMPUTED_VALUE"""),"No I would not be pursuing Higher Education outside of India")</f>
        <v>No I would not be pursuing Higher Education outside of India</v>
      </c>
      <c r="G1206" s="1" t="str">
        <f ca="1">IFERROR(__xludf.DUMMYFUNCTION("""COMPUTED_VALUE"""),"Will work for 3 years or more")</f>
        <v>Will work for 3 years or more</v>
      </c>
      <c r="H1206" s="1" t="str">
        <f ca="1">IFERROR(__xludf.DUMMYFUNCTION("""COMPUTED_VALUE"""),"No")</f>
        <v>No</v>
      </c>
      <c r="I1206" s="1" t="str">
        <f ca="1">IFERROR(__xludf.DUMMYFUNCTION("""COMPUTED_VALUE"""),"Will NOT work for them")</f>
        <v>Will NOT work for them</v>
      </c>
      <c r="J1206" s="1">
        <f ca="1">IFERROR(__xludf.DUMMYFUNCTION("""COMPUTED_VALUE"""),7)</f>
        <v>7</v>
      </c>
      <c r="K1206" s="1" t="str">
        <f ca="1">IFERROR(__xludf.DUMMYFUNCTION("""COMPUTED_VALUE"""),"Hybrid Working Environment with more than 15 days a month at office")</f>
        <v>Hybrid Working Environment with more than 15 days a month at office</v>
      </c>
      <c r="L12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0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206" s="1" t="str">
        <f ca="1">IFERROR(__xludf.DUMMYFUNCTION("""COMPUTED_VALUE"""),"Manage and drive End-to-End Projects or Products, Build and develop a Team, Work as a freelancer and do my thing my way, Entrepreneur or Start Up")</f>
        <v>Manage and drive End-to-End Projects or Products, Build and develop a Team, Work as a freelancer and do my thing my way, Entrepreneur or Start Up</v>
      </c>
      <c r="O1206" s="1" t="str">
        <f ca="1">IFERROR(__xludf.DUMMYFUNCTION("""COMPUTED_VALUE"""),"Manager who explains what is expected, sets a goal and helps achieve it")</f>
        <v>Manager who explains what is expected, sets a goal and helps achieve it</v>
      </c>
      <c r="P1206" s="1" t="str">
        <f ca="1">IFERROR(__xludf.DUMMYFUNCTION("""COMPUTED_VALUE"""),"Work with more than 10 people in my team")</f>
        <v>Work with more than 10 people in my team</v>
      </c>
      <c r="Q1206" s="1" t="str">
        <f ca="1">IFERROR(__xludf.DUMMYFUNCTION("""COMPUTED_VALUE"""),"Yes, I Understand this is gonna happen everywhere")</f>
        <v>Yes, I Understand this is gonna happen everywhere</v>
      </c>
      <c r="R1206" s="1" t="str">
        <f ca="1">IFERROR(__xludf.DUMMYFUNCTION("""COMPUTED_VALUE"""),"This will be hard to do, but if it is the right company I would try")</f>
        <v>This will be hard to do, but if it is the right company I would try</v>
      </c>
      <c r="S1206" s="1"/>
    </row>
    <row r="1207" spans="1:19" ht="12.5" x14ac:dyDescent="0.25">
      <c r="A1207" s="2">
        <f ca="1">IFERROR(__xludf.DUMMYFUNCTION("""COMPUTED_VALUE"""),45044.4635205208)</f>
        <v>45044.463520520803</v>
      </c>
      <c r="B1207" s="1" t="str">
        <f ca="1">IFERROR(__xludf.DUMMYFUNCTION("""COMPUTED_VALUE"""),"India")</f>
        <v>India</v>
      </c>
      <c r="C1207" s="1">
        <f ca="1">IFERROR(__xludf.DUMMYFUNCTION("""COMPUTED_VALUE"""),533201)</f>
        <v>533201</v>
      </c>
      <c r="D1207" s="1" t="str">
        <f ca="1">IFERROR(__xludf.DUMMYFUNCTION("""COMPUTED_VALUE"""),"Male")</f>
        <v>Male</v>
      </c>
      <c r="E1207" s="1" t="str">
        <f ca="1">IFERROR(__xludf.DUMMYFUNCTION("""COMPUTED_VALUE"""),"My Parents")</f>
        <v>My Parents</v>
      </c>
      <c r="F1207" s="1" t="str">
        <f ca="1">IFERROR(__xludf.DUMMYFUNCTION("""COMPUTED_VALUE"""),"No I would not be pursuing Higher Education outside of India")</f>
        <v>No I would not be pursuing Higher Education outside of India</v>
      </c>
      <c r="G1207" s="1" t="str">
        <f ca="1">IFERROR(__xludf.DUMMYFUNCTION("""COMPUTED_VALUE"""),"Will work for 3 years or more")</f>
        <v>Will work for 3 years or more</v>
      </c>
      <c r="H1207" s="1" t="str">
        <f ca="1">IFERROR(__xludf.DUMMYFUNCTION("""COMPUTED_VALUE"""),"No")</f>
        <v>No</v>
      </c>
      <c r="I1207" s="1" t="str">
        <f ca="1">IFERROR(__xludf.DUMMYFUNCTION("""COMPUTED_VALUE"""),"Will NOT work for them")</f>
        <v>Will NOT work for them</v>
      </c>
      <c r="J1207" s="1">
        <f ca="1">IFERROR(__xludf.DUMMYFUNCTION("""COMPUTED_VALUE"""),6)</f>
        <v>6</v>
      </c>
      <c r="K1207" s="1" t="str">
        <f ca="1">IFERROR(__xludf.DUMMYFUNCTION("""COMPUTED_VALUE"""),"Hybrid Working Environment with more than 15 days a month at office")</f>
        <v>Hybrid Working Environment with more than 15 days a month at office</v>
      </c>
      <c r="L1207" s="1" t="str">
        <f ca="1">IFERROR(__xludf.DUMMYFUNCTION("""COMPUTED_VALUE"""),"Employer who appreciates learning and enables that environment")</f>
        <v>Employer who appreciates learning and enables that environment</v>
      </c>
      <c r="M120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207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1207" s="1" t="str">
        <f ca="1">IFERROR(__xludf.DUMMYFUNCTION("""COMPUTED_VALUE"""),"Manager who sets goal and helps me achieve it")</f>
        <v>Manager who sets goal and helps me achieve it</v>
      </c>
      <c r="P1207" s="1" t="str">
        <f ca="1">IFERROR(__xludf.DUMMYFUNCTION("""COMPUTED_VALUE"""),"Work with 5 to 6 people in my team")</f>
        <v>Work with 5 to 6 people in my team</v>
      </c>
      <c r="Q1207" s="1" t="str">
        <f ca="1">IFERROR(__xludf.DUMMYFUNCTION("""COMPUTED_VALUE"""),"No")</f>
        <v>No</v>
      </c>
      <c r="R1207" s="1" t="str">
        <f ca="1">IFERROR(__xludf.DUMMYFUNCTION("""COMPUTED_VALUE"""),"This will be hard to do, but if it is the right company I would try")</f>
        <v>This will be hard to do, but if it is the right company I would try</v>
      </c>
      <c r="S1207" s="1"/>
    </row>
    <row r="1208" spans="1:19" ht="12.5" x14ac:dyDescent="0.25">
      <c r="A1208" s="2">
        <f ca="1">IFERROR(__xludf.DUMMYFUNCTION("""COMPUTED_VALUE"""),45044.4636036342)</f>
        <v>45044.463603634198</v>
      </c>
      <c r="B1208" s="1" t="str">
        <f ca="1">IFERROR(__xludf.DUMMYFUNCTION("""COMPUTED_VALUE"""),"India")</f>
        <v>India</v>
      </c>
      <c r="C1208" s="1">
        <f ca="1">IFERROR(__xludf.DUMMYFUNCTION("""COMPUTED_VALUE"""),826001)</f>
        <v>826001</v>
      </c>
      <c r="D1208" s="1" t="str">
        <f ca="1">IFERROR(__xludf.DUMMYFUNCTION("""COMPUTED_VALUE"""),"Female")</f>
        <v>Female</v>
      </c>
      <c r="E1208" s="1" t="str">
        <f ca="1">IFERROR(__xludf.DUMMYFUNCTION("""COMPUTED_VALUE"""),"Influencers who had successful careers")</f>
        <v>Influencers who had successful careers</v>
      </c>
      <c r="F1208" s="1" t="str">
        <f ca="1">IFERROR(__xludf.DUMMYFUNCTION("""COMPUTED_VALUE"""),"No I would not be pursuing Higher Education outside of India")</f>
        <v>No I would not be pursuing Higher Education outside of India</v>
      </c>
      <c r="G1208" s="1" t="str">
        <f ca="1">IFERROR(__xludf.DUMMYFUNCTION("""COMPUTED_VALUE"""),"This will be hard to do, but if it is the right company I would try")</f>
        <v>This will be hard to do, but if it is the right company I would try</v>
      </c>
      <c r="H1208" s="1" t="str">
        <f ca="1">IFERROR(__xludf.DUMMYFUNCTION("""COMPUTED_VALUE"""),"Yes")</f>
        <v>Yes</v>
      </c>
      <c r="I1208" s="1" t="str">
        <f ca="1">IFERROR(__xludf.DUMMYFUNCTION("""COMPUTED_VALUE"""),"Will NOT work for them")</f>
        <v>Will NOT work for them</v>
      </c>
      <c r="J1208" s="1">
        <f ca="1">IFERROR(__xludf.DUMMYFUNCTION("""COMPUTED_VALUE"""),9)</f>
        <v>9</v>
      </c>
      <c r="K1208" s="1" t="str">
        <f ca="1">IFERROR(__xludf.DUMMYFUNCTION("""COMPUTED_VALUE"""),"Hybrid Working Environment with more than 15 days a month at office")</f>
        <v>Hybrid Working Environment with more than 15 days a month at office</v>
      </c>
      <c r="L1208" s="1" t="str">
        <f ca="1">IFERROR(__xludf.DUMMYFUNCTION("""COMPUTED_VALUE"""),"Employer who appreciates learning and enables that environment")</f>
        <v>Employer who appreciates learning and enables that environment</v>
      </c>
      <c r="M120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208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1208" s="1" t="str">
        <f ca="1">IFERROR(__xludf.DUMMYFUNCTION("""COMPUTED_VALUE"""),"Manager who clearly describes what she/he needs")</f>
        <v>Manager who clearly describes what she/he needs</v>
      </c>
      <c r="P1208" s="1" t="str">
        <f ca="1">IFERROR(__xludf.DUMMYFUNCTION("""COMPUTED_VALUE"""),"Work alone, Work with 2 to 3 people in my team")</f>
        <v>Work alone, Work with 2 to 3 people in my team</v>
      </c>
      <c r="Q1208" s="1" t="str">
        <f ca="1">IFERROR(__xludf.DUMMYFUNCTION("""COMPUTED_VALUE"""),"Yes, I Understand this is gonna happen everywhere")</f>
        <v>Yes, I Understand this is gonna happen everywhere</v>
      </c>
      <c r="R1208" s="1" t="str">
        <f ca="1">IFERROR(__xludf.DUMMYFUNCTION("""COMPUTED_VALUE"""),"This will be hard to do, but if it is the right company I would try")</f>
        <v>This will be hard to do, but if it is the right company I would try</v>
      </c>
      <c r="S1208" s="1"/>
    </row>
    <row r="1209" spans="1:19" ht="12.5" x14ac:dyDescent="0.25">
      <c r="A1209" s="2">
        <f ca="1">IFERROR(__xludf.DUMMYFUNCTION("""COMPUTED_VALUE"""),45044.4669670949)</f>
        <v>45044.466967094901</v>
      </c>
      <c r="B1209" s="1" t="str">
        <f ca="1">IFERROR(__xludf.DUMMYFUNCTION("""COMPUTED_VALUE"""),"India")</f>
        <v>India</v>
      </c>
      <c r="C1209" s="1">
        <f ca="1">IFERROR(__xludf.DUMMYFUNCTION("""COMPUTED_VALUE"""),533211)</f>
        <v>533211</v>
      </c>
      <c r="D1209" s="1" t="str">
        <f ca="1">IFERROR(__xludf.DUMMYFUNCTION("""COMPUTED_VALUE"""),"Male")</f>
        <v>Male</v>
      </c>
      <c r="E1209" s="1" t="str">
        <f ca="1">IFERROR(__xludf.DUMMYFUNCTION("""COMPUTED_VALUE"""),"My Parents")</f>
        <v>My Parents</v>
      </c>
      <c r="F1209" s="1" t="str">
        <f ca="1">IFERROR(__xludf.DUMMYFUNCTION("""COMPUTED_VALUE"""),"No I would not be pursuing Higher Education outside of India")</f>
        <v>No I would not be pursuing Higher Education outside of India</v>
      </c>
      <c r="G1209" s="1" t="str">
        <f ca="1">IFERROR(__xludf.DUMMYFUNCTION("""COMPUTED_VALUE"""),"Will work for 3 years or more")</f>
        <v>Will work for 3 years or more</v>
      </c>
      <c r="H1209" s="1" t="str">
        <f ca="1">IFERROR(__xludf.DUMMYFUNCTION("""COMPUTED_VALUE"""),"Yes")</f>
        <v>Yes</v>
      </c>
      <c r="I1209" s="1" t="str">
        <f ca="1">IFERROR(__xludf.DUMMYFUNCTION("""COMPUTED_VALUE"""),"Will work for them")</f>
        <v>Will work for them</v>
      </c>
      <c r="J1209" s="1">
        <f ca="1">IFERROR(__xludf.DUMMYFUNCTION("""COMPUTED_VALUE"""),10)</f>
        <v>10</v>
      </c>
      <c r="K1209" s="1" t="str">
        <f ca="1">IFERROR(__xludf.DUMMYFUNCTION("""COMPUTED_VALUE"""),"Every Day Office Environment")</f>
        <v>Every Day Office Environment</v>
      </c>
      <c r="L1209" s="1" t="str">
        <f ca="1">IFERROR(__xludf.DUMMYFUNCTION("""COMPUTED_VALUE"""),"Employer who rewards learning and enables that environment")</f>
        <v>Employer who rewards learning and enables that environment</v>
      </c>
      <c r="M1209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1209" s="1" t="str">
        <f ca="1">IFERROR(__xludf.DUMMYFUNCTION("""COMPUTED_VALUE"""),"Design and Creative strategy in any company, Work as a freelancer and do my thing my way, I Want to sell things/Sales, Manufacturing / Oil and Gas/ Construction / Hard Physical Work related")</f>
        <v>Design and Creative strategy in any company, Work as a freelancer and do my thing my way, I Want to sell things/Sales, Manufacturing / Oil and Gas/ Construction / Hard Physical Work related</v>
      </c>
      <c r="O1209" s="1" t="str">
        <f ca="1">IFERROR(__xludf.DUMMYFUNCTION("""COMPUTED_VALUE"""),"Manager who sets targets and expects me to achieve it")</f>
        <v>Manager who sets targets and expects me to achieve it</v>
      </c>
      <c r="P1209" s="1" t="str">
        <f ca="1">IFERROR(__xludf.DUMMYFUNCTION("""COMPUTED_VALUE"""),"Work with more than 10 people in my team")</f>
        <v>Work with more than 10 people in my team</v>
      </c>
      <c r="Q1209" s="1" t="str">
        <f ca="1">IFERROR(__xludf.DUMMYFUNCTION("""COMPUTED_VALUE"""),"Yes, I Understand this is gonna happen everywhere")</f>
        <v>Yes, I Understand this is gonna happen everywhere</v>
      </c>
      <c r="R1209" s="1" t="str">
        <f ca="1">IFERROR(__xludf.DUMMYFUNCTION("""COMPUTED_VALUE"""),"Will work for 7 years or more")</f>
        <v>Will work for 7 years or more</v>
      </c>
      <c r="S1209" s="1"/>
    </row>
    <row r="1210" spans="1:19" ht="12.5" x14ac:dyDescent="0.25">
      <c r="A1210" s="2">
        <f ca="1">IFERROR(__xludf.DUMMYFUNCTION("""COMPUTED_VALUE"""),45044.4676823611)</f>
        <v>45044.467682361101</v>
      </c>
      <c r="B1210" s="1" t="str">
        <f ca="1">IFERROR(__xludf.DUMMYFUNCTION("""COMPUTED_VALUE"""),"India")</f>
        <v>India</v>
      </c>
      <c r="C1210" s="1">
        <f ca="1">IFERROR(__xludf.DUMMYFUNCTION("""COMPUTED_VALUE"""),560047)</f>
        <v>560047</v>
      </c>
      <c r="D1210" s="1" t="str">
        <f ca="1">IFERROR(__xludf.DUMMYFUNCTION("""COMPUTED_VALUE"""),"Female")</f>
        <v>Female</v>
      </c>
      <c r="E1210" s="1" t="str">
        <f ca="1">IFERROR(__xludf.DUMMYFUNCTION("""COMPUTED_VALUE"""),"My Parents")</f>
        <v>My Parents</v>
      </c>
      <c r="F1210" s="1" t="str">
        <f ca="1">IFERROR(__xludf.DUMMYFUNCTION("""COMPUTED_VALUE"""),"Yes, I will earn and do that")</f>
        <v>Yes, I will earn and do that</v>
      </c>
      <c r="G1210" s="1" t="str">
        <f ca="1">IFERROR(__xludf.DUMMYFUNCTION("""COMPUTED_VALUE"""),"This will be hard to do, but if it is the right company I would try")</f>
        <v>This will be hard to do, but if it is the right company I would try</v>
      </c>
      <c r="H1210" s="1" t="str">
        <f ca="1">IFERROR(__xludf.DUMMYFUNCTION("""COMPUTED_VALUE"""),"Yes")</f>
        <v>Yes</v>
      </c>
      <c r="I1210" s="1" t="str">
        <f ca="1">IFERROR(__xludf.DUMMYFUNCTION("""COMPUTED_VALUE"""),"Will work for them")</f>
        <v>Will work for them</v>
      </c>
      <c r="J1210" s="1">
        <f ca="1">IFERROR(__xludf.DUMMYFUNCTION("""COMPUTED_VALUE"""),10)</f>
        <v>10</v>
      </c>
      <c r="K1210" s="1" t="str">
        <f ca="1">IFERROR(__xludf.DUMMYFUNCTION("""COMPUTED_VALUE"""),"Hybrid Working Environment with less than 3 days a month at office")</f>
        <v>Hybrid Working Environment with less than 3 days a month at office</v>
      </c>
      <c r="L1210" s="1" t="str">
        <f ca="1">IFERROR(__xludf.DUMMYFUNCTION("""COMPUTED_VALUE"""),"Employer who rewards learning and enables that environment")</f>
        <v>Employer who rewards learning and enables that environment</v>
      </c>
      <c r="M121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210" s="1" t="str">
        <f ca="1">IFERROR(__xludf.DUMMYFUNCTION("""COMPUTED_VALUE"""),"Design and Creative strategy in any company, Teaching in any of the institutes/colleges/online or offline, Manage and drive End-to-End Projects or Products, Work as a freelancer and do my thing my way")</f>
        <v>Design and Creative strategy in any company, Teaching in any of the institutes/colleges/online or offline, Manage and drive End-to-End Projects or Products, Work as a freelancer and do my thing my way</v>
      </c>
      <c r="O1210" s="1" t="str">
        <f ca="1">IFERROR(__xludf.DUMMYFUNCTION("""COMPUTED_VALUE"""),"Manager who clearly describes what she/he needs")</f>
        <v>Manager who clearly describes what she/he needs</v>
      </c>
      <c r="P1210" s="1" t="str">
        <f ca="1">IFERROR(__xludf.DUMMYFUNCTION("""COMPUTED_VALUE"""),"Work with 2 to 3 people in my team")</f>
        <v>Work with 2 to 3 people in my team</v>
      </c>
      <c r="Q1210" s="1" t="str">
        <f ca="1">IFERROR(__xludf.DUMMYFUNCTION("""COMPUTED_VALUE"""),"Yes")</f>
        <v>Yes</v>
      </c>
      <c r="R1210" s="1" t="str">
        <f ca="1">IFERROR(__xludf.DUMMYFUNCTION("""COMPUTED_VALUE"""),"This will be hard to do, but if it is the right company I would try")</f>
        <v>This will be hard to do, but if it is the right company I would try</v>
      </c>
      <c r="S1210" s="1"/>
    </row>
    <row r="1211" spans="1:19" ht="12.5" x14ac:dyDescent="0.25">
      <c r="A1211" s="2">
        <f ca="1">IFERROR(__xludf.DUMMYFUNCTION("""COMPUTED_VALUE"""),45044.4686269791)</f>
        <v>45044.468626979098</v>
      </c>
      <c r="B1211" s="1" t="str">
        <f ca="1">IFERROR(__xludf.DUMMYFUNCTION("""COMPUTED_VALUE"""),"India")</f>
        <v>India</v>
      </c>
      <c r="C1211" s="1">
        <f ca="1">IFERROR(__xludf.DUMMYFUNCTION("""COMPUTED_VALUE"""),421302)</f>
        <v>421302</v>
      </c>
      <c r="D1211" s="1" t="str">
        <f ca="1">IFERROR(__xludf.DUMMYFUNCTION("""COMPUTED_VALUE"""),"Male")</f>
        <v>Male</v>
      </c>
      <c r="E1211" s="1" t="str">
        <f ca="1">IFERROR(__xludf.DUMMYFUNCTION("""COMPUTED_VALUE"""),"My Parents")</f>
        <v>My Parents</v>
      </c>
      <c r="F1211" s="1" t="str">
        <f ca="1">IFERROR(__xludf.DUMMYFUNCTION("""COMPUTED_VALUE"""),"No, But if someone could bare the cost I will")</f>
        <v>No, But if someone could bare the cost I will</v>
      </c>
      <c r="G1211" s="1" t="str">
        <f ca="1">IFERROR(__xludf.DUMMYFUNCTION("""COMPUTED_VALUE"""),"This will be hard to do, but if it is the right company I would try")</f>
        <v>This will be hard to do, but if it is the right company I would try</v>
      </c>
      <c r="H1211" s="1" t="str">
        <f ca="1">IFERROR(__xludf.DUMMYFUNCTION("""COMPUTED_VALUE"""),"No")</f>
        <v>No</v>
      </c>
      <c r="I1211" s="1" t="str">
        <f ca="1">IFERROR(__xludf.DUMMYFUNCTION("""COMPUTED_VALUE"""),"Will work for them")</f>
        <v>Will work for them</v>
      </c>
      <c r="J1211" s="1">
        <f ca="1">IFERROR(__xludf.DUMMYFUNCTION("""COMPUTED_VALUE"""),10)</f>
        <v>10</v>
      </c>
      <c r="K1211" s="1" t="str">
        <f ca="1">IFERROR(__xludf.DUMMYFUNCTION("""COMPUTED_VALUE"""),"Hybrid Working Environment with less than 3 days a month at office")</f>
        <v>Hybrid Working Environment with less than 3 days a month at office</v>
      </c>
      <c r="L1211" s="1" t="str">
        <f ca="1">IFERROR(__xludf.DUMMYFUNCTION("""COMPUTED_VALUE"""),"Employer who rewards learning and enables that environment")</f>
        <v>Employer who rewards learning and enables that environment</v>
      </c>
      <c r="M121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211" s="1" t="str">
        <f ca="1">IFERROR(__xludf.DUMMYFUNCTION("""COMPUTED_VALUE"""),"Teaching in any of the institutes/colleges/online or offline, Look deeply into Data and generate insights, Become a content Creator in some platform, I Want to sell things/Sales")</f>
        <v>Teaching in any of the institutes/colleges/online or offline, Look deeply into Data and generate insights, Become a content Creator in some platform, I Want to sell things/Sales</v>
      </c>
      <c r="O1211" s="1" t="str">
        <f ca="1">IFERROR(__xludf.DUMMYFUNCTION("""COMPUTED_VALUE"""),"Manager who explains what is expected, sets a goal and helps achieve it")</f>
        <v>Manager who explains what is expected, sets a goal and helps achieve it</v>
      </c>
      <c r="P1211" s="1" t="str">
        <f ca="1">IFERROR(__xludf.DUMMYFUNCTION("""COMPUTED_VALUE"""),"Work with 5 to 6 people in my team")</f>
        <v>Work with 5 to 6 people in my team</v>
      </c>
      <c r="Q1211" s="1" t="str">
        <f ca="1">IFERROR(__xludf.DUMMYFUNCTION("""COMPUTED_VALUE"""),"Yes, I Understand this is gonna happen everywhere")</f>
        <v>Yes, I Understand this is gonna happen everywhere</v>
      </c>
      <c r="R1211" s="1" t="str">
        <f ca="1">IFERROR(__xludf.DUMMYFUNCTION("""COMPUTED_VALUE"""),"This will be hard to do, but if it is the right company I would try")</f>
        <v>This will be hard to do, but if it is the right company I would try</v>
      </c>
      <c r="S1211" s="1"/>
    </row>
    <row r="1212" spans="1:19" ht="12.5" x14ac:dyDescent="0.25">
      <c r="A1212" s="2">
        <f ca="1">IFERROR(__xludf.DUMMYFUNCTION("""COMPUTED_VALUE"""),45044.469754537)</f>
        <v>45044.469754537</v>
      </c>
      <c r="B1212" s="1" t="str">
        <f ca="1">IFERROR(__xludf.DUMMYFUNCTION("""COMPUTED_VALUE"""),"India")</f>
        <v>India</v>
      </c>
      <c r="C1212" s="1">
        <f ca="1">IFERROR(__xludf.DUMMYFUNCTION("""COMPUTED_VALUE"""),395009)</f>
        <v>395009</v>
      </c>
      <c r="D1212" s="1" t="str">
        <f ca="1">IFERROR(__xludf.DUMMYFUNCTION("""COMPUTED_VALUE"""),"Female")</f>
        <v>Female</v>
      </c>
      <c r="E1212" s="1" t="str">
        <f ca="1">IFERROR(__xludf.DUMMYFUNCTION("""COMPUTED_VALUE"""),"My Parents")</f>
        <v>My Parents</v>
      </c>
      <c r="F1212" s="1" t="str">
        <f ca="1">IFERROR(__xludf.DUMMYFUNCTION("""COMPUTED_VALUE"""),"No I would not be pursuing Higher Education outside of India")</f>
        <v>No I would not be pursuing Higher Education outside of India</v>
      </c>
      <c r="G1212" s="1" t="str">
        <f ca="1">IFERROR(__xludf.DUMMYFUNCTION("""COMPUTED_VALUE"""),"Will work for 3 years or more")</f>
        <v>Will work for 3 years or more</v>
      </c>
      <c r="H1212" s="1" t="str">
        <f ca="1">IFERROR(__xludf.DUMMYFUNCTION("""COMPUTED_VALUE"""),"No")</f>
        <v>No</v>
      </c>
      <c r="I1212" s="1" t="str">
        <f ca="1">IFERROR(__xludf.DUMMYFUNCTION("""COMPUTED_VALUE"""),"Will NOT work for them")</f>
        <v>Will NOT work for them</v>
      </c>
      <c r="J1212" s="1">
        <f ca="1">IFERROR(__xludf.DUMMYFUNCTION("""COMPUTED_VALUE"""),4)</f>
        <v>4</v>
      </c>
      <c r="K1212" s="1" t="str">
        <f ca="1">IFERROR(__xludf.DUMMYFUNCTION("""COMPUTED_VALUE"""),"Hybrid Working Environment with less than 3 days a month at office")</f>
        <v>Hybrid Working Environment with less than 3 days a month at office</v>
      </c>
      <c r="L12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1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212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12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212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212" s="1" t="str">
        <f ca="1">IFERROR(__xludf.DUMMYFUNCTION("""COMPUTED_VALUE"""),"Yes, I Understand this is gonna happen everywhere")</f>
        <v>Yes, I Understand this is gonna happen everywhere</v>
      </c>
      <c r="R1212" s="1" t="str">
        <f ca="1">IFERROR(__xludf.DUMMYFUNCTION("""COMPUTED_VALUE"""),"This will be hard to do, but if it is the right company I would try")</f>
        <v>This will be hard to do, but if it is the right company I would try</v>
      </c>
      <c r="S1212" s="1"/>
    </row>
    <row r="1213" spans="1:19" ht="12.5" x14ac:dyDescent="0.25">
      <c r="A1213" s="2">
        <f ca="1">IFERROR(__xludf.DUMMYFUNCTION("""COMPUTED_VALUE"""),45044.4757331481)</f>
        <v>45044.475733148101</v>
      </c>
      <c r="B1213" s="1" t="str">
        <f ca="1">IFERROR(__xludf.DUMMYFUNCTION("""COMPUTED_VALUE"""),"India")</f>
        <v>India</v>
      </c>
      <c r="C1213" s="1">
        <f ca="1">IFERROR(__xludf.DUMMYFUNCTION("""COMPUTED_VALUE"""),500018)</f>
        <v>500018</v>
      </c>
      <c r="D1213" s="1" t="str">
        <f ca="1">IFERROR(__xludf.DUMMYFUNCTION("""COMPUTED_VALUE"""),"Female")</f>
        <v>Female</v>
      </c>
      <c r="E1213" s="1" t="str">
        <f ca="1">IFERROR(__xludf.DUMMYFUNCTION("""COMPUTED_VALUE"""),"My Parents")</f>
        <v>My Parents</v>
      </c>
      <c r="F1213" s="1" t="str">
        <f ca="1">IFERROR(__xludf.DUMMYFUNCTION("""COMPUTED_VALUE"""),"Yes, I will earn and do that")</f>
        <v>Yes, I will earn and do that</v>
      </c>
      <c r="G1213" s="1" t="str">
        <f ca="1">IFERROR(__xludf.DUMMYFUNCTION("""COMPUTED_VALUE"""),"This will be hard to do, but if it is the right company I would try")</f>
        <v>This will be hard to do, but if it is the right company I would try</v>
      </c>
      <c r="H1213" s="1" t="str">
        <f ca="1">IFERROR(__xludf.DUMMYFUNCTION("""COMPUTED_VALUE"""),"Yes")</f>
        <v>Yes</v>
      </c>
      <c r="I1213" s="1" t="str">
        <f ca="1">IFERROR(__xludf.DUMMYFUNCTION("""COMPUTED_VALUE"""),"Will NOT work for them")</f>
        <v>Will NOT work for them</v>
      </c>
      <c r="J1213" s="1">
        <f ca="1">IFERROR(__xludf.DUMMYFUNCTION("""COMPUTED_VALUE"""),2)</f>
        <v>2</v>
      </c>
      <c r="K1213" s="1" t="str">
        <f ca="1">IFERROR(__xludf.DUMMYFUNCTION("""COMPUTED_VALUE"""),"Hybrid Working Environment with more than 15 days a month at office")</f>
        <v>Hybrid Working Environment with more than 15 days a month at office</v>
      </c>
      <c r="L12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13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213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213" s="1" t="str">
        <f ca="1">IFERROR(__xludf.DUMMYFUNCTION("""COMPUTED_VALUE"""),"Manager who sets goal and helps me achieve it")</f>
        <v>Manager who sets goal and helps me achieve it</v>
      </c>
      <c r="P1213" s="1" t="str">
        <f ca="1">IFERROR(__xludf.DUMMYFUNCTION("""COMPUTED_VALUE"""),"Work with 7 to 10 or more people in my team")</f>
        <v>Work with 7 to 10 or more people in my team</v>
      </c>
      <c r="Q1213" s="1" t="str">
        <f ca="1">IFERROR(__xludf.DUMMYFUNCTION("""COMPUTED_VALUE"""),"Yes")</f>
        <v>Yes</v>
      </c>
      <c r="R1213" s="1" t="str">
        <f ca="1">IFERROR(__xludf.DUMMYFUNCTION("""COMPUTED_VALUE"""),"This will be hard to do, but if it is the right company I would try")</f>
        <v>This will be hard to do, but if it is the right company I would try</v>
      </c>
      <c r="S1213" s="1"/>
    </row>
    <row r="1214" spans="1:19" ht="12.5" x14ac:dyDescent="0.25">
      <c r="A1214" s="2">
        <f ca="1">IFERROR(__xludf.DUMMYFUNCTION("""COMPUTED_VALUE"""),45044.4761725694)</f>
        <v>45044.476172569397</v>
      </c>
      <c r="B1214" s="1" t="str">
        <f ca="1">IFERROR(__xludf.DUMMYFUNCTION("""COMPUTED_VALUE"""),"India")</f>
        <v>India</v>
      </c>
      <c r="C1214" s="1">
        <f ca="1">IFERROR(__xludf.DUMMYFUNCTION("""COMPUTED_VALUE"""),793006)</f>
        <v>793006</v>
      </c>
      <c r="D1214" s="1" t="str">
        <f ca="1">IFERROR(__xludf.DUMMYFUNCTION("""COMPUTED_VALUE"""),"Female")</f>
        <v>Female</v>
      </c>
      <c r="E1214" s="1" t="str">
        <f ca="1">IFERROR(__xludf.DUMMYFUNCTION("""COMPUTED_VALUE"""),"Influencers who had successful careers")</f>
        <v>Influencers who had successful careers</v>
      </c>
      <c r="F1214" s="1" t="str">
        <f ca="1">IFERROR(__xludf.DUMMYFUNCTION("""COMPUTED_VALUE"""),"Yes, I will earn and do that")</f>
        <v>Yes, I will earn and do that</v>
      </c>
      <c r="G1214" s="1" t="str">
        <f ca="1">IFERROR(__xludf.DUMMYFUNCTION("""COMPUTED_VALUE"""),"This will be hard to do, but if it is the right company I would try")</f>
        <v>This will be hard to do, but if it is the right company I would try</v>
      </c>
      <c r="H1214" s="1" t="str">
        <f ca="1">IFERROR(__xludf.DUMMYFUNCTION("""COMPUTED_VALUE"""),"No")</f>
        <v>No</v>
      </c>
      <c r="I1214" s="1" t="str">
        <f ca="1">IFERROR(__xludf.DUMMYFUNCTION("""COMPUTED_VALUE"""),"Will NOT work for them")</f>
        <v>Will NOT work for them</v>
      </c>
      <c r="J1214" s="1">
        <f ca="1">IFERROR(__xludf.DUMMYFUNCTION("""COMPUTED_VALUE"""),6)</f>
        <v>6</v>
      </c>
      <c r="K1214" s="1" t="str">
        <f ca="1">IFERROR(__xludf.DUMMYFUNCTION("""COMPUTED_VALUE"""),"Hybrid Working Environment with less than 3 days a month at office")</f>
        <v>Hybrid Working Environment with less than 3 days a month at office</v>
      </c>
      <c r="L12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1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214" s="1" t="str">
        <f ca="1">IFERROR(__xludf.DUMMYFUNCTION("""COMPUTED_VALUE"""),"Business Operations in any organization, Work in a BPO setup for some well known client, Work as a freelancer and do my thing my way, Become a content Creator in some platform")</f>
        <v>Business Operations in any organization, Work in a BPO setup for some well known client, Work as a freelancer and do my thing my way, Become a content Creator in some platform</v>
      </c>
      <c r="O1214" s="1" t="str">
        <f ca="1">IFERROR(__xludf.DUMMYFUNCTION("""COMPUTED_VALUE"""),"Manager who explains what is expected, sets a goal and helps achieve it")</f>
        <v>Manager who explains what is expected, sets a goal and helps achieve it</v>
      </c>
      <c r="P1214" s="1" t="str">
        <f ca="1">IFERROR(__xludf.DUMMYFUNCTION("""COMPUTED_VALUE"""),"Work with 2 to 3 people in my team")</f>
        <v>Work with 2 to 3 people in my team</v>
      </c>
      <c r="Q1214" s="1" t="str">
        <f ca="1">IFERROR(__xludf.DUMMYFUNCTION("""COMPUTED_VALUE"""),"Yes, I Understand this is gonna happen everywhere")</f>
        <v>Yes, I Understand this is gonna happen everywhere</v>
      </c>
      <c r="R1214" s="1" t="str">
        <f ca="1">IFERROR(__xludf.DUMMYFUNCTION("""COMPUTED_VALUE"""),"No way")</f>
        <v>No way</v>
      </c>
      <c r="S1214" s="1"/>
    </row>
    <row r="1215" spans="1:19" ht="12.5" x14ac:dyDescent="0.25">
      <c r="A1215" s="2">
        <f ca="1">IFERROR(__xludf.DUMMYFUNCTION("""COMPUTED_VALUE"""),45044.4761767245)</f>
        <v>45044.4761767245</v>
      </c>
      <c r="B1215" s="1" t="str">
        <f ca="1">IFERROR(__xludf.DUMMYFUNCTION("""COMPUTED_VALUE"""),"India")</f>
        <v>India</v>
      </c>
      <c r="C1215" s="1">
        <f ca="1">IFERROR(__xludf.DUMMYFUNCTION("""COMPUTED_VALUE"""),560100)</f>
        <v>560100</v>
      </c>
      <c r="D1215" s="1" t="str">
        <f ca="1">IFERROR(__xludf.DUMMYFUNCTION("""COMPUTED_VALUE"""),"Female")</f>
        <v>Female</v>
      </c>
      <c r="E1215" s="1" t="str">
        <f ca="1">IFERROR(__xludf.DUMMYFUNCTION("""COMPUTED_VALUE"""),"People who have changed the world for better")</f>
        <v>People who have changed the world for better</v>
      </c>
      <c r="F1215" s="1" t="str">
        <f ca="1">IFERROR(__xludf.DUMMYFUNCTION("""COMPUTED_VALUE"""),"Yes, I will earn and do that")</f>
        <v>Yes, I will earn and do that</v>
      </c>
      <c r="G1215" s="1" t="str">
        <f ca="1">IFERROR(__xludf.DUMMYFUNCTION("""COMPUTED_VALUE"""),"Will work for 3 years or more")</f>
        <v>Will work for 3 years or more</v>
      </c>
      <c r="H1215" s="1" t="str">
        <f ca="1">IFERROR(__xludf.DUMMYFUNCTION("""COMPUTED_VALUE"""),"No")</f>
        <v>No</v>
      </c>
      <c r="I1215" s="1" t="str">
        <f ca="1">IFERROR(__xludf.DUMMYFUNCTION("""COMPUTED_VALUE"""),"Will NOT work for them")</f>
        <v>Will NOT work for them</v>
      </c>
      <c r="J1215" s="1">
        <f ca="1">IFERROR(__xludf.DUMMYFUNCTION("""COMPUTED_VALUE"""),4)</f>
        <v>4</v>
      </c>
      <c r="K1215" s="1" t="str">
        <f ca="1">IFERROR(__xludf.DUMMYFUNCTION("""COMPUTED_VALUE"""),"Hybrid Working Environment with less than 3 days a month at office")</f>
        <v>Hybrid Working Environment with less than 3 days a month at office</v>
      </c>
      <c r="L1215" s="1" t="str">
        <f ca="1">IFERROR(__xludf.DUMMYFUNCTION("""COMPUTED_VALUE"""),"Employer who rewards learning and enables that environment")</f>
        <v>Employer who rewards learning and enables that environment</v>
      </c>
      <c r="M121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215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1215" s="1" t="str">
        <f ca="1">IFERROR(__xludf.DUMMYFUNCTION("""COMPUTED_VALUE"""),"Manager who explains what is expected, sets a goal and helps achieve it")</f>
        <v>Manager who explains what is expected, sets a goal and helps achieve it</v>
      </c>
      <c r="P1215" s="1" t="str">
        <f ca="1">IFERROR(__xludf.DUMMYFUNCTION("""COMPUTED_VALUE"""),"Work with 7 to 10 or more people in my team")</f>
        <v>Work with 7 to 10 or more people in my team</v>
      </c>
      <c r="Q1215" s="1" t="str">
        <f ca="1">IFERROR(__xludf.DUMMYFUNCTION("""COMPUTED_VALUE"""),"Yes, I Understand this is gonna happen everywhere")</f>
        <v>Yes, I Understand this is gonna happen everywhere</v>
      </c>
      <c r="R1215" s="1" t="str">
        <f ca="1">IFERROR(__xludf.DUMMYFUNCTION("""COMPUTED_VALUE"""),"This will be hard to do, but if it is the right company I would try")</f>
        <v>This will be hard to do, but if it is the right company I would try</v>
      </c>
      <c r="S1215" s="1"/>
    </row>
    <row r="1216" spans="1:19" ht="12.5" x14ac:dyDescent="0.25">
      <c r="A1216" s="2">
        <f ca="1">IFERROR(__xludf.DUMMYFUNCTION("""COMPUTED_VALUE"""),45044.4798212615)</f>
        <v>45044.479821261499</v>
      </c>
      <c r="B1216" s="1" t="str">
        <f ca="1">IFERROR(__xludf.DUMMYFUNCTION("""COMPUTED_VALUE"""),"India")</f>
        <v>India</v>
      </c>
      <c r="C1216" s="1">
        <f ca="1">IFERROR(__xludf.DUMMYFUNCTION("""COMPUTED_VALUE"""),110024)</f>
        <v>110024</v>
      </c>
      <c r="D1216" s="1" t="str">
        <f ca="1">IFERROR(__xludf.DUMMYFUNCTION("""COMPUTED_VALUE"""),"Male")</f>
        <v>Male</v>
      </c>
      <c r="E1216" s="1" t="str">
        <f ca="1">IFERROR(__xludf.DUMMYFUNCTION("""COMPUTED_VALUE"""),"Influencers who had successful careers")</f>
        <v>Influencers who had successful careers</v>
      </c>
      <c r="F1216" s="1" t="str">
        <f ca="1">IFERROR(__xludf.DUMMYFUNCTION("""COMPUTED_VALUE"""),"Yes, I will earn and do that")</f>
        <v>Yes, I will earn and do that</v>
      </c>
      <c r="G1216" s="1" t="str">
        <f ca="1">IFERROR(__xludf.DUMMYFUNCTION("""COMPUTED_VALUE"""),"Will work for 3 years or more")</f>
        <v>Will work for 3 years or more</v>
      </c>
      <c r="H1216" s="1" t="str">
        <f ca="1">IFERROR(__xludf.DUMMYFUNCTION("""COMPUTED_VALUE"""),"No")</f>
        <v>No</v>
      </c>
      <c r="I1216" s="1" t="str">
        <f ca="1">IFERROR(__xludf.DUMMYFUNCTION("""COMPUTED_VALUE"""),"Will NOT work for them")</f>
        <v>Will NOT work for them</v>
      </c>
      <c r="J1216" s="1">
        <f ca="1">IFERROR(__xludf.DUMMYFUNCTION("""COMPUTED_VALUE"""),6)</f>
        <v>6</v>
      </c>
      <c r="K1216" s="1" t="str">
        <f ca="1">IFERROR(__xludf.DUMMYFUNCTION("""COMPUTED_VALUE"""),"Hybrid Working Environment with more than 15 days a month at office")</f>
        <v>Hybrid Working Environment with more than 15 days a month at office</v>
      </c>
      <c r="L12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1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16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12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216" s="1" t="str">
        <f ca="1">IFERROR(__xludf.DUMMYFUNCTION("""COMPUTED_VALUE"""),"Work alone, Work with 5 to 6 people in my team")</f>
        <v>Work alone, Work with 5 to 6 people in my team</v>
      </c>
      <c r="Q1216" s="1" t="str">
        <f ca="1">IFERROR(__xludf.DUMMYFUNCTION("""COMPUTED_VALUE"""),"Yes, I Understand this is gonna happen everywhere")</f>
        <v>Yes, I Understand this is gonna happen everywhere</v>
      </c>
      <c r="R1216" s="1" t="str">
        <f ca="1">IFERROR(__xludf.DUMMYFUNCTION("""COMPUTED_VALUE"""),"This will be hard to do, but if it is the right company I would try")</f>
        <v>This will be hard to do, but if it is the right company I would try</v>
      </c>
      <c r="S1216" s="1"/>
    </row>
    <row r="1217" spans="1:19" ht="12.5" x14ac:dyDescent="0.25">
      <c r="A1217" s="2">
        <f ca="1">IFERROR(__xludf.DUMMYFUNCTION("""COMPUTED_VALUE"""),45044.4799959143)</f>
        <v>45044.479995914298</v>
      </c>
      <c r="B1217" s="1" t="str">
        <f ca="1">IFERROR(__xludf.DUMMYFUNCTION("""COMPUTED_VALUE"""),"India")</f>
        <v>India</v>
      </c>
      <c r="C1217" s="1">
        <f ca="1">IFERROR(__xludf.DUMMYFUNCTION("""COMPUTED_VALUE"""),761001)</f>
        <v>761001</v>
      </c>
      <c r="D1217" s="1" t="str">
        <f ca="1">IFERROR(__xludf.DUMMYFUNCTION("""COMPUTED_VALUE"""),"Male")</f>
        <v>Male</v>
      </c>
      <c r="E1217" s="1" t="str">
        <f ca="1">IFERROR(__xludf.DUMMYFUNCTION("""COMPUTED_VALUE"""),"Social Media like LinkedIn")</f>
        <v>Social Media like LinkedIn</v>
      </c>
      <c r="F1217" s="1" t="str">
        <f ca="1">IFERROR(__xludf.DUMMYFUNCTION("""COMPUTED_VALUE"""),"No I would not be pursuing Higher Education outside of India")</f>
        <v>No I would not be pursuing Higher Education outside of India</v>
      </c>
      <c r="G1217" s="1" t="str">
        <f ca="1">IFERROR(__xludf.DUMMYFUNCTION("""COMPUTED_VALUE"""),"This will be hard to do, but if it is the right company I would try")</f>
        <v>This will be hard to do, but if it is the right company I would try</v>
      </c>
      <c r="H1217" s="1" t="str">
        <f ca="1">IFERROR(__xludf.DUMMYFUNCTION("""COMPUTED_VALUE"""),"No")</f>
        <v>No</v>
      </c>
      <c r="I1217" s="1" t="str">
        <f ca="1">IFERROR(__xludf.DUMMYFUNCTION("""COMPUTED_VALUE"""),"Will NOT work for them")</f>
        <v>Will NOT work for them</v>
      </c>
      <c r="J1217" s="1">
        <f ca="1">IFERROR(__xludf.DUMMYFUNCTION("""COMPUTED_VALUE"""),4)</f>
        <v>4</v>
      </c>
      <c r="K1217" s="1" t="str">
        <f ca="1">IFERROR(__xludf.DUMMYFUNCTION("""COMPUTED_VALUE"""),"Hybrid Working Environment with less than 3 days a month at office")</f>
        <v>Hybrid Working Environment with less than 3 days a month at office</v>
      </c>
      <c r="L1217" s="1" t="str">
        <f ca="1">IFERROR(__xludf.DUMMYFUNCTION("""COMPUTED_VALUE"""),"Employer who appreciates learning and enables that environment")</f>
        <v>Employer who appreciates learning and enables that environment</v>
      </c>
      <c r="M121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217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2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217" s="1" t="str">
        <f ca="1">IFERROR(__xludf.DUMMYFUNCTION("""COMPUTED_VALUE"""),"Work with 2 to 3 people in my team, Work with 5 to 6 people in my team")</f>
        <v>Work with 2 to 3 people in my team, Work with 5 to 6 people in my team</v>
      </c>
      <c r="Q1217" s="1" t="str">
        <f ca="1">IFERROR(__xludf.DUMMYFUNCTION("""COMPUTED_VALUE"""),"Yes, I Understand this is gonna happen everywhere")</f>
        <v>Yes, I Understand this is gonna happen everywhere</v>
      </c>
      <c r="R1217" s="1" t="str">
        <f ca="1">IFERROR(__xludf.DUMMYFUNCTION("""COMPUTED_VALUE"""),"This will be hard to do, but if it is the right company I would try")</f>
        <v>This will be hard to do, but if it is the right company I would try</v>
      </c>
      <c r="S1217" s="1"/>
    </row>
    <row r="1218" spans="1:19" ht="12.5" x14ac:dyDescent="0.25">
      <c r="A1218" s="2">
        <f ca="1">IFERROR(__xludf.DUMMYFUNCTION("""COMPUTED_VALUE"""),45044.4808344907)</f>
        <v>45044.4808344907</v>
      </c>
      <c r="B1218" s="1" t="str">
        <f ca="1">IFERROR(__xludf.DUMMYFUNCTION("""COMPUTED_VALUE"""),"India")</f>
        <v>India</v>
      </c>
      <c r="C1218" s="1">
        <f ca="1">IFERROR(__xludf.DUMMYFUNCTION("""COMPUTED_VALUE"""),250001)</f>
        <v>250001</v>
      </c>
      <c r="D1218" s="1" t="str">
        <f ca="1">IFERROR(__xludf.DUMMYFUNCTION("""COMPUTED_VALUE"""),"Female")</f>
        <v>Female</v>
      </c>
      <c r="E1218" s="1" t="str">
        <f ca="1">IFERROR(__xludf.DUMMYFUNCTION("""COMPUTED_VALUE"""),"People from my circle, but not family members")</f>
        <v>People from my circle, but not family members</v>
      </c>
      <c r="F1218" s="1" t="str">
        <f ca="1">IFERROR(__xludf.DUMMYFUNCTION("""COMPUTED_VALUE"""),"No I would not be pursuing Higher Education outside of India")</f>
        <v>No I would not be pursuing Higher Education outside of India</v>
      </c>
      <c r="G1218" s="1" t="str">
        <f ca="1">IFERROR(__xludf.DUMMYFUNCTION("""COMPUTED_VALUE"""),"This will be hard to do, but if it is the right company I would try")</f>
        <v>This will be hard to do, but if it is the right company I would try</v>
      </c>
      <c r="H1218" s="1" t="str">
        <f ca="1">IFERROR(__xludf.DUMMYFUNCTION("""COMPUTED_VALUE"""),"No")</f>
        <v>No</v>
      </c>
      <c r="I1218" s="1" t="str">
        <f ca="1">IFERROR(__xludf.DUMMYFUNCTION("""COMPUTED_VALUE"""),"Will NOT work for them")</f>
        <v>Will NOT work for them</v>
      </c>
      <c r="J1218" s="1">
        <f ca="1">IFERROR(__xludf.DUMMYFUNCTION("""COMPUTED_VALUE"""),4)</f>
        <v>4</v>
      </c>
      <c r="K1218" s="1" t="str">
        <f ca="1">IFERROR(__xludf.DUMMYFUNCTION("""COMPUTED_VALUE"""),"Every Day Office Environment")</f>
        <v>Every Day Office Environment</v>
      </c>
      <c r="L12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1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21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2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218" s="1" t="str">
        <f ca="1">IFERROR(__xludf.DUMMYFUNCTION("""COMPUTED_VALUE"""),"Work with 5 to 6 people in my team")</f>
        <v>Work with 5 to 6 people in my team</v>
      </c>
      <c r="Q1218" s="1" t="str">
        <f ca="1">IFERROR(__xludf.DUMMYFUNCTION("""COMPUTED_VALUE"""),"Yes, I Understand this is gonna happen everywhere")</f>
        <v>Yes, I Understand this is gonna happen everywhere</v>
      </c>
      <c r="R1218" s="1" t="str">
        <f ca="1">IFERROR(__xludf.DUMMYFUNCTION("""COMPUTED_VALUE"""),"This will be hard to do, but if it is the right company I would try")</f>
        <v>This will be hard to do, but if it is the right company I would try</v>
      </c>
      <c r="S1218" s="1"/>
    </row>
    <row r="1219" spans="1:19" ht="12.5" x14ac:dyDescent="0.25">
      <c r="A1219" s="2">
        <f ca="1">IFERROR(__xludf.DUMMYFUNCTION("""COMPUTED_VALUE"""),45044.48531478)</f>
        <v>45044.485314780002</v>
      </c>
      <c r="B1219" s="1" t="str">
        <f ca="1">IFERROR(__xludf.DUMMYFUNCTION("""COMPUTED_VALUE"""),"India")</f>
        <v>India</v>
      </c>
      <c r="C1219" s="1">
        <f ca="1">IFERROR(__xludf.DUMMYFUNCTION("""COMPUTED_VALUE"""),500085)</f>
        <v>500085</v>
      </c>
      <c r="D1219" s="1" t="str">
        <f ca="1">IFERROR(__xludf.DUMMYFUNCTION("""COMPUTED_VALUE"""),"Female")</f>
        <v>Female</v>
      </c>
      <c r="E1219" s="1" t="str">
        <f ca="1">IFERROR(__xludf.DUMMYFUNCTION("""COMPUTED_VALUE"""),"My Parents")</f>
        <v>My Parents</v>
      </c>
      <c r="F1219" s="1" t="str">
        <f ca="1">IFERROR(__xludf.DUMMYFUNCTION("""COMPUTED_VALUE"""),"No I would not be pursuing Higher Education outside of India")</f>
        <v>No I would not be pursuing Higher Education outside of India</v>
      </c>
      <c r="G1219" s="1" t="str">
        <f ca="1">IFERROR(__xludf.DUMMYFUNCTION("""COMPUTED_VALUE"""),"Will work for 3 years or more")</f>
        <v>Will work for 3 years or more</v>
      </c>
      <c r="H1219" s="1" t="str">
        <f ca="1">IFERROR(__xludf.DUMMYFUNCTION("""COMPUTED_VALUE"""),"No")</f>
        <v>No</v>
      </c>
      <c r="I1219" s="1" t="str">
        <f ca="1">IFERROR(__xludf.DUMMYFUNCTION("""COMPUTED_VALUE"""),"Will work for them")</f>
        <v>Will work for them</v>
      </c>
      <c r="J1219" s="1">
        <f ca="1">IFERROR(__xludf.DUMMYFUNCTION("""COMPUTED_VALUE"""),6)</f>
        <v>6</v>
      </c>
      <c r="K1219" s="1" t="str">
        <f ca="1">IFERROR(__xludf.DUMMYFUNCTION("""COMPUTED_VALUE"""),"Fully Remote with No option to visit offices")</f>
        <v>Fully Remote with No option to visit offices</v>
      </c>
      <c r="L12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1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19" s="1" t="str">
        <f ca="1">IFERROR(__xludf.DUMMYFUNCTION("""COMPUTED_VALUE"""),"Teaching in any of the institutes/colleges/online or offline, Business Operations in any organization, Look deeply into Data and generate insights, Work as a freelancer and do my thing my way")</f>
        <v>Teaching in any of the institutes/colleges/online or offline, Business Operations in any organization, Look deeply into Data and generate insights, Work as a freelancer and do my thing my way</v>
      </c>
      <c r="O1219" s="1" t="str">
        <f ca="1">IFERROR(__xludf.DUMMYFUNCTION("""COMPUTED_VALUE"""),"Manager who explains what is expected, sets a goal and helps achieve it")</f>
        <v>Manager who explains what is expected, sets a goal and helps achieve it</v>
      </c>
      <c r="P1219" s="1" t="str">
        <f ca="1">IFERROR(__xludf.DUMMYFUNCTION("""COMPUTED_VALUE"""),"Work with 2 to 3 people in my team")</f>
        <v>Work with 2 to 3 people in my team</v>
      </c>
      <c r="Q1219" s="1" t="str">
        <f ca="1">IFERROR(__xludf.DUMMYFUNCTION("""COMPUTED_VALUE"""),"No")</f>
        <v>No</v>
      </c>
      <c r="R1219" s="1" t="str">
        <f ca="1">IFERROR(__xludf.DUMMYFUNCTION("""COMPUTED_VALUE"""),"This will be hard to do, but if it is the right company I would try")</f>
        <v>This will be hard to do, but if it is the right company I would try</v>
      </c>
      <c r="S1219" s="1"/>
    </row>
    <row r="1220" spans="1:19" ht="12.5" x14ac:dyDescent="0.25">
      <c r="A1220" s="2">
        <f ca="1">IFERROR(__xludf.DUMMYFUNCTION("""COMPUTED_VALUE"""),45044.4863860763)</f>
        <v>45044.4863860763</v>
      </c>
      <c r="B1220" s="1" t="str">
        <f ca="1">IFERROR(__xludf.DUMMYFUNCTION("""COMPUTED_VALUE"""),"India")</f>
        <v>India</v>
      </c>
      <c r="C1220" s="1">
        <f ca="1">IFERROR(__xludf.DUMMYFUNCTION("""COMPUTED_VALUE"""),700086)</f>
        <v>700086</v>
      </c>
      <c r="D1220" s="1" t="str">
        <f ca="1">IFERROR(__xludf.DUMMYFUNCTION("""COMPUTED_VALUE"""),"Male")</f>
        <v>Male</v>
      </c>
      <c r="E1220" s="1" t="str">
        <f ca="1">IFERROR(__xludf.DUMMYFUNCTION("""COMPUTED_VALUE"""),"People who have changed the world for better")</f>
        <v>People who have changed the world for better</v>
      </c>
      <c r="F1220" s="1" t="str">
        <f ca="1">IFERROR(__xludf.DUMMYFUNCTION("""COMPUTED_VALUE"""),"Yes, I will earn and do that")</f>
        <v>Yes, I will earn and do that</v>
      </c>
      <c r="G1220" s="1" t="str">
        <f ca="1">IFERROR(__xludf.DUMMYFUNCTION("""COMPUTED_VALUE"""),"Will work for 3 years or more")</f>
        <v>Will work for 3 years or more</v>
      </c>
      <c r="H1220" s="1" t="str">
        <f ca="1">IFERROR(__xludf.DUMMYFUNCTION("""COMPUTED_VALUE"""),"No")</f>
        <v>No</v>
      </c>
      <c r="I1220" s="1" t="str">
        <f ca="1">IFERROR(__xludf.DUMMYFUNCTION("""COMPUTED_VALUE"""),"Will NOT work for them")</f>
        <v>Will NOT work for them</v>
      </c>
      <c r="J1220" s="1">
        <f ca="1">IFERROR(__xludf.DUMMYFUNCTION("""COMPUTED_VALUE"""),1)</f>
        <v>1</v>
      </c>
      <c r="K1220" s="1" t="str">
        <f ca="1">IFERROR(__xludf.DUMMYFUNCTION("""COMPUTED_VALUE"""),"Fully Remote with Options to travel as and when needed")</f>
        <v>Fully Remote with Options to travel as and when needed</v>
      </c>
      <c r="L1220" s="1" t="str">
        <f ca="1">IFERROR(__xludf.DUMMYFUNCTION("""COMPUTED_VALUE"""),"Employer who appreciates learning and enables that environment")</f>
        <v>Employer who appreciates learning and enables that environment</v>
      </c>
      <c r="M122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20" s="1" t="str">
        <f ca="1">IFERROR(__xludf.DUMMYFUNCTION("""COMPUTED_VALUE"""),"Manage and drive End-to-End Projects or Products, Design and Develop amazing software, Entrepreneur or Start Up, An Artificial Intelligence Specialist / Talking to Robots")</f>
        <v>Manage and drive End-to-End Projects or Products, Design and Develop amazing software, Entrepreneur or Start Up, An Artificial Intelligence Specialist / Talking to Robots</v>
      </c>
      <c r="O1220" s="1" t="str">
        <f ca="1">IFERROR(__xludf.DUMMYFUNCTION("""COMPUTED_VALUE"""),"Manager who explains what is expected, sets a goal and helps achieve it")</f>
        <v>Manager who explains what is expected, sets a goal and helps achieve it</v>
      </c>
      <c r="P1220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220" s="1" t="str">
        <f ca="1">IFERROR(__xludf.DUMMYFUNCTION("""COMPUTED_VALUE"""),"No")</f>
        <v>No</v>
      </c>
      <c r="R1220" s="1" t="str">
        <f ca="1">IFERROR(__xludf.DUMMYFUNCTION("""COMPUTED_VALUE"""),"This will be hard to do, but if it is the right company I would try")</f>
        <v>This will be hard to do, but if it is the right company I would try</v>
      </c>
      <c r="S1220" s="1"/>
    </row>
    <row r="1221" spans="1:19" ht="12.5" x14ac:dyDescent="0.25">
      <c r="A1221" s="2">
        <f ca="1">IFERROR(__xludf.DUMMYFUNCTION("""COMPUTED_VALUE"""),45044.488231655)</f>
        <v>45044.488231654999</v>
      </c>
      <c r="B1221" s="1" t="str">
        <f ca="1">IFERROR(__xludf.DUMMYFUNCTION("""COMPUTED_VALUE"""),"India")</f>
        <v>India</v>
      </c>
      <c r="C1221" s="1">
        <f ca="1">IFERROR(__xludf.DUMMYFUNCTION("""COMPUTED_VALUE"""),500097)</f>
        <v>500097</v>
      </c>
      <c r="D1221" s="1" t="str">
        <f ca="1">IFERROR(__xludf.DUMMYFUNCTION("""COMPUTED_VALUE"""),"Female")</f>
        <v>Female</v>
      </c>
      <c r="E1221" s="1" t="str">
        <f ca="1">IFERROR(__xludf.DUMMYFUNCTION("""COMPUTED_VALUE"""),"My Parents")</f>
        <v>My Parents</v>
      </c>
      <c r="F1221" s="1" t="str">
        <f ca="1">IFERROR(__xludf.DUMMYFUNCTION("""COMPUTED_VALUE"""),"Yes, I will earn and do that")</f>
        <v>Yes, I will earn and do that</v>
      </c>
      <c r="G1221" s="1" t="str">
        <f ca="1">IFERROR(__xludf.DUMMYFUNCTION("""COMPUTED_VALUE"""),"This will be hard to do, but if it is the right company I would try")</f>
        <v>This will be hard to do, but if it is the right company I would try</v>
      </c>
      <c r="H1221" s="1" t="str">
        <f ca="1">IFERROR(__xludf.DUMMYFUNCTION("""COMPUTED_VALUE"""),"Yes")</f>
        <v>Yes</v>
      </c>
      <c r="I1221" s="1" t="str">
        <f ca="1">IFERROR(__xludf.DUMMYFUNCTION("""COMPUTED_VALUE"""),"Will NOT work for them")</f>
        <v>Will NOT work for them</v>
      </c>
      <c r="J1221" s="1">
        <f ca="1">IFERROR(__xludf.DUMMYFUNCTION("""COMPUTED_VALUE"""),8)</f>
        <v>8</v>
      </c>
      <c r="K1221" s="1" t="str">
        <f ca="1">IFERROR(__xludf.DUMMYFUNCTION("""COMPUTED_VALUE"""),"Hybrid Working Environment with less than 3 days a month at office")</f>
        <v>Hybrid Working Environment with less than 3 days a month at office</v>
      </c>
      <c r="L12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21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221" s="1" t="str">
        <f ca="1">IFERROR(__xludf.DUMMYFUNCTION("""COMPUTED_VALUE"""),"Design and Creative strategy in any company, Manage and drive End-to-End Projects or Products, Build and develop a Team, Work as a freelancer and do my thing my way")</f>
        <v>Design and Creative strategy in any company, Manage and drive End-to-End Projects or Products, Build and develop a Team, Work as a freelancer and do my thing my way</v>
      </c>
      <c r="O1221" s="1" t="str">
        <f ca="1">IFERROR(__xludf.DUMMYFUNCTION("""COMPUTED_VALUE"""),"Manager who explains what is expected, sets a goal and helps achieve it")</f>
        <v>Manager who explains what is expected, sets a goal and helps achieve it</v>
      </c>
      <c r="P1221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221" s="1" t="str">
        <f ca="1">IFERROR(__xludf.DUMMYFUNCTION("""COMPUTED_VALUE"""),"Yes, I Understand this is gonna happen everywhere")</f>
        <v>Yes, I Understand this is gonna happen everywhere</v>
      </c>
      <c r="R1221" s="1" t="str">
        <f ca="1">IFERROR(__xludf.DUMMYFUNCTION("""COMPUTED_VALUE"""),"No way")</f>
        <v>No way</v>
      </c>
      <c r="S1221" s="1"/>
    </row>
    <row r="1222" spans="1:19" ht="12.5" x14ac:dyDescent="0.25">
      <c r="A1222" s="2">
        <f ca="1">IFERROR(__xludf.DUMMYFUNCTION("""COMPUTED_VALUE"""),45044.4908901851)</f>
        <v>45044.490890185101</v>
      </c>
      <c r="B1222" s="1" t="str">
        <f ca="1">IFERROR(__xludf.DUMMYFUNCTION("""COMPUTED_VALUE"""),"India")</f>
        <v>India</v>
      </c>
      <c r="C1222" s="1">
        <f ca="1">IFERROR(__xludf.DUMMYFUNCTION("""COMPUTED_VALUE"""),826004)</f>
        <v>826004</v>
      </c>
      <c r="D1222" s="1" t="str">
        <f ca="1">IFERROR(__xludf.DUMMYFUNCTION("""COMPUTED_VALUE"""),"Male")</f>
        <v>Male</v>
      </c>
      <c r="E1222" s="1" t="str">
        <f ca="1">IFERROR(__xludf.DUMMYFUNCTION("""COMPUTED_VALUE"""),"Influencers who had successful careers")</f>
        <v>Influencers who had successful careers</v>
      </c>
      <c r="F1222" s="1" t="str">
        <f ca="1">IFERROR(__xludf.DUMMYFUNCTION("""COMPUTED_VALUE"""),"Yes, I will earn and do that")</f>
        <v>Yes, I will earn and do that</v>
      </c>
      <c r="G1222" s="1" t="str">
        <f ca="1">IFERROR(__xludf.DUMMYFUNCTION("""COMPUTED_VALUE"""),"This will be hard to do, but if it is the right company I would try")</f>
        <v>This will be hard to do, but if it is the right company I would try</v>
      </c>
      <c r="H1222" s="1" t="str">
        <f ca="1">IFERROR(__xludf.DUMMYFUNCTION("""COMPUTED_VALUE"""),"No")</f>
        <v>No</v>
      </c>
      <c r="I1222" s="1" t="str">
        <f ca="1">IFERROR(__xludf.DUMMYFUNCTION("""COMPUTED_VALUE"""),"Will NOT work for them")</f>
        <v>Will NOT work for them</v>
      </c>
      <c r="J1222" s="1">
        <f ca="1">IFERROR(__xludf.DUMMYFUNCTION("""COMPUTED_VALUE"""),6)</f>
        <v>6</v>
      </c>
      <c r="K1222" s="1" t="str">
        <f ca="1">IFERROR(__xludf.DUMMYFUNCTION("""COMPUTED_VALUE"""),"Hybrid Working Environment with less than 3 days a month at office")</f>
        <v>Hybrid Working Environment with less than 3 days a month at office</v>
      </c>
      <c r="L12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2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222" s="1" t="str">
        <f ca="1">IFERROR(__xludf.DUMMYFUNCTION("""COMPUTED_VALUE"""),"Design and Creative strategy in any company, Teaching in any of the institutes/colleges/online or offline, Manage and drive End-to-End Projects or Products, Look deeply into Data and generate insights")</f>
        <v>Design and Creative strategy in any company, Teaching in any of the institutes/colleges/online or offline, Manage and drive End-to-End Projects or Products, Look deeply into Data and generate insights</v>
      </c>
      <c r="O1222" s="1" t="str">
        <f ca="1">IFERROR(__xludf.DUMMYFUNCTION("""COMPUTED_VALUE"""),"Manager who clearly describes what she/he needs")</f>
        <v>Manager who clearly describes what she/he needs</v>
      </c>
      <c r="P1222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222" s="1" t="str">
        <f ca="1">IFERROR(__xludf.DUMMYFUNCTION("""COMPUTED_VALUE"""),"Yes, I Understand this is gonna happen everywhere")</f>
        <v>Yes, I Understand this is gonna happen everywhere</v>
      </c>
      <c r="R1222" s="1" t="str">
        <f ca="1">IFERROR(__xludf.DUMMYFUNCTION("""COMPUTED_VALUE"""),"No way")</f>
        <v>No way</v>
      </c>
      <c r="S1222" s="1"/>
    </row>
    <row r="1223" spans="1:19" ht="12.5" x14ac:dyDescent="0.25">
      <c r="A1223" s="2">
        <f ca="1">IFERROR(__xludf.DUMMYFUNCTION("""COMPUTED_VALUE"""),45044.4931255092)</f>
        <v>45044.493125509201</v>
      </c>
      <c r="B1223" s="1" t="str">
        <f ca="1">IFERROR(__xludf.DUMMYFUNCTION("""COMPUTED_VALUE"""),"India")</f>
        <v>India</v>
      </c>
      <c r="C1223" s="1">
        <f ca="1">IFERROR(__xludf.DUMMYFUNCTION("""COMPUTED_VALUE"""),414003)</f>
        <v>414003</v>
      </c>
      <c r="D1223" s="1" t="str">
        <f ca="1">IFERROR(__xludf.DUMMYFUNCTION("""COMPUTED_VALUE"""),"Male")</f>
        <v>Male</v>
      </c>
      <c r="E1223" s="1" t="str">
        <f ca="1">IFERROR(__xludf.DUMMYFUNCTION("""COMPUTED_VALUE"""),"People from my circle, but not family members")</f>
        <v>People from my circle, but not family members</v>
      </c>
      <c r="F1223" s="1" t="str">
        <f ca="1">IFERROR(__xludf.DUMMYFUNCTION("""COMPUTED_VALUE"""),"Yes, I will earn and do that")</f>
        <v>Yes, I will earn and do that</v>
      </c>
      <c r="G1223" s="1" t="str">
        <f ca="1">IFERROR(__xludf.DUMMYFUNCTION("""COMPUTED_VALUE"""),"This will be hard to do, but if it is the right company I would try")</f>
        <v>This will be hard to do, but if it is the right company I would try</v>
      </c>
      <c r="H1223" s="1" t="str">
        <f ca="1">IFERROR(__xludf.DUMMYFUNCTION("""COMPUTED_VALUE"""),"No")</f>
        <v>No</v>
      </c>
      <c r="I1223" s="1" t="str">
        <f ca="1">IFERROR(__xludf.DUMMYFUNCTION("""COMPUTED_VALUE"""),"Will NOT work for them")</f>
        <v>Will NOT work for them</v>
      </c>
      <c r="J1223" s="1">
        <f ca="1">IFERROR(__xludf.DUMMYFUNCTION("""COMPUTED_VALUE"""),10)</f>
        <v>10</v>
      </c>
      <c r="K1223" s="1" t="str">
        <f ca="1">IFERROR(__xludf.DUMMYFUNCTION("""COMPUTED_VALUE"""),"Fully Remote with Options to travel as and when needed")</f>
        <v>Fully Remote with Options to travel as and when needed</v>
      </c>
      <c r="L12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23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223" s="1" t="str">
        <f ca="1">IFERROR(__xludf.DUMMYFUNCTION("""COMPUTED_VALUE"""),"Design and Creative strategy in any company, Teaching in any of the institutes/colleges/online or offline, Business Operations in any organization, Become a content Creator in some platform")</f>
        <v>Design and Creative strategy in any company, Teaching in any of the institutes/colleges/online or offline, Business Operations in any organization, Become a content Creator in some platform</v>
      </c>
      <c r="O1223" s="1" t="str">
        <f ca="1">IFERROR(__xludf.DUMMYFUNCTION("""COMPUTED_VALUE"""),"Manager who explains what is expected, sets a goal and helps achieve it")</f>
        <v>Manager who explains what is expected, sets a goal and helps achieve it</v>
      </c>
      <c r="P1223" s="1" t="str">
        <f ca="1">IFERROR(__xludf.DUMMYFUNCTION("""COMPUTED_VALUE"""),"Work with 2 to 3 people in my team, Work with 5 to 6 people in my team")</f>
        <v>Work with 2 to 3 people in my team, Work with 5 to 6 people in my team</v>
      </c>
      <c r="Q1223" s="1" t="str">
        <f ca="1">IFERROR(__xludf.DUMMYFUNCTION("""COMPUTED_VALUE"""),"Yes, I Understand this is gonna happen everywhere")</f>
        <v>Yes, I Understand this is gonna happen everywhere</v>
      </c>
      <c r="R1223" s="1" t="str">
        <f ca="1">IFERROR(__xludf.DUMMYFUNCTION("""COMPUTED_VALUE"""),"This will be hard to do, but if it is the right company I would try")</f>
        <v>This will be hard to do, but if it is the right company I would try</v>
      </c>
      <c r="S1223" s="1"/>
    </row>
    <row r="1224" spans="1:19" ht="12.5" x14ac:dyDescent="0.25">
      <c r="A1224" s="2">
        <f ca="1">IFERROR(__xludf.DUMMYFUNCTION("""COMPUTED_VALUE"""),45044.4962846527)</f>
        <v>45044.496284652698</v>
      </c>
      <c r="B1224" s="1" t="str">
        <f ca="1">IFERROR(__xludf.DUMMYFUNCTION("""COMPUTED_VALUE"""),"India")</f>
        <v>India</v>
      </c>
      <c r="C1224" s="1">
        <f ca="1">IFERROR(__xludf.DUMMYFUNCTION("""COMPUTED_VALUE"""),500084)</f>
        <v>500084</v>
      </c>
      <c r="D1224" s="1" t="str">
        <f ca="1">IFERROR(__xludf.DUMMYFUNCTION("""COMPUTED_VALUE"""),"Female")</f>
        <v>Female</v>
      </c>
      <c r="E1224" s="1" t="str">
        <f ca="1">IFERROR(__xludf.DUMMYFUNCTION("""COMPUTED_VALUE"""),"My Parents")</f>
        <v>My Parents</v>
      </c>
      <c r="F1224" s="1" t="str">
        <f ca="1">IFERROR(__xludf.DUMMYFUNCTION("""COMPUTED_VALUE"""),"No I would not be pursuing Higher Education outside of India")</f>
        <v>No I would not be pursuing Higher Education outside of India</v>
      </c>
      <c r="G1224" s="1" t="str">
        <f ca="1">IFERROR(__xludf.DUMMYFUNCTION("""COMPUTED_VALUE"""),"This will be hard to do, but if it is the right company I would try")</f>
        <v>This will be hard to do, but if it is the right company I would try</v>
      </c>
      <c r="H1224" s="1" t="str">
        <f ca="1">IFERROR(__xludf.DUMMYFUNCTION("""COMPUTED_VALUE"""),"No")</f>
        <v>No</v>
      </c>
      <c r="I1224" s="1" t="str">
        <f ca="1">IFERROR(__xludf.DUMMYFUNCTION("""COMPUTED_VALUE"""),"Will NOT work for them")</f>
        <v>Will NOT work for them</v>
      </c>
      <c r="J1224" s="1">
        <f ca="1">IFERROR(__xludf.DUMMYFUNCTION("""COMPUTED_VALUE"""),1)</f>
        <v>1</v>
      </c>
      <c r="K1224" s="1" t="str">
        <f ca="1">IFERROR(__xludf.DUMMYFUNCTION("""COMPUTED_VALUE"""),"Hybrid Working Environment with more than 15 days a month at office")</f>
        <v>Hybrid Working Environment with more than 15 days a month at office</v>
      </c>
      <c r="L12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2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24" s="1" t="str">
        <f ca="1">IFERROR(__xludf.DUMMYFUNCTION("""COMPUTED_VALUE"""),"Design and Creative strategy in any company, Manage and drive End-to-End Projects or Products, Look deeply into Data and generate insights, I Want to sell things/Sales")</f>
        <v>Design and Creative strategy in any company, Manage and drive End-to-End Projects or Products, Look deeply into Data and generate insights, I Want to sell things/Sales</v>
      </c>
      <c r="O1224" s="1" t="str">
        <f ca="1">IFERROR(__xludf.DUMMYFUNCTION("""COMPUTED_VALUE"""),"Manager who explains what is expected, sets a goal and helps achieve it")</f>
        <v>Manager who explains what is expected, sets a goal and helps achieve it</v>
      </c>
      <c r="P1224" s="1" t="str">
        <f ca="1">IFERROR(__xludf.DUMMYFUNCTION("""COMPUTED_VALUE"""),"Work with 7 to 10 or more people in my team")</f>
        <v>Work with 7 to 10 or more people in my team</v>
      </c>
      <c r="Q1224" s="1" t="str">
        <f ca="1">IFERROR(__xludf.DUMMYFUNCTION("""COMPUTED_VALUE"""),"Yes, I Understand this is gonna happen everywhere")</f>
        <v>Yes, I Understand this is gonna happen everywhere</v>
      </c>
      <c r="R1224" s="1" t="str">
        <f ca="1">IFERROR(__xludf.DUMMYFUNCTION("""COMPUTED_VALUE"""),"This will be hard to do, but if it is the right company I would try")</f>
        <v>This will be hard to do, but if it is the right company I would try</v>
      </c>
      <c r="S1224" s="1"/>
    </row>
    <row r="1225" spans="1:19" ht="12.5" x14ac:dyDescent="0.25">
      <c r="A1225" s="2">
        <f ca="1">IFERROR(__xludf.DUMMYFUNCTION("""COMPUTED_VALUE"""),45044.4968635879)</f>
        <v>45044.496863587898</v>
      </c>
      <c r="B1225" s="1" t="str">
        <f ca="1">IFERROR(__xludf.DUMMYFUNCTION("""COMPUTED_VALUE"""),"India")</f>
        <v>India</v>
      </c>
      <c r="C1225" s="1">
        <f ca="1">IFERROR(__xludf.DUMMYFUNCTION("""COMPUTED_VALUE"""),560091)</f>
        <v>560091</v>
      </c>
      <c r="D1225" s="1" t="str">
        <f ca="1">IFERROR(__xludf.DUMMYFUNCTION("""COMPUTED_VALUE"""),"Female")</f>
        <v>Female</v>
      </c>
      <c r="E1225" s="1" t="str">
        <f ca="1">IFERROR(__xludf.DUMMYFUNCTION("""COMPUTED_VALUE"""),"Influencers who had successful careers")</f>
        <v>Influencers who had successful careers</v>
      </c>
      <c r="F1225" s="1" t="str">
        <f ca="1">IFERROR(__xludf.DUMMYFUNCTION("""COMPUTED_VALUE"""),"No I would not be pursuing Higher Education outside of India")</f>
        <v>No I would not be pursuing Higher Education outside of India</v>
      </c>
      <c r="G1225" s="1" t="str">
        <f ca="1">IFERROR(__xludf.DUMMYFUNCTION("""COMPUTED_VALUE"""),"Will work for 3 years or more")</f>
        <v>Will work for 3 years or more</v>
      </c>
      <c r="H1225" s="1" t="str">
        <f ca="1">IFERROR(__xludf.DUMMYFUNCTION("""COMPUTED_VALUE"""),"No")</f>
        <v>No</v>
      </c>
      <c r="I1225" s="1" t="str">
        <f ca="1">IFERROR(__xludf.DUMMYFUNCTION("""COMPUTED_VALUE"""),"Will NOT work for them")</f>
        <v>Will NOT work for them</v>
      </c>
      <c r="J1225" s="1">
        <f ca="1">IFERROR(__xludf.DUMMYFUNCTION("""COMPUTED_VALUE"""),5)</f>
        <v>5</v>
      </c>
      <c r="K1225" s="1" t="str">
        <f ca="1">IFERROR(__xludf.DUMMYFUNCTION("""COMPUTED_VALUE"""),"Hybrid Working Environment with more than 15 days a month at office")</f>
        <v>Hybrid Working Environment with more than 15 days a month at office</v>
      </c>
      <c r="L1225" s="1" t="str">
        <f ca="1">IFERROR(__xludf.DUMMYFUNCTION("""COMPUTED_VALUE"""),"Employer who appreciates learning and enables that environment")</f>
        <v>Employer who appreciates learning and enables that environment</v>
      </c>
      <c r="M122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25" s="1" t="str">
        <f ca="1">IFERROR(__xludf.DUMMYFUNCTION("""COMPUTED_VALUE"""),"Manage and drive End-to-End Projects or Products, Design and Develop amazing software, Look deeply into Data and generate insights, An Artificial Intelligence Specialist / Talking to Robots")</f>
        <v>Manage and drive End-to-End Projects or Products, Design and Develop amazing software, Look deeply into Data and generate insights, An Artificial Intelligence Specialist / Talking to Robots</v>
      </c>
      <c r="O1225" s="1" t="str">
        <f ca="1">IFERROR(__xludf.DUMMYFUNCTION("""COMPUTED_VALUE"""),"Manager who clearly describes what she/he needs")</f>
        <v>Manager who clearly describes what she/he needs</v>
      </c>
      <c r="P1225" s="1" t="str">
        <f ca="1">IFERROR(__xludf.DUMMYFUNCTION("""COMPUTED_VALUE"""),"Work with 5 to 6 people in my team")</f>
        <v>Work with 5 to 6 people in my team</v>
      </c>
      <c r="Q1225" s="1" t="str">
        <f ca="1">IFERROR(__xludf.DUMMYFUNCTION("""COMPUTED_VALUE"""),"Yes, I Understand this is gonna happen everywhere")</f>
        <v>Yes, I Understand this is gonna happen everywhere</v>
      </c>
      <c r="R1225" s="1" t="str">
        <f ca="1">IFERROR(__xludf.DUMMYFUNCTION("""COMPUTED_VALUE"""),"This will be hard to do, but if it is the right company I would try")</f>
        <v>This will be hard to do, but if it is the right company I would try</v>
      </c>
      <c r="S1225" s="1"/>
    </row>
    <row r="1226" spans="1:19" ht="12.5" x14ac:dyDescent="0.25">
      <c r="A1226" s="2">
        <f ca="1">IFERROR(__xludf.DUMMYFUNCTION("""COMPUTED_VALUE"""),45044.4985857407)</f>
        <v>45044.498585740701</v>
      </c>
      <c r="B1226" s="1" t="str">
        <f ca="1">IFERROR(__xludf.DUMMYFUNCTION("""COMPUTED_VALUE"""),"India")</f>
        <v>India</v>
      </c>
      <c r="C1226" s="1">
        <f ca="1">IFERROR(__xludf.DUMMYFUNCTION("""COMPUTED_VALUE"""),560062)</f>
        <v>560062</v>
      </c>
      <c r="D1226" s="1" t="str">
        <f ca="1">IFERROR(__xludf.DUMMYFUNCTION("""COMPUTED_VALUE"""),"Male")</f>
        <v>Male</v>
      </c>
      <c r="E1226" s="1" t="str">
        <f ca="1">IFERROR(__xludf.DUMMYFUNCTION("""COMPUTED_VALUE"""),"Influencers who had successful careers")</f>
        <v>Influencers who had successful careers</v>
      </c>
      <c r="F1226" s="1" t="str">
        <f ca="1">IFERROR(__xludf.DUMMYFUNCTION("""COMPUTED_VALUE"""),"No I would not be pursuing Higher Education outside of India")</f>
        <v>No I would not be pursuing Higher Education outside of India</v>
      </c>
      <c r="G1226" s="1" t="str">
        <f ca="1">IFERROR(__xludf.DUMMYFUNCTION("""COMPUTED_VALUE"""),"Will work for 3 years or more")</f>
        <v>Will work for 3 years or more</v>
      </c>
      <c r="H1226" s="1" t="str">
        <f ca="1">IFERROR(__xludf.DUMMYFUNCTION("""COMPUTED_VALUE"""),"No")</f>
        <v>No</v>
      </c>
      <c r="I1226" s="1" t="str">
        <f ca="1">IFERROR(__xludf.DUMMYFUNCTION("""COMPUTED_VALUE"""),"Will NOT work for them")</f>
        <v>Will NOT work for them</v>
      </c>
      <c r="J1226" s="1">
        <f ca="1">IFERROR(__xludf.DUMMYFUNCTION("""COMPUTED_VALUE"""),5)</f>
        <v>5</v>
      </c>
      <c r="K1226" s="1" t="str">
        <f ca="1">IFERROR(__xludf.DUMMYFUNCTION("""COMPUTED_VALUE"""),"Hybrid Working Environment with more than 15 days a month at office")</f>
        <v>Hybrid Working Environment with more than 15 days a month at office</v>
      </c>
      <c r="L12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2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226" s="1" t="str">
        <f ca="1">IFERROR(__xludf.DUMMYFUNCTION("""COMPUTED_VALUE"""),"Design and Creative strategy in any company, Build and develop a Team, Entrepreneur or Start Up, I Want to sell things/Sales")</f>
        <v>Design and Creative strategy in any company, Build and develop a Team, Entrepreneur or Start Up, I Want to sell things/Sales</v>
      </c>
      <c r="O12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226" s="1" t="str">
        <f ca="1">IFERROR(__xludf.DUMMYFUNCTION("""COMPUTED_VALUE"""),"Work with 5 to 6 people in my team")</f>
        <v>Work with 5 to 6 people in my team</v>
      </c>
      <c r="Q1226" s="1" t="str">
        <f ca="1">IFERROR(__xludf.DUMMYFUNCTION("""COMPUTED_VALUE"""),"No")</f>
        <v>No</v>
      </c>
      <c r="R1226" s="1" t="str">
        <f ca="1">IFERROR(__xludf.DUMMYFUNCTION("""COMPUTED_VALUE"""),"This will be hard to do, but if it is the right company I would try")</f>
        <v>This will be hard to do, but if it is the right company I would try</v>
      </c>
      <c r="S1226" s="1"/>
    </row>
    <row r="1227" spans="1:19" ht="12.5" x14ac:dyDescent="0.25">
      <c r="A1227" s="2">
        <f ca="1">IFERROR(__xludf.DUMMYFUNCTION("""COMPUTED_VALUE"""),45044.5015157754)</f>
        <v>45044.501515775402</v>
      </c>
      <c r="B1227" s="1" t="str">
        <f ca="1">IFERROR(__xludf.DUMMYFUNCTION("""COMPUTED_VALUE"""),"India")</f>
        <v>India</v>
      </c>
      <c r="C1227" s="1">
        <f ca="1">IFERROR(__xludf.DUMMYFUNCTION("""COMPUTED_VALUE"""),700053)</f>
        <v>700053</v>
      </c>
      <c r="D1227" s="1" t="str">
        <f ca="1">IFERROR(__xludf.DUMMYFUNCTION("""COMPUTED_VALUE"""),"Male")</f>
        <v>Male</v>
      </c>
      <c r="E1227" s="1" t="str">
        <f ca="1">IFERROR(__xludf.DUMMYFUNCTION("""COMPUTED_VALUE"""),"People who have changed the world for better")</f>
        <v>People who have changed the world for better</v>
      </c>
      <c r="F1227" s="1" t="str">
        <f ca="1">IFERROR(__xludf.DUMMYFUNCTION("""COMPUTED_VALUE"""),"No, But if someone could bare the cost I will")</f>
        <v>No, But if someone could bare the cost I will</v>
      </c>
      <c r="G1227" s="1" t="str">
        <f ca="1">IFERROR(__xludf.DUMMYFUNCTION("""COMPUTED_VALUE"""),"This will be hard to do, but if it is the right company I would try")</f>
        <v>This will be hard to do, but if it is the right company I would try</v>
      </c>
      <c r="H1227" s="1" t="str">
        <f ca="1">IFERROR(__xludf.DUMMYFUNCTION("""COMPUTED_VALUE"""),"No")</f>
        <v>No</v>
      </c>
      <c r="I1227" s="1" t="str">
        <f ca="1">IFERROR(__xludf.DUMMYFUNCTION("""COMPUTED_VALUE"""),"Will NOT work for them")</f>
        <v>Will NOT work for them</v>
      </c>
      <c r="J1227" s="1">
        <f ca="1">IFERROR(__xludf.DUMMYFUNCTION("""COMPUTED_VALUE"""),4)</f>
        <v>4</v>
      </c>
      <c r="K1227" s="1" t="str">
        <f ca="1">IFERROR(__xludf.DUMMYFUNCTION("""COMPUTED_VALUE"""),"Hybrid Working Environment with more than 15 days a month at office")</f>
        <v>Hybrid Working Environment with more than 15 days a month at office</v>
      </c>
      <c r="L1227" s="1" t="str">
        <f ca="1">IFERROR(__xludf.DUMMYFUNCTION("""COMPUTED_VALUE"""),"Employer who rewards learning and enables that environment")</f>
        <v>Employer who rewards learning and enables that environment</v>
      </c>
      <c r="M122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227" s="1" t="str">
        <f ca="1">IFERROR(__xludf.DUMMYFUNCTION("""COMPUTED_VALUE"""),"Design and Creative strategy in any company, Manage and drive End-to-End Projects or Products, Build and develop a Team, I Want to sell things/Sales")</f>
        <v>Design and Creative strategy in any company, Manage and drive End-to-End Projects or Products, Build and develop a Team, I Want to sell things/Sales</v>
      </c>
      <c r="O1227" s="1" t="str">
        <f ca="1">IFERROR(__xludf.DUMMYFUNCTION("""COMPUTED_VALUE"""),"Manager who explains what is expected, sets a goal and helps achieve it")</f>
        <v>Manager who explains what is expected, sets a goal and helps achieve it</v>
      </c>
      <c r="P1227" s="1" t="str">
        <f ca="1">IFERROR(__xludf.DUMMYFUNCTION("""COMPUTED_VALUE"""),"Work with 5 to 6 people in my team")</f>
        <v>Work with 5 to 6 people in my team</v>
      </c>
      <c r="Q1227" s="1" t="str">
        <f ca="1">IFERROR(__xludf.DUMMYFUNCTION("""COMPUTED_VALUE"""),"Yes, I Understand this is gonna happen everywhere")</f>
        <v>Yes, I Understand this is gonna happen everywhere</v>
      </c>
      <c r="R1227" s="1" t="str">
        <f ca="1">IFERROR(__xludf.DUMMYFUNCTION("""COMPUTED_VALUE"""),"No way")</f>
        <v>No way</v>
      </c>
      <c r="S1227" s="1"/>
    </row>
    <row r="1228" spans="1:19" ht="12.5" x14ac:dyDescent="0.25">
      <c r="A1228" s="2">
        <f ca="1">IFERROR(__xludf.DUMMYFUNCTION("""COMPUTED_VALUE"""),45044.5103634259)</f>
        <v>45044.510363425899</v>
      </c>
      <c r="B1228" s="1" t="str">
        <f ca="1">IFERROR(__xludf.DUMMYFUNCTION("""COMPUTED_VALUE"""),"India")</f>
        <v>India</v>
      </c>
      <c r="C1228" s="1">
        <f ca="1">IFERROR(__xludf.DUMMYFUNCTION("""COMPUTED_VALUE"""),570031)</f>
        <v>570031</v>
      </c>
      <c r="D1228" s="1" t="str">
        <f ca="1">IFERROR(__xludf.DUMMYFUNCTION("""COMPUTED_VALUE"""),"Female")</f>
        <v>Female</v>
      </c>
      <c r="E1228" s="1" t="str">
        <f ca="1">IFERROR(__xludf.DUMMYFUNCTION("""COMPUTED_VALUE"""),"Influencers who had successful careers")</f>
        <v>Influencers who had successful careers</v>
      </c>
      <c r="F1228" s="1" t="str">
        <f ca="1">IFERROR(__xludf.DUMMYFUNCTION("""COMPUTED_VALUE"""),"No I would not be pursuing Higher Education outside of India")</f>
        <v>No I would not be pursuing Higher Education outside of India</v>
      </c>
      <c r="G1228" s="1" t="str">
        <f ca="1">IFERROR(__xludf.DUMMYFUNCTION("""COMPUTED_VALUE"""),"Will work for 3 years or more")</f>
        <v>Will work for 3 years or more</v>
      </c>
      <c r="H1228" s="1" t="str">
        <f ca="1">IFERROR(__xludf.DUMMYFUNCTION("""COMPUTED_VALUE"""),"Yes")</f>
        <v>Yes</v>
      </c>
      <c r="I1228" s="1" t="str">
        <f ca="1">IFERROR(__xludf.DUMMYFUNCTION("""COMPUTED_VALUE"""),"Will work for them")</f>
        <v>Will work for them</v>
      </c>
      <c r="J1228" s="1">
        <f ca="1">IFERROR(__xludf.DUMMYFUNCTION("""COMPUTED_VALUE"""),5)</f>
        <v>5</v>
      </c>
      <c r="K1228" s="1" t="str">
        <f ca="1">IFERROR(__xludf.DUMMYFUNCTION("""COMPUTED_VALUE"""),"Hybrid Working Environment with more than 15 days a month at office")</f>
        <v>Hybrid Working Environment with more than 15 days a month at office</v>
      </c>
      <c r="L1228" s="1" t="str">
        <f ca="1">IFERROR(__xludf.DUMMYFUNCTION("""COMPUTED_VALUE"""),"Employer who rewards learning and enables that environment")</f>
        <v>Employer who rewards learning and enables that environment</v>
      </c>
      <c r="M122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228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228" s="1" t="str">
        <f ca="1">IFERROR(__xludf.DUMMYFUNCTION("""COMPUTED_VALUE"""),"Manager who clearly describes what she/he needs")</f>
        <v>Manager who clearly describes what she/he needs</v>
      </c>
      <c r="P1228" s="1" t="str">
        <f ca="1">IFERROR(__xludf.DUMMYFUNCTION("""COMPUTED_VALUE"""),"Work with 2 to 3 people in my team, Work with 5 to 6 people in my team")</f>
        <v>Work with 2 to 3 people in my team, Work with 5 to 6 people in my team</v>
      </c>
      <c r="Q1228" s="1" t="str">
        <f ca="1">IFERROR(__xludf.DUMMYFUNCTION("""COMPUTED_VALUE"""),"Yes, I Understand this is gonna happen everywhere")</f>
        <v>Yes, I Understand this is gonna happen everywhere</v>
      </c>
      <c r="R1228" s="1" t="str">
        <f ca="1">IFERROR(__xludf.DUMMYFUNCTION("""COMPUTED_VALUE"""),"This will be hard to do, but if it is the right company I would try")</f>
        <v>This will be hard to do, but if it is the right company I would try</v>
      </c>
      <c r="S1228" s="1"/>
    </row>
    <row r="1229" spans="1:19" ht="12.5" x14ac:dyDescent="0.25">
      <c r="A1229" s="2">
        <f ca="1">IFERROR(__xludf.DUMMYFUNCTION("""COMPUTED_VALUE"""),45044.5130732523)</f>
        <v>45044.513073252303</v>
      </c>
      <c r="B1229" s="1" t="str">
        <f ca="1">IFERROR(__xludf.DUMMYFUNCTION("""COMPUTED_VALUE"""),"India")</f>
        <v>India</v>
      </c>
      <c r="C1229" s="1">
        <f ca="1">IFERROR(__xludf.DUMMYFUNCTION("""COMPUTED_VALUE"""),700039)</f>
        <v>700039</v>
      </c>
      <c r="D1229" s="1" t="str">
        <f ca="1">IFERROR(__xludf.DUMMYFUNCTION("""COMPUTED_VALUE"""),"Male")</f>
        <v>Male</v>
      </c>
      <c r="E1229" s="1" t="str">
        <f ca="1">IFERROR(__xludf.DUMMYFUNCTION("""COMPUTED_VALUE"""),"People who have changed the world for better")</f>
        <v>People who have changed the world for better</v>
      </c>
      <c r="F1229" s="1" t="str">
        <f ca="1">IFERROR(__xludf.DUMMYFUNCTION("""COMPUTED_VALUE"""),"No, But if someone could bare the cost I will")</f>
        <v>No, But if someone could bare the cost I will</v>
      </c>
      <c r="G1229" s="1" t="str">
        <f ca="1">IFERROR(__xludf.DUMMYFUNCTION("""COMPUTED_VALUE"""),"Will work for 3 years or more")</f>
        <v>Will work for 3 years or more</v>
      </c>
      <c r="H1229" s="1" t="str">
        <f ca="1">IFERROR(__xludf.DUMMYFUNCTION("""COMPUTED_VALUE"""),"No")</f>
        <v>No</v>
      </c>
      <c r="I1229" s="1" t="str">
        <f ca="1">IFERROR(__xludf.DUMMYFUNCTION("""COMPUTED_VALUE"""),"Will work for them")</f>
        <v>Will work for them</v>
      </c>
      <c r="J1229" s="1">
        <f ca="1">IFERROR(__xludf.DUMMYFUNCTION("""COMPUTED_VALUE"""),8)</f>
        <v>8</v>
      </c>
      <c r="K1229" s="1" t="str">
        <f ca="1">IFERROR(__xludf.DUMMYFUNCTION("""COMPUTED_VALUE"""),"Hybrid Working Environment with less than 3 days a month at office")</f>
        <v>Hybrid Working Environment with less than 3 days a month at office</v>
      </c>
      <c r="L1229" s="1" t="str">
        <f ca="1">IFERROR(__xludf.DUMMYFUNCTION("""COMPUTED_VALUE"""),"Employer who rewards learning and enables that environment")</f>
        <v>Employer who rewards learning and enables that environment</v>
      </c>
      <c r="M122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29" s="1" t="str">
        <f ca="1">IFERROR(__xludf.DUMMYFUNCTION("""COMPUTED_VALUE"""),"Design and Creative strategy in any company, Design and Develop amazing software, Look deeply into Data and generate insights, Become a content Creator in some platform")</f>
        <v>Design and Creative strategy in any company, Design and Develop amazing software, Look deeply into Data and generate insights, Become a content Creator in some platform</v>
      </c>
      <c r="O1229" s="1" t="str">
        <f ca="1">IFERROR(__xludf.DUMMYFUNCTION("""COMPUTED_VALUE"""),"Manager who explains what is expected, sets a goal and helps achieve it")</f>
        <v>Manager who explains what is expected, sets a goal and helps achieve it</v>
      </c>
      <c r="P1229" s="1" t="str">
        <f ca="1">IFERROR(__xludf.DUMMYFUNCTION("""COMPUTED_VALUE"""),"Work with 5 to 6 people in my team")</f>
        <v>Work with 5 to 6 people in my team</v>
      </c>
      <c r="Q1229" s="1" t="str">
        <f ca="1">IFERROR(__xludf.DUMMYFUNCTION("""COMPUTED_VALUE"""),"Yes")</f>
        <v>Yes</v>
      </c>
      <c r="R1229" s="1" t="str">
        <f ca="1">IFERROR(__xludf.DUMMYFUNCTION("""COMPUTED_VALUE"""),"This will be hard to do, but if it is the right company I would try")</f>
        <v>This will be hard to do, but if it is the right company I would try</v>
      </c>
      <c r="S1229" s="1"/>
    </row>
    <row r="1230" spans="1:19" ht="12.5" x14ac:dyDescent="0.25">
      <c r="A1230" s="2">
        <f ca="1">IFERROR(__xludf.DUMMYFUNCTION("""COMPUTED_VALUE"""),45044.5165465972)</f>
        <v>45044.516546597202</v>
      </c>
      <c r="B1230" s="1" t="str">
        <f ca="1">IFERROR(__xludf.DUMMYFUNCTION("""COMPUTED_VALUE"""),"India")</f>
        <v>India</v>
      </c>
      <c r="C1230" s="1">
        <f ca="1">IFERROR(__xludf.DUMMYFUNCTION("""COMPUTED_VALUE"""),825301)</f>
        <v>825301</v>
      </c>
      <c r="D1230" s="1" t="str">
        <f ca="1">IFERROR(__xludf.DUMMYFUNCTION("""COMPUTED_VALUE"""),"Male")</f>
        <v>Male</v>
      </c>
      <c r="E1230" s="1" t="str">
        <f ca="1">IFERROR(__xludf.DUMMYFUNCTION("""COMPUTED_VALUE"""),"People who have changed the world for better")</f>
        <v>People who have changed the world for better</v>
      </c>
      <c r="F1230" s="1" t="str">
        <f ca="1">IFERROR(__xludf.DUMMYFUNCTION("""COMPUTED_VALUE"""),"Yes, I will earn and do that")</f>
        <v>Yes, I will earn and do that</v>
      </c>
      <c r="G1230" s="1" t="str">
        <f ca="1">IFERROR(__xludf.DUMMYFUNCTION("""COMPUTED_VALUE"""),"This will be hard to do, but if it is the right company I would try")</f>
        <v>This will be hard to do, but if it is the right company I would try</v>
      </c>
      <c r="H1230" s="1" t="str">
        <f ca="1">IFERROR(__xludf.DUMMYFUNCTION("""COMPUTED_VALUE"""),"Yes")</f>
        <v>Yes</v>
      </c>
      <c r="I1230" s="1" t="str">
        <f ca="1">IFERROR(__xludf.DUMMYFUNCTION("""COMPUTED_VALUE"""),"Will NOT work for them")</f>
        <v>Will NOT work for them</v>
      </c>
      <c r="J1230" s="1">
        <f ca="1">IFERROR(__xludf.DUMMYFUNCTION("""COMPUTED_VALUE"""),2)</f>
        <v>2</v>
      </c>
      <c r="K1230" s="1" t="str">
        <f ca="1">IFERROR(__xludf.DUMMYFUNCTION("""COMPUTED_VALUE"""),"Fully Remote with Options to travel as and when needed")</f>
        <v>Fully Remote with Options to travel as and when needed</v>
      </c>
      <c r="L12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3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30" s="1" t="str">
        <f ca="1">IFERROR(__xludf.DUMMYFUNCTION("""COMPUTED_VALUE"""),"Build and develop a Team, Look deeply into Data and generate insights, Entrepreneur or Start Up, An Artificial Intelligence Specialist / Talking to Robots")</f>
        <v>Build and develop a Team, Look deeply into Data and generate insights, Entrepreneur or Start Up, An Artificial Intelligence Specialist / Talking to Robots</v>
      </c>
      <c r="O1230" s="1" t="str">
        <f ca="1">IFERROR(__xludf.DUMMYFUNCTION("""COMPUTED_VALUE"""),"Manager who sets goal and helps me achieve it")</f>
        <v>Manager who sets goal and helps me achieve it</v>
      </c>
      <c r="P1230" s="1" t="str">
        <f ca="1">IFERROR(__xludf.DUMMYFUNCTION("""COMPUTED_VALUE"""),"Work with more than 10 people in my team")</f>
        <v>Work with more than 10 people in my team</v>
      </c>
      <c r="Q1230" s="1" t="str">
        <f ca="1">IFERROR(__xludf.DUMMYFUNCTION("""COMPUTED_VALUE"""),"I have NO other choice")</f>
        <v>I have NO other choice</v>
      </c>
      <c r="R1230" s="1" t="str">
        <f ca="1">IFERROR(__xludf.DUMMYFUNCTION("""COMPUTED_VALUE"""),"No way")</f>
        <v>No way</v>
      </c>
      <c r="S1230" s="1"/>
    </row>
    <row r="1231" spans="1:19" ht="12.5" x14ac:dyDescent="0.25">
      <c r="A1231" s="2">
        <f ca="1">IFERROR(__xludf.DUMMYFUNCTION("""COMPUTED_VALUE"""),45044.5175568287)</f>
        <v>45044.517556828701</v>
      </c>
      <c r="B1231" s="1" t="str">
        <f ca="1">IFERROR(__xludf.DUMMYFUNCTION("""COMPUTED_VALUE"""),"India")</f>
        <v>India</v>
      </c>
      <c r="C1231" s="1">
        <f ca="1">IFERROR(__xludf.DUMMYFUNCTION("""COMPUTED_VALUE"""),682316)</f>
        <v>682316</v>
      </c>
      <c r="D1231" s="1" t="str">
        <f ca="1">IFERROR(__xludf.DUMMYFUNCTION("""COMPUTED_VALUE"""),"Female")</f>
        <v>Female</v>
      </c>
      <c r="E1231" s="1" t="str">
        <f ca="1">IFERROR(__xludf.DUMMYFUNCTION("""COMPUTED_VALUE"""),"Influencers who had successful careers")</f>
        <v>Influencers who had successful careers</v>
      </c>
      <c r="F1231" s="1" t="str">
        <f ca="1">IFERROR(__xludf.DUMMYFUNCTION("""COMPUTED_VALUE"""),"Yes, I will earn and do that")</f>
        <v>Yes, I will earn and do that</v>
      </c>
      <c r="G1231" s="1" t="str">
        <f ca="1">IFERROR(__xludf.DUMMYFUNCTION("""COMPUTED_VALUE"""),"This will be hard to do, but if it is the right company I would try")</f>
        <v>This will be hard to do, but if it is the right company I would try</v>
      </c>
      <c r="H1231" s="1" t="str">
        <f ca="1">IFERROR(__xludf.DUMMYFUNCTION("""COMPUTED_VALUE"""),"No")</f>
        <v>No</v>
      </c>
      <c r="I1231" s="1" t="str">
        <f ca="1">IFERROR(__xludf.DUMMYFUNCTION("""COMPUTED_VALUE"""),"Will NOT work for them")</f>
        <v>Will NOT work for them</v>
      </c>
      <c r="J1231" s="1">
        <f ca="1">IFERROR(__xludf.DUMMYFUNCTION("""COMPUTED_VALUE"""),8)</f>
        <v>8</v>
      </c>
      <c r="K1231" s="1" t="str">
        <f ca="1">IFERROR(__xludf.DUMMYFUNCTION("""COMPUTED_VALUE"""),"Every Day Office Environment")</f>
        <v>Every Day Office Environment</v>
      </c>
      <c r="L1231" s="1" t="str">
        <f ca="1">IFERROR(__xludf.DUMMYFUNCTION("""COMPUTED_VALUE"""),"Employer who appreciates learning and enables that environment")</f>
        <v>Employer who appreciates learning and enables that environment</v>
      </c>
      <c r="M123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31" s="1" t="str">
        <f ca="1">IFERROR(__xludf.DUMMYFUNCTION("""COMPUTED_VALUE"""),"Teaching in any of the institutes/colleges/online or offline, Look deeply into Data and generate insights, Become a content Creator in some platform, Entrepreneur or Start Up")</f>
        <v>Teaching in any of the institutes/colleges/online or offline, Look deeply into Data and generate insights, Become a content Creator in some platform, Entrepreneur or Start Up</v>
      </c>
      <c r="O1231" s="1" t="str">
        <f ca="1">IFERROR(__xludf.DUMMYFUNCTION("""COMPUTED_VALUE"""),"Manager who explains what is expected, sets a goal and helps achieve it")</f>
        <v>Manager who explains what is expected, sets a goal and helps achieve it</v>
      </c>
      <c r="P1231" s="1" t="str">
        <f ca="1">IFERROR(__xludf.DUMMYFUNCTION("""COMPUTED_VALUE"""),"Work with 2 to 3 people in my team")</f>
        <v>Work with 2 to 3 people in my team</v>
      </c>
      <c r="Q1231" s="1" t="str">
        <f ca="1">IFERROR(__xludf.DUMMYFUNCTION("""COMPUTED_VALUE"""),"I have NO other choice")</f>
        <v>I have NO other choice</v>
      </c>
      <c r="R1231" s="1" t="str">
        <f ca="1">IFERROR(__xludf.DUMMYFUNCTION("""COMPUTED_VALUE"""),"Will work for 7 years or more")</f>
        <v>Will work for 7 years or more</v>
      </c>
      <c r="S1231" s="1"/>
    </row>
    <row r="1232" spans="1:19" ht="12.5" x14ac:dyDescent="0.25">
      <c r="A1232" s="2">
        <f ca="1">IFERROR(__xludf.DUMMYFUNCTION("""COMPUTED_VALUE"""),45044.5188868634)</f>
        <v>45044.5188868634</v>
      </c>
      <c r="B1232" s="1" t="str">
        <f ca="1">IFERROR(__xludf.DUMMYFUNCTION("""COMPUTED_VALUE"""),"India")</f>
        <v>India</v>
      </c>
      <c r="C1232" s="1">
        <f ca="1">IFERROR(__xludf.DUMMYFUNCTION("""COMPUTED_VALUE"""),440034)</f>
        <v>440034</v>
      </c>
      <c r="D1232" s="1" t="str">
        <f ca="1">IFERROR(__xludf.DUMMYFUNCTION("""COMPUTED_VALUE"""),"Male")</f>
        <v>Male</v>
      </c>
      <c r="E1232" s="1" t="str">
        <f ca="1">IFERROR(__xludf.DUMMYFUNCTION("""COMPUTED_VALUE"""),"Influencers who had successful careers")</f>
        <v>Influencers who had successful careers</v>
      </c>
      <c r="F1232" s="1" t="str">
        <f ca="1">IFERROR(__xludf.DUMMYFUNCTION("""COMPUTED_VALUE"""),"Yes, I will earn and do that")</f>
        <v>Yes, I will earn and do that</v>
      </c>
      <c r="G1232" s="1" t="str">
        <f ca="1">IFERROR(__xludf.DUMMYFUNCTION("""COMPUTED_VALUE"""),"This will be hard to do, but if it is the right company I would try")</f>
        <v>This will be hard to do, but if it is the right company I would try</v>
      </c>
      <c r="H1232" s="1" t="str">
        <f ca="1">IFERROR(__xludf.DUMMYFUNCTION("""COMPUTED_VALUE"""),"No")</f>
        <v>No</v>
      </c>
      <c r="I1232" s="1" t="str">
        <f ca="1">IFERROR(__xludf.DUMMYFUNCTION("""COMPUTED_VALUE"""),"Will NOT work for them")</f>
        <v>Will NOT work for them</v>
      </c>
      <c r="J1232" s="1">
        <f ca="1">IFERROR(__xludf.DUMMYFUNCTION("""COMPUTED_VALUE"""),8)</f>
        <v>8</v>
      </c>
      <c r="K1232" s="1" t="str">
        <f ca="1">IFERROR(__xludf.DUMMYFUNCTION("""COMPUTED_VALUE"""),"Hybrid Working Environment with more than 15 days a month at office")</f>
        <v>Hybrid Working Environment with more than 15 days a month at office</v>
      </c>
      <c r="L1232" s="1" t="str">
        <f ca="1">IFERROR(__xludf.DUMMYFUNCTION("""COMPUTED_VALUE"""),"Employer who appreciates learning and enables that environment")</f>
        <v>Employer who appreciates learning and enables that environment</v>
      </c>
      <c r="M123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232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232" s="1" t="str">
        <f ca="1">IFERROR(__xludf.DUMMYFUNCTION("""COMPUTED_VALUE"""),"Manager who explains what is expected, sets a goal and helps achieve it")</f>
        <v>Manager who explains what is expected, sets a goal and helps achieve it</v>
      </c>
      <c r="P1232" s="1" t="str">
        <f ca="1">IFERROR(__xludf.DUMMYFUNCTION("""COMPUTED_VALUE"""),"Work with 2 to 3 people in my team")</f>
        <v>Work with 2 to 3 people in my team</v>
      </c>
      <c r="Q1232" s="1" t="str">
        <f ca="1">IFERROR(__xludf.DUMMYFUNCTION("""COMPUTED_VALUE"""),"Yes, I Understand this is gonna happen everywhere")</f>
        <v>Yes, I Understand this is gonna happen everywhere</v>
      </c>
      <c r="R1232" s="1" t="str">
        <f ca="1">IFERROR(__xludf.DUMMYFUNCTION("""COMPUTED_VALUE"""),"This will be hard to do, but if it is the right company I would try")</f>
        <v>This will be hard to do, but if it is the right company I would try</v>
      </c>
      <c r="S1232" s="1"/>
    </row>
    <row r="1233" spans="1:19" ht="12.5" x14ac:dyDescent="0.25">
      <c r="A1233" s="2">
        <f ca="1">IFERROR(__xludf.DUMMYFUNCTION("""COMPUTED_VALUE"""),45044.5194051157)</f>
        <v>45044.519405115701</v>
      </c>
      <c r="B1233" s="1" t="str">
        <f ca="1">IFERROR(__xludf.DUMMYFUNCTION("""COMPUTED_VALUE"""),"India")</f>
        <v>India</v>
      </c>
      <c r="C1233" s="1">
        <f ca="1">IFERROR(__xludf.DUMMYFUNCTION("""COMPUTED_VALUE"""),390022)</f>
        <v>390022</v>
      </c>
      <c r="D1233" s="1" t="str">
        <f ca="1">IFERROR(__xludf.DUMMYFUNCTION("""COMPUTED_VALUE"""),"Female")</f>
        <v>Female</v>
      </c>
      <c r="E1233" s="1" t="str">
        <f ca="1">IFERROR(__xludf.DUMMYFUNCTION("""COMPUTED_VALUE"""),"Social Media like LinkedIn")</f>
        <v>Social Media like LinkedIn</v>
      </c>
      <c r="F1233" s="1" t="str">
        <f ca="1">IFERROR(__xludf.DUMMYFUNCTION("""COMPUTED_VALUE"""),"No I would not be pursuing Higher Education outside of India")</f>
        <v>No I would not be pursuing Higher Education outside of India</v>
      </c>
      <c r="G1233" s="1" t="str">
        <f ca="1">IFERROR(__xludf.DUMMYFUNCTION("""COMPUTED_VALUE"""),"This will be hard to do, but if it is the right company I would try")</f>
        <v>This will be hard to do, but if it is the right company I would try</v>
      </c>
      <c r="H1233" s="1" t="str">
        <f ca="1">IFERROR(__xludf.DUMMYFUNCTION("""COMPUTED_VALUE"""),"No")</f>
        <v>No</v>
      </c>
      <c r="I1233" s="1" t="str">
        <f ca="1">IFERROR(__xludf.DUMMYFUNCTION("""COMPUTED_VALUE"""),"Will NOT work for them")</f>
        <v>Will NOT work for them</v>
      </c>
      <c r="J1233" s="1">
        <f ca="1">IFERROR(__xludf.DUMMYFUNCTION("""COMPUTED_VALUE"""),5)</f>
        <v>5</v>
      </c>
      <c r="K1233" s="1" t="str">
        <f ca="1">IFERROR(__xludf.DUMMYFUNCTION("""COMPUTED_VALUE"""),"Fully Remote with Options to travel as and when needed")</f>
        <v>Fully Remote with Options to travel as and when needed</v>
      </c>
      <c r="L1233" s="1" t="str">
        <f ca="1">IFERROR(__xludf.DUMMYFUNCTION("""COMPUTED_VALUE"""),"Employer who rewards learning and enables that environment")</f>
        <v>Employer who rewards learning and enables that environment</v>
      </c>
      <c r="M1233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233" s="1" t="str">
        <f ca="1">IFERROR(__xludf.DUMMYFUNCTION("""COMPUTED_VALUE"""),"Design and Creative strategy in any company, Build and develop a Team, Design and Develop amazing software, Work as a freelancer and do my thing my way")</f>
        <v>Design and Creative strategy in any company, Build and develop a Team, Design and Develop amazing software, Work as a freelancer and do my thing my way</v>
      </c>
      <c r="O1233" s="1" t="str">
        <f ca="1">IFERROR(__xludf.DUMMYFUNCTION("""COMPUTED_VALUE"""),"Manager who explains what is expected, sets a goal and helps achieve it")</f>
        <v>Manager who explains what is expected, sets a goal and helps achieve it</v>
      </c>
      <c r="P1233" s="1" t="str">
        <f ca="1">IFERROR(__xludf.DUMMYFUNCTION("""COMPUTED_VALUE"""),"Work with more than 10 people in my team")</f>
        <v>Work with more than 10 people in my team</v>
      </c>
      <c r="Q1233" s="1" t="str">
        <f ca="1">IFERROR(__xludf.DUMMYFUNCTION("""COMPUTED_VALUE"""),"Yes, I Understand this is gonna happen everywhere")</f>
        <v>Yes, I Understand this is gonna happen everywhere</v>
      </c>
      <c r="R1233" s="1" t="str">
        <f ca="1">IFERROR(__xludf.DUMMYFUNCTION("""COMPUTED_VALUE"""),"This will be hard to do, but if it is the right company I would try")</f>
        <v>This will be hard to do, but if it is the right company I would try</v>
      </c>
      <c r="S1233" s="1"/>
    </row>
    <row r="1234" spans="1:19" ht="12.5" x14ac:dyDescent="0.25">
      <c r="A1234" s="2">
        <f ca="1">IFERROR(__xludf.DUMMYFUNCTION("""COMPUTED_VALUE"""),45044.5195276736)</f>
        <v>45044.519527673598</v>
      </c>
      <c r="B1234" s="1" t="str">
        <f ca="1">IFERROR(__xludf.DUMMYFUNCTION("""COMPUTED_VALUE"""),"India")</f>
        <v>India</v>
      </c>
      <c r="C1234" s="1">
        <f ca="1">IFERROR(__xludf.DUMMYFUNCTION("""COMPUTED_VALUE"""),560020)</f>
        <v>560020</v>
      </c>
      <c r="D1234" s="1" t="str">
        <f ca="1">IFERROR(__xludf.DUMMYFUNCTION("""COMPUTED_VALUE"""),"Female")</f>
        <v>Female</v>
      </c>
      <c r="E1234" s="1" t="str">
        <f ca="1">IFERROR(__xludf.DUMMYFUNCTION("""COMPUTED_VALUE"""),"Social Media like LinkedIn")</f>
        <v>Social Media like LinkedIn</v>
      </c>
      <c r="F1234" s="1" t="str">
        <f ca="1">IFERROR(__xludf.DUMMYFUNCTION("""COMPUTED_VALUE"""),"No, But if someone could bare the cost I will")</f>
        <v>No, But if someone could bare the cost I will</v>
      </c>
      <c r="G1234" s="1" t="str">
        <f ca="1">IFERROR(__xludf.DUMMYFUNCTION("""COMPUTED_VALUE"""),"Will work for 3 years or more")</f>
        <v>Will work for 3 years or more</v>
      </c>
      <c r="H1234" s="1" t="str">
        <f ca="1">IFERROR(__xludf.DUMMYFUNCTION("""COMPUTED_VALUE"""),"No")</f>
        <v>No</v>
      </c>
      <c r="I1234" s="1" t="str">
        <f ca="1">IFERROR(__xludf.DUMMYFUNCTION("""COMPUTED_VALUE"""),"Will NOT work for them")</f>
        <v>Will NOT work for them</v>
      </c>
      <c r="J1234" s="1">
        <f ca="1">IFERROR(__xludf.DUMMYFUNCTION("""COMPUTED_VALUE"""),5)</f>
        <v>5</v>
      </c>
      <c r="K1234" s="1" t="str">
        <f ca="1">IFERROR(__xludf.DUMMYFUNCTION("""COMPUTED_VALUE"""),"Fully Remote with Options to travel as and when needed")</f>
        <v>Fully Remote with Options to travel as and when needed</v>
      </c>
      <c r="L1234" s="1" t="str">
        <f ca="1">IFERROR(__xludf.DUMMYFUNCTION("""COMPUTED_VALUE"""),"Employer who rewards learning and enables that environment")</f>
        <v>Employer who rewards learning and enables that environment</v>
      </c>
      <c r="M123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234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1234" s="1" t="str">
        <f ca="1">IFERROR(__xludf.DUMMYFUNCTION("""COMPUTED_VALUE"""),"Manager who explains what is expected, sets a goal and helps achieve it")</f>
        <v>Manager who explains what is expected, sets a goal and helps achieve it</v>
      </c>
      <c r="P1234" s="1" t="str">
        <f ca="1">IFERROR(__xludf.DUMMYFUNCTION("""COMPUTED_VALUE"""),"Work with 5 to 6 people in my team")</f>
        <v>Work with 5 to 6 people in my team</v>
      </c>
      <c r="Q1234" s="1" t="str">
        <f ca="1">IFERROR(__xludf.DUMMYFUNCTION("""COMPUTED_VALUE"""),"No")</f>
        <v>No</v>
      </c>
      <c r="R1234" s="1" t="str">
        <f ca="1">IFERROR(__xludf.DUMMYFUNCTION("""COMPUTED_VALUE"""),"This will be hard to do, but if it is the right company I would try")</f>
        <v>This will be hard to do, but if it is the right company I would try</v>
      </c>
      <c r="S1234" s="1"/>
    </row>
    <row r="1235" spans="1:19" ht="12.5" x14ac:dyDescent="0.25">
      <c r="A1235" s="2">
        <f ca="1">IFERROR(__xludf.DUMMYFUNCTION("""COMPUTED_VALUE"""),45044.5209023611)</f>
        <v>45044.520902361102</v>
      </c>
      <c r="B1235" s="1" t="str">
        <f ca="1">IFERROR(__xludf.DUMMYFUNCTION("""COMPUTED_VALUE"""),"India")</f>
        <v>India</v>
      </c>
      <c r="C1235" s="1">
        <f ca="1">IFERROR(__xludf.DUMMYFUNCTION("""COMPUTED_VALUE"""),124001)</f>
        <v>124001</v>
      </c>
      <c r="D1235" s="1" t="str">
        <f ca="1">IFERROR(__xludf.DUMMYFUNCTION("""COMPUTED_VALUE"""),"Male")</f>
        <v>Male</v>
      </c>
      <c r="E1235" s="1" t="str">
        <f ca="1">IFERROR(__xludf.DUMMYFUNCTION("""COMPUTED_VALUE"""),"My Parents")</f>
        <v>My Parents</v>
      </c>
      <c r="F1235" s="1" t="str">
        <f ca="1">IFERROR(__xludf.DUMMYFUNCTION("""COMPUTED_VALUE"""),"No I would not be pursuing Higher Education outside of India")</f>
        <v>No I would not be pursuing Higher Education outside of India</v>
      </c>
      <c r="G1235" s="1" t="str">
        <f ca="1">IFERROR(__xludf.DUMMYFUNCTION("""COMPUTED_VALUE"""),"Will work for 3 years or more")</f>
        <v>Will work for 3 years or more</v>
      </c>
      <c r="H1235" s="1" t="str">
        <f ca="1">IFERROR(__xludf.DUMMYFUNCTION("""COMPUTED_VALUE"""),"No")</f>
        <v>No</v>
      </c>
      <c r="I1235" s="1" t="str">
        <f ca="1">IFERROR(__xludf.DUMMYFUNCTION("""COMPUTED_VALUE"""),"Will NOT work for them")</f>
        <v>Will NOT work for them</v>
      </c>
      <c r="J1235" s="1">
        <f ca="1">IFERROR(__xludf.DUMMYFUNCTION("""COMPUTED_VALUE"""),7)</f>
        <v>7</v>
      </c>
      <c r="K1235" s="1" t="str">
        <f ca="1">IFERROR(__xludf.DUMMYFUNCTION("""COMPUTED_VALUE"""),"Hybrid Working Environment with more than 15 days a month at office")</f>
        <v>Hybrid Working Environment with more than 15 days a month at office</v>
      </c>
      <c r="L1235" s="1" t="str">
        <f ca="1">IFERROR(__xludf.DUMMYFUNCTION("""COMPUTED_VALUE"""),"Employer who appreciates learning and enables that environment")</f>
        <v>Employer who appreciates learning and enables that environment</v>
      </c>
      <c r="M123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235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235" s="1" t="str">
        <f ca="1">IFERROR(__xludf.DUMMYFUNCTION("""COMPUTED_VALUE"""),"Manager who sets goal and helps me achieve it")</f>
        <v>Manager who sets goal and helps me achieve it</v>
      </c>
      <c r="P1235" s="1" t="str">
        <f ca="1">IFERROR(__xludf.DUMMYFUNCTION("""COMPUTED_VALUE"""),"Work with 2 to 3 people in my team")</f>
        <v>Work with 2 to 3 people in my team</v>
      </c>
      <c r="Q1235" s="1" t="str">
        <f ca="1">IFERROR(__xludf.DUMMYFUNCTION("""COMPUTED_VALUE"""),"Yes, I Understand this is gonna happen everywhere")</f>
        <v>Yes, I Understand this is gonna happen everywhere</v>
      </c>
      <c r="R1235" s="1" t="str">
        <f ca="1">IFERROR(__xludf.DUMMYFUNCTION("""COMPUTED_VALUE"""),"This will be hard to do, but if it is the right company I would try")</f>
        <v>This will be hard to do, but if it is the right company I would try</v>
      </c>
      <c r="S1235" s="1"/>
    </row>
    <row r="1236" spans="1:19" ht="12.5" x14ac:dyDescent="0.25">
      <c r="A1236" s="2">
        <f ca="1">IFERROR(__xludf.DUMMYFUNCTION("""COMPUTED_VALUE"""),45044.5211482175)</f>
        <v>45044.5211482175</v>
      </c>
      <c r="B1236" s="1" t="str">
        <f ca="1">IFERROR(__xludf.DUMMYFUNCTION("""COMPUTED_VALUE"""),"India")</f>
        <v>India</v>
      </c>
      <c r="C1236" s="1">
        <f ca="1">IFERROR(__xludf.DUMMYFUNCTION("""COMPUTED_VALUE"""),560100)</f>
        <v>560100</v>
      </c>
      <c r="D1236" s="1" t="str">
        <f ca="1">IFERROR(__xludf.DUMMYFUNCTION("""COMPUTED_VALUE"""),"Female")</f>
        <v>Female</v>
      </c>
      <c r="E1236" s="1" t="str">
        <f ca="1">IFERROR(__xludf.DUMMYFUNCTION("""COMPUTED_VALUE"""),"People who have changed the world for better")</f>
        <v>People who have changed the world for better</v>
      </c>
      <c r="F1236" s="1" t="str">
        <f ca="1">IFERROR(__xludf.DUMMYFUNCTION("""COMPUTED_VALUE"""),"No I would not be pursuing Higher Education outside of India")</f>
        <v>No I would not be pursuing Higher Education outside of India</v>
      </c>
      <c r="G1236" s="1" t="str">
        <f ca="1">IFERROR(__xludf.DUMMYFUNCTION("""COMPUTED_VALUE"""),"Will work for 3 years or more")</f>
        <v>Will work for 3 years or more</v>
      </c>
      <c r="H1236" s="1" t="str">
        <f ca="1">IFERROR(__xludf.DUMMYFUNCTION("""COMPUTED_VALUE"""),"No")</f>
        <v>No</v>
      </c>
      <c r="I1236" s="1" t="str">
        <f ca="1">IFERROR(__xludf.DUMMYFUNCTION("""COMPUTED_VALUE"""),"Will NOT work for them")</f>
        <v>Will NOT work for them</v>
      </c>
      <c r="J1236" s="1">
        <f ca="1">IFERROR(__xludf.DUMMYFUNCTION("""COMPUTED_VALUE"""),4)</f>
        <v>4</v>
      </c>
      <c r="K1236" s="1" t="str">
        <f ca="1">IFERROR(__xludf.DUMMYFUNCTION("""COMPUTED_VALUE"""),"Fully Remote with Options to travel as and when needed")</f>
        <v>Fully Remote with Options to travel as and when needed</v>
      </c>
      <c r="L1236" s="1" t="str">
        <f ca="1">IFERROR(__xludf.DUMMYFUNCTION("""COMPUTED_VALUE"""),"Employer who appreciates learning and enables that environment")</f>
        <v>Employer who appreciates learning and enables that environment</v>
      </c>
      <c r="M123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236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236" s="1" t="str">
        <f ca="1">IFERROR(__xludf.DUMMYFUNCTION("""COMPUTED_VALUE"""),"Manager who explains what is expected, sets a goal and helps achieve it")</f>
        <v>Manager who explains what is expected, sets a goal and helps achieve it</v>
      </c>
      <c r="P1236" s="1" t="str">
        <f ca="1">IFERROR(__xludf.DUMMYFUNCTION("""COMPUTED_VALUE"""),"Work with more than 10 people in my team")</f>
        <v>Work with more than 10 people in my team</v>
      </c>
      <c r="Q1236" s="1" t="str">
        <f ca="1">IFERROR(__xludf.DUMMYFUNCTION("""COMPUTED_VALUE"""),"Yes, I Understand this is gonna happen everywhere")</f>
        <v>Yes, I Understand this is gonna happen everywhere</v>
      </c>
      <c r="R1236" s="1" t="str">
        <f ca="1">IFERROR(__xludf.DUMMYFUNCTION("""COMPUTED_VALUE"""),"Will work for 7 years or more")</f>
        <v>Will work for 7 years or more</v>
      </c>
      <c r="S1236" s="1"/>
    </row>
    <row r="1237" spans="1:19" ht="12.5" x14ac:dyDescent="0.25">
      <c r="A1237" s="2">
        <f ca="1">IFERROR(__xludf.DUMMYFUNCTION("""COMPUTED_VALUE"""),45044.5211523032)</f>
        <v>45044.521152303198</v>
      </c>
      <c r="B1237" s="1" t="str">
        <f ca="1">IFERROR(__xludf.DUMMYFUNCTION("""COMPUTED_VALUE"""),"India")</f>
        <v>India</v>
      </c>
      <c r="C1237" s="1">
        <f ca="1">IFERROR(__xludf.DUMMYFUNCTION("""COMPUTED_VALUE"""),390019)</f>
        <v>390019</v>
      </c>
      <c r="D1237" s="1" t="str">
        <f ca="1">IFERROR(__xludf.DUMMYFUNCTION("""COMPUTED_VALUE"""),"Female")</f>
        <v>Female</v>
      </c>
      <c r="E1237" s="1" t="str">
        <f ca="1">IFERROR(__xludf.DUMMYFUNCTION("""COMPUTED_VALUE"""),"My Parents")</f>
        <v>My Parents</v>
      </c>
      <c r="F1237" s="1" t="str">
        <f ca="1">IFERROR(__xludf.DUMMYFUNCTION("""COMPUTED_VALUE"""),"Yes, I will earn and do that")</f>
        <v>Yes, I will earn and do that</v>
      </c>
      <c r="G1237" s="1" t="str">
        <f ca="1">IFERROR(__xludf.DUMMYFUNCTION("""COMPUTED_VALUE"""),"Will work for 3 years or more")</f>
        <v>Will work for 3 years or more</v>
      </c>
      <c r="H1237" s="1" t="str">
        <f ca="1">IFERROR(__xludf.DUMMYFUNCTION("""COMPUTED_VALUE"""),"No")</f>
        <v>No</v>
      </c>
      <c r="I1237" s="1" t="str">
        <f ca="1">IFERROR(__xludf.DUMMYFUNCTION("""COMPUTED_VALUE"""),"Will NOT work for them")</f>
        <v>Will NOT work for them</v>
      </c>
      <c r="J1237" s="1">
        <f ca="1">IFERROR(__xludf.DUMMYFUNCTION("""COMPUTED_VALUE"""),5)</f>
        <v>5</v>
      </c>
      <c r="K1237" s="1" t="str">
        <f ca="1">IFERROR(__xludf.DUMMYFUNCTION("""COMPUTED_VALUE"""),"Fully Remote with Options to travel as and when needed")</f>
        <v>Fully Remote with Options to travel as and when needed</v>
      </c>
      <c r="L1237" s="1" t="str">
        <f ca="1">IFERROR(__xludf.DUMMYFUNCTION("""COMPUTED_VALUE"""),"Employer who appreciates learning and enables that environment")</f>
        <v>Employer who appreciates learning and enables that environment</v>
      </c>
      <c r="M1237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237" s="1" t="str">
        <f ca="1">IFERROR(__xludf.DUMMYFUNCTION("""COMPUTED_VALUE"""),"Design and Creative strategy in any company, Manage and drive End-to-End Projects or Products, Work in a BPO setup for some well known client, Work as a freelancer and do my thing my way")</f>
        <v>Design and Creative strategy in any company, Manage and drive End-to-End Projects or Products, Work in a BPO setup for some well known client, Work as a freelancer and do my thing my way</v>
      </c>
      <c r="O1237" s="1" t="str">
        <f ca="1">IFERROR(__xludf.DUMMYFUNCTION("""COMPUTED_VALUE"""),"Manager who sets goal and helps me achieve it")</f>
        <v>Manager who sets goal and helps me achieve it</v>
      </c>
      <c r="P1237" s="1" t="str">
        <f ca="1">IFERROR(__xludf.DUMMYFUNCTION("""COMPUTED_VALUE"""),"Work with 5 to 6 people in my team")</f>
        <v>Work with 5 to 6 people in my team</v>
      </c>
      <c r="Q1237" s="1" t="str">
        <f ca="1">IFERROR(__xludf.DUMMYFUNCTION("""COMPUTED_VALUE"""),"Yes, I Understand this is gonna happen everywhere")</f>
        <v>Yes, I Understand this is gonna happen everywhere</v>
      </c>
      <c r="R1237" s="1" t="str">
        <f ca="1">IFERROR(__xludf.DUMMYFUNCTION("""COMPUTED_VALUE"""),"Will work for 7 years or more")</f>
        <v>Will work for 7 years or more</v>
      </c>
      <c r="S1237" s="1"/>
    </row>
    <row r="1238" spans="1:19" ht="12.5" x14ac:dyDescent="0.25">
      <c r="A1238" s="2">
        <f ca="1">IFERROR(__xludf.DUMMYFUNCTION("""COMPUTED_VALUE"""),45044.5215621527)</f>
        <v>45044.521562152702</v>
      </c>
      <c r="B1238" s="1" t="str">
        <f ca="1">IFERROR(__xludf.DUMMYFUNCTION("""COMPUTED_VALUE"""),"India")</f>
        <v>India</v>
      </c>
      <c r="C1238" s="1">
        <f ca="1">IFERROR(__xludf.DUMMYFUNCTION("""COMPUTED_VALUE"""),110093)</f>
        <v>110093</v>
      </c>
      <c r="D1238" s="1" t="str">
        <f ca="1">IFERROR(__xludf.DUMMYFUNCTION("""COMPUTED_VALUE"""),"Male")</f>
        <v>Male</v>
      </c>
      <c r="E1238" s="1" t="str">
        <f ca="1">IFERROR(__xludf.DUMMYFUNCTION("""COMPUTED_VALUE"""),"People who have changed the world for better")</f>
        <v>People who have changed the world for better</v>
      </c>
      <c r="F1238" s="1" t="str">
        <f ca="1">IFERROR(__xludf.DUMMYFUNCTION("""COMPUTED_VALUE"""),"Yes, I will earn and do that")</f>
        <v>Yes, I will earn and do that</v>
      </c>
      <c r="G1238" s="1" t="str">
        <f ca="1">IFERROR(__xludf.DUMMYFUNCTION("""COMPUTED_VALUE"""),"Will work for 3 years or more")</f>
        <v>Will work for 3 years or more</v>
      </c>
      <c r="H1238" s="1" t="str">
        <f ca="1">IFERROR(__xludf.DUMMYFUNCTION("""COMPUTED_VALUE"""),"No")</f>
        <v>No</v>
      </c>
      <c r="I1238" s="1" t="str">
        <f ca="1">IFERROR(__xludf.DUMMYFUNCTION("""COMPUTED_VALUE"""),"Will NOT work for them")</f>
        <v>Will NOT work for them</v>
      </c>
      <c r="J1238" s="1">
        <f ca="1">IFERROR(__xludf.DUMMYFUNCTION("""COMPUTED_VALUE"""),5)</f>
        <v>5</v>
      </c>
      <c r="K1238" s="1" t="str">
        <f ca="1">IFERROR(__xludf.DUMMYFUNCTION("""COMPUTED_VALUE"""),"Every Day Office Environment")</f>
        <v>Every Day Office Environment</v>
      </c>
      <c r="L12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3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38" s="1" t="str">
        <f ca="1">IFERROR(__xludf.DUMMYFUNCTION("""COMPUTED_VALUE"""),"Design and Creative strategy in any company, Work as a freelancer and do my thing my way, Entrepreneur or Start Up, An Artificial Intelligence Specialist / Talking to Robots")</f>
        <v>Design and Creative strategy in any company, Work as a freelancer and do my thing my way, Entrepreneur or Start Up, An Artificial Intelligence Specialist / Talking to Robots</v>
      </c>
      <c r="O1238" s="1" t="str">
        <f ca="1">IFERROR(__xludf.DUMMYFUNCTION("""COMPUTED_VALUE"""),"Manager who sets goal and helps me achieve it")</f>
        <v>Manager who sets goal and helps me achieve it</v>
      </c>
      <c r="P1238" s="1" t="str">
        <f ca="1">IFERROR(__xludf.DUMMYFUNCTION("""COMPUTED_VALUE"""),"Work with 5 to 6 people in my team")</f>
        <v>Work with 5 to 6 people in my team</v>
      </c>
      <c r="Q1238" s="1" t="str">
        <f ca="1">IFERROR(__xludf.DUMMYFUNCTION("""COMPUTED_VALUE"""),"Yes, I Understand this is gonna happen everywhere")</f>
        <v>Yes, I Understand this is gonna happen everywhere</v>
      </c>
      <c r="R1238" s="1" t="str">
        <f ca="1">IFERROR(__xludf.DUMMYFUNCTION("""COMPUTED_VALUE"""),"This will be hard to do, but if it is the right company I would try")</f>
        <v>This will be hard to do, but if it is the right company I would try</v>
      </c>
      <c r="S1238" s="1"/>
    </row>
    <row r="1239" spans="1:19" ht="12.5" x14ac:dyDescent="0.25">
      <c r="A1239" s="2">
        <f ca="1">IFERROR(__xludf.DUMMYFUNCTION("""COMPUTED_VALUE"""),45044.5253124884)</f>
        <v>45044.525312488397</v>
      </c>
      <c r="B1239" s="1" t="str">
        <f ca="1">IFERROR(__xludf.DUMMYFUNCTION("""COMPUTED_VALUE"""),"India")</f>
        <v>India</v>
      </c>
      <c r="C1239" s="1">
        <f ca="1">IFERROR(__xludf.DUMMYFUNCTION("""COMPUTED_VALUE"""),411048)</f>
        <v>411048</v>
      </c>
      <c r="D1239" s="1" t="str">
        <f ca="1">IFERROR(__xludf.DUMMYFUNCTION("""COMPUTED_VALUE"""),"Male")</f>
        <v>Male</v>
      </c>
      <c r="E1239" s="1" t="str">
        <f ca="1">IFERROR(__xludf.DUMMYFUNCTION("""COMPUTED_VALUE"""),"My Parents")</f>
        <v>My Parents</v>
      </c>
      <c r="F1239" s="1" t="str">
        <f ca="1">IFERROR(__xludf.DUMMYFUNCTION("""COMPUTED_VALUE"""),"No I would not be pursuing Higher Education outside of India")</f>
        <v>No I would not be pursuing Higher Education outside of India</v>
      </c>
      <c r="G1239" s="1" t="str">
        <f ca="1">IFERROR(__xludf.DUMMYFUNCTION("""COMPUTED_VALUE"""),"Will work for 3 years or more")</f>
        <v>Will work for 3 years or more</v>
      </c>
      <c r="H1239" s="1" t="str">
        <f ca="1">IFERROR(__xludf.DUMMYFUNCTION("""COMPUTED_VALUE"""),"Yes")</f>
        <v>Yes</v>
      </c>
      <c r="I1239" s="1" t="str">
        <f ca="1">IFERROR(__xludf.DUMMYFUNCTION("""COMPUTED_VALUE"""),"Will work for them")</f>
        <v>Will work for them</v>
      </c>
      <c r="J1239" s="1">
        <f ca="1">IFERROR(__xludf.DUMMYFUNCTION("""COMPUTED_VALUE"""),8)</f>
        <v>8</v>
      </c>
      <c r="K1239" s="1" t="str">
        <f ca="1">IFERROR(__xludf.DUMMYFUNCTION("""COMPUTED_VALUE"""),"Hybrid Working Environment with more than 15 days a month at office")</f>
        <v>Hybrid Working Environment with more than 15 days a month at office</v>
      </c>
      <c r="L12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39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239" s="1" t="str">
        <f ca="1">IFERROR(__xludf.DUMMYFUNCTION("""COMPUTED_VALUE"""),"Teaching in any of the institutes/colleges/online or offline, Manage and drive End-to-End Projects or Products, Look deeply into Data and generate insights, An Artificial Intelligence Specialist / Talking to Robots")</f>
        <v>Teaching in any of the institutes/colleges/online or offline, Manage and drive End-to-End Projects or Products, Look deeply into Data and generate insights, An Artificial Intelligence Specialist / Talking to Robots</v>
      </c>
      <c r="O1239" s="1" t="str">
        <f ca="1">IFERROR(__xludf.DUMMYFUNCTION("""COMPUTED_VALUE"""),"Manager who explains what is expected, sets a goal and helps achieve it")</f>
        <v>Manager who explains what is expected, sets a goal and helps achieve it</v>
      </c>
      <c r="P1239" s="1" t="str">
        <f ca="1">IFERROR(__xludf.DUMMYFUNCTION("""COMPUTED_VALUE"""),"Work alone, Work with 5 to 6 people in my team")</f>
        <v>Work alone, Work with 5 to 6 people in my team</v>
      </c>
      <c r="Q1239" s="1" t="str">
        <f ca="1">IFERROR(__xludf.DUMMYFUNCTION("""COMPUTED_VALUE"""),"I have NO other choice")</f>
        <v>I have NO other choice</v>
      </c>
      <c r="R1239" s="1" t="str">
        <f ca="1">IFERROR(__xludf.DUMMYFUNCTION("""COMPUTED_VALUE"""),"Will work for 7 years or more")</f>
        <v>Will work for 7 years or more</v>
      </c>
      <c r="S1239" s="1"/>
    </row>
    <row r="1240" spans="1:19" ht="12.5" x14ac:dyDescent="0.25">
      <c r="A1240" s="2">
        <f ca="1">IFERROR(__xludf.DUMMYFUNCTION("""COMPUTED_VALUE"""),45044.526830729)</f>
        <v>45044.526830729097</v>
      </c>
      <c r="B1240" s="1" t="str">
        <f ca="1">IFERROR(__xludf.DUMMYFUNCTION("""COMPUTED_VALUE"""),"India")</f>
        <v>India</v>
      </c>
      <c r="C1240" s="1">
        <f ca="1">IFERROR(__xludf.DUMMYFUNCTION("""COMPUTED_VALUE"""),828105)</f>
        <v>828105</v>
      </c>
      <c r="D1240" s="1" t="str">
        <f ca="1">IFERROR(__xludf.DUMMYFUNCTION("""COMPUTED_VALUE"""),"Female")</f>
        <v>Female</v>
      </c>
      <c r="E1240" s="1" t="str">
        <f ca="1">IFERROR(__xludf.DUMMYFUNCTION("""COMPUTED_VALUE"""),"My Parents")</f>
        <v>My Parents</v>
      </c>
      <c r="F1240" s="1" t="str">
        <f ca="1">IFERROR(__xludf.DUMMYFUNCTION("""COMPUTED_VALUE"""),"Yes, I will earn and do that")</f>
        <v>Yes, I will earn and do that</v>
      </c>
      <c r="G1240" s="1" t="str">
        <f ca="1">IFERROR(__xludf.DUMMYFUNCTION("""COMPUTED_VALUE"""),"Will work for 3 years or more")</f>
        <v>Will work for 3 years or more</v>
      </c>
      <c r="H1240" s="1" t="str">
        <f ca="1">IFERROR(__xludf.DUMMYFUNCTION("""COMPUTED_VALUE"""),"Yes")</f>
        <v>Yes</v>
      </c>
      <c r="I1240" s="1" t="str">
        <f ca="1">IFERROR(__xludf.DUMMYFUNCTION("""COMPUTED_VALUE"""),"Will NOT work for them")</f>
        <v>Will NOT work for them</v>
      </c>
      <c r="J1240" s="1">
        <f ca="1">IFERROR(__xludf.DUMMYFUNCTION("""COMPUTED_VALUE"""),5)</f>
        <v>5</v>
      </c>
      <c r="K1240" s="1" t="str">
        <f ca="1">IFERROR(__xludf.DUMMYFUNCTION("""COMPUTED_VALUE"""),"Every Day Office Environment")</f>
        <v>Every Day Office Environment</v>
      </c>
      <c r="L1240" s="1" t="str">
        <f ca="1">IFERROR(__xludf.DUMMYFUNCTION("""COMPUTED_VALUE"""),"Employer who appreciates learning and enables that environment")</f>
        <v>Employer who appreciates learning and enables that environment</v>
      </c>
      <c r="M1240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240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1240" s="1" t="str">
        <f ca="1">IFERROR(__xludf.DUMMYFUNCTION("""COMPUTED_VALUE"""),"Manager who sets goal and helps me achieve it")</f>
        <v>Manager who sets goal and helps me achieve it</v>
      </c>
      <c r="P1240" s="1" t="str">
        <f ca="1">IFERROR(__xludf.DUMMYFUNCTION("""COMPUTED_VALUE"""),"Work with 2 to 3 people in my team")</f>
        <v>Work with 2 to 3 people in my team</v>
      </c>
      <c r="Q1240" s="1" t="str">
        <f ca="1">IFERROR(__xludf.DUMMYFUNCTION("""COMPUTED_VALUE"""),"Yes, I Understand this is gonna happen everywhere")</f>
        <v>Yes, I Understand this is gonna happen everywhere</v>
      </c>
      <c r="R1240" s="1" t="str">
        <f ca="1">IFERROR(__xludf.DUMMYFUNCTION("""COMPUTED_VALUE"""),"This will be hard to do, but if it is the right company I would try")</f>
        <v>This will be hard to do, but if it is the right company I would try</v>
      </c>
      <c r="S1240" s="1"/>
    </row>
    <row r="1241" spans="1:19" ht="12.5" x14ac:dyDescent="0.25">
      <c r="A1241" s="2">
        <f ca="1">IFERROR(__xludf.DUMMYFUNCTION("""COMPUTED_VALUE"""),45044.5276795485)</f>
        <v>45044.527679548599</v>
      </c>
      <c r="B1241" s="1" t="str">
        <f ca="1">IFERROR(__xludf.DUMMYFUNCTION("""COMPUTED_VALUE"""),"India")</f>
        <v>India</v>
      </c>
      <c r="C1241" s="1">
        <f ca="1">IFERROR(__xludf.DUMMYFUNCTION("""COMPUTED_VALUE"""),244412)</f>
        <v>244412</v>
      </c>
      <c r="D1241" s="1" t="str">
        <f ca="1">IFERROR(__xludf.DUMMYFUNCTION("""COMPUTED_VALUE"""),"Male")</f>
        <v>Male</v>
      </c>
      <c r="E1241" s="1" t="str">
        <f ca="1">IFERROR(__xludf.DUMMYFUNCTION("""COMPUTED_VALUE"""),"People who have changed the world for better")</f>
        <v>People who have changed the world for better</v>
      </c>
      <c r="F1241" s="1" t="str">
        <f ca="1">IFERROR(__xludf.DUMMYFUNCTION("""COMPUTED_VALUE"""),"Yes, I will earn and do that")</f>
        <v>Yes, I will earn and do that</v>
      </c>
      <c r="G1241" s="1" t="str">
        <f ca="1">IFERROR(__xludf.DUMMYFUNCTION("""COMPUTED_VALUE"""),"This will be hard to do, but if it is the right company I would try")</f>
        <v>This will be hard to do, but if it is the right company I would try</v>
      </c>
      <c r="H1241" s="1" t="str">
        <f ca="1">IFERROR(__xludf.DUMMYFUNCTION("""COMPUTED_VALUE"""),"No")</f>
        <v>No</v>
      </c>
      <c r="I1241" s="1" t="str">
        <f ca="1">IFERROR(__xludf.DUMMYFUNCTION("""COMPUTED_VALUE"""),"Will NOT work for them")</f>
        <v>Will NOT work for them</v>
      </c>
      <c r="J1241" s="1">
        <f ca="1">IFERROR(__xludf.DUMMYFUNCTION("""COMPUTED_VALUE"""),2)</f>
        <v>2</v>
      </c>
      <c r="K1241" s="1" t="str">
        <f ca="1">IFERROR(__xludf.DUMMYFUNCTION("""COMPUTED_VALUE"""),"Fully Remote with Options to travel as and when needed")</f>
        <v>Fully Remote with Options to travel as and when needed</v>
      </c>
      <c r="L12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4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241" s="1" t="str">
        <f ca="1">IFERROR(__xludf.DUMMYFUNCTION("""COMPUTED_VALUE"""),"Business Operations in any organization, Build and develop a Team, Look deeply into Data and generate insights, Manufacturing / Oil and Gas/ Construction / Hard Physical Work related")</f>
        <v>Business Operations in any organization, Build and develop a Team, Look deeply into Data and generate insights, Manufacturing / Oil and Gas/ Construction / Hard Physical Work related</v>
      </c>
      <c r="O1241" s="1" t="str">
        <f ca="1">IFERROR(__xludf.DUMMYFUNCTION("""COMPUTED_VALUE"""),"Manager who explains what is expected, sets a goal and helps achieve it")</f>
        <v>Manager who explains what is expected, sets a goal and helps achieve it</v>
      </c>
      <c r="P1241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241" s="1" t="str">
        <f ca="1">IFERROR(__xludf.DUMMYFUNCTION("""COMPUTED_VALUE"""),"Yes, I Understand this is gonna happen everywhere")</f>
        <v>Yes, I Understand this is gonna happen everywhere</v>
      </c>
      <c r="R1241" s="1" t="str">
        <f ca="1">IFERROR(__xludf.DUMMYFUNCTION("""COMPUTED_VALUE"""),"This will be hard to do, but if it is the right company I would try")</f>
        <v>This will be hard to do, but if it is the right company I would try</v>
      </c>
      <c r="S1241" s="1"/>
    </row>
    <row r="1242" spans="1:19" ht="12.5" x14ac:dyDescent="0.25">
      <c r="A1242" s="2">
        <f ca="1">IFERROR(__xludf.DUMMYFUNCTION("""COMPUTED_VALUE"""),45044.5291791782)</f>
        <v>45044.5291791782</v>
      </c>
      <c r="B1242" s="1" t="str">
        <f ca="1">IFERROR(__xludf.DUMMYFUNCTION("""COMPUTED_VALUE"""),"India")</f>
        <v>India</v>
      </c>
      <c r="C1242" s="1">
        <f ca="1">IFERROR(__xludf.DUMMYFUNCTION("""COMPUTED_VALUE"""),560047)</f>
        <v>560047</v>
      </c>
      <c r="D1242" s="1" t="str">
        <f ca="1">IFERROR(__xludf.DUMMYFUNCTION("""COMPUTED_VALUE"""),"Female")</f>
        <v>Female</v>
      </c>
      <c r="E1242" s="1" t="str">
        <f ca="1">IFERROR(__xludf.DUMMYFUNCTION("""COMPUTED_VALUE"""),"Influencers who had successful careers")</f>
        <v>Influencers who had successful careers</v>
      </c>
      <c r="F1242" s="1" t="str">
        <f ca="1">IFERROR(__xludf.DUMMYFUNCTION("""COMPUTED_VALUE"""),"Yes, I will earn and do that")</f>
        <v>Yes, I will earn and do that</v>
      </c>
      <c r="G1242" s="1" t="str">
        <f ca="1">IFERROR(__xludf.DUMMYFUNCTION("""COMPUTED_VALUE"""),"This will be hard to do, but if it is the right company I would try")</f>
        <v>This will be hard to do, but if it is the right company I would try</v>
      </c>
      <c r="H1242" s="1" t="str">
        <f ca="1">IFERROR(__xludf.DUMMYFUNCTION("""COMPUTED_VALUE"""),"No")</f>
        <v>No</v>
      </c>
      <c r="I1242" s="1" t="str">
        <f ca="1">IFERROR(__xludf.DUMMYFUNCTION("""COMPUTED_VALUE"""),"Will NOT work for them")</f>
        <v>Will NOT work for them</v>
      </c>
      <c r="J1242" s="1">
        <f ca="1">IFERROR(__xludf.DUMMYFUNCTION("""COMPUTED_VALUE"""),5)</f>
        <v>5</v>
      </c>
      <c r="K1242" s="1" t="str">
        <f ca="1">IFERROR(__xludf.DUMMYFUNCTION("""COMPUTED_VALUE"""),"Fully Remote with Options to travel as and when needed")</f>
        <v>Fully Remote with Options to travel as and when needed</v>
      </c>
      <c r="L1242" s="1" t="str">
        <f ca="1">IFERROR(__xludf.DUMMYFUNCTION("""COMPUTED_VALUE"""),"Employer who appreciates learning and enables that environment")</f>
        <v>Employer who appreciates learning and enables that environment</v>
      </c>
      <c r="M124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242" s="1" t="str">
        <f ca="1">IFERROR(__xludf.DUMMYFUNCTION("""COMPUTED_VALUE"""),"Design and Creative strategy in any company, Entrepreneur or Start Up, An Artificial Intelligence Specialist / Talking to Robots, Manufacturing / Oil and Gas/ Construction / Hard Physical Work related")</f>
        <v>Design and Creative strategy in any company, Entrepreneur or Start Up, An Artificial Intelligence Specialist / Talking to Robots, Manufacturing / Oil and Gas/ Construction / Hard Physical Work related</v>
      </c>
      <c r="O1242" s="1" t="str">
        <f ca="1">IFERROR(__xludf.DUMMYFUNCTION("""COMPUTED_VALUE"""),"Manager who sets goal and helps me achieve it")</f>
        <v>Manager who sets goal and helps me achieve it</v>
      </c>
      <c r="P1242" s="1" t="str">
        <f ca="1">IFERROR(__xludf.DUMMYFUNCTION("""COMPUTED_VALUE"""),"Work alone")</f>
        <v>Work alone</v>
      </c>
      <c r="Q1242" s="1" t="str">
        <f ca="1">IFERROR(__xludf.DUMMYFUNCTION("""COMPUTED_VALUE"""),"Yes, I Understand this is gonna happen everywhere")</f>
        <v>Yes, I Understand this is gonna happen everywhere</v>
      </c>
      <c r="R1242" s="1" t="str">
        <f ca="1">IFERROR(__xludf.DUMMYFUNCTION("""COMPUTED_VALUE"""),"This will be hard to do, but if it is the right company I would try")</f>
        <v>This will be hard to do, but if it is the right company I would try</v>
      </c>
      <c r="S1242" s="1"/>
    </row>
    <row r="1243" spans="1:19" ht="12.5" x14ac:dyDescent="0.25">
      <c r="A1243" s="2">
        <f ca="1">IFERROR(__xludf.DUMMYFUNCTION("""COMPUTED_VALUE"""),45044.5302500925)</f>
        <v>45044.530250092503</v>
      </c>
      <c r="B1243" s="1" t="str">
        <f ca="1">IFERROR(__xludf.DUMMYFUNCTION("""COMPUTED_VALUE"""),"Others")</f>
        <v>Others</v>
      </c>
      <c r="C1243" s="1">
        <f ca="1">IFERROR(__xludf.DUMMYFUNCTION("""COMPUTED_VALUE"""),700032)</f>
        <v>700032</v>
      </c>
      <c r="D1243" s="1" t="str">
        <f ca="1">IFERROR(__xludf.DUMMYFUNCTION("""COMPUTED_VALUE"""),"Female")</f>
        <v>Female</v>
      </c>
      <c r="E1243" s="1" t="str">
        <f ca="1">IFERROR(__xludf.DUMMYFUNCTION("""COMPUTED_VALUE"""),"People who have changed the world for better")</f>
        <v>People who have changed the world for better</v>
      </c>
      <c r="F1243" s="1" t="str">
        <f ca="1">IFERROR(__xludf.DUMMYFUNCTION("""COMPUTED_VALUE"""),"No, But if someone could bare the cost I will")</f>
        <v>No, But if someone could bare the cost I will</v>
      </c>
      <c r="G1243" s="1" t="str">
        <f ca="1">IFERROR(__xludf.DUMMYFUNCTION("""COMPUTED_VALUE"""),"No way")</f>
        <v>No way</v>
      </c>
      <c r="H1243" s="1" t="str">
        <f ca="1">IFERROR(__xludf.DUMMYFUNCTION("""COMPUTED_VALUE"""),"Yes")</f>
        <v>Yes</v>
      </c>
      <c r="I1243" s="1" t="str">
        <f ca="1">IFERROR(__xludf.DUMMYFUNCTION("""COMPUTED_VALUE"""),"Will work for them")</f>
        <v>Will work for them</v>
      </c>
      <c r="J1243" s="1">
        <f ca="1">IFERROR(__xludf.DUMMYFUNCTION("""COMPUTED_VALUE"""),5)</f>
        <v>5</v>
      </c>
      <c r="K1243" s="1" t="str">
        <f ca="1">IFERROR(__xludf.DUMMYFUNCTION("""COMPUTED_VALUE"""),"Fully Remote with No option to visit offices")</f>
        <v>Fully Remote with No option to visit offices</v>
      </c>
      <c r="L1243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2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43" s="1" t="str">
        <f ca="1">IFERROR(__xludf.DUMMYFUNCTION("""COMPUTED_VALUE"""),"Work in a BPO setup for some well known client, Work as a freelancer and do my thing my way, An Artificial Intelligence Specialist / Talking to Robots, Manufacturing / Oil and Gas/ Construction / Hard Physical Work related")</f>
        <v>Work in a BPO setup for some well known client, Work as a freelancer and do my thing my way, An Artificial Intelligence Specialist / Talking to Robots, Manufacturing / Oil and Gas/ Construction / Hard Physical Work related</v>
      </c>
      <c r="O1243" s="1" t="str">
        <f ca="1">IFERROR(__xludf.DUMMYFUNCTION("""COMPUTED_VALUE"""),"Manager who sets goal and helps me achieve it")</f>
        <v>Manager who sets goal and helps me achieve it</v>
      </c>
      <c r="P1243" s="1" t="str">
        <f ca="1">IFERROR(__xludf.DUMMYFUNCTION("""COMPUTED_VALUE"""),"Work with more than 10 people in my team")</f>
        <v>Work with more than 10 people in my team</v>
      </c>
      <c r="Q1243" s="1" t="str">
        <f ca="1">IFERROR(__xludf.DUMMYFUNCTION("""COMPUTED_VALUE"""),"Yes")</f>
        <v>Yes</v>
      </c>
      <c r="R1243" s="1" t="str">
        <f ca="1">IFERROR(__xludf.DUMMYFUNCTION("""COMPUTED_VALUE"""),"Will work for 7 years or more")</f>
        <v>Will work for 7 years or more</v>
      </c>
      <c r="S1243" s="1"/>
    </row>
    <row r="1244" spans="1:19" ht="12.5" x14ac:dyDescent="0.25">
      <c r="A1244" s="2">
        <f ca="1">IFERROR(__xludf.DUMMYFUNCTION("""COMPUTED_VALUE"""),45044.5319288888)</f>
        <v>45044.531928888799</v>
      </c>
      <c r="B1244" s="1" t="str">
        <f ca="1">IFERROR(__xludf.DUMMYFUNCTION("""COMPUTED_VALUE"""),"India")</f>
        <v>India</v>
      </c>
      <c r="C1244" s="1">
        <f ca="1">IFERROR(__xludf.DUMMYFUNCTION("""COMPUTED_VALUE"""),508210)</f>
        <v>508210</v>
      </c>
      <c r="D1244" s="1" t="str">
        <f ca="1">IFERROR(__xludf.DUMMYFUNCTION("""COMPUTED_VALUE"""),"Male")</f>
        <v>Male</v>
      </c>
      <c r="E1244" s="1" t="str">
        <f ca="1">IFERROR(__xludf.DUMMYFUNCTION("""COMPUTED_VALUE"""),"Influencers who had successful careers")</f>
        <v>Influencers who had successful careers</v>
      </c>
      <c r="F1244" s="1" t="str">
        <f ca="1">IFERROR(__xludf.DUMMYFUNCTION("""COMPUTED_VALUE"""),"No I would not be pursuing Higher Education outside of India")</f>
        <v>No I would not be pursuing Higher Education outside of India</v>
      </c>
      <c r="G1244" s="1" t="str">
        <f ca="1">IFERROR(__xludf.DUMMYFUNCTION("""COMPUTED_VALUE"""),"This will be hard to do, but if it is the right company I would try")</f>
        <v>This will be hard to do, but if it is the right company I would try</v>
      </c>
      <c r="H1244" s="1" t="str">
        <f ca="1">IFERROR(__xludf.DUMMYFUNCTION("""COMPUTED_VALUE"""),"No")</f>
        <v>No</v>
      </c>
      <c r="I1244" s="1" t="str">
        <f ca="1">IFERROR(__xludf.DUMMYFUNCTION("""COMPUTED_VALUE"""),"Will NOT work for them")</f>
        <v>Will NOT work for them</v>
      </c>
      <c r="J1244" s="1">
        <f ca="1">IFERROR(__xludf.DUMMYFUNCTION("""COMPUTED_VALUE"""),8)</f>
        <v>8</v>
      </c>
      <c r="K1244" s="1" t="str">
        <f ca="1">IFERROR(__xludf.DUMMYFUNCTION("""COMPUTED_VALUE"""),"Fully Remote with Options to travel as and when needed")</f>
        <v>Fully Remote with Options to travel as and when needed</v>
      </c>
      <c r="L12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4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44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1244" s="1" t="str">
        <f ca="1">IFERROR(__xludf.DUMMYFUNCTION("""COMPUTED_VALUE"""),"Manager who explains what is expected, sets a goal and helps achieve it")</f>
        <v>Manager who explains what is expected, sets a goal and helps achieve it</v>
      </c>
      <c r="P1244" s="1" t="str">
        <f ca="1">IFERROR(__xludf.DUMMYFUNCTION("""COMPUTED_VALUE"""),"Work with 5 to 6 people in my team")</f>
        <v>Work with 5 to 6 people in my team</v>
      </c>
      <c r="Q1244" s="1" t="str">
        <f ca="1">IFERROR(__xludf.DUMMYFUNCTION("""COMPUTED_VALUE"""),"No")</f>
        <v>No</v>
      </c>
      <c r="R1244" s="1" t="str">
        <f ca="1">IFERROR(__xludf.DUMMYFUNCTION("""COMPUTED_VALUE"""),"No way")</f>
        <v>No way</v>
      </c>
      <c r="S1244" s="1"/>
    </row>
    <row r="1245" spans="1:19" ht="12.5" x14ac:dyDescent="0.25">
      <c r="A1245" s="2">
        <f ca="1">IFERROR(__xludf.DUMMYFUNCTION("""COMPUTED_VALUE"""),45044.532725405)</f>
        <v>45044.532725404999</v>
      </c>
      <c r="B1245" s="1" t="str">
        <f ca="1">IFERROR(__xludf.DUMMYFUNCTION("""COMPUTED_VALUE"""),"India")</f>
        <v>India</v>
      </c>
      <c r="C1245" s="1">
        <f ca="1">IFERROR(__xludf.DUMMYFUNCTION("""COMPUTED_VALUE"""),700006)</f>
        <v>700006</v>
      </c>
      <c r="D1245" s="1" t="str">
        <f ca="1">IFERROR(__xludf.DUMMYFUNCTION("""COMPUTED_VALUE"""),"Female")</f>
        <v>Female</v>
      </c>
      <c r="E1245" s="1" t="str">
        <f ca="1">IFERROR(__xludf.DUMMYFUNCTION("""COMPUTED_VALUE"""),"Influencers who had successful careers")</f>
        <v>Influencers who had successful careers</v>
      </c>
      <c r="F1245" s="1" t="str">
        <f ca="1">IFERROR(__xludf.DUMMYFUNCTION("""COMPUTED_VALUE"""),"No, But if someone could bare the cost I will")</f>
        <v>No, But if someone could bare the cost I will</v>
      </c>
      <c r="G1245" s="1" t="str">
        <f ca="1">IFERROR(__xludf.DUMMYFUNCTION("""COMPUTED_VALUE"""),"This will be hard to do, but if it is the right company I would try")</f>
        <v>This will be hard to do, but if it is the right company I would try</v>
      </c>
      <c r="H1245" s="1" t="str">
        <f ca="1">IFERROR(__xludf.DUMMYFUNCTION("""COMPUTED_VALUE"""),"Yes")</f>
        <v>Yes</v>
      </c>
      <c r="I1245" s="1" t="str">
        <f ca="1">IFERROR(__xludf.DUMMYFUNCTION("""COMPUTED_VALUE"""),"Will NOT work for them")</f>
        <v>Will NOT work for them</v>
      </c>
      <c r="J1245" s="1">
        <f ca="1">IFERROR(__xludf.DUMMYFUNCTION("""COMPUTED_VALUE"""),9)</f>
        <v>9</v>
      </c>
      <c r="K1245" s="1" t="str">
        <f ca="1">IFERROR(__xludf.DUMMYFUNCTION("""COMPUTED_VALUE"""),"Fully Remote with Options to travel as and when needed")</f>
        <v>Fully Remote with Options to travel as and when needed</v>
      </c>
      <c r="L1245" s="1" t="str">
        <f ca="1">IFERROR(__xludf.DUMMYFUNCTION("""COMPUTED_VALUE"""),"Employer who appreciates learning and enables that environment")</f>
        <v>Employer who appreciates learning and enables that environment</v>
      </c>
      <c r="M1245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1245" s="1" t="str">
        <f ca="1">IFERROR(__xludf.DUMMYFUNCTION("""COMPUTED_VALUE"""),"Design and Creative strategy in any company, Teaching in any of the institutes/colleges/online or offline, I Want to sell things/Sales, An Artificial Intelligence Specialist / Talking to Robots")</f>
        <v>Design and Creative strategy in any company, Teaching in any of the institutes/colleges/online or offline, I Want to sell things/Sales, An Artificial Intelligence Specialist / Talking to Robots</v>
      </c>
      <c r="O1245" s="1" t="str">
        <f ca="1">IFERROR(__xludf.DUMMYFUNCTION("""COMPUTED_VALUE"""),"Manager who clearly describes what she/he needs")</f>
        <v>Manager who clearly describes what she/he needs</v>
      </c>
      <c r="P1245" s="1" t="str">
        <f ca="1">IFERROR(__xludf.DUMMYFUNCTION("""COMPUTED_VALUE"""),"Work with 5 to 6 people in my team")</f>
        <v>Work with 5 to 6 people in my team</v>
      </c>
      <c r="Q1245" s="1" t="str">
        <f ca="1">IFERROR(__xludf.DUMMYFUNCTION("""COMPUTED_VALUE"""),"No")</f>
        <v>No</v>
      </c>
      <c r="R1245" s="1" t="str">
        <f ca="1">IFERROR(__xludf.DUMMYFUNCTION("""COMPUTED_VALUE"""),"This will be hard to do, but if it is the right company I would try")</f>
        <v>This will be hard to do, but if it is the right company I would try</v>
      </c>
      <c r="S1245" s="1"/>
    </row>
    <row r="1246" spans="1:19" ht="12.5" x14ac:dyDescent="0.25">
      <c r="A1246" s="2">
        <f ca="1">IFERROR(__xludf.DUMMYFUNCTION("""COMPUTED_VALUE"""),45044.5349920138)</f>
        <v>45044.534992013803</v>
      </c>
      <c r="B1246" s="1" t="str">
        <f ca="1">IFERROR(__xludf.DUMMYFUNCTION("""COMPUTED_VALUE"""),"India")</f>
        <v>India</v>
      </c>
      <c r="C1246" s="1">
        <f ca="1">IFERROR(__xludf.DUMMYFUNCTION("""COMPUTED_VALUE"""),637404)</f>
        <v>637404</v>
      </c>
      <c r="D1246" s="1" t="str">
        <f ca="1">IFERROR(__xludf.DUMMYFUNCTION("""COMPUTED_VALUE"""),"Female")</f>
        <v>Female</v>
      </c>
      <c r="E1246" s="1" t="str">
        <f ca="1">IFERROR(__xludf.DUMMYFUNCTION("""COMPUTED_VALUE"""),"Influencers who had successful careers")</f>
        <v>Influencers who had successful careers</v>
      </c>
      <c r="F1246" s="1" t="str">
        <f ca="1">IFERROR(__xludf.DUMMYFUNCTION("""COMPUTED_VALUE"""),"Yes, I will earn and do that")</f>
        <v>Yes, I will earn and do that</v>
      </c>
      <c r="G1246" s="1" t="str">
        <f ca="1">IFERROR(__xludf.DUMMYFUNCTION("""COMPUTED_VALUE"""),"This will be hard to do, but if it is the right company I would try")</f>
        <v>This will be hard to do, but if it is the right company I would try</v>
      </c>
      <c r="H1246" s="1" t="str">
        <f ca="1">IFERROR(__xludf.DUMMYFUNCTION("""COMPUTED_VALUE"""),"No")</f>
        <v>No</v>
      </c>
      <c r="I1246" s="1" t="str">
        <f ca="1">IFERROR(__xludf.DUMMYFUNCTION("""COMPUTED_VALUE"""),"Will NOT work for them")</f>
        <v>Will NOT work for them</v>
      </c>
      <c r="J1246" s="1">
        <f ca="1">IFERROR(__xludf.DUMMYFUNCTION("""COMPUTED_VALUE"""),7)</f>
        <v>7</v>
      </c>
      <c r="K1246" s="1" t="str">
        <f ca="1">IFERROR(__xludf.DUMMYFUNCTION("""COMPUTED_VALUE"""),"Hybrid Working Environment with less than 3 days a month at office")</f>
        <v>Hybrid Working Environment with less than 3 days a month at office</v>
      </c>
      <c r="L1246" s="1" t="str">
        <f ca="1">IFERROR(__xludf.DUMMYFUNCTION("""COMPUTED_VALUE"""),"Employer who appreciates learning and enables that environment")</f>
        <v>Employer who appreciates learning and enables that environment</v>
      </c>
      <c r="M124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46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1246" s="1" t="str">
        <f ca="1">IFERROR(__xludf.DUMMYFUNCTION("""COMPUTED_VALUE"""),"Manager who explains what is expected, sets a goal and helps achieve it")</f>
        <v>Manager who explains what is expected, sets a goal and helps achieve it</v>
      </c>
      <c r="P1246" s="1" t="str">
        <f ca="1">IFERROR(__xludf.DUMMYFUNCTION("""COMPUTED_VALUE"""),"Work with more than 10 people in my team")</f>
        <v>Work with more than 10 people in my team</v>
      </c>
      <c r="Q1246" s="1" t="str">
        <f ca="1">IFERROR(__xludf.DUMMYFUNCTION("""COMPUTED_VALUE"""),"Yes, I Understand this is gonna happen everywhere")</f>
        <v>Yes, I Understand this is gonna happen everywhere</v>
      </c>
      <c r="R1246" s="1" t="str">
        <f ca="1">IFERROR(__xludf.DUMMYFUNCTION("""COMPUTED_VALUE"""),"No way")</f>
        <v>No way</v>
      </c>
      <c r="S1246" s="1"/>
    </row>
    <row r="1247" spans="1:19" ht="12.5" x14ac:dyDescent="0.25">
      <c r="A1247" s="2">
        <f ca="1">IFERROR(__xludf.DUMMYFUNCTION("""COMPUTED_VALUE"""),45044.5353257754)</f>
        <v>45044.535325775403</v>
      </c>
      <c r="B1247" s="1" t="str">
        <f ca="1">IFERROR(__xludf.DUMMYFUNCTION("""COMPUTED_VALUE"""),"India")</f>
        <v>India</v>
      </c>
      <c r="C1247" s="1">
        <f ca="1">IFERROR(__xludf.DUMMYFUNCTION("""COMPUTED_VALUE"""),854305)</f>
        <v>854305</v>
      </c>
      <c r="D1247" s="1" t="str">
        <f ca="1">IFERROR(__xludf.DUMMYFUNCTION("""COMPUTED_VALUE"""),"Male")</f>
        <v>Male</v>
      </c>
      <c r="E1247" s="1" t="str">
        <f ca="1">IFERROR(__xludf.DUMMYFUNCTION("""COMPUTED_VALUE"""),"People from my circle, but not family members")</f>
        <v>People from my circle, but not family members</v>
      </c>
      <c r="F1247" s="1" t="str">
        <f ca="1">IFERROR(__xludf.DUMMYFUNCTION("""COMPUTED_VALUE"""),"Yes, I will earn and do that")</f>
        <v>Yes, I will earn and do that</v>
      </c>
      <c r="G1247" s="1" t="str">
        <f ca="1">IFERROR(__xludf.DUMMYFUNCTION("""COMPUTED_VALUE"""),"This will be hard to do, but if it is the right company I would try")</f>
        <v>This will be hard to do, but if it is the right company I would try</v>
      </c>
      <c r="H1247" s="1" t="str">
        <f ca="1">IFERROR(__xludf.DUMMYFUNCTION("""COMPUTED_VALUE"""),"No")</f>
        <v>No</v>
      </c>
      <c r="I1247" s="1" t="str">
        <f ca="1">IFERROR(__xludf.DUMMYFUNCTION("""COMPUTED_VALUE"""),"Will work for them")</f>
        <v>Will work for them</v>
      </c>
      <c r="J1247" s="1">
        <f ca="1">IFERROR(__xludf.DUMMYFUNCTION("""COMPUTED_VALUE"""),7)</f>
        <v>7</v>
      </c>
      <c r="K1247" s="1" t="str">
        <f ca="1">IFERROR(__xludf.DUMMYFUNCTION("""COMPUTED_VALUE"""),"Hybrid Working Environment with more than 15 days a month at office")</f>
        <v>Hybrid Working Environment with more than 15 days a month at office</v>
      </c>
      <c r="L12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4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47" s="1" t="str">
        <f ca="1">IFERROR(__xludf.DUMMYFUNCTION("""COMPUTED_VALUE"""),"Manage and drive End-to-End Projects or Products, Build and develop a Team, Look deeply into Data and generate insights, An Artificial Intelligence Specialist / Talking to Robots")</f>
        <v>Manage and drive End-to-End Projects or Products, Build and develop a Team, Look deeply into Data and generate insights, An Artificial Intelligence Specialist / Talking to Robots</v>
      </c>
      <c r="O1247" s="1" t="str">
        <f ca="1">IFERROR(__xludf.DUMMYFUNCTION("""COMPUTED_VALUE"""),"Manager who clearly describes what she/he needs")</f>
        <v>Manager who clearly describes what she/he needs</v>
      </c>
      <c r="P1247" s="1" t="str">
        <f ca="1">IFERROR(__xludf.DUMMYFUNCTION("""COMPUTED_VALUE"""),"Work with 5 to 6 people in my team")</f>
        <v>Work with 5 to 6 people in my team</v>
      </c>
      <c r="Q1247" s="1" t="str">
        <f ca="1">IFERROR(__xludf.DUMMYFUNCTION("""COMPUTED_VALUE"""),"Yes")</f>
        <v>Yes</v>
      </c>
      <c r="R1247" s="1" t="str">
        <f ca="1">IFERROR(__xludf.DUMMYFUNCTION("""COMPUTED_VALUE"""),"No way")</f>
        <v>No way</v>
      </c>
      <c r="S1247" s="1"/>
    </row>
    <row r="1248" spans="1:19" ht="12.5" x14ac:dyDescent="0.25">
      <c r="A1248" s="2">
        <f ca="1">IFERROR(__xludf.DUMMYFUNCTION("""COMPUTED_VALUE"""),45044.535882581)</f>
        <v>45044.535882581004</v>
      </c>
      <c r="B1248" s="1" t="str">
        <f ca="1">IFERROR(__xludf.DUMMYFUNCTION("""COMPUTED_VALUE"""),"India")</f>
        <v>India</v>
      </c>
      <c r="C1248" s="1">
        <f ca="1">IFERROR(__xludf.DUMMYFUNCTION("""COMPUTED_VALUE"""),221011)</f>
        <v>221011</v>
      </c>
      <c r="D1248" s="1" t="str">
        <f ca="1">IFERROR(__xludf.DUMMYFUNCTION("""COMPUTED_VALUE"""),"Male")</f>
        <v>Male</v>
      </c>
      <c r="E1248" s="1" t="str">
        <f ca="1">IFERROR(__xludf.DUMMYFUNCTION("""COMPUTED_VALUE"""),"My Parents")</f>
        <v>My Parents</v>
      </c>
      <c r="F1248" s="1" t="str">
        <f ca="1">IFERROR(__xludf.DUMMYFUNCTION("""COMPUTED_VALUE"""),"Yes, I will earn and do that")</f>
        <v>Yes, I will earn and do that</v>
      </c>
      <c r="G1248" s="1" t="str">
        <f ca="1">IFERROR(__xludf.DUMMYFUNCTION("""COMPUTED_VALUE"""),"Will work for 3 years or more")</f>
        <v>Will work for 3 years or more</v>
      </c>
      <c r="H1248" s="1" t="str">
        <f ca="1">IFERROR(__xludf.DUMMYFUNCTION("""COMPUTED_VALUE"""),"Yes")</f>
        <v>Yes</v>
      </c>
      <c r="I1248" s="1" t="str">
        <f ca="1">IFERROR(__xludf.DUMMYFUNCTION("""COMPUTED_VALUE"""),"Will work for them")</f>
        <v>Will work for them</v>
      </c>
      <c r="J1248" s="1">
        <f ca="1">IFERROR(__xludf.DUMMYFUNCTION("""COMPUTED_VALUE"""),8)</f>
        <v>8</v>
      </c>
      <c r="K1248" s="1" t="str">
        <f ca="1">IFERROR(__xludf.DUMMYFUNCTION("""COMPUTED_VALUE"""),"Every Day Office Environment")</f>
        <v>Every Day Office Environment</v>
      </c>
      <c r="L1248" s="1" t="str">
        <f ca="1">IFERROR(__xludf.DUMMYFUNCTION("""COMPUTED_VALUE"""),"Employer who rewards learning and enables that environment")</f>
        <v>Employer who rewards learning and enables that environment</v>
      </c>
      <c r="M1248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1248" s="1" t="str">
        <f ca="1">IFERROR(__xludf.DUMMYFUNCTION("""COMPUTED_VALUE"""),"Teaching in any of the institutes/colleges/online or offline, Business Operations in any organization, Look deeply into Data and generate insights, Become a content Creator in some platform")</f>
        <v>Teaching in any of the institutes/colleges/online or offline, Business Operations in any organization, Look deeply into Data and generate insights, Become a content Creator in some platform</v>
      </c>
      <c r="O1248" s="1" t="str">
        <f ca="1">IFERROR(__xludf.DUMMYFUNCTION("""COMPUTED_VALUE"""),"Manager who explains what is expected, sets a goal and helps achieve it")</f>
        <v>Manager who explains what is expected, sets a goal and helps achieve it</v>
      </c>
      <c r="P1248" s="1" t="str">
        <f ca="1">IFERROR(__xludf.DUMMYFUNCTION("""COMPUTED_VALUE"""),"Work with 5 to 6 people in my team")</f>
        <v>Work with 5 to 6 people in my team</v>
      </c>
      <c r="Q1248" s="1" t="str">
        <f ca="1">IFERROR(__xludf.DUMMYFUNCTION("""COMPUTED_VALUE"""),"Yes, I Understand this is gonna happen everywhere")</f>
        <v>Yes, I Understand this is gonna happen everywhere</v>
      </c>
      <c r="R1248" s="1" t="str">
        <f ca="1">IFERROR(__xludf.DUMMYFUNCTION("""COMPUTED_VALUE"""),"This will be hard to do, but if it is the right company I would try")</f>
        <v>This will be hard to do, but if it is the right company I would try</v>
      </c>
      <c r="S1248" s="1"/>
    </row>
    <row r="1249" spans="1:19" ht="12.5" x14ac:dyDescent="0.25">
      <c r="A1249" s="2">
        <f ca="1">IFERROR(__xludf.DUMMYFUNCTION("""COMPUTED_VALUE"""),45044.5368618981)</f>
        <v>45044.536861898101</v>
      </c>
      <c r="B1249" s="1" t="str">
        <f ca="1">IFERROR(__xludf.DUMMYFUNCTION("""COMPUTED_VALUE"""),"India")</f>
        <v>India</v>
      </c>
      <c r="C1249" s="1">
        <f ca="1">IFERROR(__xludf.DUMMYFUNCTION("""COMPUTED_VALUE"""),91)</f>
        <v>91</v>
      </c>
      <c r="D1249" s="1" t="str">
        <f ca="1">IFERROR(__xludf.DUMMYFUNCTION("""COMPUTED_VALUE"""),"Female")</f>
        <v>Female</v>
      </c>
      <c r="E1249" s="1" t="str">
        <f ca="1">IFERROR(__xludf.DUMMYFUNCTION("""COMPUTED_VALUE"""),"Social Media like LinkedIn")</f>
        <v>Social Media like LinkedIn</v>
      </c>
      <c r="F1249" s="1" t="str">
        <f ca="1">IFERROR(__xludf.DUMMYFUNCTION("""COMPUTED_VALUE"""),"Yes, I will earn and do that")</f>
        <v>Yes, I will earn and do that</v>
      </c>
      <c r="G1249" s="1" t="str">
        <f ca="1">IFERROR(__xludf.DUMMYFUNCTION("""COMPUTED_VALUE"""),"This will be hard to do, but if it is the right company I would try")</f>
        <v>This will be hard to do, but if it is the right company I would try</v>
      </c>
      <c r="H1249" s="1" t="str">
        <f ca="1">IFERROR(__xludf.DUMMYFUNCTION("""COMPUTED_VALUE"""),"No")</f>
        <v>No</v>
      </c>
      <c r="I1249" s="1" t="str">
        <f ca="1">IFERROR(__xludf.DUMMYFUNCTION("""COMPUTED_VALUE"""),"Will NOT work for them")</f>
        <v>Will NOT work for them</v>
      </c>
      <c r="J1249" s="1">
        <f ca="1">IFERROR(__xludf.DUMMYFUNCTION("""COMPUTED_VALUE"""),5)</f>
        <v>5</v>
      </c>
      <c r="K1249" s="1" t="str">
        <f ca="1">IFERROR(__xludf.DUMMYFUNCTION("""COMPUTED_VALUE"""),"Fully Remote with Options to travel as and when needed")</f>
        <v>Fully Remote with Options to travel as and when needed</v>
      </c>
      <c r="L1249" s="1" t="str">
        <f ca="1">IFERROR(__xludf.DUMMYFUNCTION("""COMPUTED_VALUE"""),"Employer who appreciates learning and enables that environment")</f>
        <v>Employer who appreciates learning and enables that environment</v>
      </c>
      <c r="M124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49" s="1" t="str">
        <f ca="1">IFERROR(__xludf.DUMMYFUNCTION("""COMPUTED_VALUE"""),"Teaching in any of the institutes/colleges/online or offline, Manage and drive End-to-End Projects or Products, Build and develop a Team, Entrepreneur or Start Up")</f>
        <v>Teaching in any of the institutes/colleges/online or offline, Manage and drive End-to-End Projects or Products, Build and develop a Team, Entrepreneur or Start Up</v>
      </c>
      <c r="O1249" s="1" t="str">
        <f ca="1">IFERROR(__xludf.DUMMYFUNCTION("""COMPUTED_VALUE"""),"Manager who sets goal and helps me achieve it")</f>
        <v>Manager who sets goal and helps me achieve it</v>
      </c>
      <c r="P1249" s="1" t="str">
        <f ca="1">IFERROR(__xludf.DUMMYFUNCTION("""COMPUTED_VALUE"""),"Work with 5 to 6 people in my team")</f>
        <v>Work with 5 to 6 people in my team</v>
      </c>
      <c r="Q1249" s="1" t="str">
        <f ca="1">IFERROR(__xludf.DUMMYFUNCTION("""COMPUTED_VALUE"""),"Yes, I Understand this is gonna happen everywhere")</f>
        <v>Yes, I Understand this is gonna happen everywhere</v>
      </c>
      <c r="R1249" s="1" t="str">
        <f ca="1">IFERROR(__xludf.DUMMYFUNCTION("""COMPUTED_VALUE"""),"This will be hard to do, but if it is the right company I would try")</f>
        <v>This will be hard to do, but if it is the right company I would try</v>
      </c>
      <c r="S1249" s="1"/>
    </row>
    <row r="1250" spans="1:19" ht="12.5" x14ac:dyDescent="0.25">
      <c r="A1250" s="2">
        <f ca="1">IFERROR(__xludf.DUMMYFUNCTION("""COMPUTED_VALUE"""),45044.5382293287)</f>
        <v>45044.538229328697</v>
      </c>
      <c r="B1250" s="1" t="str">
        <f ca="1">IFERROR(__xludf.DUMMYFUNCTION("""COMPUTED_VALUE"""),"India")</f>
        <v>India</v>
      </c>
      <c r="C1250" s="1">
        <f ca="1">IFERROR(__xludf.DUMMYFUNCTION("""COMPUTED_VALUE"""),396436)</f>
        <v>396436</v>
      </c>
      <c r="D1250" s="1" t="str">
        <f ca="1">IFERROR(__xludf.DUMMYFUNCTION("""COMPUTED_VALUE"""),"Male")</f>
        <v>Male</v>
      </c>
      <c r="E1250" s="1" t="str">
        <f ca="1">IFERROR(__xludf.DUMMYFUNCTION("""COMPUTED_VALUE"""),"People who have changed the world for better")</f>
        <v>People who have changed the world for better</v>
      </c>
      <c r="F1250" s="1" t="str">
        <f ca="1">IFERROR(__xludf.DUMMYFUNCTION("""COMPUTED_VALUE"""),"Yes, I will earn and do that")</f>
        <v>Yes, I will earn and do that</v>
      </c>
      <c r="G1250" s="1" t="str">
        <f ca="1">IFERROR(__xludf.DUMMYFUNCTION("""COMPUTED_VALUE"""),"This will be hard to do, but if it is the right company I would try")</f>
        <v>This will be hard to do, but if it is the right company I would try</v>
      </c>
      <c r="H1250" s="1" t="str">
        <f ca="1">IFERROR(__xludf.DUMMYFUNCTION("""COMPUTED_VALUE"""),"No")</f>
        <v>No</v>
      </c>
      <c r="I1250" s="1" t="str">
        <f ca="1">IFERROR(__xludf.DUMMYFUNCTION("""COMPUTED_VALUE"""),"Will NOT work for them")</f>
        <v>Will NOT work for them</v>
      </c>
      <c r="J1250" s="1">
        <f ca="1">IFERROR(__xludf.DUMMYFUNCTION("""COMPUTED_VALUE"""),5)</f>
        <v>5</v>
      </c>
      <c r="K1250" s="1" t="str">
        <f ca="1">IFERROR(__xludf.DUMMYFUNCTION("""COMPUTED_VALUE"""),"Fully Remote with Options to travel as and when needed")</f>
        <v>Fully Remote with Options to travel as and when needed</v>
      </c>
      <c r="L12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5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50" s="1" t="str">
        <f ca="1">IFERROR(__xludf.DUMMYFUNCTION("""COMPUTED_VALUE"""),"Design and Creative strategy in any company, Teaching in any of the institutes/colleges/online or offline, Design and Develop amazing software, Work as a freelancer and do my thing my way")</f>
        <v>Design and Creative strategy in any company, Teaching in any of the institutes/colleges/online or offline, Design and Develop amazing software, Work as a freelancer and do my thing my way</v>
      </c>
      <c r="O1250" s="1" t="str">
        <f ca="1">IFERROR(__xludf.DUMMYFUNCTION("""COMPUTED_VALUE"""),"Manager who explains what is expected, sets a goal and helps achieve it")</f>
        <v>Manager who explains what is expected, sets a goal and helps achieve it</v>
      </c>
      <c r="P1250" s="1" t="str">
        <f ca="1">IFERROR(__xludf.DUMMYFUNCTION("""COMPUTED_VALUE"""),"Work with 2 to 3 people in my team")</f>
        <v>Work with 2 to 3 people in my team</v>
      </c>
      <c r="Q1250" s="1" t="str">
        <f ca="1">IFERROR(__xludf.DUMMYFUNCTION("""COMPUTED_VALUE"""),"Yes, I Understand this is gonna happen everywhere")</f>
        <v>Yes, I Understand this is gonna happen everywhere</v>
      </c>
      <c r="R1250" s="1" t="str">
        <f ca="1">IFERROR(__xludf.DUMMYFUNCTION("""COMPUTED_VALUE"""),"This will be hard to do, but if it is the right company I would try")</f>
        <v>This will be hard to do, but if it is the right company I would try</v>
      </c>
      <c r="S1250" s="1"/>
    </row>
    <row r="1251" spans="1:19" ht="12.5" x14ac:dyDescent="0.25">
      <c r="A1251" s="2">
        <f ca="1">IFERROR(__xludf.DUMMYFUNCTION("""COMPUTED_VALUE"""),45044.5406293981)</f>
        <v>45044.5406293981</v>
      </c>
      <c r="B1251" s="1" t="str">
        <f ca="1">IFERROR(__xludf.DUMMYFUNCTION("""COMPUTED_VALUE"""),"India")</f>
        <v>India</v>
      </c>
      <c r="C1251" s="1">
        <f ca="1">IFERROR(__xludf.DUMMYFUNCTION("""COMPUTED_VALUE"""),533005)</f>
        <v>533005</v>
      </c>
      <c r="D1251" s="1" t="str">
        <f ca="1">IFERROR(__xludf.DUMMYFUNCTION("""COMPUTED_VALUE"""),"Female")</f>
        <v>Female</v>
      </c>
      <c r="E1251" s="1" t="str">
        <f ca="1">IFERROR(__xludf.DUMMYFUNCTION("""COMPUTED_VALUE"""),"Influencers who had successful careers")</f>
        <v>Influencers who had successful careers</v>
      </c>
      <c r="F1251" s="1" t="str">
        <f ca="1">IFERROR(__xludf.DUMMYFUNCTION("""COMPUTED_VALUE"""),"No I would not be pursuing Higher Education outside of India")</f>
        <v>No I would not be pursuing Higher Education outside of India</v>
      </c>
      <c r="G1251" s="1" t="str">
        <f ca="1">IFERROR(__xludf.DUMMYFUNCTION("""COMPUTED_VALUE"""),"This will be hard to do, but if it is the right company I would try")</f>
        <v>This will be hard to do, but if it is the right company I would try</v>
      </c>
      <c r="H1251" s="1" t="str">
        <f ca="1">IFERROR(__xludf.DUMMYFUNCTION("""COMPUTED_VALUE"""),"No")</f>
        <v>No</v>
      </c>
      <c r="I1251" s="1" t="str">
        <f ca="1">IFERROR(__xludf.DUMMYFUNCTION("""COMPUTED_VALUE"""),"Will work for them")</f>
        <v>Will work for them</v>
      </c>
      <c r="J1251" s="1">
        <f ca="1">IFERROR(__xludf.DUMMYFUNCTION("""COMPUTED_VALUE"""),8)</f>
        <v>8</v>
      </c>
      <c r="K1251" s="1" t="str">
        <f ca="1">IFERROR(__xludf.DUMMYFUNCTION("""COMPUTED_VALUE"""),"Hybrid Working Environment with less than 3 days a month at office")</f>
        <v>Hybrid Working Environment with less than 3 days a month at office</v>
      </c>
      <c r="L1251" s="1" t="str">
        <f ca="1">IFERROR(__xludf.DUMMYFUNCTION("""COMPUTED_VALUE"""),"Employer who appreciates learning and enables that environment")</f>
        <v>Employer who appreciates learning and enables that environment</v>
      </c>
      <c r="M125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251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251" s="1" t="str">
        <f ca="1">IFERROR(__xludf.DUMMYFUNCTION("""COMPUTED_VALUE"""),"Manager who sets goal and helps me achieve it")</f>
        <v>Manager who sets goal and helps me achieve it</v>
      </c>
      <c r="P1251" s="1" t="str">
        <f ca="1">IFERROR(__xludf.DUMMYFUNCTION("""COMPUTED_VALUE"""),"Work with 2 to 3 people in my team")</f>
        <v>Work with 2 to 3 people in my team</v>
      </c>
      <c r="Q1251" s="1" t="str">
        <f ca="1">IFERROR(__xludf.DUMMYFUNCTION("""COMPUTED_VALUE"""),"Yes, I Understand this is gonna happen everywhere")</f>
        <v>Yes, I Understand this is gonna happen everywhere</v>
      </c>
      <c r="R1251" s="1" t="str">
        <f ca="1">IFERROR(__xludf.DUMMYFUNCTION("""COMPUTED_VALUE"""),"This will be hard to do, but if it is the right company I would try")</f>
        <v>This will be hard to do, but if it is the right company I would try</v>
      </c>
      <c r="S1251" s="1"/>
    </row>
    <row r="1252" spans="1:19" ht="12.5" x14ac:dyDescent="0.25">
      <c r="A1252" s="2">
        <f ca="1">IFERROR(__xludf.DUMMYFUNCTION("""COMPUTED_VALUE"""),45044.5415642361)</f>
        <v>45044.541564236097</v>
      </c>
      <c r="B1252" s="1" t="str">
        <f ca="1">IFERROR(__xludf.DUMMYFUNCTION("""COMPUTED_VALUE"""),"India")</f>
        <v>India</v>
      </c>
      <c r="C1252" s="1">
        <f ca="1">IFERROR(__xludf.DUMMYFUNCTION("""COMPUTED_VALUE"""),533005)</f>
        <v>533005</v>
      </c>
      <c r="D1252" s="1" t="str">
        <f ca="1">IFERROR(__xludf.DUMMYFUNCTION("""COMPUTED_VALUE"""),"Male")</f>
        <v>Male</v>
      </c>
      <c r="E1252" s="1" t="str">
        <f ca="1">IFERROR(__xludf.DUMMYFUNCTION("""COMPUTED_VALUE"""),"People from my circle, but not family members")</f>
        <v>People from my circle, but not family members</v>
      </c>
      <c r="F1252" s="1" t="str">
        <f ca="1">IFERROR(__xludf.DUMMYFUNCTION("""COMPUTED_VALUE"""),"No I would not be pursuing Higher Education outside of India")</f>
        <v>No I would not be pursuing Higher Education outside of India</v>
      </c>
      <c r="G1252" s="1" t="str">
        <f ca="1">IFERROR(__xludf.DUMMYFUNCTION("""COMPUTED_VALUE"""),"This will be hard to do, but if it is the right company I would try")</f>
        <v>This will be hard to do, but if it is the right company I would try</v>
      </c>
      <c r="H1252" s="1" t="str">
        <f ca="1">IFERROR(__xludf.DUMMYFUNCTION("""COMPUTED_VALUE"""),"No")</f>
        <v>No</v>
      </c>
      <c r="I1252" s="1" t="str">
        <f ca="1">IFERROR(__xludf.DUMMYFUNCTION("""COMPUTED_VALUE"""),"Will NOT work for them")</f>
        <v>Will NOT work for them</v>
      </c>
      <c r="J1252" s="1">
        <f ca="1">IFERROR(__xludf.DUMMYFUNCTION("""COMPUTED_VALUE"""),7)</f>
        <v>7</v>
      </c>
      <c r="K1252" s="1" t="str">
        <f ca="1">IFERROR(__xludf.DUMMYFUNCTION("""COMPUTED_VALUE"""),"Hybrid Working Environment with more than 15 days a month at office")</f>
        <v>Hybrid Working Environment with more than 15 days a month at office</v>
      </c>
      <c r="L1252" s="1" t="str">
        <f ca="1">IFERROR(__xludf.DUMMYFUNCTION("""COMPUTED_VALUE"""),"Employer who rewards learning and enables that environment")</f>
        <v>Employer who rewards learning and enables that environment</v>
      </c>
      <c r="M125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52" s="1" t="str">
        <f ca="1">IFERROR(__xludf.DUMMYFUNCTION("""COMPUTED_VALUE"""),"Manage and drive End-to-End Projects or Products, Look deeply into Data and generate insights, Work in a BPO setup for some well known client, Manufacturing / Oil and Gas/ Construction / Hard Physical Work related")</f>
        <v>Manage and drive End-to-End Projects or Products, Look deeply into Data and generate insights, Work in a BPO setup for some well known client, Manufacturing / Oil and Gas/ Construction / Hard Physical Work related</v>
      </c>
      <c r="O1252" s="1" t="str">
        <f ca="1">IFERROR(__xludf.DUMMYFUNCTION("""COMPUTED_VALUE"""),"Manager who explains what is expected, sets a goal and helps achieve it")</f>
        <v>Manager who explains what is expected, sets a goal and helps achieve it</v>
      </c>
      <c r="P1252" s="1" t="str">
        <f ca="1">IFERROR(__xludf.DUMMYFUNCTION("""COMPUTED_VALUE"""),"Work with 2 to 3 people in my team")</f>
        <v>Work with 2 to 3 people in my team</v>
      </c>
      <c r="Q1252" s="1" t="str">
        <f ca="1">IFERROR(__xludf.DUMMYFUNCTION("""COMPUTED_VALUE"""),"Yes, I Understand this is gonna happen everywhere")</f>
        <v>Yes, I Understand this is gonna happen everywhere</v>
      </c>
      <c r="R1252" s="1" t="str">
        <f ca="1">IFERROR(__xludf.DUMMYFUNCTION("""COMPUTED_VALUE"""),"This will be hard to do, but if it is the right company I would try")</f>
        <v>This will be hard to do, but if it is the right company I would try</v>
      </c>
      <c r="S1252" s="1"/>
    </row>
    <row r="1253" spans="1:19" ht="12.5" x14ac:dyDescent="0.25">
      <c r="A1253" s="2">
        <f ca="1">IFERROR(__xludf.DUMMYFUNCTION("""COMPUTED_VALUE"""),45044.5416172338)</f>
        <v>45044.541617233801</v>
      </c>
      <c r="B1253" s="1" t="str">
        <f ca="1">IFERROR(__xludf.DUMMYFUNCTION("""COMPUTED_VALUE"""),"India")</f>
        <v>India</v>
      </c>
      <c r="C1253" s="1">
        <f ca="1">IFERROR(__xludf.DUMMYFUNCTION("""COMPUTED_VALUE"""),506167)</f>
        <v>506167</v>
      </c>
      <c r="D1253" s="1" t="str">
        <f ca="1">IFERROR(__xludf.DUMMYFUNCTION("""COMPUTED_VALUE"""),"Male")</f>
        <v>Male</v>
      </c>
      <c r="E1253" s="1" t="str">
        <f ca="1">IFERROR(__xludf.DUMMYFUNCTION("""COMPUTED_VALUE"""),"People from my circle, but not family members")</f>
        <v>People from my circle, but not family members</v>
      </c>
      <c r="F1253" s="1" t="str">
        <f ca="1">IFERROR(__xludf.DUMMYFUNCTION("""COMPUTED_VALUE"""),"No, But if someone could bare the cost I will")</f>
        <v>No, But if someone could bare the cost I will</v>
      </c>
      <c r="G1253" s="1" t="str">
        <f ca="1">IFERROR(__xludf.DUMMYFUNCTION("""COMPUTED_VALUE"""),"This will be hard to do, but if it is the right company I would try")</f>
        <v>This will be hard to do, but if it is the right company I would try</v>
      </c>
      <c r="H1253" s="1" t="str">
        <f ca="1">IFERROR(__xludf.DUMMYFUNCTION("""COMPUTED_VALUE"""),"No")</f>
        <v>No</v>
      </c>
      <c r="I1253" s="1" t="str">
        <f ca="1">IFERROR(__xludf.DUMMYFUNCTION("""COMPUTED_VALUE"""),"Will NOT work for them")</f>
        <v>Will NOT work for them</v>
      </c>
      <c r="J1253" s="1">
        <f ca="1">IFERROR(__xludf.DUMMYFUNCTION("""COMPUTED_VALUE"""),4)</f>
        <v>4</v>
      </c>
      <c r="K1253" s="1" t="str">
        <f ca="1">IFERROR(__xludf.DUMMYFUNCTION("""COMPUTED_VALUE"""),"Hybrid Working Environment with more than 15 days a month at office")</f>
        <v>Hybrid Working Environment with more than 15 days a month at office</v>
      </c>
      <c r="L12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5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253" s="1" t="str">
        <f ca="1">IFERROR(__xludf.DUMMYFUNCTION("""COMPUTED_VALUE"""),"Design and Creative strategy in any company, Design and Develop amazing software, Work as a freelancer and do my thing my way, Entrepreneur or Start Up")</f>
        <v>Design and Creative strategy in any company, Design and Develop amazing software, Work as a freelancer and do my thing my way, Entrepreneur or Start Up</v>
      </c>
      <c r="O1253" s="1" t="str">
        <f ca="1">IFERROR(__xludf.DUMMYFUNCTION("""COMPUTED_VALUE"""),"Manager who explains what is expected, sets a goal and helps achieve it")</f>
        <v>Manager who explains what is expected, sets a goal and helps achieve it</v>
      </c>
      <c r="P1253" s="1" t="str">
        <f ca="1">IFERROR(__xludf.DUMMYFUNCTION("""COMPUTED_VALUE"""),"Work with 5 to 6 people in my team")</f>
        <v>Work with 5 to 6 people in my team</v>
      </c>
      <c r="Q1253" s="1" t="str">
        <f ca="1">IFERROR(__xludf.DUMMYFUNCTION("""COMPUTED_VALUE"""),"Yes, I Understand this is gonna happen everywhere")</f>
        <v>Yes, I Understand this is gonna happen everywhere</v>
      </c>
      <c r="R1253" s="1" t="str">
        <f ca="1">IFERROR(__xludf.DUMMYFUNCTION("""COMPUTED_VALUE"""),"This will be hard to do, but if it is the right company I would try")</f>
        <v>This will be hard to do, but if it is the right company I would try</v>
      </c>
      <c r="S1253" s="1"/>
    </row>
    <row r="1254" spans="1:19" ht="12.5" x14ac:dyDescent="0.25">
      <c r="A1254" s="2">
        <f ca="1">IFERROR(__xludf.DUMMYFUNCTION("""COMPUTED_VALUE"""),45044.5417322916)</f>
        <v>45044.541732291596</v>
      </c>
      <c r="B1254" s="1" t="str">
        <f ca="1">IFERROR(__xludf.DUMMYFUNCTION("""COMPUTED_VALUE"""),"India")</f>
        <v>India</v>
      </c>
      <c r="C1254" s="1">
        <f ca="1">IFERROR(__xludf.DUMMYFUNCTION("""COMPUTED_VALUE"""),611001)</f>
        <v>611001</v>
      </c>
      <c r="D1254" s="1" t="str">
        <f ca="1">IFERROR(__xludf.DUMMYFUNCTION("""COMPUTED_VALUE"""),"Female")</f>
        <v>Female</v>
      </c>
      <c r="E1254" s="1" t="str">
        <f ca="1">IFERROR(__xludf.DUMMYFUNCTION("""COMPUTED_VALUE"""),"Social Media like LinkedIn")</f>
        <v>Social Media like LinkedIn</v>
      </c>
      <c r="F1254" s="1" t="str">
        <f ca="1">IFERROR(__xludf.DUMMYFUNCTION("""COMPUTED_VALUE"""),"Yes, I will earn and do that")</f>
        <v>Yes, I will earn and do that</v>
      </c>
      <c r="G1254" s="1" t="str">
        <f ca="1">IFERROR(__xludf.DUMMYFUNCTION("""COMPUTED_VALUE"""),"This will be hard to do, but if it is the right company I would try")</f>
        <v>This will be hard to do, but if it is the right company I would try</v>
      </c>
      <c r="H1254" s="1" t="str">
        <f ca="1">IFERROR(__xludf.DUMMYFUNCTION("""COMPUTED_VALUE"""),"Yes")</f>
        <v>Yes</v>
      </c>
      <c r="I1254" s="1" t="str">
        <f ca="1">IFERROR(__xludf.DUMMYFUNCTION("""COMPUTED_VALUE"""),"Will NOT work for them")</f>
        <v>Will NOT work for them</v>
      </c>
      <c r="J1254" s="1">
        <f ca="1">IFERROR(__xludf.DUMMYFUNCTION("""COMPUTED_VALUE"""),3)</f>
        <v>3</v>
      </c>
      <c r="K1254" s="1" t="str">
        <f ca="1">IFERROR(__xludf.DUMMYFUNCTION("""COMPUTED_VALUE"""),"Hybrid Working Environment with more than 15 days a month at office")</f>
        <v>Hybrid Working Environment with more than 15 days a month at office</v>
      </c>
      <c r="L1254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25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254" s="1" t="str">
        <f ca="1">IFERROR(__xludf.DUMMYFUNCTION("""COMPUTED_VALUE"""),"Design and Creative strategy in any company, Business Operations in any organization, Build and develop a Team, Manufacturing / Oil and Gas/ Construction / Hard Physical Work related")</f>
        <v>Design and Creative strategy in any company, Business Operations in any organization, Build and develop a Team, Manufacturing / Oil and Gas/ Construction / Hard Physical Work related</v>
      </c>
      <c r="O1254" s="1" t="str">
        <f ca="1">IFERROR(__xludf.DUMMYFUNCTION("""COMPUTED_VALUE"""),"Manager who sets targets and expects me to achieve it")</f>
        <v>Manager who sets targets and expects me to achieve it</v>
      </c>
      <c r="P1254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254" s="1" t="str">
        <f ca="1">IFERROR(__xludf.DUMMYFUNCTION("""COMPUTED_VALUE"""),"No")</f>
        <v>No</v>
      </c>
      <c r="R1254" s="1" t="str">
        <f ca="1">IFERROR(__xludf.DUMMYFUNCTION("""COMPUTED_VALUE"""),"This will be hard to do, but if it is the right company I would try")</f>
        <v>This will be hard to do, but if it is the right company I would try</v>
      </c>
      <c r="S1254" s="1"/>
    </row>
    <row r="1255" spans="1:19" ht="12.5" x14ac:dyDescent="0.25">
      <c r="A1255" s="2">
        <f ca="1">IFERROR(__xludf.DUMMYFUNCTION("""COMPUTED_VALUE"""),45044.5446995833)</f>
        <v>45044.544699583297</v>
      </c>
      <c r="B1255" s="1" t="str">
        <f ca="1">IFERROR(__xludf.DUMMYFUNCTION("""COMPUTED_VALUE"""),"India")</f>
        <v>India</v>
      </c>
      <c r="C1255" s="1">
        <f ca="1">IFERROR(__xludf.DUMMYFUNCTION("""COMPUTED_VALUE"""),324005)</f>
        <v>324005</v>
      </c>
      <c r="D1255" s="1" t="str">
        <f ca="1">IFERROR(__xludf.DUMMYFUNCTION("""COMPUTED_VALUE"""),"Male")</f>
        <v>Male</v>
      </c>
      <c r="E1255" s="1" t="str">
        <f ca="1">IFERROR(__xludf.DUMMYFUNCTION("""COMPUTED_VALUE"""),"People from my circle, but not family members")</f>
        <v>People from my circle, but not family members</v>
      </c>
      <c r="F1255" s="1" t="str">
        <f ca="1">IFERROR(__xludf.DUMMYFUNCTION("""COMPUTED_VALUE"""),"No, But if someone could bare the cost I will")</f>
        <v>No, But if someone could bare the cost I will</v>
      </c>
      <c r="G1255" s="1" t="str">
        <f ca="1">IFERROR(__xludf.DUMMYFUNCTION("""COMPUTED_VALUE"""),"This will be hard to do, but if it is the right company I would try")</f>
        <v>This will be hard to do, but if it is the right company I would try</v>
      </c>
      <c r="H1255" s="1" t="str">
        <f ca="1">IFERROR(__xludf.DUMMYFUNCTION("""COMPUTED_VALUE"""),"No")</f>
        <v>No</v>
      </c>
      <c r="I1255" s="1" t="str">
        <f ca="1">IFERROR(__xludf.DUMMYFUNCTION("""COMPUTED_VALUE"""),"Will NOT work for them")</f>
        <v>Will NOT work for them</v>
      </c>
      <c r="J1255" s="1">
        <f ca="1">IFERROR(__xludf.DUMMYFUNCTION("""COMPUTED_VALUE"""),7)</f>
        <v>7</v>
      </c>
      <c r="K1255" s="1" t="str">
        <f ca="1">IFERROR(__xludf.DUMMYFUNCTION("""COMPUTED_VALUE"""),"Hybrid Working Environment with more than 15 days a month at office")</f>
        <v>Hybrid Working Environment with more than 15 days a month at office</v>
      </c>
      <c r="L12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5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255" s="1" t="str">
        <f ca="1">IFERROR(__xludf.DUMMYFUNCTION("""COMPUTED_VALUE"""),"Teaching in any of the institutes/colleges/online or offline, Business Operations in any organization, Look deeply into Data and generate insights, Become a content Creator in some platform")</f>
        <v>Teaching in any of the institutes/colleges/online or offline, Business Operations in any organization, Look deeply into Data and generate insights, Become a content Creator in some platform</v>
      </c>
      <c r="O1255" s="1" t="str">
        <f ca="1">IFERROR(__xludf.DUMMYFUNCTION("""COMPUTED_VALUE"""),"Manager who explains what is expected, sets a goal and helps achieve it")</f>
        <v>Manager who explains what is expected, sets a goal and helps achieve it</v>
      </c>
      <c r="P1255" s="1" t="str">
        <f ca="1">IFERROR(__xludf.DUMMYFUNCTION("""COMPUTED_VALUE"""),"Work with 2 to 3 people in my team")</f>
        <v>Work with 2 to 3 people in my team</v>
      </c>
      <c r="Q1255" s="1" t="str">
        <f ca="1">IFERROR(__xludf.DUMMYFUNCTION("""COMPUTED_VALUE"""),"Yes, I Understand this is gonna happen everywhere")</f>
        <v>Yes, I Understand this is gonna happen everywhere</v>
      </c>
      <c r="R1255" s="1" t="str">
        <f ca="1">IFERROR(__xludf.DUMMYFUNCTION("""COMPUTED_VALUE"""),"No way")</f>
        <v>No way</v>
      </c>
      <c r="S1255" s="1"/>
    </row>
    <row r="1256" spans="1:19" ht="12.5" x14ac:dyDescent="0.25">
      <c r="A1256" s="2">
        <f ca="1">IFERROR(__xludf.DUMMYFUNCTION("""COMPUTED_VALUE"""),45044.548194375)</f>
        <v>45044.548194374998</v>
      </c>
      <c r="B1256" s="1" t="str">
        <f ca="1">IFERROR(__xludf.DUMMYFUNCTION("""COMPUTED_VALUE"""),"India")</f>
        <v>India</v>
      </c>
      <c r="C1256" s="1">
        <f ca="1">IFERROR(__xludf.DUMMYFUNCTION("""COMPUTED_VALUE"""),411057)</f>
        <v>411057</v>
      </c>
      <c r="D1256" s="1" t="str">
        <f ca="1">IFERROR(__xludf.DUMMYFUNCTION("""COMPUTED_VALUE"""),"Male")</f>
        <v>Male</v>
      </c>
      <c r="E1256" s="1" t="str">
        <f ca="1">IFERROR(__xludf.DUMMYFUNCTION("""COMPUTED_VALUE"""),"People who have changed the world for better")</f>
        <v>People who have changed the world for better</v>
      </c>
      <c r="F1256" s="1" t="str">
        <f ca="1">IFERROR(__xludf.DUMMYFUNCTION("""COMPUTED_VALUE"""),"No I would not be pursuing Higher Education outside of India")</f>
        <v>No I would not be pursuing Higher Education outside of India</v>
      </c>
      <c r="G1256" s="1" t="str">
        <f ca="1">IFERROR(__xludf.DUMMYFUNCTION("""COMPUTED_VALUE"""),"This will be hard to do, but if it is the right company I would try")</f>
        <v>This will be hard to do, but if it is the right company I would try</v>
      </c>
      <c r="H1256" s="1" t="str">
        <f ca="1">IFERROR(__xludf.DUMMYFUNCTION("""COMPUTED_VALUE"""),"No")</f>
        <v>No</v>
      </c>
      <c r="I1256" s="1" t="str">
        <f ca="1">IFERROR(__xludf.DUMMYFUNCTION("""COMPUTED_VALUE"""),"Will NOT work for them")</f>
        <v>Will NOT work for them</v>
      </c>
      <c r="J1256" s="1">
        <f ca="1">IFERROR(__xludf.DUMMYFUNCTION("""COMPUTED_VALUE"""),7)</f>
        <v>7</v>
      </c>
      <c r="K1256" s="1" t="str">
        <f ca="1">IFERROR(__xludf.DUMMYFUNCTION("""COMPUTED_VALUE"""),"Fully Remote with Options to travel as and when needed")</f>
        <v>Fully Remote with Options to travel as and when needed</v>
      </c>
      <c r="L1256" s="1" t="str">
        <f ca="1">IFERROR(__xludf.DUMMYFUNCTION("""COMPUTED_VALUE"""),"Employer who rewards learning and enables that environment")</f>
        <v>Employer who rewards learning and enables that environment</v>
      </c>
      <c r="M125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56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256" s="1" t="str">
        <f ca="1">IFERROR(__xludf.DUMMYFUNCTION("""COMPUTED_VALUE"""),"Manager who clearly describes what she/he needs")</f>
        <v>Manager who clearly describes what she/he needs</v>
      </c>
      <c r="P1256" s="1" t="str">
        <f ca="1">IFERROR(__xludf.DUMMYFUNCTION("""COMPUTED_VALUE"""),"Work with 5 to 6 people in my team")</f>
        <v>Work with 5 to 6 people in my team</v>
      </c>
      <c r="Q1256" s="1" t="str">
        <f ca="1">IFERROR(__xludf.DUMMYFUNCTION("""COMPUTED_VALUE"""),"No")</f>
        <v>No</v>
      </c>
      <c r="R1256" s="1" t="str">
        <f ca="1">IFERROR(__xludf.DUMMYFUNCTION("""COMPUTED_VALUE"""),"This will be hard to do, but if it is the right company I would try")</f>
        <v>This will be hard to do, but if it is the right company I would try</v>
      </c>
      <c r="S1256" s="1"/>
    </row>
    <row r="1257" spans="1:19" ht="12.5" x14ac:dyDescent="0.25">
      <c r="A1257" s="2">
        <f ca="1">IFERROR(__xludf.DUMMYFUNCTION("""COMPUTED_VALUE"""),45044.5486524189)</f>
        <v>45044.548652418896</v>
      </c>
      <c r="B1257" s="1" t="str">
        <f ca="1">IFERROR(__xludf.DUMMYFUNCTION("""COMPUTED_VALUE"""),"India")</f>
        <v>India</v>
      </c>
      <c r="C1257" s="1">
        <f ca="1">IFERROR(__xludf.DUMMYFUNCTION("""COMPUTED_VALUE"""),534245)</f>
        <v>534245</v>
      </c>
      <c r="D1257" s="1" t="str">
        <f ca="1">IFERROR(__xludf.DUMMYFUNCTION("""COMPUTED_VALUE"""),"Female")</f>
        <v>Female</v>
      </c>
      <c r="E1257" s="1" t="str">
        <f ca="1">IFERROR(__xludf.DUMMYFUNCTION("""COMPUTED_VALUE"""),"People from my circle, but not family members")</f>
        <v>People from my circle, but not family members</v>
      </c>
      <c r="F1257" s="1" t="str">
        <f ca="1">IFERROR(__xludf.DUMMYFUNCTION("""COMPUTED_VALUE"""),"Yes, I will earn and do that")</f>
        <v>Yes, I will earn and do that</v>
      </c>
      <c r="G1257" s="1" t="str">
        <f ca="1">IFERROR(__xludf.DUMMYFUNCTION("""COMPUTED_VALUE"""),"This will be hard to do, but if it is the right company I would try")</f>
        <v>This will be hard to do, but if it is the right company I would try</v>
      </c>
      <c r="H1257" s="1" t="str">
        <f ca="1">IFERROR(__xludf.DUMMYFUNCTION("""COMPUTED_VALUE"""),"No")</f>
        <v>No</v>
      </c>
      <c r="I1257" s="1" t="str">
        <f ca="1">IFERROR(__xludf.DUMMYFUNCTION("""COMPUTED_VALUE"""),"Will NOT work for them")</f>
        <v>Will NOT work for them</v>
      </c>
      <c r="J1257" s="1">
        <f ca="1">IFERROR(__xludf.DUMMYFUNCTION("""COMPUTED_VALUE"""),10)</f>
        <v>10</v>
      </c>
      <c r="K1257" s="1" t="str">
        <f ca="1">IFERROR(__xludf.DUMMYFUNCTION("""COMPUTED_VALUE"""),"Hybrid Working Environment with more than 15 days a month at office")</f>
        <v>Hybrid Working Environment with more than 15 days a month at office</v>
      </c>
      <c r="L1257" s="1" t="str">
        <f ca="1">IFERROR(__xludf.DUMMYFUNCTION("""COMPUTED_VALUE"""),"Employer who appreciates learning and enables that environment")</f>
        <v>Employer who appreciates learning and enables that environment</v>
      </c>
      <c r="M125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257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257" s="1" t="str">
        <f ca="1">IFERROR(__xludf.DUMMYFUNCTION("""COMPUTED_VALUE"""),"Manager who sets goal and helps me achieve it")</f>
        <v>Manager who sets goal and helps me achieve it</v>
      </c>
      <c r="P1257" s="1" t="str">
        <f ca="1">IFERROR(__xludf.DUMMYFUNCTION("""COMPUTED_VALUE"""),"Work with more than 10 people in my team")</f>
        <v>Work with more than 10 people in my team</v>
      </c>
      <c r="Q1257" s="1" t="str">
        <f ca="1">IFERROR(__xludf.DUMMYFUNCTION("""COMPUTED_VALUE"""),"No")</f>
        <v>No</v>
      </c>
      <c r="R1257" s="1" t="str">
        <f ca="1">IFERROR(__xludf.DUMMYFUNCTION("""COMPUTED_VALUE"""),"This will be hard to do, but if it is the right company I would try")</f>
        <v>This will be hard to do, but if it is the right company I would try</v>
      </c>
      <c r="S1257" s="1"/>
    </row>
    <row r="1258" spans="1:19" ht="12.5" x14ac:dyDescent="0.25">
      <c r="A1258" s="2">
        <f ca="1">IFERROR(__xludf.DUMMYFUNCTION("""COMPUTED_VALUE"""),45044.5518604976)</f>
        <v>45044.551860497602</v>
      </c>
      <c r="B1258" s="1" t="str">
        <f ca="1">IFERROR(__xludf.DUMMYFUNCTION("""COMPUTED_VALUE"""),"India")</f>
        <v>India</v>
      </c>
      <c r="C1258" s="1">
        <f ca="1">IFERROR(__xludf.DUMMYFUNCTION("""COMPUTED_VALUE"""),110085)</f>
        <v>110085</v>
      </c>
      <c r="D1258" s="1" t="str">
        <f ca="1">IFERROR(__xludf.DUMMYFUNCTION("""COMPUTED_VALUE"""),"Male")</f>
        <v>Male</v>
      </c>
      <c r="E1258" s="1" t="str">
        <f ca="1">IFERROR(__xludf.DUMMYFUNCTION("""COMPUTED_VALUE"""),"People from my circle, but not family members")</f>
        <v>People from my circle, but not family members</v>
      </c>
      <c r="F1258" s="1" t="str">
        <f ca="1">IFERROR(__xludf.DUMMYFUNCTION("""COMPUTED_VALUE"""),"No I would not be pursuing Higher Education outside of India")</f>
        <v>No I would not be pursuing Higher Education outside of India</v>
      </c>
      <c r="G1258" s="1" t="str">
        <f ca="1">IFERROR(__xludf.DUMMYFUNCTION("""COMPUTED_VALUE"""),"Will work for 3 years or more")</f>
        <v>Will work for 3 years or more</v>
      </c>
      <c r="H1258" s="1" t="str">
        <f ca="1">IFERROR(__xludf.DUMMYFUNCTION("""COMPUTED_VALUE"""),"No")</f>
        <v>No</v>
      </c>
      <c r="I1258" s="1" t="str">
        <f ca="1">IFERROR(__xludf.DUMMYFUNCTION("""COMPUTED_VALUE"""),"Will NOT work for them")</f>
        <v>Will NOT work for them</v>
      </c>
      <c r="J1258" s="1">
        <f ca="1">IFERROR(__xludf.DUMMYFUNCTION("""COMPUTED_VALUE"""),10)</f>
        <v>10</v>
      </c>
      <c r="K1258" s="1" t="str">
        <f ca="1">IFERROR(__xludf.DUMMYFUNCTION("""COMPUTED_VALUE"""),"Hybrid Working Environment with more than 15 days a month at office")</f>
        <v>Hybrid Working Environment with more than 15 days a month at office</v>
      </c>
      <c r="L1258" s="1" t="str">
        <f ca="1">IFERROR(__xludf.DUMMYFUNCTION("""COMPUTED_VALUE"""),"Employer who rewards learning and enables that environment")</f>
        <v>Employer who rewards learning and enables that environment</v>
      </c>
      <c r="M1258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258" s="1" t="str">
        <f ca="1">IFERROR(__xludf.DUMMYFUNCTION("""COMPUTED_VALUE"""),"Business Operations in any organization, Design and Develop amazing software, Look deeply into Data and generate insights, Work as a freelancer and do my thing my way")</f>
        <v>Business Operations in any organization, Design and Develop amazing software, Look deeply into Data and generate insights, Work as a freelancer and do my thing my way</v>
      </c>
      <c r="O1258" s="1" t="str">
        <f ca="1">IFERROR(__xludf.DUMMYFUNCTION("""COMPUTED_VALUE"""),"Manager who explains what is expected, sets a goal and helps achieve it")</f>
        <v>Manager who explains what is expected, sets a goal and helps achieve it</v>
      </c>
      <c r="P1258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258" s="1" t="str">
        <f ca="1">IFERROR(__xludf.DUMMYFUNCTION("""COMPUTED_VALUE"""),"Yes, I Understand this is gonna happen everywhere")</f>
        <v>Yes, I Understand this is gonna happen everywhere</v>
      </c>
      <c r="R1258" s="1" t="str">
        <f ca="1">IFERROR(__xludf.DUMMYFUNCTION("""COMPUTED_VALUE"""),"This will be hard to do, but if it is the right company I would try")</f>
        <v>This will be hard to do, but if it is the right company I would try</v>
      </c>
      <c r="S1258" s="1"/>
    </row>
    <row r="1259" spans="1:19" ht="12.5" x14ac:dyDescent="0.25">
      <c r="A1259" s="2">
        <f ca="1">IFERROR(__xludf.DUMMYFUNCTION("""COMPUTED_VALUE"""),45044.5547216203)</f>
        <v>45044.554721620298</v>
      </c>
      <c r="B1259" s="1" t="str">
        <f ca="1">IFERROR(__xludf.DUMMYFUNCTION("""COMPUTED_VALUE"""),"India")</f>
        <v>India</v>
      </c>
      <c r="C1259" s="1">
        <f ca="1">IFERROR(__xludf.DUMMYFUNCTION("""COMPUTED_VALUE"""),506167)</f>
        <v>506167</v>
      </c>
      <c r="D1259" s="1" t="str">
        <f ca="1">IFERROR(__xludf.DUMMYFUNCTION("""COMPUTED_VALUE"""),"Male")</f>
        <v>Male</v>
      </c>
      <c r="E1259" s="1" t="str">
        <f ca="1">IFERROR(__xludf.DUMMYFUNCTION("""COMPUTED_VALUE"""),"Social Media like LinkedIn")</f>
        <v>Social Media like LinkedIn</v>
      </c>
      <c r="F1259" s="1" t="str">
        <f ca="1">IFERROR(__xludf.DUMMYFUNCTION("""COMPUTED_VALUE"""),"No I would not be pursuing Higher Education outside of India")</f>
        <v>No I would not be pursuing Higher Education outside of India</v>
      </c>
      <c r="G1259" s="1" t="str">
        <f ca="1">IFERROR(__xludf.DUMMYFUNCTION("""COMPUTED_VALUE"""),"Will work for 3 years or more")</f>
        <v>Will work for 3 years or more</v>
      </c>
      <c r="H1259" s="1" t="str">
        <f ca="1">IFERROR(__xludf.DUMMYFUNCTION("""COMPUTED_VALUE"""),"Yes")</f>
        <v>Yes</v>
      </c>
      <c r="I1259" s="1" t="str">
        <f ca="1">IFERROR(__xludf.DUMMYFUNCTION("""COMPUTED_VALUE"""),"Will work for them")</f>
        <v>Will work for them</v>
      </c>
      <c r="J1259" s="1">
        <f ca="1">IFERROR(__xludf.DUMMYFUNCTION("""COMPUTED_VALUE"""),8)</f>
        <v>8</v>
      </c>
      <c r="K1259" s="1" t="str">
        <f ca="1">IFERROR(__xludf.DUMMYFUNCTION("""COMPUTED_VALUE"""),"Fully Remote with Options to travel as and when needed")</f>
        <v>Fully Remote with Options to travel as and when needed</v>
      </c>
      <c r="L1259" s="1" t="str">
        <f ca="1">IFERROR(__xludf.DUMMYFUNCTION("""COMPUTED_VALUE"""),"Employer who appreciates learning and enables that environment")</f>
        <v>Employer who appreciates learning and enables that environment</v>
      </c>
      <c r="M125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59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1259" s="1" t="str">
        <f ca="1">IFERROR(__xludf.DUMMYFUNCTION("""COMPUTED_VALUE"""),"Manager who clearly describes what she/he needs")</f>
        <v>Manager who clearly describes what she/he needs</v>
      </c>
      <c r="P1259" s="1" t="str">
        <f ca="1">IFERROR(__xludf.DUMMYFUNCTION("""COMPUTED_VALUE"""),"Work with more than 10 people in my team")</f>
        <v>Work with more than 10 people in my team</v>
      </c>
      <c r="Q1259" s="1" t="str">
        <f ca="1">IFERROR(__xludf.DUMMYFUNCTION("""COMPUTED_VALUE"""),"Yes, I Understand this is gonna happen everywhere")</f>
        <v>Yes, I Understand this is gonna happen everywhere</v>
      </c>
      <c r="R1259" s="1" t="str">
        <f ca="1">IFERROR(__xludf.DUMMYFUNCTION("""COMPUTED_VALUE"""),"Will work for 7 years or more")</f>
        <v>Will work for 7 years or more</v>
      </c>
      <c r="S1259" s="1"/>
    </row>
    <row r="1260" spans="1:19" ht="12.5" x14ac:dyDescent="0.25">
      <c r="A1260" s="2">
        <f ca="1">IFERROR(__xludf.DUMMYFUNCTION("""COMPUTED_VALUE"""),45044.5550505439)</f>
        <v>45044.555050543902</v>
      </c>
      <c r="B1260" s="1" t="str">
        <f ca="1">IFERROR(__xludf.DUMMYFUNCTION("""COMPUTED_VALUE"""),"India")</f>
        <v>India</v>
      </c>
      <c r="C1260" s="1">
        <f ca="1">IFERROR(__xludf.DUMMYFUNCTION("""COMPUTED_VALUE"""),500056)</f>
        <v>500056</v>
      </c>
      <c r="D1260" s="1" t="str">
        <f ca="1">IFERROR(__xludf.DUMMYFUNCTION("""COMPUTED_VALUE"""),"Male")</f>
        <v>Male</v>
      </c>
      <c r="E1260" s="1" t="str">
        <f ca="1">IFERROR(__xludf.DUMMYFUNCTION("""COMPUTED_VALUE"""),"My Parents")</f>
        <v>My Parents</v>
      </c>
      <c r="F1260" s="1" t="str">
        <f ca="1">IFERROR(__xludf.DUMMYFUNCTION("""COMPUTED_VALUE"""),"Yes, I will earn and do that")</f>
        <v>Yes, I will earn and do that</v>
      </c>
      <c r="G1260" s="1" t="str">
        <f ca="1">IFERROR(__xludf.DUMMYFUNCTION("""COMPUTED_VALUE"""),"Will work for 3 years or more")</f>
        <v>Will work for 3 years or more</v>
      </c>
      <c r="H1260" s="1" t="str">
        <f ca="1">IFERROR(__xludf.DUMMYFUNCTION("""COMPUTED_VALUE"""),"Yes")</f>
        <v>Yes</v>
      </c>
      <c r="I1260" s="1" t="str">
        <f ca="1">IFERROR(__xludf.DUMMYFUNCTION("""COMPUTED_VALUE"""),"Will NOT work for them")</f>
        <v>Will NOT work for them</v>
      </c>
      <c r="J1260" s="1">
        <f ca="1">IFERROR(__xludf.DUMMYFUNCTION("""COMPUTED_VALUE"""),10)</f>
        <v>10</v>
      </c>
      <c r="K1260" s="1" t="str">
        <f ca="1">IFERROR(__xludf.DUMMYFUNCTION("""COMPUTED_VALUE"""),"Hybrid Working Environment with less than 3 days a month at office")</f>
        <v>Hybrid Working Environment with less than 3 days a month at office</v>
      </c>
      <c r="L1260" s="1" t="str">
        <f ca="1">IFERROR(__xludf.DUMMYFUNCTION("""COMPUTED_VALUE"""),"Employer who appreciates learning and enables that environment")</f>
        <v>Employer who appreciates learning and enables that environment</v>
      </c>
      <c r="M126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260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1260" s="1" t="str">
        <f ca="1">IFERROR(__xludf.DUMMYFUNCTION("""COMPUTED_VALUE"""),"Manager who clearly describes what she/he needs")</f>
        <v>Manager who clearly describes what she/he needs</v>
      </c>
      <c r="P1260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1260" s="1" t="str">
        <f ca="1">IFERROR(__xludf.DUMMYFUNCTION("""COMPUTED_VALUE"""),"Yes, I Understand this is gonna happen everywhere")</f>
        <v>Yes, I Understand this is gonna happen everywhere</v>
      </c>
      <c r="R1260" s="1" t="str">
        <f ca="1">IFERROR(__xludf.DUMMYFUNCTION("""COMPUTED_VALUE"""),"This will be hard to do, but if it is the right company I would try")</f>
        <v>This will be hard to do, but if it is the right company I would try</v>
      </c>
      <c r="S1260" s="1"/>
    </row>
    <row r="1261" spans="1:19" ht="12.5" x14ac:dyDescent="0.25">
      <c r="A1261" s="2">
        <f ca="1">IFERROR(__xludf.DUMMYFUNCTION("""COMPUTED_VALUE"""),45044.556126412)</f>
        <v>45044.556126411997</v>
      </c>
      <c r="B1261" s="1" t="str">
        <f ca="1">IFERROR(__xludf.DUMMYFUNCTION("""COMPUTED_VALUE"""),"India")</f>
        <v>India</v>
      </c>
      <c r="C1261" s="1">
        <f ca="1">IFERROR(__xludf.DUMMYFUNCTION("""COMPUTED_VALUE"""),502279)</f>
        <v>502279</v>
      </c>
      <c r="D1261" s="1" t="str">
        <f ca="1">IFERROR(__xludf.DUMMYFUNCTION("""COMPUTED_VALUE"""),"Female")</f>
        <v>Female</v>
      </c>
      <c r="E1261" s="1" t="str">
        <f ca="1">IFERROR(__xludf.DUMMYFUNCTION("""COMPUTED_VALUE"""),"My Parents")</f>
        <v>My Parents</v>
      </c>
      <c r="F1261" s="1" t="str">
        <f ca="1">IFERROR(__xludf.DUMMYFUNCTION("""COMPUTED_VALUE"""),"No I would not be pursuing Higher Education outside of India")</f>
        <v>No I would not be pursuing Higher Education outside of India</v>
      </c>
      <c r="G1261" s="1" t="str">
        <f ca="1">IFERROR(__xludf.DUMMYFUNCTION("""COMPUTED_VALUE"""),"This will be hard to do, but if it is the right company I would try")</f>
        <v>This will be hard to do, but if it is the right company I would try</v>
      </c>
      <c r="H1261" s="1" t="str">
        <f ca="1">IFERROR(__xludf.DUMMYFUNCTION("""COMPUTED_VALUE"""),"No")</f>
        <v>No</v>
      </c>
      <c r="I1261" s="1" t="str">
        <f ca="1">IFERROR(__xludf.DUMMYFUNCTION("""COMPUTED_VALUE"""),"Will NOT work for them")</f>
        <v>Will NOT work for them</v>
      </c>
      <c r="J1261" s="1">
        <f ca="1">IFERROR(__xludf.DUMMYFUNCTION("""COMPUTED_VALUE"""),5)</f>
        <v>5</v>
      </c>
      <c r="K1261" s="1" t="str">
        <f ca="1">IFERROR(__xludf.DUMMYFUNCTION("""COMPUTED_VALUE"""),"Hybrid Working Environment with more than 15 days a month at office")</f>
        <v>Hybrid Working Environment with more than 15 days a month at office</v>
      </c>
      <c r="L1261" s="1" t="str">
        <f ca="1">IFERROR(__xludf.DUMMYFUNCTION("""COMPUTED_VALUE"""),"Employer who appreciates learning and enables that environment")</f>
        <v>Employer who appreciates learning and enables that environment</v>
      </c>
      <c r="M126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61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1261" s="1" t="str">
        <f ca="1">IFERROR(__xludf.DUMMYFUNCTION("""COMPUTED_VALUE"""),"Manager who explains what is expected, sets a goal and helps achieve it")</f>
        <v>Manager who explains what is expected, sets a goal and helps achieve it</v>
      </c>
      <c r="P1261" s="1" t="str">
        <f ca="1">IFERROR(__xludf.DUMMYFUNCTION("""COMPUTED_VALUE"""),"Work with 5 to 6 people in my team")</f>
        <v>Work with 5 to 6 people in my team</v>
      </c>
      <c r="Q1261" s="1" t="str">
        <f ca="1">IFERROR(__xludf.DUMMYFUNCTION("""COMPUTED_VALUE"""),"Yes, I Understand this is gonna happen everywhere")</f>
        <v>Yes, I Understand this is gonna happen everywhere</v>
      </c>
      <c r="R1261" s="1" t="str">
        <f ca="1">IFERROR(__xludf.DUMMYFUNCTION("""COMPUTED_VALUE"""),"This will be hard to do, but if it is the right company I would try")</f>
        <v>This will be hard to do, but if it is the right company I would try</v>
      </c>
      <c r="S1261" s="1"/>
    </row>
    <row r="1262" spans="1:19" ht="12.5" x14ac:dyDescent="0.25">
      <c r="A1262" s="2">
        <f ca="1">IFERROR(__xludf.DUMMYFUNCTION("""COMPUTED_VALUE"""),45044.5567264814)</f>
        <v>45044.556726481402</v>
      </c>
      <c r="B1262" s="1" t="str">
        <f ca="1">IFERROR(__xludf.DUMMYFUNCTION("""COMPUTED_VALUE"""),"India")</f>
        <v>India</v>
      </c>
      <c r="C1262" s="1">
        <f ca="1">IFERROR(__xludf.DUMMYFUNCTION("""COMPUTED_VALUE"""),533448)</f>
        <v>533448</v>
      </c>
      <c r="D1262" s="1" t="str">
        <f ca="1">IFERROR(__xludf.DUMMYFUNCTION("""COMPUTED_VALUE"""),"Female")</f>
        <v>Female</v>
      </c>
      <c r="E1262" s="1" t="str">
        <f ca="1">IFERROR(__xludf.DUMMYFUNCTION("""COMPUTED_VALUE"""),"My Parents")</f>
        <v>My Parents</v>
      </c>
      <c r="F1262" s="1" t="str">
        <f ca="1">IFERROR(__xludf.DUMMYFUNCTION("""COMPUTED_VALUE"""),"No, But if someone could bare the cost I will")</f>
        <v>No, But if someone could bare the cost I will</v>
      </c>
      <c r="G1262" s="1" t="str">
        <f ca="1">IFERROR(__xludf.DUMMYFUNCTION("""COMPUTED_VALUE"""),"This will be hard to do, but if it is the right company I would try")</f>
        <v>This will be hard to do, but if it is the right company I would try</v>
      </c>
      <c r="H1262" s="1" t="str">
        <f ca="1">IFERROR(__xludf.DUMMYFUNCTION("""COMPUTED_VALUE"""),"No")</f>
        <v>No</v>
      </c>
      <c r="I1262" s="1" t="str">
        <f ca="1">IFERROR(__xludf.DUMMYFUNCTION("""COMPUTED_VALUE"""),"Will NOT work for them")</f>
        <v>Will NOT work for them</v>
      </c>
      <c r="J1262" s="1">
        <f ca="1">IFERROR(__xludf.DUMMYFUNCTION("""COMPUTED_VALUE"""),5)</f>
        <v>5</v>
      </c>
      <c r="K1262" s="1" t="str">
        <f ca="1">IFERROR(__xludf.DUMMYFUNCTION("""COMPUTED_VALUE"""),"Fully Remote with Options to travel as and when needed")</f>
        <v>Fully Remote with Options to travel as and when needed</v>
      </c>
      <c r="L12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6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62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262" s="1" t="str">
        <f ca="1">IFERROR(__xludf.DUMMYFUNCTION("""COMPUTED_VALUE"""),"Manager who explains what is expected, sets a goal and helps achieve it")</f>
        <v>Manager who explains what is expected, sets a goal and helps achieve it</v>
      </c>
      <c r="P1262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262" s="1" t="str">
        <f ca="1">IFERROR(__xludf.DUMMYFUNCTION("""COMPUTED_VALUE"""),"Yes, I Understand this is gonna happen everywhere")</f>
        <v>Yes, I Understand this is gonna happen everywhere</v>
      </c>
      <c r="R1262" s="1" t="str">
        <f ca="1">IFERROR(__xludf.DUMMYFUNCTION("""COMPUTED_VALUE"""),"No way")</f>
        <v>No way</v>
      </c>
      <c r="S1262" s="1"/>
    </row>
    <row r="1263" spans="1:19" ht="12.5" x14ac:dyDescent="0.25">
      <c r="A1263" s="2">
        <f ca="1">IFERROR(__xludf.DUMMYFUNCTION("""COMPUTED_VALUE"""),45044.5592689814)</f>
        <v>45044.5592689814</v>
      </c>
      <c r="B1263" s="1" t="str">
        <f ca="1">IFERROR(__xludf.DUMMYFUNCTION("""COMPUTED_VALUE"""),"India")</f>
        <v>India</v>
      </c>
      <c r="C1263" s="1">
        <f ca="1">IFERROR(__xludf.DUMMYFUNCTION("""COMPUTED_VALUE"""),533201)</f>
        <v>533201</v>
      </c>
      <c r="D1263" s="1" t="str">
        <f ca="1">IFERROR(__xludf.DUMMYFUNCTION("""COMPUTED_VALUE"""),"Male")</f>
        <v>Male</v>
      </c>
      <c r="E1263" s="1" t="str">
        <f ca="1">IFERROR(__xludf.DUMMYFUNCTION("""COMPUTED_VALUE"""),"People from my circle, but not family members")</f>
        <v>People from my circle, but not family members</v>
      </c>
      <c r="F1263" s="1" t="str">
        <f ca="1">IFERROR(__xludf.DUMMYFUNCTION("""COMPUTED_VALUE"""),"No, But if someone could bare the cost I will")</f>
        <v>No, But if someone could bare the cost I will</v>
      </c>
      <c r="G1263" s="1" t="str">
        <f ca="1">IFERROR(__xludf.DUMMYFUNCTION("""COMPUTED_VALUE"""),"Will work for 3 years or more")</f>
        <v>Will work for 3 years or more</v>
      </c>
      <c r="H1263" s="1" t="str">
        <f ca="1">IFERROR(__xludf.DUMMYFUNCTION("""COMPUTED_VALUE"""),"Yes")</f>
        <v>Yes</v>
      </c>
      <c r="I1263" s="1" t="str">
        <f ca="1">IFERROR(__xludf.DUMMYFUNCTION("""COMPUTED_VALUE"""),"Will NOT work for them")</f>
        <v>Will NOT work for them</v>
      </c>
      <c r="J1263" s="1">
        <f ca="1">IFERROR(__xludf.DUMMYFUNCTION("""COMPUTED_VALUE"""),8)</f>
        <v>8</v>
      </c>
      <c r="K1263" s="1" t="str">
        <f ca="1">IFERROR(__xludf.DUMMYFUNCTION("""COMPUTED_VALUE"""),"Hybrid Working Environment with more than 15 days a month at office")</f>
        <v>Hybrid Working Environment with more than 15 days a month at office</v>
      </c>
      <c r="L12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6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63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1263" s="1" t="str">
        <f ca="1">IFERROR(__xludf.DUMMYFUNCTION("""COMPUTED_VALUE"""),"Manager who explains what is expected, sets a goal and helps achieve it")</f>
        <v>Manager who explains what is expected, sets a goal and helps achieve it</v>
      </c>
      <c r="P1263" s="1" t="str">
        <f ca="1">IFERROR(__xludf.DUMMYFUNCTION("""COMPUTED_VALUE"""),"Work with 2 to 3 people in my team, Work with 5 to 6 people in my team")</f>
        <v>Work with 2 to 3 people in my team, Work with 5 to 6 people in my team</v>
      </c>
      <c r="Q1263" s="1" t="str">
        <f ca="1">IFERROR(__xludf.DUMMYFUNCTION("""COMPUTED_VALUE"""),"Yes, I Understand this is gonna happen everywhere")</f>
        <v>Yes, I Understand this is gonna happen everywhere</v>
      </c>
      <c r="R1263" s="1" t="str">
        <f ca="1">IFERROR(__xludf.DUMMYFUNCTION("""COMPUTED_VALUE"""),"This will be hard to do, but if it is the right company I would try")</f>
        <v>This will be hard to do, but if it is the right company I would try</v>
      </c>
      <c r="S1263" s="1"/>
    </row>
    <row r="1264" spans="1:19" ht="12.5" x14ac:dyDescent="0.25">
      <c r="A1264" s="2">
        <f ca="1">IFERROR(__xludf.DUMMYFUNCTION("""COMPUTED_VALUE"""),45044.5637063773)</f>
        <v>45044.563706377303</v>
      </c>
      <c r="B1264" s="1" t="str">
        <f ca="1">IFERROR(__xludf.DUMMYFUNCTION("""COMPUTED_VALUE"""),"India")</f>
        <v>India</v>
      </c>
      <c r="C1264" s="1">
        <f ca="1">IFERROR(__xludf.DUMMYFUNCTION("""COMPUTED_VALUE"""),560076)</f>
        <v>560076</v>
      </c>
      <c r="D1264" s="1" t="str">
        <f ca="1">IFERROR(__xludf.DUMMYFUNCTION("""COMPUTED_VALUE"""),"Female")</f>
        <v>Female</v>
      </c>
      <c r="E1264" s="1" t="str">
        <f ca="1">IFERROR(__xludf.DUMMYFUNCTION("""COMPUTED_VALUE"""),"People who have changed the world for better")</f>
        <v>People who have changed the world for better</v>
      </c>
      <c r="F1264" s="1" t="str">
        <f ca="1">IFERROR(__xludf.DUMMYFUNCTION("""COMPUTED_VALUE"""),"No, But if someone could bare the cost I will")</f>
        <v>No, But if someone could bare the cost I will</v>
      </c>
      <c r="G1264" s="1" t="str">
        <f ca="1">IFERROR(__xludf.DUMMYFUNCTION("""COMPUTED_VALUE"""),"This will be hard to do, but if it is the right company I would try")</f>
        <v>This will be hard to do, but if it is the right company I would try</v>
      </c>
      <c r="H1264" s="1" t="str">
        <f ca="1">IFERROR(__xludf.DUMMYFUNCTION("""COMPUTED_VALUE"""),"No")</f>
        <v>No</v>
      </c>
      <c r="I1264" s="1" t="str">
        <f ca="1">IFERROR(__xludf.DUMMYFUNCTION("""COMPUTED_VALUE"""),"Will NOT work for them")</f>
        <v>Will NOT work for them</v>
      </c>
      <c r="J1264" s="1">
        <f ca="1">IFERROR(__xludf.DUMMYFUNCTION("""COMPUTED_VALUE"""),1)</f>
        <v>1</v>
      </c>
      <c r="K1264" s="1" t="str">
        <f ca="1">IFERROR(__xludf.DUMMYFUNCTION("""COMPUTED_VALUE"""),"Fully Remote with Options to travel as and when needed")</f>
        <v>Fully Remote with Options to travel as and when needed</v>
      </c>
      <c r="L12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6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264" s="1" t="str">
        <f ca="1">IFERROR(__xludf.DUMMYFUNCTION("""COMPUTED_VALUE"""),"Manage and drive End-to-End Projects or Products, Look deeply into Data and generate insights, Entrepreneur or Start Up, An Artificial Intelligence Specialist / Talking to Robots")</f>
        <v>Manage and drive End-to-End Projects or Products, Look deeply into Data and generate insights, Entrepreneur or Start Up, An Artificial Intelligence Specialist / Talking to Robots</v>
      </c>
      <c r="O1264" s="1" t="str">
        <f ca="1">IFERROR(__xludf.DUMMYFUNCTION("""COMPUTED_VALUE"""),"Manager who explains what is expected, sets a goal and helps achieve it")</f>
        <v>Manager who explains what is expected, sets a goal and helps achieve it</v>
      </c>
      <c r="P1264" s="1" t="str">
        <f ca="1">IFERROR(__xludf.DUMMYFUNCTION("""COMPUTED_VALUE"""),"Work with more than 10 people in my team")</f>
        <v>Work with more than 10 people in my team</v>
      </c>
      <c r="Q1264" s="1" t="str">
        <f ca="1">IFERROR(__xludf.DUMMYFUNCTION("""COMPUTED_VALUE"""),"Yes, I Understand this is gonna happen everywhere")</f>
        <v>Yes, I Understand this is gonna happen everywhere</v>
      </c>
      <c r="R1264" s="1" t="str">
        <f ca="1">IFERROR(__xludf.DUMMYFUNCTION("""COMPUTED_VALUE"""),"This will be hard to do, but if it is the right company I would try")</f>
        <v>This will be hard to do, but if it is the right company I would try</v>
      </c>
      <c r="S1264" s="1"/>
    </row>
    <row r="1265" spans="1:19" ht="12.5" x14ac:dyDescent="0.25">
      <c r="A1265" s="2">
        <f ca="1">IFERROR(__xludf.DUMMYFUNCTION("""COMPUTED_VALUE"""),45044.5678331828)</f>
        <v>45044.567833182802</v>
      </c>
      <c r="B1265" s="1" t="str">
        <f ca="1">IFERROR(__xludf.DUMMYFUNCTION("""COMPUTED_VALUE"""),"India")</f>
        <v>India</v>
      </c>
      <c r="C1265" s="1">
        <f ca="1">IFERROR(__xludf.DUMMYFUNCTION("""COMPUTED_VALUE"""),440024)</f>
        <v>440024</v>
      </c>
      <c r="D1265" s="1" t="str">
        <f ca="1">IFERROR(__xludf.DUMMYFUNCTION("""COMPUTED_VALUE"""),"Male")</f>
        <v>Male</v>
      </c>
      <c r="E1265" s="1" t="str">
        <f ca="1">IFERROR(__xludf.DUMMYFUNCTION("""COMPUTED_VALUE"""),"People who have changed the world for better")</f>
        <v>People who have changed the world for better</v>
      </c>
      <c r="F1265" s="1" t="str">
        <f ca="1">IFERROR(__xludf.DUMMYFUNCTION("""COMPUTED_VALUE"""),"No I would not be pursuing Higher Education outside of India")</f>
        <v>No I would not be pursuing Higher Education outside of India</v>
      </c>
      <c r="G1265" s="1" t="str">
        <f ca="1">IFERROR(__xludf.DUMMYFUNCTION("""COMPUTED_VALUE"""),"Will work for 3 years or more")</f>
        <v>Will work for 3 years or more</v>
      </c>
      <c r="H1265" s="1" t="str">
        <f ca="1">IFERROR(__xludf.DUMMYFUNCTION("""COMPUTED_VALUE"""),"No")</f>
        <v>No</v>
      </c>
      <c r="I1265" s="1" t="str">
        <f ca="1">IFERROR(__xludf.DUMMYFUNCTION("""COMPUTED_VALUE"""),"Will NOT work for them")</f>
        <v>Will NOT work for them</v>
      </c>
      <c r="J1265" s="1">
        <f ca="1">IFERROR(__xludf.DUMMYFUNCTION("""COMPUTED_VALUE"""),6)</f>
        <v>6</v>
      </c>
      <c r="K1265" s="1" t="str">
        <f ca="1">IFERROR(__xludf.DUMMYFUNCTION("""COMPUTED_VALUE"""),"Every Day Office Environment")</f>
        <v>Every Day Office Environment</v>
      </c>
      <c r="L12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6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265" s="1" t="str">
        <f ca="1">IFERROR(__xludf.DUMMYFUNCTION("""COMPUTED_VALUE"""),"Design and Creative strategy in any company, Teaching in any of the institutes/colleges/online or offline, Work as a freelancer and do my thing my way, Manufacturing / Oil and Gas/ Construction / Hard Physical Work related")</f>
        <v>Design and Creative strategy in any company, Teaching in any of the institutes/colleges/online or offline, Work as a freelancer and do my thing my way, Manufacturing / Oil and Gas/ Construction / Hard Physical Work related</v>
      </c>
      <c r="O1265" s="1" t="str">
        <f ca="1">IFERROR(__xludf.DUMMYFUNCTION("""COMPUTED_VALUE"""),"Manager who explains what is expected, sets a goal and helps achieve it")</f>
        <v>Manager who explains what is expected, sets a goal and helps achieve it</v>
      </c>
      <c r="P1265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265" s="1" t="str">
        <f ca="1">IFERROR(__xludf.DUMMYFUNCTION("""COMPUTED_VALUE"""),"Yes")</f>
        <v>Yes</v>
      </c>
      <c r="R1265" s="1" t="str">
        <f ca="1">IFERROR(__xludf.DUMMYFUNCTION("""COMPUTED_VALUE"""),"No way")</f>
        <v>No way</v>
      </c>
      <c r="S1265" s="1"/>
    </row>
    <row r="1266" spans="1:19" ht="12.5" x14ac:dyDescent="0.25">
      <c r="A1266" s="2">
        <f ca="1">IFERROR(__xludf.DUMMYFUNCTION("""COMPUTED_VALUE"""),45044.5715935185)</f>
        <v>45044.5715935185</v>
      </c>
      <c r="B1266" s="1" t="str">
        <f ca="1">IFERROR(__xludf.DUMMYFUNCTION("""COMPUTED_VALUE"""),"India")</f>
        <v>India</v>
      </c>
      <c r="C1266" s="1">
        <f ca="1">IFERROR(__xludf.DUMMYFUNCTION("""COMPUTED_VALUE"""),533201)</f>
        <v>533201</v>
      </c>
      <c r="D1266" s="1" t="str">
        <f ca="1">IFERROR(__xludf.DUMMYFUNCTION("""COMPUTED_VALUE"""),"Male")</f>
        <v>Male</v>
      </c>
      <c r="E1266" s="1" t="str">
        <f ca="1">IFERROR(__xludf.DUMMYFUNCTION("""COMPUTED_VALUE"""),"My Parents")</f>
        <v>My Parents</v>
      </c>
      <c r="F1266" s="1" t="str">
        <f ca="1">IFERROR(__xludf.DUMMYFUNCTION("""COMPUTED_VALUE"""),"No I would not be pursuing Higher Education outside of India")</f>
        <v>No I would not be pursuing Higher Education outside of India</v>
      </c>
      <c r="G1266" s="1" t="str">
        <f ca="1">IFERROR(__xludf.DUMMYFUNCTION("""COMPUTED_VALUE"""),"This will be hard to do, but if it is the right company I would try")</f>
        <v>This will be hard to do, but if it is the right company I would try</v>
      </c>
      <c r="H1266" s="1" t="str">
        <f ca="1">IFERROR(__xludf.DUMMYFUNCTION("""COMPUTED_VALUE"""),"No")</f>
        <v>No</v>
      </c>
      <c r="I1266" s="1" t="str">
        <f ca="1">IFERROR(__xludf.DUMMYFUNCTION("""COMPUTED_VALUE"""),"Will NOT work for them")</f>
        <v>Will NOT work for them</v>
      </c>
      <c r="J1266" s="1">
        <f ca="1">IFERROR(__xludf.DUMMYFUNCTION("""COMPUTED_VALUE"""),7)</f>
        <v>7</v>
      </c>
      <c r="K1266" s="1" t="str">
        <f ca="1">IFERROR(__xludf.DUMMYFUNCTION("""COMPUTED_VALUE"""),"Fully Remote with Options to travel as and when needed")</f>
        <v>Fully Remote with Options to travel as and when needed</v>
      </c>
      <c r="L12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6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66" s="1" t="str">
        <f ca="1">IFERROR(__xludf.DUMMYFUNCTION("""COMPUTED_VALUE"""),"Build and develop a Team, Design and Develop amazing software, Entrepreneur or Start Up, An Artificial Intelligence Specialist / Talking to Robots")</f>
        <v>Build and develop a Team, Design and Develop amazing software, Entrepreneur or Start Up, An Artificial Intelligence Specialist / Talking to Robots</v>
      </c>
      <c r="O1266" s="1" t="str">
        <f ca="1">IFERROR(__xludf.DUMMYFUNCTION("""COMPUTED_VALUE"""),"Manager who sets goal and helps me achieve it")</f>
        <v>Manager who sets goal and helps me achieve it</v>
      </c>
      <c r="P1266" s="1" t="str">
        <f ca="1">IFERROR(__xludf.DUMMYFUNCTION("""COMPUTED_VALUE"""),"Work with 7 to 10 or more people in my team")</f>
        <v>Work with 7 to 10 or more people in my team</v>
      </c>
      <c r="Q1266" s="1" t="str">
        <f ca="1">IFERROR(__xludf.DUMMYFUNCTION("""COMPUTED_VALUE"""),"Yes, I Understand this is gonna happen everywhere")</f>
        <v>Yes, I Understand this is gonna happen everywhere</v>
      </c>
      <c r="R1266" s="1" t="str">
        <f ca="1">IFERROR(__xludf.DUMMYFUNCTION("""COMPUTED_VALUE"""),"No way")</f>
        <v>No way</v>
      </c>
      <c r="S1266" s="1"/>
    </row>
    <row r="1267" spans="1:19" ht="12.5" x14ac:dyDescent="0.25">
      <c r="A1267" s="2">
        <f ca="1">IFERROR(__xludf.DUMMYFUNCTION("""COMPUTED_VALUE"""),45044.5754720601)</f>
        <v>45044.575472060103</v>
      </c>
      <c r="B1267" s="1" t="str">
        <f ca="1">IFERROR(__xludf.DUMMYFUNCTION("""COMPUTED_VALUE"""),"India")</f>
        <v>India</v>
      </c>
      <c r="C1267" s="1">
        <f ca="1">IFERROR(__xludf.DUMMYFUNCTION("""COMPUTED_VALUE"""),413001)</f>
        <v>413001</v>
      </c>
      <c r="D1267" s="1" t="str">
        <f ca="1">IFERROR(__xludf.DUMMYFUNCTION("""COMPUTED_VALUE"""),"Male")</f>
        <v>Male</v>
      </c>
      <c r="E1267" s="1" t="str">
        <f ca="1">IFERROR(__xludf.DUMMYFUNCTION("""COMPUTED_VALUE"""),"People who have changed the world for better")</f>
        <v>People who have changed the world for better</v>
      </c>
      <c r="F1267" s="1" t="str">
        <f ca="1">IFERROR(__xludf.DUMMYFUNCTION("""COMPUTED_VALUE"""),"Yes, I will earn and do that")</f>
        <v>Yes, I will earn and do that</v>
      </c>
      <c r="G1267" s="1" t="str">
        <f ca="1">IFERROR(__xludf.DUMMYFUNCTION("""COMPUTED_VALUE"""),"This will be hard to do, but if it is the right company I would try")</f>
        <v>This will be hard to do, but if it is the right company I would try</v>
      </c>
      <c r="H1267" s="1" t="str">
        <f ca="1">IFERROR(__xludf.DUMMYFUNCTION("""COMPUTED_VALUE"""),"No")</f>
        <v>No</v>
      </c>
      <c r="I1267" s="1" t="str">
        <f ca="1">IFERROR(__xludf.DUMMYFUNCTION("""COMPUTED_VALUE"""),"Will NOT work for them")</f>
        <v>Will NOT work for them</v>
      </c>
      <c r="J1267" s="1">
        <f ca="1">IFERROR(__xludf.DUMMYFUNCTION("""COMPUTED_VALUE"""),5)</f>
        <v>5</v>
      </c>
      <c r="K1267" s="1" t="str">
        <f ca="1">IFERROR(__xludf.DUMMYFUNCTION("""COMPUTED_VALUE"""),"Fully Remote with Options to travel as and when needed")</f>
        <v>Fully Remote with Options to travel as and when needed</v>
      </c>
      <c r="L1267" s="1" t="str">
        <f ca="1">IFERROR(__xludf.DUMMYFUNCTION("""COMPUTED_VALUE"""),"Employer who rewards learning and enables that environment")</f>
        <v>Employer who rewards learning and enables that environment</v>
      </c>
      <c r="M126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267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267" s="1" t="str">
        <f ca="1">IFERROR(__xludf.DUMMYFUNCTION("""COMPUTED_VALUE"""),"Manager who explains what is expected, sets a goal and helps achieve it")</f>
        <v>Manager who explains what is expected, sets a goal and helps achieve it</v>
      </c>
      <c r="P1267" s="1" t="str">
        <f ca="1">IFERROR(__xludf.DUMMYFUNCTION("""COMPUTED_VALUE"""),"Work with 2 to 3 people in my team, Work with 5 to 6 people in my team")</f>
        <v>Work with 2 to 3 people in my team, Work with 5 to 6 people in my team</v>
      </c>
      <c r="Q1267" s="1" t="str">
        <f ca="1">IFERROR(__xludf.DUMMYFUNCTION("""COMPUTED_VALUE"""),"I have NO other choice")</f>
        <v>I have NO other choice</v>
      </c>
      <c r="R1267" s="1" t="str">
        <f ca="1">IFERROR(__xludf.DUMMYFUNCTION("""COMPUTED_VALUE"""),"This will be hard to do, but if it is the right company I would try")</f>
        <v>This will be hard to do, but if it is the right company I would try</v>
      </c>
      <c r="S1267" s="1"/>
    </row>
    <row r="1268" spans="1:19" ht="12.5" x14ac:dyDescent="0.25">
      <c r="A1268" s="2">
        <f ca="1">IFERROR(__xludf.DUMMYFUNCTION("""COMPUTED_VALUE"""),45044.5770264351)</f>
        <v>45044.577026435101</v>
      </c>
      <c r="B1268" s="1" t="str">
        <f ca="1">IFERROR(__xludf.DUMMYFUNCTION("""COMPUTED_VALUE"""),"India")</f>
        <v>India</v>
      </c>
      <c r="C1268" s="1">
        <f ca="1">IFERROR(__xludf.DUMMYFUNCTION("""COMPUTED_VALUE"""),518512)</f>
        <v>518512</v>
      </c>
      <c r="D1268" s="1" t="str">
        <f ca="1">IFERROR(__xludf.DUMMYFUNCTION("""COMPUTED_VALUE"""),"Male")</f>
        <v>Male</v>
      </c>
      <c r="E1268" s="1" t="str">
        <f ca="1">IFERROR(__xludf.DUMMYFUNCTION("""COMPUTED_VALUE"""),"My Parents")</f>
        <v>My Parents</v>
      </c>
      <c r="F1268" s="1" t="str">
        <f ca="1">IFERROR(__xludf.DUMMYFUNCTION("""COMPUTED_VALUE"""),"No I would not be pursuing Higher Education outside of India")</f>
        <v>No I would not be pursuing Higher Education outside of India</v>
      </c>
      <c r="G1268" s="1" t="str">
        <f ca="1">IFERROR(__xludf.DUMMYFUNCTION("""COMPUTED_VALUE"""),"Will work for 3 years or more")</f>
        <v>Will work for 3 years or more</v>
      </c>
      <c r="H1268" s="1" t="str">
        <f ca="1">IFERROR(__xludf.DUMMYFUNCTION("""COMPUTED_VALUE"""),"No")</f>
        <v>No</v>
      </c>
      <c r="I1268" s="1" t="str">
        <f ca="1">IFERROR(__xludf.DUMMYFUNCTION("""COMPUTED_VALUE"""),"Will NOT work for them")</f>
        <v>Will NOT work for them</v>
      </c>
      <c r="J1268" s="1">
        <f ca="1">IFERROR(__xludf.DUMMYFUNCTION("""COMPUTED_VALUE"""),5)</f>
        <v>5</v>
      </c>
      <c r="K1268" s="1" t="str">
        <f ca="1">IFERROR(__xludf.DUMMYFUNCTION("""COMPUTED_VALUE"""),"Hybrid Working Environment with more than 15 days a month at office")</f>
        <v>Hybrid Working Environment with more than 15 days a month at office</v>
      </c>
      <c r="L1268" s="1" t="str">
        <f ca="1">IFERROR(__xludf.DUMMYFUNCTION("""COMPUTED_VALUE"""),"Employer who appreciates learning and enables that environment")</f>
        <v>Employer who appreciates learning and enables that environment</v>
      </c>
      <c r="M1268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26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268" s="1" t="str">
        <f ca="1">IFERROR(__xludf.DUMMYFUNCTION("""COMPUTED_VALUE"""),"Manager who explains what is expected, sets a goal and helps achieve it")</f>
        <v>Manager who explains what is expected, sets a goal and helps achieve it</v>
      </c>
      <c r="P1268" s="1" t="str">
        <f ca="1">IFERROR(__xludf.DUMMYFUNCTION("""COMPUTED_VALUE"""),"Work with more than 10 people in my team")</f>
        <v>Work with more than 10 people in my team</v>
      </c>
      <c r="Q1268" s="1" t="str">
        <f ca="1">IFERROR(__xludf.DUMMYFUNCTION("""COMPUTED_VALUE"""),"Yes, I Understand this is gonna happen everywhere")</f>
        <v>Yes, I Understand this is gonna happen everywhere</v>
      </c>
      <c r="R1268" s="1" t="str">
        <f ca="1">IFERROR(__xludf.DUMMYFUNCTION("""COMPUTED_VALUE"""),"This will be hard to do, but if it is the right company I would try")</f>
        <v>This will be hard to do, but if it is the right company I would try</v>
      </c>
      <c r="S1268" s="1"/>
    </row>
    <row r="1269" spans="1:19" ht="12.5" x14ac:dyDescent="0.25">
      <c r="A1269" s="2">
        <f ca="1">IFERROR(__xludf.DUMMYFUNCTION("""COMPUTED_VALUE"""),45044.5775888773)</f>
        <v>45044.577588877299</v>
      </c>
      <c r="B1269" s="1" t="str">
        <f ca="1">IFERROR(__xludf.DUMMYFUNCTION("""COMPUTED_VALUE"""),"India")</f>
        <v>India</v>
      </c>
      <c r="C1269" s="1">
        <f ca="1">IFERROR(__xludf.DUMMYFUNCTION("""COMPUTED_VALUE"""),506314)</f>
        <v>506314</v>
      </c>
      <c r="D1269" s="1" t="str">
        <f ca="1">IFERROR(__xludf.DUMMYFUNCTION("""COMPUTED_VALUE"""),"Male")</f>
        <v>Male</v>
      </c>
      <c r="E1269" s="1" t="str">
        <f ca="1">IFERROR(__xludf.DUMMYFUNCTION("""COMPUTED_VALUE"""),"People who have changed the world for better")</f>
        <v>People who have changed the world for better</v>
      </c>
      <c r="F1269" s="1" t="str">
        <f ca="1">IFERROR(__xludf.DUMMYFUNCTION("""COMPUTED_VALUE"""),"No I would not be pursuing Higher Education outside of India")</f>
        <v>No I would not be pursuing Higher Education outside of India</v>
      </c>
      <c r="G1269" s="1" t="str">
        <f ca="1">IFERROR(__xludf.DUMMYFUNCTION("""COMPUTED_VALUE"""),"This will be hard to do, but if it is the right company I would try")</f>
        <v>This will be hard to do, but if it is the right company I would try</v>
      </c>
      <c r="H1269" s="1" t="str">
        <f ca="1">IFERROR(__xludf.DUMMYFUNCTION("""COMPUTED_VALUE"""),"No")</f>
        <v>No</v>
      </c>
      <c r="I1269" s="1" t="str">
        <f ca="1">IFERROR(__xludf.DUMMYFUNCTION("""COMPUTED_VALUE"""),"Will work for them")</f>
        <v>Will work for them</v>
      </c>
      <c r="J1269" s="1">
        <f ca="1">IFERROR(__xludf.DUMMYFUNCTION("""COMPUTED_VALUE"""),8)</f>
        <v>8</v>
      </c>
      <c r="K1269" s="1" t="str">
        <f ca="1">IFERROR(__xludf.DUMMYFUNCTION("""COMPUTED_VALUE"""),"Fully Remote with No option to visit offices")</f>
        <v>Fully Remote with No option to visit offices</v>
      </c>
      <c r="L1269" s="1" t="str">
        <f ca="1">IFERROR(__xludf.DUMMYFUNCTION("""COMPUTED_VALUE"""),"Employer who appreciates learning and enables that environment")</f>
        <v>Employer who appreciates learning and enables that environment</v>
      </c>
      <c r="M126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269" s="1" t="str">
        <f ca="1">IFERROR(__xludf.DUMMYFUNCTION("""COMPUTED_VALUE"""),"Teaching in any of the institutes/colleges/online or offline, Build and develop a Team, Entrepreneur or Start Up, Manufacturing / Oil and Gas/ Construction / Hard Physical Work related")</f>
        <v>Teaching in any of the institutes/colleges/online or offline, Build and develop a Team, Entrepreneur or Start Up, Manufacturing / Oil and Gas/ Construction / Hard Physical Work related</v>
      </c>
      <c r="O1269" s="1" t="str">
        <f ca="1">IFERROR(__xludf.DUMMYFUNCTION("""COMPUTED_VALUE"""),"Manager who clearly describes what she/he needs")</f>
        <v>Manager who clearly describes what she/he needs</v>
      </c>
      <c r="P1269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269" s="1" t="str">
        <f ca="1">IFERROR(__xludf.DUMMYFUNCTION("""COMPUTED_VALUE"""),"Yes")</f>
        <v>Yes</v>
      </c>
      <c r="R1269" s="1" t="str">
        <f ca="1">IFERROR(__xludf.DUMMYFUNCTION("""COMPUTED_VALUE"""),"This will be hard to do, but if it is the right company I would try")</f>
        <v>This will be hard to do, but if it is the right company I would try</v>
      </c>
      <c r="S1269" s="1"/>
    </row>
    <row r="1270" spans="1:19" ht="12.5" x14ac:dyDescent="0.25">
      <c r="A1270" s="2">
        <f ca="1">IFERROR(__xludf.DUMMYFUNCTION("""COMPUTED_VALUE"""),45044.5776126967)</f>
        <v>45044.577612696703</v>
      </c>
      <c r="B1270" s="1" t="str">
        <f ca="1">IFERROR(__xludf.DUMMYFUNCTION("""COMPUTED_VALUE"""),"India")</f>
        <v>India</v>
      </c>
      <c r="C1270" s="1">
        <f ca="1">IFERROR(__xludf.DUMMYFUNCTION("""COMPUTED_VALUE"""),500018)</f>
        <v>500018</v>
      </c>
      <c r="D1270" s="1" t="str">
        <f ca="1">IFERROR(__xludf.DUMMYFUNCTION("""COMPUTED_VALUE"""),"Male")</f>
        <v>Male</v>
      </c>
      <c r="E1270" s="1" t="str">
        <f ca="1">IFERROR(__xludf.DUMMYFUNCTION("""COMPUTED_VALUE"""),"People who have changed the world for better")</f>
        <v>People who have changed the world for better</v>
      </c>
      <c r="F1270" s="1" t="str">
        <f ca="1">IFERROR(__xludf.DUMMYFUNCTION("""COMPUTED_VALUE"""),"No, But if someone could bare the cost I will")</f>
        <v>No, But if someone could bare the cost I will</v>
      </c>
      <c r="G1270" s="1" t="str">
        <f ca="1">IFERROR(__xludf.DUMMYFUNCTION("""COMPUTED_VALUE"""),"Will work for 3 years or more")</f>
        <v>Will work for 3 years or more</v>
      </c>
      <c r="H1270" s="1" t="str">
        <f ca="1">IFERROR(__xludf.DUMMYFUNCTION("""COMPUTED_VALUE"""),"No")</f>
        <v>No</v>
      </c>
      <c r="I1270" s="1" t="str">
        <f ca="1">IFERROR(__xludf.DUMMYFUNCTION("""COMPUTED_VALUE"""),"Will NOT work for them")</f>
        <v>Will NOT work for them</v>
      </c>
      <c r="J1270" s="1">
        <f ca="1">IFERROR(__xludf.DUMMYFUNCTION("""COMPUTED_VALUE"""),1)</f>
        <v>1</v>
      </c>
      <c r="K1270" s="1" t="str">
        <f ca="1">IFERROR(__xludf.DUMMYFUNCTION("""COMPUTED_VALUE"""),"Every Day Office Environment")</f>
        <v>Every Day Office Environment</v>
      </c>
      <c r="L12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7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70" s="1" t="str">
        <f ca="1">IFERROR(__xludf.DUMMYFUNCTION("""COMPUTED_VALUE"""),"Become a content Creator in some platform, Entrepreneur or Start Up, I Want to sell things/Sales, Manufacturing / Oil and Gas/ Construction / Hard Physical Work related")</f>
        <v>Become a content Creator in some platform, Entrepreneur or Start Up, I Want to sell things/Sales, Manufacturing / Oil and Gas/ Construction / Hard Physical Work related</v>
      </c>
      <c r="O1270" s="1" t="str">
        <f ca="1">IFERROR(__xludf.DUMMYFUNCTION("""COMPUTED_VALUE"""),"Manager who explains what is expected, sets a goal and helps achieve it")</f>
        <v>Manager who explains what is expected, sets a goal and helps achieve it</v>
      </c>
      <c r="P1270" s="1" t="str">
        <f ca="1">IFERROR(__xludf.DUMMYFUNCTION("""COMPUTED_VALUE"""),"Work with 2 to 3 people in my team")</f>
        <v>Work with 2 to 3 people in my team</v>
      </c>
      <c r="Q1270" s="1" t="str">
        <f ca="1">IFERROR(__xludf.DUMMYFUNCTION("""COMPUTED_VALUE"""),"Yes, I Understand this is gonna happen everywhere")</f>
        <v>Yes, I Understand this is gonna happen everywhere</v>
      </c>
      <c r="R1270" s="1" t="str">
        <f ca="1">IFERROR(__xludf.DUMMYFUNCTION("""COMPUTED_VALUE"""),"This will be hard to do, but if it is the right company I would try")</f>
        <v>This will be hard to do, but if it is the right company I would try</v>
      </c>
      <c r="S1270" s="1"/>
    </row>
    <row r="1271" spans="1:19" ht="12.5" x14ac:dyDescent="0.25">
      <c r="A1271" s="2">
        <f ca="1">IFERROR(__xludf.DUMMYFUNCTION("""COMPUTED_VALUE"""),45044.5784124652)</f>
        <v>45044.578412465198</v>
      </c>
      <c r="B1271" s="1" t="str">
        <f ca="1">IFERROR(__xludf.DUMMYFUNCTION("""COMPUTED_VALUE"""),"India")</f>
        <v>India</v>
      </c>
      <c r="C1271" s="1">
        <f ca="1">IFERROR(__xludf.DUMMYFUNCTION("""COMPUTED_VALUE"""),421503)</f>
        <v>421503</v>
      </c>
      <c r="D1271" s="1" t="str">
        <f ca="1">IFERROR(__xludf.DUMMYFUNCTION("""COMPUTED_VALUE"""),"Male")</f>
        <v>Male</v>
      </c>
      <c r="E1271" s="1" t="str">
        <f ca="1">IFERROR(__xludf.DUMMYFUNCTION("""COMPUTED_VALUE"""),"People who have changed the world for better")</f>
        <v>People who have changed the world for better</v>
      </c>
      <c r="F1271" s="1" t="str">
        <f ca="1">IFERROR(__xludf.DUMMYFUNCTION("""COMPUTED_VALUE"""),"No, But if someone could bare the cost I will")</f>
        <v>No, But if someone could bare the cost I will</v>
      </c>
      <c r="G1271" s="1" t="str">
        <f ca="1">IFERROR(__xludf.DUMMYFUNCTION("""COMPUTED_VALUE"""),"This will be hard to do, but if it is the right company I would try")</f>
        <v>This will be hard to do, but if it is the right company I would try</v>
      </c>
      <c r="H1271" s="1" t="str">
        <f ca="1">IFERROR(__xludf.DUMMYFUNCTION("""COMPUTED_VALUE"""),"No")</f>
        <v>No</v>
      </c>
      <c r="I1271" s="1" t="str">
        <f ca="1">IFERROR(__xludf.DUMMYFUNCTION("""COMPUTED_VALUE"""),"Will NOT work for them")</f>
        <v>Will NOT work for them</v>
      </c>
      <c r="J1271" s="1">
        <f ca="1">IFERROR(__xludf.DUMMYFUNCTION("""COMPUTED_VALUE"""),8)</f>
        <v>8</v>
      </c>
      <c r="K1271" s="1" t="str">
        <f ca="1">IFERROR(__xludf.DUMMYFUNCTION("""COMPUTED_VALUE"""),"Hybrid Working Environment with less than 3 days a month at office")</f>
        <v>Hybrid Working Environment with less than 3 days a month at office</v>
      </c>
      <c r="L12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7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271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271" s="1" t="str">
        <f ca="1">IFERROR(__xludf.DUMMYFUNCTION("""COMPUTED_VALUE"""),"Manager who clearly describes what she/he needs")</f>
        <v>Manager who clearly describes what she/he needs</v>
      </c>
      <c r="P1271" s="1" t="str">
        <f ca="1">IFERROR(__xludf.DUMMYFUNCTION("""COMPUTED_VALUE"""),"Work with 5 to 6 people in my team")</f>
        <v>Work with 5 to 6 people in my team</v>
      </c>
      <c r="Q1271" s="1" t="str">
        <f ca="1">IFERROR(__xludf.DUMMYFUNCTION("""COMPUTED_VALUE"""),"Yes, I Understand this is gonna happen everywhere")</f>
        <v>Yes, I Understand this is gonna happen everywhere</v>
      </c>
      <c r="R1271" s="1" t="str">
        <f ca="1">IFERROR(__xludf.DUMMYFUNCTION("""COMPUTED_VALUE"""),"This will be hard to do, but if it is the right company I would try")</f>
        <v>This will be hard to do, but if it is the right company I would try</v>
      </c>
      <c r="S1271" s="1"/>
    </row>
    <row r="1272" spans="1:19" ht="12.5" x14ac:dyDescent="0.25">
      <c r="A1272" s="2">
        <f ca="1">IFERROR(__xludf.DUMMYFUNCTION("""COMPUTED_VALUE"""),45044.5788726273)</f>
        <v>45044.578872627302</v>
      </c>
      <c r="B1272" s="1" t="str">
        <f ca="1">IFERROR(__xludf.DUMMYFUNCTION("""COMPUTED_VALUE"""),"India")</f>
        <v>India</v>
      </c>
      <c r="C1272" s="1">
        <f ca="1">IFERROR(__xludf.DUMMYFUNCTION("""COMPUTED_VALUE"""),411057)</f>
        <v>411057</v>
      </c>
      <c r="D1272" s="1" t="str">
        <f ca="1">IFERROR(__xludf.DUMMYFUNCTION("""COMPUTED_VALUE"""),"Male")</f>
        <v>Male</v>
      </c>
      <c r="E1272" s="1" t="str">
        <f ca="1">IFERROR(__xludf.DUMMYFUNCTION("""COMPUTED_VALUE"""),"People who have changed the world for better")</f>
        <v>People who have changed the world for better</v>
      </c>
      <c r="F1272" s="1" t="str">
        <f ca="1">IFERROR(__xludf.DUMMYFUNCTION("""COMPUTED_VALUE"""),"No, But if someone could bare the cost I will")</f>
        <v>No, But if someone could bare the cost I will</v>
      </c>
      <c r="G1272" s="1" t="str">
        <f ca="1">IFERROR(__xludf.DUMMYFUNCTION("""COMPUTED_VALUE"""),"This will be hard to do, but if it is the right company I would try")</f>
        <v>This will be hard to do, but if it is the right company I would try</v>
      </c>
      <c r="H1272" s="1" t="str">
        <f ca="1">IFERROR(__xludf.DUMMYFUNCTION("""COMPUTED_VALUE"""),"Yes")</f>
        <v>Yes</v>
      </c>
      <c r="I1272" s="1" t="str">
        <f ca="1">IFERROR(__xludf.DUMMYFUNCTION("""COMPUTED_VALUE"""),"Will work for them")</f>
        <v>Will work for them</v>
      </c>
      <c r="J1272" s="1">
        <f ca="1">IFERROR(__xludf.DUMMYFUNCTION("""COMPUTED_VALUE"""),8)</f>
        <v>8</v>
      </c>
      <c r="K1272" s="1" t="str">
        <f ca="1">IFERROR(__xludf.DUMMYFUNCTION("""COMPUTED_VALUE"""),"Fully Remote with Options to travel as and when needed")</f>
        <v>Fully Remote with Options to travel as and when needed</v>
      </c>
      <c r="L1272" s="1" t="str">
        <f ca="1">IFERROR(__xludf.DUMMYFUNCTION("""COMPUTED_VALUE"""),"Employer who appreciates learning and enables that environment")</f>
        <v>Employer who appreciates learning and enables that environment</v>
      </c>
      <c r="M127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72" s="1" t="str">
        <f ca="1">IFERROR(__xludf.DUMMYFUNCTION("""COMPUTED_VALUE"""),"Design and Creative strategy in any company, Manage and drive End-to-End Projects or Products, Build and develop a Team, An Artificial Intelligence Specialist / Talking to Robots")</f>
        <v>Design and Creative strategy in any company, Manage and drive End-to-End Projects or Products, Build and develop a Team, An Artificial Intelligence Specialist / Talking to Robots</v>
      </c>
      <c r="O1272" s="1" t="str">
        <f ca="1">IFERROR(__xludf.DUMMYFUNCTION("""COMPUTED_VALUE"""),"Manager who clearly describes what she/he needs")</f>
        <v>Manager who clearly describes what she/he needs</v>
      </c>
      <c r="P1272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272" s="1" t="str">
        <f ca="1">IFERROR(__xludf.DUMMYFUNCTION("""COMPUTED_VALUE"""),"Yes, I Understand this is gonna happen everywhere")</f>
        <v>Yes, I Understand this is gonna happen everywhere</v>
      </c>
      <c r="R1272" s="1" t="str">
        <f ca="1">IFERROR(__xludf.DUMMYFUNCTION("""COMPUTED_VALUE"""),"This will be hard to do, but if it is the right company I would try")</f>
        <v>This will be hard to do, but if it is the right company I would try</v>
      </c>
      <c r="S1272" s="1"/>
    </row>
    <row r="1273" spans="1:19" ht="12.5" x14ac:dyDescent="0.25">
      <c r="A1273" s="2">
        <f ca="1">IFERROR(__xludf.DUMMYFUNCTION("""COMPUTED_VALUE"""),45044.5817074768)</f>
        <v>45044.581707476798</v>
      </c>
      <c r="B1273" s="1" t="str">
        <f ca="1">IFERROR(__xludf.DUMMYFUNCTION("""COMPUTED_VALUE"""),"India")</f>
        <v>India</v>
      </c>
      <c r="C1273" s="1">
        <f ca="1">IFERROR(__xludf.DUMMYFUNCTION("""COMPUTED_VALUE"""),700029)</f>
        <v>700029</v>
      </c>
      <c r="D1273" s="1" t="str">
        <f ca="1">IFERROR(__xludf.DUMMYFUNCTION("""COMPUTED_VALUE"""),"Male")</f>
        <v>Male</v>
      </c>
      <c r="E1273" s="1" t="str">
        <f ca="1">IFERROR(__xludf.DUMMYFUNCTION("""COMPUTED_VALUE"""),"Social Media like LinkedIn")</f>
        <v>Social Media like LinkedIn</v>
      </c>
      <c r="F1273" s="1" t="str">
        <f ca="1">IFERROR(__xludf.DUMMYFUNCTION("""COMPUTED_VALUE"""),"Yes, I will earn and do that")</f>
        <v>Yes, I will earn and do that</v>
      </c>
      <c r="G1273" s="1" t="str">
        <f ca="1">IFERROR(__xludf.DUMMYFUNCTION("""COMPUTED_VALUE"""),"Will work for 3 years or more")</f>
        <v>Will work for 3 years or more</v>
      </c>
      <c r="H1273" s="1" t="str">
        <f ca="1">IFERROR(__xludf.DUMMYFUNCTION("""COMPUTED_VALUE"""),"No")</f>
        <v>No</v>
      </c>
      <c r="I1273" s="1" t="str">
        <f ca="1">IFERROR(__xludf.DUMMYFUNCTION("""COMPUTED_VALUE"""),"Will NOT work for them")</f>
        <v>Will NOT work for them</v>
      </c>
      <c r="J1273" s="1">
        <f ca="1">IFERROR(__xludf.DUMMYFUNCTION("""COMPUTED_VALUE"""),4)</f>
        <v>4</v>
      </c>
      <c r="K1273" s="1" t="str">
        <f ca="1">IFERROR(__xludf.DUMMYFUNCTION("""COMPUTED_VALUE"""),"Hybrid Working Environment with more than 15 days a month at office")</f>
        <v>Hybrid Working Environment with more than 15 days a month at office</v>
      </c>
      <c r="L12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73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273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273" s="1" t="str">
        <f ca="1">IFERROR(__xludf.DUMMYFUNCTION("""COMPUTED_VALUE"""),"Manager who explains what is expected, sets a goal and helps achieve it")</f>
        <v>Manager who explains what is expected, sets a goal and helps achieve it</v>
      </c>
      <c r="P1273" s="1" t="str">
        <f ca="1">IFERROR(__xludf.DUMMYFUNCTION("""COMPUTED_VALUE"""),"Work with 5 to 6 people in my team")</f>
        <v>Work with 5 to 6 people in my team</v>
      </c>
      <c r="Q1273" s="1" t="str">
        <f ca="1">IFERROR(__xludf.DUMMYFUNCTION("""COMPUTED_VALUE"""),"Yes, I Understand this is gonna happen everywhere")</f>
        <v>Yes, I Understand this is gonna happen everywhere</v>
      </c>
      <c r="R1273" s="1" t="str">
        <f ca="1">IFERROR(__xludf.DUMMYFUNCTION("""COMPUTED_VALUE"""),"This will be hard to do, but if it is the right company I would try")</f>
        <v>This will be hard to do, but if it is the right company I would try</v>
      </c>
      <c r="S1273" s="1"/>
    </row>
    <row r="1274" spans="1:19" ht="12.5" x14ac:dyDescent="0.25">
      <c r="A1274" s="2">
        <f ca="1">IFERROR(__xludf.DUMMYFUNCTION("""COMPUTED_VALUE"""),45044.5859137615)</f>
        <v>45044.585913761497</v>
      </c>
      <c r="B1274" s="1" t="str">
        <f ca="1">IFERROR(__xludf.DUMMYFUNCTION("""COMPUTED_VALUE"""),"India")</f>
        <v>India</v>
      </c>
      <c r="C1274" s="1">
        <f ca="1">IFERROR(__xludf.DUMMYFUNCTION("""COMPUTED_VALUE"""),400009)</f>
        <v>400009</v>
      </c>
      <c r="D1274" s="1" t="str">
        <f ca="1">IFERROR(__xludf.DUMMYFUNCTION("""COMPUTED_VALUE"""),"Female")</f>
        <v>Female</v>
      </c>
      <c r="E1274" s="1" t="str">
        <f ca="1">IFERROR(__xludf.DUMMYFUNCTION("""COMPUTED_VALUE"""),"My Parents")</f>
        <v>My Parents</v>
      </c>
      <c r="F1274" s="1" t="str">
        <f ca="1">IFERROR(__xludf.DUMMYFUNCTION("""COMPUTED_VALUE"""),"No, But if someone could bare the cost I will")</f>
        <v>No, But if someone could bare the cost I will</v>
      </c>
      <c r="G1274" s="1" t="str">
        <f ca="1">IFERROR(__xludf.DUMMYFUNCTION("""COMPUTED_VALUE"""),"Will work for 3 years or more")</f>
        <v>Will work for 3 years or more</v>
      </c>
      <c r="H1274" s="1" t="str">
        <f ca="1">IFERROR(__xludf.DUMMYFUNCTION("""COMPUTED_VALUE"""),"No")</f>
        <v>No</v>
      </c>
      <c r="I1274" s="1" t="str">
        <f ca="1">IFERROR(__xludf.DUMMYFUNCTION("""COMPUTED_VALUE"""),"Will NOT work for them")</f>
        <v>Will NOT work for them</v>
      </c>
      <c r="J1274" s="1">
        <f ca="1">IFERROR(__xludf.DUMMYFUNCTION("""COMPUTED_VALUE"""),3)</f>
        <v>3</v>
      </c>
      <c r="K1274" s="1" t="str">
        <f ca="1">IFERROR(__xludf.DUMMYFUNCTION("""COMPUTED_VALUE"""),"Hybrid Working Environment with more than 15 days a month at office")</f>
        <v>Hybrid Working Environment with more than 15 days a month at office</v>
      </c>
      <c r="L12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7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274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1274" s="1" t="str">
        <f ca="1">IFERROR(__xludf.DUMMYFUNCTION("""COMPUTED_VALUE"""),"Manager who explains what is expected, sets a goal and helps achieve it")</f>
        <v>Manager who explains what is expected, sets a goal and helps achieve it</v>
      </c>
      <c r="P1274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274" s="1" t="str">
        <f ca="1">IFERROR(__xludf.DUMMYFUNCTION("""COMPUTED_VALUE"""),"No")</f>
        <v>No</v>
      </c>
      <c r="R1274" s="1" t="str">
        <f ca="1">IFERROR(__xludf.DUMMYFUNCTION("""COMPUTED_VALUE"""),"This will be hard to do, but if it is the right company I would try")</f>
        <v>This will be hard to do, but if it is the right company I would try</v>
      </c>
      <c r="S1274" s="1"/>
    </row>
    <row r="1275" spans="1:19" ht="12.5" x14ac:dyDescent="0.25">
      <c r="A1275" s="2">
        <f ca="1">IFERROR(__xludf.DUMMYFUNCTION("""COMPUTED_VALUE"""),45044.5884275925)</f>
        <v>45044.588427592498</v>
      </c>
      <c r="B1275" s="1" t="str">
        <f ca="1">IFERROR(__xludf.DUMMYFUNCTION("""COMPUTED_VALUE"""),"India")</f>
        <v>India</v>
      </c>
      <c r="C1275" s="1">
        <f ca="1">IFERROR(__xludf.DUMMYFUNCTION("""COMPUTED_VALUE"""),411044)</f>
        <v>411044</v>
      </c>
      <c r="D1275" s="1" t="str">
        <f ca="1">IFERROR(__xludf.DUMMYFUNCTION("""COMPUTED_VALUE"""),"Male")</f>
        <v>Male</v>
      </c>
      <c r="E1275" s="1" t="str">
        <f ca="1">IFERROR(__xludf.DUMMYFUNCTION("""COMPUTED_VALUE"""),"People who have changed the world for better")</f>
        <v>People who have changed the world for better</v>
      </c>
      <c r="F1275" s="1" t="str">
        <f ca="1">IFERROR(__xludf.DUMMYFUNCTION("""COMPUTED_VALUE"""),"Yes, I will earn and do that")</f>
        <v>Yes, I will earn and do that</v>
      </c>
      <c r="G1275" s="1" t="str">
        <f ca="1">IFERROR(__xludf.DUMMYFUNCTION("""COMPUTED_VALUE"""),"This will be hard to do, but if it is the right company I would try")</f>
        <v>This will be hard to do, but if it is the right company I would try</v>
      </c>
      <c r="H1275" s="1" t="str">
        <f ca="1">IFERROR(__xludf.DUMMYFUNCTION("""COMPUTED_VALUE"""),"No")</f>
        <v>No</v>
      </c>
      <c r="I1275" s="1" t="str">
        <f ca="1">IFERROR(__xludf.DUMMYFUNCTION("""COMPUTED_VALUE"""),"Will NOT work for them")</f>
        <v>Will NOT work for them</v>
      </c>
      <c r="J1275" s="1">
        <f ca="1">IFERROR(__xludf.DUMMYFUNCTION("""COMPUTED_VALUE"""),4)</f>
        <v>4</v>
      </c>
      <c r="K1275" s="1" t="str">
        <f ca="1">IFERROR(__xludf.DUMMYFUNCTION("""COMPUTED_VALUE"""),"Hybrid Working Environment with less than 3 days a month at office")</f>
        <v>Hybrid Working Environment with less than 3 days a month at office</v>
      </c>
      <c r="L12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75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275" s="1" t="str">
        <f ca="1">IFERROR(__xludf.DUMMYFUNCTION("""COMPUTED_VALUE"""),"Build and develop a Team, Design and Develop amazing software, Look deeply into Data and generate insights, Entrepreneur or Start Up")</f>
        <v>Build and develop a Team, Design and Develop amazing software, Look deeply into Data and generate insights, Entrepreneur or Start Up</v>
      </c>
      <c r="O1275" s="1" t="str">
        <f ca="1">IFERROR(__xludf.DUMMYFUNCTION("""COMPUTED_VALUE"""),"Manager who explains what is expected, sets a goal and helps achieve it")</f>
        <v>Manager who explains what is expected, sets a goal and helps achieve it</v>
      </c>
      <c r="P1275" s="1" t="str">
        <f ca="1">IFERROR(__xludf.DUMMYFUNCTION("""COMPUTED_VALUE"""),"Work with 5 to 6 people in my team")</f>
        <v>Work with 5 to 6 people in my team</v>
      </c>
      <c r="Q1275" s="1" t="str">
        <f ca="1">IFERROR(__xludf.DUMMYFUNCTION("""COMPUTED_VALUE"""),"Yes, I Understand this is gonna happen everywhere")</f>
        <v>Yes, I Understand this is gonna happen everywhere</v>
      </c>
      <c r="R1275" s="1" t="str">
        <f ca="1">IFERROR(__xludf.DUMMYFUNCTION("""COMPUTED_VALUE"""),"No way")</f>
        <v>No way</v>
      </c>
      <c r="S1275" s="1"/>
    </row>
    <row r="1276" spans="1:19" ht="12.5" x14ac:dyDescent="0.25">
      <c r="A1276" s="2">
        <f ca="1">IFERROR(__xludf.DUMMYFUNCTION("""COMPUTED_VALUE"""),45044.588718773)</f>
        <v>45044.588718773099</v>
      </c>
      <c r="B1276" s="1" t="str">
        <f ca="1">IFERROR(__xludf.DUMMYFUNCTION("""COMPUTED_VALUE"""),"India")</f>
        <v>India</v>
      </c>
      <c r="C1276" s="1">
        <f ca="1">IFERROR(__xludf.DUMMYFUNCTION("""COMPUTED_VALUE"""),560036)</f>
        <v>560036</v>
      </c>
      <c r="D1276" s="1" t="str">
        <f ca="1">IFERROR(__xludf.DUMMYFUNCTION("""COMPUTED_VALUE"""),"Male")</f>
        <v>Male</v>
      </c>
      <c r="E1276" s="1" t="str">
        <f ca="1">IFERROR(__xludf.DUMMYFUNCTION("""COMPUTED_VALUE"""),"Social Media like LinkedIn")</f>
        <v>Social Media like LinkedIn</v>
      </c>
      <c r="F1276" s="1" t="str">
        <f ca="1">IFERROR(__xludf.DUMMYFUNCTION("""COMPUTED_VALUE"""),"No I would not be pursuing Higher Education outside of India")</f>
        <v>No I would not be pursuing Higher Education outside of India</v>
      </c>
      <c r="G1276" s="1" t="str">
        <f ca="1">IFERROR(__xludf.DUMMYFUNCTION("""COMPUTED_VALUE"""),"This will be hard to do, but if it is the right company I would try")</f>
        <v>This will be hard to do, but if it is the right company I would try</v>
      </c>
      <c r="H1276" s="1" t="str">
        <f ca="1">IFERROR(__xludf.DUMMYFUNCTION("""COMPUTED_VALUE"""),"Yes")</f>
        <v>Yes</v>
      </c>
      <c r="I1276" s="1" t="str">
        <f ca="1">IFERROR(__xludf.DUMMYFUNCTION("""COMPUTED_VALUE"""),"Will work for them")</f>
        <v>Will work for them</v>
      </c>
      <c r="J1276" s="1">
        <f ca="1">IFERROR(__xludf.DUMMYFUNCTION("""COMPUTED_VALUE"""),9)</f>
        <v>9</v>
      </c>
      <c r="K1276" s="1" t="str">
        <f ca="1">IFERROR(__xludf.DUMMYFUNCTION("""COMPUTED_VALUE"""),"Hybrid Working Environment with more than 15 days a month at office")</f>
        <v>Hybrid Working Environment with more than 15 days a month at office</v>
      </c>
      <c r="L1276" s="1" t="str">
        <f ca="1">IFERROR(__xludf.DUMMYFUNCTION("""COMPUTED_VALUE"""),"Employer who rewards learning and enables that environment")</f>
        <v>Employer who rewards learning and enables that environment</v>
      </c>
      <c r="M12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76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276" s="1" t="str">
        <f ca="1">IFERROR(__xludf.DUMMYFUNCTION("""COMPUTED_VALUE"""),"Manager who explains what is expected, sets a goal and helps achieve it")</f>
        <v>Manager who explains what is expected, sets a goal and helps achieve it</v>
      </c>
      <c r="P1276" s="1" t="str">
        <f ca="1">IFERROR(__xludf.DUMMYFUNCTION("""COMPUTED_VALUE"""),"Work with more than 10 people in my team")</f>
        <v>Work with more than 10 people in my team</v>
      </c>
      <c r="Q1276" s="1" t="str">
        <f ca="1">IFERROR(__xludf.DUMMYFUNCTION("""COMPUTED_VALUE"""),"Yes, I Understand this is gonna happen everywhere")</f>
        <v>Yes, I Understand this is gonna happen everywhere</v>
      </c>
      <c r="R1276" s="1" t="str">
        <f ca="1">IFERROR(__xludf.DUMMYFUNCTION("""COMPUTED_VALUE"""),"No way")</f>
        <v>No way</v>
      </c>
      <c r="S1276" s="1"/>
    </row>
    <row r="1277" spans="1:19" ht="12.5" x14ac:dyDescent="0.25">
      <c r="A1277" s="2">
        <f ca="1">IFERROR(__xludf.DUMMYFUNCTION("""COMPUTED_VALUE"""),45044.5896024074)</f>
        <v>45044.589602407403</v>
      </c>
      <c r="B1277" s="1" t="str">
        <f ca="1">IFERROR(__xludf.DUMMYFUNCTION("""COMPUTED_VALUE"""),"India")</f>
        <v>India</v>
      </c>
      <c r="C1277" s="1">
        <f ca="1">IFERROR(__xludf.DUMMYFUNCTION("""COMPUTED_VALUE"""),500053)</f>
        <v>500053</v>
      </c>
      <c r="D1277" s="1" t="str">
        <f ca="1">IFERROR(__xludf.DUMMYFUNCTION("""COMPUTED_VALUE"""),"Male")</f>
        <v>Male</v>
      </c>
      <c r="E1277" s="1" t="str">
        <f ca="1">IFERROR(__xludf.DUMMYFUNCTION("""COMPUTED_VALUE"""),"People who have changed the world for better")</f>
        <v>People who have changed the world for better</v>
      </c>
      <c r="F1277" s="1" t="str">
        <f ca="1">IFERROR(__xludf.DUMMYFUNCTION("""COMPUTED_VALUE"""),"No I would not be pursuing Higher Education outside of India")</f>
        <v>No I would not be pursuing Higher Education outside of India</v>
      </c>
      <c r="G1277" s="1" t="str">
        <f ca="1">IFERROR(__xludf.DUMMYFUNCTION("""COMPUTED_VALUE"""),"Will work for 3 years or more")</f>
        <v>Will work for 3 years or more</v>
      </c>
      <c r="H1277" s="1" t="str">
        <f ca="1">IFERROR(__xludf.DUMMYFUNCTION("""COMPUTED_VALUE"""),"No")</f>
        <v>No</v>
      </c>
      <c r="I1277" s="1" t="str">
        <f ca="1">IFERROR(__xludf.DUMMYFUNCTION("""COMPUTED_VALUE"""),"Will NOT work for them")</f>
        <v>Will NOT work for them</v>
      </c>
      <c r="J1277" s="1">
        <f ca="1">IFERROR(__xludf.DUMMYFUNCTION("""COMPUTED_VALUE"""),1)</f>
        <v>1</v>
      </c>
      <c r="K1277" s="1" t="str">
        <f ca="1">IFERROR(__xludf.DUMMYFUNCTION("""COMPUTED_VALUE"""),"Fully Remote with Options to travel as and when needed")</f>
        <v>Fully Remote with Options to travel as and when needed</v>
      </c>
      <c r="L12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7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77" s="1" t="str">
        <f ca="1">IFERROR(__xludf.DUMMYFUNCTION("""COMPUTED_VALUE"""),"Business Operations in any organization, Manage and drive End-to-End Projects or Products, Work as a freelancer and do my thing my way, Entrepreneur or Start Up")</f>
        <v>Business Operations in any organization, Manage and drive End-to-End Projects or Products, Work as a freelancer and do my thing my way, Entrepreneur or Start Up</v>
      </c>
      <c r="O1277" s="1" t="str">
        <f ca="1">IFERROR(__xludf.DUMMYFUNCTION("""COMPUTED_VALUE"""),"Manager who clearly describes what she/he needs")</f>
        <v>Manager who clearly describes what she/he needs</v>
      </c>
      <c r="P1277" s="1" t="str">
        <f ca="1">IFERROR(__xludf.DUMMYFUNCTION("""COMPUTED_VALUE"""),"Work alone")</f>
        <v>Work alone</v>
      </c>
      <c r="Q1277" s="1" t="str">
        <f ca="1">IFERROR(__xludf.DUMMYFUNCTION("""COMPUTED_VALUE"""),"Yes, I Understand this is gonna happen everywhere")</f>
        <v>Yes, I Understand this is gonna happen everywhere</v>
      </c>
      <c r="R1277" s="1" t="str">
        <f ca="1">IFERROR(__xludf.DUMMYFUNCTION("""COMPUTED_VALUE"""),"This will be hard to do, but if it is the right company I would try")</f>
        <v>This will be hard to do, but if it is the right company I would try</v>
      </c>
      <c r="S1277" s="1"/>
    </row>
    <row r="1278" spans="1:19" ht="12.5" x14ac:dyDescent="0.25">
      <c r="A1278" s="2">
        <f ca="1">IFERROR(__xludf.DUMMYFUNCTION("""COMPUTED_VALUE"""),45044.5902179513)</f>
        <v>45044.5902179513</v>
      </c>
      <c r="B1278" s="1" t="str">
        <f ca="1">IFERROR(__xludf.DUMMYFUNCTION("""COMPUTED_VALUE"""),"India")</f>
        <v>India</v>
      </c>
      <c r="C1278" s="1">
        <f ca="1">IFERROR(__xludf.DUMMYFUNCTION("""COMPUTED_VALUE"""),440013)</f>
        <v>440013</v>
      </c>
      <c r="D1278" s="1" t="str">
        <f ca="1">IFERROR(__xludf.DUMMYFUNCTION("""COMPUTED_VALUE"""),"Male")</f>
        <v>Male</v>
      </c>
      <c r="E1278" s="1" t="str">
        <f ca="1">IFERROR(__xludf.DUMMYFUNCTION("""COMPUTED_VALUE"""),"Influencers who had successful careers")</f>
        <v>Influencers who had successful careers</v>
      </c>
      <c r="F1278" s="1" t="str">
        <f ca="1">IFERROR(__xludf.DUMMYFUNCTION("""COMPUTED_VALUE"""),"No, But if someone could bare the cost I will")</f>
        <v>No, But if someone could bare the cost I will</v>
      </c>
      <c r="G1278" s="1" t="str">
        <f ca="1">IFERROR(__xludf.DUMMYFUNCTION("""COMPUTED_VALUE"""),"This will be hard to do, but if it is the right company I would try")</f>
        <v>This will be hard to do, but if it is the right company I would try</v>
      </c>
      <c r="H1278" s="1" t="str">
        <f ca="1">IFERROR(__xludf.DUMMYFUNCTION("""COMPUTED_VALUE"""),"Yes")</f>
        <v>Yes</v>
      </c>
      <c r="I1278" s="1" t="str">
        <f ca="1">IFERROR(__xludf.DUMMYFUNCTION("""COMPUTED_VALUE"""),"Will NOT work for them")</f>
        <v>Will NOT work for them</v>
      </c>
      <c r="J1278" s="1">
        <f ca="1">IFERROR(__xludf.DUMMYFUNCTION("""COMPUTED_VALUE"""),7)</f>
        <v>7</v>
      </c>
      <c r="K1278" s="1" t="str">
        <f ca="1">IFERROR(__xludf.DUMMYFUNCTION("""COMPUTED_VALUE"""),"Fully Remote with No option to visit offices")</f>
        <v>Fully Remote with No option to visit offices</v>
      </c>
      <c r="L1278" s="1" t="str">
        <f ca="1">IFERROR(__xludf.DUMMYFUNCTION("""COMPUTED_VALUE"""),"Employer who rewards learning and enables that environment")</f>
        <v>Employer who rewards learning and enables that environment</v>
      </c>
      <c r="M1278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1278" s="1" t="str">
        <f ca="1">IFERROR(__xludf.DUMMYFUNCTION("""COMPUTED_VALUE"""),"Design and Creative strategy in any company, Teaching in any of the institutes/colleges/online or offline, Work as a freelancer and do my thing my way, Entrepreneur or Start Up")</f>
        <v>Design and Creative strategy in any company, Teaching in any of the institutes/colleges/online or offline, Work as a freelancer and do my thing my way, Entrepreneur or Start Up</v>
      </c>
      <c r="O1278" s="1" t="str">
        <f ca="1">IFERROR(__xludf.DUMMYFUNCTION("""COMPUTED_VALUE"""),"Manager who explains what is expected, sets a goal and helps achieve it")</f>
        <v>Manager who explains what is expected, sets a goal and helps achieve it</v>
      </c>
      <c r="P1278" s="1" t="str">
        <f ca="1">IFERROR(__xludf.DUMMYFUNCTION("""COMPUTED_VALUE"""),"Work with more than 10 people in my team")</f>
        <v>Work with more than 10 people in my team</v>
      </c>
      <c r="Q1278" s="1" t="str">
        <f ca="1">IFERROR(__xludf.DUMMYFUNCTION("""COMPUTED_VALUE"""),"No")</f>
        <v>No</v>
      </c>
      <c r="R1278" s="1" t="str">
        <f ca="1">IFERROR(__xludf.DUMMYFUNCTION("""COMPUTED_VALUE"""),"This will be hard to do, but if it is the right company I would try")</f>
        <v>This will be hard to do, but if it is the right company I would try</v>
      </c>
      <c r="S1278" s="1"/>
    </row>
    <row r="1279" spans="1:19" ht="12.5" x14ac:dyDescent="0.25">
      <c r="A1279" s="2">
        <f ca="1">IFERROR(__xludf.DUMMYFUNCTION("""COMPUTED_VALUE"""),45044.5909910763)</f>
        <v>45044.5909910763</v>
      </c>
      <c r="B1279" s="1" t="str">
        <f ca="1">IFERROR(__xludf.DUMMYFUNCTION("""COMPUTED_VALUE"""),"India")</f>
        <v>India</v>
      </c>
      <c r="C1279" s="1">
        <f ca="1">IFERROR(__xludf.DUMMYFUNCTION("""COMPUTED_VALUE"""),221405)</f>
        <v>221405</v>
      </c>
      <c r="D1279" s="1" t="str">
        <f ca="1">IFERROR(__xludf.DUMMYFUNCTION("""COMPUTED_VALUE"""),"Female")</f>
        <v>Female</v>
      </c>
      <c r="E1279" s="1" t="str">
        <f ca="1">IFERROR(__xludf.DUMMYFUNCTION("""COMPUTED_VALUE"""),"My Parents")</f>
        <v>My Parents</v>
      </c>
      <c r="F1279" s="1" t="str">
        <f ca="1">IFERROR(__xludf.DUMMYFUNCTION("""COMPUTED_VALUE"""),"No, But if someone could bare the cost I will")</f>
        <v>No, But if someone could bare the cost I will</v>
      </c>
      <c r="G1279" s="1" t="str">
        <f ca="1">IFERROR(__xludf.DUMMYFUNCTION("""COMPUTED_VALUE"""),"Will work for 3 years or more")</f>
        <v>Will work for 3 years or more</v>
      </c>
      <c r="H1279" s="1" t="str">
        <f ca="1">IFERROR(__xludf.DUMMYFUNCTION("""COMPUTED_VALUE"""),"No")</f>
        <v>No</v>
      </c>
      <c r="I1279" s="1" t="str">
        <f ca="1">IFERROR(__xludf.DUMMYFUNCTION("""COMPUTED_VALUE"""),"Will NOT work for them")</f>
        <v>Will NOT work for them</v>
      </c>
      <c r="J1279" s="1">
        <f ca="1">IFERROR(__xludf.DUMMYFUNCTION("""COMPUTED_VALUE"""),6)</f>
        <v>6</v>
      </c>
      <c r="K1279" s="1" t="str">
        <f ca="1">IFERROR(__xludf.DUMMYFUNCTION("""COMPUTED_VALUE"""),"Every Day Office Environment")</f>
        <v>Every Day Office Environment</v>
      </c>
      <c r="L1279" s="1" t="str">
        <f ca="1">IFERROR(__xludf.DUMMYFUNCTION("""COMPUTED_VALUE"""),"Employer who appreciates learning and enables that environment")</f>
        <v>Employer who appreciates learning and enables that environment</v>
      </c>
      <c r="M127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79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1279" s="1" t="str">
        <f ca="1">IFERROR(__xludf.DUMMYFUNCTION("""COMPUTED_VALUE"""),"Manager who sets goal and helps me achieve it")</f>
        <v>Manager who sets goal and helps me achieve it</v>
      </c>
      <c r="P1279" s="1" t="str">
        <f ca="1">IFERROR(__xludf.DUMMYFUNCTION("""COMPUTED_VALUE"""),"Work with 5 to 6 people in my team")</f>
        <v>Work with 5 to 6 people in my team</v>
      </c>
      <c r="Q1279" s="1" t="str">
        <f ca="1">IFERROR(__xludf.DUMMYFUNCTION("""COMPUTED_VALUE"""),"Yes, I Understand this is gonna happen everywhere")</f>
        <v>Yes, I Understand this is gonna happen everywhere</v>
      </c>
      <c r="R1279" s="1" t="str">
        <f ca="1">IFERROR(__xludf.DUMMYFUNCTION("""COMPUTED_VALUE"""),"Will work for 7 years or more")</f>
        <v>Will work for 7 years or more</v>
      </c>
      <c r="S1279" s="1"/>
    </row>
    <row r="1280" spans="1:19" ht="12.5" x14ac:dyDescent="0.25">
      <c r="A1280" s="2">
        <f ca="1">IFERROR(__xludf.DUMMYFUNCTION("""COMPUTED_VALUE"""),45044.5945166319)</f>
        <v>45044.5945166319</v>
      </c>
      <c r="B1280" s="1" t="str">
        <f ca="1">IFERROR(__xludf.DUMMYFUNCTION("""COMPUTED_VALUE"""),"India")</f>
        <v>India</v>
      </c>
      <c r="C1280" s="1">
        <f ca="1">IFERROR(__xludf.DUMMYFUNCTION("""COMPUTED_VALUE"""),411058)</f>
        <v>411058</v>
      </c>
      <c r="D1280" s="1" t="str">
        <f ca="1">IFERROR(__xludf.DUMMYFUNCTION("""COMPUTED_VALUE"""),"Male")</f>
        <v>Male</v>
      </c>
      <c r="E1280" s="1" t="str">
        <f ca="1">IFERROR(__xludf.DUMMYFUNCTION("""COMPUTED_VALUE"""),"People from my circle, but not family members")</f>
        <v>People from my circle, but not family members</v>
      </c>
      <c r="F1280" s="1" t="str">
        <f ca="1">IFERROR(__xludf.DUMMYFUNCTION("""COMPUTED_VALUE"""),"No, But if someone could bare the cost I will")</f>
        <v>No, But if someone could bare the cost I will</v>
      </c>
      <c r="G1280" s="1" t="str">
        <f ca="1">IFERROR(__xludf.DUMMYFUNCTION("""COMPUTED_VALUE"""),"This will be hard to do, but if it is the right company I would try")</f>
        <v>This will be hard to do, but if it is the right company I would try</v>
      </c>
      <c r="H1280" s="1" t="str">
        <f ca="1">IFERROR(__xludf.DUMMYFUNCTION("""COMPUTED_VALUE"""),"Yes")</f>
        <v>Yes</v>
      </c>
      <c r="I1280" s="1" t="str">
        <f ca="1">IFERROR(__xludf.DUMMYFUNCTION("""COMPUTED_VALUE"""),"Will NOT work for them")</f>
        <v>Will NOT work for them</v>
      </c>
      <c r="J1280" s="1">
        <f ca="1">IFERROR(__xludf.DUMMYFUNCTION("""COMPUTED_VALUE"""),8)</f>
        <v>8</v>
      </c>
      <c r="K1280" s="1" t="str">
        <f ca="1">IFERROR(__xludf.DUMMYFUNCTION("""COMPUTED_VALUE"""),"Fully Remote with Options to travel as and when needed")</f>
        <v>Fully Remote with Options to travel as and when needed</v>
      </c>
      <c r="L1280" s="1" t="str">
        <f ca="1">IFERROR(__xludf.DUMMYFUNCTION("""COMPUTED_VALUE"""),"Employer who rewards learning and enables that environment")</f>
        <v>Employer who rewards learning and enables that environment</v>
      </c>
      <c r="M128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280" s="1" t="str">
        <f ca="1">IFERROR(__xludf.DUMMYFUNCTION("""COMPUTED_VALUE"""),"Teaching in any of the institutes/colleges/online or offline, Build and develop a Team, Design and Develop amazing software, Entrepreneur or Start Up")</f>
        <v>Teaching in any of the institutes/colleges/online or offline, Build and develop a Team, Design and Develop amazing software, Entrepreneur or Start Up</v>
      </c>
      <c r="O1280" s="1" t="str">
        <f ca="1">IFERROR(__xludf.DUMMYFUNCTION("""COMPUTED_VALUE"""),"Manager who clearly describes what she/he needs")</f>
        <v>Manager who clearly describes what she/he needs</v>
      </c>
      <c r="P1280" s="1" t="str">
        <f ca="1">IFERROR(__xludf.DUMMYFUNCTION("""COMPUTED_VALUE"""),"Work with 2 to 3 people in my team")</f>
        <v>Work with 2 to 3 people in my team</v>
      </c>
      <c r="Q1280" s="1" t="str">
        <f ca="1">IFERROR(__xludf.DUMMYFUNCTION("""COMPUTED_VALUE"""),"No")</f>
        <v>No</v>
      </c>
      <c r="R1280" s="1" t="str">
        <f ca="1">IFERROR(__xludf.DUMMYFUNCTION("""COMPUTED_VALUE"""),"No way")</f>
        <v>No way</v>
      </c>
      <c r="S1280" s="1"/>
    </row>
    <row r="1281" spans="1:19" ht="12.5" x14ac:dyDescent="0.25">
      <c r="A1281" s="2">
        <f ca="1">IFERROR(__xludf.DUMMYFUNCTION("""COMPUTED_VALUE"""),45044.5969660416)</f>
        <v>45044.596966041601</v>
      </c>
      <c r="B1281" s="1" t="str">
        <f ca="1">IFERROR(__xludf.DUMMYFUNCTION("""COMPUTED_VALUE"""),"India")</f>
        <v>India</v>
      </c>
      <c r="C1281" s="1">
        <f ca="1">IFERROR(__xludf.DUMMYFUNCTION("""COMPUTED_VALUE"""),520012)</f>
        <v>520012</v>
      </c>
      <c r="D1281" s="1" t="str">
        <f ca="1">IFERROR(__xludf.DUMMYFUNCTION("""COMPUTED_VALUE"""),"Female")</f>
        <v>Female</v>
      </c>
      <c r="E1281" s="1" t="str">
        <f ca="1">IFERROR(__xludf.DUMMYFUNCTION("""COMPUTED_VALUE"""),"People from my circle, but not family members")</f>
        <v>People from my circle, but not family members</v>
      </c>
      <c r="F1281" s="1" t="str">
        <f ca="1">IFERROR(__xludf.DUMMYFUNCTION("""COMPUTED_VALUE"""),"No I would not be pursuing Higher Education outside of India")</f>
        <v>No I would not be pursuing Higher Education outside of India</v>
      </c>
      <c r="G1281" s="1" t="str">
        <f ca="1">IFERROR(__xludf.DUMMYFUNCTION("""COMPUTED_VALUE"""),"This will be hard to do, but if it is the right company I would try")</f>
        <v>This will be hard to do, but if it is the right company I would try</v>
      </c>
      <c r="H1281" s="1" t="str">
        <f ca="1">IFERROR(__xludf.DUMMYFUNCTION("""COMPUTED_VALUE"""),"No")</f>
        <v>No</v>
      </c>
      <c r="I1281" s="1" t="str">
        <f ca="1">IFERROR(__xludf.DUMMYFUNCTION("""COMPUTED_VALUE"""),"Will NOT work for them")</f>
        <v>Will NOT work for them</v>
      </c>
      <c r="J1281" s="1">
        <f ca="1">IFERROR(__xludf.DUMMYFUNCTION("""COMPUTED_VALUE"""),5)</f>
        <v>5</v>
      </c>
      <c r="K1281" s="1" t="str">
        <f ca="1">IFERROR(__xludf.DUMMYFUNCTION("""COMPUTED_VALUE"""),"Every Day Office Environment")</f>
        <v>Every Day Office Environment</v>
      </c>
      <c r="L1281" s="1" t="str">
        <f ca="1">IFERROR(__xludf.DUMMYFUNCTION("""COMPUTED_VALUE"""),"Employer who appreciates learning and enables that environment")</f>
        <v>Employer who appreciates learning and enables that environment</v>
      </c>
      <c r="M128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281" s="1" t="str">
        <f ca="1">IFERROR(__xludf.DUMMYFUNCTION("""COMPUTED_VALUE"""),"Design and Creative strategy in any company, Manage and drive End-to-End Projects or Products, Work as a freelancer and do my thing my way, Entrepreneur or Start Up")</f>
        <v>Design and Creative strategy in any company, Manage and drive End-to-End Projects or Products, Work as a freelancer and do my thing my way, Entrepreneur or Start Up</v>
      </c>
      <c r="O1281" s="1" t="str">
        <f ca="1">IFERROR(__xludf.DUMMYFUNCTION("""COMPUTED_VALUE"""),"Manager who clearly describes what she/he needs")</f>
        <v>Manager who clearly describes what she/he needs</v>
      </c>
      <c r="P1281" s="1" t="str">
        <f ca="1">IFERROR(__xludf.DUMMYFUNCTION("""COMPUTED_VALUE"""),"Work with 2 to 3 people in my team")</f>
        <v>Work with 2 to 3 people in my team</v>
      </c>
      <c r="Q1281" s="1" t="str">
        <f ca="1">IFERROR(__xludf.DUMMYFUNCTION("""COMPUTED_VALUE"""),"No")</f>
        <v>No</v>
      </c>
      <c r="R1281" s="1" t="str">
        <f ca="1">IFERROR(__xludf.DUMMYFUNCTION("""COMPUTED_VALUE"""),"This will be hard to do, but if it is the right company I would try")</f>
        <v>This will be hard to do, but if it is the right company I would try</v>
      </c>
      <c r="S1281" s="1"/>
    </row>
    <row r="1282" spans="1:19" ht="12.5" x14ac:dyDescent="0.25">
      <c r="A1282" s="2">
        <f ca="1">IFERROR(__xludf.DUMMYFUNCTION("""COMPUTED_VALUE"""),45044.5971199884)</f>
        <v>45044.597119988401</v>
      </c>
      <c r="B1282" s="1" t="str">
        <f ca="1">IFERROR(__xludf.DUMMYFUNCTION("""COMPUTED_VALUE"""),"India")</f>
        <v>India</v>
      </c>
      <c r="C1282" s="1">
        <f ca="1">IFERROR(__xludf.DUMMYFUNCTION("""COMPUTED_VALUE"""),535002)</f>
        <v>535002</v>
      </c>
      <c r="D1282" s="1" t="str">
        <f ca="1">IFERROR(__xludf.DUMMYFUNCTION("""COMPUTED_VALUE"""),"Female")</f>
        <v>Female</v>
      </c>
      <c r="E1282" s="1" t="str">
        <f ca="1">IFERROR(__xludf.DUMMYFUNCTION("""COMPUTED_VALUE"""),"Social Media like LinkedIn")</f>
        <v>Social Media like LinkedIn</v>
      </c>
      <c r="F1282" s="1" t="str">
        <f ca="1">IFERROR(__xludf.DUMMYFUNCTION("""COMPUTED_VALUE"""),"No, But if someone could bare the cost I will")</f>
        <v>No, But if someone could bare the cost I will</v>
      </c>
      <c r="G1282" s="1" t="str">
        <f ca="1">IFERROR(__xludf.DUMMYFUNCTION("""COMPUTED_VALUE"""),"This will be hard to do, but if it is the right company I would try")</f>
        <v>This will be hard to do, but if it is the right company I would try</v>
      </c>
      <c r="H1282" s="1" t="str">
        <f ca="1">IFERROR(__xludf.DUMMYFUNCTION("""COMPUTED_VALUE"""),"No")</f>
        <v>No</v>
      </c>
      <c r="I1282" s="1" t="str">
        <f ca="1">IFERROR(__xludf.DUMMYFUNCTION("""COMPUTED_VALUE"""),"Will NOT work for them")</f>
        <v>Will NOT work for them</v>
      </c>
      <c r="J1282" s="1">
        <f ca="1">IFERROR(__xludf.DUMMYFUNCTION("""COMPUTED_VALUE"""),10)</f>
        <v>10</v>
      </c>
      <c r="K1282" s="1" t="str">
        <f ca="1">IFERROR(__xludf.DUMMYFUNCTION("""COMPUTED_VALUE"""),"Fully Remote with Options to travel as and when needed")</f>
        <v>Fully Remote with Options to travel as and when needed</v>
      </c>
      <c r="L12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8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282" s="1" t="str">
        <f ca="1">IFERROR(__xludf.DUMMYFUNCTION("""COMPUTED_VALUE"""),"Design and Creative strategy in any company, Business Operations in any organization, Work in a BPO setup for some well known client, Work as a freelancer and do my thing my way")</f>
        <v>Design and Creative strategy in any company, Business Operations in any organization, Work in a BPO setup for some well known client, Work as a freelancer and do my thing my way</v>
      </c>
      <c r="O1282" s="1" t="str">
        <f ca="1">IFERROR(__xludf.DUMMYFUNCTION("""COMPUTED_VALUE"""),"Manager who explains what is expected, sets a goal and helps achieve it")</f>
        <v>Manager who explains what is expected, sets a goal and helps achieve it</v>
      </c>
      <c r="P1282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282" s="1" t="str">
        <f ca="1">IFERROR(__xludf.DUMMYFUNCTION("""COMPUTED_VALUE"""),"Yes, I Understand this is gonna happen everywhere")</f>
        <v>Yes, I Understand this is gonna happen everywhere</v>
      </c>
      <c r="R1282" s="1" t="str">
        <f ca="1">IFERROR(__xludf.DUMMYFUNCTION("""COMPUTED_VALUE"""),"This will be hard to do, but if it is the right company I would try")</f>
        <v>This will be hard to do, but if it is the right company I would try</v>
      </c>
      <c r="S1282" s="1"/>
    </row>
    <row r="1283" spans="1:19" ht="12.5" x14ac:dyDescent="0.25">
      <c r="A1283" s="2">
        <f ca="1">IFERROR(__xludf.DUMMYFUNCTION("""COMPUTED_VALUE"""),45044.597342905)</f>
        <v>45044.597342904999</v>
      </c>
      <c r="B1283" s="1" t="str">
        <f ca="1">IFERROR(__xludf.DUMMYFUNCTION("""COMPUTED_VALUE"""),"India")</f>
        <v>India</v>
      </c>
      <c r="C1283" s="1">
        <f ca="1">IFERROR(__xludf.DUMMYFUNCTION("""COMPUTED_VALUE"""),638401)</f>
        <v>638401</v>
      </c>
      <c r="D1283" s="1" t="str">
        <f ca="1">IFERROR(__xludf.DUMMYFUNCTION("""COMPUTED_VALUE"""),"Female")</f>
        <v>Female</v>
      </c>
      <c r="E1283" s="1" t="str">
        <f ca="1">IFERROR(__xludf.DUMMYFUNCTION("""COMPUTED_VALUE"""),"Influencers who had successful careers")</f>
        <v>Influencers who had successful careers</v>
      </c>
      <c r="F1283" s="1" t="str">
        <f ca="1">IFERROR(__xludf.DUMMYFUNCTION("""COMPUTED_VALUE"""),"Yes, I will earn and do that")</f>
        <v>Yes, I will earn and do that</v>
      </c>
      <c r="G1283" s="1" t="str">
        <f ca="1">IFERROR(__xludf.DUMMYFUNCTION("""COMPUTED_VALUE"""),"Will work for 3 years or more")</f>
        <v>Will work for 3 years or more</v>
      </c>
      <c r="H1283" s="1" t="str">
        <f ca="1">IFERROR(__xludf.DUMMYFUNCTION("""COMPUTED_VALUE"""),"Yes")</f>
        <v>Yes</v>
      </c>
      <c r="I1283" s="1" t="str">
        <f ca="1">IFERROR(__xludf.DUMMYFUNCTION("""COMPUTED_VALUE"""),"Will work for them")</f>
        <v>Will work for them</v>
      </c>
      <c r="J1283" s="1">
        <f ca="1">IFERROR(__xludf.DUMMYFUNCTION("""COMPUTED_VALUE"""),3)</f>
        <v>3</v>
      </c>
      <c r="K1283" s="1" t="str">
        <f ca="1">IFERROR(__xludf.DUMMYFUNCTION("""COMPUTED_VALUE"""),"Hybrid Working Environment with more than 15 days a month at office")</f>
        <v>Hybrid Working Environment with more than 15 days a month at office</v>
      </c>
      <c r="L1283" s="1" t="str">
        <f ca="1">IFERROR(__xludf.DUMMYFUNCTION("""COMPUTED_VALUE"""),"Employer who appreciates learning and enables that environment")</f>
        <v>Employer who appreciates learning and enables that environment</v>
      </c>
      <c r="M1283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283" s="1" t="str">
        <f ca="1">IFERROR(__xludf.DUMMYFUNCTION("""COMPUTED_VALUE"""),"Design and Creative strategy in any company, Manage and drive End-to-End Projects or Products, Design and Develop amazing software, Manufacturing / Oil and Gas/ Construction / Hard Physical Work related")</f>
        <v>Design and Creative strategy in any company, Manage and drive End-to-End Projects or Products, Design and Develop amazing software, Manufacturing / Oil and Gas/ Construction / Hard Physical Work related</v>
      </c>
      <c r="O12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283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1283" s="1" t="str">
        <f ca="1">IFERROR(__xludf.DUMMYFUNCTION("""COMPUTED_VALUE"""),"Yes")</f>
        <v>Yes</v>
      </c>
      <c r="R1283" s="1" t="str">
        <f ca="1">IFERROR(__xludf.DUMMYFUNCTION("""COMPUTED_VALUE"""),"Will work for 7 years or more")</f>
        <v>Will work for 7 years or more</v>
      </c>
      <c r="S1283" s="1"/>
    </row>
    <row r="1284" spans="1:19" ht="12.5" x14ac:dyDescent="0.25">
      <c r="A1284" s="2">
        <f ca="1">IFERROR(__xludf.DUMMYFUNCTION("""COMPUTED_VALUE"""),45044.597407743)</f>
        <v>45044.597407743</v>
      </c>
      <c r="B1284" s="1" t="str">
        <f ca="1">IFERROR(__xludf.DUMMYFUNCTION("""COMPUTED_VALUE"""),"India")</f>
        <v>India</v>
      </c>
      <c r="C1284" s="1">
        <f ca="1">IFERROR(__xludf.DUMMYFUNCTION("""COMPUTED_VALUE"""),500040)</f>
        <v>500040</v>
      </c>
      <c r="D1284" s="1" t="str">
        <f ca="1">IFERROR(__xludf.DUMMYFUNCTION("""COMPUTED_VALUE"""),"Female")</f>
        <v>Female</v>
      </c>
      <c r="E1284" s="1" t="str">
        <f ca="1">IFERROR(__xludf.DUMMYFUNCTION("""COMPUTED_VALUE"""),"People from my circle, but not family members")</f>
        <v>People from my circle, but not family members</v>
      </c>
      <c r="F1284" s="1" t="str">
        <f ca="1">IFERROR(__xludf.DUMMYFUNCTION("""COMPUTED_VALUE"""),"Yes, I will earn and do that")</f>
        <v>Yes, I will earn and do that</v>
      </c>
      <c r="G1284" s="1" t="str">
        <f ca="1">IFERROR(__xludf.DUMMYFUNCTION("""COMPUTED_VALUE"""),"Will work for 3 years or more")</f>
        <v>Will work for 3 years or more</v>
      </c>
      <c r="H1284" s="1" t="str">
        <f ca="1">IFERROR(__xludf.DUMMYFUNCTION("""COMPUTED_VALUE"""),"No")</f>
        <v>No</v>
      </c>
      <c r="I1284" s="1" t="str">
        <f ca="1">IFERROR(__xludf.DUMMYFUNCTION("""COMPUTED_VALUE"""),"Will NOT work for them")</f>
        <v>Will NOT work for them</v>
      </c>
      <c r="J1284" s="1">
        <f ca="1">IFERROR(__xludf.DUMMYFUNCTION("""COMPUTED_VALUE"""),6)</f>
        <v>6</v>
      </c>
      <c r="K1284" s="1" t="str">
        <f ca="1">IFERROR(__xludf.DUMMYFUNCTION("""COMPUTED_VALUE"""),"Fully Remote with Options to travel as and when needed")</f>
        <v>Fully Remote with Options to travel as and when needed</v>
      </c>
      <c r="L12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8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284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1284" s="1" t="str">
        <f ca="1">IFERROR(__xludf.DUMMYFUNCTION("""COMPUTED_VALUE"""),"Manager who explains what is expected, sets a goal and helps achieve it")</f>
        <v>Manager who explains what is expected, sets a goal and helps achieve it</v>
      </c>
      <c r="P1284" s="1" t="str">
        <f ca="1">IFERROR(__xludf.DUMMYFUNCTION("""COMPUTED_VALUE"""),"Work with 2 to 3 people in my team, Work with 5 to 6 people in my team")</f>
        <v>Work with 2 to 3 people in my team, Work with 5 to 6 people in my team</v>
      </c>
      <c r="Q1284" s="1" t="str">
        <f ca="1">IFERROR(__xludf.DUMMYFUNCTION("""COMPUTED_VALUE"""),"Yes, I Understand this is gonna happen everywhere")</f>
        <v>Yes, I Understand this is gonna happen everywhere</v>
      </c>
      <c r="R1284" s="1" t="str">
        <f ca="1">IFERROR(__xludf.DUMMYFUNCTION("""COMPUTED_VALUE"""),"This will be hard to do, but if it is the right company I would try")</f>
        <v>This will be hard to do, but if it is the right company I would try</v>
      </c>
      <c r="S1284" s="1"/>
    </row>
    <row r="1285" spans="1:19" ht="12.5" x14ac:dyDescent="0.25">
      <c r="A1285" s="2">
        <f ca="1">IFERROR(__xludf.DUMMYFUNCTION("""COMPUTED_VALUE"""),45044.5997195485)</f>
        <v>45044.599719548598</v>
      </c>
      <c r="B1285" s="1" t="str">
        <f ca="1">IFERROR(__xludf.DUMMYFUNCTION("""COMPUTED_VALUE"""),"India")</f>
        <v>India</v>
      </c>
      <c r="C1285" s="1">
        <f ca="1">IFERROR(__xludf.DUMMYFUNCTION("""COMPUTED_VALUE"""),641006)</f>
        <v>641006</v>
      </c>
      <c r="D1285" s="1" t="str">
        <f ca="1">IFERROR(__xludf.DUMMYFUNCTION("""COMPUTED_VALUE"""),"Female")</f>
        <v>Female</v>
      </c>
      <c r="E1285" s="1" t="str">
        <f ca="1">IFERROR(__xludf.DUMMYFUNCTION("""COMPUTED_VALUE"""),"My Parents")</f>
        <v>My Parents</v>
      </c>
      <c r="F1285" s="1" t="str">
        <f ca="1">IFERROR(__xludf.DUMMYFUNCTION("""COMPUTED_VALUE"""),"No I would not be pursuing Higher Education outside of India")</f>
        <v>No I would not be pursuing Higher Education outside of India</v>
      </c>
      <c r="G1285" s="1" t="str">
        <f ca="1">IFERROR(__xludf.DUMMYFUNCTION("""COMPUTED_VALUE"""),"This will be hard to do, but if it is the right company I would try")</f>
        <v>This will be hard to do, but if it is the right company I would try</v>
      </c>
      <c r="H1285" s="1" t="str">
        <f ca="1">IFERROR(__xludf.DUMMYFUNCTION("""COMPUTED_VALUE"""),"No")</f>
        <v>No</v>
      </c>
      <c r="I1285" s="1" t="str">
        <f ca="1">IFERROR(__xludf.DUMMYFUNCTION("""COMPUTED_VALUE"""),"Will NOT work for them")</f>
        <v>Will NOT work for them</v>
      </c>
      <c r="J1285" s="1">
        <f ca="1">IFERROR(__xludf.DUMMYFUNCTION("""COMPUTED_VALUE"""),1)</f>
        <v>1</v>
      </c>
      <c r="K1285" s="1" t="str">
        <f ca="1">IFERROR(__xludf.DUMMYFUNCTION("""COMPUTED_VALUE"""),"Fully Remote with Options to travel as and when needed")</f>
        <v>Fully Remote with Options to travel as and when needed</v>
      </c>
      <c r="L12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85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285" s="1" t="str">
        <f ca="1">IFERROR(__xludf.DUMMYFUNCTION("""COMPUTED_VALUE"""),"Design and Creative strategy in any company, Manage and drive End-to-End Projects or Products, Design and Develop amazing software, Become a content Creator in some platform")</f>
        <v>Design and Creative strategy in any company, Manage and drive End-to-End Projects or Products, Design and Develop amazing software, Become a content Creator in some platform</v>
      </c>
      <c r="O1285" s="1" t="str">
        <f ca="1">IFERROR(__xludf.DUMMYFUNCTION("""COMPUTED_VALUE"""),"Manager who explains what is expected, sets a goal and helps achieve it")</f>
        <v>Manager who explains what is expected, sets a goal and helps achieve it</v>
      </c>
      <c r="P1285" s="1" t="str">
        <f ca="1">IFERROR(__xludf.DUMMYFUNCTION("""COMPUTED_VALUE"""),"Work with 7 to 10 or more people in my team")</f>
        <v>Work with 7 to 10 or more people in my team</v>
      </c>
      <c r="Q1285" s="1" t="str">
        <f ca="1">IFERROR(__xludf.DUMMYFUNCTION("""COMPUTED_VALUE"""),"Yes, I Understand this is gonna happen everywhere")</f>
        <v>Yes, I Understand this is gonna happen everywhere</v>
      </c>
      <c r="R1285" s="1" t="str">
        <f ca="1">IFERROR(__xludf.DUMMYFUNCTION("""COMPUTED_VALUE"""),"This will be hard to do, but if it is the right company I would try")</f>
        <v>This will be hard to do, but if it is the right company I would try</v>
      </c>
      <c r="S1285" s="1"/>
    </row>
    <row r="1286" spans="1:19" ht="12.5" x14ac:dyDescent="0.25">
      <c r="A1286" s="2">
        <f ca="1">IFERROR(__xludf.DUMMYFUNCTION("""COMPUTED_VALUE"""),45044.5998415625)</f>
        <v>45044.5998415625</v>
      </c>
      <c r="B1286" s="1" t="str">
        <f ca="1">IFERROR(__xludf.DUMMYFUNCTION("""COMPUTED_VALUE"""),"India")</f>
        <v>India</v>
      </c>
      <c r="C1286" s="1">
        <f ca="1">IFERROR(__xludf.DUMMYFUNCTION("""COMPUTED_VALUE"""),600097)</f>
        <v>600097</v>
      </c>
      <c r="D1286" s="1" t="str">
        <f ca="1">IFERROR(__xludf.DUMMYFUNCTION("""COMPUTED_VALUE"""),"Female")</f>
        <v>Female</v>
      </c>
      <c r="E1286" s="1" t="str">
        <f ca="1">IFERROR(__xludf.DUMMYFUNCTION("""COMPUTED_VALUE"""),"Social Media like LinkedIn")</f>
        <v>Social Media like LinkedIn</v>
      </c>
      <c r="F1286" s="1" t="str">
        <f ca="1">IFERROR(__xludf.DUMMYFUNCTION("""COMPUTED_VALUE"""),"No I would not be pursuing Higher Education outside of India")</f>
        <v>No I would not be pursuing Higher Education outside of India</v>
      </c>
      <c r="G1286" s="1" t="str">
        <f ca="1">IFERROR(__xludf.DUMMYFUNCTION("""COMPUTED_VALUE"""),"Will work for 3 years or more")</f>
        <v>Will work for 3 years or more</v>
      </c>
      <c r="H1286" s="1" t="str">
        <f ca="1">IFERROR(__xludf.DUMMYFUNCTION("""COMPUTED_VALUE"""),"Yes")</f>
        <v>Yes</v>
      </c>
      <c r="I1286" s="1" t="str">
        <f ca="1">IFERROR(__xludf.DUMMYFUNCTION("""COMPUTED_VALUE"""),"Will work for them")</f>
        <v>Will work for them</v>
      </c>
      <c r="J1286" s="1">
        <f ca="1">IFERROR(__xludf.DUMMYFUNCTION("""COMPUTED_VALUE"""),7)</f>
        <v>7</v>
      </c>
      <c r="K1286" s="1" t="str">
        <f ca="1">IFERROR(__xludf.DUMMYFUNCTION("""COMPUTED_VALUE"""),"Every Day Office Environment")</f>
        <v>Every Day Office Environment</v>
      </c>
      <c r="L1286" s="1" t="str">
        <f ca="1">IFERROR(__xludf.DUMMYFUNCTION("""COMPUTED_VALUE"""),"Employer who appreciates learning and enables that environment")</f>
        <v>Employer who appreciates learning and enables that environment</v>
      </c>
      <c r="M128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286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286" s="1" t="str">
        <f ca="1">IFERROR(__xludf.DUMMYFUNCTION("""COMPUTED_VALUE"""),"Manager who sets goal and helps me achieve it")</f>
        <v>Manager who sets goal and helps me achieve it</v>
      </c>
      <c r="P1286" s="1" t="str">
        <f ca="1">IFERROR(__xludf.DUMMYFUNCTION("""COMPUTED_VALUE"""),"Work with 5 to 6 people in my team")</f>
        <v>Work with 5 to 6 people in my team</v>
      </c>
      <c r="Q1286" s="1" t="str">
        <f ca="1">IFERROR(__xludf.DUMMYFUNCTION("""COMPUTED_VALUE"""),"Yes, I Understand this is gonna happen everywhere")</f>
        <v>Yes, I Understand this is gonna happen everywhere</v>
      </c>
      <c r="R1286" s="1" t="str">
        <f ca="1">IFERROR(__xludf.DUMMYFUNCTION("""COMPUTED_VALUE"""),"This will be hard to do, but if it is the right company I would try")</f>
        <v>This will be hard to do, but if it is the right company I would try</v>
      </c>
      <c r="S1286" s="1"/>
    </row>
    <row r="1287" spans="1:19" ht="12.5" x14ac:dyDescent="0.25">
      <c r="A1287" s="2">
        <f ca="1">IFERROR(__xludf.DUMMYFUNCTION("""COMPUTED_VALUE"""),45044.6019964814)</f>
        <v>45044.601996481397</v>
      </c>
      <c r="B1287" s="1" t="str">
        <f ca="1">IFERROR(__xludf.DUMMYFUNCTION("""COMPUTED_VALUE"""),"India")</f>
        <v>India</v>
      </c>
      <c r="C1287" s="1">
        <f ca="1">IFERROR(__xludf.DUMMYFUNCTION("""COMPUTED_VALUE"""),620002)</f>
        <v>620002</v>
      </c>
      <c r="D1287" s="1" t="str">
        <f ca="1">IFERROR(__xludf.DUMMYFUNCTION("""COMPUTED_VALUE"""),"Male")</f>
        <v>Male</v>
      </c>
      <c r="E1287" s="1" t="str">
        <f ca="1">IFERROR(__xludf.DUMMYFUNCTION("""COMPUTED_VALUE"""),"People from my circle, but not family members")</f>
        <v>People from my circle, but not family members</v>
      </c>
      <c r="F1287" s="1" t="str">
        <f ca="1">IFERROR(__xludf.DUMMYFUNCTION("""COMPUTED_VALUE"""),"No I would not be pursuing Higher Education outside of India")</f>
        <v>No I would not be pursuing Higher Education outside of India</v>
      </c>
      <c r="G1287" s="1" t="str">
        <f ca="1">IFERROR(__xludf.DUMMYFUNCTION("""COMPUTED_VALUE"""),"This will be hard to do, but if it is the right company I would try")</f>
        <v>This will be hard to do, but if it is the right company I would try</v>
      </c>
      <c r="H1287" s="1" t="str">
        <f ca="1">IFERROR(__xludf.DUMMYFUNCTION("""COMPUTED_VALUE"""),"Yes")</f>
        <v>Yes</v>
      </c>
      <c r="I1287" s="1" t="str">
        <f ca="1">IFERROR(__xludf.DUMMYFUNCTION("""COMPUTED_VALUE"""),"Will work for them")</f>
        <v>Will work for them</v>
      </c>
      <c r="J1287" s="1">
        <f ca="1">IFERROR(__xludf.DUMMYFUNCTION("""COMPUTED_VALUE"""),8)</f>
        <v>8</v>
      </c>
      <c r="K1287" s="1" t="str">
        <f ca="1">IFERROR(__xludf.DUMMYFUNCTION("""COMPUTED_VALUE"""),"Fully Remote with Options to travel as and when needed")</f>
        <v>Fully Remote with Options to travel as and when needed</v>
      </c>
      <c r="L12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8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87" s="1" t="str">
        <f ca="1">IFERROR(__xludf.DUMMYFUNCTION("""COMPUTED_VALUE"""),"Design and Creative strategy in any company, Manage and drive End-to-End Projects or Products, Build and develop a Team, An Artificial Intelligence Specialist / Talking to Robots")</f>
        <v>Design and Creative strategy in any company, Manage and drive End-to-End Projects or Products, Build and develop a Team, An Artificial Intelligence Specialist / Talking to Robots</v>
      </c>
      <c r="O1287" s="1" t="str">
        <f ca="1">IFERROR(__xludf.DUMMYFUNCTION("""COMPUTED_VALUE"""),"Manager who explains what is expected, sets a goal and helps achieve it")</f>
        <v>Manager who explains what is expected, sets a goal and helps achieve it</v>
      </c>
      <c r="P1287" s="1" t="str">
        <f ca="1">IFERROR(__xludf.DUMMYFUNCTION("""COMPUTED_VALUE"""),"Work with 5 to 6 people in my team")</f>
        <v>Work with 5 to 6 people in my team</v>
      </c>
      <c r="Q1287" s="1" t="str">
        <f ca="1">IFERROR(__xludf.DUMMYFUNCTION("""COMPUTED_VALUE"""),"Yes, I Understand this is gonna happen everywhere")</f>
        <v>Yes, I Understand this is gonna happen everywhere</v>
      </c>
      <c r="R1287" s="1" t="str">
        <f ca="1">IFERROR(__xludf.DUMMYFUNCTION("""COMPUTED_VALUE"""),"This will be hard to do, but if it is the right company I would try")</f>
        <v>This will be hard to do, but if it is the right company I would try</v>
      </c>
      <c r="S1287" s="1"/>
    </row>
    <row r="1288" spans="1:19" ht="12.5" x14ac:dyDescent="0.25">
      <c r="A1288" s="2">
        <f ca="1">IFERROR(__xludf.DUMMYFUNCTION("""COMPUTED_VALUE"""),45044.6062491087)</f>
        <v>45044.6062491087</v>
      </c>
      <c r="B1288" s="1" t="str">
        <f ca="1">IFERROR(__xludf.DUMMYFUNCTION("""COMPUTED_VALUE"""),"India")</f>
        <v>India</v>
      </c>
      <c r="C1288" s="1">
        <f ca="1">IFERROR(__xludf.DUMMYFUNCTION("""COMPUTED_VALUE"""),642114)</f>
        <v>642114</v>
      </c>
      <c r="D1288" s="1" t="str">
        <f ca="1">IFERROR(__xludf.DUMMYFUNCTION("""COMPUTED_VALUE"""),"Male")</f>
        <v>Male</v>
      </c>
      <c r="E1288" s="1" t="str">
        <f ca="1">IFERROR(__xludf.DUMMYFUNCTION("""COMPUTED_VALUE"""),"People from my circle, but not family members")</f>
        <v>People from my circle, but not family members</v>
      </c>
      <c r="F1288" s="1" t="str">
        <f ca="1">IFERROR(__xludf.DUMMYFUNCTION("""COMPUTED_VALUE"""),"No I would not be pursuing Higher Education outside of India")</f>
        <v>No I would not be pursuing Higher Education outside of India</v>
      </c>
      <c r="G1288" s="1" t="str">
        <f ca="1">IFERROR(__xludf.DUMMYFUNCTION("""COMPUTED_VALUE"""),"No way")</f>
        <v>No way</v>
      </c>
      <c r="H1288" s="1" t="str">
        <f ca="1">IFERROR(__xludf.DUMMYFUNCTION("""COMPUTED_VALUE"""),"No")</f>
        <v>No</v>
      </c>
      <c r="I1288" s="1" t="str">
        <f ca="1">IFERROR(__xludf.DUMMYFUNCTION("""COMPUTED_VALUE"""),"Will NOT work for them")</f>
        <v>Will NOT work for them</v>
      </c>
      <c r="J1288" s="1">
        <f ca="1">IFERROR(__xludf.DUMMYFUNCTION("""COMPUTED_VALUE"""),1)</f>
        <v>1</v>
      </c>
      <c r="K1288" s="1" t="str">
        <f ca="1">IFERROR(__xludf.DUMMYFUNCTION("""COMPUTED_VALUE"""),"Hybrid Working Environment with more than 15 days a month at office")</f>
        <v>Hybrid Working Environment with more than 15 days a month at office</v>
      </c>
      <c r="L1288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288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288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1288" s="1" t="str">
        <f ca="1">IFERROR(__xludf.DUMMYFUNCTION("""COMPUTED_VALUE"""),"Manager who clearly describes what she/he needs")</f>
        <v>Manager who clearly describes what she/he needs</v>
      </c>
      <c r="P1288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288" s="1" t="str">
        <f ca="1">IFERROR(__xludf.DUMMYFUNCTION("""COMPUTED_VALUE"""),"I have NO other choice")</f>
        <v>I have NO other choice</v>
      </c>
      <c r="R1288" s="1" t="str">
        <f ca="1">IFERROR(__xludf.DUMMYFUNCTION("""COMPUTED_VALUE"""),"No way")</f>
        <v>No way</v>
      </c>
      <c r="S1288" s="1"/>
    </row>
    <row r="1289" spans="1:19" ht="12.5" x14ac:dyDescent="0.25">
      <c r="A1289" s="2">
        <f ca="1">IFERROR(__xludf.DUMMYFUNCTION("""COMPUTED_VALUE"""),45044.608626956)</f>
        <v>45044.608626955996</v>
      </c>
      <c r="B1289" s="1" t="str">
        <f ca="1">IFERROR(__xludf.DUMMYFUNCTION("""COMPUTED_VALUE"""),"India")</f>
        <v>India</v>
      </c>
      <c r="C1289" s="1">
        <f ca="1">IFERROR(__xludf.DUMMYFUNCTION("""COMPUTED_VALUE"""),122016)</f>
        <v>122016</v>
      </c>
      <c r="D1289" s="1" t="str">
        <f ca="1">IFERROR(__xludf.DUMMYFUNCTION("""COMPUTED_VALUE"""),"Male")</f>
        <v>Male</v>
      </c>
      <c r="E1289" s="1" t="str">
        <f ca="1">IFERROR(__xludf.DUMMYFUNCTION("""COMPUTED_VALUE"""),"People who have changed the world for better")</f>
        <v>People who have changed the world for better</v>
      </c>
      <c r="F1289" s="1" t="str">
        <f ca="1">IFERROR(__xludf.DUMMYFUNCTION("""COMPUTED_VALUE"""),"No, But if someone could bare the cost I will")</f>
        <v>No, But if someone could bare the cost I will</v>
      </c>
      <c r="G1289" s="1" t="str">
        <f ca="1">IFERROR(__xludf.DUMMYFUNCTION("""COMPUTED_VALUE"""),"Will work for 3 years or more")</f>
        <v>Will work for 3 years or more</v>
      </c>
      <c r="H1289" s="1" t="str">
        <f ca="1">IFERROR(__xludf.DUMMYFUNCTION("""COMPUTED_VALUE"""),"Yes")</f>
        <v>Yes</v>
      </c>
      <c r="I1289" s="1" t="str">
        <f ca="1">IFERROR(__xludf.DUMMYFUNCTION("""COMPUTED_VALUE"""),"Will NOT work for them")</f>
        <v>Will NOT work for them</v>
      </c>
      <c r="J1289" s="1">
        <f ca="1">IFERROR(__xludf.DUMMYFUNCTION("""COMPUTED_VALUE"""),8)</f>
        <v>8</v>
      </c>
      <c r="K1289" s="1" t="str">
        <f ca="1">IFERROR(__xludf.DUMMYFUNCTION("""COMPUTED_VALUE"""),"Hybrid Working Environment with more than 15 days a month at office")</f>
        <v>Hybrid Working Environment with more than 15 days a month at office</v>
      </c>
      <c r="L12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8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89" s="1" t="str">
        <f ca="1">IFERROR(__xludf.DUMMYFUNCTION("""COMPUTED_VALUE"""),"Design and Creative strategy in any company, Business Operations in any organization, Work in a BPO setup for some well known client, Entrepreneur or Start Up")</f>
        <v>Design and Creative strategy in any company, Business Operations in any organization, Work in a BPO setup for some well known client, Entrepreneur or Start Up</v>
      </c>
      <c r="O1289" s="1" t="str">
        <f ca="1">IFERROR(__xludf.DUMMYFUNCTION("""COMPUTED_VALUE"""),"Manager who explains what is expected, sets a goal and helps achieve it")</f>
        <v>Manager who explains what is expected, sets a goal and helps achieve it</v>
      </c>
      <c r="P1289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289" s="1" t="str">
        <f ca="1">IFERROR(__xludf.DUMMYFUNCTION("""COMPUTED_VALUE"""),"Yes, I Understand this is gonna happen everywhere")</f>
        <v>Yes, I Understand this is gonna happen everywhere</v>
      </c>
      <c r="R1289" s="1" t="str">
        <f ca="1">IFERROR(__xludf.DUMMYFUNCTION("""COMPUTED_VALUE"""),"This will be hard to do, but if it is the right company I would try")</f>
        <v>This will be hard to do, but if it is the right company I would try</v>
      </c>
      <c r="S1289" s="1"/>
    </row>
    <row r="1290" spans="1:19" ht="12.5" x14ac:dyDescent="0.25">
      <c r="A1290" s="2">
        <f ca="1">IFERROR(__xludf.DUMMYFUNCTION("""COMPUTED_VALUE"""),45044.6097373958)</f>
        <v>45044.609737395796</v>
      </c>
      <c r="B1290" s="1" t="str">
        <f ca="1">IFERROR(__xludf.DUMMYFUNCTION("""COMPUTED_VALUE"""),"India")</f>
        <v>India</v>
      </c>
      <c r="C1290" s="1">
        <f ca="1">IFERROR(__xludf.DUMMYFUNCTION("""COMPUTED_VALUE"""),631151)</f>
        <v>631151</v>
      </c>
      <c r="D1290" s="1" t="str">
        <f ca="1">IFERROR(__xludf.DUMMYFUNCTION("""COMPUTED_VALUE"""),"Male")</f>
        <v>Male</v>
      </c>
      <c r="E1290" s="1" t="str">
        <f ca="1">IFERROR(__xludf.DUMMYFUNCTION("""COMPUTED_VALUE"""),"My Parents")</f>
        <v>My Parents</v>
      </c>
      <c r="F1290" s="1" t="str">
        <f ca="1">IFERROR(__xludf.DUMMYFUNCTION("""COMPUTED_VALUE"""),"Yes, I will earn and do that")</f>
        <v>Yes, I will earn and do that</v>
      </c>
      <c r="G1290" s="1" t="str">
        <f ca="1">IFERROR(__xludf.DUMMYFUNCTION("""COMPUTED_VALUE"""),"Will work for 3 years or more")</f>
        <v>Will work for 3 years or more</v>
      </c>
      <c r="H1290" s="1" t="str">
        <f ca="1">IFERROR(__xludf.DUMMYFUNCTION("""COMPUTED_VALUE"""),"No")</f>
        <v>No</v>
      </c>
      <c r="I1290" s="1" t="str">
        <f ca="1">IFERROR(__xludf.DUMMYFUNCTION("""COMPUTED_VALUE"""),"Will NOT work for them")</f>
        <v>Will NOT work for them</v>
      </c>
      <c r="J1290" s="1">
        <f ca="1">IFERROR(__xludf.DUMMYFUNCTION("""COMPUTED_VALUE"""),5)</f>
        <v>5</v>
      </c>
      <c r="K1290" s="1" t="str">
        <f ca="1">IFERROR(__xludf.DUMMYFUNCTION("""COMPUTED_VALUE"""),"Every Day Office Environment")</f>
        <v>Every Day Office Environment</v>
      </c>
      <c r="L12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9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90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290" s="1" t="str">
        <f ca="1">IFERROR(__xludf.DUMMYFUNCTION("""COMPUTED_VALUE"""),"Manager who clearly describes what she/he needs")</f>
        <v>Manager who clearly describes what she/he needs</v>
      </c>
      <c r="P1290" s="1" t="str">
        <f ca="1">IFERROR(__xludf.DUMMYFUNCTION("""COMPUTED_VALUE"""),"Work with 5 to 6 people in my team")</f>
        <v>Work with 5 to 6 people in my team</v>
      </c>
      <c r="Q1290" s="1" t="str">
        <f ca="1">IFERROR(__xludf.DUMMYFUNCTION("""COMPUTED_VALUE"""),"No")</f>
        <v>No</v>
      </c>
      <c r="R1290" s="1" t="str">
        <f ca="1">IFERROR(__xludf.DUMMYFUNCTION("""COMPUTED_VALUE"""),"Will work for 7 years or more")</f>
        <v>Will work for 7 years or more</v>
      </c>
      <c r="S1290" s="1"/>
    </row>
    <row r="1291" spans="1:19" ht="12.5" x14ac:dyDescent="0.25">
      <c r="A1291" s="2">
        <f ca="1">IFERROR(__xludf.DUMMYFUNCTION("""COMPUTED_VALUE"""),45044.6097680555)</f>
        <v>45044.609768055503</v>
      </c>
      <c r="B1291" s="1" t="str">
        <f ca="1">IFERROR(__xludf.DUMMYFUNCTION("""COMPUTED_VALUE"""),"India")</f>
        <v>India</v>
      </c>
      <c r="C1291" s="1">
        <f ca="1">IFERROR(__xludf.DUMMYFUNCTION("""COMPUTED_VALUE"""),411044)</f>
        <v>411044</v>
      </c>
      <c r="D1291" s="1" t="str">
        <f ca="1">IFERROR(__xludf.DUMMYFUNCTION("""COMPUTED_VALUE"""),"Male")</f>
        <v>Male</v>
      </c>
      <c r="E1291" s="1" t="str">
        <f ca="1">IFERROR(__xludf.DUMMYFUNCTION("""COMPUTED_VALUE"""),"People who have changed the world for better")</f>
        <v>People who have changed the world for better</v>
      </c>
      <c r="F1291" s="1" t="str">
        <f ca="1">IFERROR(__xludf.DUMMYFUNCTION("""COMPUTED_VALUE"""),"No I would not be pursuing Higher Education outside of India")</f>
        <v>No I would not be pursuing Higher Education outside of India</v>
      </c>
      <c r="G1291" s="1" t="str">
        <f ca="1">IFERROR(__xludf.DUMMYFUNCTION("""COMPUTED_VALUE"""),"This will be hard to do, but if it is the right company I would try")</f>
        <v>This will be hard to do, but if it is the right company I would try</v>
      </c>
      <c r="H1291" s="1" t="str">
        <f ca="1">IFERROR(__xludf.DUMMYFUNCTION("""COMPUTED_VALUE"""),"No")</f>
        <v>No</v>
      </c>
      <c r="I1291" s="1" t="str">
        <f ca="1">IFERROR(__xludf.DUMMYFUNCTION("""COMPUTED_VALUE"""),"Will NOT work for them")</f>
        <v>Will NOT work for them</v>
      </c>
      <c r="J1291" s="1">
        <f ca="1">IFERROR(__xludf.DUMMYFUNCTION("""COMPUTED_VALUE"""),5)</f>
        <v>5</v>
      </c>
      <c r="K1291" s="1" t="str">
        <f ca="1">IFERROR(__xludf.DUMMYFUNCTION("""COMPUTED_VALUE"""),"Hybrid Working Environment with more than 15 days a month at office")</f>
        <v>Hybrid Working Environment with more than 15 days a month at office</v>
      </c>
      <c r="L12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9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91" s="1" t="str">
        <f ca="1">IFERROR(__xludf.DUMMYFUNCTION("""COMPUTED_VALUE"""),"Teaching in any of the institutes/colleges/online or offline, Manage and drive End-to-End Projects or Products, Become a content Creator in some platform, Entrepreneur or Start Up")</f>
        <v>Teaching in any of the institutes/colleges/online or offline, Manage and drive End-to-End Projects or Products, Become a content Creator in some platform, Entrepreneur or Start Up</v>
      </c>
      <c r="O12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291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291" s="1" t="str">
        <f ca="1">IFERROR(__xludf.DUMMYFUNCTION("""COMPUTED_VALUE"""),"No")</f>
        <v>No</v>
      </c>
      <c r="R1291" s="1" t="str">
        <f ca="1">IFERROR(__xludf.DUMMYFUNCTION("""COMPUTED_VALUE"""),"This will be hard to do, but if it is the right company I would try")</f>
        <v>This will be hard to do, but if it is the right company I would try</v>
      </c>
      <c r="S1291" s="1"/>
    </row>
    <row r="1292" spans="1:19" ht="12.5" x14ac:dyDescent="0.25">
      <c r="A1292" s="2">
        <f ca="1">IFERROR(__xludf.DUMMYFUNCTION("""COMPUTED_VALUE"""),45044.6108370949)</f>
        <v>45044.6108370949</v>
      </c>
      <c r="B1292" s="1" t="str">
        <f ca="1">IFERROR(__xludf.DUMMYFUNCTION("""COMPUTED_VALUE"""),"India")</f>
        <v>India</v>
      </c>
      <c r="C1292" s="1">
        <f ca="1">IFERROR(__xludf.DUMMYFUNCTION("""COMPUTED_VALUE"""),440013)</f>
        <v>440013</v>
      </c>
      <c r="D1292" s="1" t="str">
        <f ca="1">IFERROR(__xludf.DUMMYFUNCTION("""COMPUTED_VALUE"""),"Male")</f>
        <v>Male</v>
      </c>
      <c r="E1292" s="1" t="str">
        <f ca="1">IFERROR(__xludf.DUMMYFUNCTION("""COMPUTED_VALUE"""),"Influencers who had successful careers")</f>
        <v>Influencers who had successful careers</v>
      </c>
      <c r="F1292" s="1" t="str">
        <f ca="1">IFERROR(__xludf.DUMMYFUNCTION("""COMPUTED_VALUE"""),"No, But if someone could bare the cost I will")</f>
        <v>No, But if someone could bare the cost I will</v>
      </c>
      <c r="G1292" s="1" t="str">
        <f ca="1">IFERROR(__xludf.DUMMYFUNCTION("""COMPUTED_VALUE"""),"This will be hard to do, but if it is the right company I would try")</f>
        <v>This will be hard to do, but if it is the right company I would try</v>
      </c>
      <c r="H1292" s="1" t="str">
        <f ca="1">IFERROR(__xludf.DUMMYFUNCTION("""COMPUTED_VALUE"""),"No")</f>
        <v>No</v>
      </c>
      <c r="I1292" s="1" t="str">
        <f ca="1">IFERROR(__xludf.DUMMYFUNCTION("""COMPUTED_VALUE"""),"Will NOT work for them")</f>
        <v>Will NOT work for them</v>
      </c>
      <c r="J1292" s="1">
        <f ca="1">IFERROR(__xludf.DUMMYFUNCTION("""COMPUTED_VALUE"""),10)</f>
        <v>10</v>
      </c>
      <c r="K1292" s="1" t="str">
        <f ca="1">IFERROR(__xludf.DUMMYFUNCTION("""COMPUTED_VALUE"""),"Every Day Office Environment")</f>
        <v>Every Day Office Environment</v>
      </c>
      <c r="L1292" s="1" t="str">
        <f ca="1">IFERROR(__xludf.DUMMYFUNCTION("""COMPUTED_VALUE"""),"Employer who appreciates learning and enables that environment")</f>
        <v>Employer who appreciates learning and enables that environment</v>
      </c>
      <c r="M129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292" s="1" t="str">
        <f ca="1">IFERROR(__xludf.DUMMYFUNCTION("""COMPUTED_VALUE"""),"Manage and drive End-to-End Projects or Products, Build and develop a Team, Design and Develop amazing software, Entrepreneur or Start Up")</f>
        <v>Manage and drive End-to-End Projects or Products, Build and develop a Team, Design and Develop amazing software, Entrepreneur or Start Up</v>
      </c>
      <c r="O1292" s="1" t="str">
        <f ca="1">IFERROR(__xludf.DUMMYFUNCTION("""COMPUTED_VALUE"""),"Manager who sets goal and helps me achieve it")</f>
        <v>Manager who sets goal and helps me achieve it</v>
      </c>
      <c r="P1292" s="1" t="str">
        <f ca="1">IFERROR(__xludf.DUMMYFUNCTION("""COMPUTED_VALUE"""),"Work with 5 to 6 people in my team")</f>
        <v>Work with 5 to 6 people in my team</v>
      </c>
      <c r="Q1292" s="1" t="str">
        <f ca="1">IFERROR(__xludf.DUMMYFUNCTION("""COMPUTED_VALUE"""),"Yes, I Understand this is gonna happen everywhere")</f>
        <v>Yes, I Understand this is gonna happen everywhere</v>
      </c>
      <c r="R1292" s="1" t="str">
        <f ca="1">IFERROR(__xludf.DUMMYFUNCTION("""COMPUTED_VALUE"""),"This will be hard to do, but if it is the right company I would try")</f>
        <v>This will be hard to do, but if it is the right company I would try</v>
      </c>
      <c r="S1292" s="1"/>
    </row>
    <row r="1293" spans="1:19" ht="12.5" x14ac:dyDescent="0.25">
      <c r="A1293" s="2">
        <f ca="1">IFERROR(__xludf.DUMMYFUNCTION("""COMPUTED_VALUE"""),45044.611605)</f>
        <v>45044.611604999998</v>
      </c>
      <c r="B1293" s="1" t="str">
        <f ca="1">IFERROR(__xludf.DUMMYFUNCTION("""COMPUTED_VALUE"""),"India")</f>
        <v>India</v>
      </c>
      <c r="C1293" s="1">
        <f ca="1">IFERROR(__xludf.DUMMYFUNCTION("""COMPUTED_VALUE"""),110006)</f>
        <v>110006</v>
      </c>
      <c r="D1293" s="1" t="str">
        <f ca="1">IFERROR(__xludf.DUMMYFUNCTION("""COMPUTED_VALUE"""),"Male")</f>
        <v>Male</v>
      </c>
      <c r="E1293" s="1" t="str">
        <f ca="1">IFERROR(__xludf.DUMMYFUNCTION("""COMPUTED_VALUE"""),"People who have changed the world for better")</f>
        <v>People who have changed the world for better</v>
      </c>
      <c r="F1293" s="1" t="str">
        <f ca="1">IFERROR(__xludf.DUMMYFUNCTION("""COMPUTED_VALUE"""),"Yes, I will earn and do that")</f>
        <v>Yes, I will earn and do that</v>
      </c>
      <c r="G1293" s="1" t="str">
        <f ca="1">IFERROR(__xludf.DUMMYFUNCTION("""COMPUTED_VALUE"""),"Will work for 3 years or more")</f>
        <v>Will work for 3 years or more</v>
      </c>
      <c r="H1293" s="1" t="str">
        <f ca="1">IFERROR(__xludf.DUMMYFUNCTION("""COMPUTED_VALUE"""),"Yes")</f>
        <v>Yes</v>
      </c>
      <c r="I1293" s="1" t="str">
        <f ca="1">IFERROR(__xludf.DUMMYFUNCTION("""COMPUTED_VALUE"""),"Will NOT work for them")</f>
        <v>Will NOT work for them</v>
      </c>
      <c r="J1293" s="1">
        <f ca="1">IFERROR(__xludf.DUMMYFUNCTION("""COMPUTED_VALUE"""),5)</f>
        <v>5</v>
      </c>
      <c r="K1293" s="1" t="str">
        <f ca="1">IFERROR(__xludf.DUMMYFUNCTION("""COMPUTED_VALUE"""),"Fully Remote with Options to travel as and when needed")</f>
        <v>Fully Remote with Options to travel as and when needed</v>
      </c>
      <c r="L12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9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293" s="1" t="str">
        <f ca="1">IFERROR(__xludf.DUMMYFUNCTION("""COMPUTED_VALUE"""),"Design and Develop amazing software, Work as a freelancer and do my thing my way, Become a content Creator in some platform, Entrepreneur or Start Up")</f>
        <v>Design and Develop amazing software, Work as a freelancer and do my thing my way, Become a content Creator in some platform, Entrepreneur or Start Up</v>
      </c>
      <c r="O1293" s="1" t="str">
        <f ca="1">IFERROR(__xludf.DUMMYFUNCTION("""COMPUTED_VALUE"""),"Manager who explains what is expected, sets a goal and helps achieve it")</f>
        <v>Manager who explains what is expected, sets a goal and helps achieve it</v>
      </c>
      <c r="P1293" s="1" t="str">
        <f ca="1">IFERROR(__xludf.DUMMYFUNCTION("""COMPUTED_VALUE"""),"Work with 2 to 3 people in my team")</f>
        <v>Work with 2 to 3 people in my team</v>
      </c>
      <c r="Q1293" s="1" t="str">
        <f ca="1">IFERROR(__xludf.DUMMYFUNCTION("""COMPUTED_VALUE"""),"Yes, I Understand this is gonna happen everywhere")</f>
        <v>Yes, I Understand this is gonna happen everywhere</v>
      </c>
      <c r="R1293" s="1" t="str">
        <f ca="1">IFERROR(__xludf.DUMMYFUNCTION("""COMPUTED_VALUE"""),"This will be hard to do, but if it is the right company I would try")</f>
        <v>This will be hard to do, but if it is the right company I would try</v>
      </c>
      <c r="S1293" s="1"/>
    </row>
    <row r="1294" spans="1:19" ht="12.5" x14ac:dyDescent="0.25">
      <c r="A1294" s="2">
        <f ca="1">IFERROR(__xludf.DUMMYFUNCTION("""COMPUTED_VALUE"""),45044.6116065972)</f>
        <v>45044.611606597202</v>
      </c>
      <c r="B1294" s="1" t="str">
        <f ca="1">IFERROR(__xludf.DUMMYFUNCTION("""COMPUTED_VALUE"""),"India")</f>
        <v>India</v>
      </c>
      <c r="C1294" s="1">
        <f ca="1">IFERROR(__xludf.DUMMYFUNCTION("""COMPUTED_VALUE"""),410210)</f>
        <v>410210</v>
      </c>
      <c r="D1294" s="1" t="str">
        <f ca="1">IFERROR(__xludf.DUMMYFUNCTION("""COMPUTED_VALUE"""),"Male")</f>
        <v>Male</v>
      </c>
      <c r="E1294" s="1" t="str">
        <f ca="1">IFERROR(__xludf.DUMMYFUNCTION("""COMPUTED_VALUE"""),"People who have changed the world for better")</f>
        <v>People who have changed the world for better</v>
      </c>
      <c r="F1294" s="1" t="str">
        <f ca="1">IFERROR(__xludf.DUMMYFUNCTION("""COMPUTED_VALUE"""),"No I would not be pursuing Higher Education outside of India")</f>
        <v>No I would not be pursuing Higher Education outside of India</v>
      </c>
      <c r="G1294" s="1" t="str">
        <f ca="1">IFERROR(__xludf.DUMMYFUNCTION("""COMPUTED_VALUE"""),"Will work for 3 years or more")</f>
        <v>Will work for 3 years or more</v>
      </c>
      <c r="H1294" s="1" t="str">
        <f ca="1">IFERROR(__xludf.DUMMYFUNCTION("""COMPUTED_VALUE"""),"Yes")</f>
        <v>Yes</v>
      </c>
      <c r="I1294" s="1" t="str">
        <f ca="1">IFERROR(__xludf.DUMMYFUNCTION("""COMPUTED_VALUE"""),"Will work for them")</f>
        <v>Will work for them</v>
      </c>
      <c r="J1294" s="1">
        <f ca="1">IFERROR(__xludf.DUMMYFUNCTION("""COMPUTED_VALUE"""),7)</f>
        <v>7</v>
      </c>
      <c r="K1294" s="1" t="str">
        <f ca="1">IFERROR(__xludf.DUMMYFUNCTION("""COMPUTED_VALUE"""),"Hybrid Working Environment with more than 15 days a month at office")</f>
        <v>Hybrid Working Environment with more than 15 days a month at office</v>
      </c>
      <c r="L12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29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29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294" s="1" t="str">
        <f ca="1">IFERROR(__xludf.DUMMYFUNCTION("""COMPUTED_VALUE"""),"Manager who sets goal and helps me achieve it")</f>
        <v>Manager who sets goal and helps me achieve it</v>
      </c>
      <c r="P129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294" s="1" t="str">
        <f ca="1">IFERROR(__xludf.DUMMYFUNCTION("""COMPUTED_VALUE"""),"Yes, I Understand this is gonna happen everywhere")</f>
        <v>Yes, I Understand this is gonna happen everywhere</v>
      </c>
      <c r="R1294" s="1" t="str">
        <f ca="1">IFERROR(__xludf.DUMMYFUNCTION("""COMPUTED_VALUE"""),"This will be hard to do, but if it is the right company I would try")</f>
        <v>This will be hard to do, but if it is the right company I would try</v>
      </c>
      <c r="S1294" s="1"/>
    </row>
    <row r="1295" spans="1:19" ht="12.5" x14ac:dyDescent="0.25">
      <c r="A1295" s="2">
        <f ca="1">IFERROR(__xludf.DUMMYFUNCTION("""COMPUTED_VALUE"""),45044.6117060995)</f>
        <v>45044.611706099502</v>
      </c>
      <c r="B1295" s="1" t="str">
        <f ca="1">IFERROR(__xludf.DUMMYFUNCTION("""COMPUTED_VALUE"""),"India")</f>
        <v>India</v>
      </c>
      <c r="C1295" s="1">
        <f ca="1">IFERROR(__xludf.DUMMYFUNCTION("""COMPUTED_VALUE"""),603102)</f>
        <v>603102</v>
      </c>
      <c r="D1295" s="1" t="str">
        <f ca="1">IFERROR(__xludf.DUMMYFUNCTION("""COMPUTED_VALUE"""),"Male")</f>
        <v>Male</v>
      </c>
      <c r="E1295" s="1" t="str">
        <f ca="1">IFERROR(__xludf.DUMMYFUNCTION("""COMPUTED_VALUE"""),"People who have changed the world for better")</f>
        <v>People who have changed the world for better</v>
      </c>
      <c r="F1295" s="1" t="str">
        <f ca="1">IFERROR(__xludf.DUMMYFUNCTION("""COMPUTED_VALUE"""),"Yes, I will earn and do that")</f>
        <v>Yes, I will earn and do that</v>
      </c>
      <c r="G1295" s="1" t="str">
        <f ca="1">IFERROR(__xludf.DUMMYFUNCTION("""COMPUTED_VALUE"""),"This will be hard to do, but if it is the right company I would try")</f>
        <v>This will be hard to do, but if it is the right company I would try</v>
      </c>
      <c r="H1295" s="1" t="str">
        <f ca="1">IFERROR(__xludf.DUMMYFUNCTION("""COMPUTED_VALUE"""),"No")</f>
        <v>No</v>
      </c>
      <c r="I1295" s="1" t="str">
        <f ca="1">IFERROR(__xludf.DUMMYFUNCTION("""COMPUTED_VALUE"""),"Will NOT work for them")</f>
        <v>Will NOT work for them</v>
      </c>
      <c r="J1295" s="1">
        <f ca="1">IFERROR(__xludf.DUMMYFUNCTION("""COMPUTED_VALUE"""),2)</f>
        <v>2</v>
      </c>
      <c r="K1295" s="1" t="str">
        <f ca="1">IFERROR(__xludf.DUMMYFUNCTION("""COMPUTED_VALUE"""),"Hybrid Working Environment with more than 15 days a month at office")</f>
        <v>Hybrid Working Environment with more than 15 days a month at office</v>
      </c>
      <c r="L1295" s="1" t="str">
        <f ca="1">IFERROR(__xludf.DUMMYFUNCTION("""COMPUTED_VALUE"""),"Employer who appreciates learning and enables that environment")</f>
        <v>Employer who appreciates learning and enables that environment</v>
      </c>
      <c r="M129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295" s="1" t="str">
        <f ca="1">IFERROR(__xludf.DUMMYFUNCTION("""COMPUTED_VALUE"""),"Teaching in any of the institutes/colleges/online or offline, Business Operations in any organization, Look deeply into Data and generate insights, Work in a BPO setup for some well known client")</f>
        <v>Teaching in any of the institutes/colleges/online or offline, Business Operations in any organization, Look deeply into Data and generate insights, Work in a BPO setup for some well known client</v>
      </c>
      <c r="O1295" s="1" t="str">
        <f ca="1">IFERROR(__xludf.DUMMYFUNCTION("""COMPUTED_VALUE"""),"Manager who explains what is expected, sets a goal and helps achieve it")</f>
        <v>Manager who explains what is expected, sets a goal and helps achieve it</v>
      </c>
      <c r="P1295" s="1" t="str">
        <f ca="1">IFERROR(__xludf.DUMMYFUNCTION("""COMPUTED_VALUE"""),"Work with 7 to 10 or more people in my team")</f>
        <v>Work with 7 to 10 or more people in my team</v>
      </c>
      <c r="Q1295" s="1" t="str">
        <f ca="1">IFERROR(__xludf.DUMMYFUNCTION("""COMPUTED_VALUE"""),"Yes, I Understand this is gonna happen everywhere")</f>
        <v>Yes, I Understand this is gonna happen everywhere</v>
      </c>
      <c r="R1295" s="1" t="str">
        <f ca="1">IFERROR(__xludf.DUMMYFUNCTION("""COMPUTED_VALUE"""),"This will be hard to do, but if it is the right company I would try")</f>
        <v>This will be hard to do, but if it is the right company I would try</v>
      </c>
      <c r="S1295" s="1"/>
    </row>
    <row r="1296" spans="1:19" ht="12.5" x14ac:dyDescent="0.25">
      <c r="A1296" s="2">
        <f ca="1">IFERROR(__xludf.DUMMYFUNCTION("""COMPUTED_VALUE"""),45044.6130770717)</f>
        <v>45044.613077071699</v>
      </c>
      <c r="B1296" s="1" t="str">
        <f ca="1">IFERROR(__xludf.DUMMYFUNCTION("""COMPUTED_VALUE"""),"India")</f>
        <v>India</v>
      </c>
      <c r="C1296" s="1">
        <f ca="1">IFERROR(__xludf.DUMMYFUNCTION("""COMPUTED_VALUE"""),828307)</f>
        <v>828307</v>
      </c>
      <c r="D1296" s="1" t="str">
        <f ca="1">IFERROR(__xludf.DUMMYFUNCTION("""COMPUTED_VALUE"""),"Female")</f>
        <v>Female</v>
      </c>
      <c r="E1296" s="1" t="str">
        <f ca="1">IFERROR(__xludf.DUMMYFUNCTION("""COMPUTED_VALUE"""),"People who have changed the world for better")</f>
        <v>People who have changed the world for better</v>
      </c>
      <c r="F1296" s="1" t="str">
        <f ca="1">IFERROR(__xludf.DUMMYFUNCTION("""COMPUTED_VALUE"""),"No I would not be pursuing Higher Education outside of India")</f>
        <v>No I would not be pursuing Higher Education outside of India</v>
      </c>
      <c r="G1296" s="1" t="str">
        <f ca="1">IFERROR(__xludf.DUMMYFUNCTION("""COMPUTED_VALUE"""),"This will be hard to do, but if it is the right company I would try")</f>
        <v>This will be hard to do, but if it is the right company I would try</v>
      </c>
      <c r="H1296" s="1" t="str">
        <f ca="1">IFERROR(__xludf.DUMMYFUNCTION("""COMPUTED_VALUE"""),"Yes")</f>
        <v>Yes</v>
      </c>
      <c r="I1296" s="1" t="str">
        <f ca="1">IFERROR(__xludf.DUMMYFUNCTION("""COMPUTED_VALUE"""),"Will NOT work for them")</f>
        <v>Will NOT work for them</v>
      </c>
      <c r="J1296" s="1">
        <f ca="1">IFERROR(__xludf.DUMMYFUNCTION("""COMPUTED_VALUE"""),5)</f>
        <v>5</v>
      </c>
      <c r="K1296" s="1" t="str">
        <f ca="1">IFERROR(__xludf.DUMMYFUNCTION("""COMPUTED_VALUE"""),"Fully Remote with Options to travel as and when needed")</f>
        <v>Fully Remote with Options to travel as and when needed</v>
      </c>
      <c r="L1296" s="1" t="str">
        <f ca="1">IFERROR(__xludf.DUMMYFUNCTION("""COMPUTED_VALUE"""),"Employer who appreciates learning and enables that environment")</f>
        <v>Employer who appreciates learning and enables that environment</v>
      </c>
      <c r="M129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296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1296" s="1" t="str">
        <f ca="1">IFERROR(__xludf.DUMMYFUNCTION("""COMPUTED_VALUE"""),"Manager who clearly describes what she/he needs")</f>
        <v>Manager who clearly describes what she/he needs</v>
      </c>
      <c r="P1296" s="1" t="str">
        <f ca="1">IFERROR(__xludf.DUMMYFUNCTION("""COMPUTED_VALUE"""),"Work with 2 to 3 people in my team")</f>
        <v>Work with 2 to 3 people in my team</v>
      </c>
      <c r="Q1296" s="1" t="str">
        <f ca="1">IFERROR(__xludf.DUMMYFUNCTION("""COMPUTED_VALUE"""),"Yes, I Understand this is gonna happen everywhere")</f>
        <v>Yes, I Understand this is gonna happen everywhere</v>
      </c>
      <c r="R1296" s="1" t="str">
        <f ca="1">IFERROR(__xludf.DUMMYFUNCTION("""COMPUTED_VALUE"""),"This will be hard to do, but if it is the right company I would try")</f>
        <v>This will be hard to do, but if it is the right company I would try</v>
      </c>
      <c r="S1296" s="1"/>
    </row>
    <row r="1297" spans="1:19" ht="12.5" x14ac:dyDescent="0.25">
      <c r="A1297" s="2">
        <f ca="1">IFERROR(__xludf.DUMMYFUNCTION("""COMPUTED_VALUE"""),45044.6144742708)</f>
        <v>45044.614474270798</v>
      </c>
      <c r="B1297" s="1" t="str">
        <f ca="1">IFERROR(__xludf.DUMMYFUNCTION("""COMPUTED_VALUE"""),"India")</f>
        <v>India</v>
      </c>
      <c r="C1297" s="1">
        <f ca="1">IFERROR(__xludf.DUMMYFUNCTION("""COMPUTED_VALUE"""),600049)</f>
        <v>600049</v>
      </c>
      <c r="D1297" s="1" t="str">
        <f ca="1">IFERROR(__xludf.DUMMYFUNCTION("""COMPUTED_VALUE"""),"Female")</f>
        <v>Female</v>
      </c>
      <c r="E1297" s="1" t="str">
        <f ca="1">IFERROR(__xludf.DUMMYFUNCTION("""COMPUTED_VALUE"""),"My Parents")</f>
        <v>My Parents</v>
      </c>
      <c r="F1297" s="1" t="str">
        <f ca="1">IFERROR(__xludf.DUMMYFUNCTION("""COMPUTED_VALUE"""),"No, But if someone could bare the cost I will")</f>
        <v>No, But if someone could bare the cost I will</v>
      </c>
      <c r="G1297" s="1" t="str">
        <f ca="1">IFERROR(__xludf.DUMMYFUNCTION("""COMPUTED_VALUE"""),"Will work for 3 years or more")</f>
        <v>Will work for 3 years or more</v>
      </c>
      <c r="H1297" s="1" t="str">
        <f ca="1">IFERROR(__xludf.DUMMYFUNCTION("""COMPUTED_VALUE"""),"No")</f>
        <v>No</v>
      </c>
      <c r="I1297" s="1" t="str">
        <f ca="1">IFERROR(__xludf.DUMMYFUNCTION("""COMPUTED_VALUE"""),"Will NOT work for them")</f>
        <v>Will NOT work for them</v>
      </c>
      <c r="J1297" s="1">
        <f ca="1">IFERROR(__xludf.DUMMYFUNCTION("""COMPUTED_VALUE"""),10)</f>
        <v>10</v>
      </c>
      <c r="K1297" s="1" t="str">
        <f ca="1">IFERROR(__xludf.DUMMYFUNCTION("""COMPUTED_VALUE"""),"Hybrid Working Environment with more than 15 days a month at office")</f>
        <v>Hybrid Working Environment with more than 15 days a month at office</v>
      </c>
      <c r="L1297" s="1" t="str">
        <f ca="1">IFERROR(__xludf.DUMMYFUNCTION("""COMPUTED_VALUE"""),"Employer who appreciates learning and enables that environment")</f>
        <v>Employer who appreciates learning and enables that environment</v>
      </c>
      <c r="M129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297" s="1" t="str">
        <f ca="1">IFERROR(__xludf.DUMMYFUNCTION("""COMPUTED_VALUE"""),"Business Operations in any organization, Manage and drive End-to-End Projects or Products, Build and develop a Team, Become a content Creator in some platform")</f>
        <v>Business Operations in any organization, Manage and drive End-to-End Projects or Products, Build and develop a Team, Become a content Creator in some platform</v>
      </c>
      <c r="O1297" s="1" t="str">
        <f ca="1">IFERROR(__xludf.DUMMYFUNCTION("""COMPUTED_VALUE"""),"Manager who sets goal and helps me achieve it")</f>
        <v>Manager who sets goal and helps me achieve it</v>
      </c>
      <c r="P1297" s="1" t="str">
        <f ca="1">IFERROR(__xludf.DUMMYFUNCTION("""COMPUTED_VALUE"""),"Work with more than 10 people in my team")</f>
        <v>Work with more than 10 people in my team</v>
      </c>
      <c r="Q1297" s="1" t="str">
        <f ca="1">IFERROR(__xludf.DUMMYFUNCTION("""COMPUTED_VALUE"""),"No")</f>
        <v>No</v>
      </c>
      <c r="R1297" s="1" t="str">
        <f ca="1">IFERROR(__xludf.DUMMYFUNCTION("""COMPUTED_VALUE"""),"This will be hard to do, but if it is the right company I would try")</f>
        <v>This will be hard to do, but if it is the right company I would try</v>
      </c>
      <c r="S1297" s="1"/>
    </row>
    <row r="1298" spans="1:19" ht="12.5" x14ac:dyDescent="0.25">
      <c r="A1298" s="2">
        <f ca="1">IFERROR(__xludf.DUMMYFUNCTION("""COMPUTED_VALUE"""),45044.6196870486)</f>
        <v>45044.619687048602</v>
      </c>
      <c r="B1298" s="1" t="str">
        <f ca="1">IFERROR(__xludf.DUMMYFUNCTION("""COMPUTED_VALUE"""),"India")</f>
        <v>India</v>
      </c>
      <c r="C1298" s="1">
        <f ca="1">IFERROR(__xludf.DUMMYFUNCTION("""COMPUTED_VALUE"""),600032)</f>
        <v>600032</v>
      </c>
      <c r="D1298" s="1" t="str">
        <f ca="1">IFERROR(__xludf.DUMMYFUNCTION("""COMPUTED_VALUE"""),"Male")</f>
        <v>Male</v>
      </c>
      <c r="E1298" s="1" t="str">
        <f ca="1">IFERROR(__xludf.DUMMYFUNCTION("""COMPUTED_VALUE"""),"People from my circle, but not family members")</f>
        <v>People from my circle, but not family members</v>
      </c>
      <c r="F1298" s="1" t="str">
        <f ca="1">IFERROR(__xludf.DUMMYFUNCTION("""COMPUTED_VALUE"""),"No I would not be pursuing Higher Education outside of India")</f>
        <v>No I would not be pursuing Higher Education outside of India</v>
      </c>
      <c r="G1298" s="1" t="str">
        <f ca="1">IFERROR(__xludf.DUMMYFUNCTION("""COMPUTED_VALUE"""),"This will be hard to do, but if it is the right company I would try")</f>
        <v>This will be hard to do, but if it is the right company I would try</v>
      </c>
      <c r="H1298" s="1" t="str">
        <f ca="1">IFERROR(__xludf.DUMMYFUNCTION("""COMPUTED_VALUE"""),"No")</f>
        <v>No</v>
      </c>
      <c r="I1298" s="1" t="str">
        <f ca="1">IFERROR(__xludf.DUMMYFUNCTION("""COMPUTED_VALUE"""),"Will NOT work for them")</f>
        <v>Will NOT work for them</v>
      </c>
      <c r="J1298" s="1">
        <f ca="1">IFERROR(__xludf.DUMMYFUNCTION("""COMPUTED_VALUE"""),8)</f>
        <v>8</v>
      </c>
      <c r="K1298" s="1" t="str">
        <f ca="1">IFERROR(__xludf.DUMMYFUNCTION("""COMPUTED_VALUE"""),"Hybrid Working Environment with less than 3 days a month at office")</f>
        <v>Hybrid Working Environment with less than 3 days a month at office</v>
      </c>
      <c r="L1298" s="1" t="str">
        <f ca="1">IFERROR(__xludf.DUMMYFUNCTION("""COMPUTED_VALUE"""),"Employer who appreciates learning and enables that environment")</f>
        <v>Employer who appreciates learning and enables that environment</v>
      </c>
      <c r="M129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298" s="1" t="str">
        <f ca="1">IFERROR(__xludf.DUMMYFUNCTION("""COMPUTED_VALUE"""),"Business Operations in any organization, Build and develop a Team, Look deeply into Data and generate insights, I Want to sell things/Sales")</f>
        <v>Business Operations in any organization, Build and develop a Team, Look deeply into Data and generate insights, I Want to sell things/Sales</v>
      </c>
      <c r="O1298" s="1" t="str">
        <f ca="1">IFERROR(__xludf.DUMMYFUNCTION("""COMPUTED_VALUE"""),"Manager who sets goal and helps me achieve it")</f>
        <v>Manager who sets goal and helps me achieve it</v>
      </c>
      <c r="P1298" s="1" t="str">
        <f ca="1">IFERROR(__xludf.DUMMYFUNCTION("""COMPUTED_VALUE"""),"Work with 7 to 10 or more people in my team")</f>
        <v>Work with 7 to 10 or more people in my team</v>
      </c>
      <c r="Q1298" s="1" t="str">
        <f ca="1">IFERROR(__xludf.DUMMYFUNCTION("""COMPUTED_VALUE"""),"Yes, I Understand this is gonna happen everywhere")</f>
        <v>Yes, I Understand this is gonna happen everywhere</v>
      </c>
      <c r="R1298" s="1" t="str">
        <f ca="1">IFERROR(__xludf.DUMMYFUNCTION("""COMPUTED_VALUE"""),"No way")</f>
        <v>No way</v>
      </c>
      <c r="S1298" s="1"/>
    </row>
    <row r="1299" spans="1:19" ht="12.5" x14ac:dyDescent="0.25">
      <c r="A1299" s="2">
        <f ca="1">IFERROR(__xludf.DUMMYFUNCTION("""COMPUTED_VALUE"""),45044.6204785185)</f>
        <v>45044.620478518496</v>
      </c>
      <c r="B1299" s="1" t="str">
        <f ca="1">IFERROR(__xludf.DUMMYFUNCTION("""COMPUTED_VALUE"""),"India")</f>
        <v>India</v>
      </c>
      <c r="C1299" s="1">
        <f ca="1">IFERROR(__xludf.DUMMYFUNCTION("""COMPUTED_VALUE"""),89)</f>
        <v>89</v>
      </c>
      <c r="D1299" s="1" t="str">
        <f ca="1">IFERROR(__xludf.DUMMYFUNCTION("""COMPUTED_VALUE"""),"Male")</f>
        <v>Male</v>
      </c>
      <c r="E1299" s="1" t="str">
        <f ca="1">IFERROR(__xludf.DUMMYFUNCTION("""COMPUTED_VALUE"""),"People from my circle, but not family members")</f>
        <v>People from my circle, but not family members</v>
      </c>
      <c r="F1299" s="1" t="str">
        <f ca="1">IFERROR(__xludf.DUMMYFUNCTION("""COMPUTED_VALUE"""),"Yes, I will earn and do that")</f>
        <v>Yes, I will earn and do that</v>
      </c>
      <c r="G1299" s="1" t="str">
        <f ca="1">IFERROR(__xludf.DUMMYFUNCTION("""COMPUTED_VALUE"""),"This will be hard to do, but if it is the right company I would try")</f>
        <v>This will be hard to do, but if it is the right company I would try</v>
      </c>
      <c r="H1299" s="1" t="str">
        <f ca="1">IFERROR(__xludf.DUMMYFUNCTION("""COMPUTED_VALUE"""),"Yes")</f>
        <v>Yes</v>
      </c>
      <c r="I1299" s="1" t="str">
        <f ca="1">IFERROR(__xludf.DUMMYFUNCTION("""COMPUTED_VALUE"""),"Will NOT work for them")</f>
        <v>Will NOT work for them</v>
      </c>
      <c r="J1299" s="1">
        <f ca="1">IFERROR(__xludf.DUMMYFUNCTION("""COMPUTED_VALUE"""),5)</f>
        <v>5</v>
      </c>
      <c r="K1299" s="1" t="str">
        <f ca="1">IFERROR(__xludf.DUMMYFUNCTION("""COMPUTED_VALUE"""),"Fully Remote with No option to visit offices")</f>
        <v>Fully Remote with No option to visit offices</v>
      </c>
      <c r="L1299" s="1" t="str">
        <f ca="1">IFERROR(__xludf.DUMMYFUNCTION("""COMPUTED_VALUE"""),"Employer who rewards learning and enables that environment")</f>
        <v>Employer who rewards learning and enables that environment</v>
      </c>
      <c r="M129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299" s="1" t="str">
        <f ca="1">IFERROR(__xludf.DUMMYFUNCTION("""COMPUTED_VALUE"""),"Design and Creative strategy in any company, Build and develop a Team, Work in a BPO setup for some well known client, Entrepreneur or Start Up")</f>
        <v>Design and Creative strategy in any company, Build and develop a Team, Work in a BPO setup for some well known client, Entrepreneur or Start Up</v>
      </c>
      <c r="O1299" s="1" t="str">
        <f ca="1">IFERROR(__xludf.DUMMYFUNCTION("""COMPUTED_VALUE"""),"Manager who sets goal and helps me achieve it")</f>
        <v>Manager who sets goal and helps me achieve it</v>
      </c>
      <c r="P1299" s="1" t="str">
        <f ca="1">IFERROR(__xludf.DUMMYFUNCTION("""COMPUTED_VALUE"""),"Work with 2 to 3 people in my team")</f>
        <v>Work with 2 to 3 people in my team</v>
      </c>
      <c r="Q1299" s="1" t="str">
        <f ca="1">IFERROR(__xludf.DUMMYFUNCTION("""COMPUTED_VALUE"""),"Yes, I Understand this is gonna happen everywhere")</f>
        <v>Yes, I Understand this is gonna happen everywhere</v>
      </c>
      <c r="R1299" s="1" t="str">
        <f ca="1">IFERROR(__xludf.DUMMYFUNCTION("""COMPUTED_VALUE"""),"Will work for 7 years or more")</f>
        <v>Will work for 7 years or more</v>
      </c>
      <c r="S1299" s="1"/>
    </row>
    <row r="1300" spans="1:19" ht="12.5" x14ac:dyDescent="0.25">
      <c r="A1300" s="2">
        <f ca="1">IFERROR(__xludf.DUMMYFUNCTION("""COMPUTED_VALUE"""),45044.6238727777)</f>
        <v>45044.623872777702</v>
      </c>
      <c r="B1300" s="1" t="str">
        <f ca="1">IFERROR(__xludf.DUMMYFUNCTION("""COMPUTED_VALUE"""),"India")</f>
        <v>India</v>
      </c>
      <c r="C1300" s="1">
        <f ca="1">IFERROR(__xludf.DUMMYFUNCTION("""COMPUTED_VALUE"""),600083)</f>
        <v>600083</v>
      </c>
      <c r="D1300" s="1" t="str">
        <f ca="1">IFERROR(__xludf.DUMMYFUNCTION("""COMPUTED_VALUE"""),"Female")</f>
        <v>Female</v>
      </c>
      <c r="E1300" s="1" t="str">
        <f ca="1">IFERROR(__xludf.DUMMYFUNCTION("""COMPUTED_VALUE"""),"People who have changed the world for better")</f>
        <v>People who have changed the world for better</v>
      </c>
      <c r="F1300" s="1" t="str">
        <f ca="1">IFERROR(__xludf.DUMMYFUNCTION("""COMPUTED_VALUE"""),"Yes, I will earn and do that")</f>
        <v>Yes, I will earn and do that</v>
      </c>
      <c r="G1300" s="1" t="str">
        <f ca="1">IFERROR(__xludf.DUMMYFUNCTION("""COMPUTED_VALUE"""),"Will work for 3 years or more")</f>
        <v>Will work for 3 years or more</v>
      </c>
      <c r="H1300" s="1" t="str">
        <f ca="1">IFERROR(__xludf.DUMMYFUNCTION("""COMPUTED_VALUE"""),"No")</f>
        <v>No</v>
      </c>
      <c r="I1300" s="1" t="str">
        <f ca="1">IFERROR(__xludf.DUMMYFUNCTION("""COMPUTED_VALUE"""),"Will NOT work for them")</f>
        <v>Will NOT work for them</v>
      </c>
      <c r="J1300" s="1">
        <f ca="1">IFERROR(__xludf.DUMMYFUNCTION("""COMPUTED_VALUE"""),3)</f>
        <v>3</v>
      </c>
      <c r="K1300" s="1" t="str">
        <f ca="1">IFERROR(__xludf.DUMMYFUNCTION("""COMPUTED_VALUE"""),"Fully Remote with Options to travel as and when needed")</f>
        <v>Fully Remote with Options to travel as and when needed</v>
      </c>
      <c r="L130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30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300" s="1" t="str">
        <f ca="1">IFERROR(__xludf.DUMMYFUNCTION("""COMPUTED_VALUE"""),"Design and Creative strategy in any company, Manage and drive End-to-End Projects or Products, Work in a BPO setup for some well known client, I Want to sell things/Sales")</f>
        <v>Design and Creative strategy in any company, Manage and drive End-to-End Projects or Products, Work in a BPO setup for some well known client, I Want to sell things/Sales</v>
      </c>
      <c r="O1300" s="1" t="str">
        <f ca="1">IFERROR(__xludf.DUMMYFUNCTION("""COMPUTED_VALUE"""),"Manager who sets goal and helps me achieve it")</f>
        <v>Manager who sets goal and helps me achieve it</v>
      </c>
      <c r="P1300" s="1" t="str">
        <f ca="1">IFERROR(__xludf.DUMMYFUNCTION("""COMPUTED_VALUE"""),"Work with more than 10 people in my team")</f>
        <v>Work with more than 10 people in my team</v>
      </c>
      <c r="Q1300" s="1" t="str">
        <f ca="1">IFERROR(__xludf.DUMMYFUNCTION("""COMPUTED_VALUE"""),"No")</f>
        <v>No</v>
      </c>
      <c r="R1300" s="1" t="str">
        <f ca="1">IFERROR(__xludf.DUMMYFUNCTION("""COMPUTED_VALUE"""),"No way")</f>
        <v>No way</v>
      </c>
      <c r="S1300" s="1"/>
    </row>
    <row r="1301" spans="1:19" ht="12.5" x14ac:dyDescent="0.25">
      <c r="A1301" s="2">
        <f ca="1">IFERROR(__xludf.DUMMYFUNCTION("""COMPUTED_VALUE"""),45044.6260945486)</f>
        <v>45044.626094548599</v>
      </c>
      <c r="B1301" s="1" t="str">
        <f ca="1">IFERROR(__xludf.DUMMYFUNCTION("""COMPUTED_VALUE"""),"India")</f>
        <v>India</v>
      </c>
      <c r="C1301" s="1">
        <f ca="1">IFERROR(__xludf.DUMMYFUNCTION("""COMPUTED_VALUE"""),562106)</f>
        <v>562106</v>
      </c>
      <c r="D1301" s="1" t="str">
        <f ca="1">IFERROR(__xludf.DUMMYFUNCTION("""COMPUTED_VALUE"""),"Female")</f>
        <v>Female</v>
      </c>
      <c r="E1301" s="1" t="str">
        <f ca="1">IFERROR(__xludf.DUMMYFUNCTION("""COMPUTED_VALUE"""),"Social Media like LinkedIn")</f>
        <v>Social Media like LinkedIn</v>
      </c>
      <c r="F1301" s="1" t="str">
        <f ca="1">IFERROR(__xludf.DUMMYFUNCTION("""COMPUTED_VALUE"""),"Yes, I will earn and do that")</f>
        <v>Yes, I will earn and do that</v>
      </c>
      <c r="G1301" s="1" t="str">
        <f ca="1">IFERROR(__xludf.DUMMYFUNCTION("""COMPUTED_VALUE"""),"This will be hard to do, but if it is the right company I would try")</f>
        <v>This will be hard to do, but if it is the right company I would try</v>
      </c>
      <c r="H1301" s="1" t="str">
        <f ca="1">IFERROR(__xludf.DUMMYFUNCTION("""COMPUTED_VALUE"""),"No")</f>
        <v>No</v>
      </c>
      <c r="I1301" s="1" t="str">
        <f ca="1">IFERROR(__xludf.DUMMYFUNCTION("""COMPUTED_VALUE"""),"Will NOT work for them")</f>
        <v>Will NOT work for them</v>
      </c>
      <c r="J1301" s="1">
        <f ca="1">IFERROR(__xludf.DUMMYFUNCTION("""COMPUTED_VALUE"""),10)</f>
        <v>10</v>
      </c>
      <c r="K1301" s="1" t="str">
        <f ca="1">IFERROR(__xludf.DUMMYFUNCTION("""COMPUTED_VALUE"""),"Hybrid Working Environment with more than 15 days a month at office")</f>
        <v>Hybrid Working Environment with more than 15 days a month at office</v>
      </c>
      <c r="L13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0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01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301" s="1" t="str">
        <f ca="1">IFERROR(__xludf.DUMMYFUNCTION("""COMPUTED_VALUE"""),"Manager who explains what is expected, sets a goal and helps achieve it")</f>
        <v>Manager who explains what is expected, sets a goal and helps achieve it</v>
      </c>
      <c r="P1301" s="1" t="str">
        <f ca="1">IFERROR(__xludf.DUMMYFUNCTION("""COMPUTED_VALUE"""),"Work with 5 to 6 people in my team")</f>
        <v>Work with 5 to 6 people in my team</v>
      </c>
      <c r="Q1301" s="1" t="str">
        <f ca="1">IFERROR(__xludf.DUMMYFUNCTION("""COMPUTED_VALUE"""),"Yes, I Understand this is gonna happen everywhere")</f>
        <v>Yes, I Understand this is gonna happen everywhere</v>
      </c>
      <c r="R1301" s="1" t="str">
        <f ca="1">IFERROR(__xludf.DUMMYFUNCTION("""COMPUTED_VALUE"""),"This will be hard to do, but if it is the right company I would try")</f>
        <v>This will be hard to do, but if it is the right company I would try</v>
      </c>
      <c r="S1301" s="1"/>
    </row>
    <row r="1302" spans="1:19" ht="12.5" x14ac:dyDescent="0.25">
      <c r="A1302" s="2">
        <f ca="1">IFERROR(__xludf.DUMMYFUNCTION("""COMPUTED_VALUE"""),45044.6261850115)</f>
        <v>45044.626185011497</v>
      </c>
      <c r="B1302" s="1" t="str">
        <f ca="1">IFERROR(__xludf.DUMMYFUNCTION("""COMPUTED_VALUE"""),"India")</f>
        <v>India</v>
      </c>
      <c r="C1302" s="1">
        <f ca="1">IFERROR(__xludf.DUMMYFUNCTION("""COMPUTED_VALUE"""),201003)</f>
        <v>201003</v>
      </c>
      <c r="D1302" s="1" t="str">
        <f ca="1">IFERROR(__xludf.DUMMYFUNCTION("""COMPUTED_VALUE"""),"Female")</f>
        <v>Female</v>
      </c>
      <c r="E1302" s="1" t="str">
        <f ca="1">IFERROR(__xludf.DUMMYFUNCTION("""COMPUTED_VALUE"""),"My Parents")</f>
        <v>My Parents</v>
      </c>
      <c r="F1302" s="1" t="str">
        <f ca="1">IFERROR(__xludf.DUMMYFUNCTION("""COMPUTED_VALUE"""),"Yes, I will earn and do that")</f>
        <v>Yes, I will earn and do that</v>
      </c>
      <c r="G1302" s="1" t="str">
        <f ca="1">IFERROR(__xludf.DUMMYFUNCTION("""COMPUTED_VALUE"""),"Will work for 3 years or more")</f>
        <v>Will work for 3 years or more</v>
      </c>
      <c r="H1302" s="1" t="str">
        <f ca="1">IFERROR(__xludf.DUMMYFUNCTION("""COMPUTED_VALUE"""),"No")</f>
        <v>No</v>
      </c>
      <c r="I1302" s="1" t="str">
        <f ca="1">IFERROR(__xludf.DUMMYFUNCTION("""COMPUTED_VALUE"""),"Will NOT work for them")</f>
        <v>Will NOT work for them</v>
      </c>
      <c r="J1302" s="1">
        <f ca="1">IFERROR(__xludf.DUMMYFUNCTION("""COMPUTED_VALUE"""),5)</f>
        <v>5</v>
      </c>
      <c r="K1302" s="1" t="str">
        <f ca="1">IFERROR(__xludf.DUMMYFUNCTION("""COMPUTED_VALUE"""),"Every Day Office Environment")</f>
        <v>Every Day Office Environment</v>
      </c>
      <c r="L1302" s="1" t="str">
        <f ca="1">IFERROR(__xludf.DUMMYFUNCTION("""COMPUTED_VALUE"""),"Employer who appreciates learning and enables that environment")</f>
        <v>Employer who appreciates learning and enables that environment</v>
      </c>
      <c r="M130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302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3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302" s="1" t="str">
        <f ca="1">IFERROR(__xludf.DUMMYFUNCTION("""COMPUTED_VALUE"""),"Work with 5 to 6 people in my team")</f>
        <v>Work with 5 to 6 people in my team</v>
      </c>
      <c r="Q1302" s="1" t="str">
        <f ca="1">IFERROR(__xludf.DUMMYFUNCTION("""COMPUTED_VALUE"""),"Yes, I Understand this is gonna happen everywhere")</f>
        <v>Yes, I Understand this is gonna happen everywhere</v>
      </c>
      <c r="R1302" s="1" t="str">
        <f ca="1">IFERROR(__xludf.DUMMYFUNCTION("""COMPUTED_VALUE"""),"Will work for 7 years or more")</f>
        <v>Will work for 7 years or more</v>
      </c>
      <c r="S1302" s="1"/>
    </row>
    <row r="1303" spans="1:19" ht="12.5" x14ac:dyDescent="0.25">
      <c r="A1303" s="2">
        <f ca="1">IFERROR(__xludf.DUMMYFUNCTION("""COMPUTED_VALUE"""),45044.6294174074)</f>
        <v>45044.629417407399</v>
      </c>
      <c r="B1303" s="1" t="str">
        <f ca="1">IFERROR(__xludf.DUMMYFUNCTION("""COMPUTED_VALUE"""),"India")</f>
        <v>India</v>
      </c>
      <c r="C1303" s="1">
        <f ca="1">IFERROR(__xludf.DUMMYFUNCTION("""COMPUTED_VALUE"""),500072)</f>
        <v>500072</v>
      </c>
      <c r="D1303" s="1" t="str">
        <f ca="1">IFERROR(__xludf.DUMMYFUNCTION("""COMPUTED_VALUE"""),"Male")</f>
        <v>Male</v>
      </c>
      <c r="E1303" s="1" t="str">
        <f ca="1">IFERROR(__xludf.DUMMYFUNCTION("""COMPUTED_VALUE"""),"Influencers who had successful careers")</f>
        <v>Influencers who had successful careers</v>
      </c>
      <c r="F1303" s="1" t="str">
        <f ca="1">IFERROR(__xludf.DUMMYFUNCTION("""COMPUTED_VALUE"""),"Yes, I will earn and do that")</f>
        <v>Yes, I will earn and do that</v>
      </c>
      <c r="G1303" s="1" t="str">
        <f ca="1">IFERROR(__xludf.DUMMYFUNCTION("""COMPUTED_VALUE"""),"This will be hard to do, but if it is the right company I would try")</f>
        <v>This will be hard to do, but if it is the right company I would try</v>
      </c>
      <c r="H1303" s="1" t="str">
        <f ca="1">IFERROR(__xludf.DUMMYFUNCTION("""COMPUTED_VALUE"""),"No")</f>
        <v>No</v>
      </c>
      <c r="I1303" s="1" t="str">
        <f ca="1">IFERROR(__xludf.DUMMYFUNCTION("""COMPUTED_VALUE"""),"Will NOT work for them")</f>
        <v>Will NOT work for them</v>
      </c>
      <c r="J1303" s="1">
        <f ca="1">IFERROR(__xludf.DUMMYFUNCTION("""COMPUTED_VALUE"""),5)</f>
        <v>5</v>
      </c>
      <c r="K1303" s="1" t="str">
        <f ca="1">IFERROR(__xludf.DUMMYFUNCTION("""COMPUTED_VALUE"""),"Hybrid Working Environment with less than 3 days a month at office")</f>
        <v>Hybrid Working Environment with less than 3 days a month at office</v>
      </c>
      <c r="L1303" s="1" t="str">
        <f ca="1">IFERROR(__xludf.DUMMYFUNCTION("""COMPUTED_VALUE"""),"Employer who appreciates learning and enables that environment")</f>
        <v>Employer who appreciates learning and enables that environment</v>
      </c>
      <c r="M1303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303" s="1" t="str">
        <f ca="1">IFERROR(__xludf.DUMMYFUNCTION("""COMPUTED_VALUE"""),"Business Operations in any organization, Manage and drive End-to-End Projects or Products, Work as a freelancer and do my thing my way, I Want to sell things/Sales")</f>
        <v>Business Operations in any organization, Manage and drive End-to-End Projects or Products, Work as a freelancer and do my thing my way, I Want to sell things/Sales</v>
      </c>
      <c r="O1303" s="1" t="str">
        <f ca="1">IFERROR(__xludf.DUMMYFUNCTION("""COMPUTED_VALUE"""),"Manager who explains what is expected, sets a goal and helps achieve it")</f>
        <v>Manager who explains what is expected, sets a goal and helps achieve it</v>
      </c>
      <c r="P1303" s="1" t="str">
        <f ca="1">IFERROR(__xludf.DUMMYFUNCTION("""COMPUTED_VALUE"""),"Work with 5 to 6 people in my team")</f>
        <v>Work with 5 to 6 people in my team</v>
      </c>
      <c r="Q1303" s="1" t="str">
        <f ca="1">IFERROR(__xludf.DUMMYFUNCTION("""COMPUTED_VALUE"""),"Yes, I Understand this is gonna happen everywhere")</f>
        <v>Yes, I Understand this is gonna happen everywhere</v>
      </c>
      <c r="R1303" s="1" t="str">
        <f ca="1">IFERROR(__xludf.DUMMYFUNCTION("""COMPUTED_VALUE"""),"No way")</f>
        <v>No way</v>
      </c>
      <c r="S1303" s="1"/>
    </row>
    <row r="1304" spans="1:19" ht="12.5" x14ac:dyDescent="0.25">
      <c r="A1304" s="2">
        <f ca="1">IFERROR(__xludf.DUMMYFUNCTION("""COMPUTED_VALUE"""),45044.6302281134)</f>
        <v>45044.630228113398</v>
      </c>
      <c r="B1304" s="1" t="str">
        <f ca="1">IFERROR(__xludf.DUMMYFUNCTION("""COMPUTED_VALUE"""),"India")</f>
        <v>India</v>
      </c>
      <c r="C1304" s="1">
        <f ca="1">IFERROR(__xludf.DUMMYFUNCTION("""COMPUTED_VALUE"""),520007)</f>
        <v>520007</v>
      </c>
      <c r="D1304" s="1" t="str">
        <f ca="1">IFERROR(__xludf.DUMMYFUNCTION("""COMPUTED_VALUE"""),"Male")</f>
        <v>Male</v>
      </c>
      <c r="E1304" s="1" t="str">
        <f ca="1">IFERROR(__xludf.DUMMYFUNCTION("""COMPUTED_VALUE"""),"My Parents")</f>
        <v>My Parents</v>
      </c>
      <c r="F1304" s="1" t="str">
        <f ca="1">IFERROR(__xludf.DUMMYFUNCTION("""COMPUTED_VALUE"""),"Yes, I will earn and do that")</f>
        <v>Yes, I will earn and do that</v>
      </c>
      <c r="G1304" s="1" t="str">
        <f ca="1">IFERROR(__xludf.DUMMYFUNCTION("""COMPUTED_VALUE"""),"Will work for 3 years or more")</f>
        <v>Will work for 3 years or more</v>
      </c>
      <c r="H1304" s="1" t="str">
        <f ca="1">IFERROR(__xludf.DUMMYFUNCTION("""COMPUTED_VALUE"""),"No")</f>
        <v>No</v>
      </c>
      <c r="I1304" s="1" t="str">
        <f ca="1">IFERROR(__xludf.DUMMYFUNCTION("""COMPUTED_VALUE"""),"Will NOT work for them")</f>
        <v>Will NOT work for them</v>
      </c>
      <c r="J1304" s="1">
        <f ca="1">IFERROR(__xludf.DUMMYFUNCTION("""COMPUTED_VALUE"""),3)</f>
        <v>3</v>
      </c>
      <c r="K1304" s="1" t="str">
        <f ca="1">IFERROR(__xludf.DUMMYFUNCTION("""COMPUTED_VALUE"""),"Hybrid Working Environment with more than 15 days a month at office")</f>
        <v>Hybrid Working Environment with more than 15 days a month at office</v>
      </c>
      <c r="L13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0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0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304" s="1" t="str">
        <f ca="1">IFERROR(__xludf.DUMMYFUNCTION("""COMPUTED_VALUE"""),"Manager who clearly describes what she/he needs")</f>
        <v>Manager who clearly describes what she/he needs</v>
      </c>
      <c r="P1304" s="1" t="str">
        <f ca="1">IFERROR(__xludf.DUMMYFUNCTION("""COMPUTED_VALUE"""),"Work with 2 to 3 people in my team, Work with more than 10 people in my team")</f>
        <v>Work with 2 to 3 people in my team, Work with more than 10 people in my team</v>
      </c>
      <c r="Q1304" s="1" t="str">
        <f ca="1">IFERROR(__xludf.DUMMYFUNCTION("""COMPUTED_VALUE"""),"No")</f>
        <v>No</v>
      </c>
      <c r="R1304" s="1" t="str">
        <f ca="1">IFERROR(__xludf.DUMMYFUNCTION("""COMPUTED_VALUE"""),"No way")</f>
        <v>No way</v>
      </c>
      <c r="S1304" s="1"/>
    </row>
    <row r="1305" spans="1:19" ht="12.5" x14ac:dyDescent="0.25">
      <c r="A1305" s="2">
        <f ca="1">IFERROR(__xludf.DUMMYFUNCTION("""COMPUTED_VALUE"""),45044.6357211574)</f>
        <v>45044.6357211574</v>
      </c>
      <c r="B1305" s="1" t="str">
        <f ca="1">IFERROR(__xludf.DUMMYFUNCTION("""COMPUTED_VALUE"""),"India")</f>
        <v>India</v>
      </c>
      <c r="C1305" s="1">
        <f ca="1">IFERROR(__xludf.DUMMYFUNCTION("""COMPUTED_VALUE"""),600095)</f>
        <v>600095</v>
      </c>
      <c r="D1305" s="1" t="str">
        <f ca="1">IFERROR(__xludf.DUMMYFUNCTION("""COMPUTED_VALUE"""),"Male")</f>
        <v>Male</v>
      </c>
      <c r="E1305" s="1" t="str">
        <f ca="1">IFERROR(__xludf.DUMMYFUNCTION("""COMPUTED_VALUE"""),"People from my circle, but not family members")</f>
        <v>People from my circle, but not family members</v>
      </c>
      <c r="F1305" s="1" t="str">
        <f ca="1">IFERROR(__xludf.DUMMYFUNCTION("""COMPUTED_VALUE"""),"No I would not be pursuing Higher Education outside of India")</f>
        <v>No I would not be pursuing Higher Education outside of India</v>
      </c>
      <c r="G1305" s="1" t="str">
        <f ca="1">IFERROR(__xludf.DUMMYFUNCTION("""COMPUTED_VALUE"""),"This will be hard to do, but if it is the right company I would try")</f>
        <v>This will be hard to do, but if it is the right company I would try</v>
      </c>
      <c r="H1305" s="1" t="str">
        <f ca="1">IFERROR(__xludf.DUMMYFUNCTION("""COMPUTED_VALUE"""),"No")</f>
        <v>No</v>
      </c>
      <c r="I1305" s="1" t="str">
        <f ca="1">IFERROR(__xludf.DUMMYFUNCTION("""COMPUTED_VALUE"""),"Will NOT work for them")</f>
        <v>Will NOT work for them</v>
      </c>
      <c r="J1305" s="1">
        <f ca="1">IFERROR(__xludf.DUMMYFUNCTION("""COMPUTED_VALUE"""),6)</f>
        <v>6</v>
      </c>
      <c r="K1305" s="1" t="str">
        <f ca="1">IFERROR(__xludf.DUMMYFUNCTION("""COMPUTED_VALUE"""),"Hybrid Working Environment with more than 15 days a month at office")</f>
        <v>Hybrid Working Environment with more than 15 days a month at office</v>
      </c>
      <c r="L1305" s="1" t="str">
        <f ca="1">IFERROR(__xludf.DUMMYFUNCTION("""COMPUTED_VALUE"""),"Employer who appreciates learning and enables that environment")</f>
        <v>Employer who appreciates learning and enables that environment</v>
      </c>
      <c r="M130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305" s="1" t="str">
        <f ca="1">IFERROR(__xludf.DUMMYFUNCTION("""COMPUTED_VALUE"""),"Business Operations in any organization, Design and Develop amazing software, Look deeply into Data and generate insights, An Artificial Intelligence Specialist / Talking to Robots")</f>
        <v>Business Operations in any organization, Design and Develop amazing software, Look deeply into Data and generate insights, An Artificial Intelligence Specialist / Talking to Robots</v>
      </c>
      <c r="O1305" s="1" t="str">
        <f ca="1">IFERROR(__xludf.DUMMYFUNCTION("""COMPUTED_VALUE"""),"Manager who explains what is expected, sets a goal and helps achieve it")</f>
        <v>Manager who explains what is expected, sets a goal and helps achieve it</v>
      </c>
      <c r="P1305" s="1" t="str">
        <f ca="1">IFERROR(__xludf.DUMMYFUNCTION("""COMPUTED_VALUE"""),"Work with 5 to 6 people in my team")</f>
        <v>Work with 5 to 6 people in my team</v>
      </c>
      <c r="Q1305" s="1" t="str">
        <f ca="1">IFERROR(__xludf.DUMMYFUNCTION("""COMPUTED_VALUE"""),"I have NO other choice")</f>
        <v>I have NO other choice</v>
      </c>
      <c r="R1305" s="1" t="str">
        <f ca="1">IFERROR(__xludf.DUMMYFUNCTION("""COMPUTED_VALUE"""),"No way")</f>
        <v>No way</v>
      </c>
      <c r="S1305" s="1"/>
    </row>
    <row r="1306" spans="1:19" ht="12.5" x14ac:dyDescent="0.25">
      <c r="A1306" s="2">
        <f ca="1">IFERROR(__xludf.DUMMYFUNCTION("""COMPUTED_VALUE"""),45044.6384857986)</f>
        <v>45044.638485798598</v>
      </c>
      <c r="B1306" s="1" t="str">
        <f ca="1">IFERROR(__xludf.DUMMYFUNCTION("""COMPUTED_VALUE"""),"India")</f>
        <v>India</v>
      </c>
      <c r="C1306" s="1">
        <f ca="1">IFERROR(__xludf.DUMMYFUNCTION("""COMPUTED_VALUE"""),400601)</f>
        <v>400601</v>
      </c>
      <c r="D1306" s="1" t="str">
        <f ca="1">IFERROR(__xludf.DUMMYFUNCTION("""COMPUTED_VALUE"""),"Male")</f>
        <v>Male</v>
      </c>
      <c r="E1306" s="1" t="str">
        <f ca="1">IFERROR(__xludf.DUMMYFUNCTION("""COMPUTED_VALUE"""),"People who have changed the world for better")</f>
        <v>People who have changed the world for better</v>
      </c>
      <c r="F1306" s="1" t="str">
        <f ca="1">IFERROR(__xludf.DUMMYFUNCTION("""COMPUTED_VALUE"""),"Yes, I will earn and do that")</f>
        <v>Yes, I will earn and do that</v>
      </c>
      <c r="G1306" s="1" t="str">
        <f ca="1">IFERROR(__xludf.DUMMYFUNCTION("""COMPUTED_VALUE"""),"Will work for 3 years or more")</f>
        <v>Will work for 3 years or more</v>
      </c>
      <c r="H1306" s="1" t="str">
        <f ca="1">IFERROR(__xludf.DUMMYFUNCTION("""COMPUTED_VALUE"""),"No")</f>
        <v>No</v>
      </c>
      <c r="I1306" s="1" t="str">
        <f ca="1">IFERROR(__xludf.DUMMYFUNCTION("""COMPUTED_VALUE"""),"Will NOT work for them")</f>
        <v>Will NOT work for them</v>
      </c>
      <c r="J1306" s="1">
        <f ca="1">IFERROR(__xludf.DUMMYFUNCTION("""COMPUTED_VALUE"""),3)</f>
        <v>3</v>
      </c>
      <c r="K1306" s="1" t="str">
        <f ca="1">IFERROR(__xludf.DUMMYFUNCTION("""COMPUTED_VALUE"""),"Every Day Office Environment")</f>
        <v>Every Day Office Environment</v>
      </c>
      <c r="L1306" s="1" t="str">
        <f ca="1">IFERROR(__xludf.DUMMYFUNCTION("""COMPUTED_VALUE"""),"Employer who appreciates learning and enables that environment")</f>
        <v>Employer who appreciates learning and enables that environment</v>
      </c>
      <c r="M130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06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306" s="1" t="str">
        <f ca="1">IFERROR(__xludf.DUMMYFUNCTION("""COMPUTED_VALUE"""),"Manager who sets targets and expects me to achieve it")</f>
        <v>Manager who sets targets and expects me to achieve it</v>
      </c>
      <c r="P1306" s="1" t="str">
        <f ca="1">IFERROR(__xludf.DUMMYFUNCTION("""COMPUTED_VALUE"""),"Work alone, Work with 7 to 10 or more people in my team")</f>
        <v>Work alone, Work with 7 to 10 or more people in my team</v>
      </c>
      <c r="Q1306" s="1" t="str">
        <f ca="1">IFERROR(__xludf.DUMMYFUNCTION("""COMPUTED_VALUE"""),"Yes, I Understand this is gonna happen everywhere")</f>
        <v>Yes, I Understand this is gonna happen everywhere</v>
      </c>
      <c r="R1306" s="1" t="str">
        <f ca="1">IFERROR(__xludf.DUMMYFUNCTION("""COMPUTED_VALUE"""),"This will be hard to do, but if it is the right company I would try")</f>
        <v>This will be hard to do, but if it is the right company I would try</v>
      </c>
      <c r="S1306" s="1"/>
    </row>
    <row r="1307" spans="1:19" ht="12.5" x14ac:dyDescent="0.25">
      <c r="A1307" s="2">
        <f ca="1">IFERROR(__xludf.DUMMYFUNCTION("""COMPUTED_VALUE"""),45044.6425078009)</f>
        <v>45044.642507800898</v>
      </c>
      <c r="B1307" s="1" t="str">
        <f ca="1">IFERROR(__xludf.DUMMYFUNCTION("""COMPUTED_VALUE"""),"India")</f>
        <v>India</v>
      </c>
      <c r="C1307" s="1">
        <f ca="1">IFERROR(__xludf.DUMMYFUNCTION("""COMPUTED_VALUE"""),410206)</f>
        <v>410206</v>
      </c>
      <c r="D1307" s="1" t="str">
        <f ca="1">IFERROR(__xludf.DUMMYFUNCTION("""COMPUTED_VALUE"""),"Male")</f>
        <v>Male</v>
      </c>
      <c r="E1307" s="1" t="str">
        <f ca="1">IFERROR(__xludf.DUMMYFUNCTION("""COMPUTED_VALUE"""),"People from my circle, but not family members")</f>
        <v>People from my circle, but not family members</v>
      </c>
      <c r="F1307" s="1" t="str">
        <f ca="1">IFERROR(__xludf.DUMMYFUNCTION("""COMPUTED_VALUE"""),"No I would not be pursuing Higher Education outside of India")</f>
        <v>No I would not be pursuing Higher Education outside of India</v>
      </c>
      <c r="G1307" s="1" t="str">
        <f ca="1">IFERROR(__xludf.DUMMYFUNCTION("""COMPUTED_VALUE"""),"This will be hard to do, but if it is the right company I would try")</f>
        <v>This will be hard to do, but if it is the right company I would try</v>
      </c>
      <c r="H1307" s="1" t="str">
        <f ca="1">IFERROR(__xludf.DUMMYFUNCTION("""COMPUTED_VALUE"""),"No")</f>
        <v>No</v>
      </c>
      <c r="I1307" s="1" t="str">
        <f ca="1">IFERROR(__xludf.DUMMYFUNCTION("""COMPUTED_VALUE"""),"Will NOT work for them")</f>
        <v>Will NOT work for them</v>
      </c>
      <c r="J1307" s="1">
        <f ca="1">IFERROR(__xludf.DUMMYFUNCTION("""COMPUTED_VALUE"""),3)</f>
        <v>3</v>
      </c>
      <c r="K1307" s="1" t="str">
        <f ca="1">IFERROR(__xludf.DUMMYFUNCTION("""COMPUTED_VALUE"""),"Hybrid Working Environment with more than 15 days a month at office")</f>
        <v>Hybrid Working Environment with more than 15 days a month at office</v>
      </c>
      <c r="L13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0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07" s="1" t="str">
        <f ca="1">IFERROR(__xludf.DUMMYFUNCTION("""COMPUTED_VALUE"""),"Design and Creative strategy in any company, Manage and drive End-to-End Projects or Products, Build and develop a Team, Manufacturing / Oil and Gas/ Construction / Hard Physical Work related")</f>
        <v>Design and Creative strategy in any company, Manage and drive End-to-End Projects or Products, Build and develop a Team, Manufacturing / Oil and Gas/ Construction / Hard Physical Work related</v>
      </c>
      <c r="O1307" s="1" t="str">
        <f ca="1">IFERROR(__xludf.DUMMYFUNCTION("""COMPUTED_VALUE"""),"Manager who explains what is expected, sets a goal and helps achieve it")</f>
        <v>Manager who explains what is expected, sets a goal and helps achieve it</v>
      </c>
      <c r="P1307" s="1" t="str">
        <f ca="1">IFERROR(__xludf.DUMMYFUNCTION("""COMPUTED_VALUE"""),"Work with 7 to 10 or more people in my team")</f>
        <v>Work with 7 to 10 or more people in my team</v>
      </c>
      <c r="Q1307" s="1" t="str">
        <f ca="1">IFERROR(__xludf.DUMMYFUNCTION("""COMPUTED_VALUE"""),"Yes, I Understand this is gonna happen everywhere")</f>
        <v>Yes, I Understand this is gonna happen everywhere</v>
      </c>
      <c r="R1307" s="1" t="str">
        <f ca="1">IFERROR(__xludf.DUMMYFUNCTION("""COMPUTED_VALUE"""),"This will be hard to do, but if it is the right company I would try")</f>
        <v>This will be hard to do, but if it is the right company I would try</v>
      </c>
      <c r="S1307" s="1"/>
    </row>
    <row r="1308" spans="1:19" ht="12.5" x14ac:dyDescent="0.25">
      <c r="A1308" s="2">
        <f ca="1">IFERROR(__xludf.DUMMYFUNCTION("""COMPUTED_VALUE"""),45044.6582473611)</f>
        <v>45044.658247361098</v>
      </c>
      <c r="B1308" s="1" t="str">
        <f ca="1">IFERROR(__xludf.DUMMYFUNCTION("""COMPUTED_VALUE"""),"India")</f>
        <v>India</v>
      </c>
      <c r="C1308" s="1">
        <f ca="1">IFERROR(__xludf.DUMMYFUNCTION("""COMPUTED_VALUE"""),122101)</f>
        <v>122101</v>
      </c>
      <c r="D1308" s="1" t="str">
        <f ca="1">IFERROR(__xludf.DUMMYFUNCTION("""COMPUTED_VALUE"""),"Male")</f>
        <v>Male</v>
      </c>
      <c r="E1308" s="1" t="str">
        <f ca="1">IFERROR(__xludf.DUMMYFUNCTION("""COMPUTED_VALUE"""),"People who have changed the world for better")</f>
        <v>People who have changed the world for better</v>
      </c>
      <c r="F1308" s="1" t="str">
        <f ca="1">IFERROR(__xludf.DUMMYFUNCTION("""COMPUTED_VALUE"""),"No, But if someone could bare the cost I will")</f>
        <v>No, But if someone could bare the cost I will</v>
      </c>
      <c r="G1308" s="1" t="str">
        <f ca="1">IFERROR(__xludf.DUMMYFUNCTION("""COMPUTED_VALUE"""),"This will be hard to do, but if it is the right company I would try")</f>
        <v>This will be hard to do, but if it is the right company I would try</v>
      </c>
      <c r="H1308" s="1" t="str">
        <f ca="1">IFERROR(__xludf.DUMMYFUNCTION("""COMPUTED_VALUE"""),"Yes")</f>
        <v>Yes</v>
      </c>
      <c r="I1308" s="1" t="str">
        <f ca="1">IFERROR(__xludf.DUMMYFUNCTION("""COMPUTED_VALUE"""),"Will NOT work for them")</f>
        <v>Will NOT work for them</v>
      </c>
      <c r="J1308" s="1">
        <f ca="1">IFERROR(__xludf.DUMMYFUNCTION("""COMPUTED_VALUE"""),10)</f>
        <v>10</v>
      </c>
      <c r="K1308" s="1" t="str">
        <f ca="1">IFERROR(__xludf.DUMMYFUNCTION("""COMPUTED_VALUE"""),"Fully Remote with Options to travel as and when needed")</f>
        <v>Fully Remote with Options to travel as and when needed</v>
      </c>
      <c r="L13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0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308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1308" s="1" t="str">
        <f ca="1">IFERROR(__xludf.DUMMYFUNCTION("""COMPUTED_VALUE"""),"Manager who explains what is expected, sets a goal and helps achieve it")</f>
        <v>Manager who explains what is expected, sets a goal and helps achieve it</v>
      </c>
      <c r="P1308" s="1" t="str">
        <f ca="1">IFERROR(__xludf.DUMMYFUNCTION("""COMPUTED_VALUE"""),"Work with 2 to 3 people in my team")</f>
        <v>Work with 2 to 3 people in my team</v>
      </c>
      <c r="Q1308" s="1" t="str">
        <f ca="1">IFERROR(__xludf.DUMMYFUNCTION("""COMPUTED_VALUE"""),"Yes, I Understand this is gonna happen everywhere")</f>
        <v>Yes, I Understand this is gonna happen everywhere</v>
      </c>
      <c r="R1308" s="1" t="str">
        <f ca="1">IFERROR(__xludf.DUMMYFUNCTION("""COMPUTED_VALUE"""),"This will be hard to do, but if it is the right company I would try")</f>
        <v>This will be hard to do, but if it is the right company I would try</v>
      </c>
      <c r="S1308" s="1"/>
    </row>
    <row r="1309" spans="1:19" ht="12.5" x14ac:dyDescent="0.25">
      <c r="A1309" s="2">
        <f ca="1">IFERROR(__xludf.DUMMYFUNCTION("""COMPUTED_VALUE"""),45044.6650627893)</f>
        <v>45044.665062789303</v>
      </c>
      <c r="B1309" s="1" t="str">
        <f ca="1">IFERROR(__xludf.DUMMYFUNCTION("""COMPUTED_VALUE"""),"United States of America")</f>
        <v>United States of America</v>
      </c>
      <c r="C1309" s="1">
        <f ca="1">IFERROR(__xludf.DUMMYFUNCTION("""COMPUTED_VALUE"""),21228)</f>
        <v>21228</v>
      </c>
      <c r="D1309" s="1" t="str">
        <f ca="1">IFERROR(__xludf.DUMMYFUNCTION("""COMPUTED_VALUE"""),"Female")</f>
        <v>Female</v>
      </c>
      <c r="E1309" s="1" t="str">
        <f ca="1">IFERROR(__xludf.DUMMYFUNCTION("""COMPUTED_VALUE"""),"People who have changed the world for better")</f>
        <v>People who have changed the world for better</v>
      </c>
      <c r="F1309" s="1" t="str">
        <f ca="1">IFERROR(__xludf.DUMMYFUNCTION("""COMPUTED_VALUE"""),"Yes, I will earn and do that")</f>
        <v>Yes, I will earn and do that</v>
      </c>
      <c r="G1309" s="1" t="str">
        <f ca="1">IFERROR(__xludf.DUMMYFUNCTION("""COMPUTED_VALUE"""),"This will be hard to do, but if it is the right company I would try")</f>
        <v>This will be hard to do, but if it is the right company I would try</v>
      </c>
      <c r="H1309" s="1" t="str">
        <f ca="1">IFERROR(__xludf.DUMMYFUNCTION("""COMPUTED_VALUE"""),"No")</f>
        <v>No</v>
      </c>
      <c r="I1309" s="1" t="str">
        <f ca="1">IFERROR(__xludf.DUMMYFUNCTION("""COMPUTED_VALUE"""),"Will NOT work for them")</f>
        <v>Will NOT work for them</v>
      </c>
      <c r="J1309" s="1">
        <f ca="1">IFERROR(__xludf.DUMMYFUNCTION("""COMPUTED_VALUE"""),3)</f>
        <v>3</v>
      </c>
      <c r="K1309" s="1" t="str">
        <f ca="1">IFERROR(__xludf.DUMMYFUNCTION("""COMPUTED_VALUE"""),"Hybrid Working Environment with more than 15 days a month at office")</f>
        <v>Hybrid Working Environment with more than 15 days a month at office</v>
      </c>
      <c r="L1309" s="1" t="str">
        <f ca="1">IFERROR(__xludf.DUMMYFUNCTION("""COMPUTED_VALUE"""),"Employer who appreciates learning and enables that environment")</f>
        <v>Employer who appreciates learning and enables that environment</v>
      </c>
      <c r="M130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309" s="1" t="str">
        <f ca="1">IFERROR(__xludf.DUMMYFUNCTION("""COMPUTED_VALUE"""),"Teaching in any of the institutes/colleges/online or offline, Work as a freelancer and do my thing my way, Become a content Creator in some platform, I Want to sell things/Sales")</f>
        <v>Teaching in any of the institutes/colleges/online or offline, Work as a freelancer and do my thing my way, Become a content Creator in some platform, I Want to sell things/Sales</v>
      </c>
      <c r="O1309" s="1" t="str">
        <f ca="1">IFERROR(__xludf.DUMMYFUNCTION("""COMPUTED_VALUE"""),"Manager who explains what is expected, sets a goal and helps achieve it")</f>
        <v>Manager who explains what is expected, sets a goal and helps achieve it</v>
      </c>
      <c r="P1309" s="1" t="str">
        <f ca="1">IFERROR(__xludf.DUMMYFUNCTION("""COMPUTED_VALUE"""),"Work alone, Work with 2 to 3 people in my team")</f>
        <v>Work alone, Work with 2 to 3 people in my team</v>
      </c>
      <c r="Q1309" s="1" t="str">
        <f ca="1">IFERROR(__xludf.DUMMYFUNCTION("""COMPUTED_VALUE"""),"I have NO other choice")</f>
        <v>I have NO other choice</v>
      </c>
      <c r="R1309" s="1" t="str">
        <f ca="1">IFERROR(__xludf.DUMMYFUNCTION("""COMPUTED_VALUE"""),"No way")</f>
        <v>No way</v>
      </c>
      <c r="S1309" s="1"/>
    </row>
    <row r="1310" spans="1:19" ht="12.5" x14ac:dyDescent="0.25">
      <c r="A1310" s="2">
        <f ca="1">IFERROR(__xludf.DUMMYFUNCTION("""COMPUTED_VALUE"""),45044.6667686458)</f>
        <v>45044.666768645802</v>
      </c>
      <c r="B1310" s="1" t="str">
        <f ca="1">IFERROR(__xludf.DUMMYFUNCTION("""COMPUTED_VALUE"""),"India")</f>
        <v>India</v>
      </c>
      <c r="C1310" s="1">
        <f ca="1">IFERROR(__xludf.DUMMYFUNCTION("""COMPUTED_VALUE"""),600083)</f>
        <v>600083</v>
      </c>
      <c r="D1310" s="1" t="str">
        <f ca="1">IFERROR(__xludf.DUMMYFUNCTION("""COMPUTED_VALUE"""),"Male")</f>
        <v>Male</v>
      </c>
      <c r="E1310" s="1" t="str">
        <f ca="1">IFERROR(__xludf.DUMMYFUNCTION("""COMPUTED_VALUE"""),"Influencers who had successful careers")</f>
        <v>Influencers who had successful careers</v>
      </c>
      <c r="F1310" s="1" t="str">
        <f ca="1">IFERROR(__xludf.DUMMYFUNCTION("""COMPUTED_VALUE"""),"No I would not be pursuing Higher Education outside of India")</f>
        <v>No I would not be pursuing Higher Education outside of India</v>
      </c>
      <c r="G1310" s="1" t="str">
        <f ca="1">IFERROR(__xludf.DUMMYFUNCTION("""COMPUTED_VALUE"""),"This will be hard to do, but if it is the right company I would try")</f>
        <v>This will be hard to do, but if it is the right company I would try</v>
      </c>
      <c r="H1310" s="1" t="str">
        <f ca="1">IFERROR(__xludf.DUMMYFUNCTION("""COMPUTED_VALUE"""),"No")</f>
        <v>No</v>
      </c>
      <c r="I1310" s="1" t="str">
        <f ca="1">IFERROR(__xludf.DUMMYFUNCTION("""COMPUTED_VALUE"""),"Will NOT work for them")</f>
        <v>Will NOT work for them</v>
      </c>
      <c r="J1310" s="1">
        <f ca="1">IFERROR(__xludf.DUMMYFUNCTION("""COMPUTED_VALUE"""),6)</f>
        <v>6</v>
      </c>
      <c r="K1310" s="1" t="str">
        <f ca="1">IFERROR(__xludf.DUMMYFUNCTION("""COMPUTED_VALUE"""),"Hybrid Working Environment with more than 15 days a month at office")</f>
        <v>Hybrid Working Environment with more than 15 days a month at office</v>
      </c>
      <c r="L131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31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10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1310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0" s="1" t="str">
        <f ca="1">IFERROR(__xludf.DUMMYFUNCTION("""COMPUTED_VALUE"""),"Work with 7 to 10 or more people in my team")</f>
        <v>Work with 7 to 10 or more people in my team</v>
      </c>
      <c r="Q1310" s="1" t="str">
        <f ca="1">IFERROR(__xludf.DUMMYFUNCTION("""COMPUTED_VALUE"""),"Yes, I Understand this is gonna happen everywhere")</f>
        <v>Yes, I Understand this is gonna happen everywhere</v>
      </c>
      <c r="R1310" s="1" t="str">
        <f ca="1">IFERROR(__xludf.DUMMYFUNCTION("""COMPUTED_VALUE"""),"This will be hard to do, but if it is the right company I would try")</f>
        <v>This will be hard to do, but if it is the right company I would try</v>
      </c>
      <c r="S1310" s="1"/>
    </row>
    <row r="1311" spans="1:19" ht="12.5" x14ac:dyDescent="0.25">
      <c r="A1311" s="2">
        <f ca="1">IFERROR(__xludf.DUMMYFUNCTION("""COMPUTED_VALUE"""),45044.6694953472)</f>
        <v>45044.669495347203</v>
      </c>
      <c r="B1311" s="1" t="str">
        <f ca="1">IFERROR(__xludf.DUMMYFUNCTION("""COMPUTED_VALUE"""),"India")</f>
        <v>India</v>
      </c>
      <c r="C1311" s="1">
        <f ca="1">IFERROR(__xludf.DUMMYFUNCTION("""COMPUTED_VALUE"""),110045)</f>
        <v>110045</v>
      </c>
      <c r="D1311" s="1" t="str">
        <f ca="1">IFERROR(__xludf.DUMMYFUNCTION("""COMPUTED_VALUE"""),"Male")</f>
        <v>Male</v>
      </c>
      <c r="E1311" s="1" t="str">
        <f ca="1">IFERROR(__xludf.DUMMYFUNCTION("""COMPUTED_VALUE"""),"My Parents")</f>
        <v>My Parents</v>
      </c>
      <c r="F1311" s="1" t="str">
        <f ca="1">IFERROR(__xludf.DUMMYFUNCTION("""COMPUTED_VALUE"""),"Yes, I will earn and do that")</f>
        <v>Yes, I will earn and do that</v>
      </c>
      <c r="G1311" s="1" t="str">
        <f ca="1">IFERROR(__xludf.DUMMYFUNCTION("""COMPUTED_VALUE"""),"Will work for 3 years or more")</f>
        <v>Will work for 3 years or more</v>
      </c>
      <c r="H1311" s="1" t="str">
        <f ca="1">IFERROR(__xludf.DUMMYFUNCTION("""COMPUTED_VALUE"""),"No")</f>
        <v>No</v>
      </c>
      <c r="I1311" s="1" t="str">
        <f ca="1">IFERROR(__xludf.DUMMYFUNCTION("""COMPUTED_VALUE"""),"Will work for them")</f>
        <v>Will work for them</v>
      </c>
      <c r="J1311" s="1">
        <f ca="1">IFERROR(__xludf.DUMMYFUNCTION("""COMPUTED_VALUE"""),3)</f>
        <v>3</v>
      </c>
      <c r="K1311" s="1" t="str">
        <f ca="1">IFERROR(__xludf.DUMMYFUNCTION("""COMPUTED_VALUE"""),"Hybrid Working Environment with more than 15 days a month at office")</f>
        <v>Hybrid Working Environment with more than 15 days a month at office</v>
      </c>
      <c r="L1311" s="1" t="str">
        <f ca="1">IFERROR(__xludf.DUMMYFUNCTION("""COMPUTED_VALUE"""),"Employer who appreciates learning and enables that environment")</f>
        <v>Employer who appreciates learning and enables that environment</v>
      </c>
      <c r="M131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11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1311" s="1" t="str">
        <f ca="1">IFERROR(__xludf.DUMMYFUNCTION("""COMPUTED_VALUE"""),"Manager who clearly describes what she/he needs")</f>
        <v>Manager who clearly describes what she/he needs</v>
      </c>
      <c r="P1311" s="1" t="str">
        <f ca="1">IFERROR(__xludf.DUMMYFUNCTION("""COMPUTED_VALUE"""),"Work with 7 to 10 or more people in my team")</f>
        <v>Work with 7 to 10 or more people in my team</v>
      </c>
      <c r="Q1311" s="1" t="str">
        <f ca="1">IFERROR(__xludf.DUMMYFUNCTION("""COMPUTED_VALUE"""),"Yes")</f>
        <v>Yes</v>
      </c>
      <c r="R1311" s="1" t="str">
        <f ca="1">IFERROR(__xludf.DUMMYFUNCTION("""COMPUTED_VALUE"""),"This will be hard to do, but if it is the right company I would try")</f>
        <v>This will be hard to do, but if it is the right company I would try</v>
      </c>
      <c r="S1311" s="1"/>
    </row>
    <row r="1312" spans="1:19" ht="12.5" x14ac:dyDescent="0.25">
      <c r="A1312" s="2">
        <f ca="1">IFERROR(__xludf.DUMMYFUNCTION("""COMPUTED_VALUE"""),45044.6698394791)</f>
        <v>45044.669839479102</v>
      </c>
      <c r="B1312" s="1" t="str">
        <f ca="1">IFERROR(__xludf.DUMMYFUNCTION("""COMPUTED_VALUE"""),"India")</f>
        <v>India</v>
      </c>
      <c r="C1312" s="1">
        <f ca="1">IFERROR(__xludf.DUMMYFUNCTION("""COMPUTED_VALUE"""),522007)</f>
        <v>522007</v>
      </c>
      <c r="D1312" s="1" t="str">
        <f ca="1">IFERROR(__xludf.DUMMYFUNCTION("""COMPUTED_VALUE"""),"Male")</f>
        <v>Male</v>
      </c>
      <c r="E1312" s="1" t="str">
        <f ca="1">IFERROR(__xludf.DUMMYFUNCTION("""COMPUTED_VALUE"""),"My Parents")</f>
        <v>My Parents</v>
      </c>
      <c r="F1312" s="1" t="str">
        <f ca="1">IFERROR(__xludf.DUMMYFUNCTION("""COMPUTED_VALUE"""),"No, But if someone could bare the cost I will")</f>
        <v>No, But if someone could bare the cost I will</v>
      </c>
      <c r="G1312" s="1" t="str">
        <f ca="1">IFERROR(__xludf.DUMMYFUNCTION("""COMPUTED_VALUE"""),"Will work for 3 years or more")</f>
        <v>Will work for 3 years or more</v>
      </c>
      <c r="H1312" s="1" t="str">
        <f ca="1">IFERROR(__xludf.DUMMYFUNCTION("""COMPUTED_VALUE"""),"No")</f>
        <v>No</v>
      </c>
      <c r="I1312" s="1" t="str">
        <f ca="1">IFERROR(__xludf.DUMMYFUNCTION("""COMPUTED_VALUE"""),"Will NOT work for them")</f>
        <v>Will NOT work for them</v>
      </c>
      <c r="J1312" s="1">
        <f ca="1">IFERROR(__xludf.DUMMYFUNCTION("""COMPUTED_VALUE"""),5)</f>
        <v>5</v>
      </c>
      <c r="K1312" s="1" t="str">
        <f ca="1">IFERROR(__xludf.DUMMYFUNCTION("""COMPUTED_VALUE"""),"Every Day Office Environment")</f>
        <v>Every Day Office Environment</v>
      </c>
      <c r="L13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1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12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13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2" s="1" t="str">
        <f ca="1">IFERROR(__xludf.DUMMYFUNCTION("""COMPUTED_VALUE"""),"Work with more than 10 people in my team")</f>
        <v>Work with more than 10 people in my team</v>
      </c>
      <c r="Q1312" s="1" t="str">
        <f ca="1">IFERROR(__xludf.DUMMYFUNCTION("""COMPUTED_VALUE"""),"I have NO other choice")</f>
        <v>I have NO other choice</v>
      </c>
      <c r="R1312" s="1" t="str">
        <f ca="1">IFERROR(__xludf.DUMMYFUNCTION("""COMPUTED_VALUE"""),"This will be hard to do, but if it is the right company I would try")</f>
        <v>This will be hard to do, but if it is the right company I would try</v>
      </c>
      <c r="S1312" s="1"/>
    </row>
    <row r="1313" spans="1:19" ht="12.5" x14ac:dyDescent="0.25">
      <c r="A1313" s="2">
        <f ca="1">IFERROR(__xludf.DUMMYFUNCTION("""COMPUTED_VALUE"""),45044.6701403009)</f>
        <v>45044.670140300899</v>
      </c>
      <c r="B1313" s="1" t="str">
        <f ca="1">IFERROR(__xludf.DUMMYFUNCTION("""COMPUTED_VALUE"""),"India")</f>
        <v>India</v>
      </c>
      <c r="C1313" s="1">
        <f ca="1">IFERROR(__xludf.DUMMYFUNCTION("""COMPUTED_VALUE"""),636302)</f>
        <v>636302</v>
      </c>
      <c r="D1313" s="1" t="str">
        <f ca="1">IFERROR(__xludf.DUMMYFUNCTION("""COMPUTED_VALUE"""),"Male")</f>
        <v>Male</v>
      </c>
      <c r="E1313" s="1" t="str">
        <f ca="1">IFERROR(__xludf.DUMMYFUNCTION("""COMPUTED_VALUE"""),"People who have changed the world for better")</f>
        <v>People who have changed the world for better</v>
      </c>
      <c r="F1313" s="1" t="str">
        <f ca="1">IFERROR(__xludf.DUMMYFUNCTION("""COMPUTED_VALUE"""),"Yes, I will earn and do that")</f>
        <v>Yes, I will earn and do that</v>
      </c>
      <c r="G1313" s="1" t="str">
        <f ca="1">IFERROR(__xludf.DUMMYFUNCTION("""COMPUTED_VALUE"""),"This will be hard to do, but if it is the right company I would try")</f>
        <v>This will be hard to do, but if it is the right company I would try</v>
      </c>
      <c r="H1313" s="1" t="str">
        <f ca="1">IFERROR(__xludf.DUMMYFUNCTION("""COMPUTED_VALUE"""),"Yes")</f>
        <v>Yes</v>
      </c>
      <c r="I1313" s="1" t="str">
        <f ca="1">IFERROR(__xludf.DUMMYFUNCTION("""COMPUTED_VALUE"""),"Will NOT work for them")</f>
        <v>Will NOT work for them</v>
      </c>
      <c r="J1313" s="1">
        <f ca="1">IFERROR(__xludf.DUMMYFUNCTION("""COMPUTED_VALUE"""),3)</f>
        <v>3</v>
      </c>
      <c r="K1313" s="1" t="str">
        <f ca="1">IFERROR(__xludf.DUMMYFUNCTION("""COMPUTED_VALUE"""),"Hybrid Working Environment with less than 3 days a month at office")</f>
        <v>Hybrid Working Environment with less than 3 days a month at office</v>
      </c>
      <c r="L1313" s="1" t="str">
        <f ca="1">IFERROR(__xludf.DUMMYFUNCTION("""COMPUTED_VALUE"""),"Employer who appreciates learning and enables that environment")</f>
        <v>Employer who appreciates learning and enables that environment</v>
      </c>
      <c r="M1313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313" s="1" t="str">
        <f ca="1">IFERROR(__xludf.DUMMYFUNCTION("""COMPUTED_VALUE"""),"Business Operations in any organization, Build and develop a Team, Entrepreneur or Start Up, Manufacturing / Oil and Gas/ Construction / Hard Physical Work related")</f>
        <v>Business Operations in any organization, Build and develop a Team, Entrepreneur or Start Up, Manufacturing / Oil and Gas/ Construction / Hard Physical Work related</v>
      </c>
      <c r="O1313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3" s="1" t="str">
        <f ca="1">IFERROR(__xludf.DUMMYFUNCTION("""COMPUTED_VALUE"""),"Work with 5 to 6 people in my team")</f>
        <v>Work with 5 to 6 people in my team</v>
      </c>
      <c r="Q1313" s="1" t="str">
        <f ca="1">IFERROR(__xludf.DUMMYFUNCTION("""COMPUTED_VALUE"""),"Yes, I Understand this is gonna happen everywhere")</f>
        <v>Yes, I Understand this is gonna happen everywhere</v>
      </c>
      <c r="R1313" s="1" t="str">
        <f ca="1">IFERROR(__xludf.DUMMYFUNCTION("""COMPUTED_VALUE"""),"This will be hard to do, but if it is the right company I would try")</f>
        <v>This will be hard to do, but if it is the right company I would try</v>
      </c>
      <c r="S1313" s="1"/>
    </row>
    <row r="1314" spans="1:19" ht="12.5" x14ac:dyDescent="0.25">
      <c r="A1314" s="2">
        <f ca="1">IFERROR(__xludf.DUMMYFUNCTION("""COMPUTED_VALUE"""),45044.6724894444)</f>
        <v>45044.672489444398</v>
      </c>
      <c r="B1314" s="1" t="str">
        <f ca="1">IFERROR(__xludf.DUMMYFUNCTION("""COMPUTED_VALUE"""),"India")</f>
        <v>India</v>
      </c>
      <c r="C1314" s="1">
        <f ca="1">IFERROR(__xludf.DUMMYFUNCTION("""COMPUTED_VALUE"""),492008)</f>
        <v>492008</v>
      </c>
      <c r="D1314" s="1" t="str">
        <f ca="1">IFERROR(__xludf.DUMMYFUNCTION("""COMPUTED_VALUE"""),"Female")</f>
        <v>Female</v>
      </c>
      <c r="E1314" s="1" t="str">
        <f ca="1">IFERROR(__xludf.DUMMYFUNCTION("""COMPUTED_VALUE"""),"Influencers who had successful careers")</f>
        <v>Influencers who had successful careers</v>
      </c>
      <c r="F1314" s="1" t="str">
        <f ca="1">IFERROR(__xludf.DUMMYFUNCTION("""COMPUTED_VALUE"""),"Yes, I will earn and do that")</f>
        <v>Yes, I will earn and do that</v>
      </c>
      <c r="G1314" s="1" t="str">
        <f ca="1">IFERROR(__xludf.DUMMYFUNCTION("""COMPUTED_VALUE"""),"Will work for 3 years or more")</f>
        <v>Will work for 3 years or more</v>
      </c>
      <c r="H1314" s="1" t="str">
        <f ca="1">IFERROR(__xludf.DUMMYFUNCTION("""COMPUTED_VALUE"""),"No")</f>
        <v>No</v>
      </c>
      <c r="I1314" s="1" t="str">
        <f ca="1">IFERROR(__xludf.DUMMYFUNCTION("""COMPUTED_VALUE"""),"Will NOT work for them")</f>
        <v>Will NOT work for them</v>
      </c>
      <c r="J1314" s="1">
        <f ca="1">IFERROR(__xludf.DUMMYFUNCTION("""COMPUTED_VALUE"""),7)</f>
        <v>7</v>
      </c>
      <c r="K1314" s="1" t="str">
        <f ca="1">IFERROR(__xludf.DUMMYFUNCTION("""COMPUTED_VALUE"""),"Fully Remote with Options to travel as and when needed")</f>
        <v>Fully Remote with Options to travel as and when needed</v>
      </c>
      <c r="L1314" s="1" t="str">
        <f ca="1">IFERROR(__xludf.DUMMYFUNCTION("""COMPUTED_VALUE"""),"Employer who rewards learning and enables that environment")</f>
        <v>Employer who rewards learning and enables that environment</v>
      </c>
      <c r="M131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14" s="1" t="str">
        <f ca="1">IFERROR(__xludf.DUMMYFUNCTION("""COMPUTED_VALUE"""),"Teaching in any of the institutes/colleges/online or offline, Business Operations in any organization, An Artificial Intelligence Specialist / Talking to Robots, Manufacturing / Oil and Gas/ Construction / Hard Physical Work related")</f>
        <v>Teaching in any of the institutes/colleges/online or offline, Business Operations in any organization, An Artificial Intelligence Specialist / Talking to Robots, Manufacturing / Oil and Gas/ Construction / Hard Physical Work related</v>
      </c>
      <c r="O1314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4" s="1" t="str">
        <f ca="1">IFERROR(__xludf.DUMMYFUNCTION("""COMPUTED_VALUE"""),"Work with 2 to 3 people in my team")</f>
        <v>Work with 2 to 3 people in my team</v>
      </c>
      <c r="Q1314" s="1" t="str">
        <f ca="1">IFERROR(__xludf.DUMMYFUNCTION("""COMPUTED_VALUE"""),"No")</f>
        <v>No</v>
      </c>
      <c r="R1314" s="1" t="str">
        <f ca="1">IFERROR(__xludf.DUMMYFUNCTION("""COMPUTED_VALUE"""),"Will work for 7 years or more")</f>
        <v>Will work for 7 years or more</v>
      </c>
      <c r="S1314" s="1"/>
    </row>
    <row r="1315" spans="1:19" ht="12.5" x14ac:dyDescent="0.25">
      <c r="A1315" s="2">
        <f ca="1">IFERROR(__xludf.DUMMYFUNCTION("""COMPUTED_VALUE"""),45044.6731247222)</f>
        <v>45044.673124722198</v>
      </c>
      <c r="B1315" s="1" t="str">
        <f ca="1">IFERROR(__xludf.DUMMYFUNCTION("""COMPUTED_VALUE"""),"India")</f>
        <v>India</v>
      </c>
      <c r="C1315" s="1">
        <f ca="1">IFERROR(__xludf.DUMMYFUNCTION("""COMPUTED_VALUE"""),500074)</f>
        <v>500074</v>
      </c>
      <c r="D1315" s="1" t="str">
        <f ca="1">IFERROR(__xludf.DUMMYFUNCTION("""COMPUTED_VALUE"""),"Male")</f>
        <v>Male</v>
      </c>
      <c r="E1315" s="1" t="str">
        <f ca="1">IFERROR(__xludf.DUMMYFUNCTION("""COMPUTED_VALUE"""),"My Parents")</f>
        <v>My Parents</v>
      </c>
      <c r="F1315" s="1" t="str">
        <f ca="1">IFERROR(__xludf.DUMMYFUNCTION("""COMPUTED_VALUE"""),"Yes, I will earn and do that")</f>
        <v>Yes, I will earn and do that</v>
      </c>
      <c r="G1315" s="1" t="str">
        <f ca="1">IFERROR(__xludf.DUMMYFUNCTION("""COMPUTED_VALUE"""),"Will work for 3 years or more")</f>
        <v>Will work for 3 years or more</v>
      </c>
      <c r="H1315" s="1" t="str">
        <f ca="1">IFERROR(__xludf.DUMMYFUNCTION("""COMPUTED_VALUE"""),"Yes")</f>
        <v>Yes</v>
      </c>
      <c r="I1315" s="1" t="str">
        <f ca="1">IFERROR(__xludf.DUMMYFUNCTION("""COMPUTED_VALUE"""),"Will work for them")</f>
        <v>Will work for them</v>
      </c>
      <c r="J1315" s="1">
        <f ca="1">IFERROR(__xludf.DUMMYFUNCTION("""COMPUTED_VALUE"""),10)</f>
        <v>10</v>
      </c>
      <c r="K1315" s="1" t="str">
        <f ca="1">IFERROR(__xludf.DUMMYFUNCTION("""COMPUTED_VALUE"""),"Every Day Office Environment")</f>
        <v>Every Day Office Environment</v>
      </c>
      <c r="L1315" s="1" t="str">
        <f ca="1">IFERROR(__xludf.DUMMYFUNCTION("""COMPUTED_VALUE"""),"Employer who appreciates learning and enables that environment")</f>
        <v>Employer who appreciates learning and enables that environment</v>
      </c>
      <c r="M131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315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315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5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1315" s="1" t="str">
        <f ca="1">IFERROR(__xludf.DUMMYFUNCTION("""COMPUTED_VALUE"""),"Yes, I Understand this is gonna happen everywhere")</f>
        <v>Yes, I Understand this is gonna happen everywhere</v>
      </c>
      <c r="R1315" s="1" t="str">
        <f ca="1">IFERROR(__xludf.DUMMYFUNCTION("""COMPUTED_VALUE"""),"Will work for 7 years or more")</f>
        <v>Will work for 7 years or more</v>
      </c>
      <c r="S1315" s="1"/>
    </row>
    <row r="1316" spans="1:19" ht="12.5" x14ac:dyDescent="0.25">
      <c r="A1316" s="2">
        <f ca="1">IFERROR(__xludf.DUMMYFUNCTION("""COMPUTED_VALUE"""),45044.6737376851)</f>
        <v>45044.673737685102</v>
      </c>
      <c r="B1316" s="1" t="str">
        <f ca="1">IFERROR(__xludf.DUMMYFUNCTION("""COMPUTED_VALUE"""),"India")</f>
        <v>India</v>
      </c>
      <c r="C1316" s="1">
        <f ca="1">IFERROR(__xludf.DUMMYFUNCTION("""COMPUTED_VALUE"""),482003)</f>
        <v>482003</v>
      </c>
      <c r="D1316" s="1" t="str">
        <f ca="1">IFERROR(__xludf.DUMMYFUNCTION("""COMPUTED_VALUE"""),"Female")</f>
        <v>Female</v>
      </c>
      <c r="E1316" s="1" t="str">
        <f ca="1">IFERROR(__xludf.DUMMYFUNCTION("""COMPUTED_VALUE"""),"Influencers who had successful careers")</f>
        <v>Influencers who had successful careers</v>
      </c>
      <c r="F1316" s="1" t="str">
        <f ca="1">IFERROR(__xludf.DUMMYFUNCTION("""COMPUTED_VALUE"""),"No I would not be pursuing Higher Education outside of India")</f>
        <v>No I would not be pursuing Higher Education outside of India</v>
      </c>
      <c r="G1316" s="1" t="str">
        <f ca="1">IFERROR(__xludf.DUMMYFUNCTION("""COMPUTED_VALUE"""),"Will work for 3 years or more")</f>
        <v>Will work for 3 years or more</v>
      </c>
      <c r="H1316" s="1" t="str">
        <f ca="1">IFERROR(__xludf.DUMMYFUNCTION("""COMPUTED_VALUE"""),"No")</f>
        <v>No</v>
      </c>
      <c r="I1316" s="1" t="str">
        <f ca="1">IFERROR(__xludf.DUMMYFUNCTION("""COMPUTED_VALUE"""),"Will NOT work for them")</f>
        <v>Will NOT work for them</v>
      </c>
      <c r="J1316" s="1">
        <f ca="1">IFERROR(__xludf.DUMMYFUNCTION("""COMPUTED_VALUE"""),6)</f>
        <v>6</v>
      </c>
      <c r="K1316" s="1" t="str">
        <f ca="1">IFERROR(__xludf.DUMMYFUNCTION("""COMPUTED_VALUE"""),"Every Day Office Environment")</f>
        <v>Every Day Office Environment</v>
      </c>
      <c r="L1316" s="1" t="str">
        <f ca="1">IFERROR(__xludf.DUMMYFUNCTION("""COMPUTED_VALUE"""),"Employer who appreciates learning and enables that environment")</f>
        <v>Employer who appreciates learning and enables that environment</v>
      </c>
      <c r="M131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16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316" s="1" t="str">
        <f ca="1">IFERROR(__xludf.DUMMYFUNCTION("""COMPUTED_VALUE"""),"Manager who sets goal and helps me achieve it")</f>
        <v>Manager who sets goal and helps me achieve it</v>
      </c>
      <c r="P1316" s="1" t="str">
        <f ca="1">IFERROR(__xludf.DUMMYFUNCTION("""COMPUTED_VALUE"""),"Work with 5 to 6 people in my team")</f>
        <v>Work with 5 to 6 people in my team</v>
      </c>
      <c r="Q1316" s="1" t="str">
        <f ca="1">IFERROR(__xludf.DUMMYFUNCTION("""COMPUTED_VALUE"""),"Yes")</f>
        <v>Yes</v>
      </c>
      <c r="R1316" s="1" t="str">
        <f ca="1">IFERROR(__xludf.DUMMYFUNCTION("""COMPUTED_VALUE"""),"This will be hard to do, but if it is the right company I would try")</f>
        <v>This will be hard to do, but if it is the right company I would try</v>
      </c>
      <c r="S1316" s="1"/>
    </row>
    <row r="1317" spans="1:19" ht="12.5" x14ac:dyDescent="0.25">
      <c r="A1317" s="2">
        <f ca="1">IFERROR(__xludf.DUMMYFUNCTION("""COMPUTED_VALUE"""),45044.6748163078)</f>
        <v>45044.674816307801</v>
      </c>
      <c r="B1317" s="1" t="str">
        <f ca="1">IFERROR(__xludf.DUMMYFUNCTION("""COMPUTED_VALUE"""),"India")</f>
        <v>India</v>
      </c>
      <c r="C1317" s="1">
        <f ca="1">IFERROR(__xludf.DUMMYFUNCTION("""COMPUTED_VALUE"""),760002)</f>
        <v>760002</v>
      </c>
      <c r="D1317" s="1" t="str">
        <f ca="1">IFERROR(__xludf.DUMMYFUNCTION("""COMPUTED_VALUE"""),"Male")</f>
        <v>Male</v>
      </c>
      <c r="E1317" s="1" t="str">
        <f ca="1">IFERROR(__xludf.DUMMYFUNCTION("""COMPUTED_VALUE"""),"My Parents")</f>
        <v>My Parents</v>
      </c>
      <c r="F1317" s="1" t="str">
        <f ca="1">IFERROR(__xludf.DUMMYFUNCTION("""COMPUTED_VALUE"""),"No I would not be pursuing Higher Education outside of India")</f>
        <v>No I would not be pursuing Higher Education outside of India</v>
      </c>
      <c r="G1317" s="1" t="str">
        <f ca="1">IFERROR(__xludf.DUMMYFUNCTION("""COMPUTED_VALUE"""),"Will work for 3 years or more")</f>
        <v>Will work for 3 years or more</v>
      </c>
      <c r="H1317" s="1" t="str">
        <f ca="1">IFERROR(__xludf.DUMMYFUNCTION("""COMPUTED_VALUE"""),"No")</f>
        <v>No</v>
      </c>
      <c r="I1317" s="1" t="str">
        <f ca="1">IFERROR(__xludf.DUMMYFUNCTION("""COMPUTED_VALUE"""),"Will NOT work for them")</f>
        <v>Will NOT work for them</v>
      </c>
      <c r="J1317" s="1">
        <f ca="1">IFERROR(__xludf.DUMMYFUNCTION("""COMPUTED_VALUE"""),3)</f>
        <v>3</v>
      </c>
      <c r="K1317" s="1" t="str">
        <f ca="1">IFERROR(__xludf.DUMMYFUNCTION("""COMPUTED_VALUE"""),"Every Day Office Environment")</f>
        <v>Every Day Office Environment</v>
      </c>
      <c r="L13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1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17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3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317" s="1" t="str">
        <f ca="1">IFERROR(__xludf.DUMMYFUNCTION("""COMPUTED_VALUE"""),"Yes, I Understand this is gonna happen everywhere")</f>
        <v>Yes, I Understand this is gonna happen everywhere</v>
      </c>
      <c r="R1317" s="1" t="str">
        <f ca="1">IFERROR(__xludf.DUMMYFUNCTION("""COMPUTED_VALUE"""),"This will be hard to do, but if it is the right company I would try")</f>
        <v>This will be hard to do, but if it is the right company I would try</v>
      </c>
      <c r="S1317" s="1"/>
    </row>
    <row r="1318" spans="1:19" ht="12.5" x14ac:dyDescent="0.25">
      <c r="A1318" s="2">
        <f ca="1">IFERROR(__xludf.DUMMYFUNCTION("""COMPUTED_VALUE"""),45044.6749024884)</f>
        <v>45044.674902488397</v>
      </c>
      <c r="B1318" s="1" t="str">
        <f ca="1">IFERROR(__xludf.DUMMYFUNCTION("""COMPUTED_VALUE"""),"India")</f>
        <v>India</v>
      </c>
      <c r="C1318" s="1">
        <f ca="1">IFERROR(__xludf.DUMMYFUNCTION("""COMPUTED_VALUE"""),600033)</f>
        <v>600033</v>
      </c>
      <c r="D1318" s="1" t="str">
        <f ca="1">IFERROR(__xludf.DUMMYFUNCTION("""COMPUTED_VALUE"""),"Female")</f>
        <v>Female</v>
      </c>
      <c r="E1318" s="1" t="str">
        <f ca="1">IFERROR(__xludf.DUMMYFUNCTION("""COMPUTED_VALUE"""),"Social Media like LinkedIn")</f>
        <v>Social Media like LinkedIn</v>
      </c>
      <c r="F1318" s="1" t="str">
        <f ca="1">IFERROR(__xludf.DUMMYFUNCTION("""COMPUTED_VALUE"""),"Yes, I will earn and do that")</f>
        <v>Yes, I will earn and do that</v>
      </c>
      <c r="G1318" s="1" t="str">
        <f ca="1">IFERROR(__xludf.DUMMYFUNCTION("""COMPUTED_VALUE"""),"Will work for 3 years or more")</f>
        <v>Will work for 3 years or more</v>
      </c>
      <c r="H1318" s="1" t="str">
        <f ca="1">IFERROR(__xludf.DUMMYFUNCTION("""COMPUTED_VALUE"""),"No")</f>
        <v>No</v>
      </c>
      <c r="I1318" s="1" t="str">
        <f ca="1">IFERROR(__xludf.DUMMYFUNCTION("""COMPUTED_VALUE"""),"Will NOT work for them")</f>
        <v>Will NOT work for them</v>
      </c>
      <c r="J1318" s="1">
        <f ca="1">IFERROR(__xludf.DUMMYFUNCTION("""COMPUTED_VALUE"""),5)</f>
        <v>5</v>
      </c>
      <c r="K1318" s="1" t="str">
        <f ca="1">IFERROR(__xludf.DUMMYFUNCTION("""COMPUTED_VALUE"""),"Every Day Office Environment")</f>
        <v>Every Day Office Environment</v>
      </c>
      <c r="L13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1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31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3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8" s="1" t="str">
        <f ca="1">IFERROR(__xludf.DUMMYFUNCTION("""COMPUTED_VALUE"""),"Work with 2 to 3 people in my team")</f>
        <v>Work with 2 to 3 people in my team</v>
      </c>
      <c r="Q1318" s="1" t="str">
        <f ca="1">IFERROR(__xludf.DUMMYFUNCTION("""COMPUTED_VALUE"""),"No")</f>
        <v>No</v>
      </c>
      <c r="R1318" s="1" t="str">
        <f ca="1">IFERROR(__xludf.DUMMYFUNCTION("""COMPUTED_VALUE"""),"This will be hard to do, but if it is the right company I would try")</f>
        <v>This will be hard to do, but if it is the right company I would try</v>
      </c>
      <c r="S1318" s="1"/>
    </row>
    <row r="1319" spans="1:19" ht="12.5" x14ac:dyDescent="0.25">
      <c r="A1319" s="2">
        <f ca="1">IFERROR(__xludf.DUMMYFUNCTION("""COMPUTED_VALUE"""),45044.6759563078)</f>
        <v>45044.675956307801</v>
      </c>
      <c r="B1319" s="1" t="str">
        <f ca="1">IFERROR(__xludf.DUMMYFUNCTION("""COMPUTED_VALUE"""),"India")</f>
        <v>India</v>
      </c>
      <c r="C1319" s="1">
        <f ca="1">IFERROR(__xludf.DUMMYFUNCTION("""COMPUTED_VALUE"""),411041)</f>
        <v>411041</v>
      </c>
      <c r="D1319" s="1" t="str">
        <f ca="1">IFERROR(__xludf.DUMMYFUNCTION("""COMPUTED_VALUE"""),"Female")</f>
        <v>Female</v>
      </c>
      <c r="E1319" s="1" t="str">
        <f ca="1">IFERROR(__xludf.DUMMYFUNCTION("""COMPUTED_VALUE"""),"People from my circle, but not family members")</f>
        <v>People from my circle, but not family members</v>
      </c>
      <c r="F1319" s="1" t="str">
        <f ca="1">IFERROR(__xludf.DUMMYFUNCTION("""COMPUTED_VALUE"""),"No I would not be pursuing Higher Education outside of India")</f>
        <v>No I would not be pursuing Higher Education outside of India</v>
      </c>
      <c r="G1319" s="1" t="str">
        <f ca="1">IFERROR(__xludf.DUMMYFUNCTION("""COMPUTED_VALUE"""),"Will work for 3 years or more")</f>
        <v>Will work for 3 years or more</v>
      </c>
      <c r="H1319" s="1" t="str">
        <f ca="1">IFERROR(__xludf.DUMMYFUNCTION("""COMPUTED_VALUE"""),"No")</f>
        <v>No</v>
      </c>
      <c r="I1319" s="1" t="str">
        <f ca="1">IFERROR(__xludf.DUMMYFUNCTION("""COMPUTED_VALUE"""),"Will NOT work for them")</f>
        <v>Will NOT work for them</v>
      </c>
      <c r="J1319" s="1">
        <f ca="1">IFERROR(__xludf.DUMMYFUNCTION("""COMPUTED_VALUE"""),4)</f>
        <v>4</v>
      </c>
      <c r="K1319" s="1" t="str">
        <f ca="1">IFERROR(__xludf.DUMMYFUNCTION("""COMPUTED_VALUE"""),"Hybrid Working Environment with more than 15 days a month at office")</f>
        <v>Hybrid Working Environment with more than 15 days a month at office</v>
      </c>
      <c r="L13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1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19" s="1" t="str">
        <f ca="1">IFERROR(__xludf.DUMMYFUNCTION("""COMPUTED_VALUE"""),"Design and Creative strategy in any company, Build and develop a Team, Look deeply into Data and generate insights, Work as a freelancer and do my thing my way")</f>
        <v>Design and Creative strategy in any company, Build and develop a Team, Look deeply into Data and generate insights, Work as a freelancer and do my thing my way</v>
      </c>
      <c r="O1319" s="1" t="str">
        <f ca="1">IFERROR(__xludf.DUMMYFUNCTION("""COMPUTED_VALUE"""),"Manager who explains what is expected, sets a goal and helps achieve it")</f>
        <v>Manager who explains what is expected, sets a goal and helps achieve it</v>
      </c>
      <c r="P1319" s="1" t="str">
        <f ca="1">IFERROR(__xludf.DUMMYFUNCTION("""COMPUTED_VALUE"""),"Work with 2 to 3 people in my team")</f>
        <v>Work with 2 to 3 people in my team</v>
      </c>
      <c r="Q1319" s="1" t="str">
        <f ca="1">IFERROR(__xludf.DUMMYFUNCTION("""COMPUTED_VALUE"""),"Yes, I Understand this is gonna happen everywhere")</f>
        <v>Yes, I Understand this is gonna happen everywhere</v>
      </c>
      <c r="R1319" s="1" t="str">
        <f ca="1">IFERROR(__xludf.DUMMYFUNCTION("""COMPUTED_VALUE"""),"This will be hard to do, but if it is the right company I would try")</f>
        <v>This will be hard to do, but if it is the right company I would try</v>
      </c>
      <c r="S1319" s="1"/>
    </row>
    <row r="1320" spans="1:19" ht="12.5" x14ac:dyDescent="0.25">
      <c r="A1320" s="2">
        <f ca="1">IFERROR(__xludf.DUMMYFUNCTION("""COMPUTED_VALUE"""),45044.6763970601)</f>
        <v>45044.676397060102</v>
      </c>
      <c r="B1320" s="1" t="str">
        <f ca="1">IFERROR(__xludf.DUMMYFUNCTION("""COMPUTED_VALUE"""),"India")</f>
        <v>India</v>
      </c>
      <c r="C1320" s="1">
        <f ca="1">IFERROR(__xludf.DUMMYFUNCTION("""COMPUTED_VALUE"""),560100)</f>
        <v>560100</v>
      </c>
      <c r="D1320" s="1" t="str">
        <f ca="1">IFERROR(__xludf.DUMMYFUNCTION("""COMPUTED_VALUE"""),"Female")</f>
        <v>Female</v>
      </c>
      <c r="E1320" s="1" t="str">
        <f ca="1">IFERROR(__xludf.DUMMYFUNCTION("""COMPUTED_VALUE"""),"My Parents")</f>
        <v>My Parents</v>
      </c>
      <c r="F1320" s="1" t="str">
        <f ca="1">IFERROR(__xludf.DUMMYFUNCTION("""COMPUTED_VALUE"""),"No I would not be pursuing Higher Education outside of India")</f>
        <v>No I would not be pursuing Higher Education outside of India</v>
      </c>
      <c r="G1320" s="1" t="str">
        <f ca="1">IFERROR(__xludf.DUMMYFUNCTION("""COMPUTED_VALUE"""),"This will be hard to do, but if it is the right company I would try")</f>
        <v>This will be hard to do, but if it is the right company I would try</v>
      </c>
      <c r="H1320" s="1" t="str">
        <f ca="1">IFERROR(__xludf.DUMMYFUNCTION("""COMPUTED_VALUE"""),"No")</f>
        <v>No</v>
      </c>
      <c r="I1320" s="1" t="str">
        <f ca="1">IFERROR(__xludf.DUMMYFUNCTION("""COMPUTED_VALUE"""),"Will NOT work for them")</f>
        <v>Will NOT work for them</v>
      </c>
      <c r="J1320" s="1">
        <f ca="1">IFERROR(__xludf.DUMMYFUNCTION("""COMPUTED_VALUE"""),1)</f>
        <v>1</v>
      </c>
      <c r="K1320" s="1" t="str">
        <f ca="1">IFERROR(__xludf.DUMMYFUNCTION("""COMPUTED_VALUE"""),"Hybrid Working Environment with more than 15 days a month at office")</f>
        <v>Hybrid Working Environment with more than 15 days a month at office</v>
      </c>
      <c r="L13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2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320" s="1" t="str">
        <f ca="1">IFERROR(__xludf.DUMMYFUNCTION("""COMPUTED_VALUE"""),"Business Operations in any organization, Build and develop a Team, Work in a BPO setup for some well known client, Entrepreneur or Start Up")</f>
        <v>Business Operations in any organization, Build and develop a Team, Work in a BPO setup for some well known client, Entrepreneur or Start Up</v>
      </c>
      <c r="O1320" s="1" t="str">
        <f ca="1">IFERROR(__xludf.DUMMYFUNCTION("""COMPUTED_VALUE"""),"Manager who clearly describes what she/he needs")</f>
        <v>Manager who clearly describes what she/he needs</v>
      </c>
      <c r="P1320" s="1" t="str">
        <f ca="1">IFERROR(__xludf.DUMMYFUNCTION("""COMPUTED_VALUE"""),"Work with 5 to 6 people in my team")</f>
        <v>Work with 5 to 6 people in my team</v>
      </c>
      <c r="Q1320" s="1" t="str">
        <f ca="1">IFERROR(__xludf.DUMMYFUNCTION("""COMPUTED_VALUE"""),"Yes, I Understand this is gonna happen everywhere")</f>
        <v>Yes, I Understand this is gonna happen everywhere</v>
      </c>
      <c r="R1320" s="1" t="str">
        <f ca="1">IFERROR(__xludf.DUMMYFUNCTION("""COMPUTED_VALUE"""),"No way")</f>
        <v>No way</v>
      </c>
      <c r="S1320" s="1"/>
    </row>
    <row r="1321" spans="1:19" ht="12.5" x14ac:dyDescent="0.25">
      <c r="A1321" s="2">
        <f ca="1">IFERROR(__xludf.DUMMYFUNCTION("""COMPUTED_VALUE"""),45044.6849245717)</f>
        <v>45044.684924571702</v>
      </c>
      <c r="B1321" s="1" t="str">
        <f ca="1">IFERROR(__xludf.DUMMYFUNCTION("""COMPUTED_VALUE"""),"India")</f>
        <v>India</v>
      </c>
      <c r="C1321" s="1">
        <f ca="1">IFERROR(__xludf.DUMMYFUNCTION("""COMPUTED_VALUE"""),505208)</f>
        <v>505208</v>
      </c>
      <c r="D1321" s="1" t="str">
        <f ca="1">IFERROR(__xludf.DUMMYFUNCTION("""COMPUTED_VALUE"""),"Female")</f>
        <v>Female</v>
      </c>
      <c r="E1321" s="1" t="str">
        <f ca="1">IFERROR(__xludf.DUMMYFUNCTION("""COMPUTED_VALUE"""),"People from my circle, but not family members")</f>
        <v>People from my circle, but not family members</v>
      </c>
      <c r="F1321" s="1" t="str">
        <f ca="1">IFERROR(__xludf.DUMMYFUNCTION("""COMPUTED_VALUE"""),"Yes, I will earn and do that")</f>
        <v>Yes, I will earn and do that</v>
      </c>
      <c r="G1321" s="1" t="str">
        <f ca="1">IFERROR(__xludf.DUMMYFUNCTION("""COMPUTED_VALUE"""),"This will be hard to do, but if it is the right company I would try")</f>
        <v>This will be hard to do, but if it is the right company I would try</v>
      </c>
      <c r="H1321" s="1" t="str">
        <f ca="1">IFERROR(__xludf.DUMMYFUNCTION("""COMPUTED_VALUE"""),"No")</f>
        <v>No</v>
      </c>
      <c r="I1321" s="1" t="str">
        <f ca="1">IFERROR(__xludf.DUMMYFUNCTION("""COMPUTED_VALUE"""),"Will NOT work for them")</f>
        <v>Will NOT work for them</v>
      </c>
      <c r="J1321" s="1">
        <f ca="1">IFERROR(__xludf.DUMMYFUNCTION("""COMPUTED_VALUE"""),4)</f>
        <v>4</v>
      </c>
      <c r="K1321" s="1" t="str">
        <f ca="1">IFERROR(__xludf.DUMMYFUNCTION("""COMPUTED_VALUE"""),"Fully Remote with Options to travel as and when needed")</f>
        <v>Fully Remote with Options to travel as and when needed</v>
      </c>
      <c r="L13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2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21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1321" s="1" t="str">
        <f ca="1">IFERROR(__xludf.DUMMYFUNCTION("""COMPUTED_VALUE"""),"Manager who clearly describes what she/he needs")</f>
        <v>Manager who clearly describes what she/he needs</v>
      </c>
      <c r="P1321" s="1" t="str">
        <f ca="1">IFERROR(__xludf.DUMMYFUNCTION("""COMPUTED_VALUE"""),"Work with 5 to 6 people in my team")</f>
        <v>Work with 5 to 6 people in my team</v>
      </c>
      <c r="Q1321" s="1" t="str">
        <f ca="1">IFERROR(__xludf.DUMMYFUNCTION("""COMPUTED_VALUE"""),"I have NO other choice")</f>
        <v>I have NO other choice</v>
      </c>
      <c r="R1321" s="1" t="str">
        <f ca="1">IFERROR(__xludf.DUMMYFUNCTION("""COMPUTED_VALUE"""),"No way")</f>
        <v>No way</v>
      </c>
      <c r="S1321" s="1"/>
    </row>
    <row r="1322" spans="1:19" ht="12.5" x14ac:dyDescent="0.25">
      <c r="A1322" s="2">
        <f ca="1">IFERROR(__xludf.DUMMYFUNCTION("""COMPUTED_VALUE"""),45044.6873048379)</f>
        <v>45044.687304837898</v>
      </c>
      <c r="B1322" s="1" t="str">
        <f ca="1">IFERROR(__xludf.DUMMYFUNCTION("""COMPUTED_VALUE"""),"India")</f>
        <v>India</v>
      </c>
      <c r="C1322" s="1">
        <f ca="1">IFERROR(__xludf.DUMMYFUNCTION("""COMPUTED_VALUE"""),637107)</f>
        <v>637107</v>
      </c>
      <c r="D1322" s="1" t="str">
        <f ca="1">IFERROR(__xludf.DUMMYFUNCTION("""COMPUTED_VALUE"""),"Female")</f>
        <v>Female</v>
      </c>
      <c r="E1322" s="1" t="str">
        <f ca="1">IFERROR(__xludf.DUMMYFUNCTION("""COMPUTED_VALUE"""),"People who have changed the world for better")</f>
        <v>People who have changed the world for better</v>
      </c>
      <c r="F1322" s="1" t="str">
        <f ca="1">IFERROR(__xludf.DUMMYFUNCTION("""COMPUTED_VALUE"""),"Yes, I will earn and do that")</f>
        <v>Yes, I will earn and do that</v>
      </c>
      <c r="G1322" s="1" t="str">
        <f ca="1">IFERROR(__xludf.DUMMYFUNCTION("""COMPUTED_VALUE"""),"This will be hard to do, but if it is the right company I would try")</f>
        <v>This will be hard to do, but if it is the right company I would try</v>
      </c>
      <c r="H1322" s="1" t="str">
        <f ca="1">IFERROR(__xludf.DUMMYFUNCTION("""COMPUTED_VALUE"""),"No")</f>
        <v>No</v>
      </c>
      <c r="I1322" s="1" t="str">
        <f ca="1">IFERROR(__xludf.DUMMYFUNCTION("""COMPUTED_VALUE"""),"Will NOT work for them")</f>
        <v>Will NOT work for them</v>
      </c>
      <c r="J1322" s="1">
        <f ca="1">IFERROR(__xludf.DUMMYFUNCTION("""COMPUTED_VALUE"""),5)</f>
        <v>5</v>
      </c>
      <c r="K1322" s="1" t="str">
        <f ca="1">IFERROR(__xludf.DUMMYFUNCTION("""COMPUTED_VALUE"""),"Every Day Office Environment")</f>
        <v>Every Day Office Environment</v>
      </c>
      <c r="L1322" s="1" t="str">
        <f ca="1">IFERROR(__xludf.DUMMYFUNCTION("""COMPUTED_VALUE"""),"Employer who rewards learning and enables that environment")</f>
        <v>Employer who rewards learning and enables that environment</v>
      </c>
      <c r="M132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22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322" s="1" t="str">
        <f ca="1">IFERROR(__xludf.DUMMYFUNCTION("""COMPUTED_VALUE"""),"Manager who sets goal and helps me achieve it")</f>
        <v>Manager who sets goal and helps me achieve it</v>
      </c>
      <c r="P1322" s="1" t="str">
        <f ca="1">IFERROR(__xludf.DUMMYFUNCTION("""COMPUTED_VALUE"""),"Work with 2 to 3 people in my team")</f>
        <v>Work with 2 to 3 people in my team</v>
      </c>
      <c r="Q1322" s="1" t="str">
        <f ca="1">IFERROR(__xludf.DUMMYFUNCTION("""COMPUTED_VALUE"""),"Yes, I Understand this is gonna happen everywhere")</f>
        <v>Yes, I Understand this is gonna happen everywhere</v>
      </c>
      <c r="R1322" s="1" t="str">
        <f ca="1">IFERROR(__xludf.DUMMYFUNCTION("""COMPUTED_VALUE"""),"This will be hard to do, but if it is the right company I would try")</f>
        <v>This will be hard to do, but if it is the right company I would try</v>
      </c>
      <c r="S1322" s="1"/>
    </row>
    <row r="1323" spans="1:19" ht="12.5" x14ac:dyDescent="0.25">
      <c r="A1323" s="2">
        <f ca="1">IFERROR(__xludf.DUMMYFUNCTION("""COMPUTED_VALUE"""),45044.6894450463)</f>
        <v>45044.689445046301</v>
      </c>
      <c r="B1323" s="1" t="str">
        <f ca="1">IFERROR(__xludf.DUMMYFUNCTION("""COMPUTED_VALUE"""),"India")</f>
        <v>India</v>
      </c>
      <c r="C1323" s="1">
        <f ca="1">IFERROR(__xludf.DUMMYFUNCTION("""COMPUTED_VALUE"""),678706)</f>
        <v>678706</v>
      </c>
      <c r="D1323" s="1" t="str">
        <f ca="1">IFERROR(__xludf.DUMMYFUNCTION("""COMPUTED_VALUE"""),"Male")</f>
        <v>Male</v>
      </c>
      <c r="E1323" s="1" t="str">
        <f ca="1">IFERROR(__xludf.DUMMYFUNCTION("""COMPUTED_VALUE"""),"People from my circle, but not family members")</f>
        <v>People from my circle, but not family members</v>
      </c>
      <c r="F1323" s="1" t="str">
        <f ca="1">IFERROR(__xludf.DUMMYFUNCTION("""COMPUTED_VALUE"""),"No, But if someone could bare the cost I will")</f>
        <v>No, But if someone could bare the cost I will</v>
      </c>
      <c r="G1323" s="1" t="str">
        <f ca="1">IFERROR(__xludf.DUMMYFUNCTION("""COMPUTED_VALUE"""),"This will be hard to do, but if it is the right company I would try")</f>
        <v>This will be hard to do, but if it is the right company I would try</v>
      </c>
      <c r="H1323" s="1" t="str">
        <f ca="1">IFERROR(__xludf.DUMMYFUNCTION("""COMPUTED_VALUE"""),"No")</f>
        <v>No</v>
      </c>
      <c r="I1323" s="1" t="str">
        <f ca="1">IFERROR(__xludf.DUMMYFUNCTION("""COMPUTED_VALUE"""),"Will NOT work for them")</f>
        <v>Will NOT work for them</v>
      </c>
      <c r="J1323" s="1">
        <f ca="1">IFERROR(__xludf.DUMMYFUNCTION("""COMPUTED_VALUE"""),10)</f>
        <v>10</v>
      </c>
      <c r="K1323" s="1" t="str">
        <f ca="1">IFERROR(__xludf.DUMMYFUNCTION("""COMPUTED_VALUE"""),"Hybrid Working Environment with more than 15 days a month at office")</f>
        <v>Hybrid Working Environment with more than 15 days a month at office</v>
      </c>
      <c r="L13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2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323" s="1" t="str">
        <f ca="1">IFERROR(__xludf.DUMMYFUNCTION("""COMPUTED_VALUE"""),"Teaching in any of the institutes/colleges/online or offline, Look deeply into Data and generate insights, Work in a BPO setup for some well known client, An Artificial Intelligence Specialist / Talking to Robots")</f>
        <v>Teaching in any of the institutes/colleges/online or offline, Look deeply into Data and generate insights, Work in a BPO setup for some well known client, An Artificial Intelligence Specialist / Talking to Robots</v>
      </c>
      <c r="O1323" s="1" t="str">
        <f ca="1">IFERROR(__xludf.DUMMYFUNCTION("""COMPUTED_VALUE"""),"Manager who sets goal and helps me achieve it")</f>
        <v>Manager who sets goal and helps me achieve it</v>
      </c>
      <c r="P1323" s="1" t="str">
        <f ca="1">IFERROR(__xludf.DUMMYFUNCTION("""COMPUTED_VALUE"""),"Work with 2 to 3 people in my team, Work with 5 to 6 people in my team")</f>
        <v>Work with 2 to 3 people in my team, Work with 5 to 6 people in my team</v>
      </c>
      <c r="Q1323" s="1" t="str">
        <f ca="1">IFERROR(__xludf.DUMMYFUNCTION("""COMPUTED_VALUE"""),"No")</f>
        <v>No</v>
      </c>
      <c r="R1323" s="1" t="str">
        <f ca="1">IFERROR(__xludf.DUMMYFUNCTION("""COMPUTED_VALUE"""),"This will be hard to do, but if it is the right company I would try")</f>
        <v>This will be hard to do, but if it is the right company I would try</v>
      </c>
      <c r="S1323" s="1"/>
    </row>
    <row r="1324" spans="1:19" ht="12.5" x14ac:dyDescent="0.25">
      <c r="A1324" s="2">
        <f ca="1">IFERROR(__xludf.DUMMYFUNCTION("""COMPUTED_VALUE"""),45044.6924717592)</f>
        <v>45044.692471759197</v>
      </c>
      <c r="B1324" s="1" t="str">
        <f ca="1">IFERROR(__xludf.DUMMYFUNCTION("""COMPUTED_VALUE"""),"India")</f>
        <v>India</v>
      </c>
      <c r="C1324" s="1">
        <f ca="1">IFERROR(__xludf.DUMMYFUNCTION("""COMPUTED_VALUE"""),506366)</f>
        <v>506366</v>
      </c>
      <c r="D1324" s="1" t="str">
        <f ca="1">IFERROR(__xludf.DUMMYFUNCTION("""COMPUTED_VALUE"""),"Male")</f>
        <v>Male</v>
      </c>
      <c r="E1324" s="1" t="str">
        <f ca="1">IFERROR(__xludf.DUMMYFUNCTION("""COMPUTED_VALUE"""),"My Parents")</f>
        <v>My Parents</v>
      </c>
      <c r="F1324" s="1" t="str">
        <f ca="1">IFERROR(__xludf.DUMMYFUNCTION("""COMPUTED_VALUE"""),"No I would not be pursuing Higher Education outside of India")</f>
        <v>No I would not be pursuing Higher Education outside of India</v>
      </c>
      <c r="G1324" s="1" t="str">
        <f ca="1">IFERROR(__xludf.DUMMYFUNCTION("""COMPUTED_VALUE"""),"Will work for 3 years or more")</f>
        <v>Will work for 3 years or more</v>
      </c>
      <c r="H1324" s="1" t="str">
        <f ca="1">IFERROR(__xludf.DUMMYFUNCTION("""COMPUTED_VALUE"""),"No")</f>
        <v>No</v>
      </c>
      <c r="I1324" s="1" t="str">
        <f ca="1">IFERROR(__xludf.DUMMYFUNCTION("""COMPUTED_VALUE"""),"Will work for them")</f>
        <v>Will work for them</v>
      </c>
      <c r="J1324" s="1">
        <f ca="1">IFERROR(__xludf.DUMMYFUNCTION("""COMPUTED_VALUE"""),5)</f>
        <v>5</v>
      </c>
      <c r="K1324" s="1" t="str">
        <f ca="1">IFERROR(__xludf.DUMMYFUNCTION("""COMPUTED_VALUE"""),"Fully Remote with Options to travel as and when needed")</f>
        <v>Fully Remote with Options to travel as and when needed</v>
      </c>
      <c r="L1324" s="1" t="str">
        <f ca="1">IFERROR(__xludf.DUMMYFUNCTION("""COMPUTED_VALUE"""),"Employer who appreciates learning and enables that environment")</f>
        <v>Employer who appreciates learning and enables that environment</v>
      </c>
      <c r="M132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24" s="1" t="str">
        <f ca="1">IFERROR(__xludf.DUMMYFUNCTION("""COMPUTED_VALUE"""),"Build and develop a Team, Design and Develop amazing software, Look deeply into Data and generate insights, Entrepreneur or Start Up")</f>
        <v>Build and develop a Team, Design and Develop amazing software, Look deeply into Data and generate insights, Entrepreneur or Start Up</v>
      </c>
      <c r="O1324" s="1" t="str">
        <f ca="1">IFERROR(__xludf.DUMMYFUNCTION("""COMPUTED_VALUE"""),"Manager who explains what is expected, sets a goal and helps achieve it")</f>
        <v>Manager who explains what is expected, sets a goal and helps achieve it</v>
      </c>
      <c r="P1324" s="1" t="str">
        <f ca="1">IFERROR(__xludf.DUMMYFUNCTION("""COMPUTED_VALUE"""),"Work with 7 to 10 or more people in my team")</f>
        <v>Work with 7 to 10 or more people in my team</v>
      </c>
      <c r="Q1324" s="1" t="str">
        <f ca="1">IFERROR(__xludf.DUMMYFUNCTION("""COMPUTED_VALUE"""),"Yes, I Understand this is gonna happen everywhere")</f>
        <v>Yes, I Understand this is gonna happen everywhere</v>
      </c>
      <c r="R1324" s="1" t="str">
        <f ca="1">IFERROR(__xludf.DUMMYFUNCTION("""COMPUTED_VALUE"""),"This will be hard to do, but if it is the right company I would try")</f>
        <v>This will be hard to do, but if it is the right company I would try</v>
      </c>
      <c r="S1324" s="1"/>
    </row>
    <row r="1325" spans="1:19" ht="12.5" x14ac:dyDescent="0.25">
      <c r="A1325" s="2">
        <f ca="1">IFERROR(__xludf.DUMMYFUNCTION("""COMPUTED_VALUE"""),45044.6924887847)</f>
        <v>45044.692488784698</v>
      </c>
      <c r="B1325" s="1" t="str">
        <f ca="1">IFERROR(__xludf.DUMMYFUNCTION("""COMPUTED_VALUE"""),"India")</f>
        <v>India</v>
      </c>
      <c r="C1325" s="1">
        <f ca="1">IFERROR(__xludf.DUMMYFUNCTION("""COMPUTED_VALUE"""),600056)</f>
        <v>600056</v>
      </c>
      <c r="D1325" s="1" t="str">
        <f ca="1">IFERROR(__xludf.DUMMYFUNCTION("""COMPUTED_VALUE"""),"Male")</f>
        <v>Male</v>
      </c>
      <c r="E1325" s="1" t="str">
        <f ca="1">IFERROR(__xludf.DUMMYFUNCTION("""COMPUTED_VALUE"""),"Influencers who had successful careers")</f>
        <v>Influencers who had successful careers</v>
      </c>
      <c r="F1325" s="1" t="str">
        <f ca="1">IFERROR(__xludf.DUMMYFUNCTION("""COMPUTED_VALUE"""),"No I would not be pursuing Higher Education outside of India")</f>
        <v>No I would not be pursuing Higher Education outside of India</v>
      </c>
      <c r="G1325" s="1" t="str">
        <f ca="1">IFERROR(__xludf.DUMMYFUNCTION("""COMPUTED_VALUE"""),"Will work for 3 years or more")</f>
        <v>Will work for 3 years or more</v>
      </c>
      <c r="H1325" s="1" t="str">
        <f ca="1">IFERROR(__xludf.DUMMYFUNCTION("""COMPUTED_VALUE"""),"No")</f>
        <v>No</v>
      </c>
      <c r="I1325" s="1" t="str">
        <f ca="1">IFERROR(__xludf.DUMMYFUNCTION("""COMPUTED_VALUE"""),"Will NOT work for them")</f>
        <v>Will NOT work for them</v>
      </c>
      <c r="J1325" s="1">
        <f ca="1">IFERROR(__xludf.DUMMYFUNCTION("""COMPUTED_VALUE"""),3)</f>
        <v>3</v>
      </c>
      <c r="K1325" s="1" t="str">
        <f ca="1">IFERROR(__xludf.DUMMYFUNCTION("""COMPUTED_VALUE"""),"Hybrid Working Environment with less than 3 days a month at office")</f>
        <v>Hybrid Working Environment with less than 3 days a month at office</v>
      </c>
      <c r="L1325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32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25" s="1" t="str">
        <f ca="1">IFERROR(__xludf.DUMMYFUNCTION("""COMPUTED_VALUE"""),"Design and Creative strategy in any company, Teaching in any of the institutes/colleges/online or offline, Business Operations in any organization, Work as a freelancer and do my thing my way")</f>
        <v>Design and Creative strategy in any company, Teaching in any of the institutes/colleges/online or offline, Business Operations in any organization, Work as a freelancer and do my thing my way</v>
      </c>
      <c r="O1325" s="1" t="str">
        <f ca="1">IFERROR(__xludf.DUMMYFUNCTION("""COMPUTED_VALUE"""),"Manager who explains what is expected, sets a goal and helps achieve it")</f>
        <v>Manager who explains what is expected, sets a goal and helps achieve it</v>
      </c>
      <c r="P1325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325" s="1" t="str">
        <f ca="1">IFERROR(__xludf.DUMMYFUNCTION("""COMPUTED_VALUE"""),"Yes, I Understand this is gonna happen everywhere")</f>
        <v>Yes, I Understand this is gonna happen everywhere</v>
      </c>
      <c r="R1325" s="1" t="str">
        <f ca="1">IFERROR(__xludf.DUMMYFUNCTION("""COMPUTED_VALUE"""),"This will be hard to do, but if it is the right company I would try")</f>
        <v>This will be hard to do, but if it is the right company I would try</v>
      </c>
      <c r="S1325" s="1"/>
    </row>
    <row r="1326" spans="1:19" ht="12.5" x14ac:dyDescent="0.25">
      <c r="A1326" s="2">
        <f ca="1">IFERROR(__xludf.DUMMYFUNCTION("""COMPUTED_VALUE"""),45044.6937636574)</f>
        <v>45044.6937636574</v>
      </c>
      <c r="B1326" s="1" t="str">
        <f ca="1">IFERROR(__xludf.DUMMYFUNCTION("""COMPUTED_VALUE"""),"India")</f>
        <v>India</v>
      </c>
      <c r="C1326" s="1">
        <f ca="1">IFERROR(__xludf.DUMMYFUNCTION("""COMPUTED_VALUE"""),627117)</f>
        <v>627117</v>
      </c>
      <c r="D1326" s="1" t="str">
        <f ca="1">IFERROR(__xludf.DUMMYFUNCTION("""COMPUTED_VALUE"""),"Female")</f>
        <v>Female</v>
      </c>
      <c r="E1326" s="1" t="str">
        <f ca="1">IFERROR(__xludf.DUMMYFUNCTION("""COMPUTED_VALUE"""),"My Parents")</f>
        <v>My Parents</v>
      </c>
      <c r="F1326" s="1" t="str">
        <f ca="1">IFERROR(__xludf.DUMMYFUNCTION("""COMPUTED_VALUE"""),"No, But if someone could bare the cost I will")</f>
        <v>No, But if someone could bare the cost I will</v>
      </c>
      <c r="G1326" s="1" t="str">
        <f ca="1">IFERROR(__xludf.DUMMYFUNCTION("""COMPUTED_VALUE"""),"Will work for 3 years or more")</f>
        <v>Will work for 3 years or more</v>
      </c>
      <c r="H1326" s="1" t="str">
        <f ca="1">IFERROR(__xludf.DUMMYFUNCTION("""COMPUTED_VALUE"""),"No")</f>
        <v>No</v>
      </c>
      <c r="I1326" s="1" t="str">
        <f ca="1">IFERROR(__xludf.DUMMYFUNCTION("""COMPUTED_VALUE"""),"Will NOT work for them")</f>
        <v>Will NOT work for them</v>
      </c>
      <c r="J1326" s="1">
        <f ca="1">IFERROR(__xludf.DUMMYFUNCTION("""COMPUTED_VALUE"""),5)</f>
        <v>5</v>
      </c>
      <c r="K1326" s="1" t="str">
        <f ca="1">IFERROR(__xludf.DUMMYFUNCTION("""COMPUTED_VALUE"""),"Fully Remote with No option to visit offices")</f>
        <v>Fully Remote with No option to visit offices</v>
      </c>
      <c r="L1326" s="1" t="str">
        <f ca="1">IFERROR(__xludf.DUMMYFUNCTION("""COMPUTED_VALUE"""),"Employer who appreciates learning and enables that environment")</f>
        <v>Employer who appreciates learning and enables that environment</v>
      </c>
      <c r="M132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26" s="1" t="str">
        <f ca="1">IFERROR(__xludf.DUMMYFUNCTION("""COMPUTED_VALUE"""),"Teaching in any of the institutes/colleges/online or offline, Business Operations in any organization, Work as a freelancer and do my thing my way, Become a content Creator in some platform")</f>
        <v>Teaching in any of the institutes/colleges/online or offline, Business Operations in any organization, Work as a freelancer and do my thing my way, Become a content Creator in some platform</v>
      </c>
      <c r="O13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326" s="1" t="str">
        <f ca="1">IFERROR(__xludf.DUMMYFUNCTION("""COMPUTED_VALUE"""),"Work with 5 to 6 people in my team")</f>
        <v>Work with 5 to 6 people in my team</v>
      </c>
      <c r="Q1326" s="1" t="str">
        <f ca="1">IFERROR(__xludf.DUMMYFUNCTION("""COMPUTED_VALUE"""),"No")</f>
        <v>No</v>
      </c>
      <c r="R1326" s="1" t="str">
        <f ca="1">IFERROR(__xludf.DUMMYFUNCTION("""COMPUTED_VALUE"""),"This will be hard to do, but if it is the right company I would try")</f>
        <v>This will be hard to do, but if it is the right company I would try</v>
      </c>
      <c r="S1326" s="1"/>
    </row>
    <row r="1327" spans="1:19" ht="12.5" x14ac:dyDescent="0.25">
      <c r="A1327" s="2">
        <f ca="1">IFERROR(__xludf.DUMMYFUNCTION("""COMPUTED_VALUE"""),45044.6943559027)</f>
        <v>45044.694355902699</v>
      </c>
      <c r="B1327" s="1" t="str">
        <f ca="1">IFERROR(__xludf.DUMMYFUNCTION("""COMPUTED_VALUE"""),"India")</f>
        <v>India</v>
      </c>
      <c r="C1327" s="1">
        <f ca="1">IFERROR(__xludf.DUMMYFUNCTION("""COMPUTED_VALUE"""),226017)</f>
        <v>226017</v>
      </c>
      <c r="D1327" s="1" t="str">
        <f ca="1">IFERROR(__xludf.DUMMYFUNCTION("""COMPUTED_VALUE"""),"Female")</f>
        <v>Female</v>
      </c>
      <c r="E1327" s="1" t="str">
        <f ca="1">IFERROR(__xludf.DUMMYFUNCTION("""COMPUTED_VALUE"""),"Influencers who had successful careers")</f>
        <v>Influencers who had successful careers</v>
      </c>
      <c r="F1327" s="1" t="str">
        <f ca="1">IFERROR(__xludf.DUMMYFUNCTION("""COMPUTED_VALUE"""),"Yes, I will earn and do that")</f>
        <v>Yes, I will earn and do that</v>
      </c>
      <c r="G1327" s="1" t="str">
        <f ca="1">IFERROR(__xludf.DUMMYFUNCTION("""COMPUTED_VALUE"""),"This will be hard to do, but if it is the right company I would try")</f>
        <v>This will be hard to do, but if it is the right company I would try</v>
      </c>
      <c r="H1327" s="1" t="str">
        <f ca="1">IFERROR(__xludf.DUMMYFUNCTION("""COMPUTED_VALUE"""),"No")</f>
        <v>No</v>
      </c>
      <c r="I1327" s="1" t="str">
        <f ca="1">IFERROR(__xludf.DUMMYFUNCTION("""COMPUTED_VALUE"""),"Will NOT work for them")</f>
        <v>Will NOT work for them</v>
      </c>
      <c r="J1327" s="1">
        <f ca="1">IFERROR(__xludf.DUMMYFUNCTION("""COMPUTED_VALUE"""),1)</f>
        <v>1</v>
      </c>
      <c r="K1327" s="1" t="str">
        <f ca="1">IFERROR(__xludf.DUMMYFUNCTION("""COMPUTED_VALUE"""),"Fully Remote with Options to travel as and when needed")</f>
        <v>Fully Remote with Options to travel as and when needed</v>
      </c>
      <c r="L1327" s="1" t="str">
        <f ca="1">IFERROR(__xludf.DUMMYFUNCTION("""COMPUTED_VALUE"""),"Employer who appreciates learning and enables that environment")</f>
        <v>Employer who appreciates learning and enables that environment</v>
      </c>
      <c r="M132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327" s="1" t="str">
        <f ca="1">IFERROR(__xludf.DUMMYFUNCTION("""COMPUTED_VALUE"""),"Teaching in any of the institutes/colleges/online or offline, Look deeply into Data and generate insights, Entrepreneur or Start Up, An Artificial Intelligence Specialist / Talking to Robots")</f>
        <v>Teaching in any of the institutes/colleges/online or offline, Look deeply into Data and generate insights, Entrepreneur or Start Up, An Artificial Intelligence Specialist / Talking to Robots</v>
      </c>
      <c r="O1327" s="1" t="str">
        <f ca="1">IFERROR(__xludf.DUMMYFUNCTION("""COMPUTED_VALUE"""),"Manager who explains what is expected, sets a goal and helps achieve it")</f>
        <v>Manager who explains what is expected, sets a goal and helps achieve it</v>
      </c>
      <c r="P1327" s="1" t="str">
        <f ca="1">IFERROR(__xludf.DUMMYFUNCTION("""COMPUTED_VALUE"""),"Work with 5 to 6 people in my team")</f>
        <v>Work with 5 to 6 people in my team</v>
      </c>
      <c r="Q1327" s="1" t="str">
        <f ca="1">IFERROR(__xludf.DUMMYFUNCTION("""COMPUTED_VALUE"""),"Yes, I Understand this is gonna happen everywhere")</f>
        <v>Yes, I Understand this is gonna happen everywhere</v>
      </c>
      <c r="R1327" s="1" t="str">
        <f ca="1">IFERROR(__xludf.DUMMYFUNCTION("""COMPUTED_VALUE"""),"This will be hard to do, but if it is the right company I would try")</f>
        <v>This will be hard to do, but if it is the right company I would try</v>
      </c>
      <c r="S1327" s="1"/>
    </row>
    <row r="1328" spans="1:19" ht="12.5" x14ac:dyDescent="0.25">
      <c r="A1328" s="2">
        <f ca="1">IFERROR(__xludf.DUMMYFUNCTION("""COMPUTED_VALUE"""),45044.6953382754)</f>
        <v>45044.6953382754</v>
      </c>
      <c r="B1328" s="1" t="str">
        <f ca="1">IFERROR(__xludf.DUMMYFUNCTION("""COMPUTED_VALUE"""),"India")</f>
        <v>India</v>
      </c>
      <c r="C1328" s="1">
        <f ca="1">IFERROR(__xludf.DUMMYFUNCTION("""COMPUTED_VALUE"""),201013)</f>
        <v>201013</v>
      </c>
      <c r="D1328" s="1" t="str">
        <f ca="1">IFERROR(__xludf.DUMMYFUNCTION("""COMPUTED_VALUE"""),"Female")</f>
        <v>Female</v>
      </c>
      <c r="E1328" s="1" t="str">
        <f ca="1">IFERROR(__xludf.DUMMYFUNCTION("""COMPUTED_VALUE"""),"My Parents")</f>
        <v>My Parents</v>
      </c>
      <c r="F1328" s="1" t="str">
        <f ca="1">IFERROR(__xludf.DUMMYFUNCTION("""COMPUTED_VALUE"""),"No, But if someone could bare the cost I will")</f>
        <v>No, But if someone could bare the cost I will</v>
      </c>
      <c r="G1328" s="1" t="str">
        <f ca="1">IFERROR(__xludf.DUMMYFUNCTION("""COMPUTED_VALUE"""),"Will work for 3 years or more")</f>
        <v>Will work for 3 years or more</v>
      </c>
      <c r="H1328" s="1" t="str">
        <f ca="1">IFERROR(__xludf.DUMMYFUNCTION("""COMPUTED_VALUE"""),"Yes")</f>
        <v>Yes</v>
      </c>
      <c r="I1328" s="1" t="str">
        <f ca="1">IFERROR(__xludf.DUMMYFUNCTION("""COMPUTED_VALUE"""),"Will work for them")</f>
        <v>Will work for them</v>
      </c>
      <c r="J1328" s="1">
        <f ca="1">IFERROR(__xludf.DUMMYFUNCTION("""COMPUTED_VALUE"""),8)</f>
        <v>8</v>
      </c>
      <c r="K1328" s="1" t="str">
        <f ca="1">IFERROR(__xludf.DUMMYFUNCTION("""COMPUTED_VALUE"""),"Hybrid Working Environment with less than 3 days a month at office")</f>
        <v>Hybrid Working Environment with less than 3 days a month at office</v>
      </c>
      <c r="L13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2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328" s="1" t="str">
        <f ca="1">IFERROR(__xludf.DUMMYFUNCTION("""COMPUTED_VALUE"""),"Design and Creative strategy in any company, Business Operations in any organization, Build and develop a Team, Work in a BPO setup for some well known client")</f>
        <v>Design and Creative strategy in any company, Business Operations in any organization, Build and develop a Team, Work in a BPO setup for some well known client</v>
      </c>
      <c r="O1328" s="1" t="str">
        <f ca="1">IFERROR(__xludf.DUMMYFUNCTION("""COMPUTED_VALUE"""),"Manager who explains what is expected, sets a goal and helps achieve it")</f>
        <v>Manager who explains what is expected, sets a goal and helps achieve it</v>
      </c>
      <c r="P1328" s="1" t="str">
        <f ca="1">IFERROR(__xludf.DUMMYFUNCTION("""COMPUTED_VALUE"""),"Work with 5 to 6 people in my team")</f>
        <v>Work with 5 to 6 people in my team</v>
      </c>
      <c r="Q1328" s="1" t="str">
        <f ca="1">IFERROR(__xludf.DUMMYFUNCTION("""COMPUTED_VALUE"""),"Yes, I Understand this is gonna happen everywhere")</f>
        <v>Yes, I Understand this is gonna happen everywhere</v>
      </c>
      <c r="R1328" s="1" t="str">
        <f ca="1">IFERROR(__xludf.DUMMYFUNCTION("""COMPUTED_VALUE"""),"Will work for 7 years or more")</f>
        <v>Will work for 7 years or more</v>
      </c>
      <c r="S1328" s="1"/>
    </row>
    <row r="1329" spans="1:19" ht="12.5" x14ac:dyDescent="0.25">
      <c r="A1329" s="2">
        <f ca="1">IFERROR(__xludf.DUMMYFUNCTION("""COMPUTED_VALUE"""),45044.6964483564)</f>
        <v>45044.696448356401</v>
      </c>
      <c r="B1329" s="1" t="str">
        <f ca="1">IFERROR(__xludf.DUMMYFUNCTION("""COMPUTED_VALUE"""),"India")</f>
        <v>India</v>
      </c>
      <c r="C1329" s="1">
        <f ca="1">IFERROR(__xludf.DUMMYFUNCTION("""COMPUTED_VALUE"""),505001)</f>
        <v>505001</v>
      </c>
      <c r="D1329" s="1" t="str">
        <f ca="1">IFERROR(__xludf.DUMMYFUNCTION("""COMPUTED_VALUE"""),"Male")</f>
        <v>Male</v>
      </c>
      <c r="E1329" s="1" t="str">
        <f ca="1">IFERROR(__xludf.DUMMYFUNCTION("""COMPUTED_VALUE"""),"Influencers who had successful careers")</f>
        <v>Influencers who had successful careers</v>
      </c>
      <c r="F1329" s="1" t="str">
        <f ca="1">IFERROR(__xludf.DUMMYFUNCTION("""COMPUTED_VALUE"""),"Yes, I will earn and do that")</f>
        <v>Yes, I will earn and do that</v>
      </c>
      <c r="G1329" s="1" t="str">
        <f ca="1">IFERROR(__xludf.DUMMYFUNCTION("""COMPUTED_VALUE"""),"This will be hard to do, but if it is the right company I would try")</f>
        <v>This will be hard to do, but if it is the right company I would try</v>
      </c>
      <c r="H1329" s="1" t="str">
        <f ca="1">IFERROR(__xludf.DUMMYFUNCTION("""COMPUTED_VALUE"""),"Yes")</f>
        <v>Yes</v>
      </c>
      <c r="I1329" s="1" t="str">
        <f ca="1">IFERROR(__xludf.DUMMYFUNCTION("""COMPUTED_VALUE"""),"Will work for them")</f>
        <v>Will work for them</v>
      </c>
      <c r="J1329" s="1">
        <f ca="1">IFERROR(__xludf.DUMMYFUNCTION("""COMPUTED_VALUE"""),9)</f>
        <v>9</v>
      </c>
      <c r="K1329" s="1" t="str">
        <f ca="1">IFERROR(__xludf.DUMMYFUNCTION("""COMPUTED_VALUE"""),"Hybrid Working Environment with more than 15 days a month at office")</f>
        <v>Hybrid Working Environment with more than 15 days a month at office</v>
      </c>
      <c r="L13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29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329" s="1" t="str">
        <f ca="1">IFERROR(__xludf.DUMMYFUNCTION("""COMPUTED_VALUE"""),"Design and Creative strategy in any company, Manage and drive End-to-End Projects or Products, Design and Develop amazing software, Work as a freelancer and do my thing my way")</f>
        <v>Design and Creative strategy in any company, Manage and drive End-to-End Projects or Products, Design and Develop amazing software, Work as a freelancer and do my thing my way</v>
      </c>
      <c r="O1329" s="1" t="str">
        <f ca="1">IFERROR(__xludf.DUMMYFUNCTION("""COMPUTED_VALUE"""),"Manager who explains what is expected, sets a goal and helps achieve it")</f>
        <v>Manager who explains what is expected, sets a goal and helps achieve it</v>
      </c>
      <c r="P1329" s="1" t="str">
        <f ca="1">IFERROR(__xludf.DUMMYFUNCTION("""COMPUTED_VALUE"""),"Work with 7 to 10 or more people in my team")</f>
        <v>Work with 7 to 10 or more people in my team</v>
      </c>
      <c r="Q1329" s="1" t="str">
        <f ca="1">IFERROR(__xludf.DUMMYFUNCTION("""COMPUTED_VALUE"""),"Yes, I Understand this is gonna happen everywhere")</f>
        <v>Yes, I Understand this is gonna happen everywhere</v>
      </c>
      <c r="R1329" s="1" t="str">
        <f ca="1">IFERROR(__xludf.DUMMYFUNCTION("""COMPUTED_VALUE"""),"No way")</f>
        <v>No way</v>
      </c>
      <c r="S1329" s="1"/>
    </row>
    <row r="1330" spans="1:19" ht="12.5" x14ac:dyDescent="0.25">
      <c r="A1330" s="2">
        <f ca="1">IFERROR(__xludf.DUMMYFUNCTION("""COMPUTED_VALUE"""),45044.696481875)</f>
        <v>45044.696481874998</v>
      </c>
      <c r="B1330" s="1" t="str">
        <f ca="1">IFERROR(__xludf.DUMMYFUNCTION("""COMPUTED_VALUE"""),"India")</f>
        <v>India</v>
      </c>
      <c r="C1330" s="1">
        <f ca="1">IFERROR(__xludf.DUMMYFUNCTION("""COMPUTED_VALUE"""),638401)</f>
        <v>638401</v>
      </c>
      <c r="D1330" s="1" t="str">
        <f ca="1">IFERROR(__xludf.DUMMYFUNCTION("""COMPUTED_VALUE"""),"Female")</f>
        <v>Female</v>
      </c>
      <c r="E1330" s="1" t="str">
        <f ca="1">IFERROR(__xludf.DUMMYFUNCTION("""COMPUTED_VALUE"""),"People from my circle, but not family members")</f>
        <v>People from my circle, but not family members</v>
      </c>
      <c r="F1330" s="1" t="str">
        <f ca="1">IFERROR(__xludf.DUMMYFUNCTION("""COMPUTED_VALUE"""),"Yes, I will earn and do that")</f>
        <v>Yes, I will earn and do that</v>
      </c>
      <c r="G1330" s="1" t="str">
        <f ca="1">IFERROR(__xludf.DUMMYFUNCTION("""COMPUTED_VALUE"""),"Will work for 3 years or more")</f>
        <v>Will work for 3 years or more</v>
      </c>
      <c r="H1330" s="1" t="str">
        <f ca="1">IFERROR(__xludf.DUMMYFUNCTION("""COMPUTED_VALUE"""),"No")</f>
        <v>No</v>
      </c>
      <c r="I1330" s="1" t="str">
        <f ca="1">IFERROR(__xludf.DUMMYFUNCTION("""COMPUTED_VALUE"""),"Will NOT work for them")</f>
        <v>Will NOT work for them</v>
      </c>
      <c r="J1330" s="1">
        <f ca="1">IFERROR(__xludf.DUMMYFUNCTION("""COMPUTED_VALUE"""),4)</f>
        <v>4</v>
      </c>
      <c r="K1330" s="1" t="str">
        <f ca="1">IFERROR(__xludf.DUMMYFUNCTION("""COMPUTED_VALUE"""),"Hybrid Working Environment with less than 3 days a month at office")</f>
        <v>Hybrid Working Environment with less than 3 days a month at office</v>
      </c>
      <c r="L1330" s="1" t="str">
        <f ca="1">IFERROR(__xludf.DUMMYFUNCTION("""COMPUTED_VALUE"""),"Employer who rewards learning and enables that environment")</f>
        <v>Employer who rewards learning and enables that environment</v>
      </c>
      <c r="M133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30" s="1" t="str">
        <f ca="1">IFERROR(__xludf.DUMMYFUNCTION("""COMPUTED_VALUE"""),"Business Operations in any organization, Manage and drive End-to-End Projects or Products, Work as a freelancer and do my thing my way, An Artificial Intelligence Specialist / Talking to Robots")</f>
        <v>Business Operations in any organization, Manage and drive End-to-End Projects or Products, Work as a freelancer and do my thing my way, An Artificial Intelligence Specialist / Talking to Robots</v>
      </c>
      <c r="O1330" s="1" t="str">
        <f ca="1">IFERROR(__xludf.DUMMYFUNCTION("""COMPUTED_VALUE"""),"Manager who sets targets and expects me to achieve it")</f>
        <v>Manager who sets targets and expects me to achieve it</v>
      </c>
      <c r="P1330" s="1" t="str">
        <f ca="1">IFERROR(__xludf.DUMMYFUNCTION("""COMPUTED_VALUE"""),"Work with more than 10 people in my team")</f>
        <v>Work with more than 10 people in my team</v>
      </c>
      <c r="Q1330" s="1" t="str">
        <f ca="1">IFERROR(__xludf.DUMMYFUNCTION("""COMPUTED_VALUE"""),"No")</f>
        <v>No</v>
      </c>
      <c r="R1330" s="1" t="str">
        <f ca="1">IFERROR(__xludf.DUMMYFUNCTION("""COMPUTED_VALUE"""),"This will be hard to do, but if it is the right company I would try")</f>
        <v>This will be hard to do, but if it is the right company I would try</v>
      </c>
      <c r="S1330" s="1"/>
    </row>
    <row r="1331" spans="1:19" ht="12.5" x14ac:dyDescent="0.25">
      <c r="A1331" s="2">
        <f ca="1">IFERROR(__xludf.DUMMYFUNCTION("""COMPUTED_VALUE"""),45044.6985170833)</f>
        <v>45044.6985170833</v>
      </c>
      <c r="B1331" s="1" t="str">
        <f ca="1">IFERROR(__xludf.DUMMYFUNCTION("""COMPUTED_VALUE"""),"India")</f>
        <v>India</v>
      </c>
      <c r="C1331" s="1">
        <f ca="1">IFERROR(__xludf.DUMMYFUNCTION("""COMPUTED_VALUE"""),505209)</f>
        <v>505209</v>
      </c>
      <c r="D1331" s="1" t="str">
        <f ca="1">IFERROR(__xludf.DUMMYFUNCTION("""COMPUTED_VALUE"""),"Female")</f>
        <v>Female</v>
      </c>
      <c r="E1331" s="1" t="str">
        <f ca="1">IFERROR(__xludf.DUMMYFUNCTION("""COMPUTED_VALUE"""),"Social Media like LinkedIn")</f>
        <v>Social Media like LinkedIn</v>
      </c>
      <c r="F1331" s="1" t="str">
        <f ca="1">IFERROR(__xludf.DUMMYFUNCTION("""COMPUTED_VALUE"""),"Yes, I will earn and do that")</f>
        <v>Yes, I will earn and do that</v>
      </c>
      <c r="G1331" s="1" t="str">
        <f ca="1">IFERROR(__xludf.DUMMYFUNCTION("""COMPUTED_VALUE"""),"This will be hard to do, but if it is the right company I would try")</f>
        <v>This will be hard to do, but if it is the right company I would try</v>
      </c>
      <c r="H1331" s="1" t="str">
        <f ca="1">IFERROR(__xludf.DUMMYFUNCTION("""COMPUTED_VALUE"""),"No")</f>
        <v>No</v>
      </c>
      <c r="I1331" s="1" t="str">
        <f ca="1">IFERROR(__xludf.DUMMYFUNCTION("""COMPUTED_VALUE"""),"Will NOT work for them")</f>
        <v>Will NOT work for them</v>
      </c>
      <c r="J1331" s="1">
        <f ca="1">IFERROR(__xludf.DUMMYFUNCTION("""COMPUTED_VALUE"""),8)</f>
        <v>8</v>
      </c>
      <c r="K1331" s="1" t="str">
        <f ca="1">IFERROR(__xludf.DUMMYFUNCTION("""COMPUTED_VALUE"""),"Fully Remote with Options to travel as and when needed")</f>
        <v>Fully Remote with Options to travel as and when needed</v>
      </c>
      <c r="L1331" s="1" t="str">
        <f ca="1">IFERROR(__xludf.DUMMYFUNCTION("""COMPUTED_VALUE"""),"Employer who appreciates learning and enables that environment")</f>
        <v>Employer who appreciates learning and enables that environment</v>
      </c>
      <c r="M133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331" s="1" t="str">
        <f ca="1">IFERROR(__xludf.DUMMYFUNCTION("""COMPUTED_VALUE"""),"Design and Creative strategy in any company, Teaching in any of the institutes/colleges/online or offline, Manage and drive End-to-End Projects or Products, Become a content Creator in some platform")</f>
        <v>Design and Creative strategy in any company, Teaching in any of the institutes/colleges/online or offline, Manage and drive End-to-End Projects or Products, Become a content Creator in some platform</v>
      </c>
      <c r="O1331" s="1" t="str">
        <f ca="1">IFERROR(__xludf.DUMMYFUNCTION("""COMPUTED_VALUE"""),"Manager who explains what is expected, sets a goal and helps achieve it")</f>
        <v>Manager who explains what is expected, sets a goal and helps achieve it</v>
      </c>
      <c r="P1331" s="1" t="str">
        <f ca="1">IFERROR(__xludf.DUMMYFUNCTION("""COMPUTED_VALUE"""),"Work with 5 to 6 people in my team")</f>
        <v>Work with 5 to 6 people in my team</v>
      </c>
      <c r="Q1331" s="1" t="str">
        <f ca="1">IFERROR(__xludf.DUMMYFUNCTION("""COMPUTED_VALUE"""),"Yes, I Understand this is gonna happen everywhere")</f>
        <v>Yes, I Understand this is gonna happen everywhere</v>
      </c>
      <c r="R1331" s="1" t="str">
        <f ca="1">IFERROR(__xludf.DUMMYFUNCTION("""COMPUTED_VALUE"""),"This will be hard to do, but if it is the right company I would try")</f>
        <v>This will be hard to do, but if it is the right company I would try</v>
      </c>
      <c r="S1331" s="1"/>
    </row>
    <row r="1332" spans="1:19" ht="12.5" x14ac:dyDescent="0.25">
      <c r="A1332" s="2">
        <f ca="1">IFERROR(__xludf.DUMMYFUNCTION("""COMPUTED_VALUE"""),45044.7001212268)</f>
        <v>45044.700121226801</v>
      </c>
      <c r="B1332" s="1" t="str">
        <f ca="1">IFERROR(__xludf.DUMMYFUNCTION("""COMPUTED_VALUE"""),"India")</f>
        <v>India</v>
      </c>
      <c r="C1332" s="1">
        <f ca="1">IFERROR(__xludf.DUMMYFUNCTION("""COMPUTED_VALUE"""),508111)</f>
        <v>508111</v>
      </c>
      <c r="D1332" s="1" t="str">
        <f ca="1">IFERROR(__xludf.DUMMYFUNCTION("""COMPUTED_VALUE"""),"Female")</f>
        <v>Female</v>
      </c>
      <c r="E1332" s="1" t="str">
        <f ca="1">IFERROR(__xludf.DUMMYFUNCTION("""COMPUTED_VALUE"""),"My Parents")</f>
        <v>My Parents</v>
      </c>
      <c r="F1332" s="1" t="str">
        <f ca="1">IFERROR(__xludf.DUMMYFUNCTION("""COMPUTED_VALUE"""),"No, But if someone could bare the cost I will")</f>
        <v>No, But if someone could bare the cost I will</v>
      </c>
      <c r="G1332" s="1" t="str">
        <f ca="1">IFERROR(__xludf.DUMMYFUNCTION("""COMPUTED_VALUE"""),"This will be hard to do, but if it is the right company I would try")</f>
        <v>This will be hard to do, but if it is the right company I would try</v>
      </c>
      <c r="H1332" s="1" t="str">
        <f ca="1">IFERROR(__xludf.DUMMYFUNCTION("""COMPUTED_VALUE"""),"No")</f>
        <v>No</v>
      </c>
      <c r="I1332" s="1" t="str">
        <f ca="1">IFERROR(__xludf.DUMMYFUNCTION("""COMPUTED_VALUE"""),"Will NOT work for them")</f>
        <v>Will NOT work for them</v>
      </c>
      <c r="J1332" s="1">
        <f ca="1">IFERROR(__xludf.DUMMYFUNCTION("""COMPUTED_VALUE"""),5)</f>
        <v>5</v>
      </c>
      <c r="K1332" s="1" t="str">
        <f ca="1">IFERROR(__xludf.DUMMYFUNCTION("""COMPUTED_VALUE"""),"Hybrid Working Environment with more than 15 days a month at office")</f>
        <v>Hybrid Working Environment with more than 15 days a month at office</v>
      </c>
      <c r="L1332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33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32" s="1" t="str">
        <f ca="1">IFERROR(__xludf.DUMMYFUNCTION("""COMPUTED_VALUE"""),"Business Operations in any organization, Manage and drive End-to-End Projects or Products, Design and Develop amazing software, An Artificial Intelligence Specialist / Talking to Robots")</f>
        <v>Business Operations in any organization, Manage and drive End-to-End Projects or Products, Design and Develop amazing software, An Artificial Intelligence Specialist / Talking to Robots</v>
      </c>
      <c r="O1332" s="1" t="str">
        <f ca="1">IFERROR(__xludf.DUMMYFUNCTION("""COMPUTED_VALUE"""),"Manager who explains what is expected, sets a goal and helps achieve it")</f>
        <v>Manager who explains what is expected, sets a goal and helps achieve it</v>
      </c>
      <c r="P1332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332" s="1" t="str">
        <f ca="1">IFERROR(__xludf.DUMMYFUNCTION("""COMPUTED_VALUE"""),"Yes, I Understand this is gonna happen everywhere")</f>
        <v>Yes, I Understand this is gonna happen everywhere</v>
      </c>
      <c r="R1332" s="1" t="str">
        <f ca="1">IFERROR(__xludf.DUMMYFUNCTION("""COMPUTED_VALUE"""),"This will be hard to do, but if it is the right company I would try")</f>
        <v>This will be hard to do, but if it is the right company I would try</v>
      </c>
      <c r="S1332" s="1"/>
    </row>
    <row r="1333" spans="1:19" ht="12.5" x14ac:dyDescent="0.25">
      <c r="A1333" s="2">
        <f ca="1">IFERROR(__xludf.DUMMYFUNCTION("""COMPUTED_VALUE"""),45044.702583912)</f>
        <v>45044.702583912003</v>
      </c>
      <c r="B1333" s="1" t="str">
        <f ca="1">IFERROR(__xludf.DUMMYFUNCTION("""COMPUTED_VALUE"""),"India")</f>
        <v>India</v>
      </c>
      <c r="C1333" s="1">
        <f ca="1">IFERROR(__xludf.DUMMYFUNCTION("""COMPUTED_VALUE"""),505209)</f>
        <v>505209</v>
      </c>
      <c r="D1333" s="1" t="str">
        <f ca="1">IFERROR(__xludf.DUMMYFUNCTION("""COMPUTED_VALUE"""),"Female")</f>
        <v>Female</v>
      </c>
      <c r="E1333" s="1" t="str">
        <f ca="1">IFERROR(__xludf.DUMMYFUNCTION("""COMPUTED_VALUE"""),"My Parents")</f>
        <v>My Parents</v>
      </c>
      <c r="F1333" s="1" t="str">
        <f ca="1">IFERROR(__xludf.DUMMYFUNCTION("""COMPUTED_VALUE"""),"Yes, I will earn and do that")</f>
        <v>Yes, I will earn and do that</v>
      </c>
      <c r="G1333" s="1" t="str">
        <f ca="1">IFERROR(__xludf.DUMMYFUNCTION("""COMPUTED_VALUE"""),"This will be hard to do, but if it is the right company I would try")</f>
        <v>This will be hard to do, but if it is the right company I would try</v>
      </c>
      <c r="H1333" s="1" t="str">
        <f ca="1">IFERROR(__xludf.DUMMYFUNCTION("""COMPUTED_VALUE"""),"No")</f>
        <v>No</v>
      </c>
      <c r="I1333" s="1" t="str">
        <f ca="1">IFERROR(__xludf.DUMMYFUNCTION("""COMPUTED_VALUE"""),"Will work for them")</f>
        <v>Will work for them</v>
      </c>
      <c r="J1333" s="1">
        <f ca="1">IFERROR(__xludf.DUMMYFUNCTION("""COMPUTED_VALUE"""),10)</f>
        <v>10</v>
      </c>
      <c r="K1333" s="1" t="str">
        <f ca="1">IFERROR(__xludf.DUMMYFUNCTION("""COMPUTED_VALUE"""),"Hybrid Working Environment with more than 15 days a month at office")</f>
        <v>Hybrid Working Environment with more than 15 days a month at office</v>
      </c>
      <c r="L1333" s="1" t="str">
        <f ca="1">IFERROR(__xludf.DUMMYFUNCTION("""COMPUTED_VALUE"""),"Employer who appreciates learning and enables that environment")</f>
        <v>Employer who appreciates learning and enables that environment</v>
      </c>
      <c r="M133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33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1333" s="1" t="str">
        <f ca="1">IFERROR(__xludf.DUMMYFUNCTION("""COMPUTED_VALUE"""),"Manager who explains what is expected, sets a goal and helps achieve it")</f>
        <v>Manager who explains what is expected, sets a goal and helps achieve it</v>
      </c>
      <c r="P1333" s="1" t="str">
        <f ca="1">IFERROR(__xludf.DUMMYFUNCTION("""COMPUTED_VALUE"""),"Work with 2 to 3 people in my team, Work with 5 to 6 people in my team")</f>
        <v>Work with 2 to 3 people in my team, Work with 5 to 6 people in my team</v>
      </c>
      <c r="Q1333" s="1" t="str">
        <f ca="1">IFERROR(__xludf.DUMMYFUNCTION("""COMPUTED_VALUE"""),"Yes, I Understand this is gonna happen everywhere")</f>
        <v>Yes, I Understand this is gonna happen everywhere</v>
      </c>
      <c r="R1333" s="1" t="str">
        <f ca="1">IFERROR(__xludf.DUMMYFUNCTION("""COMPUTED_VALUE"""),"This will be hard to do, but if it is the right company I would try")</f>
        <v>This will be hard to do, but if it is the right company I would try</v>
      </c>
      <c r="S1333" s="1"/>
    </row>
    <row r="1334" spans="1:19" ht="12.5" x14ac:dyDescent="0.25">
      <c r="A1334" s="2">
        <f ca="1">IFERROR(__xludf.DUMMYFUNCTION("""COMPUTED_VALUE"""),45044.7042870833)</f>
        <v>45044.704287083303</v>
      </c>
      <c r="B1334" s="1" t="str">
        <f ca="1">IFERROR(__xludf.DUMMYFUNCTION("""COMPUTED_VALUE"""),"India")</f>
        <v>India</v>
      </c>
      <c r="C1334" s="1">
        <f ca="1">IFERROR(__xludf.DUMMYFUNCTION("""COMPUTED_VALUE"""),635801)</f>
        <v>635801</v>
      </c>
      <c r="D1334" s="1" t="str">
        <f ca="1">IFERROR(__xludf.DUMMYFUNCTION("""COMPUTED_VALUE"""),"Male")</f>
        <v>Male</v>
      </c>
      <c r="E1334" s="1" t="str">
        <f ca="1">IFERROR(__xludf.DUMMYFUNCTION("""COMPUTED_VALUE"""),"Influencers who had successful careers")</f>
        <v>Influencers who had successful careers</v>
      </c>
      <c r="F1334" s="1" t="str">
        <f ca="1">IFERROR(__xludf.DUMMYFUNCTION("""COMPUTED_VALUE"""),"No, But if someone could bare the cost I will")</f>
        <v>No, But if someone could bare the cost I will</v>
      </c>
      <c r="G1334" s="1" t="str">
        <f ca="1">IFERROR(__xludf.DUMMYFUNCTION("""COMPUTED_VALUE"""),"This will be hard to do, but if it is the right company I would try")</f>
        <v>This will be hard to do, but if it is the right company I would try</v>
      </c>
      <c r="H1334" s="1" t="str">
        <f ca="1">IFERROR(__xludf.DUMMYFUNCTION("""COMPUTED_VALUE"""),"No")</f>
        <v>No</v>
      </c>
      <c r="I1334" s="1" t="str">
        <f ca="1">IFERROR(__xludf.DUMMYFUNCTION("""COMPUTED_VALUE"""),"Will work for them")</f>
        <v>Will work for them</v>
      </c>
      <c r="J1334" s="1">
        <f ca="1">IFERROR(__xludf.DUMMYFUNCTION("""COMPUTED_VALUE"""),10)</f>
        <v>10</v>
      </c>
      <c r="K1334" s="1" t="str">
        <f ca="1">IFERROR(__xludf.DUMMYFUNCTION("""COMPUTED_VALUE"""),"Fully Remote with Options to travel as and when needed")</f>
        <v>Fully Remote with Options to travel as and when needed</v>
      </c>
      <c r="L1334" s="1" t="str">
        <f ca="1">IFERROR(__xludf.DUMMYFUNCTION("""COMPUTED_VALUE"""),"Employer who appreciates learning and enables that environment")</f>
        <v>Employer who appreciates learning and enables that environment</v>
      </c>
      <c r="M133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334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1334" s="1" t="str">
        <f ca="1">IFERROR(__xludf.DUMMYFUNCTION("""COMPUTED_VALUE"""),"Manager who explains what is expected, sets a goal and helps achieve it")</f>
        <v>Manager who explains what is expected, sets a goal and helps achieve it</v>
      </c>
      <c r="P1334" s="1" t="str">
        <f ca="1">IFERROR(__xludf.DUMMYFUNCTION("""COMPUTED_VALUE"""),"Work with more than 10 people in my team")</f>
        <v>Work with more than 10 people in my team</v>
      </c>
      <c r="Q1334" s="1" t="str">
        <f ca="1">IFERROR(__xludf.DUMMYFUNCTION("""COMPUTED_VALUE"""),"Yes, I Understand this is gonna happen everywhere")</f>
        <v>Yes, I Understand this is gonna happen everywhere</v>
      </c>
      <c r="R1334" s="1" t="str">
        <f ca="1">IFERROR(__xludf.DUMMYFUNCTION("""COMPUTED_VALUE"""),"This will be hard to do, but if it is the right company I would try")</f>
        <v>This will be hard to do, but if it is the right company I would try</v>
      </c>
      <c r="S1334" s="1"/>
    </row>
    <row r="1335" spans="1:19" ht="12.5" x14ac:dyDescent="0.25">
      <c r="A1335" s="2">
        <f ca="1">IFERROR(__xludf.DUMMYFUNCTION("""COMPUTED_VALUE"""),45044.7062047222)</f>
        <v>45044.706204722199</v>
      </c>
      <c r="B1335" s="1" t="str">
        <f ca="1">IFERROR(__xludf.DUMMYFUNCTION("""COMPUTED_VALUE"""),"India")</f>
        <v>India</v>
      </c>
      <c r="C1335" s="1">
        <f ca="1">IFERROR(__xludf.DUMMYFUNCTION("""COMPUTED_VALUE"""),505209)</f>
        <v>505209</v>
      </c>
      <c r="D1335" s="1" t="str">
        <f ca="1">IFERROR(__xludf.DUMMYFUNCTION("""COMPUTED_VALUE"""),"Female")</f>
        <v>Female</v>
      </c>
      <c r="E1335" s="1" t="str">
        <f ca="1">IFERROR(__xludf.DUMMYFUNCTION("""COMPUTED_VALUE"""),"People who have changed the world for better")</f>
        <v>People who have changed the world for better</v>
      </c>
      <c r="F1335" s="1" t="str">
        <f ca="1">IFERROR(__xludf.DUMMYFUNCTION("""COMPUTED_VALUE"""),"Yes, I will earn and do that")</f>
        <v>Yes, I will earn and do that</v>
      </c>
      <c r="G1335" s="1" t="str">
        <f ca="1">IFERROR(__xludf.DUMMYFUNCTION("""COMPUTED_VALUE"""),"This will be hard to do, but if it is the right company I would try")</f>
        <v>This will be hard to do, but if it is the right company I would try</v>
      </c>
      <c r="H1335" s="1" t="str">
        <f ca="1">IFERROR(__xludf.DUMMYFUNCTION("""COMPUTED_VALUE"""),"Yes")</f>
        <v>Yes</v>
      </c>
      <c r="I1335" s="1" t="str">
        <f ca="1">IFERROR(__xludf.DUMMYFUNCTION("""COMPUTED_VALUE"""),"Will NOT work for them")</f>
        <v>Will NOT work for them</v>
      </c>
      <c r="J1335" s="1">
        <f ca="1">IFERROR(__xludf.DUMMYFUNCTION("""COMPUTED_VALUE"""),8)</f>
        <v>8</v>
      </c>
      <c r="K1335" s="1" t="str">
        <f ca="1">IFERROR(__xludf.DUMMYFUNCTION("""COMPUTED_VALUE"""),"Fully Remote with Options to travel as and when needed")</f>
        <v>Fully Remote with Options to travel as and when needed</v>
      </c>
      <c r="L133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3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335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1335" s="1" t="str">
        <f ca="1">IFERROR(__xludf.DUMMYFUNCTION("""COMPUTED_VALUE"""),"Manager who explains what is expected, sets a goal and helps achieve it")</f>
        <v>Manager who explains what is expected, sets a goal and helps achieve it</v>
      </c>
      <c r="P1335" s="1" t="str">
        <f ca="1">IFERROR(__xludf.DUMMYFUNCTION("""COMPUTED_VALUE"""),"Work with 2 to 3 people in my team")</f>
        <v>Work with 2 to 3 people in my team</v>
      </c>
      <c r="Q1335" s="1" t="str">
        <f ca="1">IFERROR(__xludf.DUMMYFUNCTION("""COMPUTED_VALUE"""),"Yes, I Understand this is gonna happen everywhere")</f>
        <v>Yes, I Understand this is gonna happen everywhere</v>
      </c>
      <c r="R1335" s="1" t="str">
        <f ca="1">IFERROR(__xludf.DUMMYFUNCTION("""COMPUTED_VALUE"""),"This will be hard to do, but if it is the right company I would try")</f>
        <v>This will be hard to do, but if it is the right company I would try</v>
      </c>
      <c r="S1335" s="1"/>
    </row>
    <row r="1336" spans="1:19" ht="12.5" x14ac:dyDescent="0.25">
      <c r="A1336" s="2">
        <f ca="1">IFERROR(__xludf.DUMMYFUNCTION("""COMPUTED_VALUE"""),45044.7175548379)</f>
        <v>45044.717554837902</v>
      </c>
      <c r="B1336" s="1" t="str">
        <f ca="1">IFERROR(__xludf.DUMMYFUNCTION("""COMPUTED_VALUE"""),"India")</f>
        <v>India</v>
      </c>
      <c r="C1336" s="1">
        <f ca="1">IFERROR(__xludf.DUMMYFUNCTION("""COMPUTED_VALUE"""),508234)</f>
        <v>508234</v>
      </c>
      <c r="D1336" s="1" t="str">
        <f ca="1">IFERROR(__xludf.DUMMYFUNCTION("""COMPUTED_VALUE"""),"Male")</f>
        <v>Male</v>
      </c>
      <c r="E1336" s="1" t="str">
        <f ca="1">IFERROR(__xludf.DUMMYFUNCTION("""COMPUTED_VALUE"""),"Influencers who had successful careers")</f>
        <v>Influencers who had successful careers</v>
      </c>
      <c r="F1336" s="1" t="str">
        <f ca="1">IFERROR(__xludf.DUMMYFUNCTION("""COMPUTED_VALUE"""),"No I would not be pursuing Higher Education outside of India")</f>
        <v>No I would not be pursuing Higher Education outside of India</v>
      </c>
      <c r="G1336" s="1" t="str">
        <f ca="1">IFERROR(__xludf.DUMMYFUNCTION("""COMPUTED_VALUE"""),"This will be hard to do, but if it is the right company I would try")</f>
        <v>This will be hard to do, but if it is the right company I would try</v>
      </c>
      <c r="H1336" s="1" t="str">
        <f ca="1">IFERROR(__xludf.DUMMYFUNCTION("""COMPUTED_VALUE"""),"No")</f>
        <v>No</v>
      </c>
      <c r="I1336" s="1" t="str">
        <f ca="1">IFERROR(__xludf.DUMMYFUNCTION("""COMPUTED_VALUE"""),"Will work for them")</f>
        <v>Will work for them</v>
      </c>
      <c r="J1336" s="1">
        <f ca="1">IFERROR(__xludf.DUMMYFUNCTION("""COMPUTED_VALUE"""),10)</f>
        <v>10</v>
      </c>
      <c r="K1336" s="1" t="str">
        <f ca="1">IFERROR(__xludf.DUMMYFUNCTION("""COMPUTED_VALUE"""),"Fully Remote with Options to travel as and when needed")</f>
        <v>Fully Remote with Options to travel as and when needed</v>
      </c>
      <c r="L1336" s="1" t="str">
        <f ca="1">IFERROR(__xludf.DUMMYFUNCTION("""COMPUTED_VALUE"""),"Employer who rewards learning and enables that environment")</f>
        <v>Employer who rewards learning and enables that environment</v>
      </c>
      <c r="M133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336" s="1" t="str">
        <f ca="1">IFERROR(__xludf.DUMMYFUNCTION("""COMPUTED_VALUE"""),"Design and Creative strategy in any company, Teaching in any of the institutes/colleges/online or offline, Build and develop a Team, An Artificial Intelligence Specialist / Talking to Robots")</f>
        <v>Design and Creative strategy in any company, Teaching in any of the institutes/colleges/online or offline, Build and develop a Team, An Artificial Intelligence Specialist / Talking to Robots</v>
      </c>
      <c r="O1336" s="1" t="str">
        <f ca="1">IFERROR(__xludf.DUMMYFUNCTION("""COMPUTED_VALUE"""),"Manager who sets goal and helps me achieve it")</f>
        <v>Manager who sets goal and helps me achieve it</v>
      </c>
      <c r="P1336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336" s="1" t="str">
        <f ca="1">IFERROR(__xludf.DUMMYFUNCTION("""COMPUTED_VALUE"""),"Yes, I Understand this is gonna happen everywhere")</f>
        <v>Yes, I Understand this is gonna happen everywhere</v>
      </c>
      <c r="R1336" s="1" t="str">
        <f ca="1">IFERROR(__xludf.DUMMYFUNCTION("""COMPUTED_VALUE"""),"This will be hard to do, but if it is the right company I would try")</f>
        <v>This will be hard to do, but if it is the right company I would try</v>
      </c>
      <c r="S1336" s="1"/>
    </row>
    <row r="1337" spans="1:19" ht="12.5" x14ac:dyDescent="0.25">
      <c r="A1337" s="2">
        <f ca="1">IFERROR(__xludf.DUMMYFUNCTION("""COMPUTED_VALUE"""),45044.7228526736)</f>
        <v>45044.7228526736</v>
      </c>
      <c r="B1337" s="1" t="str">
        <f ca="1">IFERROR(__xludf.DUMMYFUNCTION("""COMPUTED_VALUE"""),"India")</f>
        <v>India</v>
      </c>
      <c r="C1337" s="1">
        <f ca="1">IFERROR(__xludf.DUMMYFUNCTION("""COMPUTED_VALUE"""),826004)</f>
        <v>826004</v>
      </c>
      <c r="D1337" s="1" t="str">
        <f ca="1">IFERROR(__xludf.DUMMYFUNCTION("""COMPUTED_VALUE"""),"Male")</f>
        <v>Male</v>
      </c>
      <c r="E1337" s="1" t="str">
        <f ca="1">IFERROR(__xludf.DUMMYFUNCTION("""COMPUTED_VALUE"""),"People who have changed the world for better")</f>
        <v>People who have changed the world for better</v>
      </c>
      <c r="F1337" s="1" t="str">
        <f ca="1">IFERROR(__xludf.DUMMYFUNCTION("""COMPUTED_VALUE"""),"No I would not be pursuing Higher Education outside of India")</f>
        <v>No I would not be pursuing Higher Education outside of India</v>
      </c>
      <c r="G1337" s="1" t="str">
        <f ca="1">IFERROR(__xludf.DUMMYFUNCTION("""COMPUTED_VALUE"""),"This will be hard to do, but if it is the right company I would try")</f>
        <v>This will be hard to do, but if it is the right company I would try</v>
      </c>
      <c r="H1337" s="1" t="str">
        <f ca="1">IFERROR(__xludf.DUMMYFUNCTION("""COMPUTED_VALUE"""),"Yes")</f>
        <v>Yes</v>
      </c>
      <c r="I1337" s="1" t="str">
        <f ca="1">IFERROR(__xludf.DUMMYFUNCTION("""COMPUTED_VALUE"""),"Will work for them")</f>
        <v>Will work for them</v>
      </c>
      <c r="J1337" s="1">
        <f ca="1">IFERROR(__xludf.DUMMYFUNCTION("""COMPUTED_VALUE"""),8)</f>
        <v>8</v>
      </c>
      <c r="K1337" s="1" t="str">
        <f ca="1">IFERROR(__xludf.DUMMYFUNCTION("""COMPUTED_VALUE"""),"Fully Remote with Options to travel as and when needed")</f>
        <v>Fully Remote with Options to travel as and when needed</v>
      </c>
      <c r="L1337" s="1" t="str">
        <f ca="1">IFERROR(__xludf.DUMMYFUNCTION("""COMPUTED_VALUE"""),"Employer who rewards learning and enables that environment")</f>
        <v>Employer who rewards learning and enables that environment</v>
      </c>
      <c r="M1337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337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1337" s="1" t="str">
        <f ca="1">IFERROR(__xludf.DUMMYFUNCTION("""COMPUTED_VALUE"""),"Manager who explains what is expected, sets a goal and helps achieve it")</f>
        <v>Manager who explains what is expected, sets a goal and helps achieve it</v>
      </c>
      <c r="P1337" s="1" t="str">
        <f ca="1">IFERROR(__xludf.DUMMYFUNCTION("""COMPUTED_VALUE"""),"Work with 2 to 3 people in my team, Work with 5 to 6 people in my team")</f>
        <v>Work with 2 to 3 people in my team, Work with 5 to 6 people in my team</v>
      </c>
      <c r="Q1337" s="1" t="str">
        <f ca="1">IFERROR(__xludf.DUMMYFUNCTION("""COMPUTED_VALUE"""),"No")</f>
        <v>No</v>
      </c>
      <c r="R1337" s="1" t="str">
        <f ca="1">IFERROR(__xludf.DUMMYFUNCTION("""COMPUTED_VALUE"""),"No way")</f>
        <v>No way</v>
      </c>
      <c r="S1337" s="1"/>
    </row>
    <row r="1338" spans="1:19" ht="12.5" x14ac:dyDescent="0.25">
      <c r="A1338" s="2">
        <f ca="1">IFERROR(__xludf.DUMMYFUNCTION("""COMPUTED_VALUE"""),45044.7257193518)</f>
        <v>45044.725719351802</v>
      </c>
      <c r="B1338" s="1" t="str">
        <f ca="1">IFERROR(__xludf.DUMMYFUNCTION("""COMPUTED_VALUE"""),"India")</f>
        <v>India</v>
      </c>
      <c r="C1338" s="1">
        <f ca="1">IFERROR(__xludf.DUMMYFUNCTION("""COMPUTED_VALUE"""),201002)</f>
        <v>201002</v>
      </c>
      <c r="D1338" s="1" t="str">
        <f ca="1">IFERROR(__xludf.DUMMYFUNCTION("""COMPUTED_VALUE"""),"Female")</f>
        <v>Female</v>
      </c>
      <c r="E1338" s="1" t="str">
        <f ca="1">IFERROR(__xludf.DUMMYFUNCTION("""COMPUTED_VALUE"""),"My Parents")</f>
        <v>My Parents</v>
      </c>
      <c r="F1338" s="1" t="str">
        <f ca="1">IFERROR(__xludf.DUMMYFUNCTION("""COMPUTED_VALUE"""),"Yes, I will earn and do that")</f>
        <v>Yes, I will earn and do that</v>
      </c>
      <c r="G1338" s="1" t="str">
        <f ca="1">IFERROR(__xludf.DUMMYFUNCTION("""COMPUTED_VALUE"""),"This will be hard to do, but if it is the right company I would try")</f>
        <v>This will be hard to do, but if it is the right company I would try</v>
      </c>
      <c r="H1338" s="1" t="str">
        <f ca="1">IFERROR(__xludf.DUMMYFUNCTION("""COMPUTED_VALUE"""),"No")</f>
        <v>No</v>
      </c>
      <c r="I1338" s="1" t="str">
        <f ca="1">IFERROR(__xludf.DUMMYFUNCTION("""COMPUTED_VALUE"""),"Will NOT work for them")</f>
        <v>Will NOT work for them</v>
      </c>
      <c r="J1338" s="1">
        <f ca="1">IFERROR(__xludf.DUMMYFUNCTION("""COMPUTED_VALUE"""),1)</f>
        <v>1</v>
      </c>
      <c r="K1338" s="1" t="str">
        <f ca="1">IFERROR(__xludf.DUMMYFUNCTION("""COMPUTED_VALUE"""),"Every Day Office Environment")</f>
        <v>Every Day Office Environment</v>
      </c>
      <c r="L13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3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338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1338" s="1" t="str">
        <f ca="1">IFERROR(__xludf.DUMMYFUNCTION("""COMPUTED_VALUE"""),"Manager who explains what is expected, sets a goal and helps achieve it")</f>
        <v>Manager who explains what is expected, sets a goal and helps achieve it</v>
      </c>
      <c r="P1338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338" s="1" t="str">
        <f ca="1">IFERROR(__xludf.DUMMYFUNCTION("""COMPUTED_VALUE"""),"I have NO other choice")</f>
        <v>I have NO other choice</v>
      </c>
      <c r="R1338" s="1" t="str">
        <f ca="1">IFERROR(__xludf.DUMMYFUNCTION("""COMPUTED_VALUE"""),"This will be hard to do, but if it is the right company I would try")</f>
        <v>This will be hard to do, but if it is the right company I would try</v>
      </c>
      <c r="S1338" s="1"/>
    </row>
    <row r="1339" spans="1:19" ht="12.5" x14ac:dyDescent="0.25">
      <c r="A1339" s="2">
        <f ca="1">IFERROR(__xludf.DUMMYFUNCTION("""COMPUTED_VALUE"""),45044.7266468981)</f>
        <v>45044.726646898103</v>
      </c>
      <c r="B1339" s="1" t="str">
        <f ca="1">IFERROR(__xludf.DUMMYFUNCTION("""COMPUTED_VALUE"""),"India")</f>
        <v>India</v>
      </c>
      <c r="C1339" s="1">
        <f ca="1">IFERROR(__xludf.DUMMYFUNCTION("""COMPUTED_VALUE"""),600049)</f>
        <v>600049</v>
      </c>
      <c r="D1339" s="1" t="str">
        <f ca="1">IFERROR(__xludf.DUMMYFUNCTION("""COMPUTED_VALUE"""),"Female")</f>
        <v>Female</v>
      </c>
      <c r="E1339" s="1" t="str">
        <f ca="1">IFERROR(__xludf.DUMMYFUNCTION("""COMPUTED_VALUE"""),"Influencers who had successful careers")</f>
        <v>Influencers who had successful careers</v>
      </c>
      <c r="F1339" s="1" t="str">
        <f ca="1">IFERROR(__xludf.DUMMYFUNCTION("""COMPUTED_VALUE"""),"No, But if someone could bare the cost I will")</f>
        <v>No, But if someone could bare the cost I will</v>
      </c>
      <c r="G1339" s="1" t="str">
        <f ca="1">IFERROR(__xludf.DUMMYFUNCTION("""COMPUTED_VALUE"""),"This will be hard to do, but if it is the right company I would try")</f>
        <v>This will be hard to do, but if it is the right company I would try</v>
      </c>
      <c r="H1339" s="1" t="str">
        <f ca="1">IFERROR(__xludf.DUMMYFUNCTION("""COMPUTED_VALUE"""),"No")</f>
        <v>No</v>
      </c>
      <c r="I1339" s="1" t="str">
        <f ca="1">IFERROR(__xludf.DUMMYFUNCTION("""COMPUTED_VALUE"""),"Will NOT work for them")</f>
        <v>Will NOT work for them</v>
      </c>
      <c r="J1339" s="1">
        <f ca="1">IFERROR(__xludf.DUMMYFUNCTION("""COMPUTED_VALUE"""),1)</f>
        <v>1</v>
      </c>
      <c r="K1339" s="1" t="str">
        <f ca="1">IFERROR(__xludf.DUMMYFUNCTION("""COMPUTED_VALUE"""),"Hybrid Working Environment with less than 3 days a month at office")</f>
        <v>Hybrid Working Environment with less than 3 days a month at office</v>
      </c>
      <c r="L13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3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39" s="1" t="str">
        <f ca="1">IFERROR(__xludf.DUMMYFUNCTION("""COMPUTED_VALUE"""),"Design and Creative strategy in any company, Design and Develop amazing software, Look deeply into Data and generate insights, Entrepreneur or Start Up")</f>
        <v>Design and Creative strategy in any company, Design and Develop amazing software, Look deeply into Data and generate insights, Entrepreneur or Start Up</v>
      </c>
      <c r="O1339" s="1" t="str">
        <f ca="1">IFERROR(__xludf.DUMMYFUNCTION("""COMPUTED_VALUE"""),"Manager who explains what is expected, sets a goal and helps achieve it")</f>
        <v>Manager who explains what is expected, sets a goal and helps achieve it</v>
      </c>
      <c r="P1339" s="1" t="str">
        <f ca="1">IFERROR(__xludf.DUMMYFUNCTION("""COMPUTED_VALUE"""),"Work with 2 to 3 people in my team")</f>
        <v>Work with 2 to 3 people in my team</v>
      </c>
      <c r="Q1339" s="1" t="str">
        <f ca="1">IFERROR(__xludf.DUMMYFUNCTION("""COMPUTED_VALUE"""),"Yes, I Understand this is gonna happen everywhere")</f>
        <v>Yes, I Understand this is gonna happen everywhere</v>
      </c>
      <c r="R1339" s="1" t="str">
        <f ca="1">IFERROR(__xludf.DUMMYFUNCTION("""COMPUTED_VALUE"""),"No way")</f>
        <v>No way</v>
      </c>
      <c r="S1339" s="1"/>
    </row>
    <row r="1340" spans="1:19" ht="12.5" x14ac:dyDescent="0.25">
      <c r="A1340" s="2">
        <f ca="1">IFERROR(__xludf.DUMMYFUNCTION("""COMPUTED_VALUE"""),45044.7291226851)</f>
        <v>45044.729122685101</v>
      </c>
      <c r="B1340" s="1" t="str">
        <f ca="1">IFERROR(__xludf.DUMMYFUNCTION("""COMPUTED_VALUE"""),"India")</f>
        <v>India</v>
      </c>
      <c r="C1340" s="1">
        <f ca="1">IFERROR(__xludf.DUMMYFUNCTION("""COMPUTED_VALUE"""),826001)</f>
        <v>826001</v>
      </c>
      <c r="D1340" s="1" t="str">
        <f ca="1">IFERROR(__xludf.DUMMYFUNCTION("""COMPUTED_VALUE"""),"Male")</f>
        <v>Male</v>
      </c>
      <c r="E1340" s="1" t="str">
        <f ca="1">IFERROR(__xludf.DUMMYFUNCTION("""COMPUTED_VALUE"""),"People who have changed the world for better")</f>
        <v>People who have changed the world for better</v>
      </c>
      <c r="F1340" s="1" t="str">
        <f ca="1">IFERROR(__xludf.DUMMYFUNCTION("""COMPUTED_VALUE"""),"Yes, I will earn and do that")</f>
        <v>Yes, I will earn and do that</v>
      </c>
      <c r="G1340" s="1" t="str">
        <f ca="1">IFERROR(__xludf.DUMMYFUNCTION("""COMPUTED_VALUE"""),"This will be hard to do, but if it is the right company I would try")</f>
        <v>This will be hard to do, but if it is the right company I would try</v>
      </c>
      <c r="H1340" s="1" t="str">
        <f ca="1">IFERROR(__xludf.DUMMYFUNCTION("""COMPUTED_VALUE"""),"No")</f>
        <v>No</v>
      </c>
      <c r="I1340" s="1" t="str">
        <f ca="1">IFERROR(__xludf.DUMMYFUNCTION("""COMPUTED_VALUE"""),"Will NOT work for them")</f>
        <v>Will NOT work for them</v>
      </c>
      <c r="J1340" s="1">
        <f ca="1">IFERROR(__xludf.DUMMYFUNCTION("""COMPUTED_VALUE"""),3)</f>
        <v>3</v>
      </c>
      <c r="K1340" s="1" t="str">
        <f ca="1">IFERROR(__xludf.DUMMYFUNCTION("""COMPUTED_VALUE"""),"Hybrid Working Environment with less than 3 days a month at office")</f>
        <v>Hybrid Working Environment with less than 3 days a month at office</v>
      </c>
      <c r="L13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4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40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1340" s="1" t="str">
        <f ca="1">IFERROR(__xludf.DUMMYFUNCTION("""COMPUTED_VALUE"""),"Manager who sets goal and helps me achieve it")</f>
        <v>Manager who sets goal and helps me achieve it</v>
      </c>
      <c r="P1340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340" s="1" t="str">
        <f ca="1">IFERROR(__xludf.DUMMYFUNCTION("""COMPUTED_VALUE"""),"Yes, I Understand this is gonna happen everywhere")</f>
        <v>Yes, I Understand this is gonna happen everywhere</v>
      </c>
      <c r="R1340" s="1" t="str">
        <f ca="1">IFERROR(__xludf.DUMMYFUNCTION("""COMPUTED_VALUE"""),"This will be hard to do, but if it is the right company I would try")</f>
        <v>This will be hard to do, but if it is the right company I would try</v>
      </c>
      <c r="S1340" s="1"/>
    </row>
    <row r="1341" spans="1:19" ht="12.5" x14ac:dyDescent="0.25">
      <c r="A1341" s="2">
        <f ca="1">IFERROR(__xludf.DUMMYFUNCTION("""COMPUTED_VALUE"""),45044.7303440856)</f>
        <v>45044.730344085598</v>
      </c>
      <c r="B1341" s="1" t="str">
        <f ca="1">IFERROR(__xludf.DUMMYFUNCTION("""COMPUTED_VALUE"""),"India")</f>
        <v>India</v>
      </c>
      <c r="C1341" s="1">
        <f ca="1">IFERROR(__xludf.DUMMYFUNCTION("""COMPUTED_VALUE"""),492001)</f>
        <v>492001</v>
      </c>
      <c r="D1341" s="1" t="str">
        <f ca="1">IFERROR(__xludf.DUMMYFUNCTION("""COMPUTED_VALUE"""),"Male")</f>
        <v>Male</v>
      </c>
      <c r="E1341" s="1" t="str">
        <f ca="1">IFERROR(__xludf.DUMMYFUNCTION("""COMPUTED_VALUE"""),"People who have changed the world for better")</f>
        <v>People who have changed the world for better</v>
      </c>
      <c r="F1341" s="1" t="str">
        <f ca="1">IFERROR(__xludf.DUMMYFUNCTION("""COMPUTED_VALUE"""),"Yes, I will earn and do that")</f>
        <v>Yes, I will earn and do that</v>
      </c>
      <c r="G1341" s="1" t="str">
        <f ca="1">IFERROR(__xludf.DUMMYFUNCTION("""COMPUTED_VALUE"""),"This will be hard to do, but if it is the right company I would try")</f>
        <v>This will be hard to do, but if it is the right company I would try</v>
      </c>
      <c r="H1341" s="1" t="str">
        <f ca="1">IFERROR(__xludf.DUMMYFUNCTION("""COMPUTED_VALUE"""),"No")</f>
        <v>No</v>
      </c>
      <c r="I1341" s="1" t="str">
        <f ca="1">IFERROR(__xludf.DUMMYFUNCTION("""COMPUTED_VALUE"""),"Will NOT work for them")</f>
        <v>Will NOT work for them</v>
      </c>
      <c r="J1341" s="1">
        <f ca="1">IFERROR(__xludf.DUMMYFUNCTION("""COMPUTED_VALUE"""),8)</f>
        <v>8</v>
      </c>
      <c r="K1341" s="1" t="str">
        <f ca="1">IFERROR(__xludf.DUMMYFUNCTION("""COMPUTED_VALUE"""),"Fully Remote with Options to travel as and when needed")</f>
        <v>Fully Remote with Options to travel as and when needed</v>
      </c>
      <c r="L13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4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41" s="1" t="str">
        <f ca="1">IFERROR(__xludf.DUMMYFUNCTION("""COMPUTED_VALUE"""),"Manage and drive End-to-End Projects or Products, Look deeply into Data and generate insights, Entrepreneur or Start Up, An Artificial Intelligence Specialist / Talking to Robots")</f>
        <v>Manage and drive End-to-End Projects or Products, Look deeply into Data and generate insights, Entrepreneur or Start Up, An Artificial Intelligence Specialist / Talking to Robots</v>
      </c>
      <c r="O1341" s="1" t="str">
        <f ca="1">IFERROR(__xludf.DUMMYFUNCTION("""COMPUTED_VALUE"""),"Manager who sets goal and helps me achieve it")</f>
        <v>Manager who sets goal and helps me achieve it</v>
      </c>
      <c r="P1341" s="1" t="str">
        <f ca="1">IFERROR(__xludf.DUMMYFUNCTION("""COMPUTED_VALUE"""),"Work with 5 to 6 people in my team")</f>
        <v>Work with 5 to 6 people in my team</v>
      </c>
      <c r="Q1341" s="1" t="str">
        <f ca="1">IFERROR(__xludf.DUMMYFUNCTION("""COMPUTED_VALUE"""),"Yes, I Understand this is gonna happen everywhere")</f>
        <v>Yes, I Understand this is gonna happen everywhere</v>
      </c>
      <c r="R1341" s="1" t="str">
        <f ca="1">IFERROR(__xludf.DUMMYFUNCTION("""COMPUTED_VALUE"""),"No way")</f>
        <v>No way</v>
      </c>
      <c r="S1341" s="1"/>
    </row>
    <row r="1342" spans="1:19" ht="12.5" x14ac:dyDescent="0.25">
      <c r="A1342" s="2">
        <f ca="1">IFERROR(__xludf.DUMMYFUNCTION("""COMPUTED_VALUE"""),45044.7341403125)</f>
        <v>45044.734140312503</v>
      </c>
      <c r="B1342" s="1" t="str">
        <f ca="1">IFERROR(__xludf.DUMMYFUNCTION("""COMPUTED_VALUE"""),"India")</f>
        <v>India</v>
      </c>
      <c r="C1342" s="1">
        <f ca="1">IFERROR(__xludf.DUMMYFUNCTION("""COMPUTED_VALUE"""),560073)</f>
        <v>560073</v>
      </c>
      <c r="D1342" s="1" t="str">
        <f ca="1">IFERROR(__xludf.DUMMYFUNCTION("""COMPUTED_VALUE"""),"Male")</f>
        <v>Male</v>
      </c>
      <c r="E1342" s="1" t="str">
        <f ca="1">IFERROR(__xludf.DUMMYFUNCTION("""COMPUTED_VALUE"""),"Social Media like LinkedIn")</f>
        <v>Social Media like LinkedIn</v>
      </c>
      <c r="F1342" s="1" t="str">
        <f ca="1">IFERROR(__xludf.DUMMYFUNCTION("""COMPUTED_VALUE"""),"No I would not be pursuing Higher Education outside of India")</f>
        <v>No I would not be pursuing Higher Education outside of India</v>
      </c>
      <c r="G1342" s="1" t="str">
        <f ca="1">IFERROR(__xludf.DUMMYFUNCTION("""COMPUTED_VALUE"""),"Will work for 3 years or more")</f>
        <v>Will work for 3 years or more</v>
      </c>
      <c r="H1342" s="1" t="str">
        <f ca="1">IFERROR(__xludf.DUMMYFUNCTION("""COMPUTED_VALUE"""),"Yes")</f>
        <v>Yes</v>
      </c>
      <c r="I1342" s="1" t="str">
        <f ca="1">IFERROR(__xludf.DUMMYFUNCTION("""COMPUTED_VALUE"""),"Will work for them")</f>
        <v>Will work for them</v>
      </c>
      <c r="J1342" s="1">
        <f ca="1">IFERROR(__xludf.DUMMYFUNCTION("""COMPUTED_VALUE"""),6)</f>
        <v>6</v>
      </c>
      <c r="K1342" s="1" t="str">
        <f ca="1">IFERROR(__xludf.DUMMYFUNCTION("""COMPUTED_VALUE"""),"Hybrid Working Environment with less than 3 days a month at office")</f>
        <v>Hybrid Working Environment with less than 3 days a month at office</v>
      </c>
      <c r="L1342" s="1" t="str">
        <f ca="1">IFERROR(__xludf.DUMMYFUNCTION("""COMPUTED_VALUE"""),"Employer who rewards learning and enables that environment")</f>
        <v>Employer who rewards learning and enables that environment</v>
      </c>
      <c r="M1342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342" s="1" t="str">
        <f ca="1">IFERROR(__xludf.DUMMYFUNCTION("""COMPUTED_VALUE"""),"Design and Creative strategy in any company, Design and Develop amazing software, Look deeply into Data and generate insights, Work as a freelancer and do my thing my way")</f>
        <v>Design and Creative strategy in any company, Design and Develop amazing software, Look deeply into Data and generate insights, Work as a freelancer and do my thing my way</v>
      </c>
      <c r="O1342" s="1" t="str">
        <f ca="1">IFERROR(__xludf.DUMMYFUNCTION("""COMPUTED_VALUE"""),"Manager who explains what is expected, sets a goal and helps achieve it")</f>
        <v>Manager who explains what is expected, sets a goal and helps achieve it</v>
      </c>
      <c r="P1342" s="1" t="str">
        <f ca="1">IFERROR(__xludf.DUMMYFUNCTION("""COMPUTED_VALUE"""),"Work with more than 10 people in my team")</f>
        <v>Work with more than 10 people in my team</v>
      </c>
      <c r="Q1342" s="1" t="str">
        <f ca="1">IFERROR(__xludf.DUMMYFUNCTION("""COMPUTED_VALUE"""),"Yes")</f>
        <v>Yes</v>
      </c>
      <c r="R1342" s="1" t="str">
        <f ca="1">IFERROR(__xludf.DUMMYFUNCTION("""COMPUTED_VALUE"""),"Will work for 7 years or more")</f>
        <v>Will work for 7 years or more</v>
      </c>
      <c r="S1342" s="1"/>
    </row>
    <row r="1343" spans="1:19" ht="12.5" x14ac:dyDescent="0.25">
      <c r="A1343" s="2">
        <f ca="1">IFERROR(__xludf.DUMMYFUNCTION("""COMPUTED_VALUE"""),45044.7359324768)</f>
        <v>45044.735932476797</v>
      </c>
      <c r="B1343" s="1" t="str">
        <f ca="1">IFERROR(__xludf.DUMMYFUNCTION("""COMPUTED_VALUE"""),"India")</f>
        <v>India</v>
      </c>
      <c r="C1343" s="1">
        <f ca="1">IFERROR(__xludf.DUMMYFUNCTION("""COMPUTED_VALUE"""),759001)</f>
        <v>759001</v>
      </c>
      <c r="D1343" s="1" t="str">
        <f ca="1">IFERROR(__xludf.DUMMYFUNCTION("""COMPUTED_VALUE"""),"Male")</f>
        <v>Male</v>
      </c>
      <c r="E1343" s="1" t="str">
        <f ca="1">IFERROR(__xludf.DUMMYFUNCTION("""COMPUTED_VALUE"""),"People who have changed the world for better")</f>
        <v>People who have changed the world for better</v>
      </c>
      <c r="F1343" s="1" t="str">
        <f ca="1">IFERROR(__xludf.DUMMYFUNCTION("""COMPUTED_VALUE"""),"No I would not be pursuing Higher Education outside of India")</f>
        <v>No I would not be pursuing Higher Education outside of India</v>
      </c>
      <c r="G1343" s="1" t="str">
        <f ca="1">IFERROR(__xludf.DUMMYFUNCTION("""COMPUTED_VALUE"""),"Will work for 3 years or more")</f>
        <v>Will work for 3 years or more</v>
      </c>
      <c r="H1343" s="1" t="str">
        <f ca="1">IFERROR(__xludf.DUMMYFUNCTION("""COMPUTED_VALUE"""),"No")</f>
        <v>No</v>
      </c>
      <c r="I1343" s="1" t="str">
        <f ca="1">IFERROR(__xludf.DUMMYFUNCTION("""COMPUTED_VALUE"""),"Will NOT work for them")</f>
        <v>Will NOT work for them</v>
      </c>
      <c r="J1343" s="1">
        <f ca="1">IFERROR(__xludf.DUMMYFUNCTION("""COMPUTED_VALUE"""),8)</f>
        <v>8</v>
      </c>
      <c r="K1343" s="1" t="str">
        <f ca="1">IFERROR(__xludf.DUMMYFUNCTION("""COMPUTED_VALUE"""),"Fully Remote with Options to travel as and when needed")</f>
        <v>Fully Remote with Options to travel as and when needed</v>
      </c>
      <c r="L1343" s="1" t="str">
        <f ca="1">IFERROR(__xludf.DUMMYFUNCTION("""COMPUTED_VALUE"""),"Employer who rewards learning and enables that environment")</f>
        <v>Employer who rewards learning and enables that environment</v>
      </c>
      <c r="M13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43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343" s="1" t="str">
        <f ca="1">IFERROR(__xludf.DUMMYFUNCTION("""COMPUTED_VALUE"""),"Manager who clearly describes what she/he needs")</f>
        <v>Manager who clearly describes what she/he needs</v>
      </c>
      <c r="P1343" s="1" t="str">
        <f ca="1">IFERROR(__xludf.DUMMYFUNCTION("""COMPUTED_VALUE"""),"Work alone")</f>
        <v>Work alone</v>
      </c>
      <c r="Q1343" s="1" t="str">
        <f ca="1">IFERROR(__xludf.DUMMYFUNCTION("""COMPUTED_VALUE"""),"Yes, I Understand this is gonna happen everywhere")</f>
        <v>Yes, I Understand this is gonna happen everywhere</v>
      </c>
      <c r="R1343" s="1" t="str">
        <f ca="1">IFERROR(__xludf.DUMMYFUNCTION("""COMPUTED_VALUE"""),"This will be hard to do, but if it is the right company I would try")</f>
        <v>This will be hard to do, but if it is the right company I would try</v>
      </c>
      <c r="S1343" s="1"/>
    </row>
    <row r="1344" spans="1:19" ht="12.5" x14ac:dyDescent="0.25">
      <c r="A1344" s="2">
        <f ca="1">IFERROR(__xludf.DUMMYFUNCTION("""COMPUTED_VALUE"""),45044.7364354861)</f>
        <v>45044.736435486098</v>
      </c>
      <c r="B1344" s="1" t="str">
        <f ca="1">IFERROR(__xludf.DUMMYFUNCTION("""COMPUTED_VALUE"""),"India")</f>
        <v>India</v>
      </c>
      <c r="C1344" s="1">
        <f ca="1">IFERROR(__xludf.DUMMYFUNCTION("""COMPUTED_VALUE"""),505209)</f>
        <v>505209</v>
      </c>
      <c r="D1344" s="1" t="str">
        <f ca="1">IFERROR(__xludf.DUMMYFUNCTION("""COMPUTED_VALUE"""),"Male")</f>
        <v>Male</v>
      </c>
      <c r="E1344" s="1" t="str">
        <f ca="1">IFERROR(__xludf.DUMMYFUNCTION("""COMPUTED_VALUE"""),"My Parents")</f>
        <v>My Parents</v>
      </c>
      <c r="F1344" s="1" t="str">
        <f ca="1">IFERROR(__xludf.DUMMYFUNCTION("""COMPUTED_VALUE"""),"Yes, I will earn and do that")</f>
        <v>Yes, I will earn and do that</v>
      </c>
      <c r="G1344" s="1" t="str">
        <f ca="1">IFERROR(__xludf.DUMMYFUNCTION("""COMPUTED_VALUE"""),"This will be hard to do, but if it is the right company I would try")</f>
        <v>This will be hard to do, but if it is the right company I would try</v>
      </c>
      <c r="H1344" s="1" t="str">
        <f ca="1">IFERROR(__xludf.DUMMYFUNCTION("""COMPUTED_VALUE"""),"No")</f>
        <v>No</v>
      </c>
      <c r="I1344" s="1" t="str">
        <f ca="1">IFERROR(__xludf.DUMMYFUNCTION("""COMPUTED_VALUE"""),"Will NOT work for them")</f>
        <v>Will NOT work for them</v>
      </c>
      <c r="J1344" s="1">
        <f ca="1">IFERROR(__xludf.DUMMYFUNCTION("""COMPUTED_VALUE"""),5)</f>
        <v>5</v>
      </c>
      <c r="K1344" s="1" t="str">
        <f ca="1">IFERROR(__xludf.DUMMYFUNCTION("""COMPUTED_VALUE"""),"Fully Remote with Options to travel as and when needed")</f>
        <v>Fully Remote with Options to travel as and when needed</v>
      </c>
      <c r="L1344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34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344" s="1" t="str">
        <f ca="1">IFERROR(__xludf.DUMMYFUNCTION("""COMPUTED_VALUE"""),"Teaching in any of the institutes/colleges/online or offline, Manage and drive End-to-End Projects or Products, Build and develop a Team, Become a content Creator in some platform")</f>
        <v>Teaching in any of the institutes/colleges/online or offline, Manage and drive End-to-End Projects or Products, Build and develop a Team, Become a content Creator in some platform</v>
      </c>
      <c r="O1344" s="1" t="str">
        <f ca="1">IFERROR(__xludf.DUMMYFUNCTION("""COMPUTED_VALUE"""),"Manager who sets goal and helps me achieve it")</f>
        <v>Manager who sets goal and helps me achieve it</v>
      </c>
      <c r="P1344" s="1" t="str">
        <f ca="1">IFERROR(__xludf.DUMMYFUNCTION("""COMPUTED_VALUE"""),"Work with 5 to 6 people in my team")</f>
        <v>Work with 5 to 6 people in my team</v>
      </c>
      <c r="Q1344" s="1" t="str">
        <f ca="1">IFERROR(__xludf.DUMMYFUNCTION("""COMPUTED_VALUE"""),"Yes, I Understand this is gonna happen everywhere")</f>
        <v>Yes, I Understand this is gonna happen everywhere</v>
      </c>
      <c r="R1344" s="1" t="str">
        <f ca="1">IFERROR(__xludf.DUMMYFUNCTION("""COMPUTED_VALUE"""),"This will be hard to do, but if it is the right company I would try")</f>
        <v>This will be hard to do, but if it is the right company I would try</v>
      </c>
      <c r="S1344" s="1"/>
    </row>
    <row r="1345" spans="1:19" ht="12.5" x14ac:dyDescent="0.25">
      <c r="A1345" s="2">
        <f ca="1">IFERROR(__xludf.DUMMYFUNCTION("""COMPUTED_VALUE"""),45044.7385760532)</f>
        <v>45044.738576053198</v>
      </c>
      <c r="B1345" s="1" t="str">
        <f ca="1">IFERROR(__xludf.DUMMYFUNCTION("""COMPUTED_VALUE"""),"India")</f>
        <v>India</v>
      </c>
      <c r="C1345" s="1">
        <f ca="1">IFERROR(__xludf.DUMMYFUNCTION("""COMPUTED_VALUE"""),600005)</f>
        <v>600005</v>
      </c>
      <c r="D1345" s="1" t="str">
        <f ca="1">IFERROR(__xludf.DUMMYFUNCTION("""COMPUTED_VALUE"""),"Male")</f>
        <v>Male</v>
      </c>
      <c r="E1345" s="1" t="str">
        <f ca="1">IFERROR(__xludf.DUMMYFUNCTION("""COMPUTED_VALUE"""),"My Parents")</f>
        <v>My Parents</v>
      </c>
      <c r="F1345" s="1" t="str">
        <f ca="1">IFERROR(__xludf.DUMMYFUNCTION("""COMPUTED_VALUE"""),"No I would not be pursuing Higher Education outside of India")</f>
        <v>No I would not be pursuing Higher Education outside of India</v>
      </c>
      <c r="G1345" s="1" t="str">
        <f ca="1">IFERROR(__xludf.DUMMYFUNCTION("""COMPUTED_VALUE"""),"Will work for 3 years or more")</f>
        <v>Will work for 3 years or more</v>
      </c>
      <c r="H1345" s="1" t="str">
        <f ca="1">IFERROR(__xludf.DUMMYFUNCTION("""COMPUTED_VALUE"""),"No")</f>
        <v>No</v>
      </c>
      <c r="I1345" s="1" t="str">
        <f ca="1">IFERROR(__xludf.DUMMYFUNCTION("""COMPUTED_VALUE"""),"Will NOT work for them")</f>
        <v>Will NOT work for them</v>
      </c>
      <c r="J1345" s="1">
        <f ca="1">IFERROR(__xludf.DUMMYFUNCTION("""COMPUTED_VALUE"""),1)</f>
        <v>1</v>
      </c>
      <c r="K1345" s="1" t="str">
        <f ca="1">IFERROR(__xludf.DUMMYFUNCTION("""COMPUTED_VALUE"""),"Every Day Office Environment")</f>
        <v>Every Day Office Environment</v>
      </c>
      <c r="L1345" s="1" t="str">
        <f ca="1">IFERROR(__xludf.DUMMYFUNCTION("""COMPUTED_VALUE"""),"Employer who appreciates learning and enables that environment")</f>
        <v>Employer who appreciates learning and enables that environment</v>
      </c>
      <c r="M134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345" s="1" t="str">
        <f ca="1">IFERROR(__xludf.DUMMYFUNCTION("""COMPUTED_VALUE"""),"Design and Creative strategy in any company, Manage and drive End-to-End Projects or Products, Build and develop a Team, Become a content Creator in some platform")</f>
        <v>Design and Creative strategy in any company, Manage and drive End-to-End Projects or Products, Build and develop a Team, Become a content Creator in some platform</v>
      </c>
      <c r="O1345" s="1" t="str">
        <f ca="1">IFERROR(__xludf.DUMMYFUNCTION("""COMPUTED_VALUE"""),"Manager who clearly describes what she/he needs")</f>
        <v>Manager who clearly describes what she/he needs</v>
      </c>
      <c r="P1345" s="1" t="str">
        <f ca="1">IFERROR(__xludf.DUMMYFUNCTION("""COMPUTED_VALUE"""),"Work with more than 10 people in my team")</f>
        <v>Work with more than 10 people in my team</v>
      </c>
      <c r="Q1345" s="1" t="str">
        <f ca="1">IFERROR(__xludf.DUMMYFUNCTION("""COMPUTED_VALUE"""),"No")</f>
        <v>No</v>
      </c>
      <c r="R1345" s="1" t="str">
        <f ca="1">IFERROR(__xludf.DUMMYFUNCTION("""COMPUTED_VALUE"""),"This will be hard to do, but if it is the right company I would try")</f>
        <v>This will be hard to do, but if it is the right company I would try</v>
      </c>
      <c r="S1345" s="1"/>
    </row>
    <row r="1346" spans="1:19" ht="12.5" x14ac:dyDescent="0.25">
      <c r="A1346" s="2">
        <f ca="1">IFERROR(__xludf.DUMMYFUNCTION("""COMPUTED_VALUE"""),45044.7397248263)</f>
        <v>45044.739724826301</v>
      </c>
      <c r="B1346" s="1" t="str">
        <f ca="1">IFERROR(__xludf.DUMMYFUNCTION("""COMPUTED_VALUE"""),"India")</f>
        <v>India</v>
      </c>
      <c r="C1346" s="1">
        <f ca="1">IFERROR(__xludf.DUMMYFUNCTION("""COMPUTED_VALUE"""),607001)</f>
        <v>607001</v>
      </c>
      <c r="D1346" s="1" t="str">
        <f ca="1">IFERROR(__xludf.DUMMYFUNCTION("""COMPUTED_VALUE"""),"Male")</f>
        <v>Male</v>
      </c>
      <c r="E1346" s="1" t="str">
        <f ca="1">IFERROR(__xludf.DUMMYFUNCTION("""COMPUTED_VALUE"""),"People who have changed the world for better")</f>
        <v>People who have changed the world for better</v>
      </c>
      <c r="F1346" s="1" t="str">
        <f ca="1">IFERROR(__xludf.DUMMYFUNCTION("""COMPUTED_VALUE"""),"Yes, I will earn and do that")</f>
        <v>Yes, I will earn and do that</v>
      </c>
      <c r="G1346" s="1" t="str">
        <f ca="1">IFERROR(__xludf.DUMMYFUNCTION("""COMPUTED_VALUE"""),"This will be hard to do, but if it is the right company I would try")</f>
        <v>This will be hard to do, but if it is the right company I would try</v>
      </c>
      <c r="H1346" s="1" t="str">
        <f ca="1">IFERROR(__xludf.DUMMYFUNCTION("""COMPUTED_VALUE"""),"No")</f>
        <v>No</v>
      </c>
      <c r="I1346" s="1" t="str">
        <f ca="1">IFERROR(__xludf.DUMMYFUNCTION("""COMPUTED_VALUE"""),"Will NOT work for them")</f>
        <v>Will NOT work for them</v>
      </c>
      <c r="J1346" s="1">
        <f ca="1">IFERROR(__xludf.DUMMYFUNCTION("""COMPUTED_VALUE"""),5)</f>
        <v>5</v>
      </c>
      <c r="K1346" s="1" t="str">
        <f ca="1">IFERROR(__xludf.DUMMYFUNCTION("""COMPUTED_VALUE"""),"Fully Remote with Options to travel as and when needed")</f>
        <v>Fully Remote with Options to travel as and when needed</v>
      </c>
      <c r="L13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4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46" s="1" t="str">
        <f ca="1">IFERROR(__xludf.DUMMYFUNCTION("""COMPUTED_VALUE"""),"Design and Creative strategy in any company, Manage and drive End-to-End Projects or Products, Build and develop a Team, Become a content Creator in some platform")</f>
        <v>Design and Creative strategy in any company, Manage and drive End-to-End Projects or Products, Build and develop a Team, Become a content Creator in some platform</v>
      </c>
      <c r="O1346" s="1" t="str">
        <f ca="1">IFERROR(__xludf.DUMMYFUNCTION("""COMPUTED_VALUE"""),"Manager who explains what is expected, sets a goal and helps achieve it")</f>
        <v>Manager who explains what is expected, sets a goal and helps achieve it</v>
      </c>
      <c r="P1346" s="1" t="str">
        <f ca="1">IFERROR(__xludf.DUMMYFUNCTION("""COMPUTED_VALUE"""),"Work with more than 10 people in my team")</f>
        <v>Work with more than 10 people in my team</v>
      </c>
      <c r="Q1346" s="1" t="str">
        <f ca="1">IFERROR(__xludf.DUMMYFUNCTION("""COMPUTED_VALUE"""),"Yes, I Understand this is gonna happen everywhere")</f>
        <v>Yes, I Understand this is gonna happen everywhere</v>
      </c>
      <c r="R1346" s="1" t="str">
        <f ca="1">IFERROR(__xludf.DUMMYFUNCTION("""COMPUTED_VALUE"""),"This will be hard to do, but if it is the right company I would try")</f>
        <v>This will be hard to do, but if it is the right company I would try</v>
      </c>
      <c r="S1346" s="1"/>
    </row>
    <row r="1347" spans="1:19" ht="12.5" x14ac:dyDescent="0.25">
      <c r="A1347" s="2">
        <f ca="1">IFERROR(__xludf.DUMMYFUNCTION("""COMPUTED_VALUE"""),45044.7416090277)</f>
        <v>45044.741609027697</v>
      </c>
      <c r="B1347" s="1" t="str">
        <f ca="1">IFERROR(__xludf.DUMMYFUNCTION("""COMPUTED_VALUE"""),"India")</f>
        <v>India</v>
      </c>
      <c r="C1347" s="1">
        <f ca="1">IFERROR(__xludf.DUMMYFUNCTION("""COMPUTED_VALUE"""),560096)</f>
        <v>560096</v>
      </c>
      <c r="D1347" s="1" t="str">
        <f ca="1">IFERROR(__xludf.DUMMYFUNCTION("""COMPUTED_VALUE"""),"Male")</f>
        <v>Male</v>
      </c>
      <c r="E1347" s="1" t="str">
        <f ca="1">IFERROR(__xludf.DUMMYFUNCTION("""COMPUTED_VALUE"""),"Influencers who had successful careers")</f>
        <v>Influencers who had successful careers</v>
      </c>
      <c r="F1347" s="1" t="str">
        <f ca="1">IFERROR(__xludf.DUMMYFUNCTION("""COMPUTED_VALUE"""),"No, But if someone could bare the cost I will")</f>
        <v>No, But if someone could bare the cost I will</v>
      </c>
      <c r="G1347" s="1" t="str">
        <f ca="1">IFERROR(__xludf.DUMMYFUNCTION("""COMPUTED_VALUE"""),"No way")</f>
        <v>No way</v>
      </c>
      <c r="H1347" s="1" t="str">
        <f ca="1">IFERROR(__xludf.DUMMYFUNCTION("""COMPUTED_VALUE"""),"Yes")</f>
        <v>Yes</v>
      </c>
      <c r="I1347" s="1" t="str">
        <f ca="1">IFERROR(__xludf.DUMMYFUNCTION("""COMPUTED_VALUE"""),"Will work for them")</f>
        <v>Will work for them</v>
      </c>
      <c r="J1347" s="1">
        <f ca="1">IFERROR(__xludf.DUMMYFUNCTION("""COMPUTED_VALUE"""),7)</f>
        <v>7</v>
      </c>
      <c r="K1347" s="1" t="str">
        <f ca="1">IFERROR(__xludf.DUMMYFUNCTION("""COMPUTED_VALUE"""),"Hybrid Working Environment with less than 3 days a month at office")</f>
        <v>Hybrid Working Environment with less than 3 days a month at office</v>
      </c>
      <c r="L13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47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1347" s="1" t="str">
        <f ca="1">IFERROR(__xludf.DUMMYFUNCTION("""COMPUTED_VALUE"""),"Design and Creative strategy in any company, Become a content Creator in some platform, Entrepreneur or Start Up, An Artificial Intelligence Specialist / Talking to Robots")</f>
        <v>Design and Creative strategy in any company, Become a content Creator in some platform, Entrepreneur or Start Up, An Artificial Intelligence Specialist / Talking to Robots</v>
      </c>
      <c r="O1347" s="1" t="str">
        <f ca="1">IFERROR(__xludf.DUMMYFUNCTION("""COMPUTED_VALUE"""),"Manager who sets goal and helps me achieve it")</f>
        <v>Manager who sets goal and helps me achieve it</v>
      </c>
      <c r="P134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347" s="1" t="str">
        <f ca="1">IFERROR(__xludf.DUMMYFUNCTION("""COMPUTED_VALUE"""),"Yes")</f>
        <v>Yes</v>
      </c>
      <c r="R1347" s="1" t="str">
        <f ca="1">IFERROR(__xludf.DUMMYFUNCTION("""COMPUTED_VALUE"""),"No way")</f>
        <v>No way</v>
      </c>
      <c r="S1347" s="1"/>
    </row>
    <row r="1348" spans="1:19" ht="12.5" x14ac:dyDescent="0.25">
      <c r="A1348" s="2">
        <f ca="1">IFERROR(__xludf.DUMMYFUNCTION("""COMPUTED_VALUE"""),45044.7429262615)</f>
        <v>45044.742926261497</v>
      </c>
      <c r="B1348" s="1" t="str">
        <f ca="1">IFERROR(__xludf.DUMMYFUNCTION("""COMPUTED_VALUE"""),"India")</f>
        <v>India</v>
      </c>
      <c r="C1348" s="1">
        <f ca="1">IFERROR(__xludf.DUMMYFUNCTION("""COMPUTED_VALUE"""),500013)</f>
        <v>500013</v>
      </c>
      <c r="D1348" s="1" t="str">
        <f ca="1">IFERROR(__xludf.DUMMYFUNCTION("""COMPUTED_VALUE"""),"Female")</f>
        <v>Female</v>
      </c>
      <c r="E1348" s="1" t="str">
        <f ca="1">IFERROR(__xludf.DUMMYFUNCTION("""COMPUTED_VALUE"""),"Influencers who had successful careers")</f>
        <v>Influencers who had successful careers</v>
      </c>
      <c r="F1348" s="1" t="str">
        <f ca="1">IFERROR(__xludf.DUMMYFUNCTION("""COMPUTED_VALUE"""),"No I would not be pursuing Higher Education outside of India")</f>
        <v>No I would not be pursuing Higher Education outside of India</v>
      </c>
      <c r="G1348" s="1" t="str">
        <f ca="1">IFERROR(__xludf.DUMMYFUNCTION("""COMPUTED_VALUE"""),"This will be hard to do, but if it is the right company I would try")</f>
        <v>This will be hard to do, but if it is the right company I would try</v>
      </c>
      <c r="H1348" s="1" t="str">
        <f ca="1">IFERROR(__xludf.DUMMYFUNCTION("""COMPUTED_VALUE"""),"No")</f>
        <v>No</v>
      </c>
      <c r="I1348" s="1" t="str">
        <f ca="1">IFERROR(__xludf.DUMMYFUNCTION("""COMPUTED_VALUE"""),"Will NOT work for them")</f>
        <v>Will NOT work for them</v>
      </c>
      <c r="J1348" s="1">
        <f ca="1">IFERROR(__xludf.DUMMYFUNCTION("""COMPUTED_VALUE"""),8)</f>
        <v>8</v>
      </c>
      <c r="K1348" s="1" t="str">
        <f ca="1">IFERROR(__xludf.DUMMYFUNCTION("""COMPUTED_VALUE"""),"Fully Remote with No option to visit offices")</f>
        <v>Fully Remote with No option to visit offices</v>
      </c>
      <c r="L1348" s="1" t="str">
        <f ca="1">IFERROR(__xludf.DUMMYFUNCTION("""COMPUTED_VALUE"""),"Employer who appreciates learning and enables that environment")</f>
        <v>Employer who appreciates learning and enables that environment</v>
      </c>
      <c r="M134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48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1348" s="1" t="str">
        <f ca="1">IFERROR(__xludf.DUMMYFUNCTION("""COMPUTED_VALUE"""),"Manager who sets goal and helps me achieve it")</f>
        <v>Manager who sets goal and helps me achieve it</v>
      </c>
      <c r="P1348" s="1" t="str">
        <f ca="1">IFERROR(__xludf.DUMMYFUNCTION("""COMPUTED_VALUE"""),"Work with 2 to 3 people in my team, Work with more than 10 people in my team")</f>
        <v>Work with 2 to 3 people in my team, Work with more than 10 people in my team</v>
      </c>
      <c r="Q1348" s="1" t="str">
        <f ca="1">IFERROR(__xludf.DUMMYFUNCTION("""COMPUTED_VALUE"""),"Yes, I Understand this is gonna happen everywhere")</f>
        <v>Yes, I Understand this is gonna happen everywhere</v>
      </c>
      <c r="R1348" s="1" t="str">
        <f ca="1">IFERROR(__xludf.DUMMYFUNCTION("""COMPUTED_VALUE"""),"No way")</f>
        <v>No way</v>
      </c>
      <c r="S1348" s="1"/>
    </row>
    <row r="1349" spans="1:19" ht="12.5" x14ac:dyDescent="0.25">
      <c r="A1349" s="2">
        <f ca="1">IFERROR(__xludf.DUMMYFUNCTION("""COMPUTED_VALUE"""),45044.7432067129)</f>
        <v>45044.743206712898</v>
      </c>
      <c r="B1349" s="1" t="str">
        <f ca="1">IFERROR(__xludf.DUMMYFUNCTION("""COMPUTED_VALUE"""),"India")</f>
        <v>India</v>
      </c>
      <c r="C1349" s="1">
        <f ca="1">IFERROR(__xludf.DUMMYFUNCTION("""COMPUTED_VALUE"""),765002)</f>
        <v>765002</v>
      </c>
      <c r="D1349" s="1" t="str">
        <f ca="1">IFERROR(__xludf.DUMMYFUNCTION("""COMPUTED_VALUE"""),"Male")</f>
        <v>Male</v>
      </c>
      <c r="E1349" s="1" t="str">
        <f ca="1">IFERROR(__xludf.DUMMYFUNCTION("""COMPUTED_VALUE"""),"People who have changed the world for better")</f>
        <v>People who have changed the world for better</v>
      </c>
      <c r="F1349" s="1" t="str">
        <f ca="1">IFERROR(__xludf.DUMMYFUNCTION("""COMPUTED_VALUE"""),"No I would not be pursuing Higher Education outside of India")</f>
        <v>No I would not be pursuing Higher Education outside of India</v>
      </c>
      <c r="G1349" s="1" t="str">
        <f ca="1">IFERROR(__xludf.DUMMYFUNCTION("""COMPUTED_VALUE"""),"This will be hard to do, but if it is the right company I would try")</f>
        <v>This will be hard to do, but if it is the right company I would try</v>
      </c>
      <c r="H1349" s="1" t="str">
        <f ca="1">IFERROR(__xludf.DUMMYFUNCTION("""COMPUTED_VALUE"""),"No")</f>
        <v>No</v>
      </c>
      <c r="I1349" s="1" t="str">
        <f ca="1">IFERROR(__xludf.DUMMYFUNCTION("""COMPUTED_VALUE"""),"Will NOT work for them")</f>
        <v>Will NOT work for them</v>
      </c>
      <c r="J1349" s="1">
        <f ca="1">IFERROR(__xludf.DUMMYFUNCTION("""COMPUTED_VALUE"""),4)</f>
        <v>4</v>
      </c>
      <c r="K1349" s="1" t="str">
        <f ca="1">IFERROR(__xludf.DUMMYFUNCTION("""COMPUTED_VALUE"""),"Hybrid Working Environment with more than 15 days a month at office")</f>
        <v>Hybrid Working Environment with more than 15 days a month at office</v>
      </c>
      <c r="L13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4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49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1349" s="1" t="str">
        <f ca="1">IFERROR(__xludf.DUMMYFUNCTION("""COMPUTED_VALUE"""),"Manager who explains what is expected, sets a goal and helps achieve it")</f>
        <v>Manager who explains what is expected, sets a goal and helps achieve it</v>
      </c>
      <c r="P1349" s="1" t="str">
        <f ca="1">IFERROR(__xludf.DUMMYFUNCTION("""COMPUTED_VALUE"""),"Work with 5 to 6 people in my team")</f>
        <v>Work with 5 to 6 people in my team</v>
      </c>
      <c r="Q1349" s="1" t="str">
        <f ca="1">IFERROR(__xludf.DUMMYFUNCTION("""COMPUTED_VALUE"""),"No")</f>
        <v>No</v>
      </c>
      <c r="R1349" s="1" t="str">
        <f ca="1">IFERROR(__xludf.DUMMYFUNCTION("""COMPUTED_VALUE"""),"This will be hard to do, but if it is the right company I would try")</f>
        <v>This will be hard to do, but if it is the right company I would try</v>
      </c>
      <c r="S1349" s="1"/>
    </row>
    <row r="1350" spans="1:19" ht="12.5" x14ac:dyDescent="0.25">
      <c r="A1350" s="2">
        <f ca="1">IFERROR(__xludf.DUMMYFUNCTION("""COMPUTED_VALUE"""),45044.7446685069)</f>
        <v>45044.744668506901</v>
      </c>
      <c r="B1350" s="1" t="str">
        <f ca="1">IFERROR(__xludf.DUMMYFUNCTION("""COMPUTED_VALUE"""),"India")</f>
        <v>India</v>
      </c>
      <c r="C1350" s="1">
        <f ca="1">IFERROR(__xludf.DUMMYFUNCTION("""COMPUTED_VALUE"""),505209)</f>
        <v>505209</v>
      </c>
      <c r="D1350" s="1" t="str">
        <f ca="1">IFERROR(__xludf.DUMMYFUNCTION("""COMPUTED_VALUE"""),"Female")</f>
        <v>Female</v>
      </c>
      <c r="E1350" s="1" t="str">
        <f ca="1">IFERROR(__xludf.DUMMYFUNCTION("""COMPUTED_VALUE"""),"People who have changed the world for better")</f>
        <v>People who have changed the world for better</v>
      </c>
      <c r="F1350" s="1" t="str">
        <f ca="1">IFERROR(__xludf.DUMMYFUNCTION("""COMPUTED_VALUE"""),"Yes, I will earn and do that")</f>
        <v>Yes, I will earn and do that</v>
      </c>
      <c r="G1350" s="1" t="str">
        <f ca="1">IFERROR(__xludf.DUMMYFUNCTION("""COMPUTED_VALUE"""),"This will be hard to do, but if it is the right company I would try")</f>
        <v>This will be hard to do, but if it is the right company I would try</v>
      </c>
      <c r="H1350" s="1" t="str">
        <f ca="1">IFERROR(__xludf.DUMMYFUNCTION("""COMPUTED_VALUE"""),"No")</f>
        <v>No</v>
      </c>
      <c r="I1350" s="1" t="str">
        <f ca="1">IFERROR(__xludf.DUMMYFUNCTION("""COMPUTED_VALUE"""),"Will work for them")</f>
        <v>Will work for them</v>
      </c>
      <c r="J1350" s="1">
        <f ca="1">IFERROR(__xludf.DUMMYFUNCTION("""COMPUTED_VALUE"""),5)</f>
        <v>5</v>
      </c>
      <c r="K1350" s="1" t="str">
        <f ca="1">IFERROR(__xludf.DUMMYFUNCTION("""COMPUTED_VALUE"""),"Fully Remote with Options to travel as and when needed")</f>
        <v>Fully Remote with Options to travel as and when needed</v>
      </c>
      <c r="L13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5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50" s="1" t="str">
        <f ca="1">IFERROR(__xludf.DUMMYFUNCTION("""COMPUTED_VALUE"""),"Entrepreneur or Start Up, I Want to sell things/Sales, An Artificial Intelligence Specialist / Talking to Robots, Manufacturing / Oil and Gas/ Construction / Hard Physical Work related")</f>
        <v>Entrepreneur or Start Up, I Want to sell things/Sales, An Artificial Intelligence Specialist / Talking to Robots, Manufacturing / Oil and Gas/ Construction / Hard Physical Work related</v>
      </c>
      <c r="O1350" s="1" t="str">
        <f ca="1">IFERROR(__xludf.DUMMYFUNCTION("""COMPUTED_VALUE"""),"Manager who explains what is expected, sets a goal and helps achieve it")</f>
        <v>Manager who explains what is expected, sets a goal and helps achieve it</v>
      </c>
      <c r="P1350" s="1" t="str">
        <f ca="1">IFERROR(__xludf.DUMMYFUNCTION("""COMPUTED_VALUE"""),"Work with 5 to 6 people in my team")</f>
        <v>Work with 5 to 6 people in my team</v>
      </c>
      <c r="Q1350" s="1" t="str">
        <f ca="1">IFERROR(__xludf.DUMMYFUNCTION("""COMPUTED_VALUE"""),"Yes, I Understand this is gonna happen everywhere")</f>
        <v>Yes, I Understand this is gonna happen everywhere</v>
      </c>
      <c r="R1350" s="1" t="str">
        <f ca="1">IFERROR(__xludf.DUMMYFUNCTION("""COMPUTED_VALUE"""),"This will be hard to do, but if it is the right company I would try")</f>
        <v>This will be hard to do, but if it is the right company I would try</v>
      </c>
      <c r="S1350" s="1"/>
    </row>
    <row r="1351" spans="1:19" ht="12.5" x14ac:dyDescent="0.25">
      <c r="A1351" s="2">
        <f ca="1">IFERROR(__xludf.DUMMYFUNCTION("""COMPUTED_VALUE"""),45044.7457611921)</f>
        <v>45044.745761192098</v>
      </c>
      <c r="B1351" s="1" t="str">
        <f ca="1">IFERROR(__xludf.DUMMYFUNCTION("""COMPUTED_VALUE"""),"India")</f>
        <v>India</v>
      </c>
      <c r="C1351" s="1">
        <f ca="1">IFERROR(__xludf.DUMMYFUNCTION("""COMPUTED_VALUE"""),560107)</f>
        <v>560107</v>
      </c>
      <c r="D1351" s="1" t="str">
        <f ca="1">IFERROR(__xludf.DUMMYFUNCTION("""COMPUTED_VALUE"""),"Male")</f>
        <v>Male</v>
      </c>
      <c r="E1351" s="1" t="str">
        <f ca="1">IFERROR(__xludf.DUMMYFUNCTION("""COMPUTED_VALUE"""),"People from my circle, but not family members")</f>
        <v>People from my circle, but not family members</v>
      </c>
      <c r="F1351" s="1" t="str">
        <f ca="1">IFERROR(__xludf.DUMMYFUNCTION("""COMPUTED_VALUE"""),"Yes, I will earn and do that")</f>
        <v>Yes, I will earn and do that</v>
      </c>
      <c r="G1351" s="1" t="str">
        <f ca="1">IFERROR(__xludf.DUMMYFUNCTION("""COMPUTED_VALUE"""),"This will be hard to do, but if it is the right company I would try")</f>
        <v>This will be hard to do, but if it is the right company I would try</v>
      </c>
      <c r="H1351" s="1" t="str">
        <f ca="1">IFERROR(__xludf.DUMMYFUNCTION("""COMPUTED_VALUE"""),"No")</f>
        <v>No</v>
      </c>
      <c r="I1351" s="1" t="str">
        <f ca="1">IFERROR(__xludf.DUMMYFUNCTION("""COMPUTED_VALUE"""),"Will NOT work for them")</f>
        <v>Will NOT work for them</v>
      </c>
      <c r="J1351" s="1">
        <f ca="1">IFERROR(__xludf.DUMMYFUNCTION("""COMPUTED_VALUE"""),2)</f>
        <v>2</v>
      </c>
      <c r="K1351" s="1" t="str">
        <f ca="1">IFERROR(__xludf.DUMMYFUNCTION("""COMPUTED_VALUE"""),"Hybrid Working Environment with more than 15 days a month at office")</f>
        <v>Hybrid Working Environment with more than 15 days a month at office</v>
      </c>
      <c r="L13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5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51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1351" s="1" t="str">
        <f ca="1">IFERROR(__xludf.DUMMYFUNCTION("""COMPUTED_VALUE"""),"Manager who explains what is expected, sets a goal and helps achieve it")</f>
        <v>Manager who explains what is expected, sets a goal and helps achieve it</v>
      </c>
      <c r="P1351" s="1" t="str">
        <f ca="1">IFERROR(__xludf.DUMMYFUNCTION("""COMPUTED_VALUE"""),"Work with 5 to 6 people in my team")</f>
        <v>Work with 5 to 6 people in my team</v>
      </c>
      <c r="Q1351" s="1" t="str">
        <f ca="1">IFERROR(__xludf.DUMMYFUNCTION("""COMPUTED_VALUE"""),"Yes, I Understand this is gonna happen everywhere")</f>
        <v>Yes, I Understand this is gonna happen everywhere</v>
      </c>
      <c r="R1351" s="1" t="str">
        <f ca="1">IFERROR(__xludf.DUMMYFUNCTION("""COMPUTED_VALUE"""),"This will be hard to do, but if it is the right company I would try")</f>
        <v>This will be hard to do, but if it is the right company I would try</v>
      </c>
      <c r="S1351" s="1"/>
    </row>
    <row r="1352" spans="1:19" ht="12.5" x14ac:dyDescent="0.25">
      <c r="A1352" s="2">
        <f ca="1">IFERROR(__xludf.DUMMYFUNCTION("""COMPUTED_VALUE"""),45044.7458025925)</f>
        <v>45044.745802592501</v>
      </c>
      <c r="B1352" s="1" t="str">
        <f ca="1">IFERROR(__xludf.DUMMYFUNCTION("""COMPUTED_VALUE"""),"India")</f>
        <v>India</v>
      </c>
      <c r="C1352" s="1">
        <f ca="1">IFERROR(__xludf.DUMMYFUNCTION("""COMPUTED_VALUE"""),505122)</f>
        <v>505122</v>
      </c>
      <c r="D1352" s="1" t="str">
        <f ca="1">IFERROR(__xludf.DUMMYFUNCTION("""COMPUTED_VALUE"""),"Male")</f>
        <v>Male</v>
      </c>
      <c r="E1352" s="1" t="str">
        <f ca="1">IFERROR(__xludf.DUMMYFUNCTION("""COMPUTED_VALUE"""),"People who have changed the world for better")</f>
        <v>People who have changed the world for better</v>
      </c>
      <c r="F1352" s="1" t="str">
        <f ca="1">IFERROR(__xludf.DUMMYFUNCTION("""COMPUTED_VALUE"""),"No I would not be pursuing Higher Education outside of India")</f>
        <v>No I would not be pursuing Higher Education outside of India</v>
      </c>
      <c r="G1352" s="1" t="str">
        <f ca="1">IFERROR(__xludf.DUMMYFUNCTION("""COMPUTED_VALUE"""),"Will work for 3 years or more")</f>
        <v>Will work for 3 years or more</v>
      </c>
      <c r="H1352" s="1" t="str">
        <f ca="1">IFERROR(__xludf.DUMMYFUNCTION("""COMPUTED_VALUE"""),"No")</f>
        <v>No</v>
      </c>
      <c r="I1352" s="1" t="str">
        <f ca="1">IFERROR(__xludf.DUMMYFUNCTION("""COMPUTED_VALUE"""),"Will NOT work for them")</f>
        <v>Will NOT work for them</v>
      </c>
      <c r="J1352" s="1">
        <f ca="1">IFERROR(__xludf.DUMMYFUNCTION("""COMPUTED_VALUE"""),5)</f>
        <v>5</v>
      </c>
      <c r="K1352" s="1" t="str">
        <f ca="1">IFERROR(__xludf.DUMMYFUNCTION("""COMPUTED_VALUE"""),"Fully Remote with Options to travel as and when needed")</f>
        <v>Fully Remote with Options to travel as and when needed</v>
      </c>
      <c r="L13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52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352" s="1" t="str">
        <f ca="1">IFERROR(__xludf.DUMMYFUNCTION("""COMPUTED_VALUE"""),"Design and Creative strategy in any company, Teaching in any of the institutes/colleges/online or offline, Work as a freelancer and do my thing my way, Become a content Creator in some platform")</f>
        <v>Design and Creative strategy in any company, Teaching in any of the institutes/colleges/online or offline, Work as a freelancer and do my thing my way, Become a content Creator in some platform</v>
      </c>
      <c r="O1352" s="1" t="str">
        <f ca="1">IFERROR(__xludf.DUMMYFUNCTION("""COMPUTED_VALUE"""),"Manager who explains what is expected, sets a goal and helps achieve it")</f>
        <v>Manager who explains what is expected, sets a goal and helps achieve it</v>
      </c>
      <c r="P1352" s="1" t="str">
        <f ca="1">IFERROR(__xludf.DUMMYFUNCTION("""COMPUTED_VALUE"""),"Work with 2 to 3 people in my team")</f>
        <v>Work with 2 to 3 people in my team</v>
      </c>
      <c r="Q1352" s="1" t="str">
        <f ca="1">IFERROR(__xludf.DUMMYFUNCTION("""COMPUTED_VALUE"""),"Yes")</f>
        <v>Yes</v>
      </c>
      <c r="R1352" s="1" t="str">
        <f ca="1">IFERROR(__xludf.DUMMYFUNCTION("""COMPUTED_VALUE"""),"This will be hard to do, but if it is the right company I would try")</f>
        <v>This will be hard to do, but if it is the right company I would try</v>
      </c>
      <c r="S1352" s="1"/>
    </row>
    <row r="1353" spans="1:19" ht="12.5" x14ac:dyDescent="0.25">
      <c r="A1353" s="2">
        <f ca="1">IFERROR(__xludf.DUMMYFUNCTION("""COMPUTED_VALUE"""),45044.7481342129)</f>
        <v>45044.748134212903</v>
      </c>
      <c r="B1353" s="1" t="str">
        <f ca="1">IFERROR(__xludf.DUMMYFUNCTION("""COMPUTED_VALUE"""),"India")</f>
        <v>India</v>
      </c>
      <c r="C1353" s="1">
        <f ca="1">IFERROR(__xludf.DUMMYFUNCTION("""COMPUTED_VALUE"""),763002)</f>
        <v>763002</v>
      </c>
      <c r="D1353" s="1" t="str">
        <f ca="1">IFERROR(__xludf.DUMMYFUNCTION("""COMPUTED_VALUE"""),"Female")</f>
        <v>Female</v>
      </c>
      <c r="E1353" s="1" t="str">
        <f ca="1">IFERROR(__xludf.DUMMYFUNCTION("""COMPUTED_VALUE"""),"My Parents")</f>
        <v>My Parents</v>
      </c>
      <c r="F1353" s="1" t="str">
        <f ca="1">IFERROR(__xludf.DUMMYFUNCTION("""COMPUTED_VALUE"""),"Yes, I will earn and do that")</f>
        <v>Yes, I will earn and do that</v>
      </c>
      <c r="G1353" s="1" t="str">
        <f ca="1">IFERROR(__xludf.DUMMYFUNCTION("""COMPUTED_VALUE"""),"Will work for 3 years or more")</f>
        <v>Will work for 3 years or more</v>
      </c>
      <c r="H1353" s="1" t="str">
        <f ca="1">IFERROR(__xludf.DUMMYFUNCTION("""COMPUTED_VALUE"""),"No")</f>
        <v>No</v>
      </c>
      <c r="I1353" s="1" t="str">
        <f ca="1">IFERROR(__xludf.DUMMYFUNCTION("""COMPUTED_VALUE"""),"Will NOT work for them")</f>
        <v>Will NOT work for them</v>
      </c>
      <c r="J1353" s="1">
        <f ca="1">IFERROR(__xludf.DUMMYFUNCTION("""COMPUTED_VALUE"""),7)</f>
        <v>7</v>
      </c>
      <c r="K1353" s="1" t="str">
        <f ca="1">IFERROR(__xludf.DUMMYFUNCTION("""COMPUTED_VALUE"""),"Fully Remote with No option to visit offices")</f>
        <v>Fully Remote with No option to visit offices</v>
      </c>
      <c r="L1353" s="1" t="str">
        <f ca="1">IFERROR(__xludf.DUMMYFUNCTION("""COMPUTED_VALUE"""),"Employer who appreciates learning and enables that environment")</f>
        <v>Employer who appreciates learning and enables that environment</v>
      </c>
      <c r="M135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353" s="1" t="str">
        <f ca="1">IFERROR(__xludf.DUMMYFUNCTION("""COMPUTED_VALUE"""),"Teaching in any of the institutes/colleges/online or offline, Business Operations in any organization, Work as a freelancer and do my thing my way, Entrepreneur or Start Up")</f>
        <v>Teaching in any of the institutes/colleges/online or offline, Business Operations in any organization, Work as a freelancer and do my thing my way, Entrepreneur or Start Up</v>
      </c>
      <c r="O1353" s="1" t="str">
        <f ca="1">IFERROR(__xludf.DUMMYFUNCTION("""COMPUTED_VALUE"""),"Manager who sets targets and expects me to achieve it")</f>
        <v>Manager who sets targets and expects me to achieve it</v>
      </c>
      <c r="P1353" s="1" t="str">
        <f ca="1">IFERROR(__xludf.DUMMYFUNCTION("""COMPUTED_VALUE"""),"Work with 5 to 6 people in my team")</f>
        <v>Work with 5 to 6 people in my team</v>
      </c>
      <c r="Q1353" s="1" t="str">
        <f ca="1">IFERROR(__xludf.DUMMYFUNCTION("""COMPUTED_VALUE"""),"No")</f>
        <v>No</v>
      </c>
      <c r="R1353" s="1" t="str">
        <f ca="1">IFERROR(__xludf.DUMMYFUNCTION("""COMPUTED_VALUE"""),"This will be hard to do, but if it is the right company I would try")</f>
        <v>This will be hard to do, but if it is the right company I would try</v>
      </c>
      <c r="S1353" s="1"/>
    </row>
    <row r="1354" spans="1:19" ht="12.5" x14ac:dyDescent="0.25">
      <c r="A1354" s="2">
        <f ca="1">IFERROR(__xludf.DUMMYFUNCTION("""COMPUTED_VALUE"""),45044.7494698611)</f>
        <v>45044.749469861097</v>
      </c>
      <c r="B1354" s="1" t="str">
        <f ca="1">IFERROR(__xludf.DUMMYFUNCTION("""COMPUTED_VALUE"""),"India")</f>
        <v>India</v>
      </c>
      <c r="C1354" s="1">
        <f ca="1">IFERROR(__xludf.DUMMYFUNCTION("""COMPUTED_VALUE"""),500072)</f>
        <v>500072</v>
      </c>
      <c r="D1354" s="1" t="str">
        <f ca="1">IFERROR(__xludf.DUMMYFUNCTION("""COMPUTED_VALUE"""),"Female")</f>
        <v>Female</v>
      </c>
      <c r="E1354" s="1" t="str">
        <f ca="1">IFERROR(__xludf.DUMMYFUNCTION("""COMPUTED_VALUE"""),"My Parents")</f>
        <v>My Parents</v>
      </c>
      <c r="F1354" s="1" t="str">
        <f ca="1">IFERROR(__xludf.DUMMYFUNCTION("""COMPUTED_VALUE"""),"No I would not be pursuing Higher Education outside of India")</f>
        <v>No I would not be pursuing Higher Education outside of India</v>
      </c>
      <c r="G1354" s="1" t="str">
        <f ca="1">IFERROR(__xludf.DUMMYFUNCTION("""COMPUTED_VALUE"""),"Will work for 3 years or more")</f>
        <v>Will work for 3 years or more</v>
      </c>
      <c r="H1354" s="1" t="str">
        <f ca="1">IFERROR(__xludf.DUMMYFUNCTION("""COMPUTED_VALUE"""),"No")</f>
        <v>No</v>
      </c>
      <c r="I1354" s="1" t="str">
        <f ca="1">IFERROR(__xludf.DUMMYFUNCTION("""COMPUTED_VALUE"""),"Will NOT work for them")</f>
        <v>Will NOT work for them</v>
      </c>
      <c r="J1354" s="1">
        <f ca="1">IFERROR(__xludf.DUMMYFUNCTION("""COMPUTED_VALUE"""),1)</f>
        <v>1</v>
      </c>
      <c r="K1354" s="1" t="str">
        <f ca="1">IFERROR(__xludf.DUMMYFUNCTION("""COMPUTED_VALUE"""),"Fully Remote with No option to visit offices")</f>
        <v>Fully Remote with No option to visit offices</v>
      </c>
      <c r="L1354" s="1" t="str">
        <f ca="1">IFERROR(__xludf.DUMMYFUNCTION("""COMPUTED_VALUE"""),"Employer who appreciates learning and enables that environment")</f>
        <v>Employer who appreciates learning and enables that environment</v>
      </c>
      <c r="M135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354" s="1" t="str">
        <f ca="1">IFERROR(__xludf.DUMMYFUNCTION("""COMPUTED_VALUE"""),"Business Operations in any organization, Build and develop a Team, Look deeply into Data and generate insights, Work as a freelancer and do my thing my way")</f>
        <v>Business Operations in any organization, Build and develop a Team, Look deeply into Data and generate insights, Work as a freelancer and do my thing my way</v>
      </c>
      <c r="O1354" s="1" t="str">
        <f ca="1">IFERROR(__xludf.DUMMYFUNCTION("""COMPUTED_VALUE"""),"Manager who clearly describes what she/he needs")</f>
        <v>Manager who clearly describes what she/he needs</v>
      </c>
      <c r="P1354" s="1" t="str">
        <f ca="1">IFERROR(__xludf.DUMMYFUNCTION("""COMPUTED_VALUE"""),"Work with 5 to 6 people in my team")</f>
        <v>Work with 5 to 6 people in my team</v>
      </c>
      <c r="Q1354" s="1" t="str">
        <f ca="1">IFERROR(__xludf.DUMMYFUNCTION("""COMPUTED_VALUE"""),"Yes, I Understand this is gonna happen everywhere")</f>
        <v>Yes, I Understand this is gonna happen everywhere</v>
      </c>
      <c r="R1354" s="1" t="str">
        <f ca="1">IFERROR(__xludf.DUMMYFUNCTION("""COMPUTED_VALUE"""),"This will be hard to do, but if it is the right company I would try")</f>
        <v>This will be hard to do, but if it is the right company I would try</v>
      </c>
      <c r="S1354" s="1"/>
    </row>
    <row r="1355" spans="1:19" ht="12.5" x14ac:dyDescent="0.25">
      <c r="A1355" s="2">
        <f ca="1">IFERROR(__xludf.DUMMYFUNCTION("""COMPUTED_VALUE"""),45044.7495181481)</f>
        <v>45044.749518148099</v>
      </c>
      <c r="B1355" s="1" t="str">
        <f ca="1">IFERROR(__xludf.DUMMYFUNCTION("""COMPUTED_VALUE"""),"India")</f>
        <v>India</v>
      </c>
      <c r="C1355" s="1">
        <f ca="1">IFERROR(__xludf.DUMMYFUNCTION("""COMPUTED_VALUE"""),505208)</f>
        <v>505208</v>
      </c>
      <c r="D1355" s="1" t="str">
        <f ca="1">IFERROR(__xludf.DUMMYFUNCTION("""COMPUTED_VALUE"""),"Female")</f>
        <v>Female</v>
      </c>
      <c r="E1355" s="1" t="str">
        <f ca="1">IFERROR(__xludf.DUMMYFUNCTION("""COMPUTED_VALUE"""),"My Parents")</f>
        <v>My Parents</v>
      </c>
      <c r="F1355" s="1" t="str">
        <f ca="1">IFERROR(__xludf.DUMMYFUNCTION("""COMPUTED_VALUE"""),"Yes, I will earn and do that")</f>
        <v>Yes, I will earn and do that</v>
      </c>
      <c r="G1355" s="1" t="str">
        <f ca="1">IFERROR(__xludf.DUMMYFUNCTION("""COMPUTED_VALUE"""),"This will be hard to do, but if it is the right company I would try")</f>
        <v>This will be hard to do, but if it is the right company I would try</v>
      </c>
      <c r="H1355" s="1" t="str">
        <f ca="1">IFERROR(__xludf.DUMMYFUNCTION("""COMPUTED_VALUE"""),"No")</f>
        <v>No</v>
      </c>
      <c r="I1355" s="1" t="str">
        <f ca="1">IFERROR(__xludf.DUMMYFUNCTION("""COMPUTED_VALUE"""),"Will NOT work for them")</f>
        <v>Will NOT work for them</v>
      </c>
      <c r="J1355" s="1">
        <f ca="1">IFERROR(__xludf.DUMMYFUNCTION("""COMPUTED_VALUE"""),1)</f>
        <v>1</v>
      </c>
      <c r="K1355" s="1" t="str">
        <f ca="1">IFERROR(__xludf.DUMMYFUNCTION("""COMPUTED_VALUE"""),"Fully Remote with Options to travel as and when needed")</f>
        <v>Fully Remote with Options to travel as and when needed</v>
      </c>
      <c r="L1355" s="1" t="str">
        <f ca="1">IFERROR(__xludf.DUMMYFUNCTION("""COMPUTED_VALUE"""),"Employer who appreciates learning and enables that environment")</f>
        <v>Employer who appreciates learning and enables that environment</v>
      </c>
      <c r="M135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55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1355" s="1" t="str">
        <f ca="1">IFERROR(__xludf.DUMMYFUNCTION("""COMPUTED_VALUE"""),"Manager who sets targets and expects me to achieve it")</f>
        <v>Manager who sets targets and expects me to achieve it</v>
      </c>
      <c r="P1355" s="1" t="str">
        <f ca="1">IFERROR(__xludf.DUMMYFUNCTION("""COMPUTED_VALUE"""),"Work with 2 to 3 people in my team")</f>
        <v>Work with 2 to 3 people in my team</v>
      </c>
      <c r="Q1355" s="1" t="str">
        <f ca="1">IFERROR(__xludf.DUMMYFUNCTION("""COMPUTED_VALUE"""),"No")</f>
        <v>No</v>
      </c>
      <c r="R1355" s="1" t="str">
        <f ca="1">IFERROR(__xludf.DUMMYFUNCTION("""COMPUTED_VALUE"""),"This will be hard to do, but if it is the right company I would try")</f>
        <v>This will be hard to do, but if it is the right company I would try</v>
      </c>
      <c r="S1355" s="1"/>
    </row>
    <row r="1356" spans="1:19" ht="12.5" x14ac:dyDescent="0.25">
      <c r="A1356" s="2">
        <f ca="1">IFERROR(__xludf.DUMMYFUNCTION("""COMPUTED_VALUE"""),45044.7497099421)</f>
        <v>45044.749709942102</v>
      </c>
      <c r="B1356" s="1" t="str">
        <f ca="1">IFERROR(__xludf.DUMMYFUNCTION("""COMPUTED_VALUE"""),"India")</f>
        <v>India</v>
      </c>
      <c r="C1356" s="1">
        <f ca="1">IFERROR(__xludf.DUMMYFUNCTION("""COMPUTED_VALUE"""),560068)</f>
        <v>560068</v>
      </c>
      <c r="D1356" s="1" t="str">
        <f ca="1">IFERROR(__xludf.DUMMYFUNCTION("""COMPUTED_VALUE"""),"Female")</f>
        <v>Female</v>
      </c>
      <c r="E1356" s="1" t="str">
        <f ca="1">IFERROR(__xludf.DUMMYFUNCTION("""COMPUTED_VALUE"""),"People from my circle, but not family members")</f>
        <v>People from my circle, but not family members</v>
      </c>
      <c r="F1356" s="1" t="str">
        <f ca="1">IFERROR(__xludf.DUMMYFUNCTION("""COMPUTED_VALUE"""),"Yes, I will earn and do that")</f>
        <v>Yes, I will earn and do that</v>
      </c>
      <c r="G1356" s="1" t="str">
        <f ca="1">IFERROR(__xludf.DUMMYFUNCTION("""COMPUTED_VALUE"""),"Will work for 3 years or more")</f>
        <v>Will work for 3 years or more</v>
      </c>
      <c r="H1356" s="1" t="str">
        <f ca="1">IFERROR(__xludf.DUMMYFUNCTION("""COMPUTED_VALUE"""),"No")</f>
        <v>No</v>
      </c>
      <c r="I1356" s="1" t="str">
        <f ca="1">IFERROR(__xludf.DUMMYFUNCTION("""COMPUTED_VALUE"""),"Will NOT work for them")</f>
        <v>Will NOT work for them</v>
      </c>
      <c r="J1356" s="1">
        <f ca="1">IFERROR(__xludf.DUMMYFUNCTION("""COMPUTED_VALUE"""),8)</f>
        <v>8</v>
      </c>
      <c r="K1356" s="1" t="str">
        <f ca="1">IFERROR(__xludf.DUMMYFUNCTION("""COMPUTED_VALUE"""),"Hybrid Working Environment with more than 15 days a month at office")</f>
        <v>Hybrid Working Environment with more than 15 days a month at office</v>
      </c>
      <c r="L13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5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56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356" s="1" t="str">
        <f ca="1">IFERROR(__xludf.DUMMYFUNCTION("""COMPUTED_VALUE"""),"Manager who explains what is expected, sets a goal and helps achieve it")</f>
        <v>Manager who explains what is expected, sets a goal and helps achieve it</v>
      </c>
      <c r="P1356" s="1" t="str">
        <f ca="1">IFERROR(__xludf.DUMMYFUNCTION("""COMPUTED_VALUE"""),"Work with 5 to 6 people in my team")</f>
        <v>Work with 5 to 6 people in my team</v>
      </c>
      <c r="Q1356" s="1" t="str">
        <f ca="1">IFERROR(__xludf.DUMMYFUNCTION("""COMPUTED_VALUE"""),"Yes, I Understand this is gonna happen everywhere")</f>
        <v>Yes, I Understand this is gonna happen everywhere</v>
      </c>
      <c r="R1356" s="1" t="str">
        <f ca="1">IFERROR(__xludf.DUMMYFUNCTION("""COMPUTED_VALUE"""),"This will be hard to do, but if it is the right company I would try")</f>
        <v>This will be hard to do, but if it is the right company I would try</v>
      </c>
      <c r="S1356" s="1"/>
    </row>
    <row r="1357" spans="1:19" ht="12.5" x14ac:dyDescent="0.25">
      <c r="A1357" s="2">
        <f ca="1">IFERROR(__xludf.DUMMYFUNCTION("""COMPUTED_VALUE"""),45044.7497099421)</f>
        <v>45044.749709942102</v>
      </c>
      <c r="B1357" s="1" t="str">
        <f ca="1">IFERROR(__xludf.DUMMYFUNCTION("""COMPUTED_VALUE"""),"India")</f>
        <v>India</v>
      </c>
      <c r="C1357" s="1">
        <f ca="1">IFERROR(__xludf.DUMMYFUNCTION("""COMPUTED_VALUE"""),600054)</f>
        <v>600054</v>
      </c>
      <c r="D1357" s="1" t="str">
        <f ca="1">IFERROR(__xludf.DUMMYFUNCTION("""COMPUTED_VALUE"""),"Female")</f>
        <v>Female</v>
      </c>
      <c r="E1357" s="1" t="str">
        <f ca="1">IFERROR(__xludf.DUMMYFUNCTION("""COMPUTED_VALUE"""),"Influencers who had successful careers")</f>
        <v>Influencers who had successful careers</v>
      </c>
      <c r="F1357" s="1" t="str">
        <f ca="1">IFERROR(__xludf.DUMMYFUNCTION("""COMPUTED_VALUE"""),"No, But if someone could bare the cost I will")</f>
        <v>No, But if someone could bare the cost I will</v>
      </c>
      <c r="G1357" s="1" t="str">
        <f ca="1">IFERROR(__xludf.DUMMYFUNCTION("""COMPUTED_VALUE"""),"This will be hard to do, but if it is the right company I would try")</f>
        <v>This will be hard to do, but if it is the right company I would try</v>
      </c>
      <c r="H1357" s="1" t="str">
        <f ca="1">IFERROR(__xludf.DUMMYFUNCTION("""COMPUTED_VALUE"""),"No")</f>
        <v>No</v>
      </c>
      <c r="I1357" s="1" t="str">
        <f ca="1">IFERROR(__xludf.DUMMYFUNCTION("""COMPUTED_VALUE"""),"Will work for them")</f>
        <v>Will work for them</v>
      </c>
      <c r="J1357" s="1">
        <f ca="1">IFERROR(__xludf.DUMMYFUNCTION("""COMPUTED_VALUE"""),6)</f>
        <v>6</v>
      </c>
      <c r="K1357" s="1" t="str">
        <f ca="1">IFERROR(__xludf.DUMMYFUNCTION("""COMPUTED_VALUE"""),"Hybrid Working Environment with more than 15 days a month at office")</f>
        <v>Hybrid Working Environment with more than 15 days a month at office</v>
      </c>
      <c r="L13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5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57" s="1" t="str">
        <f ca="1">IFERROR(__xludf.DUMMYFUNCTION("""COMPUTED_VALUE"""),"Teaching in any of the institutes/colleges/online or offline, Manage and drive End-to-End Projects or Products, Look deeply into Data and generate insights, Entrepreneur or Start Up")</f>
        <v>Teaching in any of the institutes/colleges/online or offline, Manage and drive End-to-End Projects or Products, Look deeply into Data and generate insights, Entrepreneur or Start Up</v>
      </c>
      <c r="O1357" s="1" t="str">
        <f ca="1">IFERROR(__xludf.DUMMYFUNCTION("""COMPUTED_VALUE"""),"Manager who explains what is expected, sets a goal and helps achieve it")</f>
        <v>Manager who explains what is expected, sets a goal and helps achieve it</v>
      </c>
      <c r="P1357" s="1" t="str">
        <f ca="1">IFERROR(__xludf.DUMMYFUNCTION("""COMPUTED_VALUE"""),"Work with 2 to 3 people in my team, Work with 5 to 6 people in my team")</f>
        <v>Work with 2 to 3 people in my team, Work with 5 to 6 people in my team</v>
      </c>
      <c r="Q1357" s="1" t="str">
        <f ca="1">IFERROR(__xludf.DUMMYFUNCTION("""COMPUTED_VALUE"""),"Yes, I Understand this is gonna happen everywhere")</f>
        <v>Yes, I Understand this is gonna happen everywhere</v>
      </c>
      <c r="R1357" s="1" t="str">
        <f ca="1">IFERROR(__xludf.DUMMYFUNCTION("""COMPUTED_VALUE"""),"This will be hard to do, but if it is the right company I would try")</f>
        <v>This will be hard to do, but if it is the right company I would try</v>
      </c>
      <c r="S1357" s="1"/>
    </row>
    <row r="1358" spans="1:19" ht="12.5" x14ac:dyDescent="0.25">
      <c r="A1358" s="2">
        <f ca="1">IFERROR(__xludf.DUMMYFUNCTION("""COMPUTED_VALUE"""),45044.7506181944)</f>
        <v>45044.750618194397</v>
      </c>
      <c r="B1358" s="1" t="str">
        <f ca="1">IFERROR(__xludf.DUMMYFUNCTION("""COMPUTED_VALUE"""),"India")</f>
        <v>India</v>
      </c>
      <c r="C1358" s="1">
        <f ca="1">IFERROR(__xludf.DUMMYFUNCTION("""COMPUTED_VALUE"""),560107)</f>
        <v>560107</v>
      </c>
      <c r="D1358" s="1" t="str">
        <f ca="1">IFERROR(__xludf.DUMMYFUNCTION("""COMPUTED_VALUE"""),"Male")</f>
        <v>Male</v>
      </c>
      <c r="E1358" s="1" t="str">
        <f ca="1">IFERROR(__xludf.DUMMYFUNCTION("""COMPUTED_VALUE"""),"People from my circle, but not family members")</f>
        <v>People from my circle, but not family members</v>
      </c>
      <c r="F1358" s="1" t="str">
        <f ca="1">IFERROR(__xludf.DUMMYFUNCTION("""COMPUTED_VALUE"""),"No, But if someone could bare the cost I will")</f>
        <v>No, But if someone could bare the cost I will</v>
      </c>
      <c r="G1358" s="1" t="str">
        <f ca="1">IFERROR(__xludf.DUMMYFUNCTION("""COMPUTED_VALUE"""),"This will be hard to do, but if it is the right company I would try")</f>
        <v>This will be hard to do, but if it is the right company I would try</v>
      </c>
      <c r="H1358" s="1" t="str">
        <f ca="1">IFERROR(__xludf.DUMMYFUNCTION("""COMPUTED_VALUE"""),"No")</f>
        <v>No</v>
      </c>
      <c r="I1358" s="1" t="str">
        <f ca="1">IFERROR(__xludf.DUMMYFUNCTION("""COMPUTED_VALUE"""),"Will NOT work for them")</f>
        <v>Will NOT work for them</v>
      </c>
      <c r="J1358" s="1">
        <f ca="1">IFERROR(__xludf.DUMMYFUNCTION("""COMPUTED_VALUE"""),5)</f>
        <v>5</v>
      </c>
      <c r="K1358" s="1" t="str">
        <f ca="1">IFERROR(__xludf.DUMMYFUNCTION("""COMPUTED_VALUE"""),"Hybrid Working Environment with more than 15 days a month at office")</f>
        <v>Hybrid Working Environment with more than 15 days a month at office</v>
      </c>
      <c r="L13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58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358" s="1" t="str">
        <f ca="1">IFERROR(__xludf.DUMMYFUNCTION("""COMPUTED_VALUE"""),"Business Operations in any organization, Build and develop a Team, Work in a BPO setup for some well known client, Manufacturing / Oil and Gas/ Construction / Hard Physical Work related")</f>
        <v>Business Operations in any organization, Build and develop a Team, Work in a BPO setup for some well known client, Manufacturing / Oil and Gas/ Construction / Hard Physical Work related</v>
      </c>
      <c r="O1358" s="1" t="str">
        <f ca="1">IFERROR(__xludf.DUMMYFUNCTION("""COMPUTED_VALUE"""),"Manager who sets goal and helps me achieve it")</f>
        <v>Manager who sets goal and helps me achieve it</v>
      </c>
      <c r="P1358" s="1" t="str">
        <f ca="1">IFERROR(__xludf.DUMMYFUNCTION("""COMPUTED_VALUE"""),"Work with 5 to 6 people in my team")</f>
        <v>Work with 5 to 6 people in my team</v>
      </c>
      <c r="Q1358" s="1" t="str">
        <f ca="1">IFERROR(__xludf.DUMMYFUNCTION("""COMPUTED_VALUE"""),"Yes, I Understand this is gonna happen everywhere")</f>
        <v>Yes, I Understand this is gonna happen everywhere</v>
      </c>
      <c r="R1358" s="1" t="str">
        <f ca="1">IFERROR(__xludf.DUMMYFUNCTION("""COMPUTED_VALUE"""),"This will be hard to do, but if it is the right company I would try")</f>
        <v>This will be hard to do, but if it is the right company I would try</v>
      </c>
      <c r="S1358" s="1"/>
    </row>
    <row r="1359" spans="1:19" ht="12.5" x14ac:dyDescent="0.25">
      <c r="A1359" s="2">
        <f ca="1">IFERROR(__xludf.DUMMYFUNCTION("""COMPUTED_VALUE"""),45044.7513010995)</f>
        <v>45044.751301099503</v>
      </c>
      <c r="B1359" s="1" t="str">
        <f ca="1">IFERROR(__xludf.DUMMYFUNCTION("""COMPUTED_VALUE"""),"India")</f>
        <v>India</v>
      </c>
      <c r="C1359" s="1">
        <f ca="1">IFERROR(__xludf.DUMMYFUNCTION("""COMPUTED_VALUE"""),600119)</f>
        <v>600119</v>
      </c>
      <c r="D1359" s="1" t="str">
        <f ca="1">IFERROR(__xludf.DUMMYFUNCTION("""COMPUTED_VALUE"""),"Male")</f>
        <v>Male</v>
      </c>
      <c r="E1359" s="1" t="str">
        <f ca="1">IFERROR(__xludf.DUMMYFUNCTION("""COMPUTED_VALUE"""),"People who have changed the world for better")</f>
        <v>People who have changed the world for better</v>
      </c>
      <c r="F1359" s="1" t="str">
        <f ca="1">IFERROR(__xludf.DUMMYFUNCTION("""COMPUTED_VALUE"""),"Yes, I will earn and do that")</f>
        <v>Yes, I will earn and do that</v>
      </c>
      <c r="G1359" s="1" t="str">
        <f ca="1">IFERROR(__xludf.DUMMYFUNCTION("""COMPUTED_VALUE"""),"Will work for 3 years or more")</f>
        <v>Will work for 3 years or more</v>
      </c>
      <c r="H1359" s="1" t="str">
        <f ca="1">IFERROR(__xludf.DUMMYFUNCTION("""COMPUTED_VALUE"""),"No")</f>
        <v>No</v>
      </c>
      <c r="I1359" s="1" t="str">
        <f ca="1">IFERROR(__xludf.DUMMYFUNCTION("""COMPUTED_VALUE"""),"Will NOT work for them")</f>
        <v>Will NOT work for them</v>
      </c>
      <c r="J1359" s="1">
        <f ca="1">IFERROR(__xludf.DUMMYFUNCTION("""COMPUTED_VALUE"""),10)</f>
        <v>10</v>
      </c>
      <c r="K1359" s="1" t="str">
        <f ca="1">IFERROR(__xludf.DUMMYFUNCTION("""COMPUTED_VALUE"""),"Every Day Office Environment")</f>
        <v>Every Day Office Environment</v>
      </c>
      <c r="L1359" s="1" t="str">
        <f ca="1">IFERROR(__xludf.DUMMYFUNCTION("""COMPUTED_VALUE"""),"Employer who appreciates learning and enables that environment")</f>
        <v>Employer who appreciates learning and enables that environment</v>
      </c>
      <c r="M135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59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359" s="1" t="str">
        <f ca="1">IFERROR(__xludf.DUMMYFUNCTION("""COMPUTED_VALUE"""),"Manager who explains what is expected, sets a goal and helps achieve it")</f>
        <v>Manager who explains what is expected, sets a goal and helps achieve it</v>
      </c>
      <c r="P1359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359" s="1" t="str">
        <f ca="1">IFERROR(__xludf.DUMMYFUNCTION("""COMPUTED_VALUE"""),"Yes, I Understand this is gonna happen everywhere")</f>
        <v>Yes, I Understand this is gonna happen everywhere</v>
      </c>
      <c r="R1359" s="1" t="str">
        <f ca="1">IFERROR(__xludf.DUMMYFUNCTION("""COMPUTED_VALUE"""),"This will be hard to do, but if it is the right company I would try")</f>
        <v>This will be hard to do, but if it is the right company I would try</v>
      </c>
      <c r="S1359" s="1"/>
    </row>
    <row r="1360" spans="1:19" ht="12.5" x14ac:dyDescent="0.25">
      <c r="A1360" s="2">
        <f ca="1">IFERROR(__xludf.DUMMYFUNCTION("""COMPUTED_VALUE"""),45044.7567718634)</f>
        <v>45044.756771863402</v>
      </c>
      <c r="B1360" s="1" t="str">
        <f ca="1">IFERROR(__xludf.DUMMYFUNCTION("""COMPUTED_VALUE"""),"India")</f>
        <v>India</v>
      </c>
      <c r="C1360" s="1">
        <f ca="1">IFERROR(__xludf.DUMMYFUNCTION("""COMPUTED_VALUE"""),700082)</f>
        <v>700082</v>
      </c>
      <c r="D1360" s="1" t="str">
        <f ca="1">IFERROR(__xludf.DUMMYFUNCTION("""COMPUTED_VALUE"""),"Male")</f>
        <v>Male</v>
      </c>
      <c r="E1360" s="1" t="str">
        <f ca="1">IFERROR(__xludf.DUMMYFUNCTION("""COMPUTED_VALUE"""),"People from my circle, but not family members")</f>
        <v>People from my circle, but not family members</v>
      </c>
      <c r="F1360" s="1" t="str">
        <f ca="1">IFERROR(__xludf.DUMMYFUNCTION("""COMPUTED_VALUE"""),"No, But if someone could bare the cost I will")</f>
        <v>No, But if someone could bare the cost I will</v>
      </c>
      <c r="G1360" s="1" t="str">
        <f ca="1">IFERROR(__xludf.DUMMYFUNCTION("""COMPUTED_VALUE"""),"Will work for 3 years or more")</f>
        <v>Will work for 3 years or more</v>
      </c>
      <c r="H1360" s="1" t="str">
        <f ca="1">IFERROR(__xludf.DUMMYFUNCTION("""COMPUTED_VALUE"""),"No")</f>
        <v>No</v>
      </c>
      <c r="I1360" s="1" t="str">
        <f ca="1">IFERROR(__xludf.DUMMYFUNCTION("""COMPUTED_VALUE"""),"Will NOT work for them")</f>
        <v>Will NOT work for them</v>
      </c>
      <c r="J1360" s="1">
        <f ca="1">IFERROR(__xludf.DUMMYFUNCTION("""COMPUTED_VALUE"""),6)</f>
        <v>6</v>
      </c>
      <c r="K1360" s="1" t="str">
        <f ca="1">IFERROR(__xludf.DUMMYFUNCTION("""COMPUTED_VALUE"""),"Hybrid Working Environment with more than 15 days a month at office")</f>
        <v>Hybrid Working Environment with more than 15 days a month at office</v>
      </c>
      <c r="L13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6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60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1360" s="1" t="str">
        <f ca="1">IFERROR(__xludf.DUMMYFUNCTION("""COMPUTED_VALUE"""),"Manager who sets goal and helps me achieve it")</f>
        <v>Manager who sets goal and helps me achieve it</v>
      </c>
      <c r="P1360" s="1" t="str">
        <f ca="1">IFERROR(__xludf.DUMMYFUNCTION("""COMPUTED_VALUE"""),"Work with 5 to 6 people in my team")</f>
        <v>Work with 5 to 6 people in my team</v>
      </c>
      <c r="Q1360" s="1" t="str">
        <f ca="1">IFERROR(__xludf.DUMMYFUNCTION("""COMPUTED_VALUE"""),"Yes, I Understand this is gonna happen everywhere")</f>
        <v>Yes, I Understand this is gonna happen everywhere</v>
      </c>
      <c r="R1360" s="1" t="str">
        <f ca="1">IFERROR(__xludf.DUMMYFUNCTION("""COMPUTED_VALUE"""),"This will be hard to do, but if it is the right company I would try")</f>
        <v>This will be hard to do, but if it is the right company I would try</v>
      </c>
      <c r="S1360" s="1"/>
    </row>
    <row r="1361" spans="1:19" ht="12.5" x14ac:dyDescent="0.25">
      <c r="A1361" s="2">
        <f ca="1">IFERROR(__xludf.DUMMYFUNCTION("""COMPUTED_VALUE"""),45044.7724836458)</f>
        <v>45044.7724836458</v>
      </c>
      <c r="B1361" s="1" t="str">
        <f ca="1">IFERROR(__xludf.DUMMYFUNCTION("""COMPUTED_VALUE"""),"India")</f>
        <v>India</v>
      </c>
      <c r="C1361" s="1">
        <f ca="1">IFERROR(__xludf.DUMMYFUNCTION("""COMPUTED_VALUE"""),530004)</f>
        <v>530004</v>
      </c>
      <c r="D1361" s="1" t="str">
        <f ca="1">IFERROR(__xludf.DUMMYFUNCTION("""COMPUTED_VALUE"""),"Female")</f>
        <v>Female</v>
      </c>
      <c r="E1361" s="1" t="str">
        <f ca="1">IFERROR(__xludf.DUMMYFUNCTION("""COMPUTED_VALUE"""),"My Parents")</f>
        <v>My Parents</v>
      </c>
      <c r="F1361" s="1" t="str">
        <f ca="1">IFERROR(__xludf.DUMMYFUNCTION("""COMPUTED_VALUE"""),"No, But if someone could bare the cost I will")</f>
        <v>No, But if someone could bare the cost I will</v>
      </c>
      <c r="G1361" s="1" t="str">
        <f ca="1">IFERROR(__xludf.DUMMYFUNCTION("""COMPUTED_VALUE"""),"This will be hard to do, but if it is the right company I would try")</f>
        <v>This will be hard to do, but if it is the right company I would try</v>
      </c>
      <c r="H1361" s="1" t="str">
        <f ca="1">IFERROR(__xludf.DUMMYFUNCTION("""COMPUTED_VALUE"""),"Yes")</f>
        <v>Yes</v>
      </c>
      <c r="I1361" s="1" t="str">
        <f ca="1">IFERROR(__xludf.DUMMYFUNCTION("""COMPUTED_VALUE"""),"Will work for them")</f>
        <v>Will work for them</v>
      </c>
      <c r="J1361" s="1">
        <f ca="1">IFERROR(__xludf.DUMMYFUNCTION("""COMPUTED_VALUE"""),1)</f>
        <v>1</v>
      </c>
      <c r="K1361" s="1" t="str">
        <f ca="1">IFERROR(__xludf.DUMMYFUNCTION("""COMPUTED_VALUE"""),"Hybrid Working Environment with less than 3 days a month at office")</f>
        <v>Hybrid Working Environment with less than 3 days a month at office</v>
      </c>
      <c r="L13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6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61" s="1" t="str">
        <f ca="1">IFERROR(__xludf.DUMMYFUNCTION("""COMPUTED_VALUE"""),"Design and Creative strategy in any company, Teaching in any of the institutes/colleges/online or offline, Business Operations in any organization, Work as a freelancer and do my thing my way")</f>
        <v>Design and Creative strategy in any company, Teaching in any of the institutes/colleges/online or offline, Business Operations in any organization, Work as a freelancer and do my thing my way</v>
      </c>
      <c r="O1361" s="1" t="str">
        <f ca="1">IFERROR(__xludf.DUMMYFUNCTION("""COMPUTED_VALUE"""),"Manager who sets goal and helps me achieve it")</f>
        <v>Manager who sets goal and helps me achieve it</v>
      </c>
      <c r="P1361" s="1" t="str">
        <f ca="1">IFERROR(__xludf.DUMMYFUNCTION("""COMPUTED_VALUE"""),"Work alone")</f>
        <v>Work alone</v>
      </c>
      <c r="Q1361" s="1" t="str">
        <f ca="1">IFERROR(__xludf.DUMMYFUNCTION("""COMPUTED_VALUE"""),"Yes")</f>
        <v>Yes</v>
      </c>
      <c r="R1361" s="1" t="str">
        <f ca="1">IFERROR(__xludf.DUMMYFUNCTION("""COMPUTED_VALUE"""),"This will be hard to do, but if it is the right company I would try")</f>
        <v>This will be hard to do, but if it is the right company I would try</v>
      </c>
      <c r="S1361" s="1"/>
    </row>
    <row r="1362" spans="1:19" ht="12.5" x14ac:dyDescent="0.25">
      <c r="A1362" s="2">
        <f ca="1">IFERROR(__xludf.DUMMYFUNCTION("""COMPUTED_VALUE"""),45044.7733641782)</f>
        <v>45044.773364178203</v>
      </c>
      <c r="B1362" s="1" t="str">
        <f ca="1">IFERROR(__xludf.DUMMYFUNCTION("""COMPUTED_VALUE"""),"India")</f>
        <v>India</v>
      </c>
      <c r="C1362" s="1">
        <f ca="1">IFERROR(__xludf.DUMMYFUNCTION("""COMPUTED_VALUE"""),190015)</f>
        <v>190015</v>
      </c>
      <c r="D1362" s="1" t="str">
        <f ca="1">IFERROR(__xludf.DUMMYFUNCTION("""COMPUTED_VALUE"""),"Female")</f>
        <v>Female</v>
      </c>
      <c r="E1362" s="1" t="str">
        <f ca="1">IFERROR(__xludf.DUMMYFUNCTION("""COMPUTED_VALUE"""),"My Parents")</f>
        <v>My Parents</v>
      </c>
      <c r="F1362" s="1" t="str">
        <f ca="1">IFERROR(__xludf.DUMMYFUNCTION("""COMPUTED_VALUE"""),"Yes, I will earn and do that")</f>
        <v>Yes, I will earn and do that</v>
      </c>
      <c r="G1362" s="1" t="str">
        <f ca="1">IFERROR(__xludf.DUMMYFUNCTION("""COMPUTED_VALUE"""),"No way")</f>
        <v>No way</v>
      </c>
      <c r="H1362" s="1" t="str">
        <f ca="1">IFERROR(__xludf.DUMMYFUNCTION("""COMPUTED_VALUE"""),"No")</f>
        <v>No</v>
      </c>
      <c r="I1362" s="1" t="str">
        <f ca="1">IFERROR(__xludf.DUMMYFUNCTION("""COMPUTED_VALUE"""),"Will NOT work for them")</f>
        <v>Will NOT work for them</v>
      </c>
      <c r="J1362" s="1">
        <f ca="1">IFERROR(__xludf.DUMMYFUNCTION("""COMPUTED_VALUE"""),6)</f>
        <v>6</v>
      </c>
      <c r="K1362" s="1" t="str">
        <f ca="1">IFERROR(__xludf.DUMMYFUNCTION("""COMPUTED_VALUE"""),"Hybrid Working Environment with less than 3 days a month at office")</f>
        <v>Hybrid Working Environment with less than 3 days a month at office</v>
      </c>
      <c r="L1362" s="1" t="str">
        <f ca="1">IFERROR(__xludf.DUMMYFUNCTION("""COMPUTED_VALUE"""),"Employer who rewards learning and enables that environment")</f>
        <v>Employer who rewards learning and enables that environment</v>
      </c>
      <c r="M136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62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1362" s="1" t="str">
        <f ca="1">IFERROR(__xludf.DUMMYFUNCTION("""COMPUTED_VALUE"""),"Manager who sets goal and helps me achieve it")</f>
        <v>Manager who sets goal and helps me achieve it</v>
      </c>
      <c r="P1362" s="1" t="str">
        <f ca="1">IFERROR(__xludf.DUMMYFUNCTION("""COMPUTED_VALUE"""),"Work with more than 10 people in my team")</f>
        <v>Work with more than 10 people in my team</v>
      </c>
      <c r="Q1362" s="1" t="str">
        <f ca="1">IFERROR(__xludf.DUMMYFUNCTION("""COMPUTED_VALUE"""),"Yes, I Understand this is gonna happen everywhere")</f>
        <v>Yes, I Understand this is gonna happen everywhere</v>
      </c>
      <c r="R1362" s="1" t="str">
        <f ca="1">IFERROR(__xludf.DUMMYFUNCTION("""COMPUTED_VALUE"""),"No way")</f>
        <v>No way</v>
      </c>
      <c r="S1362" s="1"/>
    </row>
    <row r="1363" spans="1:19" ht="12.5" x14ac:dyDescent="0.25">
      <c r="A1363" s="2">
        <f ca="1">IFERROR(__xludf.DUMMYFUNCTION("""COMPUTED_VALUE"""),45044.7804307638)</f>
        <v>45044.7804307638</v>
      </c>
      <c r="B1363" s="1" t="str">
        <f ca="1">IFERROR(__xludf.DUMMYFUNCTION("""COMPUTED_VALUE"""),"India")</f>
        <v>India</v>
      </c>
      <c r="C1363" s="1">
        <f ca="1">IFERROR(__xludf.DUMMYFUNCTION("""COMPUTED_VALUE"""),110062)</f>
        <v>110062</v>
      </c>
      <c r="D1363" s="1" t="str">
        <f ca="1">IFERROR(__xludf.DUMMYFUNCTION("""COMPUTED_VALUE"""),"Male")</f>
        <v>Male</v>
      </c>
      <c r="E1363" s="1" t="str">
        <f ca="1">IFERROR(__xludf.DUMMYFUNCTION("""COMPUTED_VALUE"""),"People who have changed the world for better")</f>
        <v>People who have changed the world for better</v>
      </c>
      <c r="F1363" s="1" t="str">
        <f ca="1">IFERROR(__xludf.DUMMYFUNCTION("""COMPUTED_VALUE"""),"Yes, I will earn and do that")</f>
        <v>Yes, I will earn and do that</v>
      </c>
      <c r="G1363" s="1" t="str">
        <f ca="1">IFERROR(__xludf.DUMMYFUNCTION("""COMPUTED_VALUE"""),"This will be hard to do, but if it is the right company I would try")</f>
        <v>This will be hard to do, but if it is the right company I would try</v>
      </c>
      <c r="H1363" s="1" t="str">
        <f ca="1">IFERROR(__xludf.DUMMYFUNCTION("""COMPUTED_VALUE"""),"Yes")</f>
        <v>Yes</v>
      </c>
      <c r="I1363" s="1" t="str">
        <f ca="1">IFERROR(__xludf.DUMMYFUNCTION("""COMPUTED_VALUE"""),"Will work for them")</f>
        <v>Will work for them</v>
      </c>
      <c r="J1363" s="1">
        <f ca="1">IFERROR(__xludf.DUMMYFUNCTION("""COMPUTED_VALUE"""),10)</f>
        <v>10</v>
      </c>
      <c r="K1363" s="1" t="str">
        <f ca="1">IFERROR(__xludf.DUMMYFUNCTION("""COMPUTED_VALUE"""),"Hybrid Working Environment with more than 15 days a month at office")</f>
        <v>Hybrid Working Environment with more than 15 days a month at office</v>
      </c>
      <c r="L13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6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63" s="1" t="str">
        <f ca="1">IFERROR(__xludf.DUMMYFUNCTION("""COMPUTED_VALUE"""),"Design and Develop amazing software, Entrepreneur or Start Up, An Artificial Intelligence Specialist / Talking to Robots, Manufacturing / Oil and Gas/ Construction / Hard Physical Work related")</f>
        <v>Design and Develop amazing software, Entrepreneur or Start Up, An Artificial Intelligence Specialist / Talking to Robots, Manufacturing / Oil and Gas/ Construction / Hard Physical Work related</v>
      </c>
      <c r="O1363" s="1" t="str">
        <f ca="1">IFERROR(__xludf.DUMMYFUNCTION("""COMPUTED_VALUE"""),"Manager who clearly describes what she/he needs")</f>
        <v>Manager who clearly describes what she/he needs</v>
      </c>
      <c r="P1363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363" s="1" t="str">
        <f ca="1">IFERROR(__xludf.DUMMYFUNCTION("""COMPUTED_VALUE"""),"I have NO other choice")</f>
        <v>I have NO other choice</v>
      </c>
      <c r="R1363" s="1" t="str">
        <f ca="1">IFERROR(__xludf.DUMMYFUNCTION("""COMPUTED_VALUE"""),"No way")</f>
        <v>No way</v>
      </c>
      <c r="S1363" s="1"/>
    </row>
    <row r="1364" spans="1:19" ht="12.5" x14ac:dyDescent="0.25">
      <c r="A1364" s="2">
        <f ca="1">IFERROR(__xludf.DUMMYFUNCTION("""COMPUTED_VALUE"""),45044.7870348032)</f>
        <v>45044.787034803201</v>
      </c>
      <c r="B1364" s="1" t="str">
        <f ca="1">IFERROR(__xludf.DUMMYFUNCTION("""COMPUTED_VALUE"""),"India")</f>
        <v>India</v>
      </c>
      <c r="C1364" s="1">
        <f ca="1">IFERROR(__xludf.DUMMYFUNCTION("""COMPUTED_VALUE"""),804453)</f>
        <v>804453</v>
      </c>
      <c r="D1364" s="1" t="str">
        <f ca="1">IFERROR(__xludf.DUMMYFUNCTION("""COMPUTED_VALUE"""),"Male")</f>
        <v>Male</v>
      </c>
      <c r="E1364" s="1" t="str">
        <f ca="1">IFERROR(__xludf.DUMMYFUNCTION("""COMPUTED_VALUE"""),"People who have changed the world for better")</f>
        <v>People who have changed the world for better</v>
      </c>
      <c r="F1364" s="1" t="str">
        <f ca="1">IFERROR(__xludf.DUMMYFUNCTION("""COMPUTED_VALUE"""),"Yes, I will earn and do that")</f>
        <v>Yes, I will earn and do that</v>
      </c>
      <c r="G1364" s="1" t="str">
        <f ca="1">IFERROR(__xludf.DUMMYFUNCTION("""COMPUTED_VALUE"""),"Will work for 3 years or more")</f>
        <v>Will work for 3 years or more</v>
      </c>
      <c r="H1364" s="1" t="str">
        <f ca="1">IFERROR(__xludf.DUMMYFUNCTION("""COMPUTED_VALUE"""),"Yes")</f>
        <v>Yes</v>
      </c>
      <c r="I1364" s="1" t="str">
        <f ca="1">IFERROR(__xludf.DUMMYFUNCTION("""COMPUTED_VALUE"""),"Will work for them")</f>
        <v>Will work for them</v>
      </c>
      <c r="J1364" s="1">
        <f ca="1">IFERROR(__xludf.DUMMYFUNCTION("""COMPUTED_VALUE"""),6)</f>
        <v>6</v>
      </c>
      <c r="K1364" s="1" t="str">
        <f ca="1">IFERROR(__xludf.DUMMYFUNCTION("""COMPUTED_VALUE"""),"Fully Remote with Options to travel as and when needed")</f>
        <v>Fully Remote with Options to travel as and when needed</v>
      </c>
      <c r="L1364" s="1" t="str">
        <f ca="1">IFERROR(__xludf.DUMMYFUNCTION("""COMPUTED_VALUE"""),"Employer who appreciates learning and enables that environment")</f>
        <v>Employer who appreciates learning and enables that environment</v>
      </c>
      <c r="M136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364" s="1" t="str">
        <f ca="1">IFERROR(__xludf.DUMMYFUNCTION("""COMPUTED_VALUE"""),"Work as a freelancer and do my thing my way, Become a content Creator in some platform, I Want to sell things/Sales, An Artificial Intelligence Specialist / Talking to Robots")</f>
        <v>Work as a freelancer and do my thing my way, Become a content Creator in some platform, I Want to sell things/Sales, An Artificial Intelligence Specialist / Talking to Robots</v>
      </c>
      <c r="O1364" s="1" t="str">
        <f ca="1">IFERROR(__xludf.DUMMYFUNCTION("""COMPUTED_VALUE"""),"Manager who clearly describes what she/he needs")</f>
        <v>Manager who clearly describes what she/he needs</v>
      </c>
      <c r="P1364" s="1" t="str">
        <f ca="1">IFERROR(__xludf.DUMMYFUNCTION("""COMPUTED_VALUE"""),"Work with 2 to 3 people in my team")</f>
        <v>Work with 2 to 3 people in my team</v>
      </c>
      <c r="Q1364" s="1" t="str">
        <f ca="1">IFERROR(__xludf.DUMMYFUNCTION("""COMPUTED_VALUE"""),"Yes, I Understand this is gonna happen everywhere")</f>
        <v>Yes, I Understand this is gonna happen everywhere</v>
      </c>
      <c r="R1364" s="1" t="str">
        <f ca="1">IFERROR(__xludf.DUMMYFUNCTION("""COMPUTED_VALUE"""),"This will be hard to do, but if it is the right company I would try")</f>
        <v>This will be hard to do, but if it is the right company I would try</v>
      </c>
      <c r="S1364" s="1"/>
    </row>
    <row r="1365" spans="1:19" ht="12.5" x14ac:dyDescent="0.25">
      <c r="A1365" s="2">
        <f ca="1">IFERROR(__xludf.DUMMYFUNCTION("""COMPUTED_VALUE"""),45044.7872483912)</f>
        <v>45044.7872483912</v>
      </c>
      <c r="B1365" s="1" t="str">
        <f ca="1">IFERROR(__xludf.DUMMYFUNCTION("""COMPUTED_VALUE"""),"India")</f>
        <v>India</v>
      </c>
      <c r="C1365" s="1">
        <f ca="1">IFERROR(__xludf.DUMMYFUNCTION("""COMPUTED_VALUE"""),560107)</f>
        <v>560107</v>
      </c>
      <c r="D1365" s="1" t="str">
        <f ca="1">IFERROR(__xludf.DUMMYFUNCTION("""COMPUTED_VALUE"""),"Male")</f>
        <v>Male</v>
      </c>
      <c r="E1365" s="1" t="str">
        <f ca="1">IFERROR(__xludf.DUMMYFUNCTION("""COMPUTED_VALUE"""),"My Parents")</f>
        <v>My Parents</v>
      </c>
      <c r="F1365" s="1" t="str">
        <f ca="1">IFERROR(__xludf.DUMMYFUNCTION("""COMPUTED_VALUE"""),"Yes, I will earn and do that")</f>
        <v>Yes, I will earn and do that</v>
      </c>
      <c r="G1365" s="1" t="str">
        <f ca="1">IFERROR(__xludf.DUMMYFUNCTION("""COMPUTED_VALUE"""),"Will work for 3 years or more")</f>
        <v>Will work for 3 years or more</v>
      </c>
      <c r="H1365" s="1" t="str">
        <f ca="1">IFERROR(__xludf.DUMMYFUNCTION("""COMPUTED_VALUE"""),"Yes")</f>
        <v>Yes</v>
      </c>
      <c r="I1365" s="1" t="str">
        <f ca="1">IFERROR(__xludf.DUMMYFUNCTION("""COMPUTED_VALUE"""),"Will work for them")</f>
        <v>Will work for them</v>
      </c>
      <c r="J1365" s="1">
        <f ca="1">IFERROR(__xludf.DUMMYFUNCTION("""COMPUTED_VALUE"""),1)</f>
        <v>1</v>
      </c>
      <c r="K1365" s="1" t="str">
        <f ca="1">IFERROR(__xludf.DUMMYFUNCTION("""COMPUTED_VALUE"""),"Every Day Office Environment")</f>
        <v>Every Day Office Environment</v>
      </c>
      <c r="L1365" s="1" t="str">
        <f ca="1">IFERROR(__xludf.DUMMYFUNCTION("""COMPUTED_VALUE"""),"Employer who appreciates learning and enables that environment")</f>
        <v>Employer who appreciates learning and enables that environment</v>
      </c>
      <c r="M136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65" s="1" t="str">
        <f ca="1">IFERROR(__xludf.DUMMYFUNCTION("""COMPUTED_VALUE"""),"Work in a BPO setup for some well known client, I Want to sell things/Sales, An Artificial Intelligence Specialist / Talking to Robots, Manufacturing / Oil and Gas/ Construction / Hard Physical Work related")</f>
        <v>Work in a BPO setup for some well known client, I Want to sell things/Sales, An Artificial Intelligence Specialist / Talking to Robots, Manufacturing / Oil and Gas/ Construction / Hard Physical Work related</v>
      </c>
      <c r="O1365" s="1" t="str">
        <f ca="1">IFERROR(__xludf.DUMMYFUNCTION("""COMPUTED_VALUE"""),"Manager who clearly describes what she/he needs")</f>
        <v>Manager who clearly describes what she/he needs</v>
      </c>
      <c r="P1365" s="1" t="str">
        <f ca="1">IFERROR(__xludf.DUMMYFUNCTION("""COMPUTED_VALUE"""),"Work alone, Work with more than 10 people in my team")</f>
        <v>Work alone, Work with more than 10 people in my team</v>
      </c>
      <c r="Q1365" s="1" t="str">
        <f ca="1">IFERROR(__xludf.DUMMYFUNCTION("""COMPUTED_VALUE"""),"Yes")</f>
        <v>Yes</v>
      </c>
      <c r="R1365" s="1" t="str">
        <f ca="1">IFERROR(__xludf.DUMMYFUNCTION("""COMPUTED_VALUE"""),"Will work for 7 years or more")</f>
        <v>Will work for 7 years or more</v>
      </c>
      <c r="S1365" s="1"/>
    </row>
    <row r="1366" spans="1:19" ht="12.5" x14ac:dyDescent="0.25">
      <c r="A1366" s="2">
        <f ca="1">IFERROR(__xludf.DUMMYFUNCTION("""COMPUTED_VALUE"""),45044.7875206481)</f>
        <v>45044.787520648097</v>
      </c>
      <c r="B1366" s="1" t="str">
        <f ca="1">IFERROR(__xludf.DUMMYFUNCTION("""COMPUTED_VALUE"""),"India")</f>
        <v>India</v>
      </c>
      <c r="C1366" s="1">
        <f ca="1">IFERROR(__xludf.DUMMYFUNCTION("""COMPUTED_VALUE"""),560022)</f>
        <v>560022</v>
      </c>
      <c r="D1366" s="1" t="str">
        <f ca="1">IFERROR(__xludf.DUMMYFUNCTION("""COMPUTED_VALUE"""),"Male")</f>
        <v>Male</v>
      </c>
      <c r="E1366" s="1" t="str">
        <f ca="1">IFERROR(__xludf.DUMMYFUNCTION("""COMPUTED_VALUE"""),"People who have changed the world for better")</f>
        <v>People who have changed the world for better</v>
      </c>
      <c r="F1366" s="1" t="str">
        <f ca="1">IFERROR(__xludf.DUMMYFUNCTION("""COMPUTED_VALUE"""),"Yes, I will earn and do that")</f>
        <v>Yes, I will earn and do that</v>
      </c>
      <c r="G1366" s="1" t="str">
        <f ca="1">IFERROR(__xludf.DUMMYFUNCTION("""COMPUTED_VALUE"""),"This will be hard to do, but if it is the right company I would try")</f>
        <v>This will be hard to do, but if it is the right company I would try</v>
      </c>
      <c r="H1366" s="1" t="str">
        <f ca="1">IFERROR(__xludf.DUMMYFUNCTION("""COMPUTED_VALUE"""),"No")</f>
        <v>No</v>
      </c>
      <c r="I1366" s="1" t="str">
        <f ca="1">IFERROR(__xludf.DUMMYFUNCTION("""COMPUTED_VALUE"""),"Will work for them")</f>
        <v>Will work for them</v>
      </c>
      <c r="J1366" s="1">
        <f ca="1">IFERROR(__xludf.DUMMYFUNCTION("""COMPUTED_VALUE"""),3)</f>
        <v>3</v>
      </c>
      <c r="K1366" s="1" t="str">
        <f ca="1">IFERROR(__xludf.DUMMYFUNCTION("""COMPUTED_VALUE"""),"Hybrid Working Environment with less than 3 days a month at office")</f>
        <v>Hybrid Working Environment with less than 3 days a month at office</v>
      </c>
      <c r="L13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6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66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366" s="1" t="str">
        <f ca="1">IFERROR(__xludf.DUMMYFUNCTION("""COMPUTED_VALUE"""),"Manager who explains what is expected, sets a goal and helps achieve it")</f>
        <v>Manager who explains what is expected, sets a goal and helps achieve it</v>
      </c>
      <c r="P1366" s="1" t="str">
        <f ca="1">IFERROR(__xludf.DUMMYFUNCTION("""COMPUTED_VALUE"""),"Work alone, Work with 2 to 3 people in my team, Work with 7 to 10 or more people in my team")</f>
        <v>Work alone, Work with 2 to 3 people in my team, Work with 7 to 10 or more people in my team</v>
      </c>
      <c r="Q1366" s="1" t="str">
        <f ca="1">IFERROR(__xludf.DUMMYFUNCTION("""COMPUTED_VALUE"""),"Yes, I Understand this is gonna happen everywhere")</f>
        <v>Yes, I Understand this is gonna happen everywhere</v>
      </c>
      <c r="R1366" s="1" t="str">
        <f ca="1">IFERROR(__xludf.DUMMYFUNCTION("""COMPUTED_VALUE"""),"This will be hard to do, but if it is the right company I would try")</f>
        <v>This will be hard to do, but if it is the right company I would try</v>
      </c>
      <c r="S1366" s="1"/>
    </row>
    <row r="1367" spans="1:19" ht="12.5" x14ac:dyDescent="0.25">
      <c r="A1367" s="2">
        <f ca="1">IFERROR(__xludf.DUMMYFUNCTION("""COMPUTED_VALUE"""),45044.7894376273)</f>
        <v>45044.789437627303</v>
      </c>
      <c r="B1367" s="1" t="str">
        <f ca="1">IFERROR(__xludf.DUMMYFUNCTION("""COMPUTED_VALUE"""),"India")</f>
        <v>India</v>
      </c>
      <c r="C1367" s="1">
        <f ca="1">IFERROR(__xludf.DUMMYFUNCTION("""COMPUTED_VALUE"""),500020)</f>
        <v>500020</v>
      </c>
      <c r="D1367" s="1" t="str">
        <f ca="1">IFERROR(__xludf.DUMMYFUNCTION("""COMPUTED_VALUE"""),"Male")</f>
        <v>Male</v>
      </c>
      <c r="E1367" s="1" t="str">
        <f ca="1">IFERROR(__xludf.DUMMYFUNCTION("""COMPUTED_VALUE"""),"People who have changed the world for better")</f>
        <v>People who have changed the world for better</v>
      </c>
      <c r="F1367" s="1" t="str">
        <f ca="1">IFERROR(__xludf.DUMMYFUNCTION("""COMPUTED_VALUE"""),"Yes, I will earn and do that")</f>
        <v>Yes, I will earn and do that</v>
      </c>
      <c r="G1367" s="1" t="str">
        <f ca="1">IFERROR(__xludf.DUMMYFUNCTION("""COMPUTED_VALUE"""),"This will be hard to do, but if it is the right company I would try")</f>
        <v>This will be hard to do, but if it is the right company I would try</v>
      </c>
      <c r="H1367" s="1" t="str">
        <f ca="1">IFERROR(__xludf.DUMMYFUNCTION("""COMPUTED_VALUE"""),"Yes")</f>
        <v>Yes</v>
      </c>
      <c r="I1367" s="1" t="str">
        <f ca="1">IFERROR(__xludf.DUMMYFUNCTION("""COMPUTED_VALUE"""),"Will NOT work for them")</f>
        <v>Will NOT work for them</v>
      </c>
      <c r="J1367" s="1">
        <f ca="1">IFERROR(__xludf.DUMMYFUNCTION("""COMPUTED_VALUE"""),8)</f>
        <v>8</v>
      </c>
      <c r="K1367" s="1" t="str">
        <f ca="1">IFERROR(__xludf.DUMMYFUNCTION("""COMPUTED_VALUE"""),"Fully Remote with Options to travel as and when needed")</f>
        <v>Fully Remote with Options to travel as and when needed</v>
      </c>
      <c r="L13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6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67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1367" s="1" t="str">
        <f ca="1">IFERROR(__xludf.DUMMYFUNCTION("""COMPUTED_VALUE"""),"Manager who sets goal and helps me achieve it")</f>
        <v>Manager who sets goal and helps me achieve it</v>
      </c>
      <c r="P1367" s="1" t="str">
        <f ca="1">IFERROR(__xludf.DUMMYFUNCTION("""COMPUTED_VALUE"""),"Work alone")</f>
        <v>Work alone</v>
      </c>
      <c r="Q1367" s="1" t="str">
        <f ca="1">IFERROR(__xludf.DUMMYFUNCTION("""COMPUTED_VALUE"""),"Yes")</f>
        <v>Yes</v>
      </c>
      <c r="R1367" s="1" t="str">
        <f ca="1">IFERROR(__xludf.DUMMYFUNCTION("""COMPUTED_VALUE"""),"No way")</f>
        <v>No way</v>
      </c>
      <c r="S1367" s="1"/>
    </row>
    <row r="1368" spans="1:19" ht="12.5" x14ac:dyDescent="0.25">
      <c r="A1368" s="2">
        <f ca="1">IFERROR(__xludf.DUMMYFUNCTION("""COMPUTED_VALUE"""),45044.7921880439)</f>
        <v>45044.792188043903</v>
      </c>
      <c r="B1368" s="1" t="str">
        <f ca="1">IFERROR(__xludf.DUMMYFUNCTION("""COMPUTED_VALUE"""),"India")</f>
        <v>India</v>
      </c>
      <c r="C1368" s="1">
        <f ca="1">IFERROR(__xludf.DUMMYFUNCTION("""COMPUTED_VALUE"""),192202)</f>
        <v>192202</v>
      </c>
      <c r="D1368" s="1" t="str">
        <f ca="1">IFERROR(__xludf.DUMMYFUNCTION("""COMPUTED_VALUE"""),"Female")</f>
        <v>Female</v>
      </c>
      <c r="E1368" s="1" t="str">
        <f ca="1">IFERROR(__xludf.DUMMYFUNCTION("""COMPUTED_VALUE"""),"People who have changed the world for better")</f>
        <v>People who have changed the world for better</v>
      </c>
      <c r="F1368" s="1" t="str">
        <f ca="1">IFERROR(__xludf.DUMMYFUNCTION("""COMPUTED_VALUE"""),"No I would not be pursuing Higher Education outside of India")</f>
        <v>No I would not be pursuing Higher Education outside of India</v>
      </c>
      <c r="G1368" s="1" t="str">
        <f ca="1">IFERROR(__xludf.DUMMYFUNCTION("""COMPUTED_VALUE"""),"This will be hard to do, but if it is the right company I would try")</f>
        <v>This will be hard to do, but if it is the right company I would try</v>
      </c>
      <c r="H1368" s="1" t="str">
        <f ca="1">IFERROR(__xludf.DUMMYFUNCTION("""COMPUTED_VALUE"""),"No")</f>
        <v>No</v>
      </c>
      <c r="I1368" s="1" t="str">
        <f ca="1">IFERROR(__xludf.DUMMYFUNCTION("""COMPUTED_VALUE"""),"Will NOT work for them")</f>
        <v>Will NOT work for them</v>
      </c>
      <c r="J1368" s="1">
        <f ca="1">IFERROR(__xludf.DUMMYFUNCTION("""COMPUTED_VALUE"""),3)</f>
        <v>3</v>
      </c>
      <c r="K1368" s="1" t="str">
        <f ca="1">IFERROR(__xludf.DUMMYFUNCTION("""COMPUTED_VALUE"""),"Hybrid Working Environment with more than 15 days a month at office")</f>
        <v>Hybrid Working Environment with more than 15 days a month at office</v>
      </c>
      <c r="L1368" s="1" t="str">
        <f ca="1">IFERROR(__xludf.DUMMYFUNCTION("""COMPUTED_VALUE"""),"Employer who appreciates learning and enables that environment")</f>
        <v>Employer who appreciates learning and enables that environment</v>
      </c>
      <c r="M136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68" s="1" t="str">
        <f ca="1">IFERROR(__xludf.DUMMYFUNCTION("""COMPUTED_VALUE"""),"Manage and drive End-to-End Projects or Products, Work in a BPO setup for some well known client, Become a content Creator in some platform, I Want to sell things/Sales")</f>
        <v>Manage and drive End-to-End Projects or Products, Work in a BPO setup for some well known client, Become a content Creator in some platform, I Want to sell things/Sales</v>
      </c>
      <c r="O1368" s="1" t="str">
        <f ca="1">IFERROR(__xludf.DUMMYFUNCTION("""COMPUTED_VALUE"""),"Manager who sets goal and helps me achieve it")</f>
        <v>Manager who sets goal and helps me achieve it</v>
      </c>
      <c r="P1368" s="1" t="str">
        <f ca="1">IFERROR(__xludf.DUMMYFUNCTION("""COMPUTED_VALUE"""),"Work with 2 to 3 people in my team")</f>
        <v>Work with 2 to 3 people in my team</v>
      </c>
      <c r="Q1368" s="1" t="str">
        <f ca="1">IFERROR(__xludf.DUMMYFUNCTION("""COMPUTED_VALUE"""),"Yes, I Understand this is gonna happen everywhere")</f>
        <v>Yes, I Understand this is gonna happen everywhere</v>
      </c>
      <c r="R1368" s="1" t="str">
        <f ca="1">IFERROR(__xludf.DUMMYFUNCTION("""COMPUTED_VALUE"""),"This will be hard to do, but if it is the right company I would try")</f>
        <v>This will be hard to do, but if it is the right company I would try</v>
      </c>
      <c r="S1368" s="1"/>
    </row>
    <row r="1369" spans="1:19" ht="12.5" x14ac:dyDescent="0.25">
      <c r="A1369" s="2">
        <f ca="1">IFERROR(__xludf.DUMMYFUNCTION("""COMPUTED_VALUE"""),45044.7970627662)</f>
        <v>45044.7970627662</v>
      </c>
      <c r="B1369" s="1" t="str">
        <f ca="1">IFERROR(__xludf.DUMMYFUNCTION("""COMPUTED_VALUE"""),"India")</f>
        <v>India</v>
      </c>
      <c r="C1369" s="1">
        <f ca="1">IFERROR(__xludf.DUMMYFUNCTION("""COMPUTED_VALUE"""),759001)</f>
        <v>759001</v>
      </c>
      <c r="D1369" s="1" t="str">
        <f ca="1">IFERROR(__xludf.DUMMYFUNCTION("""COMPUTED_VALUE"""),"Female")</f>
        <v>Female</v>
      </c>
      <c r="E1369" s="1" t="str">
        <f ca="1">IFERROR(__xludf.DUMMYFUNCTION("""COMPUTED_VALUE"""),"People who have changed the world for better")</f>
        <v>People who have changed the world for better</v>
      </c>
      <c r="F1369" s="1" t="str">
        <f ca="1">IFERROR(__xludf.DUMMYFUNCTION("""COMPUTED_VALUE"""),"No I would not be pursuing Higher Education outside of India")</f>
        <v>No I would not be pursuing Higher Education outside of India</v>
      </c>
      <c r="G1369" s="1" t="str">
        <f ca="1">IFERROR(__xludf.DUMMYFUNCTION("""COMPUTED_VALUE"""),"This will be hard to do, but if it is the right company I would try")</f>
        <v>This will be hard to do, but if it is the right company I would try</v>
      </c>
      <c r="H1369" s="1" t="str">
        <f ca="1">IFERROR(__xludf.DUMMYFUNCTION("""COMPUTED_VALUE"""),"No")</f>
        <v>No</v>
      </c>
      <c r="I1369" s="1" t="str">
        <f ca="1">IFERROR(__xludf.DUMMYFUNCTION("""COMPUTED_VALUE"""),"Will NOT work for them")</f>
        <v>Will NOT work for them</v>
      </c>
      <c r="J1369" s="1">
        <f ca="1">IFERROR(__xludf.DUMMYFUNCTION("""COMPUTED_VALUE"""),5)</f>
        <v>5</v>
      </c>
      <c r="K1369" s="1" t="str">
        <f ca="1">IFERROR(__xludf.DUMMYFUNCTION("""COMPUTED_VALUE"""),"Hybrid Working Environment with more than 15 days a month at office")</f>
        <v>Hybrid Working Environment with more than 15 days a month at office</v>
      </c>
      <c r="L13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6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69" s="1" t="str">
        <f ca="1">IFERROR(__xludf.DUMMYFUNCTION("""COMPUTED_VALUE"""),"Manage and drive End-to-End Projects or Products, Build and develop a Team, Work as a freelancer and do my thing my way, Entrepreneur or Start Up")</f>
        <v>Manage and drive End-to-End Projects or Products, Build and develop a Team, Work as a freelancer and do my thing my way, Entrepreneur or Start Up</v>
      </c>
      <c r="O1369" s="1" t="str">
        <f ca="1">IFERROR(__xludf.DUMMYFUNCTION("""COMPUTED_VALUE"""),"Manager who explains what is expected, sets a goal and helps achieve it")</f>
        <v>Manager who explains what is expected, sets a goal and helps achieve it</v>
      </c>
      <c r="P1369" s="1" t="str">
        <f ca="1">IFERROR(__xludf.DUMMYFUNCTION("""COMPUTED_VALUE"""),"Work with 5 to 6 people in my team")</f>
        <v>Work with 5 to 6 people in my team</v>
      </c>
      <c r="Q1369" s="1" t="str">
        <f ca="1">IFERROR(__xludf.DUMMYFUNCTION("""COMPUTED_VALUE"""),"Yes, I Understand this is gonna happen everywhere")</f>
        <v>Yes, I Understand this is gonna happen everywhere</v>
      </c>
      <c r="R1369" s="1" t="str">
        <f ca="1">IFERROR(__xludf.DUMMYFUNCTION("""COMPUTED_VALUE"""),"This will be hard to do, but if it is the right company I would try")</f>
        <v>This will be hard to do, but if it is the right company I would try</v>
      </c>
      <c r="S1369" s="1"/>
    </row>
    <row r="1370" spans="1:19" ht="12.5" x14ac:dyDescent="0.25">
      <c r="A1370" s="2">
        <f ca="1">IFERROR(__xludf.DUMMYFUNCTION("""COMPUTED_VALUE"""),45044.7991511689)</f>
        <v>45044.799151168903</v>
      </c>
      <c r="B1370" s="1" t="str">
        <f ca="1">IFERROR(__xludf.DUMMYFUNCTION("""COMPUTED_VALUE"""),"India")</f>
        <v>India</v>
      </c>
      <c r="C1370" s="1">
        <f ca="1">IFERROR(__xludf.DUMMYFUNCTION("""COMPUTED_VALUE"""),847211)</f>
        <v>847211</v>
      </c>
      <c r="D1370" s="1" t="str">
        <f ca="1">IFERROR(__xludf.DUMMYFUNCTION("""COMPUTED_VALUE"""),"Male")</f>
        <v>Male</v>
      </c>
      <c r="E1370" s="1" t="str">
        <f ca="1">IFERROR(__xludf.DUMMYFUNCTION("""COMPUTED_VALUE"""),"My Parents")</f>
        <v>My Parents</v>
      </c>
      <c r="F1370" s="1" t="str">
        <f ca="1">IFERROR(__xludf.DUMMYFUNCTION("""COMPUTED_VALUE"""),"No I would not be pursuing Higher Education outside of India")</f>
        <v>No I would not be pursuing Higher Education outside of India</v>
      </c>
      <c r="G1370" s="1" t="str">
        <f ca="1">IFERROR(__xludf.DUMMYFUNCTION("""COMPUTED_VALUE"""),"This will be hard to do, but if it is the right company I would try")</f>
        <v>This will be hard to do, but if it is the right company I would try</v>
      </c>
      <c r="H1370" s="1" t="str">
        <f ca="1">IFERROR(__xludf.DUMMYFUNCTION("""COMPUTED_VALUE"""),"No")</f>
        <v>No</v>
      </c>
      <c r="I1370" s="1" t="str">
        <f ca="1">IFERROR(__xludf.DUMMYFUNCTION("""COMPUTED_VALUE"""),"Will work for them")</f>
        <v>Will work for them</v>
      </c>
      <c r="J1370" s="1">
        <f ca="1">IFERROR(__xludf.DUMMYFUNCTION("""COMPUTED_VALUE"""),3)</f>
        <v>3</v>
      </c>
      <c r="K1370" s="1" t="str">
        <f ca="1">IFERROR(__xludf.DUMMYFUNCTION("""COMPUTED_VALUE"""),"Fully Remote with Options to travel as and when needed")</f>
        <v>Fully Remote with Options to travel as and when needed</v>
      </c>
      <c r="L1370" s="1" t="str">
        <f ca="1">IFERROR(__xludf.DUMMYFUNCTION("""COMPUTED_VALUE"""),"Employer who appreciates learning and enables that environment")</f>
        <v>Employer who appreciates learning and enables that environment</v>
      </c>
      <c r="M137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70" s="1" t="str">
        <f ca="1">IFERROR(__xludf.DUMMYFUNCTION("""COMPUTED_VALUE"""),"Design and Creative strategy in any company, Business Operations in any organization, Entrepreneur or Start Up, Manufacturing / Oil and Gas/ Construction / Hard Physical Work related")</f>
        <v>Design and Creative strategy in any company, Business Operations in any organization, Entrepreneur or Start Up, Manufacturing / Oil and Gas/ Construction / Hard Physical Work related</v>
      </c>
      <c r="O1370" s="1" t="str">
        <f ca="1">IFERROR(__xludf.DUMMYFUNCTION("""COMPUTED_VALUE"""),"Manager who clearly describes what she/he needs")</f>
        <v>Manager who clearly describes what she/he needs</v>
      </c>
      <c r="P1370" s="1" t="str">
        <f ca="1">IFERROR(__xludf.DUMMYFUNCTION("""COMPUTED_VALUE"""),"Work with 5 to 6 people in my team")</f>
        <v>Work with 5 to 6 people in my team</v>
      </c>
      <c r="Q1370" s="1" t="str">
        <f ca="1">IFERROR(__xludf.DUMMYFUNCTION("""COMPUTED_VALUE"""),"Yes, I Understand this is gonna happen everywhere")</f>
        <v>Yes, I Understand this is gonna happen everywhere</v>
      </c>
      <c r="R1370" s="1" t="str">
        <f ca="1">IFERROR(__xludf.DUMMYFUNCTION("""COMPUTED_VALUE"""),"This will be hard to do, but if it is the right company I would try")</f>
        <v>This will be hard to do, but if it is the right company I would try</v>
      </c>
      <c r="S1370" s="1"/>
    </row>
    <row r="1371" spans="1:19" ht="12.5" x14ac:dyDescent="0.25">
      <c r="A1371" s="2">
        <f ca="1">IFERROR(__xludf.DUMMYFUNCTION("""COMPUTED_VALUE"""),45044.7999340856)</f>
        <v>45044.799934085597</v>
      </c>
      <c r="B1371" s="1" t="str">
        <f ca="1">IFERROR(__xludf.DUMMYFUNCTION("""COMPUTED_VALUE"""),"India")</f>
        <v>India</v>
      </c>
      <c r="C1371" s="1">
        <f ca="1">IFERROR(__xludf.DUMMYFUNCTION("""COMPUTED_VALUE"""),440024)</f>
        <v>440024</v>
      </c>
      <c r="D1371" s="1" t="str">
        <f ca="1">IFERROR(__xludf.DUMMYFUNCTION("""COMPUTED_VALUE"""),"Male")</f>
        <v>Male</v>
      </c>
      <c r="E1371" s="1" t="str">
        <f ca="1">IFERROR(__xludf.DUMMYFUNCTION("""COMPUTED_VALUE"""),"People who have changed the world for better")</f>
        <v>People who have changed the world for better</v>
      </c>
      <c r="F1371" s="1" t="str">
        <f ca="1">IFERROR(__xludf.DUMMYFUNCTION("""COMPUTED_VALUE"""),"No I would not be pursuing Higher Education outside of India")</f>
        <v>No I would not be pursuing Higher Education outside of India</v>
      </c>
      <c r="G1371" s="1" t="str">
        <f ca="1">IFERROR(__xludf.DUMMYFUNCTION("""COMPUTED_VALUE"""),"This will be hard to do, but if it is the right company I would try")</f>
        <v>This will be hard to do, but if it is the right company I would try</v>
      </c>
      <c r="H1371" s="1" t="str">
        <f ca="1">IFERROR(__xludf.DUMMYFUNCTION("""COMPUTED_VALUE"""),"No")</f>
        <v>No</v>
      </c>
      <c r="I1371" s="1" t="str">
        <f ca="1">IFERROR(__xludf.DUMMYFUNCTION("""COMPUTED_VALUE"""),"Will NOT work for them")</f>
        <v>Will NOT work for them</v>
      </c>
      <c r="J1371" s="1">
        <f ca="1">IFERROR(__xludf.DUMMYFUNCTION("""COMPUTED_VALUE"""),7)</f>
        <v>7</v>
      </c>
      <c r="K1371" s="1" t="str">
        <f ca="1">IFERROR(__xludf.DUMMYFUNCTION("""COMPUTED_VALUE"""),"Hybrid Working Environment with more than 15 days a month at office")</f>
        <v>Hybrid Working Environment with more than 15 days a month at office</v>
      </c>
      <c r="L13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7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71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1371" s="1" t="str">
        <f ca="1">IFERROR(__xludf.DUMMYFUNCTION("""COMPUTED_VALUE"""),"Manager who explains what is expected, sets a goal and helps achieve it")</f>
        <v>Manager who explains what is expected, sets a goal and helps achieve it</v>
      </c>
      <c r="P1371" s="1" t="str">
        <f ca="1">IFERROR(__xludf.DUMMYFUNCTION("""COMPUTED_VALUE"""),"Work with 5 to 6 people in my team")</f>
        <v>Work with 5 to 6 people in my team</v>
      </c>
      <c r="Q1371" s="1" t="str">
        <f ca="1">IFERROR(__xludf.DUMMYFUNCTION("""COMPUTED_VALUE"""),"Yes, I Understand this is gonna happen everywhere")</f>
        <v>Yes, I Understand this is gonna happen everywhere</v>
      </c>
      <c r="R1371" s="1" t="str">
        <f ca="1">IFERROR(__xludf.DUMMYFUNCTION("""COMPUTED_VALUE"""),"No way")</f>
        <v>No way</v>
      </c>
      <c r="S1371" s="1"/>
    </row>
    <row r="1372" spans="1:19" ht="12.5" x14ac:dyDescent="0.25">
      <c r="A1372" s="2">
        <f ca="1">IFERROR(__xludf.DUMMYFUNCTION("""COMPUTED_VALUE"""),45044.801511574)</f>
        <v>45044.801511573998</v>
      </c>
      <c r="B1372" s="1" t="str">
        <f ca="1">IFERROR(__xludf.DUMMYFUNCTION("""COMPUTED_VALUE"""),"India")</f>
        <v>India</v>
      </c>
      <c r="C1372" s="1">
        <f ca="1">IFERROR(__xludf.DUMMYFUNCTION("""COMPUTED_VALUE"""),581336)</f>
        <v>581336</v>
      </c>
      <c r="D1372" s="1" t="str">
        <f ca="1">IFERROR(__xludf.DUMMYFUNCTION("""COMPUTED_VALUE"""),"Female")</f>
        <v>Female</v>
      </c>
      <c r="E1372" s="1" t="str">
        <f ca="1">IFERROR(__xludf.DUMMYFUNCTION("""COMPUTED_VALUE"""),"My Parents")</f>
        <v>My Parents</v>
      </c>
      <c r="F1372" s="1" t="str">
        <f ca="1">IFERROR(__xludf.DUMMYFUNCTION("""COMPUTED_VALUE"""),"No I would not be pursuing Higher Education outside of India")</f>
        <v>No I would not be pursuing Higher Education outside of India</v>
      </c>
      <c r="G1372" s="1" t="str">
        <f ca="1">IFERROR(__xludf.DUMMYFUNCTION("""COMPUTED_VALUE"""),"Will work for 3 years or more")</f>
        <v>Will work for 3 years or more</v>
      </c>
      <c r="H1372" s="1" t="str">
        <f ca="1">IFERROR(__xludf.DUMMYFUNCTION("""COMPUTED_VALUE"""),"No")</f>
        <v>No</v>
      </c>
      <c r="I1372" s="1" t="str">
        <f ca="1">IFERROR(__xludf.DUMMYFUNCTION("""COMPUTED_VALUE"""),"Will NOT work for them")</f>
        <v>Will NOT work for them</v>
      </c>
      <c r="J1372" s="1">
        <f ca="1">IFERROR(__xludf.DUMMYFUNCTION("""COMPUTED_VALUE"""),10)</f>
        <v>10</v>
      </c>
      <c r="K1372" s="1" t="str">
        <f ca="1">IFERROR(__xludf.DUMMYFUNCTION("""COMPUTED_VALUE"""),"Fully Remote with No option to visit offices")</f>
        <v>Fully Remote with No option to visit offices</v>
      </c>
      <c r="L1372" s="1" t="str">
        <f ca="1">IFERROR(__xludf.DUMMYFUNCTION("""COMPUTED_VALUE"""),"Employer who rewards learning and enables that environment")</f>
        <v>Employer who rewards learning and enables that environment</v>
      </c>
      <c r="M137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72" s="1" t="str">
        <f ca="1">IFERROR(__xludf.DUMMYFUNCTION("""COMPUTED_VALUE"""),"Design and Creative strategy in any company, Teaching in any of the institutes/colleges/online or offline, Become a content Creator in some platform, Entrepreneur or Start Up")</f>
        <v>Design and Creative strategy in any company, Teaching in any of the institutes/colleges/online or offline, Become a content Creator in some platform, Entrepreneur or Start Up</v>
      </c>
      <c r="O1372" s="1" t="str">
        <f ca="1">IFERROR(__xludf.DUMMYFUNCTION("""COMPUTED_VALUE"""),"Manager who clearly describes what she/he needs")</f>
        <v>Manager who clearly describes what she/he needs</v>
      </c>
      <c r="P1372" s="1" t="str">
        <f ca="1">IFERROR(__xludf.DUMMYFUNCTION("""COMPUTED_VALUE"""),"Work with 2 to 3 people in my team, Work with 5 to 6 people in my team")</f>
        <v>Work with 2 to 3 people in my team, Work with 5 to 6 people in my team</v>
      </c>
      <c r="Q1372" s="1" t="str">
        <f ca="1">IFERROR(__xludf.DUMMYFUNCTION("""COMPUTED_VALUE"""),"Yes, I Understand this is gonna happen everywhere")</f>
        <v>Yes, I Understand this is gonna happen everywhere</v>
      </c>
      <c r="R1372" s="1" t="str">
        <f ca="1">IFERROR(__xludf.DUMMYFUNCTION("""COMPUTED_VALUE"""),"Will work for 7 years or more")</f>
        <v>Will work for 7 years or more</v>
      </c>
      <c r="S1372" s="1"/>
    </row>
    <row r="1373" spans="1:19" ht="12.5" x14ac:dyDescent="0.25">
      <c r="A1373" s="2">
        <f ca="1">IFERROR(__xludf.DUMMYFUNCTION("""COMPUTED_VALUE"""),45044.8047847337)</f>
        <v>45044.8047847337</v>
      </c>
      <c r="B1373" s="1" t="str">
        <f ca="1">IFERROR(__xludf.DUMMYFUNCTION("""COMPUTED_VALUE"""),"India")</f>
        <v>India</v>
      </c>
      <c r="C1373" s="1">
        <f ca="1">IFERROR(__xludf.DUMMYFUNCTION("""COMPUTED_VALUE"""),500089)</f>
        <v>500089</v>
      </c>
      <c r="D1373" s="1" t="str">
        <f ca="1">IFERROR(__xludf.DUMMYFUNCTION("""COMPUTED_VALUE"""),"Female")</f>
        <v>Female</v>
      </c>
      <c r="E1373" s="1" t="str">
        <f ca="1">IFERROR(__xludf.DUMMYFUNCTION("""COMPUTED_VALUE"""),"My Parents")</f>
        <v>My Parents</v>
      </c>
      <c r="F1373" s="1" t="str">
        <f ca="1">IFERROR(__xludf.DUMMYFUNCTION("""COMPUTED_VALUE"""),"No I would not be pursuing Higher Education outside of India")</f>
        <v>No I would not be pursuing Higher Education outside of India</v>
      </c>
      <c r="G1373" s="1" t="str">
        <f ca="1">IFERROR(__xludf.DUMMYFUNCTION("""COMPUTED_VALUE"""),"This will be hard to do, but if it is the right company I would try")</f>
        <v>This will be hard to do, but if it is the right company I would try</v>
      </c>
      <c r="H1373" s="1" t="str">
        <f ca="1">IFERROR(__xludf.DUMMYFUNCTION("""COMPUTED_VALUE"""),"No")</f>
        <v>No</v>
      </c>
      <c r="I1373" s="1" t="str">
        <f ca="1">IFERROR(__xludf.DUMMYFUNCTION("""COMPUTED_VALUE"""),"Will NOT work for them")</f>
        <v>Will NOT work for them</v>
      </c>
      <c r="J1373" s="1">
        <f ca="1">IFERROR(__xludf.DUMMYFUNCTION("""COMPUTED_VALUE"""),1)</f>
        <v>1</v>
      </c>
      <c r="K1373" s="1" t="str">
        <f ca="1">IFERROR(__xludf.DUMMYFUNCTION("""COMPUTED_VALUE"""),"Fully Remote with Options to travel as and when needed")</f>
        <v>Fully Remote with Options to travel as and when needed</v>
      </c>
      <c r="L13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7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373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1373" s="1" t="str">
        <f ca="1">IFERROR(__xludf.DUMMYFUNCTION("""COMPUTED_VALUE"""),"Manager who sets goal and helps me achieve it")</f>
        <v>Manager who sets goal and helps me achieve it</v>
      </c>
      <c r="P1373" s="1" t="str">
        <f ca="1">IFERROR(__xludf.DUMMYFUNCTION("""COMPUTED_VALUE"""),"Work with 5 to 6 people in my team")</f>
        <v>Work with 5 to 6 people in my team</v>
      </c>
      <c r="Q1373" s="1" t="str">
        <f ca="1">IFERROR(__xludf.DUMMYFUNCTION("""COMPUTED_VALUE"""),"No")</f>
        <v>No</v>
      </c>
      <c r="R1373" s="1" t="str">
        <f ca="1">IFERROR(__xludf.DUMMYFUNCTION("""COMPUTED_VALUE"""),"This will be hard to do, but if it is the right company I would try")</f>
        <v>This will be hard to do, but if it is the right company I would try</v>
      </c>
      <c r="S1373" s="1"/>
    </row>
    <row r="1374" spans="1:19" ht="12.5" x14ac:dyDescent="0.25">
      <c r="A1374" s="2">
        <f ca="1">IFERROR(__xludf.DUMMYFUNCTION("""COMPUTED_VALUE"""),45044.8146430439)</f>
        <v>45044.814643043901</v>
      </c>
      <c r="B1374" s="1" t="str">
        <f ca="1">IFERROR(__xludf.DUMMYFUNCTION("""COMPUTED_VALUE"""),"India")</f>
        <v>India</v>
      </c>
      <c r="C1374" s="1">
        <f ca="1">IFERROR(__xludf.DUMMYFUNCTION("""COMPUTED_VALUE"""),560107)</f>
        <v>560107</v>
      </c>
      <c r="D1374" s="1" t="str">
        <f ca="1">IFERROR(__xludf.DUMMYFUNCTION("""COMPUTED_VALUE"""),"Male")</f>
        <v>Male</v>
      </c>
      <c r="E1374" s="1" t="str">
        <f ca="1">IFERROR(__xludf.DUMMYFUNCTION("""COMPUTED_VALUE"""),"People from my circle, but not family members")</f>
        <v>People from my circle, but not family members</v>
      </c>
      <c r="F1374" s="1" t="str">
        <f ca="1">IFERROR(__xludf.DUMMYFUNCTION("""COMPUTED_VALUE"""),"No I would not be pursuing Higher Education outside of India")</f>
        <v>No I would not be pursuing Higher Education outside of India</v>
      </c>
      <c r="G1374" s="1" t="str">
        <f ca="1">IFERROR(__xludf.DUMMYFUNCTION("""COMPUTED_VALUE"""),"This will be hard to do, but if it is the right company I would try")</f>
        <v>This will be hard to do, but if it is the right company I would try</v>
      </c>
      <c r="H1374" s="1" t="str">
        <f ca="1">IFERROR(__xludf.DUMMYFUNCTION("""COMPUTED_VALUE"""),"No")</f>
        <v>No</v>
      </c>
      <c r="I1374" s="1" t="str">
        <f ca="1">IFERROR(__xludf.DUMMYFUNCTION("""COMPUTED_VALUE"""),"Will NOT work for them")</f>
        <v>Will NOT work for them</v>
      </c>
      <c r="J1374" s="1">
        <f ca="1">IFERROR(__xludf.DUMMYFUNCTION("""COMPUTED_VALUE"""),3)</f>
        <v>3</v>
      </c>
      <c r="K1374" s="1" t="str">
        <f ca="1">IFERROR(__xludf.DUMMYFUNCTION("""COMPUTED_VALUE"""),"Hybrid Working Environment with more than 15 days a month at office")</f>
        <v>Hybrid Working Environment with more than 15 days a month at office</v>
      </c>
      <c r="L13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7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374" s="1" t="str">
        <f ca="1">IFERROR(__xludf.DUMMYFUNCTION("""COMPUTED_VALUE"""),"Business Operations in any organization, Build and develop a Team, Look deeply into Data and generate insights, Work in a BPO setup for some well known client")</f>
        <v>Business Operations in any organization, Build and develop a Team, Look deeply into Data and generate insights, Work in a BPO setup for some well known client</v>
      </c>
      <c r="O1374" s="1" t="str">
        <f ca="1">IFERROR(__xludf.DUMMYFUNCTION("""COMPUTED_VALUE"""),"Manager who explains what is expected, sets a goal and helps achieve it")</f>
        <v>Manager who explains what is expected, sets a goal and helps achieve it</v>
      </c>
      <c r="P1374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1374" s="1" t="str">
        <f ca="1">IFERROR(__xludf.DUMMYFUNCTION("""COMPUTED_VALUE"""),"Yes, I Understand this is gonna happen everywhere")</f>
        <v>Yes, I Understand this is gonna happen everywhere</v>
      </c>
      <c r="R1374" s="1" t="str">
        <f ca="1">IFERROR(__xludf.DUMMYFUNCTION("""COMPUTED_VALUE"""),"This will be hard to do, but if it is the right company I would try")</f>
        <v>This will be hard to do, but if it is the right company I would try</v>
      </c>
      <c r="S1374" s="1"/>
    </row>
    <row r="1375" spans="1:19" ht="12.5" x14ac:dyDescent="0.25">
      <c r="A1375" s="2">
        <f ca="1">IFERROR(__xludf.DUMMYFUNCTION("""COMPUTED_VALUE"""),45044.8155150115)</f>
        <v>45044.815515011498</v>
      </c>
      <c r="B1375" s="1" t="str">
        <f ca="1">IFERROR(__xludf.DUMMYFUNCTION("""COMPUTED_VALUE"""),"India")</f>
        <v>India</v>
      </c>
      <c r="C1375" s="1">
        <f ca="1">IFERROR(__xludf.DUMMYFUNCTION("""COMPUTED_VALUE"""),144021)</f>
        <v>144021</v>
      </c>
      <c r="D1375" s="1" t="str">
        <f ca="1">IFERROR(__xludf.DUMMYFUNCTION("""COMPUTED_VALUE"""),"Male")</f>
        <v>Male</v>
      </c>
      <c r="E1375" s="1" t="str">
        <f ca="1">IFERROR(__xludf.DUMMYFUNCTION("""COMPUTED_VALUE"""),"My Parents")</f>
        <v>My Parents</v>
      </c>
      <c r="F1375" s="1" t="str">
        <f ca="1">IFERROR(__xludf.DUMMYFUNCTION("""COMPUTED_VALUE"""),"Yes, I will earn and do that")</f>
        <v>Yes, I will earn and do that</v>
      </c>
      <c r="G1375" s="1" t="str">
        <f ca="1">IFERROR(__xludf.DUMMYFUNCTION("""COMPUTED_VALUE"""),"This will be hard to do, but if it is the right company I would try")</f>
        <v>This will be hard to do, but if it is the right company I would try</v>
      </c>
      <c r="H1375" s="1" t="str">
        <f ca="1">IFERROR(__xludf.DUMMYFUNCTION("""COMPUTED_VALUE"""),"Yes")</f>
        <v>Yes</v>
      </c>
      <c r="I1375" s="1" t="str">
        <f ca="1">IFERROR(__xludf.DUMMYFUNCTION("""COMPUTED_VALUE"""),"Will work for them")</f>
        <v>Will work for them</v>
      </c>
      <c r="J1375" s="1">
        <f ca="1">IFERROR(__xludf.DUMMYFUNCTION("""COMPUTED_VALUE"""),6)</f>
        <v>6</v>
      </c>
      <c r="K1375" s="1" t="str">
        <f ca="1">IFERROR(__xludf.DUMMYFUNCTION("""COMPUTED_VALUE"""),"Hybrid Working Environment with more than 15 days a month at office")</f>
        <v>Hybrid Working Environment with more than 15 days a month at office</v>
      </c>
      <c r="L13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7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375" s="1" t="str">
        <f ca="1">IFERROR(__xludf.DUMMYFUNCTION("""COMPUTED_VALUE"""),"Design and Creative strategy in any company, Design and Develop amazing software, Become a content Creator in some platform, I Want to sell things/Sales")</f>
        <v>Design and Creative strategy in any company, Design and Develop amazing software, Become a content Creator in some platform, I Want to sell things/Sales</v>
      </c>
      <c r="O1375" s="1" t="str">
        <f ca="1">IFERROR(__xludf.DUMMYFUNCTION("""COMPUTED_VALUE"""),"Manager who explains what is expected, sets a goal and helps achieve it")</f>
        <v>Manager who explains what is expected, sets a goal and helps achieve it</v>
      </c>
      <c r="P1375" s="1" t="str">
        <f ca="1">IFERROR(__xludf.DUMMYFUNCTION("""COMPUTED_VALUE"""),"Work with 7 to 10 or more people in my team")</f>
        <v>Work with 7 to 10 or more people in my team</v>
      </c>
      <c r="Q1375" s="1" t="str">
        <f ca="1">IFERROR(__xludf.DUMMYFUNCTION("""COMPUTED_VALUE"""),"Yes, I Understand this is gonna happen everywhere")</f>
        <v>Yes, I Understand this is gonna happen everywhere</v>
      </c>
      <c r="R1375" s="1" t="str">
        <f ca="1">IFERROR(__xludf.DUMMYFUNCTION("""COMPUTED_VALUE"""),"This will be hard to do, but if it is the right company I would try")</f>
        <v>This will be hard to do, but if it is the right company I would try</v>
      </c>
      <c r="S1375" s="1"/>
    </row>
    <row r="1376" spans="1:19" ht="12.5" x14ac:dyDescent="0.25">
      <c r="A1376" s="2">
        <f ca="1">IFERROR(__xludf.DUMMYFUNCTION("""COMPUTED_VALUE"""),45044.81575875)</f>
        <v>45044.815758750003</v>
      </c>
      <c r="B1376" s="1" t="str">
        <f ca="1">IFERROR(__xludf.DUMMYFUNCTION("""COMPUTED_VALUE"""),"India")</f>
        <v>India</v>
      </c>
      <c r="C1376" s="1">
        <f ca="1">IFERROR(__xludf.DUMMYFUNCTION("""COMPUTED_VALUE"""),690514)</f>
        <v>690514</v>
      </c>
      <c r="D1376" s="1" t="str">
        <f ca="1">IFERROR(__xludf.DUMMYFUNCTION("""COMPUTED_VALUE"""),"Male")</f>
        <v>Male</v>
      </c>
      <c r="E1376" s="1" t="str">
        <f ca="1">IFERROR(__xludf.DUMMYFUNCTION("""COMPUTED_VALUE"""),"People who have changed the world for better")</f>
        <v>People who have changed the world for better</v>
      </c>
      <c r="F1376" s="1" t="str">
        <f ca="1">IFERROR(__xludf.DUMMYFUNCTION("""COMPUTED_VALUE"""),"Yes, I will earn and do that")</f>
        <v>Yes, I will earn and do that</v>
      </c>
      <c r="G1376" s="1" t="str">
        <f ca="1">IFERROR(__xludf.DUMMYFUNCTION("""COMPUTED_VALUE"""),"This will be hard to do, but if it is the right company I would try")</f>
        <v>This will be hard to do, but if it is the right company I would try</v>
      </c>
      <c r="H1376" s="1" t="str">
        <f ca="1">IFERROR(__xludf.DUMMYFUNCTION("""COMPUTED_VALUE"""),"No")</f>
        <v>No</v>
      </c>
      <c r="I1376" s="1" t="str">
        <f ca="1">IFERROR(__xludf.DUMMYFUNCTION("""COMPUTED_VALUE"""),"Will NOT work for them")</f>
        <v>Will NOT work for them</v>
      </c>
      <c r="J1376" s="1">
        <f ca="1">IFERROR(__xludf.DUMMYFUNCTION("""COMPUTED_VALUE"""),1)</f>
        <v>1</v>
      </c>
      <c r="K1376" s="1" t="str">
        <f ca="1">IFERROR(__xludf.DUMMYFUNCTION("""COMPUTED_VALUE"""),"Every Day Office Environment")</f>
        <v>Every Day Office Environment</v>
      </c>
      <c r="L1376" s="1" t="str">
        <f ca="1">IFERROR(__xludf.DUMMYFUNCTION("""COMPUTED_VALUE"""),"Employer who appreciates learning and enables that environment")</f>
        <v>Employer who appreciates learning and enables that environment</v>
      </c>
      <c r="M137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376" s="1" t="str">
        <f ca="1">IFERROR(__xludf.DUMMYFUNCTION("""COMPUTED_VALUE"""),"Design and Creative strategy in any company, Business Operations in any organization, Look deeply into Data and generate insights, Become a content Creator in some platform")</f>
        <v>Design and Creative strategy in any company, Business Operations in any organization, Look deeply into Data and generate insights, Become a content Creator in some platform</v>
      </c>
      <c r="O1376" s="1" t="str">
        <f ca="1">IFERROR(__xludf.DUMMYFUNCTION("""COMPUTED_VALUE"""),"Manager who sets goal and helps me achieve it")</f>
        <v>Manager who sets goal and helps me achieve it</v>
      </c>
      <c r="P1376" s="1" t="str">
        <f ca="1">IFERROR(__xludf.DUMMYFUNCTION("""COMPUTED_VALUE"""),"Work with more than 10 people in my team")</f>
        <v>Work with more than 10 people in my team</v>
      </c>
      <c r="Q1376" s="1" t="str">
        <f ca="1">IFERROR(__xludf.DUMMYFUNCTION("""COMPUTED_VALUE"""),"Yes, I Understand this is gonna happen everywhere")</f>
        <v>Yes, I Understand this is gonna happen everywhere</v>
      </c>
      <c r="R1376" s="1" t="str">
        <f ca="1">IFERROR(__xludf.DUMMYFUNCTION("""COMPUTED_VALUE"""),"This will be hard to do, but if it is the right company I would try")</f>
        <v>This will be hard to do, but if it is the right company I would try</v>
      </c>
      <c r="S1376" s="1"/>
    </row>
    <row r="1377" spans="1:19" ht="12.5" x14ac:dyDescent="0.25">
      <c r="A1377" s="2">
        <f ca="1">IFERROR(__xludf.DUMMYFUNCTION("""COMPUTED_VALUE"""),45044.816764618)</f>
        <v>45044.816764618001</v>
      </c>
      <c r="B1377" s="1" t="str">
        <f ca="1">IFERROR(__xludf.DUMMYFUNCTION("""COMPUTED_VALUE"""),"India")</f>
        <v>India</v>
      </c>
      <c r="C1377" s="1">
        <f ca="1">IFERROR(__xludf.DUMMYFUNCTION("""COMPUTED_VALUE"""),110009)</f>
        <v>110009</v>
      </c>
      <c r="D1377" s="1" t="str">
        <f ca="1">IFERROR(__xludf.DUMMYFUNCTION("""COMPUTED_VALUE"""),"Male")</f>
        <v>Male</v>
      </c>
      <c r="E1377" s="1" t="str">
        <f ca="1">IFERROR(__xludf.DUMMYFUNCTION("""COMPUTED_VALUE"""),"My Parents")</f>
        <v>My Parents</v>
      </c>
      <c r="F1377" s="1" t="str">
        <f ca="1">IFERROR(__xludf.DUMMYFUNCTION("""COMPUTED_VALUE"""),"No I would not be pursuing Higher Education outside of India")</f>
        <v>No I would not be pursuing Higher Education outside of India</v>
      </c>
      <c r="G1377" s="1" t="str">
        <f ca="1">IFERROR(__xludf.DUMMYFUNCTION("""COMPUTED_VALUE"""),"This will be hard to do, but if it is the right company I would try")</f>
        <v>This will be hard to do, but if it is the right company I would try</v>
      </c>
      <c r="H1377" s="1" t="str">
        <f ca="1">IFERROR(__xludf.DUMMYFUNCTION("""COMPUTED_VALUE"""),"No")</f>
        <v>No</v>
      </c>
      <c r="I1377" s="1" t="str">
        <f ca="1">IFERROR(__xludf.DUMMYFUNCTION("""COMPUTED_VALUE"""),"Will NOT work for them")</f>
        <v>Will NOT work for them</v>
      </c>
      <c r="J1377" s="1">
        <f ca="1">IFERROR(__xludf.DUMMYFUNCTION("""COMPUTED_VALUE"""),7)</f>
        <v>7</v>
      </c>
      <c r="K1377" s="1" t="str">
        <f ca="1">IFERROR(__xludf.DUMMYFUNCTION("""COMPUTED_VALUE"""),"Hybrid Working Environment with more than 15 days a month at office")</f>
        <v>Hybrid Working Environment with more than 15 days a month at office</v>
      </c>
      <c r="L13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7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377" s="1" t="str">
        <f ca="1">IFERROR(__xludf.DUMMYFUNCTION("""COMPUTED_VALUE"""),"Teaching in any of the institutes/colleges/online or offline, Become a content Creator in some platform, Entrepreneur or Start Up, I Want to sell things/Sales")</f>
        <v>Teaching in any of the institutes/colleges/online or offline, Become a content Creator in some platform, Entrepreneur or Start Up, I Want to sell things/Sales</v>
      </c>
      <c r="O1377" s="1" t="str">
        <f ca="1">IFERROR(__xludf.DUMMYFUNCTION("""COMPUTED_VALUE"""),"Manager who sets goal and helps me achieve it")</f>
        <v>Manager who sets goal and helps me achieve it</v>
      </c>
      <c r="P1377" s="1" t="str">
        <f ca="1">IFERROR(__xludf.DUMMYFUNCTION("""COMPUTED_VALUE"""),"Work alone")</f>
        <v>Work alone</v>
      </c>
      <c r="Q1377" s="1" t="str">
        <f ca="1">IFERROR(__xludf.DUMMYFUNCTION("""COMPUTED_VALUE"""),"Yes, I Understand this is gonna happen everywhere")</f>
        <v>Yes, I Understand this is gonna happen everywhere</v>
      </c>
      <c r="R1377" s="1" t="str">
        <f ca="1">IFERROR(__xludf.DUMMYFUNCTION("""COMPUTED_VALUE"""),"No way")</f>
        <v>No way</v>
      </c>
      <c r="S1377" s="1"/>
    </row>
    <row r="1378" spans="1:19" ht="12.5" x14ac:dyDescent="0.25">
      <c r="A1378" s="2">
        <f ca="1">IFERROR(__xludf.DUMMYFUNCTION("""COMPUTED_VALUE"""),45044.8180245601)</f>
        <v>45044.818024560103</v>
      </c>
      <c r="B1378" s="1" t="str">
        <f ca="1">IFERROR(__xludf.DUMMYFUNCTION("""COMPUTED_VALUE"""),"India")</f>
        <v>India</v>
      </c>
      <c r="C1378" s="1">
        <f ca="1">IFERROR(__xludf.DUMMYFUNCTION("""COMPUTED_VALUE"""),603001)</f>
        <v>603001</v>
      </c>
      <c r="D1378" s="1" t="str">
        <f ca="1">IFERROR(__xludf.DUMMYFUNCTION("""COMPUTED_VALUE"""),"Male")</f>
        <v>Male</v>
      </c>
      <c r="E1378" s="1" t="str">
        <f ca="1">IFERROR(__xludf.DUMMYFUNCTION("""COMPUTED_VALUE"""),"Influencers who had successful careers")</f>
        <v>Influencers who had successful careers</v>
      </c>
      <c r="F1378" s="1" t="str">
        <f ca="1">IFERROR(__xludf.DUMMYFUNCTION("""COMPUTED_VALUE"""),"No, But if someone could bare the cost I will")</f>
        <v>No, But if someone could bare the cost I will</v>
      </c>
      <c r="G1378" s="1" t="str">
        <f ca="1">IFERROR(__xludf.DUMMYFUNCTION("""COMPUTED_VALUE"""),"Will work for 3 years or more")</f>
        <v>Will work for 3 years or more</v>
      </c>
      <c r="H1378" s="1" t="str">
        <f ca="1">IFERROR(__xludf.DUMMYFUNCTION("""COMPUTED_VALUE"""),"No")</f>
        <v>No</v>
      </c>
      <c r="I1378" s="1" t="str">
        <f ca="1">IFERROR(__xludf.DUMMYFUNCTION("""COMPUTED_VALUE"""),"Will NOT work for them")</f>
        <v>Will NOT work for them</v>
      </c>
      <c r="J1378" s="1">
        <f ca="1">IFERROR(__xludf.DUMMYFUNCTION("""COMPUTED_VALUE"""),2)</f>
        <v>2</v>
      </c>
      <c r="K1378" s="1" t="str">
        <f ca="1">IFERROR(__xludf.DUMMYFUNCTION("""COMPUTED_VALUE"""),"Fully Remote with Options to travel as and when needed")</f>
        <v>Fully Remote with Options to travel as and when needed</v>
      </c>
      <c r="L1378" s="1" t="str">
        <f ca="1">IFERROR(__xludf.DUMMYFUNCTION("""COMPUTED_VALUE"""),"Employer who appreciates learning and enables that environment")</f>
        <v>Employer who appreciates learning and enables that environment</v>
      </c>
      <c r="M137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78" s="1" t="str">
        <f ca="1">IFERROR(__xludf.DUMMYFUNCTION("""COMPUTED_VALUE"""),"Business Operations in any organization, Look deeply into Data and generate insights, Entrepreneur or Start Up, I Want to sell things/Sales")</f>
        <v>Business Operations in any organization, Look deeply into Data and generate insights, Entrepreneur or Start Up, I Want to sell things/Sales</v>
      </c>
      <c r="O1378" s="1" t="str">
        <f ca="1">IFERROR(__xludf.DUMMYFUNCTION("""COMPUTED_VALUE"""),"Manager who clearly describes what she/he needs")</f>
        <v>Manager who clearly describes what she/he needs</v>
      </c>
      <c r="P1378" s="1" t="str">
        <f ca="1">IFERROR(__xludf.DUMMYFUNCTION("""COMPUTED_VALUE"""),"Work with 7 to 10 or more people in my team")</f>
        <v>Work with 7 to 10 or more people in my team</v>
      </c>
      <c r="Q1378" s="1" t="str">
        <f ca="1">IFERROR(__xludf.DUMMYFUNCTION("""COMPUTED_VALUE"""),"Yes, I Understand this is gonna happen everywhere")</f>
        <v>Yes, I Understand this is gonna happen everywhere</v>
      </c>
      <c r="R1378" s="1" t="str">
        <f ca="1">IFERROR(__xludf.DUMMYFUNCTION("""COMPUTED_VALUE"""),"This will be hard to do, but if it is the right company I would try")</f>
        <v>This will be hard to do, but if it is the right company I would try</v>
      </c>
      <c r="S1378" s="1"/>
    </row>
    <row r="1379" spans="1:19" ht="12.5" x14ac:dyDescent="0.25">
      <c r="A1379" s="2">
        <f ca="1">IFERROR(__xludf.DUMMYFUNCTION("""COMPUTED_VALUE"""),45044.8208368865)</f>
        <v>45044.820836886502</v>
      </c>
      <c r="B1379" s="1" t="str">
        <f ca="1">IFERROR(__xludf.DUMMYFUNCTION("""COMPUTED_VALUE"""),"India")</f>
        <v>India</v>
      </c>
      <c r="C1379" s="1">
        <f ca="1">IFERROR(__xludf.DUMMYFUNCTION("""COMPUTED_VALUE"""),530016)</f>
        <v>530016</v>
      </c>
      <c r="D1379" s="1" t="str">
        <f ca="1">IFERROR(__xludf.DUMMYFUNCTION("""COMPUTED_VALUE"""),"Female")</f>
        <v>Female</v>
      </c>
      <c r="E1379" s="1" t="str">
        <f ca="1">IFERROR(__xludf.DUMMYFUNCTION("""COMPUTED_VALUE"""),"My Parents")</f>
        <v>My Parents</v>
      </c>
      <c r="F1379" s="1" t="str">
        <f ca="1">IFERROR(__xludf.DUMMYFUNCTION("""COMPUTED_VALUE"""),"Yes, I will earn and do that")</f>
        <v>Yes, I will earn and do that</v>
      </c>
      <c r="G1379" s="1" t="str">
        <f ca="1">IFERROR(__xludf.DUMMYFUNCTION("""COMPUTED_VALUE"""),"Will work for 3 years or more")</f>
        <v>Will work for 3 years or more</v>
      </c>
      <c r="H1379" s="1" t="str">
        <f ca="1">IFERROR(__xludf.DUMMYFUNCTION("""COMPUTED_VALUE"""),"No")</f>
        <v>No</v>
      </c>
      <c r="I1379" s="1" t="str">
        <f ca="1">IFERROR(__xludf.DUMMYFUNCTION("""COMPUTED_VALUE"""),"Will NOT work for them")</f>
        <v>Will NOT work for them</v>
      </c>
      <c r="J1379" s="1">
        <f ca="1">IFERROR(__xludf.DUMMYFUNCTION("""COMPUTED_VALUE"""),6)</f>
        <v>6</v>
      </c>
      <c r="K1379" s="1" t="str">
        <f ca="1">IFERROR(__xludf.DUMMYFUNCTION("""COMPUTED_VALUE"""),"Every Day Office Environment")</f>
        <v>Every Day Office Environment</v>
      </c>
      <c r="L1379" s="1" t="str">
        <f ca="1">IFERROR(__xludf.DUMMYFUNCTION("""COMPUTED_VALUE"""),"Employer who appreciates learning and enables that environment")</f>
        <v>Employer who appreciates learning and enables that environment</v>
      </c>
      <c r="M137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379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1379" s="1" t="str">
        <f ca="1">IFERROR(__xludf.DUMMYFUNCTION("""COMPUTED_VALUE"""),"Manager who explains what is expected, sets a goal and helps achieve it")</f>
        <v>Manager who explains what is expected, sets a goal and helps achieve it</v>
      </c>
      <c r="P1379" s="1" t="str">
        <f ca="1">IFERROR(__xludf.DUMMYFUNCTION("""COMPUTED_VALUE"""),"Work with more than 10 people in my team")</f>
        <v>Work with more than 10 people in my team</v>
      </c>
      <c r="Q1379" s="1" t="str">
        <f ca="1">IFERROR(__xludf.DUMMYFUNCTION("""COMPUTED_VALUE"""),"Yes, I Understand this is gonna happen everywhere")</f>
        <v>Yes, I Understand this is gonna happen everywhere</v>
      </c>
      <c r="R1379" s="1" t="str">
        <f ca="1">IFERROR(__xludf.DUMMYFUNCTION("""COMPUTED_VALUE"""),"This will be hard to do, but if it is the right company I would try")</f>
        <v>This will be hard to do, but if it is the right company I would try</v>
      </c>
      <c r="S1379" s="1"/>
    </row>
    <row r="1380" spans="1:19" ht="12.5" x14ac:dyDescent="0.25">
      <c r="A1380" s="2">
        <f ca="1">IFERROR(__xludf.DUMMYFUNCTION("""COMPUTED_VALUE"""),45044.8225547222)</f>
        <v>45044.822554722203</v>
      </c>
      <c r="B1380" s="1" t="str">
        <f ca="1">IFERROR(__xludf.DUMMYFUNCTION("""COMPUTED_VALUE"""),"India")</f>
        <v>India</v>
      </c>
      <c r="C1380" s="1">
        <f ca="1">IFERROR(__xludf.DUMMYFUNCTION("""COMPUTED_VALUE"""),603001)</f>
        <v>603001</v>
      </c>
      <c r="D1380" s="1" t="str">
        <f ca="1">IFERROR(__xludf.DUMMYFUNCTION("""COMPUTED_VALUE"""),"Female")</f>
        <v>Female</v>
      </c>
      <c r="E1380" s="1" t="str">
        <f ca="1">IFERROR(__xludf.DUMMYFUNCTION("""COMPUTED_VALUE"""),"People from my circle, but not family members")</f>
        <v>People from my circle, but not family members</v>
      </c>
      <c r="F1380" s="1" t="str">
        <f ca="1">IFERROR(__xludf.DUMMYFUNCTION("""COMPUTED_VALUE"""),"No I would not be pursuing Higher Education outside of India")</f>
        <v>No I would not be pursuing Higher Education outside of India</v>
      </c>
      <c r="G1380" s="1" t="str">
        <f ca="1">IFERROR(__xludf.DUMMYFUNCTION("""COMPUTED_VALUE"""),"This will be hard to do, but if it is the right company I would try")</f>
        <v>This will be hard to do, but if it is the right company I would try</v>
      </c>
      <c r="H1380" s="1" t="str">
        <f ca="1">IFERROR(__xludf.DUMMYFUNCTION("""COMPUTED_VALUE"""),"No")</f>
        <v>No</v>
      </c>
      <c r="I1380" s="1" t="str">
        <f ca="1">IFERROR(__xludf.DUMMYFUNCTION("""COMPUTED_VALUE"""),"Will NOT work for them")</f>
        <v>Will NOT work for them</v>
      </c>
      <c r="J1380" s="1">
        <f ca="1">IFERROR(__xludf.DUMMYFUNCTION("""COMPUTED_VALUE"""),4)</f>
        <v>4</v>
      </c>
      <c r="K1380" s="1" t="str">
        <f ca="1">IFERROR(__xludf.DUMMYFUNCTION("""COMPUTED_VALUE"""),"Hybrid Working Environment with more than 15 days a month at office")</f>
        <v>Hybrid Working Environment with more than 15 days a month at office</v>
      </c>
      <c r="L13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8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80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380" s="1" t="str">
        <f ca="1">IFERROR(__xludf.DUMMYFUNCTION("""COMPUTED_VALUE"""),"Manager who explains what is expected, sets a goal and helps achieve it")</f>
        <v>Manager who explains what is expected, sets a goal and helps achieve it</v>
      </c>
      <c r="P1380" s="1" t="str">
        <f ca="1">IFERROR(__xludf.DUMMYFUNCTION("""COMPUTED_VALUE"""),"Work with 5 to 6 people in my team")</f>
        <v>Work with 5 to 6 people in my team</v>
      </c>
      <c r="Q1380" s="1" t="str">
        <f ca="1">IFERROR(__xludf.DUMMYFUNCTION("""COMPUTED_VALUE"""),"No")</f>
        <v>No</v>
      </c>
      <c r="R1380" s="1" t="str">
        <f ca="1">IFERROR(__xludf.DUMMYFUNCTION("""COMPUTED_VALUE"""),"No way")</f>
        <v>No way</v>
      </c>
      <c r="S1380" s="1"/>
    </row>
    <row r="1381" spans="1:19" ht="12.5" x14ac:dyDescent="0.25">
      <c r="A1381" s="2">
        <f ca="1">IFERROR(__xludf.DUMMYFUNCTION("""COMPUTED_VALUE"""),45044.823875625)</f>
        <v>45044.823875624999</v>
      </c>
      <c r="B1381" s="1" t="str">
        <f ca="1">IFERROR(__xludf.DUMMYFUNCTION("""COMPUTED_VALUE"""),"India")</f>
        <v>India</v>
      </c>
      <c r="C1381" s="1">
        <f ca="1">IFERROR(__xludf.DUMMYFUNCTION("""COMPUTED_VALUE"""),753001)</f>
        <v>753001</v>
      </c>
      <c r="D1381" s="1" t="str">
        <f ca="1">IFERROR(__xludf.DUMMYFUNCTION("""COMPUTED_VALUE"""),"Female")</f>
        <v>Female</v>
      </c>
      <c r="E1381" s="1" t="str">
        <f ca="1">IFERROR(__xludf.DUMMYFUNCTION("""COMPUTED_VALUE"""),"My Parents")</f>
        <v>My Parents</v>
      </c>
      <c r="F1381" s="1" t="str">
        <f ca="1">IFERROR(__xludf.DUMMYFUNCTION("""COMPUTED_VALUE"""),"No, But if someone could bare the cost I will")</f>
        <v>No, But if someone could bare the cost I will</v>
      </c>
      <c r="G1381" s="1" t="str">
        <f ca="1">IFERROR(__xludf.DUMMYFUNCTION("""COMPUTED_VALUE"""),"Will work for 3 years or more")</f>
        <v>Will work for 3 years or more</v>
      </c>
      <c r="H1381" s="1" t="str">
        <f ca="1">IFERROR(__xludf.DUMMYFUNCTION("""COMPUTED_VALUE"""),"Yes")</f>
        <v>Yes</v>
      </c>
      <c r="I1381" s="1" t="str">
        <f ca="1">IFERROR(__xludf.DUMMYFUNCTION("""COMPUTED_VALUE"""),"Will work for them")</f>
        <v>Will work for them</v>
      </c>
      <c r="J1381" s="1">
        <f ca="1">IFERROR(__xludf.DUMMYFUNCTION("""COMPUTED_VALUE"""),3)</f>
        <v>3</v>
      </c>
      <c r="K1381" s="1" t="str">
        <f ca="1">IFERROR(__xludf.DUMMYFUNCTION("""COMPUTED_VALUE"""),"Every Day Office Environment")</f>
        <v>Every Day Office Environment</v>
      </c>
      <c r="L13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8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381" s="1" t="str">
        <f ca="1">IFERROR(__xludf.DUMMYFUNCTION("""COMPUTED_VALUE"""),"Design and Creative strategy in any company, Look deeply into Data and generate insights, Entrepreneur or Start Up, An Artificial Intelligence Specialist / Talking to Robots")</f>
        <v>Design and Creative strategy in any company, Look deeply into Data and generate insights, Entrepreneur or Start Up, An Artificial Intelligence Specialist / Talking to Robots</v>
      </c>
      <c r="O1381" s="1" t="str">
        <f ca="1">IFERROR(__xludf.DUMMYFUNCTION("""COMPUTED_VALUE"""),"Manager who explains what is expected, sets a goal and helps achieve it")</f>
        <v>Manager who explains what is expected, sets a goal and helps achieve it</v>
      </c>
      <c r="P1381" s="1" t="str">
        <f ca="1">IFERROR(__xludf.DUMMYFUNCTION("""COMPUTED_VALUE"""),"Work with 5 to 6 people in my team")</f>
        <v>Work with 5 to 6 people in my team</v>
      </c>
      <c r="Q1381" s="1" t="str">
        <f ca="1">IFERROR(__xludf.DUMMYFUNCTION("""COMPUTED_VALUE"""),"Yes, I Understand this is gonna happen everywhere")</f>
        <v>Yes, I Understand this is gonna happen everywhere</v>
      </c>
      <c r="R1381" s="1" t="str">
        <f ca="1">IFERROR(__xludf.DUMMYFUNCTION("""COMPUTED_VALUE"""),"Will work for 7 years or more")</f>
        <v>Will work for 7 years or more</v>
      </c>
      <c r="S1381" s="1"/>
    </row>
    <row r="1382" spans="1:19" ht="12.5" x14ac:dyDescent="0.25">
      <c r="A1382" s="2">
        <f ca="1">IFERROR(__xludf.DUMMYFUNCTION("""COMPUTED_VALUE"""),45044.8267601504)</f>
        <v>45044.826760150398</v>
      </c>
      <c r="B1382" s="1" t="str">
        <f ca="1">IFERROR(__xludf.DUMMYFUNCTION("""COMPUTED_VALUE"""),"India")</f>
        <v>India</v>
      </c>
      <c r="C1382" s="1">
        <f ca="1">IFERROR(__xludf.DUMMYFUNCTION("""COMPUTED_VALUE"""),600073)</f>
        <v>600073</v>
      </c>
      <c r="D1382" s="1" t="str">
        <f ca="1">IFERROR(__xludf.DUMMYFUNCTION("""COMPUTED_VALUE"""),"Female")</f>
        <v>Female</v>
      </c>
      <c r="E1382" s="1" t="str">
        <f ca="1">IFERROR(__xludf.DUMMYFUNCTION("""COMPUTED_VALUE"""),"Influencers who had successful careers")</f>
        <v>Influencers who had successful careers</v>
      </c>
      <c r="F1382" s="1" t="str">
        <f ca="1">IFERROR(__xludf.DUMMYFUNCTION("""COMPUTED_VALUE"""),"No, But if someone could bare the cost I will")</f>
        <v>No, But if someone could bare the cost I will</v>
      </c>
      <c r="G1382" s="1" t="str">
        <f ca="1">IFERROR(__xludf.DUMMYFUNCTION("""COMPUTED_VALUE"""),"This will be hard to do, but if it is the right company I would try")</f>
        <v>This will be hard to do, but if it is the right company I would try</v>
      </c>
      <c r="H1382" s="1" t="str">
        <f ca="1">IFERROR(__xludf.DUMMYFUNCTION("""COMPUTED_VALUE"""),"No")</f>
        <v>No</v>
      </c>
      <c r="I1382" s="1" t="str">
        <f ca="1">IFERROR(__xludf.DUMMYFUNCTION("""COMPUTED_VALUE"""),"Will NOT work for them")</f>
        <v>Will NOT work for them</v>
      </c>
      <c r="J1382" s="1">
        <f ca="1">IFERROR(__xludf.DUMMYFUNCTION("""COMPUTED_VALUE"""),5)</f>
        <v>5</v>
      </c>
      <c r="K1382" s="1" t="str">
        <f ca="1">IFERROR(__xludf.DUMMYFUNCTION("""COMPUTED_VALUE"""),"Hybrid Working Environment with less than 3 days a month at office")</f>
        <v>Hybrid Working Environment with less than 3 days a month at office</v>
      </c>
      <c r="L13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8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382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1382" s="1" t="str">
        <f ca="1">IFERROR(__xludf.DUMMYFUNCTION("""COMPUTED_VALUE"""),"Manager who explains what is expected, sets a goal and helps achieve it")</f>
        <v>Manager who explains what is expected, sets a goal and helps achieve it</v>
      </c>
      <c r="P1382" s="1" t="str">
        <f ca="1">IFERROR(__xludf.DUMMYFUNCTION("""COMPUTED_VALUE"""),"Work with more than 10 people in my team")</f>
        <v>Work with more than 10 people in my team</v>
      </c>
      <c r="Q1382" s="1" t="str">
        <f ca="1">IFERROR(__xludf.DUMMYFUNCTION("""COMPUTED_VALUE"""),"Yes, I Understand this is gonna happen everywhere")</f>
        <v>Yes, I Understand this is gonna happen everywhere</v>
      </c>
      <c r="R1382" s="1" t="str">
        <f ca="1">IFERROR(__xludf.DUMMYFUNCTION("""COMPUTED_VALUE"""),"No way")</f>
        <v>No way</v>
      </c>
      <c r="S1382" s="1"/>
    </row>
    <row r="1383" spans="1:19" ht="12.5" x14ac:dyDescent="0.25">
      <c r="A1383" s="2">
        <f ca="1">IFERROR(__xludf.DUMMYFUNCTION("""COMPUTED_VALUE"""),45044.8270799652)</f>
        <v>45044.827079965202</v>
      </c>
      <c r="B1383" s="1" t="str">
        <f ca="1">IFERROR(__xludf.DUMMYFUNCTION("""COMPUTED_VALUE"""),"India")</f>
        <v>India</v>
      </c>
      <c r="C1383" s="1">
        <f ca="1">IFERROR(__xludf.DUMMYFUNCTION("""COMPUTED_VALUE"""),500010)</f>
        <v>500010</v>
      </c>
      <c r="D1383" s="1" t="str">
        <f ca="1">IFERROR(__xludf.DUMMYFUNCTION("""COMPUTED_VALUE"""),"Male")</f>
        <v>Male</v>
      </c>
      <c r="E1383" s="1" t="str">
        <f ca="1">IFERROR(__xludf.DUMMYFUNCTION("""COMPUTED_VALUE"""),"My Parents")</f>
        <v>My Parents</v>
      </c>
      <c r="F1383" s="1" t="str">
        <f ca="1">IFERROR(__xludf.DUMMYFUNCTION("""COMPUTED_VALUE"""),"Yes, I will earn and do that")</f>
        <v>Yes, I will earn and do that</v>
      </c>
      <c r="G1383" s="1" t="str">
        <f ca="1">IFERROR(__xludf.DUMMYFUNCTION("""COMPUTED_VALUE"""),"This will be hard to do, but if it is the right company I would try")</f>
        <v>This will be hard to do, but if it is the right company I would try</v>
      </c>
      <c r="H1383" s="1" t="str">
        <f ca="1">IFERROR(__xludf.DUMMYFUNCTION("""COMPUTED_VALUE"""),"No")</f>
        <v>No</v>
      </c>
      <c r="I1383" s="1" t="str">
        <f ca="1">IFERROR(__xludf.DUMMYFUNCTION("""COMPUTED_VALUE"""),"Will NOT work for them")</f>
        <v>Will NOT work for them</v>
      </c>
      <c r="J1383" s="1">
        <f ca="1">IFERROR(__xludf.DUMMYFUNCTION("""COMPUTED_VALUE"""),5)</f>
        <v>5</v>
      </c>
      <c r="K1383" s="1" t="str">
        <f ca="1">IFERROR(__xludf.DUMMYFUNCTION("""COMPUTED_VALUE"""),"Hybrid Working Environment with less than 3 days a month at office")</f>
        <v>Hybrid Working Environment with less than 3 days a month at office</v>
      </c>
      <c r="L13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8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83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3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383" s="1" t="str">
        <f ca="1">IFERROR(__xludf.DUMMYFUNCTION("""COMPUTED_VALUE"""),"Work with 5 to 6 people in my team")</f>
        <v>Work with 5 to 6 people in my team</v>
      </c>
      <c r="Q1383" s="1" t="str">
        <f ca="1">IFERROR(__xludf.DUMMYFUNCTION("""COMPUTED_VALUE"""),"Yes, I Understand this is gonna happen everywhere")</f>
        <v>Yes, I Understand this is gonna happen everywhere</v>
      </c>
      <c r="R1383" s="1" t="str">
        <f ca="1">IFERROR(__xludf.DUMMYFUNCTION("""COMPUTED_VALUE"""),"No way")</f>
        <v>No way</v>
      </c>
      <c r="S1383" s="1"/>
    </row>
    <row r="1384" spans="1:19" ht="12.5" x14ac:dyDescent="0.25">
      <c r="A1384" s="2">
        <f ca="1">IFERROR(__xludf.DUMMYFUNCTION("""COMPUTED_VALUE"""),45044.8310726967)</f>
        <v>45044.831072696703</v>
      </c>
      <c r="B1384" s="1" t="str">
        <f ca="1">IFERROR(__xludf.DUMMYFUNCTION("""COMPUTED_VALUE"""),"India")</f>
        <v>India</v>
      </c>
      <c r="C1384" s="1">
        <f ca="1">IFERROR(__xludf.DUMMYFUNCTION("""COMPUTED_VALUE"""),530072)</f>
        <v>530072</v>
      </c>
      <c r="D1384" s="1" t="str">
        <f ca="1">IFERROR(__xludf.DUMMYFUNCTION("""COMPUTED_VALUE"""),"Female")</f>
        <v>Female</v>
      </c>
      <c r="E1384" s="1" t="str">
        <f ca="1">IFERROR(__xludf.DUMMYFUNCTION("""COMPUTED_VALUE"""),"People from my circle, but not family members")</f>
        <v>People from my circle, but not family members</v>
      </c>
      <c r="F1384" s="1" t="str">
        <f ca="1">IFERROR(__xludf.DUMMYFUNCTION("""COMPUTED_VALUE"""),"No I would not be pursuing Higher Education outside of India")</f>
        <v>No I would not be pursuing Higher Education outside of India</v>
      </c>
      <c r="G1384" s="1" t="str">
        <f ca="1">IFERROR(__xludf.DUMMYFUNCTION("""COMPUTED_VALUE"""),"This will be hard to do, but if it is the right company I would try")</f>
        <v>This will be hard to do, but if it is the right company I would try</v>
      </c>
      <c r="H1384" s="1" t="str">
        <f ca="1">IFERROR(__xludf.DUMMYFUNCTION("""COMPUTED_VALUE"""),"No")</f>
        <v>No</v>
      </c>
      <c r="I1384" s="1" t="str">
        <f ca="1">IFERROR(__xludf.DUMMYFUNCTION("""COMPUTED_VALUE"""),"Will work for them")</f>
        <v>Will work for them</v>
      </c>
      <c r="J1384" s="1">
        <f ca="1">IFERROR(__xludf.DUMMYFUNCTION("""COMPUTED_VALUE"""),6)</f>
        <v>6</v>
      </c>
      <c r="K1384" s="1" t="str">
        <f ca="1">IFERROR(__xludf.DUMMYFUNCTION("""COMPUTED_VALUE"""),"Hybrid Working Environment with less than 3 days a month at office")</f>
        <v>Hybrid Working Environment with less than 3 days a month at office</v>
      </c>
      <c r="L1384" s="1" t="str">
        <f ca="1">IFERROR(__xludf.DUMMYFUNCTION("""COMPUTED_VALUE"""),"Employer who rewards learning and enables that environment")</f>
        <v>Employer who rewards learning and enables that environment</v>
      </c>
      <c r="M138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84" s="1" t="str">
        <f ca="1">IFERROR(__xludf.DUMMYFUNCTION("""COMPUTED_VALUE"""),"Manage and drive End-to-End Projects or Products, Work as a freelancer and do my thing my way, Entrepreneur or Start Up, Manufacturing / Oil and Gas/ Construction / Hard Physical Work related")</f>
        <v>Manage and drive End-to-End Projects or Products, Work as a freelancer and do my thing my way, Entrepreneur or Start Up, Manufacturing / Oil and Gas/ Construction / Hard Physical Work related</v>
      </c>
      <c r="O1384" s="1" t="str">
        <f ca="1">IFERROR(__xludf.DUMMYFUNCTION("""COMPUTED_VALUE"""),"Manager who explains what is expected, sets a goal and helps achieve it")</f>
        <v>Manager who explains what is expected, sets a goal and helps achieve it</v>
      </c>
      <c r="P1384" s="1" t="str">
        <f ca="1">IFERROR(__xludf.DUMMYFUNCTION("""COMPUTED_VALUE"""),"Work with 2 to 3 people in my team")</f>
        <v>Work with 2 to 3 people in my team</v>
      </c>
      <c r="Q1384" s="1" t="str">
        <f ca="1">IFERROR(__xludf.DUMMYFUNCTION("""COMPUTED_VALUE"""),"Yes, I Understand this is gonna happen everywhere")</f>
        <v>Yes, I Understand this is gonna happen everywhere</v>
      </c>
      <c r="R1384" s="1" t="str">
        <f ca="1">IFERROR(__xludf.DUMMYFUNCTION("""COMPUTED_VALUE"""),"This will be hard to do, but if it is the right company I would try")</f>
        <v>This will be hard to do, but if it is the right company I would try</v>
      </c>
      <c r="S1384" s="1"/>
    </row>
    <row r="1385" spans="1:19" ht="12.5" x14ac:dyDescent="0.25">
      <c r="A1385" s="2">
        <f ca="1">IFERROR(__xludf.DUMMYFUNCTION("""COMPUTED_VALUE"""),45044.8336682754)</f>
        <v>45044.833668275402</v>
      </c>
      <c r="B1385" s="1" t="str">
        <f ca="1">IFERROR(__xludf.DUMMYFUNCTION("""COMPUTED_VALUE"""),"India")</f>
        <v>India</v>
      </c>
      <c r="C1385" s="1">
        <f ca="1">IFERROR(__xludf.DUMMYFUNCTION("""COMPUTED_VALUE"""),530001)</f>
        <v>530001</v>
      </c>
      <c r="D1385" s="1" t="str">
        <f ca="1">IFERROR(__xludf.DUMMYFUNCTION("""COMPUTED_VALUE"""),"Female")</f>
        <v>Female</v>
      </c>
      <c r="E1385" s="1" t="str">
        <f ca="1">IFERROR(__xludf.DUMMYFUNCTION("""COMPUTED_VALUE"""),"My Parents")</f>
        <v>My Parents</v>
      </c>
      <c r="F1385" s="1" t="str">
        <f ca="1">IFERROR(__xludf.DUMMYFUNCTION("""COMPUTED_VALUE"""),"No I would not be pursuing Higher Education outside of India")</f>
        <v>No I would not be pursuing Higher Education outside of India</v>
      </c>
      <c r="G1385" s="1" t="str">
        <f ca="1">IFERROR(__xludf.DUMMYFUNCTION("""COMPUTED_VALUE"""),"Will work for 3 years or more")</f>
        <v>Will work for 3 years or more</v>
      </c>
      <c r="H1385" s="1" t="str">
        <f ca="1">IFERROR(__xludf.DUMMYFUNCTION("""COMPUTED_VALUE"""),"No")</f>
        <v>No</v>
      </c>
      <c r="I1385" s="1" t="str">
        <f ca="1">IFERROR(__xludf.DUMMYFUNCTION("""COMPUTED_VALUE"""),"Will NOT work for them")</f>
        <v>Will NOT work for them</v>
      </c>
      <c r="J1385" s="1">
        <f ca="1">IFERROR(__xludf.DUMMYFUNCTION("""COMPUTED_VALUE"""),5)</f>
        <v>5</v>
      </c>
      <c r="K1385" s="1" t="str">
        <f ca="1">IFERROR(__xludf.DUMMYFUNCTION("""COMPUTED_VALUE"""),"Fully Remote with Options to travel as and when needed")</f>
        <v>Fully Remote with Options to travel as and when needed</v>
      </c>
      <c r="L1385" s="1" t="str">
        <f ca="1">IFERROR(__xludf.DUMMYFUNCTION("""COMPUTED_VALUE"""),"Employer who appreciates learning and enables that environment")</f>
        <v>Employer who appreciates learning and enables that environment</v>
      </c>
      <c r="M138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85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385" s="1" t="str">
        <f ca="1">IFERROR(__xludf.DUMMYFUNCTION("""COMPUTED_VALUE"""),"Manager who explains what is expected, sets a goal and helps achieve it")</f>
        <v>Manager who explains what is expected, sets a goal and helps achieve it</v>
      </c>
      <c r="P1385" s="1" t="str">
        <f ca="1">IFERROR(__xludf.DUMMYFUNCTION("""COMPUTED_VALUE"""),"Work with more than 10 people in my team")</f>
        <v>Work with more than 10 people in my team</v>
      </c>
      <c r="Q1385" s="1" t="str">
        <f ca="1">IFERROR(__xludf.DUMMYFUNCTION("""COMPUTED_VALUE"""),"Yes, I Understand this is gonna happen everywhere")</f>
        <v>Yes, I Understand this is gonna happen everywhere</v>
      </c>
      <c r="R1385" s="1" t="str">
        <f ca="1">IFERROR(__xludf.DUMMYFUNCTION("""COMPUTED_VALUE"""),"This will be hard to do, but if it is the right company I would try")</f>
        <v>This will be hard to do, but if it is the right company I would try</v>
      </c>
      <c r="S1385" s="1"/>
    </row>
    <row r="1386" spans="1:19" ht="12.5" x14ac:dyDescent="0.25">
      <c r="A1386" s="2">
        <f ca="1">IFERROR(__xludf.DUMMYFUNCTION("""COMPUTED_VALUE"""),45044.8340515277)</f>
        <v>45044.834051527701</v>
      </c>
      <c r="B1386" s="1" t="str">
        <f ca="1">IFERROR(__xludf.DUMMYFUNCTION("""COMPUTED_VALUE"""),"India")</f>
        <v>India</v>
      </c>
      <c r="C1386" s="1">
        <f ca="1">IFERROR(__xludf.DUMMYFUNCTION("""COMPUTED_VALUE"""),502032)</f>
        <v>502032</v>
      </c>
      <c r="D1386" s="1" t="str">
        <f ca="1">IFERROR(__xludf.DUMMYFUNCTION("""COMPUTED_VALUE"""),"Female")</f>
        <v>Female</v>
      </c>
      <c r="E1386" s="1" t="str">
        <f ca="1">IFERROR(__xludf.DUMMYFUNCTION("""COMPUTED_VALUE"""),"People who have changed the world for better")</f>
        <v>People who have changed the world for better</v>
      </c>
      <c r="F1386" s="1" t="str">
        <f ca="1">IFERROR(__xludf.DUMMYFUNCTION("""COMPUTED_VALUE"""),"No, But if someone could bare the cost I will")</f>
        <v>No, But if someone could bare the cost I will</v>
      </c>
      <c r="G1386" s="1" t="str">
        <f ca="1">IFERROR(__xludf.DUMMYFUNCTION("""COMPUTED_VALUE"""),"Will work for 3 years or more")</f>
        <v>Will work for 3 years or more</v>
      </c>
      <c r="H1386" s="1" t="str">
        <f ca="1">IFERROR(__xludf.DUMMYFUNCTION("""COMPUTED_VALUE"""),"No")</f>
        <v>No</v>
      </c>
      <c r="I1386" s="1" t="str">
        <f ca="1">IFERROR(__xludf.DUMMYFUNCTION("""COMPUTED_VALUE"""),"Will NOT work for them")</f>
        <v>Will NOT work for them</v>
      </c>
      <c r="J1386" s="1">
        <f ca="1">IFERROR(__xludf.DUMMYFUNCTION("""COMPUTED_VALUE"""),3)</f>
        <v>3</v>
      </c>
      <c r="K1386" s="1" t="str">
        <f ca="1">IFERROR(__xludf.DUMMYFUNCTION("""COMPUTED_VALUE"""),"Every Day Office Environment")</f>
        <v>Every Day Office Environment</v>
      </c>
      <c r="L1386" s="1" t="str">
        <f ca="1">IFERROR(__xludf.DUMMYFUNCTION("""COMPUTED_VALUE"""),"Employer who appreciates learning and enables that environment")</f>
        <v>Employer who appreciates learning and enables that environment</v>
      </c>
      <c r="M138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86" s="1" t="str">
        <f ca="1">IFERROR(__xludf.DUMMYFUNCTION("""COMPUTED_VALUE"""),"Design and Creative strategy in any company, Build and develop a Team, Look deeply into Data and generate insights, Work as a freelancer and do my thing my way")</f>
        <v>Design and Creative strategy in any company, Build and develop a Team, Look deeply into Data and generate insights, Work as a freelancer and do my thing my way</v>
      </c>
      <c r="O1386" s="1" t="str">
        <f ca="1">IFERROR(__xludf.DUMMYFUNCTION("""COMPUTED_VALUE"""),"Manager who clearly describes what she/he needs")</f>
        <v>Manager who clearly describes what she/he needs</v>
      </c>
      <c r="P1386" s="1" t="str">
        <f ca="1">IFERROR(__xludf.DUMMYFUNCTION("""COMPUTED_VALUE"""),"Work with 5 to 6 people in my team")</f>
        <v>Work with 5 to 6 people in my team</v>
      </c>
      <c r="Q1386" s="1" t="str">
        <f ca="1">IFERROR(__xludf.DUMMYFUNCTION("""COMPUTED_VALUE"""),"Yes, I Understand this is gonna happen everywhere")</f>
        <v>Yes, I Understand this is gonna happen everywhere</v>
      </c>
      <c r="R1386" s="1" t="str">
        <f ca="1">IFERROR(__xludf.DUMMYFUNCTION("""COMPUTED_VALUE"""),"This will be hard to do, but if it is the right company I would try")</f>
        <v>This will be hard to do, but if it is the right company I would try</v>
      </c>
      <c r="S1386" s="1"/>
    </row>
    <row r="1387" spans="1:19" ht="12.5" x14ac:dyDescent="0.25">
      <c r="A1387" s="2">
        <f ca="1">IFERROR(__xludf.DUMMYFUNCTION("""COMPUTED_VALUE"""),45044.8345561574)</f>
        <v>45044.834556157402</v>
      </c>
      <c r="B1387" s="1" t="str">
        <f ca="1">IFERROR(__xludf.DUMMYFUNCTION("""COMPUTED_VALUE"""),"India")</f>
        <v>India</v>
      </c>
      <c r="C1387" s="1">
        <f ca="1">IFERROR(__xludf.DUMMYFUNCTION("""COMPUTED_VALUE"""),533201)</f>
        <v>533201</v>
      </c>
      <c r="D1387" s="1" t="str">
        <f ca="1">IFERROR(__xludf.DUMMYFUNCTION("""COMPUTED_VALUE"""),"Male")</f>
        <v>Male</v>
      </c>
      <c r="E1387" s="1" t="str">
        <f ca="1">IFERROR(__xludf.DUMMYFUNCTION("""COMPUTED_VALUE"""),"My Parents")</f>
        <v>My Parents</v>
      </c>
      <c r="F1387" s="1" t="str">
        <f ca="1">IFERROR(__xludf.DUMMYFUNCTION("""COMPUTED_VALUE"""),"No, But if someone could bare the cost I will")</f>
        <v>No, But if someone could bare the cost I will</v>
      </c>
      <c r="G1387" s="1" t="str">
        <f ca="1">IFERROR(__xludf.DUMMYFUNCTION("""COMPUTED_VALUE"""),"This will be hard to do, but if it is the right company I would try")</f>
        <v>This will be hard to do, but if it is the right company I would try</v>
      </c>
      <c r="H1387" s="1" t="str">
        <f ca="1">IFERROR(__xludf.DUMMYFUNCTION("""COMPUTED_VALUE"""),"No")</f>
        <v>No</v>
      </c>
      <c r="I1387" s="1" t="str">
        <f ca="1">IFERROR(__xludf.DUMMYFUNCTION("""COMPUTED_VALUE"""),"Will NOT work for them")</f>
        <v>Will NOT work for them</v>
      </c>
      <c r="J1387" s="1">
        <f ca="1">IFERROR(__xludf.DUMMYFUNCTION("""COMPUTED_VALUE"""),5)</f>
        <v>5</v>
      </c>
      <c r="K1387" s="1" t="str">
        <f ca="1">IFERROR(__xludf.DUMMYFUNCTION("""COMPUTED_VALUE"""),"Fully Remote with Options to travel as and when needed")</f>
        <v>Fully Remote with Options to travel as and when needed</v>
      </c>
      <c r="L1387" s="1" t="str">
        <f ca="1">IFERROR(__xludf.DUMMYFUNCTION("""COMPUTED_VALUE"""),"Employer who appreciates learning and enables that environment")</f>
        <v>Employer who appreciates learning and enables that environment</v>
      </c>
      <c r="M138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87" s="1" t="str">
        <f ca="1">IFERROR(__xludf.DUMMYFUNCTION("""COMPUTED_VALUE"""),"Business Operations in any organization, Design and Develop amazing software, Look deeply into Data and generate insights, An Artificial Intelligence Specialist / Talking to Robots")</f>
        <v>Business Operations in any organization, Design and Develop amazing software, Look deeply into Data and generate insights, An Artificial Intelligence Specialist / Talking to Robots</v>
      </c>
      <c r="O1387" s="1" t="str">
        <f ca="1">IFERROR(__xludf.DUMMYFUNCTION("""COMPUTED_VALUE"""),"Manager who explains what is expected, sets a goal and helps achieve it")</f>
        <v>Manager who explains what is expected, sets a goal and helps achieve it</v>
      </c>
      <c r="P1387" s="1" t="str">
        <f ca="1">IFERROR(__xludf.DUMMYFUNCTION("""COMPUTED_VALUE"""),"Work alone, Work with 2 to 3 people in my team")</f>
        <v>Work alone, Work with 2 to 3 people in my team</v>
      </c>
      <c r="Q1387" s="1" t="str">
        <f ca="1">IFERROR(__xludf.DUMMYFUNCTION("""COMPUTED_VALUE"""),"Yes, I Understand this is gonna happen everywhere")</f>
        <v>Yes, I Understand this is gonna happen everywhere</v>
      </c>
      <c r="R1387" s="1" t="str">
        <f ca="1">IFERROR(__xludf.DUMMYFUNCTION("""COMPUTED_VALUE"""),"No way")</f>
        <v>No way</v>
      </c>
      <c r="S1387" s="1"/>
    </row>
    <row r="1388" spans="1:19" ht="12.5" x14ac:dyDescent="0.25">
      <c r="A1388" s="2">
        <f ca="1">IFERROR(__xludf.DUMMYFUNCTION("""COMPUTED_VALUE"""),45044.8369749537)</f>
        <v>45044.836974953701</v>
      </c>
      <c r="B1388" s="1" t="str">
        <f ca="1">IFERROR(__xludf.DUMMYFUNCTION("""COMPUTED_VALUE"""),"India")</f>
        <v>India</v>
      </c>
      <c r="C1388" s="1">
        <f ca="1">IFERROR(__xludf.DUMMYFUNCTION("""COMPUTED_VALUE"""),607803)</f>
        <v>607803</v>
      </c>
      <c r="D1388" s="1" t="str">
        <f ca="1">IFERROR(__xludf.DUMMYFUNCTION("""COMPUTED_VALUE"""),"Female")</f>
        <v>Female</v>
      </c>
      <c r="E1388" s="1" t="str">
        <f ca="1">IFERROR(__xludf.DUMMYFUNCTION("""COMPUTED_VALUE"""),"People who have changed the world for better")</f>
        <v>People who have changed the world for better</v>
      </c>
      <c r="F1388" s="1" t="str">
        <f ca="1">IFERROR(__xludf.DUMMYFUNCTION("""COMPUTED_VALUE"""),"Yes, I will earn and do that")</f>
        <v>Yes, I will earn and do that</v>
      </c>
      <c r="G1388" s="1" t="str">
        <f ca="1">IFERROR(__xludf.DUMMYFUNCTION("""COMPUTED_VALUE"""),"This will be hard to do, but if it is the right company I would try")</f>
        <v>This will be hard to do, but if it is the right company I would try</v>
      </c>
      <c r="H1388" s="1" t="str">
        <f ca="1">IFERROR(__xludf.DUMMYFUNCTION("""COMPUTED_VALUE"""),"No")</f>
        <v>No</v>
      </c>
      <c r="I1388" s="1" t="str">
        <f ca="1">IFERROR(__xludf.DUMMYFUNCTION("""COMPUTED_VALUE"""),"Will NOT work for them")</f>
        <v>Will NOT work for them</v>
      </c>
      <c r="J1388" s="1">
        <f ca="1">IFERROR(__xludf.DUMMYFUNCTION("""COMPUTED_VALUE"""),5)</f>
        <v>5</v>
      </c>
      <c r="K1388" s="1" t="str">
        <f ca="1">IFERROR(__xludf.DUMMYFUNCTION("""COMPUTED_VALUE"""),"Hybrid Working Environment with more than 15 days a month at office")</f>
        <v>Hybrid Working Environment with more than 15 days a month at office</v>
      </c>
      <c r="L1388" s="1" t="str">
        <f ca="1">IFERROR(__xludf.DUMMYFUNCTION("""COMPUTED_VALUE"""),"Employer who appreciates learning and enables that environment")</f>
        <v>Employer who appreciates learning and enables that environment</v>
      </c>
      <c r="M138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388" s="1" t="str">
        <f ca="1">IFERROR(__xludf.DUMMYFUNCTION("""COMPUTED_VALUE"""),"Design and Creative strategy in any company, Teaching in any of the institutes/colleges/online or offline, Design and Develop amazing software, Entrepreneur or Start Up")</f>
        <v>Design and Creative strategy in any company, Teaching in any of the institutes/colleges/online or offline, Design and Develop amazing software, Entrepreneur or Start Up</v>
      </c>
      <c r="O1388" s="1" t="str">
        <f ca="1">IFERROR(__xludf.DUMMYFUNCTION("""COMPUTED_VALUE"""),"Manager who sets goal and helps me achieve it")</f>
        <v>Manager who sets goal and helps me achieve it</v>
      </c>
      <c r="P1388" s="1" t="str">
        <f ca="1">IFERROR(__xludf.DUMMYFUNCTION("""COMPUTED_VALUE"""),"Work with 7 to 10 or more people in my team")</f>
        <v>Work with 7 to 10 or more people in my team</v>
      </c>
      <c r="Q1388" s="1" t="str">
        <f ca="1">IFERROR(__xludf.DUMMYFUNCTION("""COMPUTED_VALUE"""),"Yes, I Understand this is gonna happen everywhere")</f>
        <v>Yes, I Understand this is gonna happen everywhere</v>
      </c>
      <c r="R1388" s="1" t="str">
        <f ca="1">IFERROR(__xludf.DUMMYFUNCTION("""COMPUTED_VALUE"""),"This will be hard to do, but if it is the right company I would try")</f>
        <v>This will be hard to do, but if it is the right company I would try</v>
      </c>
      <c r="S1388" s="1"/>
    </row>
    <row r="1389" spans="1:19" ht="12.5" x14ac:dyDescent="0.25">
      <c r="A1389" s="2">
        <f ca="1">IFERROR(__xludf.DUMMYFUNCTION("""COMPUTED_VALUE"""),45044.844605324)</f>
        <v>45044.844605323997</v>
      </c>
      <c r="B1389" s="1" t="str">
        <f ca="1">IFERROR(__xludf.DUMMYFUNCTION("""COMPUTED_VALUE"""),"India")</f>
        <v>India</v>
      </c>
      <c r="C1389" s="1">
        <f ca="1">IFERROR(__xludf.DUMMYFUNCTION("""COMPUTED_VALUE"""),560094)</f>
        <v>560094</v>
      </c>
      <c r="D1389" s="1" t="str">
        <f ca="1">IFERROR(__xludf.DUMMYFUNCTION("""COMPUTED_VALUE"""),"Female")</f>
        <v>Female</v>
      </c>
      <c r="E1389" s="1" t="str">
        <f ca="1">IFERROR(__xludf.DUMMYFUNCTION("""COMPUTED_VALUE"""),"People who have changed the world for better")</f>
        <v>People who have changed the world for better</v>
      </c>
      <c r="F1389" s="1" t="str">
        <f ca="1">IFERROR(__xludf.DUMMYFUNCTION("""COMPUTED_VALUE"""),"Yes, I will earn and do that")</f>
        <v>Yes, I will earn and do that</v>
      </c>
      <c r="G1389" s="1" t="str">
        <f ca="1">IFERROR(__xludf.DUMMYFUNCTION("""COMPUTED_VALUE"""),"This will be hard to do, but if it is the right company I would try")</f>
        <v>This will be hard to do, but if it is the right company I would try</v>
      </c>
      <c r="H1389" s="1" t="str">
        <f ca="1">IFERROR(__xludf.DUMMYFUNCTION("""COMPUTED_VALUE"""),"No")</f>
        <v>No</v>
      </c>
      <c r="I1389" s="1" t="str">
        <f ca="1">IFERROR(__xludf.DUMMYFUNCTION("""COMPUTED_VALUE"""),"Will NOT work for them")</f>
        <v>Will NOT work for them</v>
      </c>
      <c r="J1389" s="1">
        <f ca="1">IFERROR(__xludf.DUMMYFUNCTION("""COMPUTED_VALUE"""),2)</f>
        <v>2</v>
      </c>
      <c r="K1389" s="1" t="str">
        <f ca="1">IFERROR(__xludf.DUMMYFUNCTION("""COMPUTED_VALUE"""),"Fully Remote with Options to travel as and when needed")</f>
        <v>Fully Remote with Options to travel as and when needed</v>
      </c>
      <c r="L1389" s="1" t="str">
        <f ca="1">IFERROR(__xludf.DUMMYFUNCTION("""COMPUTED_VALUE"""),"Employer who appreciates learning and enables that environment")</f>
        <v>Employer who appreciates learning and enables that environment</v>
      </c>
      <c r="M138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89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389" s="1" t="str">
        <f ca="1">IFERROR(__xludf.DUMMYFUNCTION("""COMPUTED_VALUE"""),"Manager who clearly describes what she/he needs")</f>
        <v>Manager who clearly describes what she/he needs</v>
      </c>
      <c r="P1389" s="1" t="str">
        <f ca="1">IFERROR(__xludf.DUMMYFUNCTION("""COMPUTED_VALUE"""),"Work with 5 to 6 people in my team")</f>
        <v>Work with 5 to 6 people in my team</v>
      </c>
      <c r="Q1389" s="1" t="str">
        <f ca="1">IFERROR(__xludf.DUMMYFUNCTION("""COMPUTED_VALUE"""),"Yes, I Understand this is gonna happen everywhere")</f>
        <v>Yes, I Understand this is gonna happen everywhere</v>
      </c>
      <c r="R1389" s="1" t="str">
        <f ca="1">IFERROR(__xludf.DUMMYFUNCTION("""COMPUTED_VALUE"""),"This will be hard to do, but if it is the right company I would try")</f>
        <v>This will be hard to do, but if it is the right company I would try</v>
      </c>
      <c r="S1389" s="1"/>
    </row>
    <row r="1390" spans="1:19" ht="12.5" x14ac:dyDescent="0.25">
      <c r="A1390" s="2">
        <f ca="1">IFERROR(__xludf.DUMMYFUNCTION("""COMPUTED_VALUE"""),45044.8458607407)</f>
        <v>45044.845860740701</v>
      </c>
      <c r="B1390" s="1" t="str">
        <f ca="1">IFERROR(__xludf.DUMMYFUNCTION("""COMPUTED_VALUE"""),"India")</f>
        <v>India</v>
      </c>
      <c r="C1390" s="1">
        <f ca="1">IFERROR(__xludf.DUMMYFUNCTION("""COMPUTED_VALUE"""),509334)</f>
        <v>509334</v>
      </c>
      <c r="D1390" s="1" t="str">
        <f ca="1">IFERROR(__xludf.DUMMYFUNCTION("""COMPUTED_VALUE"""),"Female")</f>
        <v>Female</v>
      </c>
      <c r="E1390" s="1" t="str">
        <f ca="1">IFERROR(__xludf.DUMMYFUNCTION("""COMPUTED_VALUE"""),"People who have changed the world for better")</f>
        <v>People who have changed the world for better</v>
      </c>
      <c r="F1390" s="1" t="str">
        <f ca="1">IFERROR(__xludf.DUMMYFUNCTION("""COMPUTED_VALUE"""),"Yes, I will earn and do that")</f>
        <v>Yes, I will earn and do that</v>
      </c>
      <c r="G1390" s="1" t="str">
        <f ca="1">IFERROR(__xludf.DUMMYFUNCTION("""COMPUTED_VALUE"""),"This will be hard to do, but if it is the right company I would try")</f>
        <v>This will be hard to do, but if it is the right company I would try</v>
      </c>
      <c r="H1390" s="1" t="str">
        <f ca="1">IFERROR(__xludf.DUMMYFUNCTION("""COMPUTED_VALUE"""),"No")</f>
        <v>No</v>
      </c>
      <c r="I1390" s="1" t="str">
        <f ca="1">IFERROR(__xludf.DUMMYFUNCTION("""COMPUTED_VALUE"""),"Will NOT work for them")</f>
        <v>Will NOT work for them</v>
      </c>
      <c r="J1390" s="1">
        <f ca="1">IFERROR(__xludf.DUMMYFUNCTION("""COMPUTED_VALUE"""),1)</f>
        <v>1</v>
      </c>
      <c r="K1390" s="1" t="str">
        <f ca="1">IFERROR(__xludf.DUMMYFUNCTION("""COMPUTED_VALUE"""),"Fully Remote with Options to travel as and when needed")</f>
        <v>Fully Remote with Options to travel as and when needed</v>
      </c>
      <c r="L13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9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390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390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0" s="1" t="str">
        <f ca="1">IFERROR(__xludf.DUMMYFUNCTION("""COMPUTED_VALUE"""),"Work with 5 to 6 people in my team")</f>
        <v>Work with 5 to 6 people in my team</v>
      </c>
      <c r="Q1390" s="1" t="str">
        <f ca="1">IFERROR(__xludf.DUMMYFUNCTION("""COMPUTED_VALUE"""),"Yes, I Understand this is gonna happen everywhere")</f>
        <v>Yes, I Understand this is gonna happen everywhere</v>
      </c>
      <c r="R1390" s="1" t="str">
        <f ca="1">IFERROR(__xludf.DUMMYFUNCTION("""COMPUTED_VALUE"""),"This will be hard to do, but if it is the right company I would try")</f>
        <v>This will be hard to do, but if it is the right company I would try</v>
      </c>
      <c r="S1390" s="1"/>
    </row>
    <row r="1391" spans="1:19" ht="12.5" x14ac:dyDescent="0.25">
      <c r="A1391" s="2">
        <f ca="1">IFERROR(__xludf.DUMMYFUNCTION("""COMPUTED_VALUE"""),45044.8480246064)</f>
        <v>45044.848024606399</v>
      </c>
      <c r="B1391" s="1" t="str">
        <f ca="1">IFERROR(__xludf.DUMMYFUNCTION("""COMPUTED_VALUE"""),"India")</f>
        <v>India</v>
      </c>
      <c r="C1391" s="1">
        <f ca="1">IFERROR(__xludf.DUMMYFUNCTION("""COMPUTED_VALUE"""),531034)</f>
        <v>531034</v>
      </c>
      <c r="D1391" s="1" t="str">
        <f ca="1">IFERROR(__xludf.DUMMYFUNCTION("""COMPUTED_VALUE"""),"Male")</f>
        <v>Male</v>
      </c>
      <c r="E1391" s="1" t="str">
        <f ca="1">IFERROR(__xludf.DUMMYFUNCTION("""COMPUTED_VALUE"""),"People from my circle, but not family members")</f>
        <v>People from my circle, but not family members</v>
      </c>
      <c r="F1391" s="1" t="str">
        <f ca="1">IFERROR(__xludf.DUMMYFUNCTION("""COMPUTED_VALUE"""),"No I would not be pursuing Higher Education outside of India")</f>
        <v>No I would not be pursuing Higher Education outside of India</v>
      </c>
      <c r="G1391" s="1" t="str">
        <f ca="1">IFERROR(__xludf.DUMMYFUNCTION("""COMPUTED_VALUE"""),"This will be hard to do, but if it is the right company I would try")</f>
        <v>This will be hard to do, but if it is the right company I would try</v>
      </c>
      <c r="H1391" s="1" t="str">
        <f ca="1">IFERROR(__xludf.DUMMYFUNCTION("""COMPUTED_VALUE"""),"No")</f>
        <v>No</v>
      </c>
      <c r="I1391" s="1" t="str">
        <f ca="1">IFERROR(__xludf.DUMMYFUNCTION("""COMPUTED_VALUE"""),"Will NOT work for them")</f>
        <v>Will NOT work for them</v>
      </c>
      <c r="J1391" s="1">
        <f ca="1">IFERROR(__xludf.DUMMYFUNCTION("""COMPUTED_VALUE"""),3)</f>
        <v>3</v>
      </c>
      <c r="K1391" s="1" t="str">
        <f ca="1">IFERROR(__xludf.DUMMYFUNCTION("""COMPUTED_VALUE"""),"Fully Remote with Options to travel as and when needed")</f>
        <v>Fully Remote with Options to travel as and when needed</v>
      </c>
      <c r="L13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9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91" s="1" t="str">
        <f ca="1">IFERROR(__xludf.DUMMYFUNCTION("""COMPUTED_VALUE"""),"Business Operations in any organization, Work as a freelancer and do my thing my way, Entrepreneur or Start Up, Manufacturing / Oil and Gas/ Construction / Hard Physical Work related")</f>
        <v>Business Operations in any organization, Work as a freelancer and do my thing my way, Entrepreneur or Start Up, Manufacturing / Oil and Gas/ Construction / Hard Physical Work related</v>
      </c>
      <c r="O13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1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391" s="1" t="str">
        <f ca="1">IFERROR(__xludf.DUMMYFUNCTION("""COMPUTED_VALUE"""),"Yes, I Understand this is gonna happen everywhere")</f>
        <v>Yes, I Understand this is gonna happen everywhere</v>
      </c>
      <c r="R1391" s="1" t="str">
        <f ca="1">IFERROR(__xludf.DUMMYFUNCTION("""COMPUTED_VALUE"""),"This will be hard to do, but if it is the right company I would try")</f>
        <v>This will be hard to do, but if it is the right company I would try</v>
      </c>
      <c r="S1391" s="1"/>
    </row>
    <row r="1392" spans="1:19" ht="12.5" x14ac:dyDescent="0.25">
      <c r="A1392" s="2">
        <f ca="1">IFERROR(__xludf.DUMMYFUNCTION("""COMPUTED_VALUE"""),45044.848354456)</f>
        <v>45044.848354456</v>
      </c>
      <c r="B1392" s="1" t="str">
        <f ca="1">IFERROR(__xludf.DUMMYFUNCTION("""COMPUTED_VALUE"""),"India")</f>
        <v>India</v>
      </c>
      <c r="C1392" s="1">
        <f ca="1">IFERROR(__xludf.DUMMYFUNCTION("""COMPUTED_VALUE"""),500085)</f>
        <v>500085</v>
      </c>
      <c r="D1392" s="1" t="str">
        <f ca="1">IFERROR(__xludf.DUMMYFUNCTION("""COMPUTED_VALUE"""),"Female")</f>
        <v>Female</v>
      </c>
      <c r="E1392" s="1" t="str">
        <f ca="1">IFERROR(__xludf.DUMMYFUNCTION("""COMPUTED_VALUE"""),"My Parents")</f>
        <v>My Parents</v>
      </c>
      <c r="F1392" s="1" t="str">
        <f ca="1">IFERROR(__xludf.DUMMYFUNCTION("""COMPUTED_VALUE"""),"No I would not be pursuing Higher Education outside of India")</f>
        <v>No I would not be pursuing Higher Education outside of India</v>
      </c>
      <c r="G1392" s="1" t="str">
        <f ca="1">IFERROR(__xludf.DUMMYFUNCTION("""COMPUTED_VALUE"""),"This will be hard to do, but if it is the right company I would try")</f>
        <v>This will be hard to do, but if it is the right company I would try</v>
      </c>
      <c r="H1392" s="1" t="str">
        <f ca="1">IFERROR(__xludf.DUMMYFUNCTION("""COMPUTED_VALUE"""),"No")</f>
        <v>No</v>
      </c>
      <c r="I1392" s="1" t="str">
        <f ca="1">IFERROR(__xludf.DUMMYFUNCTION("""COMPUTED_VALUE"""),"Will NOT work for them")</f>
        <v>Will NOT work for them</v>
      </c>
      <c r="J1392" s="1">
        <f ca="1">IFERROR(__xludf.DUMMYFUNCTION("""COMPUTED_VALUE"""),5)</f>
        <v>5</v>
      </c>
      <c r="K1392" s="1" t="str">
        <f ca="1">IFERROR(__xludf.DUMMYFUNCTION("""COMPUTED_VALUE"""),"Fully Remote with Options to travel as and when needed")</f>
        <v>Fully Remote with Options to travel as and when needed</v>
      </c>
      <c r="L13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9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392" s="1" t="str">
        <f ca="1">IFERROR(__xludf.DUMMYFUNCTION("""COMPUTED_VALUE"""),"Teaching in any of the institutes/colleges/online or offline, Manage and drive End-to-End Projects or Products, Look deeply into Data and generate insights, Manufacturing / Oil and Gas/ Construction / Hard Physical Work related")</f>
        <v>Teaching in any of the institutes/colleges/online or offline, Manage and drive End-to-End Projects or Products, Look deeply into Data and generate insights, Manufacturing / Oil and Gas/ Construction / Hard Physical Work related</v>
      </c>
      <c r="O1392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2" s="1" t="str">
        <f ca="1">IFERROR(__xludf.DUMMYFUNCTION("""COMPUTED_VALUE"""),"Work with 2 to 3 people in my team")</f>
        <v>Work with 2 to 3 people in my team</v>
      </c>
      <c r="Q1392" s="1" t="str">
        <f ca="1">IFERROR(__xludf.DUMMYFUNCTION("""COMPUTED_VALUE"""),"Yes, I Understand this is gonna happen everywhere")</f>
        <v>Yes, I Understand this is gonna happen everywhere</v>
      </c>
      <c r="R1392" s="1" t="str">
        <f ca="1">IFERROR(__xludf.DUMMYFUNCTION("""COMPUTED_VALUE"""),"No way")</f>
        <v>No way</v>
      </c>
      <c r="S1392" s="1"/>
    </row>
    <row r="1393" spans="1:19" ht="12.5" x14ac:dyDescent="0.25">
      <c r="A1393" s="2">
        <f ca="1">IFERROR(__xludf.DUMMYFUNCTION("""COMPUTED_VALUE"""),45044.8511573611)</f>
        <v>45044.851157361103</v>
      </c>
      <c r="B1393" s="1" t="str">
        <f ca="1">IFERROR(__xludf.DUMMYFUNCTION("""COMPUTED_VALUE"""),"India")</f>
        <v>India</v>
      </c>
      <c r="C1393" s="1">
        <f ca="1">IFERROR(__xludf.DUMMYFUNCTION("""COMPUTED_VALUE"""),760001)</f>
        <v>760001</v>
      </c>
      <c r="D1393" s="1" t="str">
        <f ca="1">IFERROR(__xludf.DUMMYFUNCTION("""COMPUTED_VALUE"""),"Female")</f>
        <v>Female</v>
      </c>
      <c r="E1393" s="1" t="str">
        <f ca="1">IFERROR(__xludf.DUMMYFUNCTION("""COMPUTED_VALUE"""),"My Parents")</f>
        <v>My Parents</v>
      </c>
      <c r="F1393" s="1" t="str">
        <f ca="1">IFERROR(__xludf.DUMMYFUNCTION("""COMPUTED_VALUE"""),"No I would not be pursuing Higher Education outside of India")</f>
        <v>No I would not be pursuing Higher Education outside of India</v>
      </c>
      <c r="G1393" s="1" t="str">
        <f ca="1">IFERROR(__xludf.DUMMYFUNCTION("""COMPUTED_VALUE"""),"This will be hard to do, but if it is the right company I would try")</f>
        <v>This will be hard to do, but if it is the right company I would try</v>
      </c>
      <c r="H1393" s="1" t="str">
        <f ca="1">IFERROR(__xludf.DUMMYFUNCTION("""COMPUTED_VALUE"""),"No")</f>
        <v>No</v>
      </c>
      <c r="I1393" s="1" t="str">
        <f ca="1">IFERROR(__xludf.DUMMYFUNCTION("""COMPUTED_VALUE"""),"Will NOT work for them")</f>
        <v>Will NOT work for them</v>
      </c>
      <c r="J1393" s="1">
        <f ca="1">IFERROR(__xludf.DUMMYFUNCTION("""COMPUTED_VALUE"""),1)</f>
        <v>1</v>
      </c>
      <c r="K1393" s="1" t="str">
        <f ca="1">IFERROR(__xludf.DUMMYFUNCTION("""COMPUTED_VALUE"""),"Every Day Office Environment")</f>
        <v>Every Day Office Environment</v>
      </c>
      <c r="L1393" s="1" t="str">
        <f ca="1">IFERROR(__xludf.DUMMYFUNCTION("""COMPUTED_VALUE"""),"Employer who appreciates learning and enables that environment")</f>
        <v>Employer who appreciates learning and enables that environment</v>
      </c>
      <c r="M139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93" s="1" t="str">
        <f ca="1">IFERROR(__xludf.DUMMYFUNCTION("""COMPUTED_VALUE"""),"Teaching in any of the institutes/colleges/online or offline, Look deeply into Data and generate insights, Become a content Creator in some platform, An Artificial Intelligence Specialist / Talking to Robots")</f>
        <v>Teaching in any of the institutes/colleges/online or offline, Look deeply into Data and generate insights, Become a content Creator in some platform, An Artificial Intelligence Specialist / Talking to Robots</v>
      </c>
      <c r="O1393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3" s="1" t="str">
        <f ca="1">IFERROR(__xludf.DUMMYFUNCTION("""COMPUTED_VALUE"""),"Work with 5 to 6 people in my team")</f>
        <v>Work with 5 to 6 people in my team</v>
      </c>
      <c r="Q1393" s="1" t="str">
        <f ca="1">IFERROR(__xludf.DUMMYFUNCTION("""COMPUTED_VALUE"""),"No")</f>
        <v>No</v>
      </c>
      <c r="R1393" s="1" t="str">
        <f ca="1">IFERROR(__xludf.DUMMYFUNCTION("""COMPUTED_VALUE"""),"This will be hard to do, but if it is the right company I would try")</f>
        <v>This will be hard to do, but if it is the right company I would try</v>
      </c>
      <c r="S1393" s="1"/>
    </row>
    <row r="1394" spans="1:19" ht="12.5" x14ac:dyDescent="0.25">
      <c r="A1394" s="2">
        <f ca="1">IFERROR(__xludf.DUMMYFUNCTION("""COMPUTED_VALUE"""),45044.8541821527)</f>
        <v>45044.854182152703</v>
      </c>
      <c r="B1394" s="1" t="str">
        <f ca="1">IFERROR(__xludf.DUMMYFUNCTION("""COMPUTED_VALUE"""),"India")</f>
        <v>India</v>
      </c>
      <c r="C1394" s="1">
        <f ca="1">IFERROR(__xludf.DUMMYFUNCTION("""COMPUTED_VALUE"""),410210)</f>
        <v>410210</v>
      </c>
      <c r="D1394" s="1" t="str">
        <f ca="1">IFERROR(__xludf.DUMMYFUNCTION("""COMPUTED_VALUE"""),"Male")</f>
        <v>Male</v>
      </c>
      <c r="E1394" s="1" t="str">
        <f ca="1">IFERROR(__xludf.DUMMYFUNCTION("""COMPUTED_VALUE"""),"People who have changed the world for better")</f>
        <v>People who have changed the world for better</v>
      </c>
      <c r="F1394" s="1" t="str">
        <f ca="1">IFERROR(__xludf.DUMMYFUNCTION("""COMPUTED_VALUE"""),"No, But if someone could bare the cost I will")</f>
        <v>No, But if someone could bare the cost I will</v>
      </c>
      <c r="G1394" s="1" t="str">
        <f ca="1">IFERROR(__xludf.DUMMYFUNCTION("""COMPUTED_VALUE"""),"This will be hard to do, but if it is the right company I would try")</f>
        <v>This will be hard to do, but if it is the right company I would try</v>
      </c>
      <c r="H1394" s="1" t="str">
        <f ca="1">IFERROR(__xludf.DUMMYFUNCTION("""COMPUTED_VALUE"""),"No")</f>
        <v>No</v>
      </c>
      <c r="I1394" s="1" t="str">
        <f ca="1">IFERROR(__xludf.DUMMYFUNCTION("""COMPUTED_VALUE"""),"Will NOT work for them")</f>
        <v>Will NOT work for them</v>
      </c>
      <c r="J1394" s="1">
        <f ca="1">IFERROR(__xludf.DUMMYFUNCTION("""COMPUTED_VALUE"""),5)</f>
        <v>5</v>
      </c>
      <c r="K1394" s="1" t="str">
        <f ca="1">IFERROR(__xludf.DUMMYFUNCTION("""COMPUTED_VALUE"""),"Hybrid Working Environment with more than 15 days a month at office")</f>
        <v>Hybrid Working Environment with more than 15 days a month at office</v>
      </c>
      <c r="L13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9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94" s="1" t="str">
        <f ca="1">IFERROR(__xludf.DUMMYFUNCTION("""COMPUTED_VALUE"""),"Design and Creative strategy in any company, Business Operations in any organization, Build and develop a Team, Manufacturing / Oil and Gas/ Construction / Hard Physical Work related")</f>
        <v>Design and Creative strategy in any company, Business Operations in any organization, Build and develop a Team, Manufacturing / Oil and Gas/ Construction / Hard Physical Work related</v>
      </c>
      <c r="O1394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4" s="1" t="str">
        <f ca="1">IFERROR(__xludf.DUMMYFUNCTION("""COMPUTED_VALUE"""),"Work with 2 to 3 people in my team, Work with 5 to 6 people in my team")</f>
        <v>Work with 2 to 3 people in my team, Work with 5 to 6 people in my team</v>
      </c>
      <c r="Q1394" s="1" t="str">
        <f ca="1">IFERROR(__xludf.DUMMYFUNCTION("""COMPUTED_VALUE"""),"Yes, I Understand this is gonna happen everywhere")</f>
        <v>Yes, I Understand this is gonna happen everywhere</v>
      </c>
      <c r="R1394" s="1" t="str">
        <f ca="1">IFERROR(__xludf.DUMMYFUNCTION("""COMPUTED_VALUE"""),"This will be hard to do, but if it is the right company I would try")</f>
        <v>This will be hard to do, but if it is the right company I would try</v>
      </c>
      <c r="S1394" s="1"/>
    </row>
    <row r="1395" spans="1:19" ht="12.5" x14ac:dyDescent="0.25">
      <c r="A1395" s="2">
        <f ca="1">IFERROR(__xludf.DUMMYFUNCTION("""COMPUTED_VALUE"""),45044.8567131944)</f>
        <v>45044.8567131944</v>
      </c>
      <c r="B1395" s="1" t="str">
        <f ca="1">IFERROR(__xludf.DUMMYFUNCTION("""COMPUTED_VALUE"""),"India")</f>
        <v>India</v>
      </c>
      <c r="C1395" s="1">
        <f ca="1">IFERROR(__xludf.DUMMYFUNCTION("""COMPUTED_VALUE"""),641035)</f>
        <v>641035</v>
      </c>
      <c r="D1395" s="1" t="str">
        <f ca="1">IFERROR(__xludf.DUMMYFUNCTION("""COMPUTED_VALUE"""),"Male")</f>
        <v>Male</v>
      </c>
      <c r="E1395" s="1" t="str">
        <f ca="1">IFERROR(__xludf.DUMMYFUNCTION("""COMPUTED_VALUE"""),"People from my circle, but not family members")</f>
        <v>People from my circle, but not family members</v>
      </c>
      <c r="F1395" s="1" t="str">
        <f ca="1">IFERROR(__xludf.DUMMYFUNCTION("""COMPUTED_VALUE"""),"Yes, I will earn and do that")</f>
        <v>Yes, I will earn and do that</v>
      </c>
      <c r="G1395" s="1" t="str">
        <f ca="1">IFERROR(__xludf.DUMMYFUNCTION("""COMPUTED_VALUE"""),"Will work for 3 years or more")</f>
        <v>Will work for 3 years or more</v>
      </c>
      <c r="H1395" s="1" t="str">
        <f ca="1">IFERROR(__xludf.DUMMYFUNCTION("""COMPUTED_VALUE"""),"No")</f>
        <v>No</v>
      </c>
      <c r="I1395" s="1" t="str">
        <f ca="1">IFERROR(__xludf.DUMMYFUNCTION("""COMPUTED_VALUE"""),"Will NOT work for them")</f>
        <v>Will NOT work for them</v>
      </c>
      <c r="J1395" s="1">
        <f ca="1">IFERROR(__xludf.DUMMYFUNCTION("""COMPUTED_VALUE"""),8)</f>
        <v>8</v>
      </c>
      <c r="K1395" s="1" t="str">
        <f ca="1">IFERROR(__xludf.DUMMYFUNCTION("""COMPUTED_VALUE"""),"Hybrid Working Environment with more than 15 days a month at office")</f>
        <v>Hybrid Working Environment with more than 15 days a month at office</v>
      </c>
      <c r="L1395" s="1" t="str">
        <f ca="1">IFERROR(__xludf.DUMMYFUNCTION("""COMPUTED_VALUE"""),"Employer who appreciates learning and enables that environment")</f>
        <v>Employer who appreciates learning and enables that environment</v>
      </c>
      <c r="M139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395" s="1" t="str">
        <f ca="1">IFERROR(__xludf.DUMMYFUNCTION("""COMPUTED_VALUE"""),"Teaching in any of the institutes/colleges/online or offline, Manage and drive End-to-End Projects or Products, Work as a freelancer and do my thing my way, Become a content Creator in some platform")</f>
        <v>Teaching in any of the institutes/colleges/online or offline, Manage and drive End-to-End Projects or Products, Work as a freelancer and do my thing my way, Become a content Creator in some platform</v>
      </c>
      <c r="O1395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5" s="1" t="str">
        <f ca="1">IFERROR(__xludf.DUMMYFUNCTION("""COMPUTED_VALUE"""),"Work with 5 to 6 people in my team")</f>
        <v>Work with 5 to 6 people in my team</v>
      </c>
      <c r="Q1395" s="1" t="str">
        <f ca="1">IFERROR(__xludf.DUMMYFUNCTION("""COMPUTED_VALUE"""),"Yes, I Understand this is gonna happen everywhere")</f>
        <v>Yes, I Understand this is gonna happen everywhere</v>
      </c>
      <c r="R1395" s="1" t="str">
        <f ca="1">IFERROR(__xludf.DUMMYFUNCTION("""COMPUTED_VALUE"""),"This will be hard to do, but if it is the right company I would try")</f>
        <v>This will be hard to do, but if it is the right company I would try</v>
      </c>
      <c r="S1395" s="1"/>
    </row>
    <row r="1396" spans="1:19" ht="12.5" x14ac:dyDescent="0.25">
      <c r="A1396" s="2">
        <f ca="1">IFERROR(__xludf.DUMMYFUNCTION("""COMPUTED_VALUE"""),45044.8630972453)</f>
        <v>45044.863097245303</v>
      </c>
      <c r="B1396" s="1" t="str">
        <f ca="1">IFERROR(__xludf.DUMMYFUNCTION("""COMPUTED_VALUE"""),"India")</f>
        <v>India</v>
      </c>
      <c r="C1396" s="1">
        <f ca="1">IFERROR(__xludf.DUMMYFUNCTION("""COMPUTED_VALUE"""),560073)</f>
        <v>560073</v>
      </c>
      <c r="D1396" s="1" t="str">
        <f ca="1">IFERROR(__xludf.DUMMYFUNCTION("""COMPUTED_VALUE"""),"Male")</f>
        <v>Male</v>
      </c>
      <c r="E1396" s="1" t="str">
        <f ca="1">IFERROR(__xludf.DUMMYFUNCTION("""COMPUTED_VALUE"""),"People who have changed the world for better")</f>
        <v>People who have changed the world for better</v>
      </c>
      <c r="F1396" s="1" t="str">
        <f ca="1">IFERROR(__xludf.DUMMYFUNCTION("""COMPUTED_VALUE"""),"No, But if someone could bare the cost I will")</f>
        <v>No, But if someone could bare the cost I will</v>
      </c>
      <c r="G1396" s="1" t="str">
        <f ca="1">IFERROR(__xludf.DUMMYFUNCTION("""COMPUTED_VALUE"""),"This will be hard to do, but if it is the right company I would try")</f>
        <v>This will be hard to do, but if it is the right company I would try</v>
      </c>
      <c r="H1396" s="1" t="str">
        <f ca="1">IFERROR(__xludf.DUMMYFUNCTION("""COMPUTED_VALUE"""),"Yes")</f>
        <v>Yes</v>
      </c>
      <c r="I1396" s="1" t="str">
        <f ca="1">IFERROR(__xludf.DUMMYFUNCTION("""COMPUTED_VALUE"""),"Will work for them")</f>
        <v>Will work for them</v>
      </c>
      <c r="J1396" s="1">
        <f ca="1">IFERROR(__xludf.DUMMYFUNCTION("""COMPUTED_VALUE"""),4)</f>
        <v>4</v>
      </c>
      <c r="K1396" s="1" t="str">
        <f ca="1">IFERROR(__xludf.DUMMYFUNCTION("""COMPUTED_VALUE"""),"Fully Remote with Options to travel as and when needed")</f>
        <v>Fully Remote with Options to travel as and when needed</v>
      </c>
      <c r="L13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96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396" s="1" t="str">
        <f ca="1">IFERROR(__xludf.DUMMYFUNCTION("""COMPUTED_VALUE"""),"Business Operations in any organization, Build and develop a Team, Work in a BPO setup for some well known client, Entrepreneur or Start Up")</f>
        <v>Business Operations in any organization, Build and develop a Team, Work in a BPO setup for some well known client, Entrepreneur or Start Up</v>
      </c>
      <c r="O1396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6" s="1" t="str">
        <f ca="1">IFERROR(__xludf.DUMMYFUNCTION("""COMPUTED_VALUE"""),"Work with 2 to 3 people in my team")</f>
        <v>Work with 2 to 3 people in my team</v>
      </c>
      <c r="Q1396" s="1" t="str">
        <f ca="1">IFERROR(__xludf.DUMMYFUNCTION("""COMPUTED_VALUE"""),"Yes, I Understand this is gonna happen everywhere")</f>
        <v>Yes, I Understand this is gonna happen everywhere</v>
      </c>
      <c r="R1396" s="1" t="str">
        <f ca="1">IFERROR(__xludf.DUMMYFUNCTION("""COMPUTED_VALUE"""),"This will be hard to do, but if it is the right company I would try")</f>
        <v>This will be hard to do, but if it is the right company I would try</v>
      </c>
      <c r="S1396" s="1"/>
    </row>
    <row r="1397" spans="1:19" ht="12.5" x14ac:dyDescent="0.25">
      <c r="A1397" s="2">
        <f ca="1">IFERROR(__xludf.DUMMYFUNCTION("""COMPUTED_VALUE"""),45044.8663224189)</f>
        <v>45044.8663224189</v>
      </c>
      <c r="B1397" s="1" t="str">
        <f ca="1">IFERROR(__xludf.DUMMYFUNCTION("""COMPUTED_VALUE"""),"India")</f>
        <v>India</v>
      </c>
      <c r="C1397" s="1">
        <f ca="1">IFERROR(__xludf.DUMMYFUNCTION("""COMPUTED_VALUE"""),503110)</f>
        <v>503110</v>
      </c>
      <c r="D1397" s="1" t="str">
        <f ca="1">IFERROR(__xludf.DUMMYFUNCTION("""COMPUTED_VALUE"""),"Female")</f>
        <v>Female</v>
      </c>
      <c r="E1397" s="1" t="str">
        <f ca="1">IFERROR(__xludf.DUMMYFUNCTION("""COMPUTED_VALUE"""),"People from my circle, but not family members")</f>
        <v>People from my circle, but not family members</v>
      </c>
      <c r="F1397" s="1" t="str">
        <f ca="1">IFERROR(__xludf.DUMMYFUNCTION("""COMPUTED_VALUE"""),"No I would not be pursuing Higher Education outside of India")</f>
        <v>No I would not be pursuing Higher Education outside of India</v>
      </c>
      <c r="G1397" s="1" t="str">
        <f ca="1">IFERROR(__xludf.DUMMYFUNCTION("""COMPUTED_VALUE"""),"This will be hard to do, but if it is the right company I would try")</f>
        <v>This will be hard to do, but if it is the right company I would try</v>
      </c>
      <c r="H1397" s="1" t="str">
        <f ca="1">IFERROR(__xludf.DUMMYFUNCTION("""COMPUTED_VALUE"""),"No")</f>
        <v>No</v>
      </c>
      <c r="I1397" s="1" t="str">
        <f ca="1">IFERROR(__xludf.DUMMYFUNCTION("""COMPUTED_VALUE"""),"Will NOT work for them")</f>
        <v>Will NOT work for them</v>
      </c>
      <c r="J1397" s="1">
        <f ca="1">IFERROR(__xludf.DUMMYFUNCTION("""COMPUTED_VALUE"""),9)</f>
        <v>9</v>
      </c>
      <c r="K1397" s="1" t="str">
        <f ca="1">IFERROR(__xludf.DUMMYFUNCTION("""COMPUTED_VALUE"""),"Fully Remote with Options to travel as and when needed")</f>
        <v>Fully Remote with Options to travel as and when needed</v>
      </c>
      <c r="L13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9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397" s="1" t="str">
        <f ca="1">IFERROR(__xludf.DUMMYFUNCTION("""COMPUTED_VALUE"""),"Design and Creative strategy in any company, Manage and drive End-to-End Projects or Products, Design and Develop amazing software, Work as a freelancer and do my thing my way")</f>
        <v>Design and Creative strategy in any company, Manage and drive End-to-End Projects or Products, Design and Develop amazing software, Work as a freelancer and do my thing my way</v>
      </c>
      <c r="O1397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7" s="1" t="str">
        <f ca="1">IFERROR(__xludf.DUMMYFUNCTION("""COMPUTED_VALUE"""),"Work with 2 to 3 people in my team")</f>
        <v>Work with 2 to 3 people in my team</v>
      </c>
      <c r="Q1397" s="1" t="str">
        <f ca="1">IFERROR(__xludf.DUMMYFUNCTION("""COMPUTED_VALUE"""),"Yes, I Understand this is gonna happen everywhere")</f>
        <v>Yes, I Understand this is gonna happen everywhere</v>
      </c>
      <c r="R1397" s="1" t="str">
        <f ca="1">IFERROR(__xludf.DUMMYFUNCTION("""COMPUTED_VALUE"""),"No way")</f>
        <v>No way</v>
      </c>
      <c r="S1397" s="1"/>
    </row>
    <row r="1398" spans="1:19" ht="12.5" x14ac:dyDescent="0.25">
      <c r="A1398" s="2">
        <f ca="1">IFERROR(__xludf.DUMMYFUNCTION("""COMPUTED_VALUE"""),45044.8665268402)</f>
        <v>45044.866526840196</v>
      </c>
      <c r="B1398" s="1" t="str">
        <f ca="1">IFERROR(__xludf.DUMMYFUNCTION("""COMPUTED_VALUE"""),"India")</f>
        <v>India</v>
      </c>
      <c r="C1398" s="1">
        <f ca="1">IFERROR(__xludf.DUMMYFUNCTION("""COMPUTED_VALUE"""),400601)</f>
        <v>400601</v>
      </c>
      <c r="D1398" s="1" t="str">
        <f ca="1">IFERROR(__xludf.DUMMYFUNCTION("""COMPUTED_VALUE"""),"Female")</f>
        <v>Female</v>
      </c>
      <c r="E1398" s="1" t="str">
        <f ca="1">IFERROR(__xludf.DUMMYFUNCTION("""COMPUTED_VALUE"""),"Social Media like LinkedIn")</f>
        <v>Social Media like LinkedIn</v>
      </c>
      <c r="F1398" s="1" t="str">
        <f ca="1">IFERROR(__xludf.DUMMYFUNCTION("""COMPUTED_VALUE"""),"Yes, I will earn and do that")</f>
        <v>Yes, I will earn and do that</v>
      </c>
      <c r="G1398" s="1" t="str">
        <f ca="1">IFERROR(__xludf.DUMMYFUNCTION("""COMPUTED_VALUE"""),"Will work for 3 years or more")</f>
        <v>Will work for 3 years or more</v>
      </c>
      <c r="H1398" s="1" t="str">
        <f ca="1">IFERROR(__xludf.DUMMYFUNCTION("""COMPUTED_VALUE"""),"Yes")</f>
        <v>Yes</v>
      </c>
      <c r="I1398" s="1" t="str">
        <f ca="1">IFERROR(__xludf.DUMMYFUNCTION("""COMPUTED_VALUE"""),"Will work for them")</f>
        <v>Will work for them</v>
      </c>
      <c r="J1398" s="1">
        <f ca="1">IFERROR(__xludf.DUMMYFUNCTION("""COMPUTED_VALUE"""),7)</f>
        <v>7</v>
      </c>
      <c r="K1398" s="1" t="str">
        <f ca="1">IFERROR(__xludf.DUMMYFUNCTION("""COMPUTED_VALUE"""),"Every Day Office Environment")</f>
        <v>Every Day Office Environment</v>
      </c>
      <c r="L13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398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398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13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398" s="1" t="str">
        <f ca="1">IFERROR(__xludf.DUMMYFUNCTION("""COMPUTED_VALUE"""),"Work with 7 to 10 or more people in my team")</f>
        <v>Work with 7 to 10 or more people in my team</v>
      </c>
      <c r="Q1398" s="1" t="str">
        <f ca="1">IFERROR(__xludf.DUMMYFUNCTION("""COMPUTED_VALUE"""),"Yes")</f>
        <v>Yes</v>
      </c>
      <c r="R1398" s="1" t="str">
        <f ca="1">IFERROR(__xludf.DUMMYFUNCTION("""COMPUTED_VALUE"""),"Will work for 7 years or more")</f>
        <v>Will work for 7 years or more</v>
      </c>
      <c r="S1398" s="1"/>
    </row>
    <row r="1399" spans="1:19" ht="12.5" x14ac:dyDescent="0.25">
      <c r="A1399" s="2">
        <f ca="1">IFERROR(__xludf.DUMMYFUNCTION("""COMPUTED_VALUE"""),45044.8690256944)</f>
        <v>45044.869025694403</v>
      </c>
      <c r="B1399" s="1" t="str">
        <f ca="1">IFERROR(__xludf.DUMMYFUNCTION("""COMPUTED_VALUE"""),"India")</f>
        <v>India</v>
      </c>
      <c r="C1399" s="1">
        <f ca="1">IFERROR(__xludf.DUMMYFUNCTION("""COMPUTED_VALUE"""),192301)</f>
        <v>192301</v>
      </c>
      <c r="D1399" s="1" t="str">
        <f ca="1">IFERROR(__xludf.DUMMYFUNCTION("""COMPUTED_VALUE"""),"Female")</f>
        <v>Female</v>
      </c>
      <c r="E1399" s="1" t="str">
        <f ca="1">IFERROR(__xludf.DUMMYFUNCTION("""COMPUTED_VALUE"""),"People from my circle, but not family members")</f>
        <v>People from my circle, but not family members</v>
      </c>
      <c r="F1399" s="1" t="str">
        <f ca="1">IFERROR(__xludf.DUMMYFUNCTION("""COMPUTED_VALUE"""),"Yes, I will earn and do that")</f>
        <v>Yes, I will earn and do that</v>
      </c>
      <c r="G1399" s="1" t="str">
        <f ca="1">IFERROR(__xludf.DUMMYFUNCTION("""COMPUTED_VALUE"""),"Will work for 3 years or more")</f>
        <v>Will work for 3 years or more</v>
      </c>
      <c r="H1399" s="1" t="str">
        <f ca="1">IFERROR(__xludf.DUMMYFUNCTION("""COMPUTED_VALUE"""),"No")</f>
        <v>No</v>
      </c>
      <c r="I1399" s="1" t="str">
        <f ca="1">IFERROR(__xludf.DUMMYFUNCTION("""COMPUTED_VALUE"""),"Will NOT work for them")</f>
        <v>Will NOT work for them</v>
      </c>
      <c r="J1399" s="1">
        <f ca="1">IFERROR(__xludf.DUMMYFUNCTION("""COMPUTED_VALUE"""),2)</f>
        <v>2</v>
      </c>
      <c r="K1399" s="1" t="str">
        <f ca="1">IFERROR(__xludf.DUMMYFUNCTION("""COMPUTED_VALUE"""),"Every Day Office Environment")</f>
        <v>Every Day Office Environment</v>
      </c>
      <c r="L1399" s="1" t="str">
        <f ca="1">IFERROR(__xludf.DUMMYFUNCTION("""COMPUTED_VALUE"""),"Employer who appreciates learning and enables that environment")</f>
        <v>Employer who appreciates learning and enables that environment</v>
      </c>
      <c r="M139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399" s="1" t="str">
        <f ca="1">IFERROR(__xludf.DUMMYFUNCTION("""COMPUTED_VALUE"""),"Design and Creative strategy in any company, Teaching in any of the institutes/colleges/online or offline, Design and Develop amazing software, Look deeply into Data and generate insights")</f>
        <v>Design and Creative strategy in any company, Teaching in any of the institutes/colleges/online or offline, Design and Develop amazing software, Look deeply into Data and generate insights</v>
      </c>
      <c r="O1399" s="1" t="str">
        <f ca="1">IFERROR(__xludf.DUMMYFUNCTION("""COMPUTED_VALUE"""),"Manager who clearly describes what she/he needs")</f>
        <v>Manager who clearly describes what she/he needs</v>
      </c>
      <c r="P1399" s="1" t="str">
        <f ca="1">IFERROR(__xludf.DUMMYFUNCTION("""COMPUTED_VALUE"""),"Work with more than 10 people in my team")</f>
        <v>Work with more than 10 people in my team</v>
      </c>
      <c r="Q1399" s="1" t="str">
        <f ca="1">IFERROR(__xludf.DUMMYFUNCTION("""COMPUTED_VALUE"""),"Yes, I Understand this is gonna happen everywhere")</f>
        <v>Yes, I Understand this is gonna happen everywhere</v>
      </c>
      <c r="R1399" s="1" t="str">
        <f ca="1">IFERROR(__xludf.DUMMYFUNCTION("""COMPUTED_VALUE"""),"Will work for 7 years or more")</f>
        <v>Will work for 7 years or more</v>
      </c>
      <c r="S1399" s="1"/>
    </row>
    <row r="1400" spans="1:19" ht="12.5" x14ac:dyDescent="0.25">
      <c r="A1400" s="2">
        <f ca="1">IFERROR(__xludf.DUMMYFUNCTION("""COMPUTED_VALUE"""),45044.8713008796)</f>
        <v>45044.871300879597</v>
      </c>
      <c r="B1400" s="1" t="str">
        <f ca="1">IFERROR(__xludf.DUMMYFUNCTION("""COMPUTED_VALUE"""),"India")</f>
        <v>India</v>
      </c>
      <c r="C1400" s="1">
        <f ca="1">IFERROR(__xludf.DUMMYFUNCTION("""COMPUTED_VALUE"""),560003)</f>
        <v>560003</v>
      </c>
      <c r="D1400" s="1" t="str">
        <f ca="1">IFERROR(__xludf.DUMMYFUNCTION("""COMPUTED_VALUE"""),"Female")</f>
        <v>Female</v>
      </c>
      <c r="E1400" s="1" t="str">
        <f ca="1">IFERROR(__xludf.DUMMYFUNCTION("""COMPUTED_VALUE"""),"My Parents")</f>
        <v>My Parents</v>
      </c>
      <c r="F1400" s="1" t="str">
        <f ca="1">IFERROR(__xludf.DUMMYFUNCTION("""COMPUTED_VALUE"""),"No, But if someone could bare the cost I will")</f>
        <v>No, But if someone could bare the cost I will</v>
      </c>
      <c r="G1400" s="1" t="str">
        <f ca="1">IFERROR(__xludf.DUMMYFUNCTION("""COMPUTED_VALUE"""),"No way")</f>
        <v>No way</v>
      </c>
      <c r="H1400" s="1" t="str">
        <f ca="1">IFERROR(__xludf.DUMMYFUNCTION("""COMPUTED_VALUE"""),"No")</f>
        <v>No</v>
      </c>
      <c r="I1400" s="1" t="str">
        <f ca="1">IFERROR(__xludf.DUMMYFUNCTION("""COMPUTED_VALUE"""),"Will NOT work for them")</f>
        <v>Will NOT work for them</v>
      </c>
      <c r="J1400" s="1">
        <f ca="1">IFERROR(__xludf.DUMMYFUNCTION("""COMPUTED_VALUE"""),1)</f>
        <v>1</v>
      </c>
      <c r="K1400" s="1" t="str">
        <f ca="1">IFERROR(__xludf.DUMMYFUNCTION("""COMPUTED_VALUE"""),"Hybrid Working Environment with more than 15 days a month at office")</f>
        <v>Hybrid Working Environment with more than 15 days a month at office</v>
      </c>
      <c r="L14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00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400" s="1" t="str">
        <f ca="1">IFERROR(__xludf.DUMMYFUNCTION("""COMPUTED_VALUE"""),"Manager who explains what is expected, sets a goal and helps achieve it")</f>
        <v>Manager who explains what is expected, sets a goal and helps achieve it</v>
      </c>
      <c r="P1400" s="1" t="str">
        <f ca="1">IFERROR(__xludf.DUMMYFUNCTION("""COMPUTED_VALUE"""),"Work with 2 to 3 people in my team")</f>
        <v>Work with 2 to 3 people in my team</v>
      </c>
      <c r="Q1400" s="1" t="str">
        <f ca="1">IFERROR(__xludf.DUMMYFUNCTION("""COMPUTED_VALUE"""),"Yes, I Understand this is gonna happen everywhere")</f>
        <v>Yes, I Understand this is gonna happen everywhere</v>
      </c>
      <c r="R1400" s="1" t="str">
        <f ca="1">IFERROR(__xludf.DUMMYFUNCTION("""COMPUTED_VALUE"""),"No way")</f>
        <v>No way</v>
      </c>
      <c r="S1400" s="1"/>
    </row>
    <row r="1401" spans="1:19" ht="12.5" x14ac:dyDescent="0.25">
      <c r="A1401" s="2">
        <f ca="1">IFERROR(__xludf.DUMMYFUNCTION("""COMPUTED_VALUE"""),45044.8720190856)</f>
        <v>45044.872019085597</v>
      </c>
      <c r="B1401" s="1" t="str">
        <f ca="1">IFERROR(__xludf.DUMMYFUNCTION("""COMPUTED_VALUE"""),"India")</f>
        <v>India</v>
      </c>
      <c r="C1401" s="1">
        <f ca="1">IFERROR(__xludf.DUMMYFUNCTION("""COMPUTED_VALUE"""),500028)</f>
        <v>500028</v>
      </c>
      <c r="D1401" s="1" t="str">
        <f ca="1">IFERROR(__xludf.DUMMYFUNCTION("""COMPUTED_VALUE"""),"Male")</f>
        <v>Male</v>
      </c>
      <c r="E1401" s="1" t="str">
        <f ca="1">IFERROR(__xludf.DUMMYFUNCTION("""COMPUTED_VALUE"""),"Social Media like LinkedIn")</f>
        <v>Social Media like LinkedIn</v>
      </c>
      <c r="F1401" s="1" t="str">
        <f ca="1">IFERROR(__xludf.DUMMYFUNCTION("""COMPUTED_VALUE"""),"No, But if someone could bare the cost I will")</f>
        <v>No, But if someone could bare the cost I will</v>
      </c>
      <c r="G1401" s="1" t="str">
        <f ca="1">IFERROR(__xludf.DUMMYFUNCTION("""COMPUTED_VALUE"""),"This will be hard to do, but if it is the right company I would try")</f>
        <v>This will be hard to do, but if it is the right company I would try</v>
      </c>
      <c r="H1401" s="1" t="str">
        <f ca="1">IFERROR(__xludf.DUMMYFUNCTION("""COMPUTED_VALUE"""),"No")</f>
        <v>No</v>
      </c>
      <c r="I1401" s="1" t="str">
        <f ca="1">IFERROR(__xludf.DUMMYFUNCTION("""COMPUTED_VALUE"""),"Will NOT work for them")</f>
        <v>Will NOT work for them</v>
      </c>
      <c r="J1401" s="1">
        <f ca="1">IFERROR(__xludf.DUMMYFUNCTION("""COMPUTED_VALUE"""),6)</f>
        <v>6</v>
      </c>
      <c r="K1401" s="1" t="str">
        <f ca="1">IFERROR(__xludf.DUMMYFUNCTION("""COMPUTED_VALUE"""),"Fully Remote with No option to visit offices")</f>
        <v>Fully Remote with No option to visit offices</v>
      </c>
      <c r="L14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01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1401" s="1" t="str">
        <f ca="1">IFERROR(__xludf.DUMMYFUNCTION("""COMPUTED_VALUE"""),"Manager who explains what is expected, sets a goal and helps achieve it")</f>
        <v>Manager who explains what is expected, sets a goal and helps achieve it</v>
      </c>
      <c r="P1401" s="1" t="str">
        <f ca="1">IFERROR(__xludf.DUMMYFUNCTION("""COMPUTED_VALUE"""),"Work with 7 to 10 or more people in my team")</f>
        <v>Work with 7 to 10 or more people in my team</v>
      </c>
      <c r="Q1401" s="1" t="str">
        <f ca="1">IFERROR(__xludf.DUMMYFUNCTION("""COMPUTED_VALUE"""),"Yes, I Understand this is gonna happen everywhere")</f>
        <v>Yes, I Understand this is gonna happen everywhere</v>
      </c>
      <c r="R1401" s="1" t="str">
        <f ca="1">IFERROR(__xludf.DUMMYFUNCTION("""COMPUTED_VALUE"""),"This will be hard to do, but if it is the right company I would try")</f>
        <v>This will be hard to do, but if it is the right company I would try</v>
      </c>
      <c r="S1401" s="1"/>
    </row>
    <row r="1402" spans="1:19" ht="12.5" x14ac:dyDescent="0.25">
      <c r="A1402" s="2">
        <f ca="1">IFERROR(__xludf.DUMMYFUNCTION("""COMPUTED_VALUE"""),45044.8721304745)</f>
        <v>45044.872130474498</v>
      </c>
      <c r="B1402" s="1" t="str">
        <f ca="1">IFERROR(__xludf.DUMMYFUNCTION("""COMPUTED_VALUE"""),"India")</f>
        <v>India</v>
      </c>
      <c r="C1402" s="1">
        <f ca="1">IFERROR(__xludf.DUMMYFUNCTION("""COMPUTED_VALUE"""),424001)</f>
        <v>424001</v>
      </c>
      <c r="D1402" s="1" t="str">
        <f ca="1">IFERROR(__xludf.DUMMYFUNCTION("""COMPUTED_VALUE"""),"Male")</f>
        <v>Male</v>
      </c>
      <c r="E1402" s="1" t="str">
        <f ca="1">IFERROR(__xludf.DUMMYFUNCTION("""COMPUTED_VALUE"""),"Influencers who had successful careers")</f>
        <v>Influencers who had successful careers</v>
      </c>
      <c r="F1402" s="1" t="str">
        <f ca="1">IFERROR(__xludf.DUMMYFUNCTION("""COMPUTED_VALUE"""),"Yes, I will earn and do that")</f>
        <v>Yes, I will earn and do that</v>
      </c>
      <c r="G1402" s="1" t="str">
        <f ca="1">IFERROR(__xludf.DUMMYFUNCTION("""COMPUTED_VALUE"""),"Will work for 3 years or more")</f>
        <v>Will work for 3 years or more</v>
      </c>
      <c r="H1402" s="1" t="str">
        <f ca="1">IFERROR(__xludf.DUMMYFUNCTION("""COMPUTED_VALUE"""),"No")</f>
        <v>No</v>
      </c>
      <c r="I1402" s="1" t="str">
        <f ca="1">IFERROR(__xludf.DUMMYFUNCTION("""COMPUTED_VALUE"""),"Will NOT work for them")</f>
        <v>Will NOT work for them</v>
      </c>
      <c r="J1402" s="1">
        <f ca="1">IFERROR(__xludf.DUMMYFUNCTION("""COMPUTED_VALUE"""),8)</f>
        <v>8</v>
      </c>
      <c r="K1402" s="1" t="str">
        <f ca="1">IFERROR(__xludf.DUMMYFUNCTION("""COMPUTED_VALUE"""),"Hybrid Working Environment with less than 3 days a month at office")</f>
        <v>Hybrid Working Environment with less than 3 days a month at office</v>
      </c>
      <c r="L14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02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4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402" s="1" t="str">
        <f ca="1">IFERROR(__xludf.DUMMYFUNCTION("""COMPUTED_VALUE"""),"Work with 5 to 6 people in my team")</f>
        <v>Work with 5 to 6 people in my team</v>
      </c>
      <c r="Q1402" s="1" t="str">
        <f ca="1">IFERROR(__xludf.DUMMYFUNCTION("""COMPUTED_VALUE"""),"Yes, I Understand this is gonna happen everywhere")</f>
        <v>Yes, I Understand this is gonna happen everywhere</v>
      </c>
      <c r="R1402" s="1" t="str">
        <f ca="1">IFERROR(__xludf.DUMMYFUNCTION("""COMPUTED_VALUE"""),"This will be hard to do, but if it is the right company I would try")</f>
        <v>This will be hard to do, but if it is the right company I would try</v>
      </c>
      <c r="S1402" s="1"/>
    </row>
    <row r="1403" spans="1:19" ht="12.5" x14ac:dyDescent="0.25">
      <c r="A1403" s="2">
        <f ca="1">IFERROR(__xludf.DUMMYFUNCTION("""COMPUTED_VALUE"""),45044.87437728)</f>
        <v>45044.874377280001</v>
      </c>
      <c r="B1403" s="1" t="str">
        <f ca="1">IFERROR(__xludf.DUMMYFUNCTION("""COMPUTED_VALUE"""),"India")</f>
        <v>India</v>
      </c>
      <c r="C1403" s="1">
        <f ca="1">IFERROR(__xludf.DUMMYFUNCTION("""COMPUTED_VALUE"""),500077)</f>
        <v>500077</v>
      </c>
      <c r="D1403" s="1" t="str">
        <f ca="1">IFERROR(__xludf.DUMMYFUNCTION("""COMPUTED_VALUE"""),"Male")</f>
        <v>Male</v>
      </c>
      <c r="E1403" s="1" t="str">
        <f ca="1">IFERROR(__xludf.DUMMYFUNCTION("""COMPUTED_VALUE"""),"My Parents")</f>
        <v>My Parents</v>
      </c>
      <c r="F1403" s="1" t="str">
        <f ca="1">IFERROR(__xludf.DUMMYFUNCTION("""COMPUTED_VALUE"""),"Yes, I will earn and do that")</f>
        <v>Yes, I will earn and do that</v>
      </c>
      <c r="G1403" s="1" t="str">
        <f ca="1">IFERROR(__xludf.DUMMYFUNCTION("""COMPUTED_VALUE"""),"Will work for 3 years or more")</f>
        <v>Will work for 3 years or more</v>
      </c>
      <c r="H1403" s="1" t="str">
        <f ca="1">IFERROR(__xludf.DUMMYFUNCTION("""COMPUTED_VALUE"""),"No")</f>
        <v>No</v>
      </c>
      <c r="I1403" s="1" t="str">
        <f ca="1">IFERROR(__xludf.DUMMYFUNCTION("""COMPUTED_VALUE"""),"Will NOT work for them")</f>
        <v>Will NOT work for them</v>
      </c>
      <c r="J1403" s="1">
        <f ca="1">IFERROR(__xludf.DUMMYFUNCTION("""COMPUTED_VALUE"""),4)</f>
        <v>4</v>
      </c>
      <c r="K1403" s="1" t="str">
        <f ca="1">IFERROR(__xludf.DUMMYFUNCTION("""COMPUTED_VALUE"""),"Hybrid Working Environment with more than 15 days a month at office")</f>
        <v>Hybrid Working Environment with more than 15 days a month at office</v>
      </c>
      <c r="L14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03" s="1" t="str">
        <f ca="1">IFERROR(__xludf.DUMMYFUNCTION("""COMPUTED_VALUE"""),"Manage and drive End-to-End Projects or Products, Design and Develop amazing software, An Artificial Intelligence Specialist / Talking to Robots, Manufacturing / Oil and Gas/ Construction / Hard Physical Work related")</f>
        <v>Manage and drive End-to-End Projects or Products, Design and Develop amazing software, An Artificial Intelligence Specialist / Talking to Robots, Manufacturing / Oil and Gas/ Construction / Hard Physical Work related</v>
      </c>
      <c r="O1403" s="1" t="str">
        <f ca="1">IFERROR(__xludf.DUMMYFUNCTION("""COMPUTED_VALUE"""),"Manager who sets targets and expects me to achieve it")</f>
        <v>Manager who sets targets and expects me to achieve it</v>
      </c>
      <c r="P1403" s="1" t="str">
        <f ca="1">IFERROR(__xludf.DUMMYFUNCTION("""COMPUTED_VALUE"""),"Work with 7 to 10 or more people in my team")</f>
        <v>Work with 7 to 10 or more people in my team</v>
      </c>
      <c r="Q1403" s="1" t="str">
        <f ca="1">IFERROR(__xludf.DUMMYFUNCTION("""COMPUTED_VALUE"""),"Yes, I Understand this is gonna happen everywhere")</f>
        <v>Yes, I Understand this is gonna happen everywhere</v>
      </c>
      <c r="R1403" s="1" t="str">
        <f ca="1">IFERROR(__xludf.DUMMYFUNCTION("""COMPUTED_VALUE"""),"This will be hard to do, but if it is the right company I would try")</f>
        <v>This will be hard to do, but if it is the right company I would try</v>
      </c>
      <c r="S1403" s="1"/>
    </row>
    <row r="1404" spans="1:19" ht="12.5" x14ac:dyDescent="0.25">
      <c r="A1404" s="2">
        <f ca="1">IFERROR(__xludf.DUMMYFUNCTION("""COMPUTED_VALUE"""),45044.8747840509)</f>
        <v>45044.874784050902</v>
      </c>
      <c r="B1404" s="1" t="str">
        <f ca="1">IFERROR(__xludf.DUMMYFUNCTION("""COMPUTED_VALUE"""),"India")</f>
        <v>India</v>
      </c>
      <c r="C1404" s="1">
        <f ca="1">IFERROR(__xludf.DUMMYFUNCTION("""COMPUTED_VALUE"""),600041)</f>
        <v>600041</v>
      </c>
      <c r="D1404" s="1" t="str">
        <f ca="1">IFERROR(__xludf.DUMMYFUNCTION("""COMPUTED_VALUE"""),"Female")</f>
        <v>Female</v>
      </c>
      <c r="E1404" s="1" t="str">
        <f ca="1">IFERROR(__xludf.DUMMYFUNCTION("""COMPUTED_VALUE"""),"People who have changed the world for better")</f>
        <v>People who have changed the world for better</v>
      </c>
      <c r="F1404" s="1" t="str">
        <f ca="1">IFERROR(__xludf.DUMMYFUNCTION("""COMPUTED_VALUE"""),"No I would not be pursuing Higher Education outside of India")</f>
        <v>No I would not be pursuing Higher Education outside of India</v>
      </c>
      <c r="G1404" s="1" t="str">
        <f ca="1">IFERROR(__xludf.DUMMYFUNCTION("""COMPUTED_VALUE"""),"Will work for 3 years or more")</f>
        <v>Will work for 3 years or more</v>
      </c>
      <c r="H1404" s="1" t="str">
        <f ca="1">IFERROR(__xludf.DUMMYFUNCTION("""COMPUTED_VALUE"""),"No")</f>
        <v>No</v>
      </c>
      <c r="I1404" s="1" t="str">
        <f ca="1">IFERROR(__xludf.DUMMYFUNCTION("""COMPUTED_VALUE"""),"Will NOT work for them")</f>
        <v>Will NOT work for them</v>
      </c>
      <c r="J1404" s="1">
        <f ca="1">IFERROR(__xludf.DUMMYFUNCTION("""COMPUTED_VALUE"""),1)</f>
        <v>1</v>
      </c>
      <c r="K1404" s="1" t="str">
        <f ca="1">IFERROR(__xludf.DUMMYFUNCTION("""COMPUTED_VALUE"""),"Hybrid Working Environment with more than 15 days a month at office")</f>
        <v>Hybrid Working Environment with more than 15 days a month at office</v>
      </c>
      <c r="L1404" s="1" t="str">
        <f ca="1">IFERROR(__xludf.DUMMYFUNCTION("""COMPUTED_VALUE"""),"Employer who appreciates learning and enables that environment")</f>
        <v>Employer who appreciates learning and enables that environment</v>
      </c>
      <c r="M140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04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140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04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404" s="1" t="str">
        <f ca="1">IFERROR(__xludf.DUMMYFUNCTION("""COMPUTED_VALUE"""),"Yes, I Understand this is gonna happen everywhere")</f>
        <v>Yes, I Understand this is gonna happen everywhere</v>
      </c>
      <c r="R1404" s="1" t="str">
        <f ca="1">IFERROR(__xludf.DUMMYFUNCTION("""COMPUTED_VALUE"""),"No way")</f>
        <v>No way</v>
      </c>
      <c r="S1404" s="1"/>
    </row>
    <row r="1405" spans="1:19" ht="12.5" x14ac:dyDescent="0.25">
      <c r="A1405" s="2">
        <f ca="1">IFERROR(__xludf.DUMMYFUNCTION("""COMPUTED_VALUE"""),45044.8753658564)</f>
        <v>45044.875365856402</v>
      </c>
      <c r="B1405" s="1" t="str">
        <f ca="1">IFERROR(__xludf.DUMMYFUNCTION("""COMPUTED_VALUE"""),"India")</f>
        <v>India</v>
      </c>
      <c r="C1405" s="1">
        <f ca="1">IFERROR(__xludf.DUMMYFUNCTION("""COMPUTED_VALUE"""),560090)</f>
        <v>560090</v>
      </c>
      <c r="D1405" s="1" t="str">
        <f ca="1">IFERROR(__xludf.DUMMYFUNCTION("""COMPUTED_VALUE"""),"Male")</f>
        <v>Male</v>
      </c>
      <c r="E1405" s="1" t="str">
        <f ca="1">IFERROR(__xludf.DUMMYFUNCTION("""COMPUTED_VALUE"""),"People who have changed the world for better")</f>
        <v>People who have changed the world for better</v>
      </c>
      <c r="F1405" s="1" t="str">
        <f ca="1">IFERROR(__xludf.DUMMYFUNCTION("""COMPUTED_VALUE"""),"Yes, I will earn and do that")</f>
        <v>Yes, I will earn and do that</v>
      </c>
      <c r="G1405" s="1" t="str">
        <f ca="1">IFERROR(__xludf.DUMMYFUNCTION("""COMPUTED_VALUE"""),"This will be hard to do, but if it is the right company I would try")</f>
        <v>This will be hard to do, but if it is the right company I would try</v>
      </c>
      <c r="H1405" s="1" t="str">
        <f ca="1">IFERROR(__xludf.DUMMYFUNCTION("""COMPUTED_VALUE"""),"No")</f>
        <v>No</v>
      </c>
      <c r="I1405" s="1" t="str">
        <f ca="1">IFERROR(__xludf.DUMMYFUNCTION("""COMPUTED_VALUE"""),"Will NOT work for them")</f>
        <v>Will NOT work for them</v>
      </c>
      <c r="J1405" s="1">
        <f ca="1">IFERROR(__xludf.DUMMYFUNCTION("""COMPUTED_VALUE"""),1)</f>
        <v>1</v>
      </c>
      <c r="K1405" s="1" t="str">
        <f ca="1">IFERROR(__xludf.DUMMYFUNCTION("""COMPUTED_VALUE"""),"Every Day Office Environment")</f>
        <v>Every Day Office Environment</v>
      </c>
      <c r="L14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05" s="1" t="str">
        <f ca="1">IFERROR(__xludf.DUMMYFUNCTION("""COMPUTED_VALUE"""),"Design and Creative strategy in any company, Business Operations in any organization, Entrepreneur or Start Up, Manufacturing / Oil and Gas/ Construction / Hard Physical Work related")</f>
        <v>Design and Creative strategy in any company, Business Operations in any organization, Entrepreneur or Start Up, Manufacturing / Oil and Gas/ Construction / Hard Physical Work related</v>
      </c>
      <c r="O1405" s="1" t="str">
        <f ca="1">IFERROR(__xludf.DUMMYFUNCTION("""COMPUTED_VALUE"""),"Manager who sets targets and expects me to achieve it")</f>
        <v>Manager who sets targets and expects me to achieve it</v>
      </c>
      <c r="P1405" s="1" t="str">
        <f ca="1">IFERROR(__xludf.DUMMYFUNCTION("""COMPUTED_VALUE"""),"Work with more than 10 people in my team")</f>
        <v>Work with more than 10 people in my team</v>
      </c>
      <c r="Q1405" s="1" t="str">
        <f ca="1">IFERROR(__xludf.DUMMYFUNCTION("""COMPUTED_VALUE"""),"Yes, I Understand this is gonna happen everywhere")</f>
        <v>Yes, I Understand this is gonna happen everywhere</v>
      </c>
      <c r="R1405" s="1" t="str">
        <f ca="1">IFERROR(__xludf.DUMMYFUNCTION("""COMPUTED_VALUE"""),"This will be hard to do, but if it is the right company I would try")</f>
        <v>This will be hard to do, but if it is the right company I would try</v>
      </c>
      <c r="S1405" s="1"/>
    </row>
    <row r="1406" spans="1:19" ht="12.5" x14ac:dyDescent="0.25">
      <c r="A1406" s="2">
        <f ca="1">IFERROR(__xludf.DUMMYFUNCTION("""COMPUTED_VALUE"""),45044.8774146527)</f>
        <v>45044.877414652699</v>
      </c>
      <c r="B1406" s="1" t="str">
        <f ca="1">IFERROR(__xludf.DUMMYFUNCTION("""COMPUTED_VALUE"""),"India")</f>
        <v>India</v>
      </c>
      <c r="C1406" s="1">
        <f ca="1">IFERROR(__xludf.DUMMYFUNCTION("""COMPUTED_VALUE"""),500028)</f>
        <v>500028</v>
      </c>
      <c r="D1406" s="1" t="str">
        <f ca="1">IFERROR(__xludf.DUMMYFUNCTION("""COMPUTED_VALUE"""),"Male")</f>
        <v>Male</v>
      </c>
      <c r="E1406" s="1" t="str">
        <f ca="1">IFERROR(__xludf.DUMMYFUNCTION("""COMPUTED_VALUE"""),"People who have changed the world for better")</f>
        <v>People who have changed the world for better</v>
      </c>
      <c r="F1406" s="1" t="str">
        <f ca="1">IFERROR(__xludf.DUMMYFUNCTION("""COMPUTED_VALUE"""),"No, But if someone could bare the cost I will")</f>
        <v>No, But if someone could bare the cost I will</v>
      </c>
      <c r="G1406" s="1" t="str">
        <f ca="1">IFERROR(__xludf.DUMMYFUNCTION("""COMPUTED_VALUE"""),"This will be hard to do, but if it is the right company I would try")</f>
        <v>This will be hard to do, but if it is the right company I would try</v>
      </c>
      <c r="H1406" s="1" t="str">
        <f ca="1">IFERROR(__xludf.DUMMYFUNCTION("""COMPUTED_VALUE"""),"No")</f>
        <v>No</v>
      </c>
      <c r="I1406" s="1" t="str">
        <f ca="1">IFERROR(__xludf.DUMMYFUNCTION("""COMPUTED_VALUE"""),"Will NOT work for them")</f>
        <v>Will NOT work for them</v>
      </c>
      <c r="J1406" s="1">
        <f ca="1">IFERROR(__xludf.DUMMYFUNCTION("""COMPUTED_VALUE"""),5)</f>
        <v>5</v>
      </c>
      <c r="K1406" s="1" t="str">
        <f ca="1">IFERROR(__xludf.DUMMYFUNCTION("""COMPUTED_VALUE"""),"Fully Remote with No option to visit offices")</f>
        <v>Fully Remote with No option to visit offices</v>
      </c>
      <c r="L14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06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1406" s="1" t="str">
        <f ca="1">IFERROR(__xludf.DUMMYFUNCTION("""COMPUTED_VALUE"""),"Manager who explains what is expected, sets a goal and helps achieve it")</f>
        <v>Manager who explains what is expected, sets a goal and helps achieve it</v>
      </c>
      <c r="P1406" s="1" t="str">
        <f ca="1">IFERROR(__xludf.DUMMYFUNCTION("""COMPUTED_VALUE"""),"Work with 7 to 10 or more people in my team")</f>
        <v>Work with 7 to 10 or more people in my team</v>
      </c>
      <c r="Q1406" s="1" t="str">
        <f ca="1">IFERROR(__xludf.DUMMYFUNCTION("""COMPUTED_VALUE"""),"Yes, I Understand this is gonna happen everywhere")</f>
        <v>Yes, I Understand this is gonna happen everywhere</v>
      </c>
      <c r="R1406" s="1" t="str">
        <f ca="1">IFERROR(__xludf.DUMMYFUNCTION("""COMPUTED_VALUE"""),"This will be hard to do, but if it is the right company I would try")</f>
        <v>This will be hard to do, but if it is the right company I would try</v>
      </c>
      <c r="S1406" s="1"/>
    </row>
    <row r="1407" spans="1:19" ht="12.5" x14ac:dyDescent="0.25">
      <c r="A1407" s="2">
        <f ca="1">IFERROR(__xludf.DUMMYFUNCTION("""COMPUTED_VALUE"""),45044.8802505555)</f>
        <v>45044.8802505555</v>
      </c>
      <c r="B1407" s="1" t="str">
        <f ca="1">IFERROR(__xludf.DUMMYFUNCTION("""COMPUTED_VALUE"""),"India")</f>
        <v>India</v>
      </c>
      <c r="C1407" s="1">
        <f ca="1">IFERROR(__xludf.DUMMYFUNCTION("""COMPUTED_VALUE"""),492001)</f>
        <v>492001</v>
      </c>
      <c r="D1407" s="1" t="str">
        <f ca="1">IFERROR(__xludf.DUMMYFUNCTION("""COMPUTED_VALUE"""),"Male")</f>
        <v>Male</v>
      </c>
      <c r="E1407" s="1" t="str">
        <f ca="1">IFERROR(__xludf.DUMMYFUNCTION("""COMPUTED_VALUE"""),"People from my circle, but not family members")</f>
        <v>People from my circle, but not family members</v>
      </c>
      <c r="F1407" s="1" t="str">
        <f ca="1">IFERROR(__xludf.DUMMYFUNCTION("""COMPUTED_VALUE"""),"No I would not be pursuing Higher Education outside of India")</f>
        <v>No I would not be pursuing Higher Education outside of India</v>
      </c>
      <c r="G1407" s="1" t="str">
        <f ca="1">IFERROR(__xludf.DUMMYFUNCTION("""COMPUTED_VALUE"""),"Will work for 3 years or more")</f>
        <v>Will work for 3 years or more</v>
      </c>
      <c r="H1407" s="1" t="str">
        <f ca="1">IFERROR(__xludf.DUMMYFUNCTION("""COMPUTED_VALUE"""),"No")</f>
        <v>No</v>
      </c>
      <c r="I1407" s="1" t="str">
        <f ca="1">IFERROR(__xludf.DUMMYFUNCTION("""COMPUTED_VALUE"""),"Will work for them")</f>
        <v>Will work for them</v>
      </c>
      <c r="J1407" s="1">
        <f ca="1">IFERROR(__xludf.DUMMYFUNCTION("""COMPUTED_VALUE"""),5)</f>
        <v>5</v>
      </c>
      <c r="K1407" s="1" t="str">
        <f ca="1">IFERROR(__xludf.DUMMYFUNCTION("""COMPUTED_VALUE"""),"Hybrid Working Environment with more than 15 days a month at office")</f>
        <v>Hybrid Working Environment with more than 15 days a month at office</v>
      </c>
      <c r="L1407" s="1" t="str">
        <f ca="1">IFERROR(__xludf.DUMMYFUNCTION("""COMPUTED_VALUE"""),"Employer who appreciates learning and enables that environment")</f>
        <v>Employer who appreciates learning and enables that environment</v>
      </c>
      <c r="M140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407" s="1" t="str">
        <f ca="1">IFERROR(__xludf.DUMMYFUNCTION("""COMPUTED_VALUE"""),"Business Operations in any organization, Work in a BPO setup for some well known client, Entrepreneur or Start Up, Manufacturing / Oil and Gas/ Construction / Hard Physical Work related")</f>
        <v>Business Operations in any organization, Work in a BPO setup for some well known client, Entrepreneur or Start Up, Manufacturing / Oil and Gas/ Construction / Hard Physical Work related</v>
      </c>
      <c r="O1407" s="1" t="str">
        <f ca="1">IFERROR(__xludf.DUMMYFUNCTION("""COMPUTED_VALUE"""),"Manager who clearly describes what she/he needs")</f>
        <v>Manager who clearly describes what she/he needs</v>
      </c>
      <c r="P1407" s="1" t="str">
        <f ca="1">IFERROR(__xludf.DUMMYFUNCTION("""COMPUTED_VALUE"""),"Work with 2 to 3 people in my team")</f>
        <v>Work with 2 to 3 people in my team</v>
      </c>
      <c r="Q1407" s="1" t="str">
        <f ca="1">IFERROR(__xludf.DUMMYFUNCTION("""COMPUTED_VALUE"""),"Yes")</f>
        <v>Yes</v>
      </c>
      <c r="R1407" s="1" t="str">
        <f ca="1">IFERROR(__xludf.DUMMYFUNCTION("""COMPUTED_VALUE"""),"This will be hard to do, but if it is the right company I would try")</f>
        <v>This will be hard to do, but if it is the right company I would try</v>
      </c>
      <c r="S1407" s="1"/>
    </row>
    <row r="1408" spans="1:19" ht="12.5" x14ac:dyDescent="0.25">
      <c r="A1408" s="2">
        <f ca="1">IFERROR(__xludf.DUMMYFUNCTION("""COMPUTED_VALUE"""),45044.882574074)</f>
        <v>45044.882574073999</v>
      </c>
      <c r="B1408" s="1" t="str">
        <f ca="1">IFERROR(__xludf.DUMMYFUNCTION("""COMPUTED_VALUE"""),"India")</f>
        <v>India</v>
      </c>
      <c r="C1408" s="1">
        <f ca="1">IFERROR(__xludf.DUMMYFUNCTION("""COMPUTED_VALUE"""),191101)</f>
        <v>191101</v>
      </c>
      <c r="D1408" s="1" t="str">
        <f ca="1">IFERROR(__xludf.DUMMYFUNCTION("""COMPUTED_VALUE"""),"Female")</f>
        <v>Female</v>
      </c>
      <c r="E1408" s="1" t="str">
        <f ca="1">IFERROR(__xludf.DUMMYFUNCTION("""COMPUTED_VALUE"""),"My Parents")</f>
        <v>My Parents</v>
      </c>
      <c r="F1408" s="1" t="str">
        <f ca="1">IFERROR(__xludf.DUMMYFUNCTION("""COMPUTED_VALUE"""),"No, But if someone could bare the cost I will")</f>
        <v>No, But if someone could bare the cost I will</v>
      </c>
      <c r="G1408" s="1" t="str">
        <f ca="1">IFERROR(__xludf.DUMMYFUNCTION("""COMPUTED_VALUE"""),"This will be hard to do, but if it is the right company I would try")</f>
        <v>This will be hard to do, but if it is the right company I would try</v>
      </c>
      <c r="H1408" s="1" t="str">
        <f ca="1">IFERROR(__xludf.DUMMYFUNCTION("""COMPUTED_VALUE"""),"Yes")</f>
        <v>Yes</v>
      </c>
      <c r="I1408" s="1" t="str">
        <f ca="1">IFERROR(__xludf.DUMMYFUNCTION("""COMPUTED_VALUE"""),"Will NOT work for them")</f>
        <v>Will NOT work for them</v>
      </c>
      <c r="J1408" s="1">
        <f ca="1">IFERROR(__xludf.DUMMYFUNCTION("""COMPUTED_VALUE"""),10)</f>
        <v>10</v>
      </c>
      <c r="K1408" s="1" t="str">
        <f ca="1">IFERROR(__xludf.DUMMYFUNCTION("""COMPUTED_VALUE"""),"Fully Remote with Options to travel as and when needed")</f>
        <v>Fully Remote with Options to travel as and when needed</v>
      </c>
      <c r="L14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08" s="1" t="str">
        <f ca="1">IFERROR(__xludf.DUMMYFUNCTION("""COMPUTED_VALUE"""),"Design and Creative strategy in any company, Build and develop a Team, Look deeply into Data and generate insights, Become a content Creator in some platform")</f>
        <v>Design and Creative strategy in any company, Build and develop a Team, Look deeply into Data and generate insights, Become a content Creator in some platform</v>
      </c>
      <c r="O1408" s="1" t="str">
        <f ca="1">IFERROR(__xludf.DUMMYFUNCTION("""COMPUTED_VALUE"""),"Manager who sets goal and helps me achieve it")</f>
        <v>Manager who sets goal and helps me achieve it</v>
      </c>
      <c r="P1408" s="1" t="str">
        <f ca="1">IFERROR(__xludf.DUMMYFUNCTION("""COMPUTED_VALUE"""),"Work with more than 10 people in my team")</f>
        <v>Work with more than 10 people in my team</v>
      </c>
      <c r="Q1408" s="1" t="str">
        <f ca="1">IFERROR(__xludf.DUMMYFUNCTION("""COMPUTED_VALUE"""),"No")</f>
        <v>No</v>
      </c>
      <c r="R1408" s="1" t="str">
        <f ca="1">IFERROR(__xludf.DUMMYFUNCTION("""COMPUTED_VALUE"""),"This will be hard to do, but if it is the right company I would try")</f>
        <v>This will be hard to do, but if it is the right company I would try</v>
      </c>
      <c r="S1408" s="1"/>
    </row>
    <row r="1409" spans="1:19" ht="12.5" x14ac:dyDescent="0.25">
      <c r="A1409" s="2">
        <f ca="1">IFERROR(__xludf.DUMMYFUNCTION("""COMPUTED_VALUE"""),45044.8871708449)</f>
        <v>45044.887170844901</v>
      </c>
      <c r="B1409" s="1" t="str">
        <f ca="1">IFERROR(__xludf.DUMMYFUNCTION("""COMPUTED_VALUE"""),"India")</f>
        <v>India</v>
      </c>
      <c r="C1409" s="1">
        <f ca="1">IFERROR(__xludf.DUMMYFUNCTION("""COMPUTED_VALUE"""),500028)</f>
        <v>500028</v>
      </c>
      <c r="D1409" s="1" t="str">
        <f ca="1">IFERROR(__xludf.DUMMYFUNCTION("""COMPUTED_VALUE"""),"Male")</f>
        <v>Male</v>
      </c>
      <c r="E1409" s="1" t="str">
        <f ca="1">IFERROR(__xludf.DUMMYFUNCTION("""COMPUTED_VALUE"""),"People who have changed the world for better")</f>
        <v>People who have changed the world for better</v>
      </c>
      <c r="F1409" s="1" t="str">
        <f ca="1">IFERROR(__xludf.DUMMYFUNCTION("""COMPUTED_VALUE"""),"Yes, I will earn and do that")</f>
        <v>Yes, I will earn and do that</v>
      </c>
      <c r="G1409" s="1" t="str">
        <f ca="1">IFERROR(__xludf.DUMMYFUNCTION("""COMPUTED_VALUE"""),"This will be hard to do, but if it is the right company I would try")</f>
        <v>This will be hard to do, but if it is the right company I would try</v>
      </c>
      <c r="H1409" s="1" t="str">
        <f ca="1">IFERROR(__xludf.DUMMYFUNCTION("""COMPUTED_VALUE"""),"No")</f>
        <v>No</v>
      </c>
      <c r="I1409" s="1" t="str">
        <f ca="1">IFERROR(__xludf.DUMMYFUNCTION("""COMPUTED_VALUE"""),"Will work for them")</f>
        <v>Will work for them</v>
      </c>
      <c r="J1409" s="1">
        <f ca="1">IFERROR(__xludf.DUMMYFUNCTION("""COMPUTED_VALUE"""),10)</f>
        <v>10</v>
      </c>
      <c r="K1409" s="1" t="str">
        <f ca="1">IFERROR(__xludf.DUMMYFUNCTION("""COMPUTED_VALUE"""),"Fully Remote with Options to travel as and when needed")</f>
        <v>Fully Remote with Options to travel as and when needed</v>
      </c>
      <c r="L14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0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09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409" s="1" t="str">
        <f ca="1">IFERROR(__xludf.DUMMYFUNCTION("""COMPUTED_VALUE"""),"Manager who sets goal and helps me achieve it")</f>
        <v>Manager who sets goal and helps me achieve it</v>
      </c>
      <c r="P1409" s="1" t="str">
        <f ca="1">IFERROR(__xludf.DUMMYFUNCTION("""COMPUTED_VALUE"""),"Work with more than 10 people in my team")</f>
        <v>Work with more than 10 people in my team</v>
      </c>
      <c r="Q1409" s="1" t="str">
        <f ca="1">IFERROR(__xludf.DUMMYFUNCTION("""COMPUTED_VALUE"""),"No")</f>
        <v>No</v>
      </c>
      <c r="R1409" s="1" t="str">
        <f ca="1">IFERROR(__xludf.DUMMYFUNCTION("""COMPUTED_VALUE"""),"No way")</f>
        <v>No way</v>
      </c>
      <c r="S1409" s="1"/>
    </row>
    <row r="1410" spans="1:19" ht="12.5" x14ac:dyDescent="0.25">
      <c r="A1410" s="2">
        <f ca="1">IFERROR(__xludf.DUMMYFUNCTION("""COMPUTED_VALUE"""),45044.8887516203)</f>
        <v>45044.888751620303</v>
      </c>
      <c r="B1410" s="1" t="str">
        <f ca="1">IFERROR(__xludf.DUMMYFUNCTION("""COMPUTED_VALUE"""),"India")</f>
        <v>India</v>
      </c>
      <c r="C1410" s="1">
        <f ca="1">IFERROR(__xludf.DUMMYFUNCTION("""COMPUTED_VALUE"""),563125)</f>
        <v>563125</v>
      </c>
      <c r="D1410" s="1" t="str">
        <f ca="1">IFERROR(__xludf.DUMMYFUNCTION("""COMPUTED_VALUE"""),"Female")</f>
        <v>Female</v>
      </c>
      <c r="E1410" s="1" t="str">
        <f ca="1">IFERROR(__xludf.DUMMYFUNCTION("""COMPUTED_VALUE"""),"My Parents")</f>
        <v>My Parents</v>
      </c>
      <c r="F1410" s="1" t="str">
        <f ca="1">IFERROR(__xludf.DUMMYFUNCTION("""COMPUTED_VALUE"""),"Yes, I will earn and do that")</f>
        <v>Yes, I will earn and do that</v>
      </c>
      <c r="G1410" s="1" t="str">
        <f ca="1">IFERROR(__xludf.DUMMYFUNCTION("""COMPUTED_VALUE"""),"Will work for 3 years or more")</f>
        <v>Will work for 3 years or more</v>
      </c>
      <c r="H1410" s="1" t="str">
        <f ca="1">IFERROR(__xludf.DUMMYFUNCTION("""COMPUTED_VALUE"""),"Yes")</f>
        <v>Yes</v>
      </c>
      <c r="I1410" s="1" t="str">
        <f ca="1">IFERROR(__xludf.DUMMYFUNCTION("""COMPUTED_VALUE"""),"Will work for them")</f>
        <v>Will work for them</v>
      </c>
      <c r="J1410" s="1">
        <f ca="1">IFERROR(__xludf.DUMMYFUNCTION("""COMPUTED_VALUE"""),5)</f>
        <v>5</v>
      </c>
      <c r="K1410" s="1" t="str">
        <f ca="1">IFERROR(__xludf.DUMMYFUNCTION("""COMPUTED_VALUE"""),"Fully Remote with No option to visit offices")</f>
        <v>Fully Remote with No option to visit offices</v>
      </c>
      <c r="L1410" s="1" t="str">
        <f ca="1">IFERROR(__xludf.DUMMYFUNCTION("""COMPUTED_VALUE"""),"Employer who appreciates learning and enables that environment")</f>
        <v>Employer who appreciates learning and enables that environment</v>
      </c>
      <c r="M141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10" s="1" t="str">
        <f ca="1">IFERROR(__xludf.DUMMYFUNCTION("""COMPUTED_VALUE"""),"Teaching in any of the institutes/colleges/online or offline, Build and develop a Team, Become a content Creator in some platform, Entrepreneur or Start Up")</f>
        <v>Teaching in any of the institutes/colleges/online or offline, Build and develop a Team, Become a content Creator in some platform, Entrepreneur or Start Up</v>
      </c>
      <c r="O1410" s="1" t="str">
        <f ca="1">IFERROR(__xludf.DUMMYFUNCTION("""COMPUTED_VALUE"""),"Manager who sets goal and helps me achieve it")</f>
        <v>Manager who sets goal and helps me achieve it</v>
      </c>
      <c r="P1410" s="1" t="str">
        <f ca="1">IFERROR(__xludf.DUMMYFUNCTION("""COMPUTED_VALUE"""),"Work with 7 to 10 or more people in my team")</f>
        <v>Work with 7 to 10 or more people in my team</v>
      </c>
      <c r="Q1410" s="1" t="str">
        <f ca="1">IFERROR(__xludf.DUMMYFUNCTION("""COMPUTED_VALUE"""),"Yes, I Understand this is gonna happen everywhere")</f>
        <v>Yes, I Understand this is gonna happen everywhere</v>
      </c>
      <c r="R1410" s="1" t="str">
        <f ca="1">IFERROR(__xludf.DUMMYFUNCTION("""COMPUTED_VALUE"""),"Will work for 7 years or more")</f>
        <v>Will work for 7 years or more</v>
      </c>
      <c r="S1410" s="1"/>
    </row>
    <row r="1411" spans="1:19" ht="12.5" x14ac:dyDescent="0.25">
      <c r="A1411" s="2">
        <f ca="1">IFERROR(__xludf.DUMMYFUNCTION("""COMPUTED_VALUE"""),45044.8893625694)</f>
        <v>45044.889362569404</v>
      </c>
      <c r="B1411" s="1" t="str">
        <f ca="1">IFERROR(__xludf.DUMMYFUNCTION("""COMPUTED_VALUE"""),"India")</f>
        <v>India</v>
      </c>
      <c r="C1411" s="1">
        <f ca="1">IFERROR(__xludf.DUMMYFUNCTION("""COMPUTED_VALUE"""),110044)</f>
        <v>110044</v>
      </c>
      <c r="D1411" s="1" t="str">
        <f ca="1">IFERROR(__xludf.DUMMYFUNCTION("""COMPUTED_VALUE"""),"Male")</f>
        <v>Male</v>
      </c>
      <c r="E1411" s="1" t="str">
        <f ca="1">IFERROR(__xludf.DUMMYFUNCTION("""COMPUTED_VALUE"""),"My Parents")</f>
        <v>My Parents</v>
      </c>
      <c r="F1411" s="1" t="str">
        <f ca="1">IFERROR(__xludf.DUMMYFUNCTION("""COMPUTED_VALUE"""),"Yes, I will earn and do that")</f>
        <v>Yes, I will earn and do that</v>
      </c>
      <c r="G1411" s="1" t="str">
        <f ca="1">IFERROR(__xludf.DUMMYFUNCTION("""COMPUTED_VALUE"""),"Will work for 3 years or more")</f>
        <v>Will work for 3 years or more</v>
      </c>
      <c r="H1411" s="1" t="str">
        <f ca="1">IFERROR(__xludf.DUMMYFUNCTION("""COMPUTED_VALUE"""),"Yes")</f>
        <v>Yes</v>
      </c>
      <c r="I1411" s="1" t="str">
        <f ca="1">IFERROR(__xludf.DUMMYFUNCTION("""COMPUTED_VALUE"""),"Will work for them")</f>
        <v>Will work for them</v>
      </c>
      <c r="J1411" s="1">
        <f ca="1">IFERROR(__xludf.DUMMYFUNCTION("""COMPUTED_VALUE"""),1)</f>
        <v>1</v>
      </c>
      <c r="K1411" s="1" t="str">
        <f ca="1">IFERROR(__xludf.DUMMYFUNCTION("""COMPUTED_VALUE"""),"Every Day Office Environment")</f>
        <v>Every Day Office Environment</v>
      </c>
      <c r="L1411" s="1" t="str">
        <f ca="1">IFERROR(__xludf.DUMMYFUNCTION("""COMPUTED_VALUE"""),"Employer who appreciates learning and enables that environment")</f>
        <v>Employer who appreciates learning and enables that environment</v>
      </c>
      <c r="M1411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411" s="1" t="str">
        <f ca="1">IFERROR(__xludf.DUMMYFUNCTION("""COMPUTED_VALUE"""),"Teaching in any of the institutes/colleges/online or offline, Business Operations in any organization, Design and Develop amazing software, Look deeply into Data and generate insights")</f>
        <v>Teaching in any of the institutes/colleges/online or offline, Business Operations in any organization, Design and Develop amazing software, Look deeply into Data and generate insights</v>
      </c>
      <c r="O1411" s="1" t="str">
        <f ca="1">IFERROR(__xludf.DUMMYFUNCTION("""COMPUTED_VALUE"""),"Manager who clearly describes what she/he needs")</f>
        <v>Manager who clearly describes what she/he needs</v>
      </c>
      <c r="P1411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411" s="1" t="str">
        <f ca="1">IFERROR(__xludf.DUMMYFUNCTION("""COMPUTED_VALUE"""),"I have NO other choice")</f>
        <v>I have NO other choice</v>
      </c>
      <c r="R1411" s="1" t="str">
        <f ca="1">IFERROR(__xludf.DUMMYFUNCTION("""COMPUTED_VALUE"""),"Will work for 7 years or more")</f>
        <v>Will work for 7 years or more</v>
      </c>
      <c r="S1411" s="1"/>
    </row>
    <row r="1412" spans="1:19" ht="12.5" x14ac:dyDescent="0.25">
      <c r="A1412" s="2">
        <f ca="1">IFERROR(__xludf.DUMMYFUNCTION("""COMPUTED_VALUE"""),45044.8910325347)</f>
        <v>45044.891032534702</v>
      </c>
      <c r="B1412" s="1" t="str">
        <f ca="1">IFERROR(__xludf.DUMMYFUNCTION("""COMPUTED_VALUE"""),"India")</f>
        <v>India</v>
      </c>
      <c r="C1412" s="1">
        <f ca="1">IFERROR(__xludf.DUMMYFUNCTION("""COMPUTED_VALUE"""),505209)</f>
        <v>505209</v>
      </c>
      <c r="D1412" s="1" t="str">
        <f ca="1">IFERROR(__xludf.DUMMYFUNCTION("""COMPUTED_VALUE"""),"Male")</f>
        <v>Male</v>
      </c>
      <c r="E1412" s="1" t="str">
        <f ca="1">IFERROR(__xludf.DUMMYFUNCTION("""COMPUTED_VALUE"""),"Influencers who had successful careers")</f>
        <v>Influencers who had successful careers</v>
      </c>
      <c r="F1412" s="1" t="str">
        <f ca="1">IFERROR(__xludf.DUMMYFUNCTION("""COMPUTED_VALUE"""),"No I would not be pursuing Higher Education outside of India")</f>
        <v>No I would not be pursuing Higher Education outside of India</v>
      </c>
      <c r="G1412" s="1" t="str">
        <f ca="1">IFERROR(__xludf.DUMMYFUNCTION("""COMPUTED_VALUE"""),"No way")</f>
        <v>No way</v>
      </c>
      <c r="H1412" s="1" t="str">
        <f ca="1">IFERROR(__xludf.DUMMYFUNCTION("""COMPUTED_VALUE"""),"No")</f>
        <v>No</v>
      </c>
      <c r="I1412" s="1" t="str">
        <f ca="1">IFERROR(__xludf.DUMMYFUNCTION("""COMPUTED_VALUE"""),"Will NOT work for them")</f>
        <v>Will NOT work for them</v>
      </c>
      <c r="J1412" s="1">
        <f ca="1">IFERROR(__xludf.DUMMYFUNCTION("""COMPUTED_VALUE"""),1)</f>
        <v>1</v>
      </c>
      <c r="K1412" s="1" t="str">
        <f ca="1">IFERROR(__xludf.DUMMYFUNCTION("""COMPUTED_VALUE"""),"Fully Remote with Options to travel as and when needed")</f>
        <v>Fully Remote with Options to travel as and when needed</v>
      </c>
      <c r="L1412" s="1" t="str">
        <f ca="1">IFERROR(__xludf.DUMMYFUNCTION("""COMPUTED_VALUE"""),"Employer who appreciates learning and enables that environment")</f>
        <v>Employer who appreciates learning and enables that environment</v>
      </c>
      <c r="M141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412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14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412" s="1" t="str">
        <f ca="1">IFERROR(__xludf.DUMMYFUNCTION("""COMPUTED_VALUE"""),"Work with 5 to 6 people in my team")</f>
        <v>Work with 5 to 6 people in my team</v>
      </c>
      <c r="Q1412" s="1" t="str">
        <f ca="1">IFERROR(__xludf.DUMMYFUNCTION("""COMPUTED_VALUE"""),"No")</f>
        <v>No</v>
      </c>
      <c r="R1412" s="1" t="str">
        <f ca="1">IFERROR(__xludf.DUMMYFUNCTION("""COMPUTED_VALUE"""),"No way")</f>
        <v>No way</v>
      </c>
      <c r="S1412" s="1"/>
    </row>
    <row r="1413" spans="1:19" ht="12.5" x14ac:dyDescent="0.25">
      <c r="A1413" s="2">
        <f ca="1">IFERROR(__xludf.DUMMYFUNCTION("""COMPUTED_VALUE"""),45044.8922712384)</f>
        <v>45044.892271238401</v>
      </c>
      <c r="B1413" s="1" t="str">
        <f ca="1">IFERROR(__xludf.DUMMYFUNCTION("""COMPUTED_VALUE"""),"India")</f>
        <v>India</v>
      </c>
      <c r="C1413" s="1">
        <f ca="1">IFERROR(__xludf.DUMMYFUNCTION("""COMPUTED_VALUE"""),505211)</f>
        <v>505211</v>
      </c>
      <c r="D1413" s="1" t="str">
        <f ca="1">IFERROR(__xludf.DUMMYFUNCTION("""COMPUTED_VALUE"""),"Male")</f>
        <v>Male</v>
      </c>
      <c r="E1413" s="1" t="str">
        <f ca="1">IFERROR(__xludf.DUMMYFUNCTION("""COMPUTED_VALUE"""),"People who have changed the world for better")</f>
        <v>People who have changed the world for better</v>
      </c>
      <c r="F1413" s="1" t="str">
        <f ca="1">IFERROR(__xludf.DUMMYFUNCTION("""COMPUTED_VALUE"""),"Yes, I will earn and do that")</f>
        <v>Yes, I will earn and do that</v>
      </c>
      <c r="G1413" s="1" t="str">
        <f ca="1">IFERROR(__xludf.DUMMYFUNCTION("""COMPUTED_VALUE"""),"This will be hard to do, but if it is the right company I would try")</f>
        <v>This will be hard to do, but if it is the right company I would try</v>
      </c>
      <c r="H1413" s="1" t="str">
        <f ca="1">IFERROR(__xludf.DUMMYFUNCTION("""COMPUTED_VALUE"""),"Yes")</f>
        <v>Yes</v>
      </c>
      <c r="I1413" s="1" t="str">
        <f ca="1">IFERROR(__xludf.DUMMYFUNCTION("""COMPUTED_VALUE"""),"Will work for them")</f>
        <v>Will work for them</v>
      </c>
      <c r="J1413" s="1">
        <f ca="1">IFERROR(__xludf.DUMMYFUNCTION("""COMPUTED_VALUE"""),1)</f>
        <v>1</v>
      </c>
      <c r="K1413" s="1" t="str">
        <f ca="1">IFERROR(__xludf.DUMMYFUNCTION("""COMPUTED_VALUE"""),"Every Day Office Environment")</f>
        <v>Every Day Office Environment</v>
      </c>
      <c r="L1413" s="1" t="str">
        <f ca="1">IFERROR(__xludf.DUMMYFUNCTION("""COMPUTED_VALUE"""),"Employer who appreciates learning and enables that environment")</f>
        <v>Employer who appreciates learning and enables that environment</v>
      </c>
      <c r="M1413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1413" s="1" t="str">
        <f ca="1">IFERROR(__xludf.DUMMYFUNCTION("""COMPUTED_VALUE"""),"Design and Creative strategy in any company, Work in a BPO setup for some well known client, An Artificial Intelligence Specialist / Talking to Robots, Manufacturing / Oil and Gas/ Construction / Hard Physical Work related")</f>
        <v>Design and Creative strategy in any company, Work in a BPO setup for some well known client, An Artificial Intelligence Specialist / Talking to Robots, Manufacturing / Oil and Gas/ Construction / Hard Physical Work related</v>
      </c>
      <c r="O1413" s="1" t="str">
        <f ca="1">IFERROR(__xludf.DUMMYFUNCTION("""COMPUTED_VALUE"""),"Manager who explains what is expected, sets a goal and helps achieve it")</f>
        <v>Manager who explains what is expected, sets a goal and helps achieve it</v>
      </c>
      <c r="P1413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413" s="1" t="str">
        <f ca="1">IFERROR(__xludf.DUMMYFUNCTION("""COMPUTED_VALUE"""),"Yes")</f>
        <v>Yes</v>
      </c>
      <c r="R1413" s="1" t="str">
        <f ca="1">IFERROR(__xludf.DUMMYFUNCTION("""COMPUTED_VALUE"""),"This will be hard to do, but if it is the right company I would try")</f>
        <v>This will be hard to do, but if it is the right company I would try</v>
      </c>
      <c r="S1413" s="1"/>
    </row>
    <row r="1414" spans="1:19" ht="12.5" x14ac:dyDescent="0.25">
      <c r="A1414" s="2">
        <f ca="1">IFERROR(__xludf.DUMMYFUNCTION("""COMPUTED_VALUE"""),45044.8945060648)</f>
        <v>45044.894506064797</v>
      </c>
      <c r="B1414" s="1" t="str">
        <f ca="1">IFERROR(__xludf.DUMMYFUNCTION("""COMPUTED_VALUE"""),"India")</f>
        <v>India</v>
      </c>
      <c r="C1414" s="1">
        <f ca="1">IFERROR(__xludf.DUMMYFUNCTION("""COMPUTED_VALUE"""),713103)</f>
        <v>713103</v>
      </c>
      <c r="D1414" s="1" t="str">
        <f ca="1">IFERROR(__xludf.DUMMYFUNCTION("""COMPUTED_VALUE"""),"Female")</f>
        <v>Female</v>
      </c>
      <c r="E1414" s="1" t="str">
        <f ca="1">IFERROR(__xludf.DUMMYFUNCTION("""COMPUTED_VALUE"""),"Social Media like LinkedIn")</f>
        <v>Social Media like LinkedIn</v>
      </c>
      <c r="F1414" s="1" t="str">
        <f ca="1">IFERROR(__xludf.DUMMYFUNCTION("""COMPUTED_VALUE"""),"Yes, I will earn and do that")</f>
        <v>Yes, I will earn and do that</v>
      </c>
      <c r="G1414" s="1" t="str">
        <f ca="1">IFERROR(__xludf.DUMMYFUNCTION("""COMPUTED_VALUE"""),"This will be hard to do, but if it is the right company I would try")</f>
        <v>This will be hard to do, but if it is the right company I would try</v>
      </c>
      <c r="H1414" s="1" t="str">
        <f ca="1">IFERROR(__xludf.DUMMYFUNCTION("""COMPUTED_VALUE"""),"Yes")</f>
        <v>Yes</v>
      </c>
      <c r="I1414" s="1" t="str">
        <f ca="1">IFERROR(__xludf.DUMMYFUNCTION("""COMPUTED_VALUE"""),"Will work for them")</f>
        <v>Will work for them</v>
      </c>
      <c r="J1414" s="1">
        <f ca="1">IFERROR(__xludf.DUMMYFUNCTION("""COMPUTED_VALUE"""),6)</f>
        <v>6</v>
      </c>
      <c r="K1414" s="1" t="str">
        <f ca="1">IFERROR(__xludf.DUMMYFUNCTION("""COMPUTED_VALUE"""),"Hybrid Working Environment with less than 3 days a month at office")</f>
        <v>Hybrid Working Environment with less than 3 days a month at office</v>
      </c>
      <c r="L14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1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14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414" s="1" t="str">
        <f ca="1">IFERROR(__xludf.DUMMYFUNCTION("""COMPUTED_VALUE"""),"Manager who sets goal and helps me achieve it")</f>
        <v>Manager who sets goal and helps me achieve it</v>
      </c>
      <c r="P1414" s="1" t="str">
        <f ca="1">IFERROR(__xludf.DUMMYFUNCTION("""COMPUTED_VALUE"""),"Work with 2 to 3 people in my team")</f>
        <v>Work with 2 to 3 people in my team</v>
      </c>
      <c r="Q1414" s="1" t="str">
        <f ca="1">IFERROR(__xludf.DUMMYFUNCTION("""COMPUTED_VALUE"""),"Yes, I Understand this is gonna happen everywhere")</f>
        <v>Yes, I Understand this is gonna happen everywhere</v>
      </c>
      <c r="R1414" s="1" t="str">
        <f ca="1">IFERROR(__xludf.DUMMYFUNCTION("""COMPUTED_VALUE"""),"This will be hard to do, but if it is the right company I would try")</f>
        <v>This will be hard to do, but if it is the right company I would try</v>
      </c>
      <c r="S1414" s="1"/>
    </row>
    <row r="1415" spans="1:19" ht="12.5" x14ac:dyDescent="0.25">
      <c r="A1415" s="2">
        <f ca="1">IFERROR(__xludf.DUMMYFUNCTION("""COMPUTED_VALUE"""),45044.9011502546)</f>
        <v>45044.901150254598</v>
      </c>
      <c r="B1415" s="1" t="str">
        <f ca="1">IFERROR(__xludf.DUMMYFUNCTION("""COMPUTED_VALUE"""),"India")</f>
        <v>India</v>
      </c>
      <c r="C1415" s="1">
        <f ca="1">IFERROR(__xludf.DUMMYFUNCTION("""COMPUTED_VALUE"""),411014)</f>
        <v>411014</v>
      </c>
      <c r="D1415" s="1" t="str">
        <f ca="1">IFERROR(__xludf.DUMMYFUNCTION("""COMPUTED_VALUE"""),"Male")</f>
        <v>Male</v>
      </c>
      <c r="E1415" s="1" t="str">
        <f ca="1">IFERROR(__xludf.DUMMYFUNCTION("""COMPUTED_VALUE"""),"People who have changed the world for better")</f>
        <v>People who have changed the world for better</v>
      </c>
      <c r="F1415" s="1" t="str">
        <f ca="1">IFERROR(__xludf.DUMMYFUNCTION("""COMPUTED_VALUE"""),"Yes, I will earn and do that")</f>
        <v>Yes, I will earn and do that</v>
      </c>
      <c r="G1415" s="1" t="str">
        <f ca="1">IFERROR(__xludf.DUMMYFUNCTION("""COMPUTED_VALUE"""),"This will be hard to do, but if it is the right company I would try")</f>
        <v>This will be hard to do, but if it is the right company I would try</v>
      </c>
      <c r="H1415" s="1" t="str">
        <f ca="1">IFERROR(__xludf.DUMMYFUNCTION("""COMPUTED_VALUE"""),"No")</f>
        <v>No</v>
      </c>
      <c r="I1415" s="1" t="str">
        <f ca="1">IFERROR(__xludf.DUMMYFUNCTION("""COMPUTED_VALUE"""),"Will NOT work for them")</f>
        <v>Will NOT work for them</v>
      </c>
      <c r="J1415" s="1">
        <f ca="1">IFERROR(__xludf.DUMMYFUNCTION("""COMPUTED_VALUE"""),1)</f>
        <v>1</v>
      </c>
      <c r="K1415" s="1" t="str">
        <f ca="1">IFERROR(__xludf.DUMMYFUNCTION("""COMPUTED_VALUE"""),"Hybrid Working Environment with more than 15 days a month at office")</f>
        <v>Hybrid Working Environment with more than 15 days a month at office</v>
      </c>
      <c r="L14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1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15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41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15" s="1" t="str">
        <f ca="1">IFERROR(__xludf.DUMMYFUNCTION("""COMPUTED_VALUE"""),"Work with more than 10 people in my team")</f>
        <v>Work with more than 10 people in my team</v>
      </c>
      <c r="Q1415" s="1" t="str">
        <f ca="1">IFERROR(__xludf.DUMMYFUNCTION("""COMPUTED_VALUE"""),"Yes")</f>
        <v>Yes</v>
      </c>
      <c r="R1415" s="1" t="str">
        <f ca="1">IFERROR(__xludf.DUMMYFUNCTION("""COMPUTED_VALUE"""),"This will be hard to do, but if it is the right company I would try")</f>
        <v>This will be hard to do, but if it is the right company I would try</v>
      </c>
      <c r="S1415" s="1"/>
    </row>
    <row r="1416" spans="1:19" ht="12.5" x14ac:dyDescent="0.25">
      <c r="A1416" s="2">
        <f ca="1">IFERROR(__xludf.DUMMYFUNCTION("""COMPUTED_VALUE"""),45044.9033888194)</f>
        <v>45044.903388819403</v>
      </c>
      <c r="B1416" s="1" t="str">
        <f ca="1">IFERROR(__xludf.DUMMYFUNCTION("""COMPUTED_VALUE"""),"India")</f>
        <v>India</v>
      </c>
      <c r="C1416" s="1">
        <f ca="1">IFERROR(__xludf.DUMMYFUNCTION("""COMPUTED_VALUE"""),68)</f>
        <v>68</v>
      </c>
      <c r="D1416" s="1" t="str">
        <f ca="1">IFERROR(__xludf.DUMMYFUNCTION("""COMPUTED_VALUE"""),"Male")</f>
        <v>Male</v>
      </c>
      <c r="E1416" s="1" t="str">
        <f ca="1">IFERROR(__xludf.DUMMYFUNCTION("""COMPUTED_VALUE"""),"People from my circle, but not family members")</f>
        <v>People from my circle, but not family members</v>
      </c>
      <c r="F1416" s="1" t="str">
        <f ca="1">IFERROR(__xludf.DUMMYFUNCTION("""COMPUTED_VALUE"""),"No I would not be pursuing Higher Education outside of India")</f>
        <v>No I would not be pursuing Higher Education outside of India</v>
      </c>
      <c r="G1416" s="1" t="str">
        <f ca="1">IFERROR(__xludf.DUMMYFUNCTION("""COMPUTED_VALUE"""),"This will be hard to do, but if it is the right company I would try")</f>
        <v>This will be hard to do, but if it is the right company I would try</v>
      </c>
      <c r="H1416" s="1" t="str">
        <f ca="1">IFERROR(__xludf.DUMMYFUNCTION("""COMPUTED_VALUE"""),"Yes")</f>
        <v>Yes</v>
      </c>
      <c r="I1416" s="1" t="str">
        <f ca="1">IFERROR(__xludf.DUMMYFUNCTION("""COMPUTED_VALUE"""),"Will NOT work for them")</f>
        <v>Will NOT work for them</v>
      </c>
      <c r="J1416" s="1">
        <f ca="1">IFERROR(__xludf.DUMMYFUNCTION("""COMPUTED_VALUE"""),6)</f>
        <v>6</v>
      </c>
      <c r="K1416" s="1" t="str">
        <f ca="1">IFERROR(__xludf.DUMMYFUNCTION("""COMPUTED_VALUE"""),"Fully Remote with Options to travel as and when needed")</f>
        <v>Fully Remote with Options to travel as and when needed</v>
      </c>
      <c r="L14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1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16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4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416" s="1" t="str">
        <f ca="1">IFERROR(__xludf.DUMMYFUNCTION("""COMPUTED_VALUE"""),"Work with 5 to 6 people in my team")</f>
        <v>Work with 5 to 6 people in my team</v>
      </c>
      <c r="Q1416" s="1" t="str">
        <f ca="1">IFERROR(__xludf.DUMMYFUNCTION("""COMPUTED_VALUE"""),"Yes, I Understand this is gonna happen everywhere")</f>
        <v>Yes, I Understand this is gonna happen everywhere</v>
      </c>
      <c r="R1416" s="1" t="str">
        <f ca="1">IFERROR(__xludf.DUMMYFUNCTION("""COMPUTED_VALUE"""),"No way")</f>
        <v>No way</v>
      </c>
      <c r="S1416" s="1"/>
    </row>
    <row r="1417" spans="1:19" ht="12.5" x14ac:dyDescent="0.25">
      <c r="A1417" s="2">
        <f ca="1">IFERROR(__xludf.DUMMYFUNCTION("""COMPUTED_VALUE"""),45044.9049741203)</f>
        <v>45044.904974120298</v>
      </c>
      <c r="B1417" s="1" t="str">
        <f ca="1">IFERROR(__xludf.DUMMYFUNCTION("""COMPUTED_VALUE"""),"India")</f>
        <v>India</v>
      </c>
      <c r="C1417" s="1">
        <f ca="1">IFERROR(__xludf.DUMMYFUNCTION("""COMPUTED_VALUE"""),411032)</f>
        <v>411032</v>
      </c>
      <c r="D1417" s="1" t="str">
        <f ca="1">IFERROR(__xludf.DUMMYFUNCTION("""COMPUTED_VALUE"""),"Male")</f>
        <v>Male</v>
      </c>
      <c r="E1417" s="1" t="str">
        <f ca="1">IFERROR(__xludf.DUMMYFUNCTION("""COMPUTED_VALUE"""),"Influencers who had successful careers")</f>
        <v>Influencers who had successful careers</v>
      </c>
      <c r="F1417" s="1" t="str">
        <f ca="1">IFERROR(__xludf.DUMMYFUNCTION("""COMPUTED_VALUE"""),"Yes, I will earn and do that")</f>
        <v>Yes, I will earn and do that</v>
      </c>
      <c r="G1417" s="1" t="str">
        <f ca="1">IFERROR(__xludf.DUMMYFUNCTION("""COMPUTED_VALUE"""),"This will be hard to do, but if it is the right company I would try")</f>
        <v>This will be hard to do, but if it is the right company I would try</v>
      </c>
      <c r="H1417" s="1" t="str">
        <f ca="1">IFERROR(__xludf.DUMMYFUNCTION("""COMPUTED_VALUE"""),"Yes")</f>
        <v>Yes</v>
      </c>
      <c r="I1417" s="1" t="str">
        <f ca="1">IFERROR(__xludf.DUMMYFUNCTION("""COMPUTED_VALUE"""),"Will work for them")</f>
        <v>Will work for them</v>
      </c>
      <c r="J1417" s="1">
        <f ca="1">IFERROR(__xludf.DUMMYFUNCTION("""COMPUTED_VALUE"""),7)</f>
        <v>7</v>
      </c>
      <c r="K1417" s="1" t="str">
        <f ca="1">IFERROR(__xludf.DUMMYFUNCTION("""COMPUTED_VALUE"""),"Hybrid Working Environment with more than 15 days a month at office")</f>
        <v>Hybrid Working Environment with more than 15 days a month at office</v>
      </c>
      <c r="L14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17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417" s="1" t="str">
        <f ca="1">IFERROR(__xludf.DUMMYFUNCTION("""COMPUTED_VALUE"""),"Business Operations in any organization, Look deeply into Data and generate insights, Entrepreneur or Start Up, An Artificial Intelligence Specialist / Talking to Robots")</f>
        <v>Business Operations in any organization, Look deeply into Data and generate insights, Entrepreneur or Start Up, An Artificial Intelligence Specialist / Talking to Robots</v>
      </c>
      <c r="O14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417" s="1" t="str">
        <f ca="1">IFERROR(__xludf.DUMMYFUNCTION("""COMPUTED_VALUE"""),"Work with more than 10 people in my team")</f>
        <v>Work with more than 10 people in my team</v>
      </c>
      <c r="Q1417" s="1" t="str">
        <f ca="1">IFERROR(__xludf.DUMMYFUNCTION("""COMPUTED_VALUE"""),"Yes, I Understand this is gonna happen everywhere")</f>
        <v>Yes, I Understand this is gonna happen everywhere</v>
      </c>
      <c r="R1417" s="1" t="str">
        <f ca="1">IFERROR(__xludf.DUMMYFUNCTION("""COMPUTED_VALUE"""),"No way")</f>
        <v>No way</v>
      </c>
      <c r="S1417" s="1"/>
    </row>
    <row r="1418" spans="1:19" ht="12.5" x14ac:dyDescent="0.25">
      <c r="A1418" s="2">
        <f ca="1">IFERROR(__xludf.DUMMYFUNCTION("""COMPUTED_VALUE"""),45044.9080630902)</f>
        <v>45044.908063090203</v>
      </c>
      <c r="B1418" s="1" t="str">
        <f ca="1">IFERROR(__xludf.DUMMYFUNCTION("""COMPUTED_VALUE"""),"India")</f>
        <v>India</v>
      </c>
      <c r="C1418" s="1">
        <f ca="1">IFERROR(__xludf.DUMMYFUNCTION("""COMPUTED_VALUE"""),603209)</f>
        <v>603209</v>
      </c>
      <c r="D1418" s="1" t="str">
        <f ca="1">IFERROR(__xludf.DUMMYFUNCTION("""COMPUTED_VALUE"""),"Male")</f>
        <v>Male</v>
      </c>
      <c r="E1418" s="1" t="str">
        <f ca="1">IFERROR(__xludf.DUMMYFUNCTION("""COMPUTED_VALUE"""),"People from my circle, but not family members")</f>
        <v>People from my circle, but not family members</v>
      </c>
      <c r="F1418" s="1" t="str">
        <f ca="1">IFERROR(__xludf.DUMMYFUNCTION("""COMPUTED_VALUE"""),"Yes, I will earn and do that")</f>
        <v>Yes, I will earn and do that</v>
      </c>
      <c r="G1418" s="1" t="str">
        <f ca="1">IFERROR(__xludf.DUMMYFUNCTION("""COMPUTED_VALUE"""),"Will work for 3 years or more")</f>
        <v>Will work for 3 years or more</v>
      </c>
      <c r="H1418" s="1" t="str">
        <f ca="1">IFERROR(__xludf.DUMMYFUNCTION("""COMPUTED_VALUE"""),"No")</f>
        <v>No</v>
      </c>
      <c r="I1418" s="1" t="str">
        <f ca="1">IFERROR(__xludf.DUMMYFUNCTION("""COMPUTED_VALUE"""),"Will NOT work for them")</f>
        <v>Will NOT work for them</v>
      </c>
      <c r="J1418" s="1">
        <f ca="1">IFERROR(__xludf.DUMMYFUNCTION("""COMPUTED_VALUE"""),2)</f>
        <v>2</v>
      </c>
      <c r="K1418" s="1" t="str">
        <f ca="1">IFERROR(__xludf.DUMMYFUNCTION("""COMPUTED_VALUE"""),"Hybrid Working Environment with more than 15 days a month at office")</f>
        <v>Hybrid Working Environment with more than 15 days a month at office</v>
      </c>
      <c r="L14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1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18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4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18" s="1" t="str">
        <f ca="1">IFERROR(__xludf.DUMMYFUNCTION("""COMPUTED_VALUE"""),"Work alone, Work with 5 to 6 people in my team")</f>
        <v>Work alone, Work with 5 to 6 people in my team</v>
      </c>
      <c r="Q1418" s="1" t="str">
        <f ca="1">IFERROR(__xludf.DUMMYFUNCTION("""COMPUTED_VALUE"""),"Yes, I Understand this is gonna happen everywhere")</f>
        <v>Yes, I Understand this is gonna happen everywhere</v>
      </c>
      <c r="R1418" s="1" t="str">
        <f ca="1">IFERROR(__xludf.DUMMYFUNCTION("""COMPUTED_VALUE"""),"This will be hard to do, but if it is the right company I would try")</f>
        <v>This will be hard to do, but if it is the right company I would try</v>
      </c>
      <c r="S1418" s="1"/>
    </row>
    <row r="1419" spans="1:19" ht="12.5" x14ac:dyDescent="0.25">
      <c r="A1419" s="2">
        <f ca="1">IFERROR(__xludf.DUMMYFUNCTION("""COMPUTED_VALUE"""),45044.9100239004)</f>
        <v>45044.910023900396</v>
      </c>
      <c r="B1419" s="1" t="str">
        <f ca="1">IFERROR(__xludf.DUMMYFUNCTION("""COMPUTED_VALUE"""),"India")</f>
        <v>India</v>
      </c>
      <c r="C1419" s="1">
        <f ca="1">IFERROR(__xludf.DUMMYFUNCTION("""COMPUTED_VALUE"""),841221)</f>
        <v>841221</v>
      </c>
      <c r="D1419" s="1" t="str">
        <f ca="1">IFERROR(__xludf.DUMMYFUNCTION("""COMPUTED_VALUE"""),"Female")</f>
        <v>Female</v>
      </c>
      <c r="E1419" s="1" t="str">
        <f ca="1">IFERROR(__xludf.DUMMYFUNCTION("""COMPUTED_VALUE"""),"People who have changed the world for better")</f>
        <v>People who have changed the world for better</v>
      </c>
      <c r="F1419" s="1" t="str">
        <f ca="1">IFERROR(__xludf.DUMMYFUNCTION("""COMPUTED_VALUE"""),"Yes, I will earn and do that")</f>
        <v>Yes, I will earn and do that</v>
      </c>
      <c r="G1419" s="1" t="str">
        <f ca="1">IFERROR(__xludf.DUMMYFUNCTION("""COMPUTED_VALUE"""),"Will work for 3 years or more")</f>
        <v>Will work for 3 years or more</v>
      </c>
      <c r="H1419" s="1" t="str">
        <f ca="1">IFERROR(__xludf.DUMMYFUNCTION("""COMPUTED_VALUE"""),"Yes")</f>
        <v>Yes</v>
      </c>
      <c r="I1419" s="1" t="str">
        <f ca="1">IFERROR(__xludf.DUMMYFUNCTION("""COMPUTED_VALUE"""),"Will work for them")</f>
        <v>Will work for them</v>
      </c>
      <c r="J1419" s="1">
        <f ca="1">IFERROR(__xludf.DUMMYFUNCTION("""COMPUTED_VALUE"""),3)</f>
        <v>3</v>
      </c>
      <c r="K1419" s="1" t="str">
        <f ca="1">IFERROR(__xludf.DUMMYFUNCTION("""COMPUTED_VALUE"""),"Every Day Office Environment")</f>
        <v>Every Day Office Environment</v>
      </c>
      <c r="L1419" s="1" t="str">
        <f ca="1">IFERROR(__xludf.DUMMYFUNCTION("""COMPUTED_VALUE"""),"Employer who rewards learning and enables that environment")</f>
        <v>Employer who rewards learning and enables that environment</v>
      </c>
      <c r="M141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19" s="1" t="str">
        <f ca="1">IFERROR(__xludf.DUMMYFUNCTION("""COMPUTED_VALUE"""),"Look deeply into Data and generate insights, Work in a BPO setup for some well known client, Work as a freelancer and do my thing my way, Become a content Creator in some platform")</f>
        <v>Look deeply into Data and generate insights, Work in a BPO setup for some well known client, Work as a freelancer and do my thing my way, Become a content Creator in some platform</v>
      </c>
      <c r="O1419" s="1" t="str">
        <f ca="1">IFERROR(__xludf.DUMMYFUNCTION("""COMPUTED_VALUE"""),"Manager who sets targets and expects me to achieve it")</f>
        <v>Manager who sets targets and expects me to achieve it</v>
      </c>
      <c r="P1419" s="1" t="str">
        <f ca="1">IFERROR(__xludf.DUMMYFUNCTION("""COMPUTED_VALUE"""),"Work with 5 to 6 people in my team")</f>
        <v>Work with 5 to 6 people in my team</v>
      </c>
      <c r="Q1419" s="1" t="str">
        <f ca="1">IFERROR(__xludf.DUMMYFUNCTION("""COMPUTED_VALUE"""),"Yes")</f>
        <v>Yes</v>
      </c>
      <c r="R1419" s="1" t="str">
        <f ca="1">IFERROR(__xludf.DUMMYFUNCTION("""COMPUTED_VALUE"""),"Will work for 7 years or more")</f>
        <v>Will work for 7 years or more</v>
      </c>
      <c r="S1419" s="1"/>
    </row>
    <row r="1420" spans="1:19" ht="12.5" x14ac:dyDescent="0.25">
      <c r="A1420" s="2">
        <f ca="1">IFERROR(__xludf.DUMMYFUNCTION("""COMPUTED_VALUE"""),45044.9112696064)</f>
        <v>45044.911269606397</v>
      </c>
      <c r="B1420" s="1" t="str">
        <f ca="1">IFERROR(__xludf.DUMMYFUNCTION("""COMPUTED_VALUE"""),"India")</f>
        <v>India</v>
      </c>
      <c r="C1420" s="1">
        <f ca="1">IFERROR(__xludf.DUMMYFUNCTION("""COMPUTED_VALUE"""),803302)</f>
        <v>803302</v>
      </c>
      <c r="D1420" s="1" t="str">
        <f ca="1">IFERROR(__xludf.DUMMYFUNCTION("""COMPUTED_VALUE"""),"Female")</f>
        <v>Female</v>
      </c>
      <c r="E1420" s="1" t="str">
        <f ca="1">IFERROR(__xludf.DUMMYFUNCTION("""COMPUTED_VALUE"""),"My Parents")</f>
        <v>My Parents</v>
      </c>
      <c r="F1420" s="1" t="str">
        <f ca="1">IFERROR(__xludf.DUMMYFUNCTION("""COMPUTED_VALUE"""),"No, But if someone could bare the cost I will")</f>
        <v>No, But if someone could bare the cost I will</v>
      </c>
      <c r="G1420" s="1" t="str">
        <f ca="1">IFERROR(__xludf.DUMMYFUNCTION("""COMPUTED_VALUE"""),"This will be hard to do, but if it is the right company I would try")</f>
        <v>This will be hard to do, but if it is the right company I would try</v>
      </c>
      <c r="H1420" s="1" t="str">
        <f ca="1">IFERROR(__xludf.DUMMYFUNCTION("""COMPUTED_VALUE"""),"No")</f>
        <v>No</v>
      </c>
      <c r="I1420" s="1" t="str">
        <f ca="1">IFERROR(__xludf.DUMMYFUNCTION("""COMPUTED_VALUE"""),"Will work for them")</f>
        <v>Will work for them</v>
      </c>
      <c r="J1420" s="1">
        <f ca="1">IFERROR(__xludf.DUMMYFUNCTION("""COMPUTED_VALUE"""),4)</f>
        <v>4</v>
      </c>
      <c r="K1420" s="1" t="str">
        <f ca="1">IFERROR(__xludf.DUMMYFUNCTION("""COMPUTED_VALUE"""),"Every Day Office Environment")</f>
        <v>Every Day Office Environment</v>
      </c>
      <c r="L1420" s="1" t="str">
        <f ca="1">IFERROR(__xludf.DUMMYFUNCTION("""COMPUTED_VALUE"""),"Employer who appreciates learning and enables that environment")</f>
        <v>Employer who appreciates learning and enables that environment</v>
      </c>
      <c r="M1420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420" s="1" t="str">
        <f ca="1">IFERROR(__xludf.DUMMYFUNCTION("""COMPUTED_VALUE"""),"Manage and drive End-to-End Projects or Products, Look deeply into Data and generate insights, Entrepreneur or Start Up, I Want to sell things/Sales")</f>
        <v>Manage and drive End-to-End Projects or Products, Look deeply into Data and generate insights, Entrepreneur or Start Up, I Want to sell things/Sales</v>
      </c>
      <c r="O1420" s="1" t="str">
        <f ca="1">IFERROR(__xludf.DUMMYFUNCTION("""COMPUTED_VALUE"""),"Manager who sets targets and expects me to achieve it")</f>
        <v>Manager who sets targets and expects me to achieve it</v>
      </c>
      <c r="P1420" s="1" t="str">
        <f ca="1">IFERROR(__xludf.DUMMYFUNCTION("""COMPUTED_VALUE"""),"Work with 2 to 3 people in my team")</f>
        <v>Work with 2 to 3 people in my team</v>
      </c>
      <c r="Q1420" s="1" t="str">
        <f ca="1">IFERROR(__xludf.DUMMYFUNCTION("""COMPUTED_VALUE"""),"I have NO other choice")</f>
        <v>I have NO other choice</v>
      </c>
      <c r="R1420" s="1" t="str">
        <f ca="1">IFERROR(__xludf.DUMMYFUNCTION("""COMPUTED_VALUE"""),"Will work for 7 years or more")</f>
        <v>Will work for 7 years or more</v>
      </c>
      <c r="S1420" s="1"/>
    </row>
    <row r="1421" spans="1:19" ht="12.5" x14ac:dyDescent="0.25">
      <c r="A1421" s="2">
        <f ca="1">IFERROR(__xludf.DUMMYFUNCTION("""COMPUTED_VALUE"""),45044.9137991319)</f>
        <v>45044.9137991319</v>
      </c>
      <c r="B1421" s="1" t="str">
        <f ca="1">IFERROR(__xludf.DUMMYFUNCTION("""COMPUTED_VALUE"""),"India")</f>
        <v>India</v>
      </c>
      <c r="C1421" s="1">
        <f ca="1">IFERROR(__xludf.DUMMYFUNCTION("""COMPUTED_VALUE"""),201310)</f>
        <v>201310</v>
      </c>
      <c r="D1421" s="1" t="str">
        <f ca="1">IFERROR(__xludf.DUMMYFUNCTION("""COMPUTED_VALUE"""),"Female")</f>
        <v>Female</v>
      </c>
      <c r="E1421" s="1" t="str">
        <f ca="1">IFERROR(__xludf.DUMMYFUNCTION("""COMPUTED_VALUE"""),"People from my circle, but not family members")</f>
        <v>People from my circle, but not family members</v>
      </c>
      <c r="F1421" s="1" t="str">
        <f ca="1">IFERROR(__xludf.DUMMYFUNCTION("""COMPUTED_VALUE"""),"No I would not be pursuing Higher Education outside of India")</f>
        <v>No I would not be pursuing Higher Education outside of India</v>
      </c>
      <c r="G1421" s="1" t="str">
        <f ca="1">IFERROR(__xludf.DUMMYFUNCTION("""COMPUTED_VALUE"""),"This will be hard to do, but if it is the right company I would try")</f>
        <v>This will be hard to do, but if it is the right company I would try</v>
      </c>
      <c r="H1421" s="1" t="str">
        <f ca="1">IFERROR(__xludf.DUMMYFUNCTION("""COMPUTED_VALUE"""),"Yes")</f>
        <v>Yes</v>
      </c>
      <c r="I1421" s="1" t="str">
        <f ca="1">IFERROR(__xludf.DUMMYFUNCTION("""COMPUTED_VALUE"""),"Will NOT work for them")</f>
        <v>Will NOT work for them</v>
      </c>
      <c r="J1421" s="1">
        <f ca="1">IFERROR(__xludf.DUMMYFUNCTION("""COMPUTED_VALUE"""),4)</f>
        <v>4</v>
      </c>
      <c r="K1421" s="1" t="str">
        <f ca="1">IFERROR(__xludf.DUMMYFUNCTION("""COMPUTED_VALUE"""),"Every Day Office Environment")</f>
        <v>Every Day Office Environment</v>
      </c>
      <c r="L1421" s="1" t="str">
        <f ca="1">IFERROR(__xludf.DUMMYFUNCTION("""COMPUTED_VALUE"""),"Employer who rewards learning and enables that environment")</f>
        <v>Employer who rewards learning and enables that environment</v>
      </c>
      <c r="M142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421" s="1" t="str">
        <f ca="1">IFERROR(__xludf.DUMMYFUNCTION("""COMPUTED_VALUE"""),"Design and Creative strategy in any company, Business Operations in any organization, Manage and drive End-to-End Projects or Products, I Want to sell things/Sales")</f>
        <v>Design and Creative strategy in any company, Business Operations in any organization, Manage and drive End-to-End Projects or Products, I Want to sell things/Sales</v>
      </c>
      <c r="O1421" s="1" t="str">
        <f ca="1">IFERROR(__xludf.DUMMYFUNCTION("""COMPUTED_VALUE"""),"Manager who explains what is expected, sets a goal and helps achieve it")</f>
        <v>Manager who explains what is expected, sets a goal and helps achieve it</v>
      </c>
      <c r="P1421" s="1" t="str">
        <f ca="1">IFERROR(__xludf.DUMMYFUNCTION("""COMPUTED_VALUE"""),"Work with 2 to 3 people in my team, Work with 5 to 6 people in my team")</f>
        <v>Work with 2 to 3 people in my team, Work with 5 to 6 people in my team</v>
      </c>
      <c r="Q1421" s="1" t="str">
        <f ca="1">IFERROR(__xludf.DUMMYFUNCTION("""COMPUTED_VALUE"""),"No")</f>
        <v>No</v>
      </c>
      <c r="R1421" s="1" t="str">
        <f ca="1">IFERROR(__xludf.DUMMYFUNCTION("""COMPUTED_VALUE"""),"No way")</f>
        <v>No way</v>
      </c>
      <c r="S1421" s="1"/>
    </row>
    <row r="1422" spans="1:19" ht="12.5" x14ac:dyDescent="0.25">
      <c r="A1422" s="2">
        <f ca="1">IFERROR(__xludf.DUMMYFUNCTION("""COMPUTED_VALUE"""),45044.9143012731)</f>
        <v>45044.9143012731</v>
      </c>
      <c r="B1422" s="1" t="str">
        <f ca="1">IFERROR(__xludf.DUMMYFUNCTION("""COMPUTED_VALUE"""),"India")</f>
        <v>India</v>
      </c>
      <c r="C1422" s="1">
        <f ca="1">IFERROR(__xludf.DUMMYFUNCTION("""COMPUTED_VALUE"""),201308)</f>
        <v>201308</v>
      </c>
      <c r="D1422" s="1" t="str">
        <f ca="1">IFERROR(__xludf.DUMMYFUNCTION("""COMPUTED_VALUE"""),"Female")</f>
        <v>Female</v>
      </c>
      <c r="E1422" s="1" t="str">
        <f ca="1">IFERROR(__xludf.DUMMYFUNCTION("""COMPUTED_VALUE"""),"People from my circle, but not family members")</f>
        <v>People from my circle, but not family members</v>
      </c>
      <c r="F1422" s="1" t="str">
        <f ca="1">IFERROR(__xludf.DUMMYFUNCTION("""COMPUTED_VALUE"""),"No, But if someone could bare the cost I will")</f>
        <v>No, But if someone could bare the cost I will</v>
      </c>
      <c r="G1422" s="1" t="str">
        <f ca="1">IFERROR(__xludf.DUMMYFUNCTION("""COMPUTED_VALUE"""),"Will work for 3 years or more")</f>
        <v>Will work for 3 years or more</v>
      </c>
      <c r="H1422" s="1" t="str">
        <f ca="1">IFERROR(__xludf.DUMMYFUNCTION("""COMPUTED_VALUE"""),"No")</f>
        <v>No</v>
      </c>
      <c r="I1422" s="1" t="str">
        <f ca="1">IFERROR(__xludf.DUMMYFUNCTION("""COMPUTED_VALUE"""),"Will NOT work for them")</f>
        <v>Will NOT work for them</v>
      </c>
      <c r="J1422" s="1">
        <f ca="1">IFERROR(__xludf.DUMMYFUNCTION("""COMPUTED_VALUE"""),4)</f>
        <v>4</v>
      </c>
      <c r="K1422" s="1" t="str">
        <f ca="1">IFERROR(__xludf.DUMMYFUNCTION("""COMPUTED_VALUE"""),"Fully Remote with No option to visit offices")</f>
        <v>Fully Remote with No option to visit offices</v>
      </c>
      <c r="L1422" s="1" t="str">
        <f ca="1">IFERROR(__xludf.DUMMYFUNCTION("""COMPUTED_VALUE"""),"Employer who appreciates learning and enables that environment")</f>
        <v>Employer who appreciates learning and enables that environment</v>
      </c>
      <c r="M142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22" s="1" t="str">
        <f ca="1">IFERROR(__xludf.DUMMYFUNCTION("""COMPUTED_VALUE"""),"Business Operations in any organization, Manage and drive End-to-End Projects or Products, Become a content Creator in some platform, Entrepreneur or Start Up")</f>
        <v>Business Operations in any organization, Manage and drive End-to-End Projects or Products, Become a content Creator in some platform, Entrepreneur or Start Up</v>
      </c>
      <c r="O1422" s="1" t="str">
        <f ca="1">IFERROR(__xludf.DUMMYFUNCTION("""COMPUTED_VALUE"""),"Manager who explains what is expected, sets a goal and helps achieve it")</f>
        <v>Manager who explains what is expected, sets a goal and helps achieve it</v>
      </c>
      <c r="P1422" s="1" t="str">
        <f ca="1">IFERROR(__xludf.DUMMYFUNCTION("""COMPUTED_VALUE"""),"Work alone, Work with 2 to 3 people in my team")</f>
        <v>Work alone, Work with 2 to 3 people in my team</v>
      </c>
      <c r="Q1422" s="1" t="str">
        <f ca="1">IFERROR(__xludf.DUMMYFUNCTION("""COMPUTED_VALUE"""),"Yes, I Understand this is gonna happen everywhere")</f>
        <v>Yes, I Understand this is gonna happen everywhere</v>
      </c>
      <c r="R1422" s="1" t="str">
        <f ca="1">IFERROR(__xludf.DUMMYFUNCTION("""COMPUTED_VALUE"""),"Will work for 7 years or more")</f>
        <v>Will work for 7 years or more</v>
      </c>
      <c r="S1422" s="1"/>
    </row>
    <row r="1423" spans="1:19" ht="12.5" x14ac:dyDescent="0.25">
      <c r="A1423" s="2">
        <f ca="1">IFERROR(__xludf.DUMMYFUNCTION("""COMPUTED_VALUE"""),45044.9153819675)</f>
        <v>45044.915381967498</v>
      </c>
      <c r="B1423" s="1" t="str">
        <f ca="1">IFERROR(__xludf.DUMMYFUNCTION("""COMPUTED_VALUE"""),"India")</f>
        <v>India</v>
      </c>
      <c r="C1423" s="1">
        <f ca="1">IFERROR(__xludf.DUMMYFUNCTION("""COMPUTED_VALUE"""),803302)</f>
        <v>803302</v>
      </c>
      <c r="D1423" s="1" t="str">
        <f ca="1">IFERROR(__xludf.DUMMYFUNCTION("""COMPUTED_VALUE"""),"Female")</f>
        <v>Female</v>
      </c>
      <c r="E1423" s="1" t="str">
        <f ca="1">IFERROR(__xludf.DUMMYFUNCTION("""COMPUTED_VALUE"""),"My Parents")</f>
        <v>My Parents</v>
      </c>
      <c r="F1423" s="1" t="str">
        <f ca="1">IFERROR(__xludf.DUMMYFUNCTION("""COMPUTED_VALUE"""),"No, But if someone could bare the cost I will")</f>
        <v>No, But if someone could bare the cost I will</v>
      </c>
      <c r="G1423" s="1" t="str">
        <f ca="1">IFERROR(__xludf.DUMMYFUNCTION("""COMPUTED_VALUE"""),"This will be hard to do, but if it is the right company I would try")</f>
        <v>This will be hard to do, but if it is the right company I would try</v>
      </c>
      <c r="H1423" s="1" t="str">
        <f ca="1">IFERROR(__xludf.DUMMYFUNCTION("""COMPUTED_VALUE"""),"No")</f>
        <v>No</v>
      </c>
      <c r="I1423" s="1" t="str">
        <f ca="1">IFERROR(__xludf.DUMMYFUNCTION("""COMPUTED_VALUE"""),"Will NOT work for them")</f>
        <v>Will NOT work for them</v>
      </c>
      <c r="J1423" s="1">
        <f ca="1">IFERROR(__xludf.DUMMYFUNCTION("""COMPUTED_VALUE"""),5)</f>
        <v>5</v>
      </c>
      <c r="K1423" s="1" t="str">
        <f ca="1">IFERROR(__xludf.DUMMYFUNCTION("""COMPUTED_VALUE"""),"Fully Remote with No option to visit offices")</f>
        <v>Fully Remote with No option to visit offices</v>
      </c>
      <c r="L14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2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423" s="1" t="str">
        <f ca="1">IFERROR(__xludf.DUMMYFUNCTION("""COMPUTED_VALUE"""),"Business Operations in any organization, Design and Develop amazing software, Work as a freelancer and do my thing my way, An Artificial Intelligence Specialist / Talking to Robots")</f>
        <v>Business Operations in any organization, Design and Develop amazing software, Work as a freelancer and do my thing my way, An Artificial Intelligence Specialist / Talking to Robots</v>
      </c>
      <c r="O1423" s="1" t="str">
        <f ca="1">IFERROR(__xludf.DUMMYFUNCTION("""COMPUTED_VALUE"""),"Manager who explains what is expected, sets a goal and helps achieve it")</f>
        <v>Manager who explains what is expected, sets a goal and helps achieve it</v>
      </c>
      <c r="P1423" s="1" t="str">
        <f ca="1">IFERROR(__xludf.DUMMYFUNCTION("""COMPUTED_VALUE"""),"Work with 2 to 3 people in my team")</f>
        <v>Work with 2 to 3 people in my team</v>
      </c>
      <c r="Q1423" s="1" t="str">
        <f ca="1">IFERROR(__xludf.DUMMYFUNCTION("""COMPUTED_VALUE"""),"No")</f>
        <v>No</v>
      </c>
      <c r="R1423" s="1" t="str">
        <f ca="1">IFERROR(__xludf.DUMMYFUNCTION("""COMPUTED_VALUE"""),"This will be hard to do, but if it is the right company I would try")</f>
        <v>This will be hard to do, but if it is the right company I would try</v>
      </c>
      <c r="S1423" s="1"/>
    </row>
    <row r="1424" spans="1:19" ht="12.5" x14ac:dyDescent="0.25">
      <c r="A1424" s="2">
        <f ca="1">IFERROR(__xludf.DUMMYFUNCTION("""COMPUTED_VALUE"""),45044.9156552777)</f>
        <v>45044.915655277699</v>
      </c>
      <c r="B1424" s="1" t="str">
        <f ca="1">IFERROR(__xludf.DUMMYFUNCTION("""COMPUTED_VALUE"""),"India")</f>
        <v>India</v>
      </c>
      <c r="C1424" s="1">
        <f ca="1">IFERROR(__xludf.DUMMYFUNCTION("""COMPUTED_VALUE"""),600073)</f>
        <v>600073</v>
      </c>
      <c r="D1424" s="1" t="str">
        <f ca="1">IFERROR(__xludf.DUMMYFUNCTION("""COMPUTED_VALUE"""),"Female")</f>
        <v>Female</v>
      </c>
      <c r="E1424" s="1" t="str">
        <f ca="1">IFERROR(__xludf.DUMMYFUNCTION("""COMPUTED_VALUE"""),"Influencers who had successful careers")</f>
        <v>Influencers who had successful careers</v>
      </c>
      <c r="F1424" s="1" t="str">
        <f ca="1">IFERROR(__xludf.DUMMYFUNCTION("""COMPUTED_VALUE"""),"No, But if someone could bare the cost I will")</f>
        <v>No, But if someone could bare the cost I will</v>
      </c>
      <c r="G1424" s="1" t="str">
        <f ca="1">IFERROR(__xludf.DUMMYFUNCTION("""COMPUTED_VALUE"""),"No way")</f>
        <v>No way</v>
      </c>
      <c r="H1424" s="1" t="str">
        <f ca="1">IFERROR(__xludf.DUMMYFUNCTION("""COMPUTED_VALUE"""),"No")</f>
        <v>No</v>
      </c>
      <c r="I1424" s="1" t="str">
        <f ca="1">IFERROR(__xludf.DUMMYFUNCTION("""COMPUTED_VALUE"""),"Will NOT work for them")</f>
        <v>Will NOT work for them</v>
      </c>
      <c r="J1424" s="1">
        <f ca="1">IFERROR(__xludf.DUMMYFUNCTION("""COMPUTED_VALUE"""),9)</f>
        <v>9</v>
      </c>
      <c r="K1424" s="1" t="str">
        <f ca="1">IFERROR(__xludf.DUMMYFUNCTION("""COMPUTED_VALUE"""),"Hybrid Working Environment with more than 15 days a month at office")</f>
        <v>Hybrid Working Environment with more than 15 days a month at office</v>
      </c>
      <c r="L1424" s="1" t="str">
        <f ca="1">IFERROR(__xludf.DUMMYFUNCTION("""COMPUTED_VALUE"""),"Employer who rewards learning and enables that environment")</f>
        <v>Employer who rewards learning and enables that environment</v>
      </c>
      <c r="M1424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1424" s="1" t="str">
        <f ca="1">IFERROR(__xludf.DUMMYFUNCTION("""COMPUTED_VALUE"""),"Business Operations in any organization, Become a content Creator in some platform, Entrepreneur or Start Up, An Artificial Intelligence Specialist / Talking to Robots")</f>
        <v>Business Operations in any organization, Become a content Creator in some platform, Entrepreneur or Start Up, An Artificial Intelligence Specialist / Talking to Robots</v>
      </c>
      <c r="O1424" s="1" t="str">
        <f ca="1">IFERROR(__xludf.DUMMYFUNCTION("""COMPUTED_VALUE"""),"Manager who clearly describes what she/he needs")</f>
        <v>Manager who clearly describes what she/he needs</v>
      </c>
      <c r="P1424" s="1" t="str">
        <f ca="1">IFERROR(__xludf.DUMMYFUNCTION("""COMPUTED_VALUE"""),"Work alone")</f>
        <v>Work alone</v>
      </c>
      <c r="Q1424" s="1" t="str">
        <f ca="1">IFERROR(__xludf.DUMMYFUNCTION("""COMPUTED_VALUE"""),"No")</f>
        <v>No</v>
      </c>
      <c r="R1424" s="1" t="str">
        <f ca="1">IFERROR(__xludf.DUMMYFUNCTION("""COMPUTED_VALUE"""),"This will be hard to do, but if it is the right company I would try")</f>
        <v>This will be hard to do, but if it is the right company I would try</v>
      </c>
      <c r="S1424" s="1"/>
    </row>
    <row r="1425" spans="1:19" ht="12.5" x14ac:dyDescent="0.25">
      <c r="A1425" s="2">
        <f ca="1">IFERROR(__xludf.DUMMYFUNCTION("""COMPUTED_VALUE"""),45044.916570243)</f>
        <v>45044.916570242996</v>
      </c>
      <c r="B1425" s="1" t="str">
        <f ca="1">IFERROR(__xludf.DUMMYFUNCTION("""COMPUTED_VALUE"""),"India")</f>
        <v>India</v>
      </c>
      <c r="C1425" s="1">
        <f ca="1">IFERROR(__xludf.DUMMYFUNCTION("""COMPUTED_VALUE"""),803303)</f>
        <v>803303</v>
      </c>
      <c r="D1425" s="1" t="str">
        <f ca="1">IFERROR(__xludf.DUMMYFUNCTION("""COMPUTED_VALUE"""),"Male")</f>
        <v>Male</v>
      </c>
      <c r="E1425" s="1" t="str">
        <f ca="1">IFERROR(__xludf.DUMMYFUNCTION("""COMPUTED_VALUE"""),"My Parents")</f>
        <v>My Parents</v>
      </c>
      <c r="F1425" s="1" t="str">
        <f ca="1">IFERROR(__xludf.DUMMYFUNCTION("""COMPUTED_VALUE"""),"No, But if someone could bare the cost I will")</f>
        <v>No, But if someone could bare the cost I will</v>
      </c>
      <c r="G1425" s="1" t="str">
        <f ca="1">IFERROR(__xludf.DUMMYFUNCTION("""COMPUTED_VALUE"""),"Will work for 3 years or more")</f>
        <v>Will work for 3 years or more</v>
      </c>
      <c r="H1425" s="1" t="str">
        <f ca="1">IFERROR(__xludf.DUMMYFUNCTION("""COMPUTED_VALUE"""),"No")</f>
        <v>No</v>
      </c>
      <c r="I1425" s="1" t="str">
        <f ca="1">IFERROR(__xludf.DUMMYFUNCTION("""COMPUTED_VALUE"""),"Will NOT work for them")</f>
        <v>Will NOT work for them</v>
      </c>
      <c r="J1425" s="1">
        <f ca="1">IFERROR(__xludf.DUMMYFUNCTION("""COMPUTED_VALUE"""),1)</f>
        <v>1</v>
      </c>
      <c r="K1425" s="1" t="str">
        <f ca="1">IFERROR(__xludf.DUMMYFUNCTION("""COMPUTED_VALUE"""),"Fully Remote with Options to travel as and when needed")</f>
        <v>Fully Remote with Options to travel as and when needed</v>
      </c>
      <c r="L14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25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425" s="1" t="str">
        <f ca="1">IFERROR(__xludf.DUMMYFUNCTION("""COMPUTED_VALUE"""),"Teaching in any of the institutes/colleges/online or offline, Manage and drive End-to-End Projects or Products, Design and Develop amazing software, Entrepreneur or Start Up")</f>
        <v>Teaching in any of the institutes/colleges/online or offline, Manage and drive End-to-End Projects or Products, Design and Develop amazing software, Entrepreneur or Start Up</v>
      </c>
      <c r="O142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25" s="1" t="str">
        <f ca="1">IFERROR(__xludf.DUMMYFUNCTION("""COMPUTED_VALUE"""),"Work with 7 to 10 or more people in my team")</f>
        <v>Work with 7 to 10 or more people in my team</v>
      </c>
      <c r="Q1425" s="1" t="str">
        <f ca="1">IFERROR(__xludf.DUMMYFUNCTION("""COMPUTED_VALUE"""),"No")</f>
        <v>No</v>
      </c>
      <c r="R1425" s="1" t="str">
        <f ca="1">IFERROR(__xludf.DUMMYFUNCTION("""COMPUTED_VALUE"""),"No way")</f>
        <v>No way</v>
      </c>
      <c r="S1425" s="1"/>
    </row>
    <row r="1426" spans="1:19" ht="12.5" x14ac:dyDescent="0.25">
      <c r="A1426" s="2">
        <f ca="1">IFERROR(__xludf.DUMMYFUNCTION("""COMPUTED_VALUE"""),45044.9206566666)</f>
        <v>45044.920656666603</v>
      </c>
      <c r="B1426" s="1" t="str">
        <f ca="1">IFERROR(__xludf.DUMMYFUNCTION("""COMPUTED_VALUE"""),"India")</f>
        <v>India</v>
      </c>
      <c r="C1426" s="1">
        <f ca="1">IFERROR(__xludf.DUMMYFUNCTION("""COMPUTED_VALUE"""),247667)</f>
        <v>247667</v>
      </c>
      <c r="D1426" s="1" t="str">
        <f ca="1">IFERROR(__xludf.DUMMYFUNCTION("""COMPUTED_VALUE"""),"Female")</f>
        <v>Female</v>
      </c>
      <c r="E1426" s="1" t="str">
        <f ca="1">IFERROR(__xludf.DUMMYFUNCTION("""COMPUTED_VALUE"""),"People who have changed the world for better")</f>
        <v>People who have changed the world for better</v>
      </c>
      <c r="F1426" s="1" t="str">
        <f ca="1">IFERROR(__xludf.DUMMYFUNCTION("""COMPUTED_VALUE"""),"No I would not be pursuing Higher Education outside of India")</f>
        <v>No I would not be pursuing Higher Education outside of India</v>
      </c>
      <c r="G1426" s="1" t="str">
        <f ca="1">IFERROR(__xludf.DUMMYFUNCTION("""COMPUTED_VALUE"""),"Will work for 3 years or more")</f>
        <v>Will work for 3 years or more</v>
      </c>
      <c r="H1426" s="1" t="str">
        <f ca="1">IFERROR(__xludf.DUMMYFUNCTION("""COMPUTED_VALUE"""),"No")</f>
        <v>No</v>
      </c>
      <c r="I1426" s="1" t="str">
        <f ca="1">IFERROR(__xludf.DUMMYFUNCTION("""COMPUTED_VALUE"""),"Will work for them")</f>
        <v>Will work for them</v>
      </c>
      <c r="J1426" s="1">
        <f ca="1">IFERROR(__xludf.DUMMYFUNCTION("""COMPUTED_VALUE"""),5)</f>
        <v>5</v>
      </c>
      <c r="K1426" s="1" t="str">
        <f ca="1">IFERROR(__xludf.DUMMYFUNCTION("""COMPUTED_VALUE"""),"Hybrid Working Environment with more than 15 days a month at office")</f>
        <v>Hybrid Working Environment with more than 15 days a month at office</v>
      </c>
      <c r="L14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2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426" s="1" t="str">
        <f ca="1">IFERROR(__xludf.DUMMYFUNCTION("""COMPUTED_VALUE"""),"Teaching in any of the institutes/colleges/online or offline, Business Operations in any organization, Manage and drive End-to-End Projects or Products, Design and Develop amazing software")</f>
        <v>Teaching in any of the institutes/colleges/online or offline, Business Operations in any organization, Manage and drive End-to-End Projects or Products, Design and Develop amazing software</v>
      </c>
      <c r="O1426" s="1" t="str">
        <f ca="1">IFERROR(__xludf.DUMMYFUNCTION("""COMPUTED_VALUE"""),"Manager who clearly describes what she/he needs")</f>
        <v>Manager who clearly describes what she/he needs</v>
      </c>
      <c r="P1426" s="1" t="str">
        <f ca="1">IFERROR(__xludf.DUMMYFUNCTION("""COMPUTED_VALUE"""),"Work with more than 10 people in my team")</f>
        <v>Work with more than 10 people in my team</v>
      </c>
      <c r="Q1426" s="1" t="str">
        <f ca="1">IFERROR(__xludf.DUMMYFUNCTION("""COMPUTED_VALUE"""),"Yes, I Understand this is gonna happen everywhere")</f>
        <v>Yes, I Understand this is gonna happen everywhere</v>
      </c>
      <c r="R1426" s="1" t="str">
        <f ca="1">IFERROR(__xludf.DUMMYFUNCTION("""COMPUTED_VALUE"""),"Will work for 7 years or more")</f>
        <v>Will work for 7 years or more</v>
      </c>
      <c r="S1426" s="1"/>
    </row>
    <row r="1427" spans="1:19" ht="12.5" x14ac:dyDescent="0.25">
      <c r="A1427" s="2">
        <f ca="1">IFERROR(__xludf.DUMMYFUNCTION("""COMPUTED_VALUE"""),45044.9212987963)</f>
        <v>45044.921298796296</v>
      </c>
      <c r="B1427" s="1" t="str">
        <f ca="1">IFERROR(__xludf.DUMMYFUNCTION("""COMPUTED_VALUE"""),"India")</f>
        <v>India</v>
      </c>
      <c r="C1427" s="1">
        <f ca="1">IFERROR(__xludf.DUMMYFUNCTION("""COMPUTED_VALUE"""),201310)</f>
        <v>201310</v>
      </c>
      <c r="D1427" s="1" t="str">
        <f ca="1">IFERROR(__xludf.DUMMYFUNCTION("""COMPUTED_VALUE"""),"Female")</f>
        <v>Female</v>
      </c>
      <c r="E1427" s="1" t="str">
        <f ca="1">IFERROR(__xludf.DUMMYFUNCTION("""COMPUTED_VALUE"""),"Social Media like LinkedIn")</f>
        <v>Social Media like LinkedIn</v>
      </c>
      <c r="F1427" s="1" t="str">
        <f ca="1">IFERROR(__xludf.DUMMYFUNCTION("""COMPUTED_VALUE"""),"No, But if someone could bare the cost I will")</f>
        <v>No, But if someone could bare the cost I will</v>
      </c>
      <c r="G1427" s="1" t="str">
        <f ca="1">IFERROR(__xludf.DUMMYFUNCTION("""COMPUTED_VALUE"""),"This will be hard to do, but if it is the right company I would try")</f>
        <v>This will be hard to do, but if it is the right company I would try</v>
      </c>
      <c r="H1427" s="1" t="str">
        <f ca="1">IFERROR(__xludf.DUMMYFUNCTION("""COMPUTED_VALUE"""),"Yes")</f>
        <v>Yes</v>
      </c>
      <c r="I1427" s="1" t="str">
        <f ca="1">IFERROR(__xludf.DUMMYFUNCTION("""COMPUTED_VALUE"""),"Will work for them")</f>
        <v>Will work for them</v>
      </c>
      <c r="J1427" s="1">
        <f ca="1">IFERROR(__xludf.DUMMYFUNCTION("""COMPUTED_VALUE"""),8)</f>
        <v>8</v>
      </c>
      <c r="K1427" s="1" t="str">
        <f ca="1">IFERROR(__xludf.DUMMYFUNCTION("""COMPUTED_VALUE"""),"Hybrid Working Environment with more than 15 days a month at office")</f>
        <v>Hybrid Working Environment with more than 15 days a month at office</v>
      </c>
      <c r="L1427" s="1" t="str">
        <f ca="1">IFERROR(__xludf.DUMMYFUNCTION("""COMPUTED_VALUE"""),"Employer who appreciates learning and enables that environment")</f>
        <v>Employer who appreciates learning and enables that environment</v>
      </c>
      <c r="M142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27" s="1" t="str">
        <f ca="1">IFERROR(__xludf.DUMMYFUNCTION("""COMPUTED_VALUE"""),"Manage and drive End-to-End Projects or Products, Become a content Creator in some platform, Entrepreneur or Start Up, Manufacturing / Oil and Gas/ Construction / Hard Physical Work related")</f>
        <v>Manage and drive End-to-End Projects or Products, Become a content Creator in some platform, Entrepreneur or Start Up, Manufacturing / Oil and Gas/ Construction / Hard Physical Work related</v>
      </c>
      <c r="O1427" s="1" t="str">
        <f ca="1">IFERROR(__xludf.DUMMYFUNCTION("""COMPUTED_VALUE"""),"Manager who sets unrealistic targets")</f>
        <v>Manager who sets unrealistic targets</v>
      </c>
      <c r="P1427" s="1" t="str">
        <f ca="1">IFERROR(__xludf.DUMMYFUNCTION("""COMPUTED_VALUE"""),"Work alone")</f>
        <v>Work alone</v>
      </c>
      <c r="Q1427" s="1" t="str">
        <f ca="1">IFERROR(__xludf.DUMMYFUNCTION("""COMPUTED_VALUE"""),"Yes, I Understand this is gonna happen everywhere")</f>
        <v>Yes, I Understand this is gonna happen everywhere</v>
      </c>
      <c r="R1427" s="1" t="str">
        <f ca="1">IFERROR(__xludf.DUMMYFUNCTION("""COMPUTED_VALUE"""),"This will be hard to do, but if it is the right company I would try")</f>
        <v>This will be hard to do, but if it is the right company I would try</v>
      </c>
      <c r="S1427" s="1"/>
    </row>
    <row r="1428" spans="1:19" ht="12.5" x14ac:dyDescent="0.25">
      <c r="A1428" s="2">
        <f ca="1">IFERROR(__xludf.DUMMYFUNCTION("""COMPUTED_VALUE"""),45044.9240179513)</f>
        <v>45044.9240179513</v>
      </c>
      <c r="B1428" s="1" t="str">
        <f ca="1">IFERROR(__xludf.DUMMYFUNCTION("""COMPUTED_VALUE"""),"India")</f>
        <v>India</v>
      </c>
      <c r="C1428" s="1">
        <f ca="1">IFERROR(__xludf.DUMMYFUNCTION("""COMPUTED_VALUE"""),201310)</f>
        <v>201310</v>
      </c>
      <c r="D1428" s="1" t="str">
        <f ca="1">IFERROR(__xludf.DUMMYFUNCTION("""COMPUTED_VALUE"""),"Female")</f>
        <v>Female</v>
      </c>
      <c r="E1428" s="1" t="str">
        <f ca="1">IFERROR(__xludf.DUMMYFUNCTION("""COMPUTED_VALUE"""),"People who have changed the world for better")</f>
        <v>People who have changed the world for better</v>
      </c>
      <c r="F1428" s="1" t="str">
        <f ca="1">IFERROR(__xludf.DUMMYFUNCTION("""COMPUTED_VALUE"""),"Yes, I will earn and do that")</f>
        <v>Yes, I will earn and do that</v>
      </c>
      <c r="G1428" s="1" t="str">
        <f ca="1">IFERROR(__xludf.DUMMYFUNCTION("""COMPUTED_VALUE"""),"This will be hard to do, but if it is the right company I would try")</f>
        <v>This will be hard to do, but if it is the right company I would try</v>
      </c>
      <c r="H1428" s="1" t="str">
        <f ca="1">IFERROR(__xludf.DUMMYFUNCTION("""COMPUTED_VALUE"""),"No")</f>
        <v>No</v>
      </c>
      <c r="I1428" s="1" t="str">
        <f ca="1">IFERROR(__xludf.DUMMYFUNCTION("""COMPUTED_VALUE"""),"Will NOT work for them")</f>
        <v>Will NOT work for them</v>
      </c>
      <c r="J1428" s="1">
        <f ca="1">IFERROR(__xludf.DUMMYFUNCTION("""COMPUTED_VALUE"""),4)</f>
        <v>4</v>
      </c>
      <c r="K1428" s="1" t="str">
        <f ca="1">IFERROR(__xludf.DUMMYFUNCTION("""COMPUTED_VALUE"""),"Hybrid Working Environment with less than 3 days a month at office")</f>
        <v>Hybrid Working Environment with less than 3 days a month at office</v>
      </c>
      <c r="L14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2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428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142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2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428" s="1" t="str">
        <f ca="1">IFERROR(__xludf.DUMMYFUNCTION("""COMPUTED_VALUE"""),"Yes, I Understand this is gonna happen everywhere")</f>
        <v>Yes, I Understand this is gonna happen everywhere</v>
      </c>
      <c r="R1428" s="1" t="str">
        <f ca="1">IFERROR(__xludf.DUMMYFUNCTION("""COMPUTED_VALUE"""),"This will be hard to do, but if it is the right company I would try")</f>
        <v>This will be hard to do, but if it is the right company I would try</v>
      </c>
      <c r="S1428" s="1"/>
    </row>
    <row r="1429" spans="1:19" ht="12.5" x14ac:dyDescent="0.25">
      <c r="A1429" s="2">
        <f ca="1">IFERROR(__xludf.DUMMYFUNCTION("""COMPUTED_VALUE"""),45044.92486478)</f>
        <v>45044.924864779998</v>
      </c>
      <c r="B1429" s="1" t="str">
        <f ca="1">IFERROR(__xludf.DUMMYFUNCTION("""COMPUTED_VALUE"""),"India")</f>
        <v>India</v>
      </c>
      <c r="C1429" s="1">
        <f ca="1">IFERROR(__xludf.DUMMYFUNCTION("""COMPUTED_VALUE"""),440013)</f>
        <v>440013</v>
      </c>
      <c r="D1429" s="1" t="str">
        <f ca="1">IFERROR(__xludf.DUMMYFUNCTION("""COMPUTED_VALUE"""),"Male")</f>
        <v>Male</v>
      </c>
      <c r="E1429" s="1" t="str">
        <f ca="1">IFERROR(__xludf.DUMMYFUNCTION("""COMPUTED_VALUE"""),"My Parents")</f>
        <v>My Parents</v>
      </c>
      <c r="F1429" s="1" t="str">
        <f ca="1">IFERROR(__xludf.DUMMYFUNCTION("""COMPUTED_VALUE"""),"No I would not be pursuing Higher Education outside of India")</f>
        <v>No I would not be pursuing Higher Education outside of India</v>
      </c>
      <c r="G1429" s="1" t="str">
        <f ca="1">IFERROR(__xludf.DUMMYFUNCTION("""COMPUTED_VALUE"""),"Will work for 3 years or more")</f>
        <v>Will work for 3 years or more</v>
      </c>
      <c r="H1429" s="1" t="str">
        <f ca="1">IFERROR(__xludf.DUMMYFUNCTION("""COMPUTED_VALUE"""),"No")</f>
        <v>No</v>
      </c>
      <c r="I1429" s="1" t="str">
        <f ca="1">IFERROR(__xludf.DUMMYFUNCTION("""COMPUTED_VALUE"""),"Will NOT work for them")</f>
        <v>Will NOT work for them</v>
      </c>
      <c r="J1429" s="1">
        <f ca="1">IFERROR(__xludf.DUMMYFUNCTION("""COMPUTED_VALUE"""),10)</f>
        <v>10</v>
      </c>
      <c r="K1429" s="1" t="str">
        <f ca="1">IFERROR(__xludf.DUMMYFUNCTION("""COMPUTED_VALUE"""),"Every Day Office Environment")</f>
        <v>Every Day Office Environment</v>
      </c>
      <c r="L14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2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29" s="1" t="str">
        <f ca="1">IFERROR(__xludf.DUMMYFUNCTION("""COMPUTED_VALUE"""),"Teaching in any of the institutes/colleges/online or offline, Build and develop a Team, Look deeply into Data and generate insights, Work as a freelancer and do my thing my way")</f>
        <v>Teaching in any of the institutes/colleges/online or offline, Build and develop a Team, Look deeply into Data and generate insights, Work as a freelancer and do my thing my way</v>
      </c>
      <c r="O1429" s="1" t="str">
        <f ca="1">IFERROR(__xludf.DUMMYFUNCTION("""COMPUTED_VALUE"""),"Manager who explains what is expected, sets a goal and helps achieve it")</f>
        <v>Manager who explains what is expected, sets a goal and helps achieve it</v>
      </c>
      <c r="P1429" s="1" t="str">
        <f ca="1">IFERROR(__xludf.DUMMYFUNCTION("""COMPUTED_VALUE"""),"Work alone, Work with 2 to 3 people in my team")</f>
        <v>Work alone, Work with 2 to 3 people in my team</v>
      </c>
      <c r="Q1429" s="1" t="str">
        <f ca="1">IFERROR(__xludf.DUMMYFUNCTION("""COMPUTED_VALUE"""),"No")</f>
        <v>No</v>
      </c>
      <c r="R1429" s="1" t="str">
        <f ca="1">IFERROR(__xludf.DUMMYFUNCTION("""COMPUTED_VALUE"""),"Will work for 7 years or more")</f>
        <v>Will work for 7 years or more</v>
      </c>
      <c r="S1429" s="1"/>
    </row>
    <row r="1430" spans="1:19" ht="12.5" x14ac:dyDescent="0.25">
      <c r="A1430" s="2">
        <f ca="1">IFERROR(__xludf.DUMMYFUNCTION("""COMPUTED_VALUE"""),45044.9380643402)</f>
        <v>45044.938064340196</v>
      </c>
      <c r="B1430" s="1" t="str">
        <f ca="1">IFERROR(__xludf.DUMMYFUNCTION("""COMPUTED_VALUE"""),"India")</f>
        <v>India</v>
      </c>
      <c r="C1430" s="1">
        <f ca="1">IFERROR(__xludf.DUMMYFUNCTION("""COMPUTED_VALUE"""),246174)</f>
        <v>246174</v>
      </c>
      <c r="D1430" s="1" t="str">
        <f ca="1">IFERROR(__xludf.DUMMYFUNCTION("""COMPUTED_VALUE"""),"Male")</f>
        <v>Male</v>
      </c>
      <c r="E1430" s="1" t="str">
        <f ca="1">IFERROR(__xludf.DUMMYFUNCTION("""COMPUTED_VALUE"""),"Social Media like LinkedIn")</f>
        <v>Social Media like LinkedIn</v>
      </c>
      <c r="F1430" s="1" t="str">
        <f ca="1">IFERROR(__xludf.DUMMYFUNCTION("""COMPUTED_VALUE"""),"Yes, I will earn and do that")</f>
        <v>Yes, I will earn and do that</v>
      </c>
      <c r="G1430" s="1" t="str">
        <f ca="1">IFERROR(__xludf.DUMMYFUNCTION("""COMPUTED_VALUE"""),"Will work for 3 years or more")</f>
        <v>Will work for 3 years or more</v>
      </c>
      <c r="H1430" s="1" t="str">
        <f ca="1">IFERROR(__xludf.DUMMYFUNCTION("""COMPUTED_VALUE"""),"No")</f>
        <v>No</v>
      </c>
      <c r="I1430" s="1" t="str">
        <f ca="1">IFERROR(__xludf.DUMMYFUNCTION("""COMPUTED_VALUE"""),"Will NOT work for them")</f>
        <v>Will NOT work for them</v>
      </c>
      <c r="J1430" s="1">
        <f ca="1">IFERROR(__xludf.DUMMYFUNCTION("""COMPUTED_VALUE"""),5)</f>
        <v>5</v>
      </c>
      <c r="K1430" s="1" t="str">
        <f ca="1">IFERROR(__xludf.DUMMYFUNCTION("""COMPUTED_VALUE"""),"Fully Remote with Options to travel as and when needed")</f>
        <v>Fully Remote with Options to travel as and when needed</v>
      </c>
      <c r="L1430" s="1" t="str">
        <f ca="1">IFERROR(__xludf.DUMMYFUNCTION("""COMPUTED_VALUE"""),"Employer who appreciates learning and enables that environment")</f>
        <v>Employer who appreciates learning and enables that environment</v>
      </c>
      <c r="M143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430" s="1" t="str">
        <f ca="1">IFERROR(__xludf.DUMMYFUNCTION("""COMPUTED_VALUE"""),"Design and Creative strategy in any company, Design and Develop amazing software, Become a content Creator in some platform, Entrepreneur or Start Up")</f>
        <v>Design and Creative strategy in any company, Design and Develop amazing software, Become a content Creator in some platform, Entrepreneur or Start Up</v>
      </c>
      <c r="O1430" s="1" t="str">
        <f ca="1">IFERROR(__xludf.DUMMYFUNCTION("""COMPUTED_VALUE"""),"Manager who sets goal and helps me achieve it")</f>
        <v>Manager who sets goal and helps me achieve it</v>
      </c>
      <c r="P1430" s="1" t="str">
        <f ca="1">IFERROR(__xludf.DUMMYFUNCTION("""COMPUTED_VALUE"""),"Work with 5 to 6 people in my team")</f>
        <v>Work with 5 to 6 people in my team</v>
      </c>
      <c r="Q1430" s="1" t="str">
        <f ca="1">IFERROR(__xludf.DUMMYFUNCTION("""COMPUTED_VALUE"""),"Yes, I Understand this is gonna happen everywhere")</f>
        <v>Yes, I Understand this is gonna happen everywhere</v>
      </c>
      <c r="R1430" s="1" t="str">
        <f ca="1">IFERROR(__xludf.DUMMYFUNCTION("""COMPUTED_VALUE"""),"This will be hard to do, but if it is the right company I would try")</f>
        <v>This will be hard to do, but if it is the right company I would try</v>
      </c>
      <c r="S1430" s="1"/>
    </row>
    <row r="1431" spans="1:19" ht="12.5" x14ac:dyDescent="0.25">
      <c r="A1431" s="2">
        <f ca="1">IFERROR(__xludf.DUMMYFUNCTION("""COMPUTED_VALUE"""),45044.9406211458)</f>
        <v>45044.940621145797</v>
      </c>
      <c r="B1431" s="1" t="str">
        <f ca="1">IFERROR(__xludf.DUMMYFUNCTION("""COMPUTED_VALUE"""),"India")</f>
        <v>India</v>
      </c>
      <c r="C1431" s="1">
        <f ca="1">IFERROR(__xludf.DUMMYFUNCTION("""COMPUTED_VALUE"""),452010)</f>
        <v>452010</v>
      </c>
      <c r="D1431" s="1" t="str">
        <f ca="1">IFERROR(__xludf.DUMMYFUNCTION("""COMPUTED_VALUE"""),"Male")</f>
        <v>Male</v>
      </c>
      <c r="E1431" s="1" t="str">
        <f ca="1">IFERROR(__xludf.DUMMYFUNCTION("""COMPUTED_VALUE"""),"Influencers who had successful careers")</f>
        <v>Influencers who had successful careers</v>
      </c>
      <c r="F1431" s="1" t="str">
        <f ca="1">IFERROR(__xludf.DUMMYFUNCTION("""COMPUTED_VALUE"""),"Yes, I will earn and do that")</f>
        <v>Yes, I will earn and do that</v>
      </c>
      <c r="G1431" s="1" t="str">
        <f ca="1">IFERROR(__xludf.DUMMYFUNCTION("""COMPUTED_VALUE"""),"Will work for 3 years or more")</f>
        <v>Will work for 3 years or more</v>
      </c>
      <c r="H1431" s="1" t="str">
        <f ca="1">IFERROR(__xludf.DUMMYFUNCTION("""COMPUTED_VALUE"""),"No")</f>
        <v>No</v>
      </c>
      <c r="I1431" s="1" t="str">
        <f ca="1">IFERROR(__xludf.DUMMYFUNCTION("""COMPUTED_VALUE"""),"Will work for them")</f>
        <v>Will work for them</v>
      </c>
      <c r="J1431" s="1">
        <f ca="1">IFERROR(__xludf.DUMMYFUNCTION("""COMPUTED_VALUE"""),5)</f>
        <v>5</v>
      </c>
      <c r="K1431" s="1" t="str">
        <f ca="1">IFERROR(__xludf.DUMMYFUNCTION("""COMPUTED_VALUE"""),"Every Day Office Environment")</f>
        <v>Every Day Office Environment</v>
      </c>
      <c r="L14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3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31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431" s="1" t="str">
        <f ca="1">IFERROR(__xludf.DUMMYFUNCTION("""COMPUTED_VALUE"""),"Manager who sets goal and helps me achieve it")</f>
        <v>Manager who sets goal and helps me achieve it</v>
      </c>
      <c r="P1431" s="1" t="str">
        <f ca="1">IFERROR(__xludf.DUMMYFUNCTION("""COMPUTED_VALUE"""),"Work alone, Work with 5 to 6 people in my team, Work with 7 to 10 or more people in my team")</f>
        <v>Work alone, Work with 5 to 6 people in my team, Work with 7 to 10 or more people in my team</v>
      </c>
      <c r="Q1431" s="1" t="str">
        <f ca="1">IFERROR(__xludf.DUMMYFUNCTION("""COMPUTED_VALUE"""),"Yes")</f>
        <v>Yes</v>
      </c>
      <c r="R1431" s="1" t="str">
        <f ca="1">IFERROR(__xludf.DUMMYFUNCTION("""COMPUTED_VALUE"""),"This will be hard to do, but if it is the right company I would try")</f>
        <v>This will be hard to do, but if it is the right company I would try</v>
      </c>
      <c r="S1431" s="1"/>
    </row>
    <row r="1432" spans="1:19" ht="12.5" x14ac:dyDescent="0.25">
      <c r="A1432" s="2">
        <f ca="1">IFERROR(__xludf.DUMMYFUNCTION("""COMPUTED_VALUE"""),45044.9409028819)</f>
        <v>45044.940902881899</v>
      </c>
      <c r="B1432" s="1" t="str">
        <f ca="1">IFERROR(__xludf.DUMMYFUNCTION("""COMPUTED_VALUE"""),"India")</f>
        <v>India</v>
      </c>
      <c r="C1432" s="1">
        <f ca="1">IFERROR(__xludf.DUMMYFUNCTION("""COMPUTED_VALUE"""),411007)</f>
        <v>411007</v>
      </c>
      <c r="D1432" s="1" t="str">
        <f ca="1">IFERROR(__xludf.DUMMYFUNCTION("""COMPUTED_VALUE"""),"Male")</f>
        <v>Male</v>
      </c>
      <c r="E1432" s="1" t="str">
        <f ca="1">IFERROR(__xludf.DUMMYFUNCTION("""COMPUTED_VALUE"""),"My Parents")</f>
        <v>My Parents</v>
      </c>
      <c r="F1432" s="1" t="str">
        <f ca="1">IFERROR(__xludf.DUMMYFUNCTION("""COMPUTED_VALUE"""),"Yes, I will earn and do that")</f>
        <v>Yes, I will earn and do that</v>
      </c>
      <c r="G1432" s="1" t="str">
        <f ca="1">IFERROR(__xludf.DUMMYFUNCTION("""COMPUTED_VALUE"""),"Will work for 3 years or more")</f>
        <v>Will work for 3 years or more</v>
      </c>
      <c r="H1432" s="1" t="str">
        <f ca="1">IFERROR(__xludf.DUMMYFUNCTION("""COMPUTED_VALUE"""),"No")</f>
        <v>No</v>
      </c>
      <c r="I1432" s="1" t="str">
        <f ca="1">IFERROR(__xludf.DUMMYFUNCTION("""COMPUTED_VALUE"""),"Will NOT work for them")</f>
        <v>Will NOT work for them</v>
      </c>
      <c r="J1432" s="1">
        <f ca="1">IFERROR(__xludf.DUMMYFUNCTION("""COMPUTED_VALUE"""),5)</f>
        <v>5</v>
      </c>
      <c r="K1432" s="1" t="str">
        <f ca="1">IFERROR(__xludf.DUMMYFUNCTION("""COMPUTED_VALUE"""),"Hybrid Working Environment with more than 15 days a month at office")</f>
        <v>Hybrid Working Environment with more than 15 days a month at office</v>
      </c>
      <c r="L14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3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432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1432" s="1" t="str">
        <f ca="1">IFERROR(__xludf.DUMMYFUNCTION("""COMPUTED_VALUE"""),"Manager who sets goal and helps me achieve it")</f>
        <v>Manager who sets goal and helps me achieve it</v>
      </c>
      <c r="P1432" s="1" t="str">
        <f ca="1">IFERROR(__xludf.DUMMYFUNCTION("""COMPUTED_VALUE"""),"Work with more than 10 people in my team")</f>
        <v>Work with more than 10 people in my team</v>
      </c>
      <c r="Q1432" s="1" t="str">
        <f ca="1">IFERROR(__xludf.DUMMYFUNCTION("""COMPUTED_VALUE"""),"Yes, I Understand this is gonna happen everywhere")</f>
        <v>Yes, I Understand this is gonna happen everywhere</v>
      </c>
      <c r="R1432" s="1" t="str">
        <f ca="1">IFERROR(__xludf.DUMMYFUNCTION("""COMPUTED_VALUE"""),"No way")</f>
        <v>No way</v>
      </c>
      <c r="S1432" s="1"/>
    </row>
    <row r="1433" spans="1:19" ht="12.5" x14ac:dyDescent="0.25">
      <c r="A1433" s="2">
        <f ca="1">IFERROR(__xludf.DUMMYFUNCTION("""COMPUTED_VALUE"""),45044.9423257407)</f>
        <v>45044.942325740703</v>
      </c>
      <c r="B1433" s="1" t="str">
        <f ca="1">IFERROR(__xludf.DUMMYFUNCTION("""COMPUTED_VALUE"""),"India")</f>
        <v>India</v>
      </c>
      <c r="C1433" s="1">
        <f ca="1">IFERROR(__xludf.DUMMYFUNCTION("""COMPUTED_VALUE"""),606603)</f>
        <v>606603</v>
      </c>
      <c r="D1433" s="1" t="str">
        <f ca="1">IFERROR(__xludf.DUMMYFUNCTION("""COMPUTED_VALUE"""),"Female")</f>
        <v>Female</v>
      </c>
      <c r="E1433" s="1" t="str">
        <f ca="1">IFERROR(__xludf.DUMMYFUNCTION("""COMPUTED_VALUE"""),"People who have changed the world for better")</f>
        <v>People who have changed the world for better</v>
      </c>
      <c r="F1433" s="1" t="str">
        <f ca="1">IFERROR(__xludf.DUMMYFUNCTION("""COMPUTED_VALUE"""),"No I would not be pursuing Higher Education outside of India")</f>
        <v>No I would not be pursuing Higher Education outside of India</v>
      </c>
      <c r="G1433" s="1" t="str">
        <f ca="1">IFERROR(__xludf.DUMMYFUNCTION("""COMPUTED_VALUE"""),"This will be hard to do, but if it is the right company I would try")</f>
        <v>This will be hard to do, but if it is the right company I would try</v>
      </c>
      <c r="H1433" s="1" t="str">
        <f ca="1">IFERROR(__xludf.DUMMYFUNCTION("""COMPUTED_VALUE"""),"No")</f>
        <v>No</v>
      </c>
      <c r="I1433" s="1" t="str">
        <f ca="1">IFERROR(__xludf.DUMMYFUNCTION("""COMPUTED_VALUE"""),"Will NOT work for them")</f>
        <v>Will NOT work for them</v>
      </c>
      <c r="J1433" s="1">
        <f ca="1">IFERROR(__xludf.DUMMYFUNCTION("""COMPUTED_VALUE"""),6)</f>
        <v>6</v>
      </c>
      <c r="K1433" s="1" t="str">
        <f ca="1">IFERROR(__xludf.DUMMYFUNCTION("""COMPUTED_VALUE"""),"Every Day Office Environment")</f>
        <v>Every Day Office Environment</v>
      </c>
      <c r="L14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33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433" s="1" t="str">
        <f ca="1">IFERROR(__xludf.DUMMYFUNCTION("""COMPUTED_VALUE"""),"Teaching in any of the institutes/colleges/online or offline, Build and develop a Team, Entrepreneur or Start Up, I Want to sell things/Sales")</f>
        <v>Teaching in any of the institutes/colleges/online or offline, Build and develop a Team, Entrepreneur or Start Up, I Want to sell things/Sales</v>
      </c>
      <c r="O1433" s="1" t="str">
        <f ca="1">IFERROR(__xludf.DUMMYFUNCTION("""COMPUTED_VALUE"""),"Manager who explains what is expected, sets a goal and helps achieve it")</f>
        <v>Manager who explains what is expected, sets a goal and helps achieve it</v>
      </c>
      <c r="P1433" s="1" t="str">
        <f ca="1">IFERROR(__xludf.DUMMYFUNCTION("""COMPUTED_VALUE"""),"Work with more than 10 people in my team")</f>
        <v>Work with more than 10 people in my team</v>
      </c>
      <c r="Q1433" s="1" t="str">
        <f ca="1">IFERROR(__xludf.DUMMYFUNCTION("""COMPUTED_VALUE"""),"I have NO other choice")</f>
        <v>I have NO other choice</v>
      </c>
      <c r="R1433" s="1" t="str">
        <f ca="1">IFERROR(__xludf.DUMMYFUNCTION("""COMPUTED_VALUE"""),"This will be hard to do, but if it is the right company I would try")</f>
        <v>This will be hard to do, but if it is the right company I would try</v>
      </c>
      <c r="S1433" s="1"/>
    </row>
    <row r="1434" spans="1:19" ht="12.5" x14ac:dyDescent="0.25">
      <c r="A1434" s="2">
        <f ca="1">IFERROR(__xludf.DUMMYFUNCTION("""COMPUTED_VALUE"""),45044.9437500925)</f>
        <v>45044.943750092498</v>
      </c>
      <c r="B1434" s="1" t="str">
        <f ca="1">IFERROR(__xludf.DUMMYFUNCTION("""COMPUTED_VALUE"""),"India")</f>
        <v>India</v>
      </c>
      <c r="C1434" s="1">
        <f ca="1">IFERROR(__xludf.DUMMYFUNCTION("""COMPUTED_VALUE"""),500072)</f>
        <v>500072</v>
      </c>
      <c r="D1434" s="1" t="str">
        <f ca="1">IFERROR(__xludf.DUMMYFUNCTION("""COMPUTED_VALUE"""),"Female")</f>
        <v>Female</v>
      </c>
      <c r="E1434" s="1" t="str">
        <f ca="1">IFERROR(__xludf.DUMMYFUNCTION("""COMPUTED_VALUE"""),"Influencers who had successful careers")</f>
        <v>Influencers who had successful careers</v>
      </c>
      <c r="F1434" s="1" t="str">
        <f ca="1">IFERROR(__xludf.DUMMYFUNCTION("""COMPUTED_VALUE"""),"No I would not be pursuing Higher Education outside of India")</f>
        <v>No I would not be pursuing Higher Education outside of India</v>
      </c>
      <c r="G1434" s="1" t="str">
        <f ca="1">IFERROR(__xludf.DUMMYFUNCTION("""COMPUTED_VALUE"""),"Will work for 3 years or more")</f>
        <v>Will work for 3 years or more</v>
      </c>
      <c r="H1434" s="1" t="str">
        <f ca="1">IFERROR(__xludf.DUMMYFUNCTION("""COMPUTED_VALUE"""),"No")</f>
        <v>No</v>
      </c>
      <c r="I1434" s="1" t="str">
        <f ca="1">IFERROR(__xludf.DUMMYFUNCTION("""COMPUTED_VALUE"""),"Will NOT work for them")</f>
        <v>Will NOT work for them</v>
      </c>
      <c r="J1434" s="1">
        <f ca="1">IFERROR(__xludf.DUMMYFUNCTION("""COMPUTED_VALUE"""),1)</f>
        <v>1</v>
      </c>
      <c r="K1434" s="1" t="str">
        <f ca="1">IFERROR(__xludf.DUMMYFUNCTION("""COMPUTED_VALUE"""),"Fully Remote with Options to travel as and when needed")</f>
        <v>Fully Remote with Options to travel as and when needed</v>
      </c>
      <c r="L1434" s="1" t="str">
        <f ca="1">IFERROR(__xludf.DUMMYFUNCTION("""COMPUTED_VALUE"""),"Employer who appreciates learning and enables that environment")</f>
        <v>Employer who appreciates learning and enables that environment</v>
      </c>
      <c r="M143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34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43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34" s="1" t="str">
        <f ca="1">IFERROR(__xludf.DUMMYFUNCTION("""COMPUTED_VALUE"""),"Work with more than 10 people in my team")</f>
        <v>Work with more than 10 people in my team</v>
      </c>
      <c r="Q1434" s="1" t="str">
        <f ca="1">IFERROR(__xludf.DUMMYFUNCTION("""COMPUTED_VALUE"""),"Yes, I Understand this is gonna happen everywhere")</f>
        <v>Yes, I Understand this is gonna happen everywhere</v>
      </c>
      <c r="R1434" s="1" t="str">
        <f ca="1">IFERROR(__xludf.DUMMYFUNCTION("""COMPUTED_VALUE"""),"Will work for 7 years or more")</f>
        <v>Will work for 7 years or more</v>
      </c>
      <c r="S1434" s="1"/>
    </row>
    <row r="1435" spans="1:19" ht="12.5" x14ac:dyDescent="0.25">
      <c r="A1435" s="2">
        <f ca="1">IFERROR(__xludf.DUMMYFUNCTION("""COMPUTED_VALUE"""),45044.9449275115)</f>
        <v>45044.944927511497</v>
      </c>
      <c r="B1435" s="1" t="str">
        <f ca="1">IFERROR(__xludf.DUMMYFUNCTION("""COMPUTED_VALUE"""),"India")</f>
        <v>India</v>
      </c>
      <c r="C1435" s="1">
        <f ca="1">IFERROR(__xludf.DUMMYFUNCTION("""COMPUTED_VALUE"""),411044)</f>
        <v>411044</v>
      </c>
      <c r="D1435" s="1" t="str">
        <f ca="1">IFERROR(__xludf.DUMMYFUNCTION("""COMPUTED_VALUE"""),"Female")</f>
        <v>Female</v>
      </c>
      <c r="E1435" s="1" t="str">
        <f ca="1">IFERROR(__xludf.DUMMYFUNCTION("""COMPUTED_VALUE"""),"My Parents")</f>
        <v>My Parents</v>
      </c>
      <c r="F1435" s="1" t="str">
        <f ca="1">IFERROR(__xludf.DUMMYFUNCTION("""COMPUTED_VALUE"""),"No, But if someone could bare the cost I will")</f>
        <v>No, But if someone could bare the cost I will</v>
      </c>
      <c r="G1435" s="1" t="str">
        <f ca="1">IFERROR(__xludf.DUMMYFUNCTION("""COMPUTED_VALUE"""),"Will work for 3 years or more")</f>
        <v>Will work for 3 years or more</v>
      </c>
      <c r="H1435" s="1" t="str">
        <f ca="1">IFERROR(__xludf.DUMMYFUNCTION("""COMPUTED_VALUE"""),"No")</f>
        <v>No</v>
      </c>
      <c r="I1435" s="1" t="str">
        <f ca="1">IFERROR(__xludf.DUMMYFUNCTION("""COMPUTED_VALUE"""),"Will NOT work for them")</f>
        <v>Will NOT work for them</v>
      </c>
      <c r="J1435" s="1">
        <f ca="1">IFERROR(__xludf.DUMMYFUNCTION("""COMPUTED_VALUE"""),2)</f>
        <v>2</v>
      </c>
      <c r="K1435" s="1" t="str">
        <f ca="1">IFERROR(__xludf.DUMMYFUNCTION("""COMPUTED_VALUE"""),"Fully Remote with Options to travel as and when needed")</f>
        <v>Fully Remote with Options to travel as and when needed</v>
      </c>
      <c r="L1435" s="1" t="str">
        <f ca="1">IFERROR(__xludf.DUMMYFUNCTION("""COMPUTED_VALUE"""),"Employer who appreciates learning and enables that environment")</f>
        <v>Employer who appreciates learning and enables that environment</v>
      </c>
      <c r="M143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35" s="1" t="str">
        <f ca="1">IFERROR(__xludf.DUMMYFUNCTION("""COMPUTED_VALUE"""),"Teaching in any of the institutes/colleges/online or offline, Business Operations in any organization, Work as a freelancer and do my thing my way, Entrepreneur or Start Up")</f>
        <v>Teaching in any of the institutes/colleges/online or offline, Business Operations in any organization, Work as a freelancer and do my thing my way, Entrepreneur or Start Up</v>
      </c>
      <c r="O143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35" s="1" t="str">
        <f ca="1">IFERROR(__xludf.DUMMYFUNCTION("""COMPUTED_VALUE"""),"Work with 2 to 3 people in my team")</f>
        <v>Work with 2 to 3 people in my team</v>
      </c>
      <c r="Q1435" s="1" t="str">
        <f ca="1">IFERROR(__xludf.DUMMYFUNCTION("""COMPUTED_VALUE"""),"Yes, I Understand this is gonna happen everywhere")</f>
        <v>Yes, I Understand this is gonna happen everywhere</v>
      </c>
      <c r="R1435" s="1" t="str">
        <f ca="1">IFERROR(__xludf.DUMMYFUNCTION("""COMPUTED_VALUE"""),"This will be hard to do, but if it is the right company I would try")</f>
        <v>This will be hard to do, but if it is the right company I would try</v>
      </c>
      <c r="S1435" s="1"/>
    </row>
    <row r="1436" spans="1:19" ht="12.5" x14ac:dyDescent="0.25">
      <c r="A1436" s="2">
        <f ca="1">IFERROR(__xludf.DUMMYFUNCTION("""COMPUTED_VALUE"""),45044.9464931134)</f>
        <v>45044.946493113399</v>
      </c>
      <c r="B1436" s="1" t="str">
        <f ca="1">IFERROR(__xludf.DUMMYFUNCTION("""COMPUTED_VALUE"""),"India")</f>
        <v>India</v>
      </c>
      <c r="C1436" s="1">
        <f ca="1">IFERROR(__xludf.DUMMYFUNCTION("""COMPUTED_VALUE"""),560075)</f>
        <v>560075</v>
      </c>
      <c r="D1436" s="1" t="str">
        <f ca="1">IFERROR(__xludf.DUMMYFUNCTION("""COMPUTED_VALUE"""),"Male")</f>
        <v>Male</v>
      </c>
      <c r="E1436" s="1" t="str">
        <f ca="1">IFERROR(__xludf.DUMMYFUNCTION("""COMPUTED_VALUE"""),"People who have changed the world for better")</f>
        <v>People who have changed the world for better</v>
      </c>
      <c r="F1436" s="1" t="str">
        <f ca="1">IFERROR(__xludf.DUMMYFUNCTION("""COMPUTED_VALUE"""),"No I would not be pursuing Higher Education outside of India")</f>
        <v>No I would not be pursuing Higher Education outside of India</v>
      </c>
      <c r="G1436" s="1" t="str">
        <f ca="1">IFERROR(__xludf.DUMMYFUNCTION("""COMPUTED_VALUE"""),"Will work for 3 years or more")</f>
        <v>Will work for 3 years or more</v>
      </c>
      <c r="H1436" s="1" t="str">
        <f ca="1">IFERROR(__xludf.DUMMYFUNCTION("""COMPUTED_VALUE"""),"No")</f>
        <v>No</v>
      </c>
      <c r="I1436" s="1" t="str">
        <f ca="1">IFERROR(__xludf.DUMMYFUNCTION("""COMPUTED_VALUE"""),"Will NOT work for them")</f>
        <v>Will NOT work for them</v>
      </c>
      <c r="J1436" s="1">
        <f ca="1">IFERROR(__xludf.DUMMYFUNCTION("""COMPUTED_VALUE"""),7)</f>
        <v>7</v>
      </c>
      <c r="K1436" s="1" t="str">
        <f ca="1">IFERROR(__xludf.DUMMYFUNCTION("""COMPUTED_VALUE"""),"Hybrid Working Environment with more than 15 days a month at office")</f>
        <v>Hybrid Working Environment with more than 15 days a month at office</v>
      </c>
      <c r="L1436" s="1" t="str">
        <f ca="1">IFERROR(__xludf.DUMMYFUNCTION("""COMPUTED_VALUE"""),"Employer who appreciates learning and enables that environment")</f>
        <v>Employer who appreciates learning and enables that environment</v>
      </c>
      <c r="M143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36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436" s="1" t="str">
        <f ca="1">IFERROR(__xludf.DUMMYFUNCTION("""COMPUTED_VALUE"""),"Manager who sets goal and helps me achieve it")</f>
        <v>Manager who sets goal and helps me achieve it</v>
      </c>
      <c r="P1436" s="1" t="str">
        <f ca="1">IFERROR(__xludf.DUMMYFUNCTION("""COMPUTED_VALUE"""),"Work with 5 to 6 people in my team")</f>
        <v>Work with 5 to 6 people in my team</v>
      </c>
      <c r="Q1436" s="1" t="str">
        <f ca="1">IFERROR(__xludf.DUMMYFUNCTION("""COMPUTED_VALUE"""),"Yes, I Understand this is gonna happen everywhere")</f>
        <v>Yes, I Understand this is gonna happen everywhere</v>
      </c>
      <c r="R1436" s="1" t="str">
        <f ca="1">IFERROR(__xludf.DUMMYFUNCTION("""COMPUTED_VALUE"""),"No way")</f>
        <v>No way</v>
      </c>
      <c r="S1436" s="1"/>
    </row>
    <row r="1437" spans="1:19" ht="12.5" x14ac:dyDescent="0.25">
      <c r="A1437" s="2">
        <f ca="1">IFERROR(__xludf.DUMMYFUNCTION("""COMPUTED_VALUE"""),45044.94734978)</f>
        <v>45044.947349779999</v>
      </c>
      <c r="B1437" s="1" t="str">
        <f ca="1">IFERROR(__xludf.DUMMYFUNCTION("""COMPUTED_VALUE"""),"India")</f>
        <v>India</v>
      </c>
      <c r="C1437" s="1">
        <f ca="1">IFERROR(__xludf.DUMMYFUNCTION("""COMPUTED_VALUE"""),411014)</f>
        <v>411014</v>
      </c>
      <c r="D1437" s="1" t="str">
        <f ca="1">IFERROR(__xludf.DUMMYFUNCTION("""COMPUTED_VALUE"""),"Female")</f>
        <v>Female</v>
      </c>
      <c r="E1437" s="1" t="str">
        <f ca="1">IFERROR(__xludf.DUMMYFUNCTION("""COMPUTED_VALUE"""),"My Parents")</f>
        <v>My Parents</v>
      </c>
      <c r="F1437" s="1" t="str">
        <f ca="1">IFERROR(__xludf.DUMMYFUNCTION("""COMPUTED_VALUE"""),"No I would not be pursuing Higher Education outside of India")</f>
        <v>No I would not be pursuing Higher Education outside of India</v>
      </c>
      <c r="G1437" s="1" t="str">
        <f ca="1">IFERROR(__xludf.DUMMYFUNCTION("""COMPUTED_VALUE"""),"This will be hard to do, but if it is the right company I would try")</f>
        <v>This will be hard to do, but if it is the right company I would try</v>
      </c>
      <c r="H1437" s="1" t="str">
        <f ca="1">IFERROR(__xludf.DUMMYFUNCTION("""COMPUTED_VALUE"""),"No")</f>
        <v>No</v>
      </c>
      <c r="I1437" s="1" t="str">
        <f ca="1">IFERROR(__xludf.DUMMYFUNCTION("""COMPUTED_VALUE"""),"Will NOT work for them")</f>
        <v>Will NOT work for them</v>
      </c>
      <c r="J1437" s="1">
        <f ca="1">IFERROR(__xludf.DUMMYFUNCTION("""COMPUTED_VALUE"""),8)</f>
        <v>8</v>
      </c>
      <c r="K1437" s="1" t="str">
        <f ca="1">IFERROR(__xludf.DUMMYFUNCTION("""COMPUTED_VALUE"""),"Every Day Office Environment")</f>
        <v>Every Day Office Environment</v>
      </c>
      <c r="L1437" s="1" t="str">
        <f ca="1">IFERROR(__xludf.DUMMYFUNCTION("""COMPUTED_VALUE"""),"Employer who appreciates learning and enables that environment")</f>
        <v>Employer who appreciates learning and enables that environment</v>
      </c>
      <c r="M143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37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1437" s="1" t="str">
        <f ca="1">IFERROR(__xludf.DUMMYFUNCTION("""COMPUTED_VALUE"""),"Manager who clearly describes what she/he needs")</f>
        <v>Manager who clearly describes what she/he needs</v>
      </c>
      <c r="P1437" s="1" t="str">
        <f ca="1">IFERROR(__xludf.DUMMYFUNCTION("""COMPUTED_VALUE"""),"Work alone, Work with 5 to 6 people in my team")</f>
        <v>Work alone, Work with 5 to 6 people in my team</v>
      </c>
      <c r="Q1437" s="1" t="str">
        <f ca="1">IFERROR(__xludf.DUMMYFUNCTION("""COMPUTED_VALUE"""),"Yes, I Understand this is gonna happen everywhere")</f>
        <v>Yes, I Understand this is gonna happen everywhere</v>
      </c>
      <c r="R1437" s="1" t="str">
        <f ca="1">IFERROR(__xludf.DUMMYFUNCTION("""COMPUTED_VALUE"""),"This will be hard to do, but if it is the right company I would try")</f>
        <v>This will be hard to do, but if it is the right company I would try</v>
      </c>
      <c r="S1437" s="1"/>
    </row>
    <row r="1438" spans="1:19" ht="12.5" x14ac:dyDescent="0.25">
      <c r="A1438" s="2">
        <f ca="1">IFERROR(__xludf.DUMMYFUNCTION("""COMPUTED_VALUE"""),45044.9521768981)</f>
        <v>45044.952176898099</v>
      </c>
      <c r="B1438" s="1" t="str">
        <f ca="1">IFERROR(__xludf.DUMMYFUNCTION("""COMPUTED_VALUE"""),"India")</f>
        <v>India</v>
      </c>
      <c r="C1438" s="1">
        <f ca="1">IFERROR(__xludf.DUMMYFUNCTION("""COMPUTED_VALUE"""),92)</f>
        <v>92</v>
      </c>
      <c r="D1438" s="1" t="str">
        <f ca="1">IFERROR(__xludf.DUMMYFUNCTION("""COMPUTED_VALUE"""),"Female")</f>
        <v>Female</v>
      </c>
      <c r="E1438" s="1" t="str">
        <f ca="1">IFERROR(__xludf.DUMMYFUNCTION("""COMPUTED_VALUE"""),"Influencers who had successful careers")</f>
        <v>Influencers who had successful careers</v>
      </c>
      <c r="F1438" s="1" t="str">
        <f ca="1">IFERROR(__xludf.DUMMYFUNCTION("""COMPUTED_VALUE"""),"Yes, I will earn and do that")</f>
        <v>Yes, I will earn and do that</v>
      </c>
      <c r="G1438" s="1" t="str">
        <f ca="1">IFERROR(__xludf.DUMMYFUNCTION("""COMPUTED_VALUE"""),"This will be hard to do, but if it is the right company I would try")</f>
        <v>This will be hard to do, but if it is the right company I would try</v>
      </c>
      <c r="H1438" s="1" t="str">
        <f ca="1">IFERROR(__xludf.DUMMYFUNCTION("""COMPUTED_VALUE"""),"No")</f>
        <v>No</v>
      </c>
      <c r="I1438" s="1" t="str">
        <f ca="1">IFERROR(__xludf.DUMMYFUNCTION("""COMPUTED_VALUE"""),"Will NOT work for them")</f>
        <v>Will NOT work for them</v>
      </c>
      <c r="J1438" s="1">
        <f ca="1">IFERROR(__xludf.DUMMYFUNCTION("""COMPUTED_VALUE"""),8)</f>
        <v>8</v>
      </c>
      <c r="K1438" s="1" t="str">
        <f ca="1">IFERROR(__xludf.DUMMYFUNCTION("""COMPUTED_VALUE"""),"Hybrid Working Environment with more than 15 days a month at office")</f>
        <v>Hybrid Working Environment with more than 15 days a month at office</v>
      </c>
      <c r="L14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3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38" s="1" t="str">
        <f ca="1">IFERROR(__xludf.DUMMYFUNCTION("""COMPUTED_VALUE"""),"Design and Creative strategy in any company, Look deeply into Data and generate insights, Work as a freelancer and do my thing my way, Become a content Creator in some platform")</f>
        <v>Design and Creative strategy in any company, Look deeply into Data and generate insights, Work as a freelancer and do my thing my way, Become a content Creator in some platform</v>
      </c>
      <c r="O143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38" s="1" t="str">
        <f ca="1">IFERROR(__xludf.DUMMYFUNCTION("""COMPUTED_VALUE"""),"Work with 5 to 6 people in my team")</f>
        <v>Work with 5 to 6 people in my team</v>
      </c>
      <c r="Q1438" s="1" t="str">
        <f ca="1">IFERROR(__xludf.DUMMYFUNCTION("""COMPUTED_VALUE"""),"I have NO other choice")</f>
        <v>I have NO other choice</v>
      </c>
      <c r="R1438" s="1" t="str">
        <f ca="1">IFERROR(__xludf.DUMMYFUNCTION("""COMPUTED_VALUE"""),"This will be hard to do, but if it is the right company I would try")</f>
        <v>This will be hard to do, but if it is the right company I would try</v>
      </c>
      <c r="S1438" s="1"/>
    </row>
    <row r="1439" spans="1:19" ht="12.5" x14ac:dyDescent="0.25">
      <c r="A1439" s="2">
        <f ca="1">IFERROR(__xludf.DUMMYFUNCTION("""COMPUTED_VALUE"""),45044.9608226736)</f>
        <v>45044.960822673602</v>
      </c>
      <c r="B1439" s="1" t="str">
        <f ca="1">IFERROR(__xludf.DUMMYFUNCTION("""COMPUTED_VALUE"""),"India")</f>
        <v>India</v>
      </c>
      <c r="C1439" s="1">
        <f ca="1">IFERROR(__xludf.DUMMYFUNCTION("""COMPUTED_VALUE"""),765022)</f>
        <v>765022</v>
      </c>
      <c r="D1439" s="1" t="str">
        <f ca="1">IFERROR(__xludf.DUMMYFUNCTION("""COMPUTED_VALUE"""),"Female")</f>
        <v>Female</v>
      </c>
      <c r="E1439" s="1" t="str">
        <f ca="1">IFERROR(__xludf.DUMMYFUNCTION("""COMPUTED_VALUE"""),"My Parents")</f>
        <v>My Parents</v>
      </c>
      <c r="F1439" s="1" t="str">
        <f ca="1">IFERROR(__xludf.DUMMYFUNCTION("""COMPUTED_VALUE"""),"Yes, I will earn and do that")</f>
        <v>Yes, I will earn and do that</v>
      </c>
      <c r="G1439" s="1" t="str">
        <f ca="1">IFERROR(__xludf.DUMMYFUNCTION("""COMPUTED_VALUE"""),"Will work for 3 years or more")</f>
        <v>Will work for 3 years or more</v>
      </c>
      <c r="H1439" s="1" t="str">
        <f ca="1">IFERROR(__xludf.DUMMYFUNCTION("""COMPUTED_VALUE"""),"No")</f>
        <v>No</v>
      </c>
      <c r="I1439" s="1" t="str">
        <f ca="1">IFERROR(__xludf.DUMMYFUNCTION("""COMPUTED_VALUE"""),"Will NOT work for them")</f>
        <v>Will NOT work for them</v>
      </c>
      <c r="J1439" s="1">
        <f ca="1">IFERROR(__xludf.DUMMYFUNCTION("""COMPUTED_VALUE"""),1)</f>
        <v>1</v>
      </c>
      <c r="K1439" s="1" t="str">
        <f ca="1">IFERROR(__xludf.DUMMYFUNCTION("""COMPUTED_VALUE"""),"Hybrid Working Environment with more than 15 days a month at office")</f>
        <v>Hybrid Working Environment with more than 15 days a month at office</v>
      </c>
      <c r="L1439" s="1" t="str">
        <f ca="1">IFERROR(__xludf.DUMMYFUNCTION("""COMPUTED_VALUE"""),"Employer who appreciates learning and enables that environment")</f>
        <v>Employer who appreciates learning and enables that environment</v>
      </c>
      <c r="M143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439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1439" s="1" t="str">
        <f ca="1">IFERROR(__xludf.DUMMYFUNCTION("""COMPUTED_VALUE"""),"Manager who explains what is expected, sets a goal and helps achieve it")</f>
        <v>Manager who explains what is expected, sets a goal and helps achieve it</v>
      </c>
      <c r="P1439" s="1" t="str">
        <f ca="1">IFERROR(__xludf.DUMMYFUNCTION("""COMPUTED_VALUE"""),"Work with more than 10 people in my team")</f>
        <v>Work with more than 10 people in my team</v>
      </c>
      <c r="Q1439" s="1" t="str">
        <f ca="1">IFERROR(__xludf.DUMMYFUNCTION("""COMPUTED_VALUE"""),"Yes, I Understand this is gonna happen everywhere")</f>
        <v>Yes, I Understand this is gonna happen everywhere</v>
      </c>
      <c r="R1439" s="1" t="str">
        <f ca="1">IFERROR(__xludf.DUMMYFUNCTION("""COMPUTED_VALUE"""),"This will be hard to do, but if it is the right company I would try")</f>
        <v>This will be hard to do, but if it is the right company I would try</v>
      </c>
      <c r="S1439" s="1"/>
    </row>
    <row r="1440" spans="1:19" ht="12.5" x14ac:dyDescent="0.25">
      <c r="A1440" s="2">
        <f ca="1">IFERROR(__xludf.DUMMYFUNCTION("""COMPUTED_VALUE"""),45044.9644630439)</f>
        <v>45044.9644630439</v>
      </c>
      <c r="B1440" s="1" t="str">
        <f ca="1">IFERROR(__xludf.DUMMYFUNCTION("""COMPUTED_VALUE"""),"India")</f>
        <v>India</v>
      </c>
      <c r="C1440" s="1">
        <f ca="1">IFERROR(__xludf.DUMMYFUNCTION("""COMPUTED_VALUE"""),530051)</f>
        <v>530051</v>
      </c>
      <c r="D1440" s="1" t="str">
        <f ca="1">IFERROR(__xludf.DUMMYFUNCTION("""COMPUTED_VALUE"""),"Female")</f>
        <v>Female</v>
      </c>
      <c r="E1440" s="1" t="str">
        <f ca="1">IFERROR(__xludf.DUMMYFUNCTION("""COMPUTED_VALUE"""),"People who have changed the world for better")</f>
        <v>People who have changed the world for better</v>
      </c>
      <c r="F1440" s="1" t="str">
        <f ca="1">IFERROR(__xludf.DUMMYFUNCTION("""COMPUTED_VALUE"""),"Yes, I will earn and do that")</f>
        <v>Yes, I will earn and do that</v>
      </c>
      <c r="G1440" s="1" t="str">
        <f ca="1">IFERROR(__xludf.DUMMYFUNCTION("""COMPUTED_VALUE"""),"Will work for 3 years or more")</f>
        <v>Will work for 3 years or more</v>
      </c>
      <c r="H1440" s="1" t="str">
        <f ca="1">IFERROR(__xludf.DUMMYFUNCTION("""COMPUTED_VALUE"""),"No")</f>
        <v>No</v>
      </c>
      <c r="I1440" s="1" t="str">
        <f ca="1">IFERROR(__xludf.DUMMYFUNCTION("""COMPUTED_VALUE"""),"Will NOT work for them")</f>
        <v>Will NOT work for them</v>
      </c>
      <c r="J1440" s="1">
        <f ca="1">IFERROR(__xludf.DUMMYFUNCTION("""COMPUTED_VALUE"""),5)</f>
        <v>5</v>
      </c>
      <c r="K1440" s="1" t="str">
        <f ca="1">IFERROR(__xludf.DUMMYFUNCTION("""COMPUTED_VALUE"""),"Hybrid Working Environment with more than 15 days a month at office")</f>
        <v>Hybrid Working Environment with more than 15 days a month at office</v>
      </c>
      <c r="L14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40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440" s="1" t="str">
        <f ca="1">IFERROR(__xludf.DUMMYFUNCTION("""COMPUTED_VALUE"""),"Teaching in any of the institutes/colleges/online or offline, Build and develop a Team, I Want to sell things/Sales, An Artificial Intelligence Specialist / Talking to Robots")</f>
        <v>Teaching in any of the institutes/colleges/online or offline, Build and develop a Team, I Want to sell things/Sales, An Artificial Intelligence Specialist / Talking to Robots</v>
      </c>
      <c r="O1440" s="1" t="str">
        <f ca="1">IFERROR(__xludf.DUMMYFUNCTION("""COMPUTED_VALUE"""),"Manager who sets goal and helps me achieve it")</f>
        <v>Manager who sets goal and helps me achieve it</v>
      </c>
      <c r="P1440" s="1" t="str">
        <f ca="1">IFERROR(__xludf.DUMMYFUNCTION("""COMPUTED_VALUE"""),"Work with 5 to 6 people in my team")</f>
        <v>Work with 5 to 6 people in my team</v>
      </c>
      <c r="Q1440" s="1" t="str">
        <f ca="1">IFERROR(__xludf.DUMMYFUNCTION("""COMPUTED_VALUE"""),"No")</f>
        <v>No</v>
      </c>
      <c r="R1440" s="1" t="str">
        <f ca="1">IFERROR(__xludf.DUMMYFUNCTION("""COMPUTED_VALUE"""),"This will be hard to do, but if it is the right company I would try")</f>
        <v>This will be hard to do, but if it is the right company I would try</v>
      </c>
      <c r="S1440" s="1"/>
    </row>
    <row r="1441" spans="1:19" ht="12.5" x14ac:dyDescent="0.25">
      <c r="A1441" s="2">
        <f ca="1">IFERROR(__xludf.DUMMYFUNCTION("""COMPUTED_VALUE"""),45044.9650175115)</f>
        <v>45044.965017511502</v>
      </c>
      <c r="B1441" s="1" t="str">
        <f ca="1">IFERROR(__xludf.DUMMYFUNCTION("""COMPUTED_VALUE"""),"India")</f>
        <v>India</v>
      </c>
      <c r="C1441" s="1">
        <f ca="1">IFERROR(__xludf.DUMMYFUNCTION("""COMPUTED_VALUE"""),560067)</f>
        <v>560067</v>
      </c>
      <c r="D1441" s="1" t="str">
        <f ca="1">IFERROR(__xludf.DUMMYFUNCTION("""COMPUTED_VALUE"""),"Male")</f>
        <v>Male</v>
      </c>
      <c r="E1441" s="1" t="str">
        <f ca="1">IFERROR(__xludf.DUMMYFUNCTION("""COMPUTED_VALUE"""),"People from my circle, but not family members")</f>
        <v>People from my circle, but not family members</v>
      </c>
      <c r="F1441" s="1" t="str">
        <f ca="1">IFERROR(__xludf.DUMMYFUNCTION("""COMPUTED_VALUE"""),"No, But if someone could bare the cost I will")</f>
        <v>No, But if someone could bare the cost I will</v>
      </c>
      <c r="G1441" s="1" t="str">
        <f ca="1">IFERROR(__xludf.DUMMYFUNCTION("""COMPUTED_VALUE"""),"Will work for 3 years or more")</f>
        <v>Will work for 3 years or more</v>
      </c>
      <c r="H1441" s="1" t="str">
        <f ca="1">IFERROR(__xludf.DUMMYFUNCTION("""COMPUTED_VALUE"""),"No")</f>
        <v>No</v>
      </c>
      <c r="I1441" s="1" t="str">
        <f ca="1">IFERROR(__xludf.DUMMYFUNCTION("""COMPUTED_VALUE"""),"Will NOT work for them")</f>
        <v>Will NOT work for them</v>
      </c>
      <c r="J1441" s="1">
        <f ca="1">IFERROR(__xludf.DUMMYFUNCTION("""COMPUTED_VALUE"""),1)</f>
        <v>1</v>
      </c>
      <c r="K1441" s="1" t="str">
        <f ca="1">IFERROR(__xludf.DUMMYFUNCTION("""COMPUTED_VALUE"""),"Fully Remote with Options to travel as and when needed")</f>
        <v>Fully Remote with Options to travel as and when needed</v>
      </c>
      <c r="L14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4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441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441" s="1" t="str">
        <f ca="1">IFERROR(__xludf.DUMMYFUNCTION("""COMPUTED_VALUE"""),"Manager who explains what is expected, sets a goal and helps achieve it")</f>
        <v>Manager who explains what is expected, sets a goal and helps achieve it</v>
      </c>
      <c r="P1441" s="1" t="str">
        <f ca="1">IFERROR(__xludf.DUMMYFUNCTION("""COMPUTED_VALUE"""),"Work with more than 10 people in my team")</f>
        <v>Work with more than 10 people in my team</v>
      </c>
      <c r="Q1441" s="1" t="str">
        <f ca="1">IFERROR(__xludf.DUMMYFUNCTION("""COMPUTED_VALUE"""),"Yes, I Understand this is gonna happen everywhere")</f>
        <v>Yes, I Understand this is gonna happen everywhere</v>
      </c>
      <c r="R1441" s="1" t="str">
        <f ca="1">IFERROR(__xludf.DUMMYFUNCTION("""COMPUTED_VALUE"""),"Will work for 7 years or more")</f>
        <v>Will work for 7 years or more</v>
      </c>
      <c r="S1441" s="1"/>
    </row>
    <row r="1442" spans="1:19" ht="12.5" x14ac:dyDescent="0.25">
      <c r="A1442" s="2">
        <f ca="1">IFERROR(__xludf.DUMMYFUNCTION("""COMPUTED_VALUE"""),45044.9684545023)</f>
        <v>45044.968454502297</v>
      </c>
      <c r="B1442" s="1" t="str">
        <f ca="1">IFERROR(__xludf.DUMMYFUNCTION("""COMPUTED_VALUE"""),"India")</f>
        <v>India</v>
      </c>
      <c r="C1442" s="1">
        <f ca="1">IFERROR(__xludf.DUMMYFUNCTION("""COMPUTED_VALUE"""),600015)</f>
        <v>600015</v>
      </c>
      <c r="D1442" s="1" t="str">
        <f ca="1">IFERROR(__xludf.DUMMYFUNCTION("""COMPUTED_VALUE"""),"Female")</f>
        <v>Female</v>
      </c>
      <c r="E1442" s="1" t="str">
        <f ca="1">IFERROR(__xludf.DUMMYFUNCTION("""COMPUTED_VALUE"""),"People who have changed the world for better")</f>
        <v>People who have changed the world for better</v>
      </c>
      <c r="F1442" s="1" t="str">
        <f ca="1">IFERROR(__xludf.DUMMYFUNCTION("""COMPUTED_VALUE"""),"Yes, I will earn and do that")</f>
        <v>Yes, I will earn and do that</v>
      </c>
      <c r="G1442" s="1" t="str">
        <f ca="1">IFERROR(__xludf.DUMMYFUNCTION("""COMPUTED_VALUE"""),"This will be hard to do, but if it is the right company I would try")</f>
        <v>This will be hard to do, but if it is the right company I would try</v>
      </c>
      <c r="H1442" s="1" t="str">
        <f ca="1">IFERROR(__xludf.DUMMYFUNCTION("""COMPUTED_VALUE"""),"No")</f>
        <v>No</v>
      </c>
      <c r="I1442" s="1" t="str">
        <f ca="1">IFERROR(__xludf.DUMMYFUNCTION("""COMPUTED_VALUE"""),"Will NOT work for them")</f>
        <v>Will NOT work for them</v>
      </c>
      <c r="J1442" s="1">
        <f ca="1">IFERROR(__xludf.DUMMYFUNCTION("""COMPUTED_VALUE"""),9)</f>
        <v>9</v>
      </c>
      <c r="K1442" s="1" t="str">
        <f ca="1">IFERROR(__xludf.DUMMYFUNCTION("""COMPUTED_VALUE"""),"Hybrid Working Environment with less than 3 days a month at office")</f>
        <v>Hybrid Working Environment with less than 3 days a month at office</v>
      </c>
      <c r="L1442" s="1" t="str">
        <f ca="1">IFERROR(__xludf.DUMMYFUNCTION("""COMPUTED_VALUE"""),"Employer who appreciates learning and enables that environment")</f>
        <v>Employer who appreciates learning and enables that environment</v>
      </c>
      <c r="M144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42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442" s="1" t="str">
        <f ca="1">IFERROR(__xludf.DUMMYFUNCTION("""COMPUTED_VALUE"""),"Manager who sets goal and helps me achieve it")</f>
        <v>Manager who sets goal and helps me achieve it</v>
      </c>
      <c r="P144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442" s="1" t="str">
        <f ca="1">IFERROR(__xludf.DUMMYFUNCTION("""COMPUTED_VALUE"""),"Yes, I Understand this is gonna happen everywhere")</f>
        <v>Yes, I Understand this is gonna happen everywhere</v>
      </c>
      <c r="R1442" s="1" t="str">
        <f ca="1">IFERROR(__xludf.DUMMYFUNCTION("""COMPUTED_VALUE"""),"No way")</f>
        <v>No way</v>
      </c>
      <c r="S1442" s="1"/>
    </row>
    <row r="1443" spans="1:19" ht="12.5" x14ac:dyDescent="0.25">
      <c r="A1443" s="2">
        <f ca="1">IFERROR(__xludf.DUMMYFUNCTION("""COMPUTED_VALUE"""),45044.9764543634)</f>
        <v>45044.976454363401</v>
      </c>
      <c r="B1443" s="1" t="str">
        <f ca="1">IFERROR(__xludf.DUMMYFUNCTION("""COMPUTED_VALUE"""),"India")</f>
        <v>India</v>
      </c>
      <c r="C1443" s="1">
        <f ca="1">IFERROR(__xludf.DUMMYFUNCTION("""COMPUTED_VALUE"""),560090)</f>
        <v>560090</v>
      </c>
      <c r="D1443" s="1" t="str">
        <f ca="1">IFERROR(__xludf.DUMMYFUNCTION("""COMPUTED_VALUE"""),"Male")</f>
        <v>Male</v>
      </c>
      <c r="E1443" s="1" t="str">
        <f ca="1">IFERROR(__xludf.DUMMYFUNCTION("""COMPUTED_VALUE"""),"My Parents")</f>
        <v>My Parents</v>
      </c>
      <c r="F1443" s="1" t="str">
        <f ca="1">IFERROR(__xludf.DUMMYFUNCTION("""COMPUTED_VALUE"""),"No, But if someone could bare the cost I will")</f>
        <v>No, But if someone could bare the cost I will</v>
      </c>
      <c r="G1443" s="1" t="str">
        <f ca="1">IFERROR(__xludf.DUMMYFUNCTION("""COMPUTED_VALUE"""),"No way")</f>
        <v>No way</v>
      </c>
      <c r="H1443" s="1" t="str">
        <f ca="1">IFERROR(__xludf.DUMMYFUNCTION("""COMPUTED_VALUE"""),"No")</f>
        <v>No</v>
      </c>
      <c r="I1443" s="1" t="str">
        <f ca="1">IFERROR(__xludf.DUMMYFUNCTION("""COMPUTED_VALUE"""),"Will NOT work for them")</f>
        <v>Will NOT work for them</v>
      </c>
      <c r="J1443" s="1">
        <f ca="1">IFERROR(__xludf.DUMMYFUNCTION("""COMPUTED_VALUE"""),6)</f>
        <v>6</v>
      </c>
      <c r="K1443" s="1" t="str">
        <f ca="1">IFERROR(__xludf.DUMMYFUNCTION("""COMPUTED_VALUE"""),"Hybrid Working Environment with more than 15 days a month at office")</f>
        <v>Hybrid Working Environment with more than 15 days a month at office</v>
      </c>
      <c r="L14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43" s="1" t="str">
        <f ca="1">IFERROR(__xludf.DUMMYFUNCTION("""COMPUTED_VALUE"""),"Teaching in any of the institutes/colleges/online or offline, Manage and drive End-to-End Projects or Products, Look deeply into Data and generate insights, Work as a freelancer and do my thing my way")</f>
        <v>Teaching in any of the institutes/colleges/online or offline, Manage and drive End-to-End Projects or Products, Look deeply into Data and generate insights, Work as a freelancer and do my thing my way</v>
      </c>
      <c r="O1443" s="1" t="str">
        <f ca="1">IFERROR(__xludf.DUMMYFUNCTION("""COMPUTED_VALUE"""),"Manager who sets targets and expects me to achieve it")</f>
        <v>Manager who sets targets and expects me to achieve it</v>
      </c>
      <c r="P1443" s="1" t="str">
        <f ca="1">IFERROR(__xludf.DUMMYFUNCTION("""COMPUTED_VALUE"""),"Work with 5 to 6 people in my team")</f>
        <v>Work with 5 to 6 people in my team</v>
      </c>
      <c r="Q1443" s="1" t="str">
        <f ca="1">IFERROR(__xludf.DUMMYFUNCTION("""COMPUTED_VALUE"""),"Yes, I Understand this is gonna happen everywhere")</f>
        <v>Yes, I Understand this is gonna happen everywhere</v>
      </c>
      <c r="R1443" s="1" t="str">
        <f ca="1">IFERROR(__xludf.DUMMYFUNCTION("""COMPUTED_VALUE"""),"Will work for 7 years or more")</f>
        <v>Will work for 7 years or more</v>
      </c>
      <c r="S1443" s="1"/>
    </row>
    <row r="1444" spans="1:19" ht="12.5" x14ac:dyDescent="0.25">
      <c r="A1444" s="2">
        <f ca="1">IFERROR(__xludf.DUMMYFUNCTION("""COMPUTED_VALUE"""),45044.9845628935)</f>
        <v>45044.9845628935</v>
      </c>
      <c r="B1444" s="1" t="str">
        <f ca="1">IFERROR(__xludf.DUMMYFUNCTION("""COMPUTED_VALUE"""),"India")</f>
        <v>India</v>
      </c>
      <c r="C1444" s="1">
        <f ca="1">IFERROR(__xludf.DUMMYFUNCTION("""COMPUTED_VALUE"""),410206)</f>
        <v>410206</v>
      </c>
      <c r="D1444" s="1" t="str">
        <f ca="1">IFERROR(__xludf.DUMMYFUNCTION("""COMPUTED_VALUE"""),"Female")</f>
        <v>Female</v>
      </c>
      <c r="E1444" s="1" t="str">
        <f ca="1">IFERROR(__xludf.DUMMYFUNCTION("""COMPUTED_VALUE"""),"Social Media like LinkedIn")</f>
        <v>Social Media like LinkedIn</v>
      </c>
      <c r="F1444" s="1" t="str">
        <f ca="1">IFERROR(__xludf.DUMMYFUNCTION("""COMPUTED_VALUE"""),"Yes, I will earn and do that")</f>
        <v>Yes, I will earn and do that</v>
      </c>
      <c r="G1444" s="1" t="str">
        <f ca="1">IFERROR(__xludf.DUMMYFUNCTION("""COMPUTED_VALUE"""),"This will be hard to do, but if it is the right company I would try")</f>
        <v>This will be hard to do, but if it is the right company I would try</v>
      </c>
      <c r="H1444" s="1" t="str">
        <f ca="1">IFERROR(__xludf.DUMMYFUNCTION("""COMPUTED_VALUE"""),"No")</f>
        <v>No</v>
      </c>
      <c r="I1444" s="1" t="str">
        <f ca="1">IFERROR(__xludf.DUMMYFUNCTION("""COMPUTED_VALUE"""),"Will NOT work for them")</f>
        <v>Will NOT work for them</v>
      </c>
      <c r="J1444" s="1">
        <f ca="1">IFERROR(__xludf.DUMMYFUNCTION("""COMPUTED_VALUE"""),7)</f>
        <v>7</v>
      </c>
      <c r="K1444" s="1" t="str">
        <f ca="1">IFERROR(__xludf.DUMMYFUNCTION("""COMPUTED_VALUE"""),"Hybrid Working Environment with more than 15 days a month at office")</f>
        <v>Hybrid Working Environment with more than 15 days a month at office</v>
      </c>
      <c r="L1444" s="1" t="str">
        <f ca="1">IFERROR(__xludf.DUMMYFUNCTION("""COMPUTED_VALUE"""),"Employer who appreciates learning and enables that environment")</f>
        <v>Employer who appreciates learning and enables that environment</v>
      </c>
      <c r="M144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44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144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44" s="1" t="str">
        <f ca="1">IFERROR(__xludf.DUMMYFUNCTION("""COMPUTED_VALUE"""),"Work with 5 to 6 people in my team")</f>
        <v>Work with 5 to 6 people in my team</v>
      </c>
      <c r="Q1444" s="1" t="str">
        <f ca="1">IFERROR(__xludf.DUMMYFUNCTION("""COMPUTED_VALUE"""),"I have NO other choice")</f>
        <v>I have NO other choice</v>
      </c>
      <c r="R1444" s="1" t="str">
        <f ca="1">IFERROR(__xludf.DUMMYFUNCTION("""COMPUTED_VALUE"""),"No way")</f>
        <v>No way</v>
      </c>
      <c r="S1444" s="1"/>
    </row>
    <row r="1445" spans="1:19" ht="12.5" x14ac:dyDescent="0.25">
      <c r="A1445" s="2">
        <f ca="1">IFERROR(__xludf.DUMMYFUNCTION("""COMPUTED_VALUE"""),45044.993011493)</f>
        <v>45044.993011493003</v>
      </c>
      <c r="B1445" s="1" t="str">
        <f ca="1">IFERROR(__xludf.DUMMYFUNCTION("""COMPUTED_VALUE"""),"India")</f>
        <v>India</v>
      </c>
      <c r="C1445" s="1">
        <f ca="1">IFERROR(__xludf.DUMMYFUNCTION("""COMPUTED_VALUE"""),562107)</f>
        <v>562107</v>
      </c>
      <c r="D1445" s="1" t="str">
        <f ca="1">IFERROR(__xludf.DUMMYFUNCTION("""COMPUTED_VALUE"""),"Female")</f>
        <v>Female</v>
      </c>
      <c r="E1445" s="1" t="str">
        <f ca="1">IFERROR(__xludf.DUMMYFUNCTION("""COMPUTED_VALUE"""),"People who have changed the world for better")</f>
        <v>People who have changed the world for better</v>
      </c>
      <c r="F1445" s="1" t="str">
        <f ca="1">IFERROR(__xludf.DUMMYFUNCTION("""COMPUTED_VALUE"""),"Yes, I will earn and do that")</f>
        <v>Yes, I will earn and do that</v>
      </c>
      <c r="G1445" s="1" t="str">
        <f ca="1">IFERROR(__xludf.DUMMYFUNCTION("""COMPUTED_VALUE"""),"This will be hard to do, but if it is the right company I would try")</f>
        <v>This will be hard to do, but if it is the right company I would try</v>
      </c>
      <c r="H1445" s="1" t="str">
        <f ca="1">IFERROR(__xludf.DUMMYFUNCTION("""COMPUTED_VALUE"""),"No")</f>
        <v>No</v>
      </c>
      <c r="I1445" s="1" t="str">
        <f ca="1">IFERROR(__xludf.DUMMYFUNCTION("""COMPUTED_VALUE"""),"Will NOT work for them")</f>
        <v>Will NOT work for them</v>
      </c>
      <c r="J1445" s="1">
        <f ca="1">IFERROR(__xludf.DUMMYFUNCTION("""COMPUTED_VALUE"""),3)</f>
        <v>3</v>
      </c>
      <c r="K1445" s="1" t="str">
        <f ca="1">IFERROR(__xludf.DUMMYFUNCTION("""COMPUTED_VALUE"""),"Hybrid Working Environment with more than 15 days a month at office")</f>
        <v>Hybrid Working Environment with more than 15 days a month at office</v>
      </c>
      <c r="L14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4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45" s="1" t="str">
        <f ca="1">IFERROR(__xludf.DUMMYFUNCTION("""COMPUTED_VALUE"""),"Manage and drive End-to-End Projects or Products, Build and develop a Team, Work as a freelancer and do my thing my way, Entrepreneur or Start Up")</f>
        <v>Manage and drive End-to-End Projects or Products, Build and develop a Team, Work as a freelancer and do my thing my way, Entrepreneur or Start Up</v>
      </c>
      <c r="O144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45" s="1" t="str">
        <f ca="1">IFERROR(__xludf.DUMMYFUNCTION("""COMPUTED_VALUE"""),"Work with 5 to 6 people in my team")</f>
        <v>Work with 5 to 6 people in my team</v>
      </c>
      <c r="Q1445" s="1" t="str">
        <f ca="1">IFERROR(__xludf.DUMMYFUNCTION("""COMPUTED_VALUE"""),"Yes, I Understand this is gonna happen everywhere")</f>
        <v>Yes, I Understand this is gonna happen everywhere</v>
      </c>
      <c r="R1445" s="1" t="str">
        <f ca="1">IFERROR(__xludf.DUMMYFUNCTION("""COMPUTED_VALUE"""),"No way")</f>
        <v>No way</v>
      </c>
      <c r="S1445" s="1"/>
    </row>
    <row r="1446" spans="1:19" ht="12.5" x14ac:dyDescent="0.25">
      <c r="A1446" s="2">
        <f ca="1">IFERROR(__xludf.DUMMYFUNCTION("""COMPUTED_VALUE"""),45044.9931558101)</f>
        <v>45044.993155810102</v>
      </c>
      <c r="B1446" s="1" t="str">
        <f ca="1">IFERROR(__xludf.DUMMYFUNCTION("""COMPUTED_VALUE"""),"India")</f>
        <v>India</v>
      </c>
      <c r="C1446" s="1">
        <f ca="1">IFERROR(__xludf.DUMMYFUNCTION("""COMPUTED_VALUE"""),638004)</f>
        <v>638004</v>
      </c>
      <c r="D1446" s="1" t="str">
        <f ca="1">IFERROR(__xludf.DUMMYFUNCTION("""COMPUTED_VALUE"""),"Male")</f>
        <v>Male</v>
      </c>
      <c r="E1446" s="1" t="str">
        <f ca="1">IFERROR(__xludf.DUMMYFUNCTION("""COMPUTED_VALUE"""),"My Parents")</f>
        <v>My Parents</v>
      </c>
      <c r="F1446" s="1" t="str">
        <f ca="1">IFERROR(__xludf.DUMMYFUNCTION("""COMPUTED_VALUE"""),"Yes, I will earn and do that")</f>
        <v>Yes, I will earn and do that</v>
      </c>
      <c r="G1446" s="1" t="str">
        <f ca="1">IFERROR(__xludf.DUMMYFUNCTION("""COMPUTED_VALUE"""),"Will work for 3 years or more")</f>
        <v>Will work for 3 years or more</v>
      </c>
      <c r="H1446" s="1" t="str">
        <f ca="1">IFERROR(__xludf.DUMMYFUNCTION("""COMPUTED_VALUE"""),"No")</f>
        <v>No</v>
      </c>
      <c r="I1446" s="1" t="str">
        <f ca="1">IFERROR(__xludf.DUMMYFUNCTION("""COMPUTED_VALUE"""),"Will NOT work for them")</f>
        <v>Will NOT work for them</v>
      </c>
      <c r="J1446" s="1">
        <f ca="1">IFERROR(__xludf.DUMMYFUNCTION("""COMPUTED_VALUE"""),8)</f>
        <v>8</v>
      </c>
      <c r="K1446" s="1" t="str">
        <f ca="1">IFERROR(__xludf.DUMMYFUNCTION("""COMPUTED_VALUE"""),"Every Day Office Environment")</f>
        <v>Every Day Office Environment</v>
      </c>
      <c r="L1446" s="1" t="str">
        <f ca="1">IFERROR(__xludf.DUMMYFUNCTION("""COMPUTED_VALUE"""),"Employer who rewards learning and enables that environment")</f>
        <v>Employer who rewards learning and enables that environment</v>
      </c>
      <c r="M144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446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446" s="1" t="str">
        <f ca="1">IFERROR(__xludf.DUMMYFUNCTION("""COMPUTED_VALUE"""),"Manager who clearly describes what she/he needs")</f>
        <v>Manager who clearly describes what she/he needs</v>
      </c>
      <c r="P1446" s="1" t="str">
        <f ca="1">IFERROR(__xludf.DUMMYFUNCTION("""COMPUTED_VALUE"""),"Work with 2 to 3 people in my team")</f>
        <v>Work with 2 to 3 people in my team</v>
      </c>
      <c r="Q1446" s="1" t="str">
        <f ca="1">IFERROR(__xludf.DUMMYFUNCTION("""COMPUTED_VALUE"""),"Yes")</f>
        <v>Yes</v>
      </c>
      <c r="R1446" s="1" t="str">
        <f ca="1">IFERROR(__xludf.DUMMYFUNCTION("""COMPUTED_VALUE"""),"Will work for 7 years or more")</f>
        <v>Will work for 7 years or more</v>
      </c>
      <c r="S1446" s="1"/>
    </row>
    <row r="1447" spans="1:19" ht="12.5" x14ac:dyDescent="0.25">
      <c r="A1447" s="2">
        <f ca="1">IFERROR(__xludf.DUMMYFUNCTION("""COMPUTED_VALUE"""),45045.006365949)</f>
        <v>45045.006365948997</v>
      </c>
      <c r="B1447" s="1" t="str">
        <f ca="1">IFERROR(__xludf.DUMMYFUNCTION("""COMPUTED_VALUE"""),"India")</f>
        <v>India</v>
      </c>
      <c r="C1447" s="1">
        <f ca="1">IFERROR(__xludf.DUMMYFUNCTION("""COMPUTED_VALUE"""),500001)</f>
        <v>500001</v>
      </c>
      <c r="D1447" s="1" t="str">
        <f ca="1">IFERROR(__xludf.DUMMYFUNCTION("""COMPUTED_VALUE"""),"Male")</f>
        <v>Male</v>
      </c>
      <c r="E1447" s="1" t="str">
        <f ca="1">IFERROR(__xludf.DUMMYFUNCTION("""COMPUTED_VALUE"""),"People from my circle, but not family members")</f>
        <v>People from my circle, but not family members</v>
      </c>
      <c r="F1447" s="1" t="str">
        <f ca="1">IFERROR(__xludf.DUMMYFUNCTION("""COMPUTED_VALUE"""),"Yes, I will earn and do that")</f>
        <v>Yes, I will earn and do that</v>
      </c>
      <c r="G1447" s="1" t="str">
        <f ca="1">IFERROR(__xludf.DUMMYFUNCTION("""COMPUTED_VALUE"""),"Will work for 3 years or more")</f>
        <v>Will work for 3 years or more</v>
      </c>
      <c r="H1447" s="1" t="str">
        <f ca="1">IFERROR(__xludf.DUMMYFUNCTION("""COMPUTED_VALUE"""),"Yes")</f>
        <v>Yes</v>
      </c>
      <c r="I1447" s="1" t="str">
        <f ca="1">IFERROR(__xludf.DUMMYFUNCTION("""COMPUTED_VALUE"""),"Will work for them")</f>
        <v>Will work for them</v>
      </c>
      <c r="J1447" s="1">
        <f ca="1">IFERROR(__xludf.DUMMYFUNCTION("""COMPUTED_VALUE"""),2)</f>
        <v>2</v>
      </c>
      <c r="K1447" s="1" t="str">
        <f ca="1">IFERROR(__xludf.DUMMYFUNCTION("""COMPUTED_VALUE"""),"Fully Remote with Options to travel as and when needed")</f>
        <v>Fully Remote with Options to travel as and when needed</v>
      </c>
      <c r="L14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4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447" s="1" t="str">
        <f ca="1">IFERROR(__xludf.DUMMYFUNCTION("""COMPUTED_VALUE"""),"Build and develop a Team, Become a content Creator in some platform, Entrepreneur or Start Up, I Want to sell things/Sales")</f>
        <v>Build and develop a Team, Become a content Creator in some platform, Entrepreneur or Start Up, I Want to sell things/Sales</v>
      </c>
      <c r="O1447" s="1" t="str">
        <f ca="1">IFERROR(__xludf.DUMMYFUNCTION("""COMPUTED_VALUE"""),"Manager who explains what is expected, sets a goal and helps achieve it")</f>
        <v>Manager who explains what is expected, sets a goal and helps achieve it</v>
      </c>
      <c r="P144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447" s="1" t="str">
        <f ca="1">IFERROR(__xludf.DUMMYFUNCTION("""COMPUTED_VALUE"""),"Yes, I Understand this is gonna happen everywhere")</f>
        <v>Yes, I Understand this is gonna happen everywhere</v>
      </c>
      <c r="R1447" s="1" t="str">
        <f ca="1">IFERROR(__xludf.DUMMYFUNCTION("""COMPUTED_VALUE"""),"This will be hard to do, but if it is the right company I would try")</f>
        <v>This will be hard to do, but if it is the right company I would try</v>
      </c>
      <c r="S1447" s="1"/>
    </row>
    <row r="1448" spans="1:19" ht="12.5" x14ac:dyDescent="0.25">
      <c r="A1448" s="2">
        <f ca="1">IFERROR(__xludf.DUMMYFUNCTION("""COMPUTED_VALUE"""),45045.0122109143)</f>
        <v>45045.012210914298</v>
      </c>
      <c r="B1448" s="1" t="str">
        <f ca="1">IFERROR(__xludf.DUMMYFUNCTION("""COMPUTED_VALUE"""),"India")</f>
        <v>India</v>
      </c>
      <c r="C1448" s="1">
        <f ca="1">IFERROR(__xludf.DUMMYFUNCTION("""COMPUTED_VALUE"""),400074)</f>
        <v>400074</v>
      </c>
      <c r="D1448" s="1" t="str">
        <f ca="1">IFERROR(__xludf.DUMMYFUNCTION("""COMPUTED_VALUE"""),"Male")</f>
        <v>Male</v>
      </c>
      <c r="E1448" s="1" t="str">
        <f ca="1">IFERROR(__xludf.DUMMYFUNCTION("""COMPUTED_VALUE"""),"People from my circle, but not family members")</f>
        <v>People from my circle, but not family members</v>
      </c>
      <c r="F1448" s="1" t="str">
        <f ca="1">IFERROR(__xludf.DUMMYFUNCTION("""COMPUTED_VALUE"""),"No, But if someone could bare the cost I will")</f>
        <v>No, But if someone could bare the cost I will</v>
      </c>
      <c r="G1448" s="1" t="str">
        <f ca="1">IFERROR(__xludf.DUMMYFUNCTION("""COMPUTED_VALUE"""),"Will work for 3 years or more")</f>
        <v>Will work for 3 years or more</v>
      </c>
      <c r="H1448" s="1" t="str">
        <f ca="1">IFERROR(__xludf.DUMMYFUNCTION("""COMPUTED_VALUE"""),"Yes")</f>
        <v>Yes</v>
      </c>
      <c r="I1448" s="1" t="str">
        <f ca="1">IFERROR(__xludf.DUMMYFUNCTION("""COMPUTED_VALUE"""),"Will NOT work for them")</f>
        <v>Will NOT work for them</v>
      </c>
      <c r="J1448" s="1">
        <f ca="1">IFERROR(__xludf.DUMMYFUNCTION("""COMPUTED_VALUE"""),5)</f>
        <v>5</v>
      </c>
      <c r="K1448" s="1" t="str">
        <f ca="1">IFERROR(__xludf.DUMMYFUNCTION("""COMPUTED_VALUE"""),"Hybrid Working Environment with more than 15 days a month at office")</f>
        <v>Hybrid Working Environment with more than 15 days a month at office</v>
      </c>
      <c r="L1448" s="1" t="str">
        <f ca="1">IFERROR(__xludf.DUMMYFUNCTION("""COMPUTED_VALUE"""),"Employer who rewards learning and enables that environment")</f>
        <v>Employer who rewards learning and enables that environment</v>
      </c>
      <c r="M144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448" s="1" t="str">
        <f ca="1">IFERROR(__xludf.DUMMYFUNCTION("""COMPUTED_VALUE"""),"Look deeply into Data and generate insights, Work as a freelancer and do my thing my way, Become a content Creator in some platform, Entrepreneur or Start Up")</f>
        <v>Look deeply into Data and generate insights, Work as a freelancer and do my thing my way, Become a content Creator in some platform, Entrepreneur or Start Up</v>
      </c>
      <c r="O144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48" s="1" t="str">
        <f ca="1">IFERROR(__xludf.DUMMYFUNCTION("""COMPUTED_VALUE"""),"Work alone, Work with 2 to 3 people in my team, Work with more than 10 people in my team")</f>
        <v>Work alone, Work with 2 to 3 people in my team, Work with more than 10 people in my team</v>
      </c>
      <c r="Q1448" s="1" t="str">
        <f ca="1">IFERROR(__xludf.DUMMYFUNCTION("""COMPUTED_VALUE"""),"No")</f>
        <v>No</v>
      </c>
      <c r="R1448" s="1" t="str">
        <f ca="1">IFERROR(__xludf.DUMMYFUNCTION("""COMPUTED_VALUE"""),"This will be hard to do, but if it is the right company I would try")</f>
        <v>This will be hard to do, but if it is the right company I would try</v>
      </c>
      <c r="S1448" s="1"/>
    </row>
    <row r="1449" spans="1:19" ht="12.5" x14ac:dyDescent="0.25">
      <c r="A1449" s="2">
        <f ca="1">IFERROR(__xludf.DUMMYFUNCTION("""COMPUTED_VALUE"""),45045.0167609143)</f>
        <v>45045.016760914303</v>
      </c>
      <c r="B1449" s="1" t="str">
        <f ca="1">IFERROR(__xludf.DUMMYFUNCTION("""COMPUTED_VALUE"""),"India")</f>
        <v>India</v>
      </c>
      <c r="C1449" s="1">
        <f ca="1">IFERROR(__xludf.DUMMYFUNCTION("""COMPUTED_VALUE"""),500001)</f>
        <v>500001</v>
      </c>
      <c r="D1449" s="1" t="str">
        <f ca="1">IFERROR(__xludf.DUMMYFUNCTION("""COMPUTED_VALUE"""),"Female")</f>
        <v>Female</v>
      </c>
      <c r="E1449" s="1" t="str">
        <f ca="1">IFERROR(__xludf.DUMMYFUNCTION("""COMPUTED_VALUE"""),"My Parents")</f>
        <v>My Parents</v>
      </c>
      <c r="F1449" s="1" t="str">
        <f ca="1">IFERROR(__xludf.DUMMYFUNCTION("""COMPUTED_VALUE"""),"Yes, I will earn and do that")</f>
        <v>Yes, I will earn and do that</v>
      </c>
      <c r="G1449" s="1" t="str">
        <f ca="1">IFERROR(__xludf.DUMMYFUNCTION("""COMPUTED_VALUE"""),"This will be hard to do, but if it is the right company I would try")</f>
        <v>This will be hard to do, but if it is the right company I would try</v>
      </c>
      <c r="H1449" s="1" t="str">
        <f ca="1">IFERROR(__xludf.DUMMYFUNCTION("""COMPUTED_VALUE"""),"No")</f>
        <v>No</v>
      </c>
      <c r="I1449" s="1" t="str">
        <f ca="1">IFERROR(__xludf.DUMMYFUNCTION("""COMPUTED_VALUE"""),"Will NOT work for them")</f>
        <v>Will NOT work for them</v>
      </c>
      <c r="J1449" s="1">
        <f ca="1">IFERROR(__xludf.DUMMYFUNCTION("""COMPUTED_VALUE"""),4)</f>
        <v>4</v>
      </c>
      <c r="K1449" s="1" t="str">
        <f ca="1">IFERROR(__xludf.DUMMYFUNCTION("""COMPUTED_VALUE"""),"Fully Remote with Options to travel as and when needed")</f>
        <v>Fully Remote with Options to travel as and when needed</v>
      </c>
      <c r="L1449" s="1" t="str">
        <f ca="1">IFERROR(__xludf.DUMMYFUNCTION("""COMPUTED_VALUE"""),"Employer who rewards learning and enables that environment")</f>
        <v>Employer who rewards learning and enables that environment</v>
      </c>
      <c r="M144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49" s="1" t="str">
        <f ca="1">IFERROR(__xludf.DUMMYFUNCTION("""COMPUTED_VALUE"""),"Design and Develop amazing software, Look deeply into Data and generate insights, Entrepreneur or Start Up, An Artificial Intelligence Specialist / Talking to Robots")</f>
        <v>Design and Develop amazing software, Look deeply into Data and generate insights, Entrepreneur or Start Up, An Artificial Intelligence Specialist / Talking to Robots</v>
      </c>
      <c r="O1449" s="1" t="str">
        <f ca="1">IFERROR(__xludf.DUMMYFUNCTION("""COMPUTED_VALUE"""),"Manager who explains what is expected, sets a goal and helps achieve it")</f>
        <v>Manager who explains what is expected, sets a goal and helps achieve it</v>
      </c>
      <c r="P1449" s="1" t="str">
        <f ca="1">IFERROR(__xludf.DUMMYFUNCTION("""COMPUTED_VALUE"""),"Work alone, Work with 2 to 3 people in my team")</f>
        <v>Work alone, Work with 2 to 3 people in my team</v>
      </c>
      <c r="Q1449" s="1" t="str">
        <f ca="1">IFERROR(__xludf.DUMMYFUNCTION("""COMPUTED_VALUE"""),"Yes, I Understand this is gonna happen everywhere")</f>
        <v>Yes, I Understand this is gonna happen everywhere</v>
      </c>
      <c r="R1449" s="1" t="str">
        <f ca="1">IFERROR(__xludf.DUMMYFUNCTION("""COMPUTED_VALUE"""),"No way")</f>
        <v>No way</v>
      </c>
      <c r="S1449" s="1"/>
    </row>
    <row r="1450" spans="1:19" ht="12.5" x14ac:dyDescent="0.25">
      <c r="A1450" s="2">
        <f ca="1">IFERROR(__xludf.DUMMYFUNCTION("""COMPUTED_VALUE"""),45045.0241839583)</f>
        <v>45045.024183958303</v>
      </c>
      <c r="B1450" s="1" t="str">
        <f ca="1">IFERROR(__xludf.DUMMYFUNCTION("""COMPUTED_VALUE"""),"India")</f>
        <v>India</v>
      </c>
      <c r="C1450" s="1">
        <f ca="1">IFERROR(__xludf.DUMMYFUNCTION("""COMPUTED_VALUE"""),247667)</f>
        <v>247667</v>
      </c>
      <c r="D1450" s="1" t="str">
        <f ca="1">IFERROR(__xludf.DUMMYFUNCTION("""COMPUTED_VALUE"""),"Male")</f>
        <v>Male</v>
      </c>
      <c r="E1450" s="1" t="str">
        <f ca="1">IFERROR(__xludf.DUMMYFUNCTION("""COMPUTED_VALUE"""),"People who have changed the world for better")</f>
        <v>People who have changed the world for better</v>
      </c>
      <c r="F1450" s="1" t="str">
        <f ca="1">IFERROR(__xludf.DUMMYFUNCTION("""COMPUTED_VALUE"""),"Yes, I will earn and do that")</f>
        <v>Yes, I will earn and do that</v>
      </c>
      <c r="G1450" s="1" t="str">
        <f ca="1">IFERROR(__xludf.DUMMYFUNCTION("""COMPUTED_VALUE"""),"Will work for 3 years or more")</f>
        <v>Will work for 3 years or more</v>
      </c>
      <c r="H1450" s="1" t="str">
        <f ca="1">IFERROR(__xludf.DUMMYFUNCTION("""COMPUTED_VALUE"""),"No")</f>
        <v>No</v>
      </c>
      <c r="I1450" s="1" t="str">
        <f ca="1">IFERROR(__xludf.DUMMYFUNCTION("""COMPUTED_VALUE"""),"Will NOT work for them")</f>
        <v>Will NOT work for them</v>
      </c>
      <c r="J1450" s="1">
        <f ca="1">IFERROR(__xludf.DUMMYFUNCTION("""COMPUTED_VALUE"""),7)</f>
        <v>7</v>
      </c>
      <c r="K1450" s="1" t="str">
        <f ca="1">IFERROR(__xludf.DUMMYFUNCTION("""COMPUTED_VALUE"""),"Hybrid Working Environment with less than 3 days a month at office")</f>
        <v>Hybrid Working Environment with less than 3 days a month at office</v>
      </c>
      <c r="L14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5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50" s="1" t="str">
        <f ca="1">IFERROR(__xludf.DUMMYFUNCTION("""COMPUTED_VALUE"""),"Business Operations in any organization, Build and develop a Team, Entrepreneur or Start Up, An Artificial Intelligence Specialist / Talking to Robots")</f>
        <v>Business Operations in any organization, Build and develop a Team, Entrepreneur or Start Up, An Artificial Intelligence Specialist / Talking to Robots</v>
      </c>
      <c r="O1450" s="1" t="str">
        <f ca="1">IFERROR(__xludf.DUMMYFUNCTION("""COMPUTED_VALUE"""),"Manager who clearly describes what she/he needs")</f>
        <v>Manager who clearly describes what she/he needs</v>
      </c>
      <c r="P1450" s="1" t="str">
        <f ca="1">IFERROR(__xludf.DUMMYFUNCTION("""COMPUTED_VALUE"""),"Work with more than 10 people in my team")</f>
        <v>Work with more than 10 people in my team</v>
      </c>
      <c r="Q1450" s="1" t="str">
        <f ca="1">IFERROR(__xludf.DUMMYFUNCTION("""COMPUTED_VALUE"""),"Yes, I Understand this is gonna happen everywhere")</f>
        <v>Yes, I Understand this is gonna happen everywhere</v>
      </c>
      <c r="R1450" s="1" t="str">
        <f ca="1">IFERROR(__xludf.DUMMYFUNCTION("""COMPUTED_VALUE"""),"This will be hard to do, but if it is the right company I would try")</f>
        <v>This will be hard to do, but if it is the right company I would try</v>
      </c>
      <c r="S1450" s="1"/>
    </row>
    <row r="1451" spans="1:19" ht="12.5" x14ac:dyDescent="0.25">
      <c r="A1451" s="2">
        <f ca="1">IFERROR(__xludf.DUMMYFUNCTION("""COMPUTED_VALUE"""),45045.0409939583)</f>
        <v>45045.040993958297</v>
      </c>
      <c r="B1451" s="1" t="str">
        <f ca="1">IFERROR(__xludf.DUMMYFUNCTION("""COMPUTED_VALUE"""),"India")</f>
        <v>India</v>
      </c>
      <c r="C1451" s="1">
        <f ca="1">IFERROR(__xludf.DUMMYFUNCTION("""COMPUTED_VALUE"""),500016)</f>
        <v>500016</v>
      </c>
      <c r="D1451" s="1" t="str">
        <f ca="1">IFERROR(__xludf.DUMMYFUNCTION("""COMPUTED_VALUE"""),"Male")</f>
        <v>Male</v>
      </c>
      <c r="E1451" s="1" t="str">
        <f ca="1">IFERROR(__xludf.DUMMYFUNCTION("""COMPUTED_VALUE"""),"My Parents")</f>
        <v>My Parents</v>
      </c>
      <c r="F1451" s="1" t="str">
        <f ca="1">IFERROR(__xludf.DUMMYFUNCTION("""COMPUTED_VALUE"""),"No, But if someone could bare the cost I will")</f>
        <v>No, But if someone could bare the cost I will</v>
      </c>
      <c r="G1451" s="1" t="str">
        <f ca="1">IFERROR(__xludf.DUMMYFUNCTION("""COMPUTED_VALUE"""),"This will be hard to do, but if it is the right company I would try")</f>
        <v>This will be hard to do, but if it is the right company I would try</v>
      </c>
      <c r="H1451" s="1" t="str">
        <f ca="1">IFERROR(__xludf.DUMMYFUNCTION("""COMPUTED_VALUE"""),"No")</f>
        <v>No</v>
      </c>
      <c r="I1451" s="1" t="str">
        <f ca="1">IFERROR(__xludf.DUMMYFUNCTION("""COMPUTED_VALUE"""),"Will NOT work for them")</f>
        <v>Will NOT work for them</v>
      </c>
      <c r="J1451" s="1">
        <f ca="1">IFERROR(__xludf.DUMMYFUNCTION("""COMPUTED_VALUE"""),1)</f>
        <v>1</v>
      </c>
      <c r="K1451" s="1" t="str">
        <f ca="1">IFERROR(__xludf.DUMMYFUNCTION("""COMPUTED_VALUE"""),"Hybrid Working Environment with more than 15 days a month at office")</f>
        <v>Hybrid Working Environment with more than 15 days a month at office</v>
      </c>
      <c r="L1451" s="1" t="str">
        <f ca="1">IFERROR(__xludf.DUMMYFUNCTION("""COMPUTED_VALUE"""),"Employer who appreciates learning and enables that environment")</f>
        <v>Employer who appreciates learning and enables that environment</v>
      </c>
      <c r="M145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51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451" s="1" t="str">
        <f ca="1">IFERROR(__xludf.DUMMYFUNCTION("""COMPUTED_VALUE"""),"Manager who explains what is expected, sets a goal and helps achieve it")</f>
        <v>Manager who explains what is expected, sets a goal and helps achieve it</v>
      </c>
      <c r="P1451" s="1" t="str">
        <f ca="1">IFERROR(__xludf.DUMMYFUNCTION("""COMPUTED_VALUE"""),"Work with 2 to 3 people in my team")</f>
        <v>Work with 2 to 3 people in my team</v>
      </c>
      <c r="Q1451" s="1" t="str">
        <f ca="1">IFERROR(__xludf.DUMMYFUNCTION("""COMPUTED_VALUE"""),"No")</f>
        <v>No</v>
      </c>
      <c r="R1451" s="1" t="str">
        <f ca="1">IFERROR(__xludf.DUMMYFUNCTION("""COMPUTED_VALUE"""),"This will be hard to do, but if it is the right company I would try")</f>
        <v>This will be hard to do, but if it is the right company I would try</v>
      </c>
      <c r="S1451" s="1"/>
    </row>
    <row r="1452" spans="1:19" ht="12.5" x14ac:dyDescent="0.25">
      <c r="A1452" s="2">
        <f ca="1">IFERROR(__xludf.DUMMYFUNCTION("""COMPUTED_VALUE"""),45045.0489693055)</f>
        <v>45045.048969305499</v>
      </c>
      <c r="B1452" s="1" t="str">
        <f ca="1">IFERROR(__xludf.DUMMYFUNCTION("""COMPUTED_VALUE"""),"India")</f>
        <v>India</v>
      </c>
      <c r="C1452" s="1">
        <f ca="1">IFERROR(__xludf.DUMMYFUNCTION("""COMPUTED_VALUE"""),560064)</f>
        <v>560064</v>
      </c>
      <c r="D1452" s="1" t="str">
        <f ca="1">IFERROR(__xludf.DUMMYFUNCTION("""COMPUTED_VALUE"""),"Male")</f>
        <v>Male</v>
      </c>
      <c r="E1452" s="1" t="str">
        <f ca="1">IFERROR(__xludf.DUMMYFUNCTION("""COMPUTED_VALUE"""),"People from my circle, but not family members")</f>
        <v>People from my circle, but not family members</v>
      </c>
      <c r="F1452" s="1" t="str">
        <f ca="1">IFERROR(__xludf.DUMMYFUNCTION("""COMPUTED_VALUE"""),"No I would not be pursuing Higher Education outside of India")</f>
        <v>No I would not be pursuing Higher Education outside of India</v>
      </c>
      <c r="G1452" s="1" t="str">
        <f ca="1">IFERROR(__xludf.DUMMYFUNCTION("""COMPUTED_VALUE"""),"Will work for 3 years or more")</f>
        <v>Will work for 3 years or more</v>
      </c>
      <c r="H1452" s="1" t="str">
        <f ca="1">IFERROR(__xludf.DUMMYFUNCTION("""COMPUTED_VALUE"""),"Yes")</f>
        <v>Yes</v>
      </c>
      <c r="I1452" s="1" t="str">
        <f ca="1">IFERROR(__xludf.DUMMYFUNCTION("""COMPUTED_VALUE"""),"Will NOT work for them")</f>
        <v>Will NOT work for them</v>
      </c>
      <c r="J1452" s="1">
        <f ca="1">IFERROR(__xludf.DUMMYFUNCTION("""COMPUTED_VALUE"""),6)</f>
        <v>6</v>
      </c>
      <c r="K1452" s="1" t="str">
        <f ca="1">IFERROR(__xludf.DUMMYFUNCTION("""COMPUTED_VALUE"""),"Hybrid Working Environment with more than 15 days a month at office")</f>
        <v>Hybrid Working Environment with more than 15 days a month at office</v>
      </c>
      <c r="L14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5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52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1452" s="1" t="str">
        <f ca="1">IFERROR(__xludf.DUMMYFUNCTION("""COMPUTED_VALUE"""),"Manager who explains what is expected, sets a goal and helps achieve it")</f>
        <v>Manager who explains what is expected, sets a goal and helps achieve it</v>
      </c>
      <c r="P1452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452" s="1" t="str">
        <f ca="1">IFERROR(__xludf.DUMMYFUNCTION("""COMPUTED_VALUE"""),"Yes, I Understand this is gonna happen everywhere")</f>
        <v>Yes, I Understand this is gonna happen everywhere</v>
      </c>
      <c r="R1452" s="1" t="str">
        <f ca="1">IFERROR(__xludf.DUMMYFUNCTION("""COMPUTED_VALUE"""),"No way")</f>
        <v>No way</v>
      </c>
      <c r="S1452" s="1"/>
    </row>
    <row r="1453" spans="1:19" ht="12.5" x14ac:dyDescent="0.25">
      <c r="A1453" s="2">
        <f ca="1">IFERROR(__xludf.DUMMYFUNCTION("""COMPUTED_VALUE"""),45045.0720153703)</f>
        <v>45045.072015370301</v>
      </c>
      <c r="B1453" s="1" t="str">
        <f ca="1">IFERROR(__xludf.DUMMYFUNCTION("""COMPUTED_VALUE"""),"India")</f>
        <v>India</v>
      </c>
      <c r="C1453" s="1">
        <f ca="1">IFERROR(__xludf.DUMMYFUNCTION("""COMPUTED_VALUE"""),695033)</f>
        <v>695033</v>
      </c>
      <c r="D1453" s="1" t="str">
        <f ca="1">IFERROR(__xludf.DUMMYFUNCTION("""COMPUTED_VALUE"""),"Male")</f>
        <v>Male</v>
      </c>
      <c r="E1453" s="1" t="str">
        <f ca="1">IFERROR(__xludf.DUMMYFUNCTION("""COMPUTED_VALUE"""),"Influencers who had successful careers")</f>
        <v>Influencers who had successful careers</v>
      </c>
      <c r="F1453" s="1" t="str">
        <f ca="1">IFERROR(__xludf.DUMMYFUNCTION("""COMPUTED_VALUE"""),"No, But if someone could bare the cost I will")</f>
        <v>No, But if someone could bare the cost I will</v>
      </c>
      <c r="G1453" s="1" t="str">
        <f ca="1">IFERROR(__xludf.DUMMYFUNCTION("""COMPUTED_VALUE"""),"This will be hard to do, but if it is the right company I would try")</f>
        <v>This will be hard to do, but if it is the right company I would try</v>
      </c>
      <c r="H1453" s="1" t="str">
        <f ca="1">IFERROR(__xludf.DUMMYFUNCTION("""COMPUTED_VALUE"""),"Yes")</f>
        <v>Yes</v>
      </c>
      <c r="I1453" s="1" t="str">
        <f ca="1">IFERROR(__xludf.DUMMYFUNCTION("""COMPUTED_VALUE"""),"Will NOT work for them")</f>
        <v>Will NOT work for them</v>
      </c>
      <c r="J1453" s="1">
        <f ca="1">IFERROR(__xludf.DUMMYFUNCTION("""COMPUTED_VALUE"""),5)</f>
        <v>5</v>
      </c>
      <c r="K1453" s="1" t="str">
        <f ca="1">IFERROR(__xludf.DUMMYFUNCTION("""COMPUTED_VALUE"""),"Hybrid Working Environment with less than 3 days a month at office")</f>
        <v>Hybrid Working Environment with less than 3 days a month at office</v>
      </c>
      <c r="L1453" s="1" t="str">
        <f ca="1">IFERROR(__xludf.DUMMYFUNCTION("""COMPUTED_VALUE"""),"Employer who appreciates learning and enables that environment")</f>
        <v>Employer who appreciates learning and enables that environment</v>
      </c>
      <c r="M145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453" s="1" t="str">
        <f ca="1">IFERROR(__xludf.DUMMYFUNCTION("""COMPUTED_VALUE"""),"Design and Creative strategy in any company, Build and develop a Team, Work as a freelancer and do my thing my way, Become a content Creator in some platform")</f>
        <v>Design and Creative strategy in any company, Build and develop a Team, Work as a freelancer and do my thing my way, Become a content Creator in some platform</v>
      </c>
      <c r="O1453" s="1" t="str">
        <f ca="1">IFERROR(__xludf.DUMMYFUNCTION("""COMPUTED_VALUE"""),"Manager who sets goal and helps me achieve it")</f>
        <v>Manager who sets goal and helps me achieve it</v>
      </c>
      <c r="P1453" s="1" t="str">
        <f ca="1">IFERROR(__xludf.DUMMYFUNCTION("""COMPUTED_VALUE"""),"Work with 2 to 3 people in my team")</f>
        <v>Work with 2 to 3 people in my team</v>
      </c>
      <c r="Q1453" s="1" t="str">
        <f ca="1">IFERROR(__xludf.DUMMYFUNCTION("""COMPUTED_VALUE"""),"Yes, I Understand this is gonna happen everywhere")</f>
        <v>Yes, I Understand this is gonna happen everywhere</v>
      </c>
      <c r="R1453" s="1" t="str">
        <f ca="1">IFERROR(__xludf.DUMMYFUNCTION("""COMPUTED_VALUE"""),"This will be hard to do, but if it is the right company I would try")</f>
        <v>This will be hard to do, but if it is the right company I would try</v>
      </c>
      <c r="S1453" s="1"/>
    </row>
    <row r="1454" spans="1:19" ht="12.5" x14ac:dyDescent="0.25">
      <c r="A1454" s="2">
        <f ca="1">IFERROR(__xludf.DUMMYFUNCTION("""COMPUTED_VALUE"""),45045.2251423958)</f>
        <v>45045.225142395801</v>
      </c>
      <c r="B1454" s="1" t="str">
        <f ca="1">IFERROR(__xludf.DUMMYFUNCTION("""COMPUTED_VALUE"""),"India")</f>
        <v>India</v>
      </c>
      <c r="C1454" s="1">
        <f ca="1">IFERROR(__xludf.DUMMYFUNCTION("""COMPUTED_VALUE"""),500008)</f>
        <v>500008</v>
      </c>
      <c r="D1454" s="1" t="str">
        <f ca="1">IFERROR(__xludf.DUMMYFUNCTION("""COMPUTED_VALUE"""),"Female")</f>
        <v>Female</v>
      </c>
      <c r="E1454" s="1" t="str">
        <f ca="1">IFERROR(__xludf.DUMMYFUNCTION("""COMPUTED_VALUE"""),"My Parents")</f>
        <v>My Parents</v>
      </c>
      <c r="F1454" s="1" t="str">
        <f ca="1">IFERROR(__xludf.DUMMYFUNCTION("""COMPUTED_VALUE"""),"Yes, I will earn and do that")</f>
        <v>Yes, I will earn and do that</v>
      </c>
      <c r="G1454" s="1" t="str">
        <f ca="1">IFERROR(__xludf.DUMMYFUNCTION("""COMPUTED_VALUE"""),"No way")</f>
        <v>No way</v>
      </c>
      <c r="H1454" s="1" t="str">
        <f ca="1">IFERROR(__xludf.DUMMYFUNCTION("""COMPUTED_VALUE"""),"No")</f>
        <v>No</v>
      </c>
      <c r="I1454" s="1" t="str">
        <f ca="1">IFERROR(__xludf.DUMMYFUNCTION("""COMPUTED_VALUE"""),"Will NOT work for them")</f>
        <v>Will NOT work for them</v>
      </c>
      <c r="J1454" s="1">
        <f ca="1">IFERROR(__xludf.DUMMYFUNCTION("""COMPUTED_VALUE"""),6)</f>
        <v>6</v>
      </c>
      <c r="K1454" s="1" t="str">
        <f ca="1">IFERROR(__xludf.DUMMYFUNCTION("""COMPUTED_VALUE"""),"Fully Remote with Options to travel as and when needed")</f>
        <v>Fully Remote with Options to travel as and when needed</v>
      </c>
      <c r="L14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5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54" s="1" t="str">
        <f ca="1">IFERROR(__xludf.DUMMYFUNCTION("""COMPUTED_VALUE"""),"Design and Creative strategy in any company, Manage and drive End-to-End Projects or Products, Design and Develop amazing software, Work in a BPO setup for some well known client")</f>
        <v>Design and Creative strategy in any company, Manage and drive End-to-End Projects or Products, Design and Develop amazing software, Work in a BPO setup for some well known client</v>
      </c>
      <c r="O145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54" s="1" t="str">
        <f ca="1">IFERROR(__xludf.DUMMYFUNCTION("""COMPUTED_VALUE"""),"Work with 2 to 3 people in my team")</f>
        <v>Work with 2 to 3 people in my team</v>
      </c>
      <c r="Q1454" s="1" t="str">
        <f ca="1">IFERROR(__xludf.DUMMYFUNCTION("""COMPUTED_VALUE"""),"Yes, I Understand this is gonna happen everywhere")</f>
        <v>Yes, I Understand this is gonna happen everywhere</v>
      </c>
      <c r="R1454" s="1" t="str">
        <f ca="1">IFERROR(__xludf.DUMMYFUNCTION("""COMPUTED_VALUE"""),"This will be hard to do, but if it is the right company I would try")</f>
        <v>This will be hard to do, but if it is the right company I would try</v>
      </c>
      <c r="S1454" s="1"/>
    </row>
    <row r="1455" spans="1:19" ht="12.5" x14ac:dyDescent="0.25">
      <c r="A1455" s="2">
        <f ca="1">IFERROR(__xludf.DUMMYFUNCTION("""COMPUTED_VALUE"""),45045.2783016087)</f>
        <v>45045.278301608698</v>
      </c>
      <c r="B1455" s="1" t="str">
        <f ca="1">IFERROR(__xludf.DUMMYFUNCTION("""COMPUTED_VALUE"""),"India")</f>
        <v>India</v>
      </c>
      <c r="C1455" s="1">
        <f ca="1">IFERROR(__xludf.DUMMYFUNCTION("""COMPUTED_VALUE"""),500043)</f>
        <v>500043</v>
      </c>
      <c r="D1455" s="1" t="str">
        <f ca="1">IFERROR(__xludf.DUMMYFUNCTION("""COMPUTED_VALUE"""),"Female")</f>
        <v>Female</v>
      </c>
      <c r="E1455" s="1" t="str">
        <f ca="1">IFERROR(__xludf.DUMMYFUNCTION("""COMPUTED_VALUE"""),"My Parents")</f>
        <v>My Parents</v>
      </c>
      <c r="F1455" s="1" t="str">
        <f ca="1">IFERROR(__xludf.DUMMYFUNCTION("""COMPUTED_VALUE"""),"No, But if someone could bare the cost I will")</f>
        <v>No, But if someone could bare the cost I will</v>
      </c>
      <c r="G1455" s="1" t="str">
        <f ca="1">IFERROR(__xludf.DUMMYFUNCTION("""COMPUTED_VALUE"""),"Will work for 3 years or more")</f>
        <v>Will work for 3 years or more</v>
      </c>
      <c r="H1455" s="1" t="str">
        <f ca="1">IFERROR(__xludf.DUMMYFUNCTION("""COMPUTED_VALUE"""),"No")</f>
        <v>No</v>
      </c>
      <c r="I1455" s="1" t="str">
        <f ca="1">IFERROR(__xludf.DUMMYFUNCTION("""COMPUTED_VALUE"""),"Will NOT work for them")</f>
        <v>Will NOT work for them</v>
      </c>
      <c r="J1455" s="1">
        <f ca="1">IFERROR(__xludf.DUMMYFUNCTION("""COMPUTED_VALUE"""),1)</f>
        <v>1</v>
      </c>
      <c r="K1455" s="1" t="str">
        <f ca="1">IFERROR(__xludf.DUMMYFUNCTION("""COMPUTED_VALUE"""),"Fully Remote with Options to travel as and when needed")</f>
        <v>Fully Remote with Options to travel as and when needed</v>
      </c>
      <c r="L1455" s="1" t="str">
        <f ca="1">IFERROR(__xludf.DUMMYFUNCTION("""COMPUTED_VALUE"""),"Employer who rewards learning and enables that environment")</f>
        <v>Employer who rewards learning and enables that environment</v>
      </c>
      <c r="M145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55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1455" s="1" t="str">
        <f ca="1">IFERROR(__xludf.DUMMYFUNCTION("""COMPUTED_VALUE"""),"Manager who clearly describes what she/he needs")</f>
        <v>Manager who clearly describes what she/he needs</v>
      </c>
      <c r="P1455" s="1" t="str">
        <f ca="1">IFERROR(__xludf.DUMMYFUNCTION("""COMPUTED_VALUE"""),"Work with 7 to 10 or more people in my team")</f>
        <v>Work with 7 to 10 or more people in my team</v>
      </c>
      <c r="Q1455" s="1" t="str">
        <f ca="1">IFERROR(__xludf.DUMMYFUNCTION("""COMPUTED_VALUE"""),"Yes, I Understand this is gonna happen everywhere")</f>
        <v>Yes, I Understand this is gonna happen everywhere</v>
      </c>
      <c r="R1455" s="1" t="str">
        <f ca="1">IFERROR(__xludf.DUMMYFUNCTION("""COMPUTED_VALUE"""),"Will work for 7 years or more")</f>
        <v>Will work for 7 years or more</v>
      </c>
      <c r="S1455" s="1"/>
    </row>
    <row r="1456" spans="1:19" ht="12.5" x14ac:dyDescent="0.25">
      <c r="A1456" s="2">
        <f ca="1">IFERROR(__xludf.DUMMYFUNCTION("""COMPUTED_VALUE"""),45045.3252866435)</f>
        <v>45045.3252866435</v>
      </c>
      <c r="B1456" s="1" t="str">
        <f ca="1">IFERROR(__xludf.DUMMYFUNCTION("""COMPUTED_VALUE"""),"India")</f>
        <v>India</v>
      </c>
      <c r="C1456" s="1">
        <f ca="1">IFERROR(__xludf.DUMMYFUNCTION("""COMPUTED_VALUE"""),500088)</f>
        <v>500088</v>
      </c>
      <c r="D1456" s="1" t="str">
        <f ca="1">IFERROR(__xludf.DUMMYFUNCTION("""COMPUTED_VALUE"""),"Female")</f>
        <v>Female</v>
      </c>
      <c r="E1456" s="1" t="str">
        <f ca="1">IFERROR(__xludf.DUMMYFUNCTION("""COMPUTED_VALUE"""),"People who have changed the world for better")</f>
        <v>People who have changed the world for better</v>
      </c>
      <c r="F1456" s="1" t="str">
        <f ca="1">IFERROR(__xludf.DUMMYFUNCTION("""COMPUTED_VALUE"""),"No I would not be pursuing Higher Education outside of India")</f>
        <v>No I would not be pursuing Higher Education outside of India</v>
      </c>
      <c r="G1456" s="1" t="str">
        <f ca="1">IFERROR(__xludf.DUMMYFUNCTION("""COMPUTED_VALUE"""),"This will be hard to do, but if it is the right company I would try")</f>
        <v>This will be hard to do, but if it is the right company I would try</v>
      </c>
      <c r="H1456" s="1" t="str">
        <f ca="1">IFERROR(__xludf.DUMMYFUNCTION("""COMPUTED_VALUE"""),"Yes")</f>
        <v>Yes</v>
      </c>
      <c r="I1456" s="1" t="str">
        <f ca="1">IFERROR(__xludf.DUMMYFUNCTION("""COMPUTED_VALUE"""),"Will NOT work for them")</f>
        <v>Will NOT work for them</v>
      </c>
      <c r="J1456" s="1">
        <f ca="1">IFERROR(__xludf.DUMMYFUNCTION("""COMPUTED_VALUE"""),10)</f>
        <v>10</v>
      </c>
      <c r="K1456" s="1" t="str">
        <f ca="1">IFERROR(__xludf.DUMMYFUNCTION("""COMPUTED_VALUE"""),"Hybrid Working Environment with more than 15 days a month at office")</f>
        <v>Hybrid Working Environment with more than 15 days a month at office</v>
      </c>
      <c r="L1456" s="1" t="str">
        <f ca="1">IFERROR(__xludf.DUMMYFUNCTION("""COMPUTED_VALUE"""),"Employer who appreciates learning and enables that environment")</f>
        <v>Employer who appreciates learning and enables that environment</v>
      </c>
      <c r="M145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56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456" s="1" t="str">
        <f ca="1">IFERROR(__xludf.DUMMYFUNCTION("""COMPUTED_VALUE"""),"Manager who explains what is expected, sets a goal and helps achieve it")</f>
        <v>Manager who explains what is expected, sets a goal and helps achieve it</v>
      </c>
      <c r="P1456" s="1" t="str">
        <f ca="1">IFERROR(__xludf.DUMMYFUNCTION("""COMPUTED_VALUE"""),"Work with 7 to 10 or more people in my team")</f>
        <v>Work with 7 to 10 or more people in my team</v>
      </c>
      <c r="Q1456" s="1" t="str">
        <f ca="1">IFERROR(__xludf.DUMMYFUNCTION("""COMPUTED_VALUE"""),"I have NO other choice")</f>
        <v>I have NO other choice</v>
      </c>
      <c r="R1456" s="1" t="str">
        <f ca="1">IFERROR(__xludf.DUMMYFUNCTION("""COMPUTED_VALUE"""),"This will be hard to do, but if it is the right company I would try")</f>
        <v>This will be hard to do, but if it is the right company I would try</v>
      </c>
      <c r="S1456" s="1"/>
    </row>
    <row r="1457" spans="1:19" ht="12.5" x14ac:dyDescent="0.25">
      <c r="A1457" s="2">
        <f ca="1">IFERROR(__xludf.DUMMYFUNCTION("""COMPUTED_VALUE"""),45045.3398399884)</f>
        <v>45045.339839988403</v>
      </c>
      <c r="B1457" s="1" t="str">
        <f ca="1">IFERROR(__xludf.DUMMYFUNCTION("""COMPUTED_VALUE"""),"India")</f>
        <v>India</v>
      </c>
      <c r="C1457" s="1">
        <f ca="1">IFERROR(__xludf.DUMMYFUNCTION("""COMPUTED_VALUE"""),505460)</f>
        <v>505460</v>
      </c>
      <c r="D1457" s="1" t="str">
        <f ca="1">IFERROR(__xludf.DUMMYFUNCTION("""COMPUTED_VALUE"""),"Male")</f>
        <v>Male</v>
      </c>
      <c r="E1457" s="1" t="str">
        <f ca="1">IFERROR(__xludf.DUMMYFUNCTION("""COMPUTED_VALUE"""),"My Parents")</f>
        <v>My Parents</v>
      </c>
      <c r="F1457" s="1" t="str">
        <f ca="1">IFERROR(__xludf.DUMMYFUNCTION("""COMPUTED_VALUE"""),"No I would not be pursuing Higher Education outside of India")</f>
        <v>No I would not be pursuing Higher Education outside of India</v>
      </c>
      <c r="G1457" s="1" t="str">
        <f ca="1">IFERROR(__xludf.DUMMYFUNCTION("""COMPUTED_VALUE"""),"This will be hard to do, but if it is the right company I would try")</f>
        <v>This will be hard to do, but if it is the right company I would try</v>
      </c>
      <c r="H1457" s="1" t="str">
        <f ca="1">IFERROR(__xludf.DUMMYFUNCTION("""COMPUTED_VALUE"""),"No")</f>
        <v>No</v>
      </c>
      <c r="I1457" s="1" t="str">
        <f ca="1">IFERROR(__xludf.DUMMYFUNCTION("""COMPUTED_VALUE"""),"Will NOT work for them")</f>
        <v>Will NOT work for them</v>
      </c>
      <c r="J1457" s="1">
        <f ca="1">IFERROR(__xludf.DUMMYFUNCTION("""COMPUTED_VALUE"""),7)</f>
        <v>7</v>
      </c>
      <c r="K1457" s="1" t="str">
        <f ca="1">IFERROR(__xludf.DUMMYFUNCTION("""COMPUTED_VALUE"""),"Hybrid Working Environment with less than 3 days a month at office")</f>
        <v>Hybrid Working Environment with less than 3 days a month at office</v>
      </c>
      <c r="L1457" s="1" t="str">
        <f ca="1">IFERROR(__xludf.DUMMYFUNCTION("""COMPUTED_VALUE"""),"Employer who appreciates learning and enables that environment")</f>
        <v>Employer who appreciates learning and enables that environment</v>
      </c>
      <c r="M145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57" s="1" t="str">
        <f ca="1">IFERROR(__xludf.DUMMYFUNCTION("""COMPUTED_VALUE"""),"Manage and drive End-to-End Projects or Products, Build and develop a Team, Design and Develop amazing software, Entrepreneur or Start Up")</f>
        <v>Manage and drive End-to-End Projects or Products, Build and develop a Team, Design and Develop amazing software, Entrepreneur or Start Up</v>
      </c>
      <c r="O1457" s="1" t="str">
        <f ca="1">IFERROR(__xludf.DUMMYFUNCTION("""COMPUTED_VALUE"""),"Manager who explains what is expected, sets a goal and helps achieve it")</f>
        <v>Manager who explains what is expected, sets a goal and helps achieve it</v>
      </c>
      <c r="P1457" s="1" t="str">
        <f ca="1">IFERROR(__xludf.DUMMYFUNCTION("""COMPUTED_VALUE"""),"Work with 2 to 3 people in my team, Work with 5 to 6 people in my team")</f>
        <v>Work with 2 to 3 people in my team, Work with 5 to 6 people in my team</v>
      </c>
      <c r="Q1457" s="1" t="str">
        <f ca="1">IFERROR(__xludf.DUMMYFUNCTION("""COMPUTED_VALUE"""),"Yes, I Understand this is gonna happen everywhere")</f>
        <v>Yes, I Understand this is gonna happen everywhere</v>
      </c>
      <c r="R1457" s="1" t="str">
        <f ca="1">IFERROR(__xludf.DUMMYFUNCTION("""COMPUTED_VALUE"""),"This will be hard to do, but if it is the right company I would try")</f>
        <v>This will be hard to do, but if it is the right company I would try</v>
      </c>
      <c r="S1457" s="1"/>
    </row>
    <row r="1458" spans="1:19" ht="12.5" x14ac:dyDescent="0.25">
      <c r="A1458" s="2">
        <f ca="1">IFERROR(__xludf.DUMMYFUNCTION("""COMPUTED_VALUE"""),45045.3400963194)</f>
        <v>45045.3400963194</v>
      </c>
      <c r="B1458" s="1" t="str">
        <f ca="1">IFERROR(__xludf.DUMMYFUNCTION("""COMPUTED_VALUE"""),"India")</f>
        <v>India</v>
      </c>
      <c r="C1458" s="1">
        <f ca="1">IFERROR(__xludf.DUMMYFUNCTION("""COMPUTED_VALUE"""),500070)</f>
        <v>500070</v>
      </c>
      <c r="D1458" s="1" t="str">
        <f ca="1">IFERROR(__xludf.DUMMYFUNCTION("""COMPUTED_VALUE"""),"Female")</f>
        <v>Female</v>
      </c>
      <c r="E1458" s="1" t="str">
        <f ca="1">IFERROR(__xludf.DUMMYFUNCTION("""COMPUTED_VALUE"""),"People from my circle, but not family members")</f>
        <v>People from my circle, but not family members</v>
      </c>
      <c r="F1458" s="1" t="str">
        <f ca="1">IFERROR(__xludf.DUMMYFUNCTION("""COMPUTED_VALUE"""),"No, But if someone could bare the cost I will")</f>
        <v>No, But if someone could bare the cost I will</v>
      </c>
      <c r="G1458" s="1" t="str">
        <f ca="1">IFERROR(__xludf.DUMMYFUNCTION("""COMPUTED_VALUE"""),"No way")</f>
        <v>No way</v>
      </c>
      <c r="H1458" s="1" t="str">
        <f ca="1">IFERROR(__xludf.DUMMYFUNCTION("""COMPUTED_VALUE"""),"No")</f>
        <v>No</v>
      </c>
      <c r="I1458" s="1" t="str">
        <f ca="1">IFERROR(__xludf.DUMMYFUNCTION("""COMPUTED_VALUE"""),"Will NOT work for them")</f>
        <v>Will NOT work for them</v>
      </c>
      <c r="J1458" s="1">
        <f ca="1">IFERROR(__xludf.DUMMYFUNCTION("""COMPUTED_VALUE"""),1)</f>
        <v>1</v>
      </c>
      <c r="K1458" s="1" t="str">
        <f ca="1">IFERROR(__xludf.DUMMYFUNCTION("""COMPUTED_VALUE"""),"Fully Remote with Options to travel as and when needed")</f>
        <v>Fully Remote with Options to travel as and when needed</v>
      </c>
      <c r="L14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5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58" s="1" t="str">
        <f ca="1">IFERROR(__xludf.DUMMYFUNCTION("""COMPUTED_VALUE"""),"Design and Creative strategy in any company, Teaching in any of the institutes/colleges/online or offline, Entrepreneur or Start Up, An Artificial Intelligence Specialist / Talking to Robots")</f>
        <v>Design and Creative strategy in any company, Teaching in any of the institutes/colleges/online or offline, Entrepreneur or Start Up, An Artificial Intelligence Specialist / Talking to Robots</v>
      </c>
      <c r="O145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58" s="1" t="str">
        <f ca="1">IFERROR(__xludf.DUMMYFUNCTION("""COMPUTED_VALUE"""),"Work alone")</f>
        <v>Work alone</v>
      </c>
      <c r="Q1458" s="1" t="str">
        <f ca="1">IFERROR(__xludf.DUMMYFUNCTION("""COMPUTED_VALUE"""),"Yes, I Understand this is gonna happen everywhere")</f>
        <v>Yes, I Understand this is gonna happen everywhere</v>
      </c>
      <c r="R1458" s="1" t="str">
        <f ca="1">IFERROR(__xludf.DUMMYFUNCTION("""COMPUTED_VALUE"""),"No way")</f>
        <v>No way</v>
      </c>
      <c r="S1458" s="1"/>
    </row>
    <row r="1459" spans="1:19" ht="12.5" x14ac:dyDescent="0.25">
      <c r="A1459" s="2">
        <f ca="1">IFERROR(__xludf.DUMMYFUNCTION("""COMPUTED_VALUE"""),45045.3421630902)</f>
        <v>45045.342163090201</v>
      </c>
      <c r="B1459" s="1" t="str">
        <f ca="1">IFERROR(__xludf.DUMMYFUNCTION("""COMPUTED_VALUE"""),"India")</f>
        <v>India</v>
      </c>
      <c r="C1459" s="1">
        <f ca="1">IFERROR(__xludf.DUMMYFUNCTION("""COMPUTED_VALUE"""),508234)</f>
        <v>508234</v>
      </c>
      <c r="D1459" s="1" t="str">
        <f ca="1">IFERROR(__xludf.DUMMYFUNCTION("""COMPUTED_VALUE"""),"Female")</f>
        <v>Female</v>
      </c>
      <c r="E1459" s="1" t="str">
        <f ca="1">IFERROR(__xludf.DUMMYFUNCTION("""COMPUTED_VALUE"""),"My Parents")</f>
        <v>My Parents</v>
      </c>
      <c r="F1459" s="1" t="str">
        <f ca="1">IFERROR(__xludf.DUMMYFUNCTION("""COMPUTED_VALUE"""),"Yes, I will earn and do that")</f>
        <v>Yes, I will earn and do that</v>
      </c>
      <c r="G1459" s="1" t="str">
        <f ca="1">IFERROR(__xludf.DUMMYFUNCTION("""COMPUTED_VALUE"""),"This will be hard to do, but if it is the right company I would try")</f>
        <v>This will be hard to do, but if it is the right company I would try</v>
      </c>
      <c r="H1459" s="1" t="str">
        <f ca="1">IFERROR(__xludf.DUMMYFUNCTION("""COMPUTED_VALUE"""),"Yes")</f>
        <v>Yes</v>
      </c>
      <c r="I1459" s="1" t="str">
        <f ca="1">IFERROR(__xludf.DUMMYFUNCTION("""COMPUTED_VALUE"""),"Will NOT work for them")</f>
        <v>Will NOT work for them</v>
      </c>
      <c r="J1459" s="1">
        <f ca="1">IFERROR(__xludf.DUMMYFUNCTION("""COMPUTED_VALUE"""),5)</f>
        <v>5</v>
      </c>
      <c r="K1459" s="1" t="str">
        <f ca="1">IFERROR(__xludf.DUMMYFUNCTION("""COMPUTED_VALUE"""),"Every Day Office Environment")</f>
        <v>Every Day Office Environment</v>
      </c>
      <c r="L1459" s="1" t="str">
        <f ca="1">IFERROR(__xludf.DUMMYFUNCTION("""COMPUTED_VALUE"""),"Employer who appreciates learning and enables that environment")</f>
        <v>Employer who appreciates learning and enables that environment</v>
      </c>
      <c r="M145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459" s="1" t="str">
        <f ca="1">IFERROR(__xludf.DUMMYFUNCTION("""COMPUTED_VALUE"""),"Design and Creative strategy in any company, Build and develop a Team, Entrepreneur or Start Up, An Artificial Intelligence Specialist / Talking to Robots")</f>
        <v>Design and Creative strategy in any company, Build and develop a Team, Entrepreneur or Start Up, An Artificial Intelligence Specialist / Talking to Robots</v>
      </c>
      <c r="O1459" s="1" t="str">
        <f ca="1">IFERROR(__xludf.DUMMYFUNCTION("""COMPUTED_VALUE"""),"Manager who clearly describes what she/he needs")</f>
        <v>Manager who clearly describes what she/he needs</v>
      </c>
      <c r="P1459" s="1" t="str">
        <f ca="1">IFERROR(__xludf.DUMMYFUNCTION("""COMPUTED_VALUE"""),"Work with 5 to 6 people in my team")</f>
        <v>Work with 5 to 6 people in my team</v>
      </c>
      <c r="Q1459" s="1" t="str">
        <f ca="1">IFERROR(__xludf.DUMMYFUNCTION("""COMPUTED_VALUE"""),"Yes, I Understand this is gonna happen everywhere")</f>
        <v>Yes, I Understand this is gonna happen everywhere</v>
      </c>
      <c r="R1459" s="1" t="str">
        <f ca="1">IFERROR(__xludf.DUMMYFUNCTION("""COMPUTED_VALUE"""),"This will be hard to do, but if it is the right company I would try")</f>
        <v>This will be hard to do, but if it is the right company I would try</v>
      </c>
      <c r="S1459" s="1"/>
    </row>
    <row r="1460" spans="1:19" ht="12.5" x14ac:dyDescent="0.25">
      <c r="A1460" s="2">
        <f ca="1">IFERROR(__xludf.DUMMYFUNCTION("""COMPUTED_VALUE"""),45045.3641467245)</f>
        <v>45045.364146724503</v>
      </c>
      <c r="B1460" s="1" t="str">
        <f ca="1">IFERROR(__xludf.DUMMYFUNCTION("""COMPUTED_VALUE"""),"India")</f>
        <v>India</v>
      </c>
      <c r="C1460" s="1">
        <f ca="1">IFERROR(__xludf.DUMMYFUNCTION("""COMPUTED_VALUE"""),224135)</f>
        <v>224135</v>
      </c>
      <c r="D1460" s="1" t="str">
        <f ca="1">IFERROR(__xludf.DUMMYFUNCTION("""COMPUTED_VALUE"""),"Male")</f>
        <v>Male</v>
      </c>
      <c r="E1460" s="1" t="str">
        <f ca="1">IFERROR(__xludf.DUMMYFUNCTION("""COMPUTED_VALUE"""),"My Parents")</f>
        <v>My Parents</v>
      </c>
      <c r="F1460" s="1" t="str">
        <f ca="1">IFERROR(__xludf.DUMMYFUNCTION("""COMPUTED_VALUE"""),"No I would not be pursuing Higher Education outside of India")</f>
        <v>No I would not be pursuing Higher Education outside of India</v>
      </c>
      <c r="G1460" s="1" t="str">
        <f ca="1">IFERROR(__xludf.DUMMYFUNCTION("""COMPUTED_VALUE"""),"Will work for 3 years or more")</f>
        <v>Will work for 3 years or more</v>
      </c>
      <c r="H1460" s="1" t="str">
        <f ca="1">IFERROR(__xludf.DUMMYFUNCTION("""COMPUTED_VALUE"""),"No")</f>
        <v>No</v>
      </c>
      <c r="I1460" s="1" t="str">
        <f ca="1">IFERROR(__xludf.DUMMYFUNCTION("""COMPUTED_VALUE"""),"Will work for them")</f>
        <v>Will work for them</v>
      </c>
      <c r="J1460" s="1">
        <f ca="1">IFERROR(__xludf.DUMMYFUNCTION("""COMPUTED_VALUE"""),1)</f>
        <v>1</v>
      </c>
      <c r="K1460" s="1" t="str">
        <f ca="1">IFERROR(__xludf.DUMMYFUNCTION("""COMPUTED_VALUE"""),"Hybrid Working Environment with more than 15 days a month at office")</f>
        <v>Hybrid Working Environment with more than 15 days a month at office</v>
      </c>
      <c r="L1460" s="1" t="str">
        <f ca="1">IFERROR(__xludf.DUMMYFUNCTION("""COMPUTED_VALUE"""),"Employer who appreciates learning and enables that environment")</f>
        <v>Employer who appreciates learning and enables that environment</v>
      </c>
      <c r="M1460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460" s="1" t="str">
        <f ca="1">IFERROR(__xludf.DUMMYFUNCTION("""COMPUTED_VALUE"""),"Business Operations in any organization, Manage and drive End-to-End Projects or Products, Look deeply into Data and generate insights, Work in a BPO setup for some well known client")</f>
        <v>Business Operations in any organization, Manage and drive End-to-End Projects or Products, Look deeply into Data and generate insights, Work in a BPO setup for some well known client</v>
      </c>
      <c r="O1460" s="1" t="str">
        <f ca="1">IFERROR(__xludf.DUMMYFUNCTION("""COMPUTED_VALUE"""),"Manager who explains what is expected, sets a goal and helps achieve it")</f>
        <v>Manager who explains what is expected, sets a goal and helps achieve it</v>
      </c>
      <c r="P1460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460" s="1" t="str">
        <f ca="1">IFERROR(__xludf.DUMMYFUNCTION("""COMPUTED_VALUE"""),"Yes, I Understand this is gonna happen everywhere")</f>
        <v>Yes, I Understand this is gonna happen everywhere</v>
      </c>
      <c r="R1460" s="1" t="str">
        <f ca="1">IFERROR(__xludf.DUMMYFUNCTION("""COMPUTED_VALUE"""),"This will be hard to do, but if it is the right company I would try")</f>
        <v>This will be hard to do, but if it is the right company I would try</v>
      </c>
      <c r="S1460" s="1"/>
    </row>
    <row r="1461" spans="1:19" ht="12.5" x14ac:dyDescent="0.25">
      <c r="A1461" s="2">
        <f ca="1">IFERROR(__xludf.DUMMYFUNCTION("""COMPUTED_VALUE"""),45045.387292824)</f>
        <v>45045.387292824002</v>
      </c>
      <c r="B1461" s="1" t="str">
        <f ca="1">IFERROR(__xludf.DUMMYFUNCTION("""COMPUTED_VALUE"""),"India")</f>
        <v>India</v>
      </c>
      <c r="C1461" s="1">
        <f ca="1">IFERROR(__xludf.DUMMYFUNCTION("""COMPUTED_VALUE"""),641006)</f>
        <v>641006</v>
      </c>
      <c r="D1461" s="1" t="str">
        <f ca="1">IFERROR(__xludf.DUMMYFUNCTION("""COMPUTED_VALUE"""),"Female")</f>
        <v>Female</v>
      </c>
      <c r="E1461" s="1" t="str">
        <f ca="1">IFERROR(__xludf.DUMMYFUNCTION("""COMPUTED_VALUE"""),"People who have changed the world for better")</f>
        <v>People who have changed the world for better</v>
      </c>
      <c r="F1461" s="1" t="str">
        <f ca="1">IFERROR(__xludf.DUMMYFUNCTION("""COMPUTED_VALUE"""),"No I would not be pursuing Higher Education outside of India")</f>
        <v>No I would not be pursuing Higher Education outside of India</v>
      </c>
      <c r="G1461" s="1" t="str">
        <f ca="1">IFERROR(__xludf.DUMMYFUNCTION("""COMPUTED_VALUE"""),"This will be hard to do, but if it is the right company I would try")</f>
        <v>This will be hard to do, but if it is the right company I would try</v>
      </c>
      <c r="H1461" s="1" t="str">
        <f ca="1">IFERROR(__xludf.DUMMYFUNCTION("""COMPUTED_VALUE"""),"No")</f>
        <v>No</v>
      </c>
      <c r="I1461" s="1" t="str">
        <f ca="1">IFERROR(__xludf.DUMMYFUNCTION("""COMPUTED_VALUE"""),"Will work for them")</f>
        <v>Will work for them</v>
      </c>
      <c r="J1461" s="1">
        <f ca="1">IFERROR(__xludf.DUMMYFUNCTION("""COMPUTED_VALUE"""),7)</f>
        <v>7</v>
      </c>
      <c r="K1461" s="1" t="str">
        <f ca="1">IFERROR(__xludf.DUMMYFUNCTION("""COMPUTED_VALUE"""),"Every Day Office Environment")</f>
        <v>Every Day Office Environment</v>
      </c>
      <c r="L14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6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61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1461" s="1" t="str">
        <f ca="1">IFERROR(__xludf.DUMMYFUNCTION("""COMPUTED_VALUE"""),"Manager who clearly describes what she/he needs")</f>
        <v>Manager who clearly describes what she/he needs</v>
      </c>
      <c r="P1461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1461" s="1" t="str">
        <f ca="1">IFERROR(__xludf.DUMMYFUNCTION("""COMPUTED_VALUE"""),"Yes, I Understand this is gonna happen everywhere")</f>
        <v>Yes, I Understand this is gonna happen everywhere</v>
      </c>
      <c r="R1461" s="1" t="str">
        <f ca="1">IFERROR(__xludf.DUMMYFUNCTION("""COMPUTED_VALUE"""),"This will be hard to do, but if it is the right company I would try")</f>
        <v>This will be hard to do, but if it is the right company I would try</v>
      </c>
      <c r="S1461" s="1"/>
    </row>
    <row r="1462" spans="1:19" ht="12.5" x14ac:dyDescent="0.25">
      <c r="A1462" s="2">
        <f ca="1">IFERROR(__xludf.DUMMYFUNCTION("""COMPUTED_VALUE"""),45045.40869603)</f>
        <v>45045.408696029997</v>
      </c>
      <c r="B1462" s="1" t="str">
        <f ca="1">IFERROR(__xludf.DUMMYFUNCTION("""COMPUTED_VALUE"""),"India")</f>
        <v>India</v>
      </c>
      <c r="C1462" s="1">
        <f ca="1">IFERROR(__xludf.DUMMYFUNCTION("""COMPUTED_VALUE"""),201306)</f>
        <v>201306</v>
      </c>
      <c r="D1462" s="1" t="str">
        <f ca="1">IFERROR(__xludf.DUMMYFUNCTION("""COMPUTED_VALUE"""),"Male")</f>
        <v>Male</v>
      </c>
      <c r="E1462" s="1" t="str">
        <f ca="1">IFERROR(__xludf.DUMMYFUNCTION("""COMPUTED_VALUE"""),"My Parents")</f>
        <v>My Parents</v>
      </c>
      <c r="F1462" s="1" t="str">
        <f ca="1">IFERROR(__xludf.DUMMYFUNCTION("""COMPUTED_VALUE"""),"Yes, I will earn and do that")</f>
        <v>Yes, I will earn and do that</v>
      </c>
      <c r="G1462" s="1" t="str">
        <f ca="1">IFERROR(__xludf.DUMMYFUNCTION("""COMPUTED_VALUE"""),"This will be hard to do, but if it is the right company I would try")</f>
        <v>This will be hard to do, but if it is the right company I would try</v>
      </c>
      <c r="H1462" s="1" t="str">
        <f ca="1">IFERROR(__xludf.DUMMYFUNCTION("""COMPUTED_VALUE"""),"No")</f>
        <v>No</v>
      </c>
      <c r="I1462" s="1" t="str">
        <f ca="1">IFERROR(__xludf.DUMMYFUNCTION("""COMPUTED_VALUE"""),"Will NOT work for them")</f>
        <v>Will NOT work for them</v>
      </c>
      <c r="J1462" s="1">
        <f ca="1">IFERROR(__xludf.DUMMYFUNCTION("""COMPUTED_VALUE"""),3)</f>
        <v>3</v>
      </c>
      <c r="K1462" s="1" t="str">
        <f ca="1">IFERROR(__xludf.DUMMYFUNCTION("""COMPUTED_VALUE"""),"Hybrid Working Environment with more than 15 days a month at office")</f>
        <v>Hybrid Working Environment with more than 15 days a month at office</v>
      </c>
      <c r="L14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6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62" s="1" t="str">
        <f ca="1">IFERROR(__xludf.DUMMYFUNCTION("""COMPUTED_VALUE"""),"Business Operations in any organization, Build and develop a Team, Look deeply into Data and generate insights, Work as a freelancer and do my thing my way")</f>
        <v>Business Operations in any organization, Build and develop a Team, Look deeply into Data and generate insights, Work as a freelancer and do my thing my way</v>
      </c>
      <c r="O1462" s="1" t="str">
        <f ca="1">IFERROR(__xludf.DUMMYFUNCTION("""COMPUTED_VALUE"""),"Manager who explains what is expected, sets a goal and helps achieve it")</f>
        <v>Manager who explains what is expected, sets a goal and helps achieve it</v>
      </c>
      <c r="P1462" s="1" t="str">
        <f ca="1">IFERROR(__xludf.DUMMYFUNCTION("""COMPUTED_VALUE"""),"Work with more than 10 people in my team")</f>
        <v>Work with more than 10 people in my team</v>
      </c>
      <c r="Q1462" s="1" t="str">
        <f ca="1">IFERROR(__xludf.DUMMYFUNCTION("""COMPUTED_VALUE"""),"Yes, I Understand this is gonna happen everywhere")</f>
        <v>Yes, I Understand this is gonna happen everywhere</v>
      </c>
      <c r="R1462" s="1" t="str">
        <f ca="1">IFERROR(__xludf.DUMMYFUNCTION("""COMPUTED_VALUE"""),"This will be hard to do, but if it is the right company I would try")</f>
        <v>This will be hard to do, but if it is the right company I would try</v>
      </c>
      <c r="S1462" s="1"/>
    </row>
    <row r="1463" spans="1:19" ht="12.5" x14ac:dyDescent="0.25">
      <c r="A1463" s="2">
        <f ca="1">IFERROR(__xludf.DUMMYFUNCTION("""COMPUTED_VALUE"""),45045.4124406365)</f>
        <v>45045.412440636501</v>
      </c>
      <c r="B1463" s="1" t="str">
        <f ca="1">IFERROR(__xludf.DUMMYFUNCTION("""COMPUTED_VALUE"""),"India")</f>
        <v>India</v>
      </c>
      <c r="C1463" s="1">
        <f ca="1">IFERROR(__xludf.DUMMYFUNCTION("""COMPUTED_VALUE"""),110092)</f>
        <v>110092</v>
      </c>
      <c r="D1463" s="1" t="str">
        <f ca="1">IFERROR(__xludf.DUMMYFUNCTION("""COMPUTED_VALUE"""),"Male")</f>
        <v>Male</v>
      </c>
      <c r="E1463" s="1" t="str">
        <f ca="1">IFERROR(__xludf.DUMMYFUNCTION("""COMPUTED_VALUE"""),"Social Media like LinkedIn")</f>
        <v>Social Media like LinkedIn</v>
      </c>
      <c r="F1463" s="1" t="str">
        <f ca="1">IFERROR(__xludf.DUMMYFUNCTION("""COMPUTED_VALUE"""),"No I would not be pursuing Higher Education outside of India")</f>
        <v>No I would not be pursuing Higher Education outside of India</v>
      </c>
      <c r="G1463" s="1" t="str">
        <f ca="1">IFERROR(__xludf.DUMMYFUNCTION("""COMPUTED_VALUE"""),"Will work for 3 years or more")</f>
        <v>Will work for 3 years or more</v>
      </c>
      <c r="H1463" s="1" t="str">
        <f ca="1">IFERROR(__xludf.DUMMYFUNCTION("""COMPUTED_VALUE"""),"No")</f>
        <v>No</v>
      </c>
      <c r="I1463" s="1" t="str">
        <f ca="1">IFERROR(__xludf.DUMMYFUNCTION("""COMPUTED_VALUE"""),"Will NOT work for them")</f>
        <v>Will NOT work for them</v>
      </c>
      <c r="J1463" s="1">
        <f ca="1">IFERROR(__xludf.DUMMYFUNCTION("""COMPUTED_VALUE"""),1)</f>
        <v>1</v>
      </c>
      <c r="K1463" s="1" t="str">
        <f ca="1">IFERROR(__xludf.DUMMYFUNCTION("""COMPUTED_VALUE"""),"Every Day Office Environment")</f>
        <v>Every Day Office Environment</v>
      </c>
      <c r="L14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6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63" s="1" t="str">
        <f ca="1">IFERROR(__xludf.DUMMYFUNCTION("""COMPUTED_VALUE"""),"Business Operations in any organization, Look deeply into Data and generate insights, Work in a BPO setup for some well known client, Work as a freelancer and do my thing my way")</f>
        <v>Business Operations in any organization, Look deeply into Data and generate insights, Work in a BPO setup for some well known client, Work as a freelancer and do my thing my way</v>
      </c>
      <c r="O1463" s="1" t="str">
        <f ca="1">IFERROR(__xludf.DUMMYFUNCTION("""COMPUTED_VALUE"""),"Manager who explains what is expected, sets a goal and helps achieve it")</f>
        <v>Manager who explains what is expected, sets a goal and helps achieve it</v>
      </c>
      <c r="P1463" s="1" t="str">
        <f ca="1">IFERROR(__xludf.DUMMYFUNCTION("""COMPUTED_VALUE"""),"Work with more than 10 people in my team")</f>
        <v>Work with more than 10 people in my team</v>
      </c>
      <c r="Q1463" s="1" t="str">
        <f ca="1">IFERROR(__xludf.DUMMYFUNCTION("""COMPUTED_VALUE"""),"Yes, I Understand this is gonna happen everywhere")</f>
        <v>Yes, I Understand this is gonna happen everywhere</v>
      </c>
      <c r="R1463" s="1" t="str">
        <f ca="1">IFERROR(__xludf.DUMMYFUNCTION("""COMPUTED_VALUE"""),"Will work for 7 years or more")</f>
        <v>Will work for 7 years or more</v>
      </c>
      <c r="S1463" s="1"/>
    </row>
    <row r="1464" spans="1:19" ht="12.5" x14ac:dyDescent="0.25">
      <c r="A1464" s="2">
        <f ca="1">IFERROR(__xludf.DUMMYFUNCTION("""COMPUTED_VALUE"""),45045.4146012731)</f>
        <v>45045.4146012731</v>
      </c>
      <c r="B1464" s="1" t="str">
        <f ca="1">IFERROR(__xludf.DUMMYFUNCTION("""COMPUTED_VALUE"""),"India")</f>
        <v>India</v>
      </c>
      <c r="C1464" s="1">
        <f ca="1">IFERROR(__xludf.DUMMYFUNCTION("""COMPUTED_VALUE"""),201301)</f>
        <v>201301</v>
      </c>
      <c r="D1464" s="1" t="str">
        <f ca="1">IFERROR(__xludf.DUMMYFUNCTION("""COMPUTED_VALUE"""),"Female")</f>
        <v>Female</v>
      </c>
      <c r="E1464" s="1" t="str">
        <f ca="1">IFERROR(__xludf.DUMMYFUNCTION("""COMPUTED_VALUE"""),"People who have changed the world for better")</f>
        <v>People who have changed the world for better</v>
      </c>
      <c r="F1464" s="1" t="str">
        <f ca="1">IFERROR(__xludf.DUMMYFUNCTION("""COMPUTED_VALUE"""),"Yes, I will earn and do that")</f>
        <v>Yes, I will earn and do that</v>
      </c>
      <c r="G1464" s="1" t="str">
        <f ca="1">IFERROR(__xludf.DUMMYFUNCTION("""COMPUTED_VALUE"""),"Will work for 3 years or more")</f>
        <v>Will work for 3 years or more</v>
      </c>
      <c r="H1464" s="1" t="str">
        <f ca="1">IFERROR(__xludf.DUMMYFUNCTION("""COMPUTED_VALUE"""),"Yes")</f>
        <v>Yes</v>
      </c>
      <c r="I1464" s="1" t="str">
        <f ca="1">IFERROR(__xludf.DUMMYFUNCTION("""COMPUTED_VALUE"""),"Will NOT work for them")</f>
        <v>Will NOT work for them</v>
      </c>
      <c r="J1464" s="1">
        <f ca="1">IFERROR(__xludf.DUMMYFUNCTION("""COMPUTED_VALUE"""),8)</f>
        <v>8</v>
      </c>
      <c r="K1464" s="1" t="str">
        <f ca="1">IFERROR(__xludf.DUMMYFUNCTION("""COMPUTED_VALUE"""),"Hybrid Working Environment with less than 3 days a month at office")</f>
        <v>Hybrid Working Environment with less than 3 days a month at office</v>
      </c>
      <c r="L1464" s="1" t="str">
        <f ca="1">IFERROR(__xludf.DUMMYFUNCTION("""COMPUTED_VALUE"""),"Employer who appreciates learning and enables that environment")</f>
        <v>Employer who appreciates learning and enables that environment</v>
      </c>
      <c r="M146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64" s="1" t="str">
        <f ca="1">IFERROR(__xludf.DUMMYFUNCTION("""COMPUTED_VALUE"""),"Design and Creative strategy in any company, Manage and drive End-to-End Projects or Products, Design and Develop amazing software, An Artificial Intelligence Specialist / Talking to Robots")</f>
        <v>Design and Creative strategy in any company, Manage and drive End-to-End Projects or Products, Design and Develop amazing software, An Artificial Intelligence Specialist / Talking to Robots</v>
      </c>
      <c r="O146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64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464" s="1" t="str">
        <f ca="1">IFERROR(__xludf.DUMMYFUNCTION("""COMPUTED_VALUE"""),"Yes, I Understand this is gonna happen everywhere")</f>
        <v>Yes, I Understand this is gonna happen everywhere</v>
      </c>
      <c r="R1464" s="1" t="str">
        <f ca="1">IFERROR(__xludf.DUMMYFUNCTION("""COMPUTED_VALUE"""),"This will be hard to do, but if it is the right company I would try")</f>
        <v>This will be hard to do, but if it is the right company I would try</v>
      </c>
      <c r="S1464" s="1"/>
    </row>
    <row r="1465" spans="1:19" ht="12.5" x14ac:dyDescent="0.25">
      <c r="A1465" s="2">
        <f ca="1">IFERROR(__xludf.DUMMYFUNCTION("""COMPUTED_VALUE"""),45045.4153253009)</f>
        <v>45045.415325300899</v>
      </c>
      <c r="B1465" s="1" t="str">
        <f ca="1">IFERROR(__xludf.DUMMYFUNCTION("""COMPUTED_VALUE"""),"India")</f>
        <v>India</v>
      </c>
      <c r="C1465" s="1">
        <f ca="1">IFERROR(__xludf.DUMMYFUNCTION("""COMPUTED_VALUE"""),628552)</f>
        <v>628552</v>
      </c>
      <c r="D1465" s="1" t="str">
        <f ca="1">IFERROR(__xludf.DUMMYFUNCTION("""COMPUTED_VALUE"""),"Male")</f>
        <v>Male</v>
      </c>
      <c r="E1465" s="1" t="str">
        <f ca="1">IFERROR(__xludf.DUMMYFUNCTION("""COMPUTED_VALUE"""),"Social Media like LinkedIn")</f>
        <v>Social Media like LinkedIn</v>
      </c>
      <c r="F1465" s="1" t="str">
        <f ca="1">IFERROR(__xludf.DUMMYFUNCTION("""COMPUTED_VALUE"""),"Yes, I will earn and do that")</f>
        <v>Yes, I will earn and do that</v>
      </c>
      <c r="G1465" s="1" t="str">
        <f ca="1">IFERROR(__xludf.DUMMYFUNCTION("""COMPUTED_VALUE"""),"This will be hard to do, but if it is the right company I would try")</f>
        <v>This will be hard to do, but if it is the right company I would try</v>
      </c>
      <c r="H1465" s="1" t="str">
        <f ca="1">IFERROR(__xludf.DUMMYFUNCTION("""COMPUTED_VALUE"""),"Yes")</f>
        <v>Yes</v>
      </c>
      <c r="I1465" s="1" t="str">
        <f ca="1">IFERROR(__xludf.DUMMYFUNCTION("""COMPUTED_VALUE"""),"Will work for them")</f>
        <v>Will work for them</v>
      </c>
      <c r="J1465" s="1">
        <f ca="1">IFERROR(__xludf.DUMMYFUNCTION("""COMPUTED_VALUE"""),7)</f>
        <v>7</v>
      </c>
      <c r="K1465" s="1" t="str">
        <f ca="1">IFERROR(__xludf.DUMMYFUNCTION("""COMPUTED_VALUE"""),"Every Day Office Environment")</f>
        <v>Every Day Office Environment</v>
      </c>
      <c r="L1465" s="1" t="str">
        <f ca="1">IFERROR(__xludf.DUMMYFUNCTION("""COMPUTED_VALUE"""),"Employer who appreciates learning and enables that environment")</f>
        <v>Employer who appreciates learning and enables that environment</v>
      </c>
      <c r="M1465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465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146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65" s="1" t="str">
        <f ca="1">IFERROR(__xludf.DUMMYFUNCTION("""COMPUTED_VALUE"""),"Work with 2 to 3 people in my team")</f>
        <v>Work with 2 to 3 people in my team</v>
      </c>
      <c r="Q1465" s="1" t="str">
        <f ca="1">IFERROR(__xludf.DUMMYFUNCTION("""COMPUTED_VALUE"""),"Yes, I Understand this is gonna happen everywhere")</f>
        <v>Yes, I Understand this is gonna happen everywhere</v>
      </c>
      <c r="R1465" s="1" t="str">
        <f ca="1">IFERROR(__xludf.DUMMYFUNCTION("""COMPUTED_VALUE"""),"This will be hard to do, but if it is the right company I would try")</f>
        <v>This will be hard to do, but if it is the right company I would try</v>
      </c>
      <c r="S1465" s="1"/>
    </row>
    <row r="1466" spans="1:19" ht="12.5" x14ac:dyDescent="0.25">
      <c r="A1466" s="2">
        <f ca="1">IFERROR(__xludf.DUMMYFUNCTION("""COMPUTED_VALUE"""),45045.418949155)</f>
        <v>45045.418949154999</v>
      </c>
      <c r="B1466" s="1" t="str">
        <f ca="1">IFERROR(__xludf.DUMMYFUNCTION("""COMPUTED_VALUE"""),"India")</f>
        <v>India</v>
      </c>
      <c r="C1466" s="1">
        <f ca="1">IFERROR(__xludf.DUMMYFUNCTION("""COMPUTED_VALUE"""),110096)</f>
        <v>110096</v>
      </c>
      <c r="D1466" s="1" t="str">
        <f ca="1">IFERROR(__xludf.DUMMYFUNCTION("""COMPUTED_VALUE"""),"Male")</f>
        <v>Male</v>
      </c>
      <c r="E1466" s="1" t="str">
        <f ca="1">IFERROR(__xludf.DUMMYFUNCTION("""COMPUTED_VALUE"""),"Social Media like LinkedIn")</f>
        <v>Social Media like LinkedIn</v>
      </c>
      <c r="F1466" s="1" t="str">
        <f ca="1">IFERROR(__xludf.DUMMYFUNCTION("""COMPUTED_VALUE"""),"Yes, I will earn and do that")</f>
        <v>Yes, I will earn and do that</v>
      </c>
      <c r="G1466" s="1" t="str">
        <f ca="1">IFERROR(__xludf.DUMMYFUNCTION("""COMPUTED_VALUE"""),"Will work for 3 years or more")</f>
        <v>Will work for 3 years or more</v>
      </c>
      <c r="H1466" s="1" t="str">
        <f ca="1">IFERROR(__xludf.DUMMYFUNCTION("""COMPUTED_VALUE"""),"Yes")</f>
        <v>Yes</v>
      </c>
      <c r="I1466" s="1" t="str">
        <f ca="1">IFERROR(__xludf.DUMMYFUNCTION("""COMPUTED_VALUE"""),"Will NOT work for them")</f>
        <v>Will NOT work for them</v>
      </c>
      <c r="J1466" s="1">
        <f ca="1">IFERROR(__xludf.DUMMYFUNCTION("""COMPUTED_VALUE"""),10)</f>
        <v>10</v>
      </c>
      <c r="K1466" s="1" t="str">
        <f ca="1">IFERROR(__xludf.DUMMYFUNCTION("""COMPUTED_VALUE"""),"Hybrid Working Environment with more than 15 days a month at office")</f>
        <v>Hybrid Working Environment with more than 15 days a month at office</v>
      </c>
      <c r="L1466" s="1" t="str">
        <f ca="1">IFERROR(__xludf.DUMMYFUNCTION("""COMPUTED_VALUE"""),"Employer who appreciates learning and enables that environment")</f>
        <v>Employer who appreciates learning and enables that environment</v>
      </c>
      <c r="M146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466" s="1" t="str">
        <f ca="1">IFERROR(__xludf.DUMMYFUNCTION("""COMPUTED_VALUE"""),"Business Operations in any organization, Work in a BPO setup for some well known client, Work as a freelancer and do my thing my way, Entrepreneur or Start Up")</f>
        <v>Business Operations in any organization, Work in a BPO setup for some well known client, Work as a freelancer and do my thing my way, Entrepreneur or Start Up</v>
      </c>
      <c r="O1466" s="1" t="str">
        <f ca="1">IFERROR(__xludf.DUMMYFUNCTION("""COMPUTED_VALUE"""),"Manager who explains what is expected, sets a goal and helps achieve it")</f>
        <v>Manager who explains what is expected, sets a goal and helps achieve it</v>
      </c>
      <c r="P1466" s="1" t="str">
        <f ca="1">IFERROR(__xludf.DUMMYFUNCTION("""COMPUTED_VALUE"""),"Work with more than 10 people in my team")</f>
        <v>Work with more than 10 people in my team</v>
      </c>
      <c r="Q1466" s="1" t="str">
        <f ca="1">IFERROR(__xludf.DUMMYFUNCTION("""COMPUTED_VALUE"""),"Yes, I Understand this is gonna happen everywhere")</f>
        <v>Yes, I Understand this is gonna happen everywhere</v>
      </c>
      <c r="R1466" s="1" t="str">
        <f ca="1">IFERROR(__xludf.DUMMYFUNCTION("""COMPUTED_VALUE"""),"This will be hard to do, but if it is the right company I would try")</f>
        <v>This will be hard to do, but if it is the right company I would try</v>
      </c>
      <c r="S1466" s="1"/>
    </row>
    <row r="1467" spans="1:19" ht="12.5" x14ac:dyDescent="0.25">
      <c r="A1467" s="2">
        <f ca="1">IFERROR(__xludf.DUMMYFUNCTION("""COMPUTED_VALUE"""),45045.4277299999)</f>
        <v>45045.427729999901</v>
      </c>
      <c r="B1467" s="1" t="str">
        <f ca="1">IFERROR(__xludf.DUMMYFUNCTION("""COMPUTED_VALUE"""),"India")</f>
        <v>India</v>
      </c>
      <c r="C1467" s="1">
        <f ca="1">IFERROR(__xludf.DUMMYFUNCTION("""COMPUTED_VALUE"""),201301)</f>
        <v>201301</v>
      </c>
      <c r="D1467" s="1" t="str">
        <f ca="1">IFERROR(__xludf.DUMMYFUNCTION("""COMPUTED_VALUE"""),"Female")</f>
        <v>Female</v>
      </c>
      <c r="E1467" s="1" t="str">
        <f ca="1">IFERROR(__xludf.DUMMYFUNCTION("""COMPUTED_VALUE"""),"Social Media like LinkedIn")</f>
        <v>Social Media like LinkedIn</v>
      </c>
      <c r="F1467" s="1" t="str">
        <f ca="1">IFERROR(__xludf.DUMMYFUNCTION("""COMPUTED_VALUE"""),"Yes, I will earn and do that")</f>
        <v>Yes, I will earn and do that</v>
      </c>
      <c r="G1467" s="1" t="str">
        <f ca="1">IFERROR(__xludf.DUMMYFUNCTION("""COMPUTED_VALUE"""),"This will be hard to do, but if it is the right company I would try")</f>
        <v>This will be hard to do, but if it is the right company I would try</v>
      </c>
      <c r="H1467" s="1" t="str">
        <f ca="1">IFERROR(__xludf.DUMMYFUNCTION("""COMPUTED_VALUE"""),"Yes")</f>
        <v>Yes</v>
      </c>
      <c r="I1467" s="1" t="str">
        <f ca="1">IFERROR(__xludf.DUMMYFUNCTION("""COMPUTED_VALUE"""),"Will NOT work for them")</f>
        <v>Will NOT work for them</v>
      </c>
      <c r="J1467" s="1">
        <f ca="1">IFERROR(__xludf.DUMMYFUNCTION("""COMPUTED_VALUE"""),8)</f>
        <v>8</v>
      </c>
      <c r="K1467" s="1" t="str">
        <f ca="1">IFERROR(__xludf.DUMMYFUNCTION("""COMPUTED_VALUE"""),"Every Day Office Environment")</f>
        <v>Every Day Office Environment</v>
      </c>
      <c r="L14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6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67" s="1" t="str">
        <f ca="1">IFERROR(__xludf.DUMMYFUNCTION("""COMPUTED_VALUE"""),"Business Operations in any organization, Manage and drive End-to-End Projects or Products, Build and develop a Team, Work in a BPO setup for some well known client")</f>
        <v>Business Operations in any organization, Manage and drive End-to-End Projects or Products, Build and develop a Team, Work in a BPO setup for some well known client</v>
      </c>
      <c r="O1467" s="1" t="str">
        <f ca="1">IFERROR(__xludf.DUMMYFUNCTION("""COMPUTED_VALUE"""),"Manager who explains what is expected, sets a goal and helps achieve it")</f>
        <v>Manager who explains what is expected, sets a goal and helps achieve it</v>
      </c>
      <c r="P1467" s="1" t="str">
        <f ca="1">IFERROR(__xludf.DUMMYFUNCTION("""COMPUTED_VALUE"""),"Work with more than 10 people in my team")</f>
        <v>Work with more than 10 people in my team</v>
      </c>
      <c r="Q1467" s="1" t="str">
        <f ca="1">IFERROR(__xludf.DUMMYFUNCTION("""COMPUTED_VALUE"""),"No")</f>
        <v>No</v>
      </c>
      <c r="R1467" s="1" t="str">
        <f ca="1">IFERROR(__xludf.DUMMYFUNCTION("""COMPUTED_VALUE"""),"This will be hard to do, but if it is the right company I would try")</f>
        <v>This will be hard to do, but if it is the right company I would try</v>
      </c>
      <c r="S1467" s="1"/>
    </row>
    <row r="1468" spans="1:19" ht="12.5" x14ac:dyDescent="0.25">
      <c r="A1468" s="2">
        <f ca="1">IFERROR(__xludf.DUMMYFUNCTION("""COMPUTED_VALUE"""),45045.4292243402)</f>
        <v>45045.429224340201</v>
      </c>
      <c r="B1468" s="1" t="str">
        <f ca="1">IFERROR(__xludf.DUMMYFUNCTION("""COMPUTED_VALUE"""),"India")</f>
        <v>India</v>
      </c>
      <c r="C1468" s="1">
        <f ca="1">IFERROR(__xludf.DUMMYFUNCTION("""COMPUTED_VALUE"""),201301)</f>
        <v>201301</v>
      </c>
      <c r="D1468" s="1" t="str">
        <f ca="1">IFERROR(__xludf.DUMMYFUNCTION("""COMPUTED_VALUE"""),"Female")</f>
        <v>Female</v>
      </c>
      <c r="E1468" s="1" t="str">
        <f ca="1">IFERROR(__xludf.DUMMYFUNCTION("""COMPUTED_VALUE"""),"Social Media like LinkedIn")</f>
        <v>Social Media like LinkedIn</v>
      </c>
      <c r="F1468" s="1" t="str">
        <f ca="1">IFERROR(__xludf.DUMMYFUNCTION("""COMPUTED_VALUE"""),"Yes, I will earn and do that")</f>
        <v>Yes, I will earn and do that</v>
      </c>
      <c r="G1468" s="1" t="str">
        <f ca="1">IFERROR(__xludf.DUMMYFUNCTION("""COMPUTED_VALUE"""),"This will be hard to do, but if it is the right company I would try")</f>
        <v>This will be hard to do, but if it is the right company I would try</v>
      </c>
      <c r="H1468" s="1" t="str">
        <f ca="1">IFERROR(__xludf.DUMMYFUNCTION("""COMPUTED_VALUE"""),"No")</f>
        <v>No</v>
      </c>
      <c r="I1468" s="1" t="str">
        <f ca="1">IFERROR(__xludf.DUMMYFUNCTION("""COMPUTED_VALUE"""),"Will NOT work for them")</f>
        <v>Will NOT work for them</v>
      </c>
      <c r="J1468" s="1">
        <f ca="1">IFERROR(__xludf.DUMMYFUNCTION("""COMPUTED_VALUE"""),9)</f>
        <v>9</v>
      </c>
      <c r="K1468" s="1" t="str">
        <f ca="1">IFERROR(__xludf.DUMMYFUNCTION("""COMPUTED_VALUE"""),"Hybrid Working Environment with less than 3 days a month at office")</f>
        <v>Hybrid Working Environment with less than 3 days a month at office</v>
      </c>
      <c r="L1468" s="1" t="str">
        <f ca="1">IFERROR(__xludf.DUMMYFUNCTION("""COMPUTED_VALUE"""),"Employer who rewards learning and enables that environment")</f>
        <v>Employer who rewards learning and enables that environment</v>
      </c>
      <c r="M146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68" s="1" t="str">
        <f ca="1">IFERROR(__xludf.DUMMYFUNCTION("""COMPUTED_VALUE"""),"Business Operations in any organization, Design and Develop amazing software, Look deeply into Data and generate insights, Work in a BPO setup for some well known client")</f>
        <v>Business Operations in any organization, Design and Develop amazing software, Look deeply into Data and generate insights, Work in a BPO setup for some well known client</v>
      </c>
      <c r="O1468" s="1" t="str">
        <f ca="1">IFERROR(__xludf.DUMMYFUNCTION("""COMPUTED_VALUE"""),"Manager who clearly describes what she/he needs")</f>
        <v>Manager who clearly describes what she/he needs</v>
      </c>
      <c r="P1468" s="1" t="str">
        <f ca="1">IFERROR(__xludf.DUMMYFUNCTION("""COMPUTED_VALUE"""),"Work with 2 to 3 people in my team")</f>
        <v>Work with 2 to 3 people in my team</v>
      </c>
      <c r="Q1468" s="1" t="str">
        <f ca="1">IFERROR(__xludf.DUMMYFUNCTION("""COMPUTED_VALUE"""),"Yes, I Understand this is gonna happen everywhere")</f>
        <v>Yes, I Understand this is gonna happen everywhere</v>
      </c>
      <c r="R1468" s="1" t="str">
        <f ca="1">IFERROR(__xludf.DUMMYFUNCTION("""COMPUTED_VALUE"""),"This will be hard to do, but if it is the right company I would try")</f>
        <v>This will be hard to do, but if it is the right company I would try</v>
      </c>
      <c r="S1468" s="1"/>
    </row>
    <row r="1469" spans="1:19" ht="12.5" x14ac:dyDescent="0.25">
      <c r="A1469" s="2">
        <f ca="1">IFERROR(__xludf.DUMMYFUNCTION("""COMPUTED_VALUE"""),45045.4318748148)</f>
        <v>45045.4318748148</v>
      </c>
      <c r="B1469" s="1" t="str">
        <f ca="1">IFERROR(__xludf.DUMMYFUNCTION("""COMPUTED_VALUE"""),"India")</f>
        <v>India</v>
      </c>
      <c r="C1469" s="1">
        <f ca="1">IFERROR(__xludf.DUMMYFUNCTION("""COMPUTED_VALUE"""),110092)</f>
        <v>110092</v>
      </c>
      <c r="D1469" s="1" t="str">
        <f ca="1">IFERROR(__xludf.DUMMYFUNCTION("""COMPUTED_VALUE"""),"Male")</f>
        <v>Male</v>
      </c>
      <c r="E1469" s="1" t="str">
        <f ca="1">IFERROR(__xludf.DUMMYFUNCTION("""COMPUTED_VALUE"""),"Social Media like LinkedIn")</f>
        <v>Social Media like LinkedIn</v>
      </c>
      <c r="F1469" s="1" t="str">
        <f ca="1">IFERROR(__xludf.DUMMYFUNCTION("""COMPUTED_VALUE"""),"Yes, I will earn and do that")</f>
        <v>Yes, I will earn and do that</v>
      </c>
      <c r="G1469" s="1" t="str">
        <f ca="1">IFERROR(__xludf.DUMMYFUNCTION("""COMPUTED_VALUE"""),"This will be hard to do, but if it is the right company I would try")</f>
        <v>This will be hard to do, but if it is the right company I would try</v>
      </c>
      <c r="H1469" s="1" t="str">
        <f ca="1">IFERROR(__xludf.DUMMYFUNCTION("""COMPUTED_VALUE"""),"Yes")</f>
        <v>Yes</v>
      </c>
      <c r="I1469" s="1" t="str">
        <f ca="1">IFERROR(__xludf.DUMMYFUNCTION("""COMPUTED_VALUE"""),"Will NOT work for them")</f>
        <v>Will NOT work for them</v>
      </c>
      <c r="J1469" s="1">
        <f ca="1">IFERROR(__xludf.DUMMYFUNCTION("""COMPUTED_VALUE"""),3)</f>
        <v>3</v>
      </c>
      <c r="K1469" s="1" t="str">
        <f ca="1">IFERROR(__xludf.DUMMYFUNCTION("""COMPUTED_VALUE"""),"Fully Remote with Options to travel as and when needed")</f>
        <v>Fully Remote with Options to travel as and when needed</v>
      </c>
      <c r="L146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46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69" s="1" t="str">
        <f ca="1">IFERROR(__xludf.DUMMYFUNCTION("""COMPUTED_VALUE"""),"Business Operations in any organization, Design and Develop amazing software, Work in a BPO setup for some well known client, Entrepreneur or Start Up")</f>
        <v>Business Operations in any organization, Design and Develop amazing software, Work in a BPO setup for some well known client, Entrepreneur or Start Up</v>
      </c>
      <c r="O1469" s="1" t="str">
        <f ca="1">IFERROR(__xludf.DUMMYFUNCTION("""COMPUTED_VALUE"""),"Manager who sets goal and helps me achieve it")</f>
        <v>Manager who sets goal and helps me achieve it</v>
      </c>
      <c r="P1469" s="1" t="str">
        <f ca="1">IFERROR(__xludf.DUMMYFUNCTION("""COMPUTED_VALUE"""),"Work with more than 10 people in my team")</f>
        <v>Work with more than 10 people in my team</v>
      </c>
      <c r="Q1469" s="1" t="str">
        <f ca="1">IFERROR(__xludf.DUMMYFUNCTION("""COMPUTED_VALUE"""),"I have NO other choice")</f>
        <v>I have NO other choice</v>
      </c>
      <c r="R1469" s="1" t="str">
        <f ca="1">IFERROR(__xludf.DUMMYFUNCTION("""COMPUTED_VALUE"""),"This will be hard to do, but if it is the right company I would try")</f>
        <v>This will be hard to do, but if it is the right company I would try</v>
      </c>
      <c r="S1469" s="1"/>
    </row>
    <row r="1470" spans="1:19" ht="12.5" x14ac:dyDescent="0.25">
      <c r="A1470" s="2">
        <f ca="1">IFERROR(__xludf.DUMMYFUNCTION("""COMPUTED_VALUE"""),45045.4320789467)</f>
        <v>45045.432078946702</v>
      </c>
      <c r="B1470" s="1" t="str">
        <f ca="1">IFERROR(__xludf.DUMMYFUNCTION("""COMPUTED_VALUE"""),"India")</f>
        <v>India</v>
      </c>
      <c r="C1470" s="1">
        <f ca="1">IFERROR(__xludf.DUMMYFUNCTION("""COMPUTED_VALUE"""),201301)</f>
        <v>201301</v>
      </c>
      <c r="D1470" s="1" t="str">
        <f ca="1">IFERROR(__xludf.DUMMYFUNCTION("""COMPUTED_VALUE"""),"Male")</f>
        <v>Male</v>
      </c>
      <c r="E1470" s="1" t="str">
        <f ca="1">IFERROR(__xludf.DUMMYFUNCTION("""COMPUTED_VALUE"""),"People from my circle, but not family members")</f>
        <v>People from my circle, but not family members</v>
      </c>
      <c r="F1470" s="1" t="str">
        <f ca="1">IFERROR(__xludf.DUMMYFUNCTION("""COMPUTED_VALUE"""),"No, But if someone could bare the cost I will")</f>
        <v>No, But if someone could bare the cost I will</v>
      </c>
      <c r="G1470" s="1" t="str">
        <f ca="1">IFERROR(__xludf.DUMMYFUNCTION("""COMPUTED_VALUE"""),"This will be hard to do, but if it is the right company I would try")</f>
        <v>This will be hard to do, but if it is the right company I would try</v>
      </c>
      <c r="H1470" s="1" t="str">
        <f ca="1">IFERROR(__xludf.DUMMYFUNCTION("""COMPUTED_VALUE"""),"Yes")</f>
        <v>Yes</v>
      </c>
      <c r="I1470" s="1" t="str">
        <f ca="1">IFERROR(__xludf.DUMMYFUNCTION("""COMPUTED_VALUE"""),"Will NOT work for them")</f>
        <v>Will NOT work for them</v>
      </c>
      <c r="J1470" s="1">
        <f ca="1">IFERROR(__xludf.DUMMYFUNCTION("""COMPUTED_VALUE"""),3)</f>
        <v>3</v>
      </c>
      <c r="K1470" s="1" t="str">
        <f ca="1">IFERROR(__xludf.DUMMYFUNCTION("""COMPUTED_VALUE"""),"Fully Remote with Options to travel as and when needed")</f>
        <v>Fully Remote with Options to travel as and when needed</v>
      </c>
      <c r="L1470" s="1" t="str">
        <f ca="1">IFERROR(__xludf.DUMMYFUNCTION("""COMPUTED_VALUE"""),"Employer who rewards learning and enables that environment")</f>
        <v>Employer who rewards learning and enables that environment</v>
      </c>
      <c r="M147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70" s="1" t="str">
        <f ca="1">IFERROR(__xludf.DUMMYFUNCTION("""COMPUTED_VALUE"""),"Look deeply into Data and generate insights, Work in a BPO setup for some well known client, Work as a freelancer and do my thing my way, Entrepreneur or Start Up")</f>
        <v>Look deeply into Data and generate insights, Work in a BPO setup for some well known client, Work as a freelancer and do my thing my way, Entrepreneur or Start Up</v>
      </c>
      <c r="O1470" s="1" t="str">
        <f ca="1">IFERROR(__xludf.DUMMYFUNCTION("""COMPUTED_VALUE"""),"Manager who sets goal and helps me achieve it")</f>
        <v>Manager who sets goal and helps me achieve it</v>
      </c>
      <c r="P1470" s="1" t="str">
        <f ca="1">IFERROR(__xludf.DUMMYFUNCTION("""COMPUTED_VALUE"""),"Work with more than 10 people in my team")</f>
        <v>Work with more than 10 people in my team</v>
      </c>
      <c r="Q1470" s="1" t="str">
        <f ca="1">IFERROR(__xludf.DUMMYFUNCTION("""COMPUTED_VALUE"""),"I have NO other choice")</f>
        <v>I have NO other choice</v>
      </c>
      <c r="R1470" s="1" t="str">
        <f ca="1">IFERROR(__xludf.DUMMYFUNCTION("""COMPUTED_VALUE"""),"This will be hard to do, but if it is the right company I would try")</f>
        <v>This will be hard to do, but if it is the right company I would try</v>
      </c>
      <c r="S1470" s="1"/>
    </row>
    <row r="1471" spans="1:19" ht="12.5" x14ac:dyDescent="0.25">
      <c r="A1471" s="2">
        <f ca="1">IFERROR(__xludf.DUMMYFUNCTION("""COMPUTED_VALUE"""),45045.4413526273)</f>
        <v>45045.441352627298</v>
      </c>
      <c r="B1471" s="1" t="str">
        <f ca="1">IFERROR(__xludf.DUMMYFUNCTION("""COMPUTED_VALUE"""),"India")</f>
        <v>India</v>
      </c>
      <c r="C1471" s="1">
        <f ca="1">IFERROR(__xludf.DUMMYFUNCTION("""COMPUTED_VALUE"""),121003)</f>
        <v>121003</v>
      </c>
      <c r="D1471" s="1" t="str">
        <f ca="1">IFERROR(__xludf.DUMMYFUNCTION("""COMPUTED_VALUE"""),"Male")</f>
        <v>Male</v>
      </c>
      <c r="E1471" s="1" t="str">
        <f ca="1">IFERROR(__xludf.DUMMYFUNCTION("""COMPUTED_VALUE"""),"My Parents")</f>
        <v>My Parents</v>
      </c>
      <c r="F1471" s="1" t="str">
        <f ca="1">IFERROR(__xludf.DUMMYFUNCTION("""COMPUTED_VALUE"""),"Yes, I will earn and do that")</f>
        <v>Yes, I will earn and do that</v>
      </c>
      <c r="G1471" s="1" t="str">
        <f ca="1">IFERROR(__xludf.DUMMYFUNCTION("""COMPUTED_VALUE"""),"This will be hard to do, but if it is the right company I would try")</f>
        <v>This will be hard to do, but if it is the right company I would try</v>
      </c>
      <c r="H1471" s="1" t="str">
        <f ca="1">IFERROR(__xludf.DUMMYFUNCTION("""COMPUTED_VALUE"""),"No")</f>
        <v>No</v>
      </c>
      <c r="I1471" s="1" t="str">
        <f ca="1">IFERROR(__xludf.DUMMYFUNCTION("""COMPUTED_VALUE"""),"Will NOT work for them")</f>
        <v>Will NOT work for them</v>
      </c>
      <c r="J1471" s="1">
        <f ca="1">IFERROR(__xludf.DUMMYFUNCTION("""COMPUTED_VALUE"""),1)</f>
        <v>1</v>
      </c>
      <c r="K1471" s="1" t="str">
        <f ca="1">IFERROR(__xludf.DUMMYFUNCTION("""COMPUTED_VALUE"""),"Hybrid Working Environment with more than 15 days a month at office")</f>
        <v>Hybrid Working Environment with more than 15 days a month at office</v>
      </c>
      <c r="L14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7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471" s="1" t="str">
        <f ca="1">IFERROR(__xludf.DUMMYFUNCTION("""COMPUTED_VALUE"""),"Design and Creative strategy in any company, Teaching in any of the institutes/colleges/online or offline, Entrepreneur or Start Up, An Artificial Intelligence Specialist / Talking to Robots")</f>
        <v>Design and Creative strategy in any company, Teaching in any of the institutes/colleges/online or offline, Entrepreneur or Start Up, An Artificial Intelligence Specialist / Talking to Robots</v>
      </c>
      <c r="O1471" s="1" t="str">
        <f ca="1">IFERROR(__xludf.DUMMYFUNCTION("""COMPUTED_VALUE"""),"Manager who explains what is expected, sets a goal and helps achieve it")</f>
        <v>Manager who explains what is expected, sets a goal and helps achieve it</v>
      </c>
      <c r="P1471" s="1" t="str">
        <f ca="1">IFERROR(__xludf.DUMMYFUNCTION("""COMPUTED_VALUE"""),"Work with 7 to 10 or more people in my team")</f>
        <v>Work with 7 to 10 or more people in my team</v>
      </c>
      <c r="Q1471" s="1" t="str">
        <f ca="1">IFERROR(__xludf.DUMMYFUNCTION("""COMPUTED_VALUE"""),"No")</f>
        <v>No</v>
      </c>
      <c r="R1471" s="1" t="str">
        <f ca="1">IFERROR(__xludf.DUMMYFUNCTION("""COMPUTED_VALUE"""),"This will be hard to do, but if it is the right company I would try")</f>
        <v>This will be hard to do, but if it is the right company I would try</v>
      </c>
      <c r="S1471" s="1"/>
    </row>
    <row r="1472" spans="1:19" ht="12.5" x14ac:dyDescent="0.25">
      <c r="A1472" s="2">
        <f ca="1">IFERROR(__xludf.DUMMYFUNCTION("""COMPUTED_VALUE"""),45045.4484797106)</f>
        <v>45045.448479710598</v>
      </c>
      <c r="B1472" s="1" t="str">
        <f ca="1">IFERROR(__xludf.DUMMYFUNCTION("""COMPUTED_VALUE"""),"India")</f>
        <v>India</v>
      </c>
      <c r="C1472" s="1">
        <f ca="1">IFERROR(__xludf.DUMMYFUNCTION("""COMPUTED_VALUE"""),201010)</f>
        <v>201010</v>
      </c>
      <c r="D1472" s="1" t="str">
        <f ca="1">IFERROR(__xludf.DUMMYFUNCTION("""COMPUTED_VALUE"""),"Male")</f>
        <v>Male</v>
      </c>
      <c r="E1472" s="1" t="str">
        <f ca="1">IFERROR(__xludf.DUMMYFUNCTION("""COMPUTED_VALUE"""),"People from my circle, but not family members")</f>
        <v>People from my circle, but not family members</v>
      </c>
      <c r="F1472" s="1" t="str">
        <f ca="1">IFERROR(__xludf.DUMMYFUNCTION("""COMPUTED_VALUE"""),"Yes, I will earn and do that")</f>
        <v>Yes, I will earn and do that</v>
      </c>
      <c r="G1472" s="1" t="str">
        <f ca="1">IFERROR(__xludf.DUMMYFUNCTION("""COMPUTED_VALUE"""),"This will be hard to do, but if it is the right company I would try")</f>
        <v>This will be hard to do, but if it is the right company I would try</v>
      </c>
      <c r="H1472" s="1" t="str">
        <f ca="1">IFERROR(__xludf.DUMMYFUNCTION("""COMPUTED_VALUE"""),"Yes")</f>
        <v>Yes</v>
      </c>
      <c r="I1472" s="1" t="str">
        <f ca="1">IFERROR(__xludf.DUMMYFUNCTION("""COMPUTED_VALUE"""),"Will NOT work for them")</f>
        <v>Will NOT work for them</v>
      </c>
      <c r="J1472" s="1">
        <f ca="1">IFERROR(__xludf.DUMMYFUNCTION("""COMPUTED_VALUE"""),8)</f>
        <v>8</v>
      </c>
      <c r="K1472" s="1" t="str">
        <f ca="1">IFERROR(__xludf.DUMMYFUNCTION("""COMPUTED_VALUE"""),"Fully Remote with Options to travel as and when needed")</f>
        <v>Fully Remote with Options to travel as and when needed</v>
      </c>
      <c r="L14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7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72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1472" s="1" t="str">
        <f ca="1">IFERROR(__xludf.DUMMYFUNCTION("""COMPUTED_VALUE"""),"Manager who explains what is expected, sets a goal and helps achieve it")</f>
        <v>Manager who explains what is expected, sets a goal and helps achieve it</v>
      </c>
      <c r="P1472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1472" s="1" t="str">
        <f ca="1">IFERROR(__xludf.DUMMYFUNCTION("""COMPUTED_VALUE"""),"Yes, I Understand this is gonna happen everywhere")</f>
        <v>Yes, I Understand this is gonna happen everywhere</v>
      </c>
      <c r="R1472" s="1" t="str">
        <f ca="1">IFERROR(__xludf.DUMMYFUNCTION("""COMPUTED_VALUE"""),"This will be hard to do, but if it is the right company I would try")</f>
        <v>This will be hard to do, but if it is the right company I would try</v>
      </c>
      <c r="S1472" s="1"/>
    </row>
    <row r="1473" spans="1:19" ht="12.5" x14ac:dyDescent="0.25">
      <c r="A1473" s="2">
        <f ca="1">IFERROR(__xludf.DUMMYFUNCTION("""COMPUTED_VALUE"""),45045.4496415625)</f>
        <v>45045.449641562504</v>
      </c>
      <c r="B1473" s="1" t="str">
        <f ca="1">IFERROR(__xludf.DUMMYFUNCTION("""COMPUTED_VALUE"""),"India")</f>
        <v>India</v>
      </c>
      <c r="C1473" s="1">
        <f ca="1">IFERROR(__xludf.DUMMYFUNCTION("""COMPUTED_VALUE"""),743127)</f>
        <v>743127</v>
      </c>
      <c r="D1473" s="1" t="str">
        <f ca="1">IFERROR(__xludf.DUMMYFUNCTION("""COMPUTED_VALUE"""),"Male")</f>
        <v>Male</v>
      </c>
      <c r="E1473" s="1" t="str">
        <f ca="1">IFERROR(__xludf.DUMMYFUNCTION("""COMPUTED_VALUE"""),"People who have changed the world for better")</f>
        <v>People who have changed the world for better</v>
      </c>
      <c r="F1473" s="1" t="str">
        <f ca="1">IFERROR(__xludf.DUMMYFUNCTION("""COMPUTED_VALUE"""),"Yes, I will earn and do that")</f>
        <v>Yes, I will earn and do that</v>
      </c>
      <c r="G1473" s="1" t="str">
        <f ca="1">IFERROR(__xludf.DUMMYFUNCTION("""COMPUTED_VALUE"""),"Will work for 3 years or more")</f>
        <v>Will work for 3 years or more</v>
      </c>
      <c r="H1473" s="1" t="str">
        <f ca="1">IFERROR(__xludf.DUMMYFUNCTION("""COMPUTED_VALUE"""),"Yes")</f>
        <v>Yes</v>
      </c>
      <c r="I1473" s="1" t="str">
        <f ca="1">IFERROR(__xludf.DUMMYFUNCTION("""COMPUTED_VALUE"""),"Will work for them")</f>
        <v>Will work for them</v>
      </c>
      <c r="J1473" s="1">
        <f ca="1">IFERROR(__xludf.DUMMYFUNCTION("""COMPUTED_VALUE"""),7)</f>
        <v>7</v>
      </c>
      <c r="K1473" s="1" t="str">
        <f ca="1">IFERROR(__xludf.DUMMYFUNCTION("""COMPUTED_VALUE"""),"Hybrid Working Environment with more than 15 days a month at office")</f>
        <v>Hybrid Working Environment with more than 15 days a month at office</v>
      </c>
      <c r="L1473" s="1" t="str">
        <f ca="1">IFERROR(__xludf.DUMMYFUNCTION("""COMPUTED_VALUE"""),"Employer who appreciates learning and enables that environment")</f>
        <v>Employer who appreciates learning and enables that environment</v>
      </c>
      <c r="M147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73" s="1" t="str">
        <f ca="1">IFERROR(__xludf.DUMMYFUNCTION("""COMPUTED_VALUE"""),"Design and Creative strategy in any company, Business Operations in any organization, Manage and drive End-to-End Projects or Products, Work as a freelancer and do my thing my way")</f>
        <v>Design and Creative strategy in any company, Business Operations in any organization, Manage and drive End-to-End Projects or Products, Work as a freelancer and do my thing my way</v>
      </c>
      <c r="O1473" s="1" t="str">
        <f ca="1">IFERROR(__xludf.DUMMYFUNCTION("""COMPUTED_VALUE"""),"Manager who clearly describes what she/he needs")</f>
        <v>Manager who clearly describes what she/he needs</v>
      </c>
      <c r="P1473" s="1" t="str">
        <f ca="1">IFERROR(__xludf.DUMMYFUNCTION("""COMPUTED_VALUE"""),"Work with 2 to 3 people in my team")</f>
        <v>Work with 2 to 3 people in my team</v>
      </c>
      <c r="Q1473" s="1" t="str">
        <f ca="1">IFERROR(__xludf.DUMMYFUNCTION("""COMPUTED_VALUE"""),"Yes, I Understand this is gonna happen everywhere")</f>
        <v>Yes, I Understand this is gonna happen everywhere</v>
      </c>
      <c r="R1473" s="1" t="str">
        <f ca="1">IFERROR(__xludf.DUMMYFUNCTION("""COMPUTED_VALUE"""),"This will be hard to do, but if it is the right company I would try")</f>
        <v>This will be hard to do, but if it is the right company I would try</v>
      </c>
      <c r="S1473" s="1"/>
    </row>
    <row r="1474" spans="1:19" ht="12.5" x14ac:dyDescent="0.25">
      <c r="A1474" s="2">
        <f ca="1">IFERROR(__xludf.DUMMYFUNCTION("""COMPUTED_VALUE"""),45045.4621660069)</f>
        <v>45045.462166006902</v>
      </c>
      <c r="B1474" s="1" t="str">
        <f ca="1">IFERROR(__xludf.DUMMYFUNCTION("""COMPUTED_VALUE"""),"India")</f>
        <v>India</v>
      </c>
      <c r="C1474" s="1">
        <f ca="1">IFERROR(__xludf.DUMMYFUNCTION("""COMPUTED_VALUE"""),587102)</f>
        <v>587102</v>
      </c>
      <c r="D1474" s="1" t="str">
        <f ca="1">IFERROR(__xludf.DUMMYFUNCTION("""COMPUTED_VALUE"""),"Male")</f>
        <v>Male</v>
      </c>
      <c r="E1474" s="1" t="str">
        <f ca="1">IFERROR(__xludf.DUMMYFUNCTION("""COMPUTED_VALUE"""),"Influencers who had successful careers")</f>
        <v>Influencers who had successful careers</v>
      </c>
      <c r="F1474" s="1" t="str">
        <f ca="1">IFERROR(__xludf.DUMMYFUNCTION("""COMPUTED_VALUE"""),"No, But if someone could bare the cost I will")</f>
        <v>No, But if someone could bare the cost I will</v>
      </c>
      <c r="G1474" s="1" t="str">
        <f ca="1">IFERROR(__xludf.DUMMYFUNCTION("""COMPUTED_VALUE"""),"This will be hard to do, but if it is the right company I would try")</f>
        <v>This will be hard to do, but if it is the right company I would try</v>
      </c>
      <c r="H1474" s="1" t="str">
        <f ca="1">IFERROR(__xludf.DUMMYFUNCTION("""COMPUTED_VALUE"""),"No")</f>
        <v>No</v>
      </c>
      <c r="I1474" s="1" t="str">
        <f ca="1">IFERROR(__xludf.DUMMYFUNCTION("""COMPUTED_VALUE"""),"Will NOT work for them")</f>
        <v>Will NOT work for them</v>
      </c>
      <c r="J1474" s="1">
        <f ca="1">IFERROR(__xludf.DUMMYFUNCTION("""COMPUTED_VALUE"""),5)</f>
        <v>5</v>
      </c>
      <c r="K1474" s="1" t="str">
        <f ca="1">IFERROR(__xludf.DUMMYFUNCTION("""COMPUTED_VALUE"""),"Fully Remote with Options to travel as and when needed")</f>
        <v>Fully Remote with Options to travel as and when needed</v>
      </c>
      <c r="L14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7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74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47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74" s="1" t="str">
        <f ca="1">IFERROR(__xludf.DUMMYFUNCTION("""COMPUTED_VALUE"""),"Work alone, Work with 7 to 10 or more people in my team")</f>
        <v>Work alone, Work with 7 to 10 or more people in my team</v>
      </c>
      <c r="Q1474" s="1" t="str">
        <f ca="1">IFERROR(__xludf.DUMMYFUNCTION("""COMPUTED_VALUE"""),"Yes, I Understand this is gonna happen everywhere")</f>
        <v>Yes, I Understand this is gonna happen everywhere</v>
      </c>
      <c r="R1474" s="1" t="str">
        <f ca="1">IFERROR(__xludf.DUMMYFUNCTION("""COMPUTED_VALUE"""),"No way")</f>
        <v>No way</v>
      </c>
      <c r="S1474" s="1"/>
    </row>
    <row r="1475" spans="1:19" ht="12.5" x14ac:dyDescent="0.25">
      <c r="A1475" s="2">
        <f ca="1">IFERROR(__xludf.DUMMYFUNCTION("""COMPUTED_VALUE"""),45045.4631351157)</f>
        <v>45045.4631351157</v>
      </c>
      <c r="B1475" s="1" t="str">
        <f ca="1">IFERROR(__xludf.DUMMYFUNCTION("""COMPUTED_VALUE"""),"India")</f>
        <v>India</v>
      </c>
      <c r="C1475" s="1">
        <f ca="1">IFERROR(__xludf.DUMMYFUNCTION("""COMPUTED_VALUE"""),500008)</f>
        <v>500008</v>
      </c>
      <c r="D1475" s="1" t="str">
        <f ca="1">IFERROR(__xludf.DUMMYFUNCTION("""COMPUTED_VALUE"""),"Female")</f>
        <v>Female</v>
      </c>
      <c r="E1475" s="1" t="str">
        <f ca="1">IFERROR(__xludf.DUMMYFUNCTION("""COMPUTED_VALUE"""),"My Parents")</f>
        <v>My Parents</v>
      </c>
      <c r="F1475" s="1" t="str">
        <f ca="1">IFERROR(__xludf.DUMMYFUNCTION("""COMPUTED_VALUE"""),"No, But if someone could bare the cost I will")</f>
        <v>No, But if someone could bare the cost I will</v>
      </c>
      <c r="G1475" s="1" t="str">
        <f ca="1">IFERROR(__xludf.DUMMYFUNCTION("""COMPUTED_VALUE"""),"This will be hard to do, but if it is the right company I would try")</f>
        <v>This will be hard to do, but if it is the right company I would try</v>
      </c>
      <c r="H1475" s="1" t="str">
        <f ca="1">IFERROR(__xludf.DUMMYFUNCTION("""COMPUTED_VALUE"""),"No")</f>
        <v>No</v>
      </c>
      <c r="I1475" s="1" t="str">
        <f ca="1">IFERROR(__xludf.DUMMYFUNCTION("""COMPUTED_VALUE"""),"Will NOT work for them")</f>
        <v>Will NOT work for them</v>
      </c>
      <c r="J1475" s="1">
        <f ca="1">IFERROR(__xludf.DUMMYFUNCTION("""COMPUTED_VALUE"""),6)</f>
        <v>6</v>
      </c>
      <c r="K1475" s="1" t="str">
        <f ca="1">IFERROR(__xludf.DUMMYFUNCTION("""COMPUTED_VALUE"""),"Fully Remote with Options to travel as and when needed")</f>
        <v>Fully Remote with Options to travel as and when needed</v>
      </c>
      <c r="L1475" s="1" t="str">
        <f ca="1">IFERROR(__xludf.DUMMYFUNCTION("""COMPUTED_VALUE"""),"Employer who rewards learning and enables that environment")</f>
        <v>Employer who rewards learning and enables that environment</v>
      </c>
      <c r="M1475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1475" s="1" t="str">
        <f ca="1">IFERROR(__xludf.DUMMYFUNCTION("""COMPUTED_VALUE"""),"Manage and drive End-to-End Projects or Products, Build and develop a Team, Design and Develop amazing software, An Artificial Intelligence Specialist / Talking to Robots")</f>
        <v>Manage and drive End-to-End Projects or Products, Build and develop a Team, Design and Develop amazing software, An Artificial Intelligence Specialist / Talking to Robots</v>
      </c>
      <c r="O147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75" s="1" t="str">
        <f ca="1">IFERROR(__xludf.DUMMYFUNCTION("""COMPUTED_VALUE"""),"Work with 2 to 3 people in my team")</f>
        <v>Work with 2 to 3 people in my team</v>
      </c>
      <c r="Q1475" s="1" t="str">
        <f ca="1">IFERROR(__xludf.DUMMYFUNCTION("""COMPUTED_VALUE"""),"I have NO other choice")</f>
        <v>I have NO other choice</v>
      </c>
      <c r="R1475" s="1" t="str">
        <f ca="1">IFERROR(__xludf.DUMMYFUNCTION("""COMPUTED_VALUE"""),"This will be hard to do, but if it is the right company I would try")</f>
        <v>This will be hard to do, but if it is the right company I would try</v>
      </c>
      <c r="S1475" s="1"/>
    </row>
    <row r="1476" spans="1:19" ht="12.5" x14ac:dyDescent="0.25">
      <c r="A1476" s="2">
        <f ca="1">IFERROR(__xludf.DUMMYFUNCTION("""COMPUTED_VALUE"""),45045.4664011921)</f>
        <v>45045.466401192098</v>
      </c>
      <c r="B1476" s="1" t="str">
        <f ca="1">IFERROR(__xludf.DUMMYFUNCTION("""COMPUTED_VALUE"""),"India")</f>
        <v>India</v>
      </c>
      <c r="C1476" s="1">
        <f ca="1">IFERROR(__xludf.DUMMYFUNCTION("""COMPUTED_VALUE"""),147003)</f>
        <v>147003</v>
      </c>
      <c r="D1476" s="1" t="str">
        <f ca="1">IFERROR(__xludf.DUMMYFUNCTION("""COMPUTED_VALUE"""),"Male")</f>
        <v>Male</v>
      </c>
      <c r="E1476" s="1" t="str">
        <f ca="1">IFERROR(__xludf.DUMMYFUNCTION("""COMPUTED_VALUE"""),"People who have changed the world for better")</f>
        <v>People who have changed the world for better</v>
      </c>
      <c r="F1476" s="1" t="str">
        <f ca="1">IFERROR(__xludf.DUMMYFUNCTION("""COMPUTED_VALUE"""),"No I would not be pursuing Higher Education outside of India")</f>
        <v>No I would not be pursuing Higher Education outside of India</v>
      </c>
      <c r="G1476" s="1" t="str">
        <f ca="1">IFERROR(__xludf.DUMMYFUNCTION("""COMPUTED_VALUE"""),"This will be hard to do, but if it is the right company I would try")</f>
        <v>This will be hard to do, but if it is the right company I would try</v>
      </c>
      <c r="H1476" s="1" t="str">
        <f ca="1">IFERROR(__xludf.DUMMYFUNCTION("""COMPUTED_VALUE"""),"No")</f>
        <v>No</v>
      </c>
      <c r="I1476" s="1" t="str">
        <f ca="1">IFERROR(__xludf.DUMMYFUNCTION("""COMPUTED_VALUE"""),"Will NOT work for them")</f>
        <v>Will NOT work for them</v>
      </c>
      <c r="J1476" s="1">
        <f ca="1">IFERROR(__xludf.DUMMYFUNCTION("""COMPUTED_VALUE"""),2)</f>
        <v>2</v>
      </c>
      <c r="K1476" s="1" t="str">
        <f ca="1">IFERROR(__xludf.DUMMYFUNCTION("""COMPUTED_VALUE"""),"Fully Remote with Options to travel as and when needed")</f>
        <v>Fully Remote with Options to travel as and when needed</v>
      </c>
      <c r="L14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7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76" s="1" t="str">
        <f ca="1">IFERROR(__xludf.DUMMYFUNCTION("""COMPUTED_VALUE"""),"Design and Creative strategy in any company, Look deeply into Data and generate insights, Work as a freelancer and do my thing my way, Become a content Creator in some platform")</f>
        <v>Design and Creative strategy in any company, Look deeply into Data and generate insights, Work as a freelancer and do my thing my way, Become a content Creator in some platform</v>
      </c>
      <c r="O1476" s="1" t="str">
        <f ca="1">IFERROR(__xludf.DUMMYFUNCTION("""COMPUTED_VALUE"""),"Manager who explains what is expected, sets a goal and helps achieve it")</f>
        <v>Manager who explains what is expected, sets a goal and helps achieve it</v>
      </c>
      <c r="P1476" s="1" t="str">
        <f ca="1">IFERROR(__xludf.DUMMYFUNCTION("""COMPUTED_VALUE"""),"Work with 5 to 6 people in my team")</f>
        <v>Work with 5 to 6 people in my team</v>
      </c>
      <c r="Q1476" s="1" t="str">
        <f ca="1">IFERROR(__xludf.DUMMYFUNCTION("""COMPUTED_VALUE"""),"Yes, I Understand this is gonna happen everywhere")</f>
        <v>Yes, I Understand this is gonna happen everywhere</v>
      </c>
      <c r="R1476" s="1" t="str">
        <f ca="1">IFERROR(__xludf.DUMMYFUNCTION("""COMPUTED_VALUE"""),"No way")</f>
        <v>No way</v>
      </c>
      <c r="S1476" s="1"/>
    </row>
    <row r="1477" spans="1:19" ht="12.5" x14ac:dyDescent="0.25">
      <c r="A1477" s="2">
        <f ca="1">IFERROR(__xludf.DUMMYFUNCTION("""COMPUTED_VALUE"""),45045.477346875)</f>
        <v>45045.477346874999</v>
      </c>
      <c r="B1477" s="1" t="str">
        <f ca="1">IFERROR(__xludf.DUMMYFUNCTION("""COMPUTED_VALUE"""),"India")</f>
        <v>India</v>
      </c>
      <c r="C1477" s="1">
        <f ca="1">IFERROR(__xludf.DUMMYFUNCTION("""COMPUTED_VALUE"""),600087)</f>
        <v>600087</v>
      </c>
      <c r="D1477" s="1" t="str">
        <f ca="1">IFERROR(__xludf.DUMMYFUNCTION("""COMPUTED_VALUE"""),"Male")</f>
        <v>Male</v>
      </c>
      <c r="E1477" s="1" t="str">
        <f ca="1">IFERROR(__xludf.DUMMYFUNCTION("""COMPUTED_VALUE"""),"My Parents")</f>
        <v>My Parents</v>
      </c>
      <c r="F1477" s="1" t="str">
        <f ca="1">IFERROR(__xludf.DUMMYFUNCTION("""COMPUTED_VALUE"""),"No I would not be pursuing Higher Education outside of India")</f>
        <v>No I would not be pursuing Higher Education outside of India</v>
      </c>
      <c r="G1477" s="1" t="str">
        <f ca="1">IFERROR(__xludf.DUMMYFUNCTION("""COMPUTED_VALUE"""),"Will work for 3 years or more")</f>
        <v>Will work for 3 years or more</v>
      </c>
      <c r="H1477" s="1" t="str">
        <f ca="1">IFERROR(__xludf.DUMMYFUNCTION("""COMPUTED_VALUE"""),"No")</f>
        <v>No</v>
      </c>
      <c r="I1477" s="1" t="str">
        <f ca="1">IFERROR(__xludf.DUMMYFUNCTION("""COMPUTED_VALUE"""),"Will work for them")</f>
        <v>Will work for them</v>
      </c>
      <c r="J1477" s="1">
        <f ca="1">IFERROR(__xludf.DUMMYFUNCTION("""COMPUTED_VALUE"""),8)</f>
        <v>8</v>
      </c>
      <c r="K1477" s="1" t="str">
        <f ca="1">IFERROR(__xludf.DUMMYFUNCTION("""COMPUTED_VALUE"""),"Every Day Office Environment")</f>
        <v>Every Day Office Environment</v>
      </c>
      <c r="L14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7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477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1477" s="1" t="str">
        <f ca="1">IFERROR(__xludf.DUMMYFUNCTION("""COMPUTED_VALUE"""),"Manager who clearly describes what she/he needs")</f>
        <v>Manager who clearly describes what she/he needs</v>
      </c>
      <c r="P1477" s="1" t="str">
        <f ca="1">IFERROR(__xludf.DUMMYFUNCTION("""COMPUTED_VALUE"""),"Work with 2 to 3 people in my team")</f>
        <v>Work with 2 to 3 people in my team</v>
      </c>
      <c r="Q1477" s="1" t="str">
        <f ca="1">IFERROR(__xludf.DUMMYFUNCTION("""COMPUTED_VALUE"""),"No")</f>
        <v>No</v>
      </c>
      <c r="R1477" s="1" t="str">
        <f ca="1">IFERROR(__xludf.DUMMYFUNCTION("""COMPUTED_VALUE"""),"This will be hard to do, but if it is the right company I would try")</f>
        <v>This will be hard to do, but if it is the right company I would try</v>
      </c>
      <c r="S1477" s="1"/>
    </row>
    <row r="1478" spans="1:19" ht="12.5" x14ac:dyDescent="0.25">
      <c r="A1478" s="2">
        <f ca="1">IFERROR(__xludf.DUMMYFUNCTION("""COMPUTED_VALUE"""),45045.4773648031)</f>
        <v>45045.477364803199</v>
      </c>
      <c r="B1478" s="1" t="str">
        <f ca="1">IFERROR(__xludf.DUMMYFUNCTION("""COMPUTED_VALUE"""),"India")</f>
        <v>India</v>
      </c>
      <c r="C1478" s="1">
        <f ca="1">IFERROR(__xludf.DUMMYFUNCTION("""COMPUTED_VALUE"""),452002)</f>
        <v>452002</v>
      </c>
      <c r="D1478" s="1" t="str">
        <f ca="1">IFERROR(__xludf.DUMMYFUNCTION("""COMPUTED_VALUE"""),"Male")</f>
        <v>Male</v>
      </c>
      <c r="E1478" s="1" t="str">
        <f ca="1">IFERROR(__xludf.DUMMYFUNCTION("""COMPUTED_VALUE"""),"Social Media like LinkedIn")</f>
        <v>Social Media like LinkedIn</v>
      </c>
      <c r="F1478" s="1" t="str">
        <f ca="1">IFERROR(__xludf.DUMMYFUNCTION("""COMPUTED_VALUE"""),"Yes, I will earn and do that")</f>
        <v>Yes, I will earn and do that</v>
      </c>
      <c r="G1478" s="1" t="str">
        <f ca="1">IFERROR(__xludf.DUMMYFUNCTION("""COMPUTED_VALUE"""),"This will be hard to do, but if it is the right company I would try")</f>
        <v>This will be hard to do, but if it is the right company I would try</v>
      </c>
      <c r="H1478" s="1" t="str">
        <f ca="1">IFERROR(__xludf.DUMMYFUNCTION("""COMPUTED_VALUE"""),"No")</f>
        <v>No</v>
      </c>
      <c r="I1478" s="1" t="str">
        <f ca="1">IFERROR(__xludf.DUMMYFUNCTION("""COMPUTED_VALUE"""),"Will NOT work for them")</f>
        <v>Will NOT work for them</v>
      </c>
      <c r="J1478" s="1">
        <f ca="1">IFERROR(__xludf.DUMMYFUNCTION("""COMPUTED_VALUE"""),5)</f>
        <v>5</v>
      </c>
      <c r="K1478" s="1" t="str">
        <f ca="1">IFERROR(__xludf.DUMMYFUNCTION("""COMPUTED_VALUE"""),"Fully Remote with Options to travel as and when needed")</f>
        <v>Fully Remote with Options to travel as and when needed</v>
      </c>
      <c r="L14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7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78" s="1" t="str">
        <f ca="1">IFERROR(__xludf.DUMMYFUNCTION("""COMPUTED_VALUE"""),"Build and develop a Team, Design and Develop amazing software, Look deeply into Data and generate insights, An Artificial Intelligence Specialist / Talking to Robots")</f>
        <v>Build and develop a Team, Design and Develop amazing software, Look deeply into Data and generate insights, An Artificial Intelligence Specialist / Talking to Robots</v>
      </c>
      <c r="O147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78" s="1" t="str">
        <f ca="1">IFERROR(__xludf.DUMMYFUNCTION("""COMPUTED_VALUE"""),"Work with 2 to 3 people in my team")</f>
        <v>Work with 2 to 3 people in my team</v>
      </c>
      <c r="Q1478" s="1" t="str">
        <f ca="1">IFERROR(__xludf.DUMMYFUNCTION("""COMPUTED_VALUE"""),"Yes, I Understand this is gonna happen everywhere")</f>
        <v>Yes, I Understand this is gonna happen everywhere</v>
      </c>
      <c r="R1478" s="1" t="str">
        <f ca="1">IFERROR(__xludf.DUMMYFUNCTION("""COMPUTED_VALUE"""),"This will be hard to do, but if it is the right company I would try")</f>
        <v>This will be hard to do, but if it is the right company I would try</v>
      </c>
      <c r="S1478" s="1"/>
    </row>
    <row r="1479" spans="1:19" ht="12.5" x14ac:dyDescent="0.25">
      <c r="A1479" s="2">
        <f ca="1">IFERROR(__xludf.DUMMYFUNCTION("""COMPUTED_VALUE"""),45045.4775513773)</f>
        <v>45045.477551377298</v>
      </c>
      <c r="B1479" s="1" t="str">
        <f ca="1">IFERROR(__xludf.DUMMYFUNCTION("""COMPUTED_VALUE"""),"India")</f>
        <v>India</v>
      </c>
      <c r="C1479" s="1">
        <f ca="1">IFERROR(__xludf.DUMMYFUNCTION("""COMPUTED_VALUE"""),147001)</f>
        <v>147001</v>
      </c>
      <c r="D1479" s="1" t="str">
        <f ca="1">IFERROR(__xludf.DUMMYFUNCTION("""COMPUTED_VALUE"""),"Male")</f>
        <v>Male</v>
      </c>
      <c r="E1479" s="1" t="str">
        <f ca="1">IFERROR(__xludf.DUMMYFUNCTION("""COMPUTED_VALUE"""),"People who have changed the world for better")</f>
        <v>People who have changed the world for better</v>
      </c>
      <c r="F1479" s="1" t="str">
        <f ca="1">IFERROR(__xludf.DUMMYFUNCTION("""COMPUTED_VALUE"""),"No, But if someone could bare the cost I will")</f>
        <v>No, But if someone could bare the cost I will</v>
      </c>
      <c r="G1479" s="1" t="str">
        <f ca="1">IFERROR(__xludf.DUMMYFUNCTION("""COMPUTED_VALUE"""),"Will work for 3 years or more")</f>
        <v>Will work for 3 years or more</v>
      </c>
      <c r="H1479" s="1" t="str">
        <f ca="1">IFERROR(__xludf.DUMMYFUNCTION("""COMPUTED_VALUE"""),"No")</f>
        <v>No</v>
      </c>
      <c r="I1479" s="1" t="str">
        <f ca="1">IFERROR(__xludf.DUMMYFUNCTION("""COMPUTED_VALUE"""),"Will NOT work for them")</f>
        <v>Will NOT work for them</v>
      </c>
      <c r="J1479" s="1">
        <f ca="1">IFERROR(__xludf.DUMMYFUNCTION("""COMPUTED_VALUE"""),5)</f>
        <v>5</v>
      </c>
      <c r="K1479" s="1" t="str">
        <f ca="1">IFERROR(__xludf.DUMMYFUNCTION("""COMPUTED_VALUE"""),"Fully Remote with Options to travel as and when needed")</f>
        <v>Fully Remote with Options to travel as and when needed</v>
      </c>
      <c r="L14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7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479" s="1" t="str">
        <f ca="1">IFERROR(__xludf.DUMMYFUNCTION("""COMPUTED_VALUE"""),"Business Operations in any organization, Design and Develop amazing software, Look deeply into Data and generate insights, An Artificial Intelligence Specialist / Talking to Robots")</f>
        <v>Business Operations in any organization, Design and Develop amazing software, Look deeply into Data and generate insights, An Artificial Intelligence Specialist / Talking to Robots</v>
      </c>
      <c r="O1479" s="1" t="str">
        <f ca="1">IFERROR(__xludf.DUMMYFUNCTION("""COMPUTED_VALUE"""),"Manager who explains what is expected, sets a goal and helps achieve it")</f>
        <v>Manager who explains what is expected, sets a goal and helps achieve it</v>
      </c>
      <c r="P1479" s="1" t="str">
        <f ca="1">IFERROR(__xludf.DUMMYFUNCTION("""COMPUTED_VALUE"""),"Work with 2 to 3 people in my team")</f>
        <v>Work with 2 to 3 people in my team</v>
      </c>
      <c r="Q1479" s="1" t="str">
        <f ca="1">IFERROR(__xludf.DUMMYFUNCTION("""COMPUTED_VALUE"""),"Yes, I Understand this is gonna happen everywhere")</f>
        <v>Yes, I Understand this is gonna happen everywhere</v>
      </c>
      <c r="R1479" s="1" t="str">
        <f ca="1">IFERROR(__xludf.DUMMYFUNCTION("""COMPUTED_VALUE"""),"This will be hard to do, but if it is the right company I would try")</f>
        <v>This will be hard to do, but if it is the right company I would try</v>
      </c>
      <c r="S1479" s="1"/>
    </row>
    <row r="1480" spans="1:19" ht="12.5" x14ac:dyDescent="0.25">
      <c r="A1480" s="2">
        <f ca="1">IFERROR(__xludf.DUMMYFUNCTION("""COMPUTED_VALUE"""),45045.4803837731)</f>
        <v>45045.480383773101</v>
      </c>
      <c r="B1480" s="1" t="str">
        <f ca="1">IFERROR(__xludf.DUMMYFUNCTION("""COMPUTED_VALUE"""),"India")</f>
        <v>India</v>
      </c>
      <c r="C1480" s="1">
        <f ca="1">IFERROR(__xludf.DUMMYFUNCTION("""COMPUTED_VALUE"""),452007)</f>
        <v>452007</v>
      </c>
      <c r="D1480" s="1" t="str">
        <f ca="1">IFERROR(__xludf.DUMMYFUNCTION("""COMPUTED_VALUE"""),"Male")</f>
        <v>Male</v>
      </c>
      <c r="E1480" s="1" t="str">
        <f ca="1">IFERROR(__xludf.DUMMYFUNCTION("""COMPUTED_VALUE"""),"Influencers who had successful careers")</f>
        <v>Influencers who had successful careers</v>
      </c>
      <c r="F1480" s="1" t="str">
        <f ca="1">IFERROR(__xludf.DUMMYFUNCTION("""COMPUTED_VALUE"""),"Yes, I will earn and do that")</f>
        <v>Yes, I will earn and do that</v>
      </c>
      <c r="G1480" s="1" t="str">
        <f ca="1">IFERROR(__xludf.DUMMYFUNCTION("""COMPUTED_VALUE"""),"This will be hard to do, but if it is the right company I would try")</f>
        <v>This will be hard to do, but if it is the right company I would try</v>
      </c>
      <c r="H1480" s="1" t="str">
        <f ca="1">IFERROR(__xludf.DUMMYFUNCTION("""COMPUTED_VALUE"""),"No")</f>
        <v>No</v>
      </c>
      <c r="I1480" s="1" t="str">
        <f ca="1">IFERROR(__xludf.DUMMYFUNCTION("""COMPUTED_VALUE"""),"Will NOT work for them")</f>
        <v>Will NOT work for them</v>
      </c>
      <c r="J1480" s="1">
        <f ca="1">IFERROR(__xludf.DUMMYFUNCTION("""COMPUTED_VALUE"""),3)</f>
        <v>3</v>
      </c>
      <c r="K1480" s="1" t="str">
        <f ca="1">IFERROR(__xludf.DUMMYFUNCTION("""COMPUTED_VALUE"""),"Hybrid Working Environment with less than 3 days a month at office")</f>
        <v>Hybrid Working Environment with less than 3 days a month at office</v>
      </c>
      <c r="L14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8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80" s="1" t="str">
        <f ca="1">IFERROR(__xludf.DUMMYFUNCTION("""COMPUTED_VALUE"""),"Design and Creative strategy in any company, Look deeply into Data and generate insights, Entrepreneur or Start Up, Manufacturing / Oil and Gas/ Construction / Hard Physical Work related")</f>
        <v>Design and Creative strategy in any company, Look deeply into Data and generate insights, Entrepreneur or Start Up, Manufacturing / Oil and Gas/ Construction / Hard Physical Work related</v>
      </c>
      <c r="O1480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0" s="1" t="str">
        <f ca="1">IFERROR(__xludf.DUMMYFUNCTION("""COMPUTED_VALUE"""),"Work with 5 to 6 people in my team")</f>
        <v>Work with 5 to 6 people in my team</v>
      </c>
      <c r="Q1480" s="1" t="str">
        <f ca="1">IFERROR(__xludf.DUMMYFUNCTION("""COMPUTED_VALUE"""),"Yes, I Understand this is gonna happen everywhere")</f>
        <v>Yes, I Understand this is gonna happen everywhere</v>
      </c>
      <c r="R1480" s="1" t="str">
        <f ca="1">IFERROR(__xludf.DUMMYFUNCTION("""COMPUTED_VALUE"""),"No way")</f>
        <v>No way</v>
      </c>
      <c r="S1480" s="1"/>
    </row>
    <row r="1481" spans="1:19" ht="12.5" x14ac:dyDescent="0.25">
      <c r="A1481" s="2">
        <f ca="1">IFERROR(__xludf.DUMMYFUNCTION("""COMPUTED_VALUE"""),45045.4825741088)</f>
        <v>45045.482574108799</v>
      </c>
      <c r="B1481" s="1" t="str">
        <f ca="1">IFERROR(__xludf.DUMMYFUNCTION("""COMPUTED_VALUE"""),"India")</f>
        <v>India</v>
      </c>
      <c r="C1481" s="1">
        <f ca="1">IFERROR(__xludf.DUMMYFUNCTION("""COMPUTED_VALUE"""),560039)</f>
        <v>560039</v>
      </c>
      <c r="D1481" s="1" t="str">
        <f ca="1">IFERROR(__xludf.DUMMYFUNCTION("""COMPUTED_VALUE"""),"Female")</f>
        <v>Female</v>
      </c>
      <c r="E1481" s="1" t="str">
        <f ca="1">IFERROR(__xludf.DUMMYFUNCTION("""COMPUTED_VALUE"""),"My Parents")</f>
        <v>My Parents</v>
      </c>
      <c r="F1481" s="1" t="str">
        <f ca="1">IFERROR(__xludf.DUMMYFUNCTION("""COMPUTED_VALUE"""),"No I would not be pursuing Higher Education outside of India")</f>
        <v>No I would not be pursuing Higher Education outside of India</v>
      </c>
      <c r="G1481" s="1" t="str">
        <f ca="1">IFERROR(__xludf.DUMMYFUNCTION("""COMPUTED_VALUE"""),"This will be hard to do, but if it is the right company I would try")</f>
        <v>This will be hard to do, but if it is the right company I would try</v>
      </c>
      <c r="H1481" s="1" t="str">
        <f ca="1">IFERROR(__xludf.DUMMYFUNCTION("""COMPUTED_VALUE"""),"No")</f>
        <v>No</v>
      </c>
      <c r="I1481" s="1" t="str">
        <f ca="1">IFERROR(__xludf.DUMMYFUNCTION("""COMPUTED_VALUE"""),"Will NOT work for them")</f>
        <v>Will NOT work for them</v>
      </c>
      <c r="J1481" s="1">
        <f ca="1">IFERROR(__xludf.DUMMYFUNCTION("""COMPUTED_VALUE"""),5)</f>
        <v>5</v>
      </c>
      <c r="K1481" s="1" t="str">
        <f ca="1">IFERROR(__xludf.DUMMYFUNCTION("""COMPUTED_VALUE"""),"Hybrid Working Environment with more than 15 days a month at office")</f>
        <v>Hybrid Working Environment with more than 15 days a month at office</v>
      </c>
      <c r="L1481" s="1" t="str">
        <f ca="1">IFERROR(__xludf.DUMMYFUNCTION("""COMPUTED_VALUE"""),"Employer who rewards learning and enables that environment")</f>
        <v>Employer who rewards learning and enables that environment</v>
      </c>
      <c r="M1481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481" s="1" t="str">
        <f ca="1">IFERROR(__xludf.DUMMYFUNCTION("""COMPUTED_VALUE"""),"Business Operations in any organization, Manage and drive End-to-End Projects or Products, Build and develop a Team, Work in a BPO setup for some well known client")</f>
        <v>Business Operations in any organization, Manage and drive End-to-End Projects or Products, Build and develop a Team, Work in a BPO setup for some well known client</v>
      </c>
      <c r="O1481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1" s="1" t="str">
        <f ca="1">IFERROR(__xludf.DUMMYFUNCTION("""COMPUTED_VALUE"""),"Work with 5 to 6 people in my team")</f>
        <v>Work with 5 to 6 people in my team</v>
      </c>
      <c r="Q1481" s="1" t="str">
        <f ca="1">IFERROR(__xludf.DUMMYFUNCTION("""COMPUTED_VALUE"""),"Yes, I Understand this is gonna happen everywhere")</f>
        <v>Yes, I Understand this is gonna happen everywhere</v>
      </c>
      <c r="R1481" s="1" t="str">
        <f ca="1">IFERROR(__xludf.DUMMYFUNCTION("""COMPUTED_VALUE"""),"This will be hard to do, but if it is the right company I would try")</f>
        <v>This will be hard to do, but if it is the right company I would try</v>
      </c>
      <c r="S1481" s="1"/>
    </row>
    <row r="1482" spans="1:19" ht="12.5" x14ac:dyDescent="0.25">
      <c r="A1482" s="2">
        <f ca="1">IFERROR(__xludf.DUMMYFUNCTION("""COMPUTED_VALUE"""),45045.483686493)</f>
        <v>45045.483686492997</v>
      </c>
      <c r="B1482" s="1" t="str">
        <f ca="1">IFERROR(__xludf.DUMMYFUNCTION("""COMPUTED_VALUE"""),"India")</f>
        <v>India</v>
      </c>
      <c r="C1482" s="1">
        <f ca="1">IFERROR(__xludf.DUMMYFUNCTION("""COMPUTED_VALUE"""),571401)</f>
        <v>571401</v>
      </c>
      <c r="D1482" s="1" t="str">
        <f ca="1">IFERROR(__xludf.DUMMYFUNCTION("""COMPUTED_VALUE"""),"Female")</f>
        <v>Female</v>
      </c>
      <c r="E1482" s="1" t="str">
        <f ca="1">IFERROR(__xludf.DUMMYFUNCTION("""COMPUTED_VALUE"""),"People who have changed the world for better")</f>
        <v>People who have changed the world for better</v>
      </c>
      <c r="F1482" s="1" t="str">
        <f ca="1">IFERROR(__xludf.DUMMYFUNCTION("""COMPUTED_VALUE"""),"No, But if someone could bare the cost I will")</f>
        <v>No, But if someone could bare the cost I will</v>
      </c>
      <c r="G1482" s="1" t="str">
        <f ca="1">IFERROR(__xludf.DUMMYFUNCTION("""COMPUTED_VALUE"""),"Will work for 3 years or more")</f>
        <v>Will work for 3 years or more</v>
      </c>
      <c r="H1482" s="1" t="str">
        <f ca="1">IFERROR(__xludf.DUMMYFUNCTION("""COMPUTED_VALUE"""),"No")</f>
        <v>No</v>
      </c>
      <c r="I1482" s="1" t="str">
        <f ca="1">IFERROR(__xludf.DUMMYFUNCTION("""COMPUTED_VALUE"""),"Will NOT work for them")</f>
        <v>Will NOT work for them</v>
      </c>
      <c r="J1482" s="1">
        <f ca="1">IFERROR(__xludf.DUMMYFUNCTION("""COMPUTED_VALUE"""),5)</f>
        <v>5</v>
      </c>
      <c r="K1482" s="1" t="str">
        <f ca="1">IFERROR(__xludf.DUMMYFUNCTION("""COMPUTED_VALUE"""),"Hybrid Working Environment with more than 15 days a month at office")</f>
        <v>Hybrid Working Environment with more than 15 days a month at office</v>
      </c>
      <c r="L1482" s="1" t="str">
        <f ca="1">IFERROR(__xludf.DUMMYFUNCTION("""COMPUTED_VALUE"""),"Employer who appreciates learning and enables that environment")</f>
        <v>Employer who appreciates learning and enables that environment</v>
      </c>
      <c r="M148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82" s="1" t="str">
        <f ca="1">IFERROR(__xludf.DUMMYFUNCTION("""COMPUTED_VALUE"""),"Manage and drive End-to-End Projects or Products, Design and Develop amazing software, An Artificial Intelligence Specialist / Talking to Robots, Manufacturing / Oil and Gas/ Construction / Hard Physical Work related")</f>
        <v>Manage and drive End-to-End Projects or Products, Design and Develop amazing software, An Artificial Intelligence Specialist / Talking to Robots, Manufacturing / Oil and Gas/ Construction / Hard Physical Work related</v>
      </c>
      <c r="O1482" s="1" t="str">
        <f ca="1">IFERROR(__xludf.DUMMYFUNCTION("""COMPUTED_VALUE"""),"Manager who clearly describes what she/he needs")</f>
        <v>Manager who clearly describes what she/he needs</v>
      </c>
      <c r="P1482" s="1" t="str">
        <f ca="1">IFERROR(__xludf.DUMMYFUNCTION("""COMPUTED_VALUE"""),"Work with 2 to 3 people in my team")</f>
        <v>Work with 2 to 3 people in my team</v>
      </c>
      <c r="Q1482" s="1" t="str">
        <f ca="1">IFERROR(__xludf.DUMMYFUNCTION("""COMPUTED_VALUE"""),"Yes, I Understand this is gonna happen everywhere")</f>
        <v>Yes, I Understand this is gonna happen everywhere</v>
      </c>
      <c r="R1482" s="1" t="str">
        <f ca="1">IFERROR(__xludf.DUMMYFUNCTION("""COMPUTED_VALUE"""),"This will be hard to do, but if it is the right company I would try")</f>
        <v>This will be hard to do, but if it is the right company I would try</v>
      </c>
      <c r="S1482" s="1"/>
    </row>
    <row r="1483" spans="1:19" ht="12.5" x14ac:dyDescent="0.25">
      <c r="A1483" s="2">
        <f ca="1">IFERROR(__xludf.DUMMYFUNCTION("""COMPUTED_VALUE"""),45045.491740081)</f>
        <v>45045.491740081001</v>
      </c>
      <c r="B1483" s="1" t="str">
        <f ca="1">IFERROR(__xludf.DUMMYFUNCTION("""COMPUTED_VALUE"""),"India")</f>
        <v>India</v>
      </c>
      <c r="C1483" s="1">
        <f ca="1">IFERROR(__xludf.DUMMYFUNCTION("""COMPUTED_VALUE"""),533201)</f>
        <v>533201</v>
      </c>
      <c r="D1483" s="1" t="str">
        <f ca="1">IFERROR(__xludf.DUMMYFUNCTION("""COMPUTED_VALUE"""),"Female")</f>
        <v>Female</v>
      </c>
      <c r="E1483" s="1" t="str">
        <f ca="1">IFERROR(__xludf.DUMMYFUNCTION("""COMPUTED_VALUE"""),"People from my circle, but not family members")</f>
        <v>People from my circle, but not family members</v>
      </c>
      <c r="F1483" s="1" t="str">
        <f ca="1">IFERROR(__xludf.DUMMYFUNCTION("""COMPUTED_VALUE"""),"Yes, I will earn and do that")</f>
        <v>Yes, I will earn and do that</v>
      </c>
      <c r="G1483" s="1" t="str">
        <f ca="1">IFERROR(__xludf.DUMMYFUNCTION("""COMPUTED_VALUE"""),"This will be hard to do, but if it is the right company I would try")</f>
        <v>This will be hard to do, but if it is the right company I would try</v>
      </c>
      <c r="H1483" s="1" t="str">
        <f ca="1">IFERROR(__xludf.DUMMYFUNCTION("""COMPUTED_VALUE"""),"Yes")</f>
        <v>Yes</v>
      </c>
      <c r="I1483" s="1" t="str">
        <f ca="1">IFERROR(__xludf.DUMMYFUNCTION("""COMPUTED_VALUE"""),"Will work for them")</f>
        <v>Will work for them</v>
      </c>
      <c r="J1483" s="1">
        <f ca="1">IFERROR(__xludf.DUMMYFUNCTION("""COMPUTED_VALUE"""),6)</f>
        <v>6</v>
      </c>
      <c r="K1483" s="1" t="str">
        <f ca="1">IFERROR(__xludf.DUMMYFUNCTION("""COMPUTED_VALUE"""),"Fully Remote with No option to visit offices")</f>
        <v>Fully Remote with No option to visit offices</v>
      </c>
      <c r="L1483" s="1" t="str">
        <f ca="1">IFERROR(__xludf.DUMMYFUNCTION("""COMPUTED_VALUE"""),"Employer who appreciates learning and enables that environment")</f>
        <v>Employer who appreciates learning and enables that environment</v>
      </c>
      <c r="M148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483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1483" s="1" t="str">
        <f ca="1">IFERROR(__xludf.DUMMYFUNCTION("""COMPUTED_VALUE"""),"Manager who clearly describes what she/he needs")</f>
        <v>Manager who clearly describes what she/he needs</v>
      </c>
      <c r="P1483" s="1" t="str">
        <f ca="1">IFERROR(__xludf.DUMMYFUNCTION("""COMPUTED_VALUE"""),"Work with 5 to 6 people in my team")</f>
        <v>Work with 5 to 6 people in my team</v>
      </c>
      <c r="Q1483" s="1" t="str">
        <f ca="1">IFERROR(__xludf.DUMMYFUNCTION("""COMPUTED_VALUE"""),"Yes, I Understand this is gonna happen everywhere")</f>
        <v>Yes, I Understand this is gonna happen everywhere</v>
      </c>
      <c r="R1483" s="1" t="str">
        <f ca="1">IFERROR(__xludf.DUMMYFUNCTION("""COMPUTED_VALUE"""),"This will be hard to do, but if it is the right company I would try")</f>
        <v>This will be hard to do, but if it is the right company I would try</v>
      </c>
      <c r="S1483" s="1"/>
    </row>
    <row r="1484" spans="1:19" ht="12.5" x14ac:dyDescent="0.25">
      <c r="A1484" s="2">
        <f ca="1">IFERROR(__xludf.DUMMYFUNCTION("""COMPUTED_VALUE"""),45045.4926545601)</f>
        <v>45045.492654560097</v>
      </c>
      <c r="B1484" s="1" t="str">
        <f ca="1">IFERROR(__xludf.DUMMYFUNCTION("""COMPUTED_VALUE"""),"India")</f>
        <v>India</v>
      </c>
      <c r="C1484" s="1">
        <f ca="1">IFERROR(__xludf.DUMMYFUNCTION("""COMPUTED_VALUE"""),560073)</f>
        <v>560073</v>
      </c>
      <c r="D1484" s="1" t="str">
        <f ca="1">IFERROR(__xludf.DUMMYFUNCTION("""COMPUTED_VALUE"""),"Female")</f>
        <v>Female</v>
      </c>
      <c r="E1484" s="1" t="str">
        <f ca="1">IFERROR(__xludf.DUMMYFUNCTION("""COMPUTED_VALUE"""),"My Parents")</f>
        <v>My Parents</v>
      </c>
      <c r="F1484" s="1" t="str">
        <f ca="1">IFERROR(__xludf.DUMMYFUNCTION("""COMPUTED_VALUE"""),"No I would not be pursuing Higher Education outside of India")</f>
        <v>No I would not be pursuing Higher Education outside of India</v>
      </c>
      <c r="G1484" s="1" t="str">
        <f ca="1">IFERROR(__xludf.DUMMYFUNCTION("""COMPUTED_VALUE"""),"This will be hard to do, but if it is the right company I would try")</f>
        <v>This will be hard to do, but if it is the right company I would try</v>
      </c>
      <c r="H1484" s="1" t="str">
        <f ca="1">IFERROR(__xludf.DUMMYFUNCTION("""COMPUTED_VALUE"""),"Yes")</f>
        <v>Yes</v>
      </c>
      <c r="I1484" s="1" t="str">
        <f ca="1">IFERROR(__xludf.DUMMYFUNCTION("""COMPUTED_VALUE"""),"Will work for them")</f>
        <v>Will work for them</v>
      </c>
      <c r="J1484" s="1">
        <f ca="1">IFERROR(__xludf.DUMMYFUNCTION("""COMPUTED_VALUE"""),9)</f>
        <v>9</v>
      </c>
      <c r="K1484" s="1" t="str">
        <f ca="1">IFERROR(__xludf.DUMMYFUNCTION("""COMPUTED_VALUE"""),"Hybrid Working Environment with more than 15 days a month at office")</f>
        <v>Hybrid Working Environment with more than 15 days a month at office</v>
      </c>
      <c r="L1484" s="1" t="str">
        <f ca="1">IFERROR(__xludf.DUMMYFUNCTION("""COMPUTED_VALUE"""),"Employer who rewards learning and enables that environment")</f>
        <v>Employer who rewards learning and enables that environment</v>
      </c>
      <c r="M148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484" s="1" t="str">
        <f ca="1">IFERROR(__xludf.DUMMYFUNCTION("""COMPUTED_VALUE"""),"Business Operations in any organization, Manage and drive End-to-End Projects or Products, Build and develop a Team, Work in a BPO setup for some well known client")</f>
        <v>Business Operations in any organization, Manage and drive End-to-End Projects or Products, Build and develop a Team, Work in a BPO setup for some well known client</v>
      </c>
      <c r="O148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4" s="1" t="str">
        <f ca="1">IFERROR(__xludf.DUMMYFUNCTION("""COMPUTED_VALUE"""),"Work with more than 10 people in my team")</f>
        <v>Work with more than 10 people in my team</v>
      </c>
      <c r="Q1484" s="1" t="str">
        <f ca="1">IFERROR(__xludf.DUMMYFUNCTION("""COMPUTED_VALUE"""),"Yes, I Understand this is gonna happen everywhere")</f>
        <v>Yes, I Understand this is gonna happen everywhere</v>
      </c>
      <c r="R1484" s="1" t="str">
        <f ca="1">IFERROR(__xludf.DUMMYFUNCTION("""COMPUTED_VALUE"""),"This will be hard to do, but if it is the right company I would try")</f>
        <v>This will be hard to do, but if it is the right company I would try</v>
      </c>
      <c r="S1484" s="1"/>
    </row>
    <row r="1485" spans="1:19" ht="12.5" x14ac:dyDescent="0.25">
      <c r="A1485" s="2">
        <f ca="1">IFERROR(__xludf.DUMMYFUNCTION("""COMPUTED_VALUE"""),45045.5036151041)</f>
        <v>45045.503615104099</v>
      </c>
      <c r="B1485" s="1" t="str">
        <f ca="1">IFERROR(__xludf.DUMMYFUNCTION("""COMPUTED_VALUE"""),"India")</f>
        <v>India</v>
      </c>
      <c r="C1485" s="1">
        <f ca="1">IFERROR(__xludf.DUMMYFUNCTION("""COMPUTED_VALUE"""),560068)</f>
        <v>560068</v>
      </c>
      <c r="D1485" s="1" t="str">
        <f ca="1">IFERROR(__xludf.DUMMYFUNCTION("""COMPUTED_VALUE"""),"Male")</f>
        <v>Male</v>
      </c>
      <c r="E1485" s="1" t="str">
        <f ca="1">IFERROR(__xludf.DUMMYFUNCTION("""COMPUTED_VALUE"""),"People from my circle, but not family members")</f>
        <v>People from my circle, but not family members</v>
      </c>
      <c r="F1485" s="1" t="str">
        <f ca="1">IFERROR(__xludf.DUMMYFUNCTION("""COMPUTED_VALUE"""),"No I would not be pursuing Higher Education outside of India")</f>
        <v>No I would not be pursuing Higher Education outside of India</v>
      </c>
      <c r="G1485" s="1" t="str">
        <f ca="1">IFERROR(__xludf.DUMMYFUNCTION("""COMPUTED_VALUE"""),"Will work for 3 years or more")</f>
        <v>Will work for 3 years or more</v>
      </c>
      <c r="H1485" s="1" t="str">
        <f ca="1">IFERROR(__xludf.DUMMYFUNCTION("""COMPUTED_VALUE"""),"No")</f>
        <v>No</v>
      </c>
      <c r="I1485" s="1" t="str">
        <f ca="1">IFERROR(__xludf.DUMMYFUNCTION("""COMPUTED_VALUE"""),"Will NOT work for them")</f>
        <v>Will NOT work for them</v>
      </c>
      <c r="J1485" s="1">
        <f ca="1">IFERROR(__xludf.DUMMYFUNCTION("""COMPUTED_VALUE"""),3)</f>
        <v>3</v>
      </c>
      <c r="K1485" s="1" t="str">
        <f ca="1">IFERROR(__xludf.DUMMYFUNCTION("""COMPUTED_VALUE"""),"Every Day Office Environment")</f>
        <v>Every Day Office Environment</v>
      </c>
      <c r="L14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8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85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148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5" s="1" t="str">
        <f ca="1">IFERROR(__xludf.DUMMYFUNCTION("""COMPUTED_VALUE"""),"Work with 2 to 3 people in my team")</f>
        <v>Work with 2 to 3 people in my team</v>
      </c>
      <c r="Q1485" s="1" t="str">
        <f ca="1">IFERROR(__xludf.DUMMYFUNCTION("""COMPUTED_VALUE"""),"I have NO other choice")</f>
        <v>I have NO other choice</v>
      </c>
      <c r="R1485" s="1" t="str">
        <f ca="1">IFERROR(__xludf.DUMMYFUNCTION("""COMPUTED_VALUE"""),"This will be hard to do, but if it is the right company I would try")</f>
        <v>This will be hard to do, but if it is the right company I would try</v>
      </c>
      <c r="S1485" s="1"/>
    </row>
    <row r="1486" spans="1:19" ht="12.5" x14ac:dyDescent="0.25">
      <c r="A1486" s="2">
        <f ca="1">IFERROR(__xludf.DUMMYFUNCTION("""COMPUTED_VALUE"""),45045.5064865162)</f>
        <v>45045.506486516198</v>
      </c>
      <c r="B1486" s="1" t="str">
        <f ca="1">IFERROR(__xludf.DUMMYFUNCTION("""COMPUTED_VALUE"""),"India")</f>
        <v>India</v>
      </c>
      <c r="C1486" s="1">
        <f ca="1">IFERROR(__xludf.DUMMYFUNCTION("""COMPUTED_VALUE"""),201301)</f>
        <v>201301</v>
      </c>
      <c r="D1486" s="1" t="str">
        <f ca="1">IFERROR(__xludf.DUMMYFUNCTION("""COMPUTED_VALUE"""),"Male")</f>
        <v>Male</v>
      </c>
      <c r="E1486" s="1" t="str">
        <f ca="1">IFERROR(__xludf.DUMMYFUNCTION("""COMPUTED_VALUE"""),"People from my circle, but not family members")</f>
        <v>People from my circle, but not family members</v>
      </c>
      <c r="F1486" s="1" t="str">
        <f ca="1">IFERROR(__xludf.DUMMYFUNCTION("""COMPUTED_VALUE"""),"No I would not be pursuing Higher Education outside of India")</f>
        <v>No I would not be pursuing Higher Education outside of India</v>
      </c>
      <c r="G1486" s="1" t="str">
        <f ca="1">IFERROR(__xludf.DUMMYFUNCTION("""COMPUTED_VALUE"""),"This will be hard to do, but if it is the right company I would try")</f>
        <v>This will be hard to do, but if it is the right company I would try</v>
      </c>
      <c r="H1486" s="1" t="str">
        <f ca="1">IFERROR(__xludf.DUMMYFUNCTION("""COMPUTED_VALUE"""),"No")</f>
        <v>No</v>
      </c>
      <c r="I1486" s="1" t="str">
        <f ca="1">IFERROR(__xludf.DUMMYFUNCTION("""COMPUTED_VALUE"""),"Will NOT work for them")</f>
        <v>Will NOT work for them</v>
      </c>
      <c r="J1486" s="1">
        <f ca="1">IFERROR(__xludf.DUMMYFUNCTION("""COMPUTED_VALUE"""),5)</f>
        <v>5</v>
      </c>
      <c r="K1486" s="1" t="str">
        <f ca="1">IFERROR(__xludf.DUMMYFUNCTION("""COMPUTED_VALUE"""),"Every Day Office Environment")</f>
        <v>Every Day Office Environment</v>
      </c>
      <c r="L14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8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86" s="1" t="str">
        <f ca="1">IFERROR(__xludf.DUMMYFUNCTION("""COMPUTED_VALUE"""),"Build and develop a Team, Work in a BPO setup for some well known client, Entrepreneur or Start Up, An Artificial Intelligence Specialist / Talking to Robots")</f>
        <v>Build and develop a Team, Work in a BPO setup for some well known client, Entrepreneur or Start Up, An Artificial Intelligence Specialist / Talking to Robots</v>
      </c>
      <c r="O1486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6" s="1" t="str">
        <f ca="1">IFERROR(__xludf.DUMMYFUNCTION("""COMPUTED_VALUE"""),"Work with more than 10 people in my team")</f>
        <v>Work with more than 10 people in my team</v>
      </c>
      <c r="Q1486" s="1" t="str">
        <f ca="1">IFERROR(__xludf.DUMMYFUNCTION("""COMPUTED_VALUE"""),"No")</f>
        <v>No</v>
      </c>
      <c r="R1486" s="1" t="str">
        <f ca="1">IFERROR(__xludf.DUMMYFUNCTION("""COMPUTED_VALUE"""),"This will be hard to do, but if it is the right company I would try")</f>
        <v>This will be hard to do, but if it is the right company I would try</v>
      </c>
      <c r="S1486" s="1"/>
    </row>
    <row r="1487" spans="1:19" ht="12.5" x14ac:dyDescent="0.25">
      <c r="A1487" s="2">
        <f ca="1">IFERROR(__xludf.DUMMYFUNCTION("""COMPUTED_VALUE"""),45045.5067363078)</f>
        <v>45045.506736307798</v>
      </c>
      <c r="B1487" s="1" t="str">
        <f ca="1">IFERROR(__xludf.DUMMYFUNCTION("""COMPUTED_VALUE"""),"India")</f>
        <v>India</v>
      </c>
      <c r="C1487" s="1">
        <f ca="1">IFERROR(__xludf.DUMMYFUNCTION("""COMPUTED_VALUE"""),571128)</f>
        <v>571128</v>
      </c>
      <c r="D1487" s="1" t="str">
        <f ca="1">IFERROR(__xludf.DUMMYFUNCTION("""COMPUTED_VALUE"""),"Female")</f>
        <v>Female</v>
      </c>
      <c r="E1487" s="1" t="str">
        <f ca="1">IFERROR(__xludf.DUMMYFUNCTION("""COMPUTED_VALUE"""),"Influencers who had successful careers")</f>
        <v>Influencers who had successful careers</v>
      </c>
      <c r="F1487" s="1" t="str">
        <f ca="1">IFERROR(__xludf.DUMMYFUNCTION("""COMPUTED_VALUE"""),"No I would not be pursuing Higher Education outside of India")</f>
        <v>No I would not be pursuing Higher Education outside of India</v>
      </c>
      <c r="G1487" s="1" t="str">
        <f ca="1">IFERROR(__xludf.DUMMYFUNCTION("""COMPUTED_VALUE"""),"This will be hard to do, but if it is the right company I would try")</f>
        <v>This will be hard to do, but if it is the right company I would try</v>
      </c>
      <c r="H1487" s="1" t="str">
        <f ca="1">IFERROR(__xludf.DUMMYFUNCTION("""COMPUTED_VALUE"""),"No")</f>
        <v>No</v>
      </c>
      <c r="I1487" s="1" t="str">
        <f ca="1">IFERROR(__xludf.DUMMYFUNCTION("""COMPUTED_VALUE"""),"Will NOT work for them")</f>
        <v>Will NOT work for them</v>
      </c>
      <c r="J1487" s="1">
        <f ca="1">IFERROR(__xludf.DUMMYFUNCTION("""COMPUTED_VALUE"""),1)</f>
        <v>1</v>
      </c>
      <c r="K1487" s="1" t="str">
        <f ca="1">IFERROR(__xludf.DUMMYFUNCTION("""COMPUTED_VALUE"""),"Every Day Office Environment")</f>
        <v>Every Day Office Environment</v>
      </c>
      <c r="L1487" s="1" t="str">
        <f ca="1">IFERROR(__xludf.DUMMYFUNCTION("""COMPUTED_VALUE"""),"Employer who rewards learning and enables that environment")</f>
        <v>Employer who rewards learning and enables that environment</v>
      </c>
      <c r="M1487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487" s="1" t="str">
        <f ca="1">IFERROR(__xludf.DUMMYFUNCTION("""COMPUTED_VALUE"""),"Design and Develop amazing software, Look deeply into Data and generate insights, Entrepreneur or Start Up, An Artificial Intelligence Specialist / Talking to Robots")</f>
        <v>Design and Develop amazing software, Look deeply into Data and generate insights, Entrepreneur or Start Up, An Artificial Intelligence Specialist / Talking to Robots</v>
      </c>
      <c r="O1487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7" s="1" t="str">
        <f ca="1">IFERROR(__xludf.DUMMYFUNCTION("""COMPUTED_VALUE"""),"Work with 2 to 3 people in my team")</f>
        <v>Work with 2 to 3 people in my team</v>
      </c>
      <c r="Q1487" s="1" t="str">
        <f ca="1">IFERROR(__xludf.DUMMYFUNCTION("""COMPUTED_VALUE"""),"Yes, I Understand this is gonna happen everywhere")</f>
        <v>Yes, I Understand this is gonna happen everywhere</v>
      </c>
      <c r="R1487" s="1" t="str">
        <f ca="1">IFERROR(__xludf.DUMMYFUNCTION("""COMPUTED_VALUE"""),"No way")</f>
        <v>No way</v>
      </c>
      <c r="S1487" s="1"/>
    </row>
    <row r="1488" spans="1:19" ht="12.5" x14ac:dyDescent="0.25">
      <c r="A1488" s="2">
        <f ca="1">IFERROR(__xludf.DUMMYFUNCTION("""COMPUTED_VALUE"""),45045.5090202662)</f>
        <v>45045.509020266203</v>
      </c>
      <c r="B1488" s="1" t="str">
        <f ca="1">IFERROR(__xludf.DUMMYFUNCTION("""COMPUTED_VALUE"""),"India")</f>
        <v>India</v>
      </c>
      <c r="C1488" s="1">
        <f ca="1">IFERROR(__xludf.DUMMYFUNCTION("""COMPUTED_VALUE"""),208017)</f>
        <v>208017</v>
      </c>
      <c r="D1488" s="1" t="str">
        <f ca="1">IFERROR(__xludf.DUMMYFUNCTION("""COMPUTED_VALUE"""),"Male")</f>
        <v>Male</v>
      </c>
      <c r="E1488" s="1" t="str">
        <f ca="1">IFERROR(__xludf.DUMMYFUNCTION("""COMPUTED_VALUE"""),"My Parents")</f>
        <v>My Parents</v>
      </c>
      <c r="F1488" s="1" t="str">
        <f ca="1">IFERROR(__xludf.DUMMYFUNCTION("""COMPUTED_VALUE"""),"Yes, I will earn and do that")</f>
        <v>Yes, I will earn and do that</v>
      </c>
      <c r="G1488" s="1" t="str">
        <f ca="1">IFERROR(__xludf.DUMMYFUNCTION("""COMPUTED_VALUE"""),"This will be hard to do, but if it is the right company I would try")</f>
        <v>This will be hard to do, but if it is the right company I would try</v>
      </c>
      <c r="H1488" s="1" t="str">
        <f ca="1">IFERROR(__xludf.DUMMYFUNCTION("""COMPUTED_VALUE"""),"No")</f>
        <v>No</v>
      </c>
      <c r="I1488" s="1" t="str">
        <f ca="1">IFERROR(__xludf.DUMMYFUNCTION("""COMPUTED_VALUE"""),"Will NOT work for them")</f>
        <v>Will NOT work for them</v>
      </c>
      <c r="J1488" s="1">
        <f ca="1">IFERROR(__xludf.DUMMYFUNCTION("""COMPUTED_VALUE"""),2)</f>
        <v>2</v>
      </c>
      <c r="K1488" s="1" t="str">
        <f ca="1">IFERROR(__xludf.DUMMYFUNCTION("""COMPUTED_VALUE"""),"Fully Remote with No option to visit offices")</f>
        <v>Fully Remote with No option to visit offices</v>
      </c>
      <c r="L1488" s="1" t="str">
        <f ca="1">IFERROR(__xludf.DUMMYFUNCTION("""COMPUTED_VALUE"""),"Employer who rewards learning and enables that environment")</f>
        <v>Employer who rewards learning and enables that environment</v>
      </c>
      <c r="M148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488" s="1" t="str">
        <f ca="1">IFERROR(__xludf.DUMMYFUNCTION("""COMPUTED_VALUE"""),"Design and Creative strategy in any company, Look deeply into Data and generate insights, Entrepreneur or Start Up, An Artificial Intelligence Specialist / Talking to Robots")</f>
        <v>Design and Creative strategy in any company, Look deeply into Data and generate insights, Entrepreneur or Start Up, An Artificial Intelligence Specialist / Talking to Robots</v>
      </c>
      <c r="O148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8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488" s="1" t="str">
        <f ca="1">IFERROR(__xludf.DUMMYFUNCTION("""COMPUTED_VALUE"""),"No")</f>
        <v>No</v>
      </c>
      <c r="R1488" s="1" t="str">
        <f ca="1">IFERROR(__xludf.DUMMYFUNCTION("""COMPUTED_VALUE"""),"This will be hard to do, but if it is the right company I would try")</f>
        <v>This will be hard to do, but if it is the right company I would try</v>
      </c>
      <c r="S1488" s="1"/>
    </row>
    <row r="1489" spans="1:19" ht="12.5" x14ac:dyDescent="0.25">
      <c r="A1489" s="2">
        <f ca="1">IFERROR(__xludf.DUMMYFUNCTION("""COMPUTED_VALUE"""),45045.5093122916)</f>
        <v>45045.509312291601</v>
      </c>
      <c r="B1489" s="1" t="str">
        <f ca="1">IFERROR(__xludf.DUMMYFUNCTION("""COMPUTED_VALUE"""),"India")</f>
        <v>India</v>
      </c>
      <c r="C1489" s="1">
        <f ca="1">IFERROR(__xludf.DUMMYFUNCTION("""COMPUTED_VALUE"""),201301)</f>
        <v>201301</v>
      </c>
      <c r="D1489" s="1" t="str">
        <f ca="1">IFERROR(__xludf.DUMMYFUNCTION("""COMPUTED_VALUE"""),"Male")</f>
        <v>Male</v>
      </c>
      <c r="E1489" s="1" t="str">
        <f ca="1">IFERROR(__xludf.DUMMYFUNCTION("""COMPUTED_VALUE"""),"People from my circle, but not family members")</f>
        <v>People from my circle, but not family members</v>
      </c>
      <c r="F1489" s="1" t="str">
        <f ca="1">IFERROR(__xludf.DUMMYFUNCTION("""COMPUTED_VALUE"""),"No I would not be pursuing Higher Education outside of India")</f>
        <v>No I would not be pursuing Higher Education outside of India</v>
      </c>
      <c r="G1489" s="1" t="str">
        <f ca="1">IFERROR(__xludf.DUMMYFUNCTION("""COMPUTED_VALUE"""),"This will be hard to do, but if it is the right company I would try")</f>
        <v>This will be hard to do, but if it is the right company I would try</v>
      </c>
      <c r="H1489" s="1" t="str">
        <f ca="1">IFERROR(__xludf.DUMMYFUNCTION("""COMPUTED_VALUE"""),"No")</f>
        <v>No</v>
      </c>
      <c r="I1489" s="1" t="str">
        <f ca="1">IFERROR(__xludf.DUMMYFUNCTION("""COMPUTED_VALUE"""),"Will NOT work for them")</f>
        <v>Will NOT work for them</v>
      </c>
      <c r="J1489" s="1">
        <f ca="1">IFERROR(__xludf.DUMMYFUNCTION("""COMPUTED_VALUE"""),5)</f>
        <v>5</v>
      </c>
      <c r="K1489" s="1" t="str">
        <f ca="1">IFERROR(__xludf.DUMMYFUNCTION("""COMPUTED_VALUE"""),"Every Day Office Environment")</f>
        <v>Every Day Office Environment</v>
      </c>
      <c r="L14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8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489" s="1" t="str">
        <f ca="1">IFERROR(__xludf.DUMMYFUNCTION("""COMPUTED_VALUE"""),"Business Operations in any organization, Build and develop a Team, Work in a BPO setup for some well known client, Become a content Creator in some platform")</f>
        <v>Business Operations in any organization, Build and develop a Team, Work in a BPO setup for some well known client, Become a content Creator in some platform</v>
      </c>
      <c r="O1489" s="1" t="str">
        <f ca="1">IFERROR(__xludf.DUMMYFUNCTION("""COMPUTED_VALUE"""),"Manager who explains what is expected, sets a goal and helps achieve it")</f>
        <v>Manager who explains what is expected, sets a goal and helps achieve it</v>
      </c>
      <c r="P1489" s="1" t="str">
        <f ca="1">IFERROR(__xludf.DUMMYFUNCTION("""COMPUTED_VALUE"""),"Work with more than 10 people in my team")</f>
        <v>Work with more than 10 people in my team</v>
      </c>
      <c r="Q1489" s="1" t="str">
        <f ca="1">IFERROR(__xludf.DUMMYFUNCTION("""COMPUTED_VALUE"""),"Yes, I Understand this is gonna happen everywhere")</f>
        <v>Yes, I Understand this is gonna happen everywhere</v>
      </c>
      <c r="R1489" s="1" t="str">
        <f ca="1">IFERROR(__xludf.DUMMYFUNCTION("""COMPUTED_VALUE"""),"This will be hard to do, but if it is the right company I would try")</f>
        <v>This will be hard to do, but if it is the right company I would try</v>
      </c>
      <c r="S1489" s="1"/>
    </row>
    <row r="1490" spans="1:19" ht="12.5" x14ac:dyDescent="0.25">
      <c r="A1490" s="2">
        <f ca="1">IFERROR(__xludf.DUMMYFUNCTION("""COMPUTED_VALUE"""),45045.5199816666)</f>
        <v>45045.519981666599</v>
      </c>
      <c r="B1490" s="1" t="str">
        <f ca="1">IFERROR(__xludf.DUMMYFUNCTION("""COMPUTED_VALUE"""),"India")</f>
        <v>India</v>
      </c>
      <c r="C1490" s="1">
        <f ca="1">IFERROR(__xludf.DUMMYFUNCTION("""COMPUTED_VALUE"""),146109)</f>
        <v>146109</v>
      </c>
      <c r="D1490" s="1" t="str">
        <f ca="1">IFERROR(__xludf.DUMMYFUNCTION("""COMPUTED_VALUE"""),"Male")</f>
        <v>Male</v>
      </c>
      <c r="E1490" s="1" t="str">
        <f ca="1">IFERROR(__xludf.DUMMYFUNCTION("""COMPUTED_VALUE"""),"People who have changed the world for better")</f>
        <v>People who have changed the world for better</v>
      </c>
      <c r="F1490" s="1" t="str">
        <f ca="1">IFERROR(__xludf.DUMMYFUNCTION("""COMPUTED_VALUE"""),"No I would not be pursuing Higher Education outside of India")</f>
        <v>No I would not be pursuing Higher Education outside of India</v>
      </c>
      <c r="G1490" s="1" t="str">
        <f ca="1">IFERROR(__xludf.DUMMYFUNCTION("""COMPUTED_VALUE"""),"Will work for 3 years or more")</f>
        <v>Will work for 3 years or more</v>
      </c>
      <c r="H1490" s="1" t="str">
        <f ca="1">IFERROR(__xludf.DUMMYFUNCTION("""COMPUTED_VALUE"""),"No")</f>
        <v>No</v>
      </c>
      <c r="I1490" s="1" t="str">
        <f ca="1">IFERROR(__xludf.DUMMYFUNCTION("""COMPUTED_VALUE"""),"Will NOT work for them")</f>
        <v>Will NOT work for them</v>
      </c>
      <c r="J1490" s="1">
        <f ca="1">IFERROR(__xludf.DUMMYFUNCTION("""COMPUTED_VALUE"""),1)</f>
        <v>1</v>
      </c>
      <c r="K1490" s="1" t="str">
        <f ca="1">IFERROR(__xludf.DUMMYFUNCTION("""COMPUTED_VALUE"""),"Hybrid Working Environment with more than 15 days a month at office")</f>
        <v>Hybrid Working Environment with more than 15 days a month at office</v>
      </c>
      <c r="L14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90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490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490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0" s="1" t="str">
        <f ca="1">IFERROR(__xludf.DUMMYFUNCTION("""COMPUTED_VALUE"""),"Work with 5 to 6 people in my team")</f>
        <v>Work with 5 to 6 people in my team</v>
      </c>
      <c r="Q1490" s="1" t="str">
        <f ca="1">IFERROR(__xludf.DUMMYFUNCTION("""COMPUTED_VALUE"""),"No")</f>
        <v>No</v>
      </c>
      <c r="R1490" s="1" t="str">
        <f ca="1">IFERROR(__xludf.DUMMYFUNCTION("""COMPUTED_VALUE"""),"Will work for 7 years or more")</f>
        <v>Will work for 7 years or more</v>
      </c>
      <c r="S1490" s="1"/>
    </row>
    <row r="1491" spans="1:19" ht="12.5" x14ac:dyDescent="0.25">
      <c r="A1491" s="2">
        <f ca="1">IFERROR(__xludf.DUMMYFUNCTION("""COMPUTED_VALUE"""),45045.5261721875)</f>
        <v>45045.526172187499</v>
      </c>
      <c r="B1491" s="1" t="str">
        <f ca="1">IFERROR(__xludf.DUMMYFUNCTION("""COMPUTED_VALUE"""),"India")</f>
        <v>India</v>
      </c>
      <c r="C1491" s="1">
        <f ca="1">IFERROR(__xludf.DUMMYFUNCTION("""COMPUTED_VALUE"""),731204)</f>
        <v>731204</v>
      </c>
      <c r="D1491" s="1" t="str">
        <f ca="1">IFERROR(__xludf.DUMMYFUNCTION("""COMPUTED_VALUE"""),"Male")</f>
        <v>Male</v>
      </c>
      <c r="E1491" s="1" t="str">
        <f ca="1">IFERROR(__xludf.DUMMYFUNCTION("""COMPUTED_VALUE"""),"People who have changed the world for better")</f>
        <v>People who have changed the world for better</v>
      </c>
      <c r="F1491" s="1" t="str">
        <f ca="1">IFERROR(__xludf.DUMMYFUNCTION("""COMPUTED_VALUE"""),"Yes, I will earn and do that")</f>
        <v>Yes, I will earn and do that</v>
      </c>
      <c r="G1491" s="1" t="str">
        <f ca="1">IFERROR(__xludf.DUMMYFUNCTION("""COMPUTED_VALUE"""),"This will be hard to do, but if it is the right company I would try")</f>
        <v>This will be hard to do, but if it is the right company I would try</v>
      </c>
      <c r="H1491" s="1" t="str">
        <f ca="1">IFERROR(__xludf.DUMMYFUNCTION("""COMPUTED_VALUE"""),"No")</f>
        <v>No</v>
      </c>
      <c r="I1491" s="1" t="str">
        <f ca="1">IFERROR(__xludf.DUMMYFUNCTION("""COMPUTED_VALUE"""),"Will NOT work for them")</f>
        <v>Will NOT work for them</v>
      </c>
      <c r="J1491" s="1">
        <f ca="1">IFERROR(__xludf.DUMMYFUNCTION("""COMPUTED_VALUE"""),2)</f>
        <v>2</v>
      </c>
      <c r="K1491" s="1" t="str">
        <f ca="1">IFERROR(__xludf.DUMMYFUNCTION("""COMPUTED_VALUE"""),"Hybrid Working Environment with more than 15 days a month at office")</f>
        <v>Hybrid Working Environment with more than 15 days a month at office</v>
      </c>
      <c r="L14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9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491" s="1" t="str">
        <f ca="1">IFERROR(__xludf.DUMMYFUNCTION("""COMPUTED_VALUE"""),"Design and Creative strategy in any company, Manage and drive End-to-End Projects or Products, Build and develop a Team, Work as a freelancer and do my thing my way")</f>
        <v>Design and Creative strategy in any company, Manage and drive End-to-End Projects or Products, Build and develop a Team, Work as a freelancer and do my thing my way</v>
      </c>
      <c r="O14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1" s="1" t="str">
        <f ca="1">IFERROR(__xludf.DUMMYFUNCTION("""COMPUTED_VALUE"""),"Work with 2 to 3 people in my team")</f>
        <v>Work with 2 to 3 people in my team</v>
      </c>
      <c r="Q1491" s="1" t="str">
        <f ca="1">IFERROR(__xludf.DUMMYFUNCTION("""COMPUTED_VALUE"""),"Yes, I Understand this is gonna happen everywhere")</f>
        <v>Yes, I Understand this is gonna happen everywhere</v>
      </c>
      <c r="R1491" s="1" t="str">
        <f ca="1">IFERROR(__xludf.DUMMYFUNCTION("""COMPUTED_VALUE"""),"This will be hard to do, but if it is the right company I would try")</f>
        <v>This will be hard to do, but if it is the right company I would try</v>
      </c>
      <c r="S1491" s="1"/>
    </row>
    <row r="1492" spans="1:19" ht="12.5" x14ac:dyDescent="0.25">
      <c r="A1492" s="2">
        <f ca="1">IFERROR(__xludf.DUMMYFUNCTION("""COMPUTED_VALUE"""),45045.5354120717)</f>
        <v>45045.535412071702</v>
      </c>
      <c r="B1492" s="1" t="str">
        <f ca="1">IFERROR(__xludf.DUMMYFUNCTION("""COMPUTED_VALUE"""),"India")</f>
        <v>India</v>
      </c>
      <c r="C1492" s="1">
        <f ca="1">IFERROR(__xludf.DUMMYFUNCTION("""COMPUTED_VALUE"""),454775)</f>
        <v>454775</v>
      </c>
      <c r="D1492" s="1" t="str">
        <f ca="1">IFERROR(__xludf.DUMMYFUNCTION("""COMPUTED_VALUE"""),"Male")</f>
        <v>Male</v>
      </c>
      <c r="E1492" s="1" t="str">
        <f ca="1">IFERROR(__xludf.DUMMYFUNCTION("""COMPUTED_VALUE"""),"Social Media like LinkedIn")</f>
        <v>Social Media like LinkedIn</v>
      </c>
      <c r="F1492" s="1" t="str">
        <f ca="1">IFERROR(__xludf.DUMMYFUNCTION("""COMPUTED_VALUE"""),"No, But if someone could bare the cost I will")</f>
        <v>No, But if someone could bare the cost I will</v>
      </c>
      <c r="G1492" s="1" t="str">
        <f ca="1">IFERROR(__xludf.DUMMYFUNCTION("""COMPUTED_VALUE"""),"No way")</f>
        <v>No way</v>
      </c>
      <c r="H1492" s="1" t="str">
        <f ca="1">IFERROR(__xludf.DUMMYFUNCTION("""COMPUTED_VALUE"""),"Yes")</f>
        <v>Yes</v>
      </c>
      <c r="I1492" s="1" t="str">
        <f ca="1">IFERROR(__xludf.DUMMYFUNCTION("""COMPUTED_VALUE"""),"Will work for them")</f>
        <v>Will work for them</v>
      </c>
      <c r="J1492" s="1">
        <f ca="1">IFERROR(__xludf.DUMMYFUNCTION("""COMPUTED_VALUE"""),10)</f>
        <v>10</v>
      </c>
      <c r="K1492" s="1" t="str">
        <f ca="1">IFERROR(__xludf.DUMMYFUNCTION("""COMPUTED_VALUE"""),"Hybrid Working Environment with more than 15 days a month at office")</f>
        <v>Hybrid Working Environment with more than 15 days a month at office</v>
      </c>
      <c r="L1492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492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1492" s="1" t="str">
        <f ca="1">IFERROR(__xludf.DUMMYFUNCTION("""COMPUTED_VALUE"""),"Design and Develop amazing software, Look deeply into Data and generate insights, Work in a BPO setup for some well known client, Work as a freelancer and do my thing my way")</f>
        <v>Design and Develop amazing software, Look deeply into Data and generate insights, Work in a BPO setup for some well known client, Work as a freelancer and do my thing my way</v>
      </c>
      <c r="O1492" s="1" t="str">
        <f ca="1">IFERROR(__xludf.DUMMYFUNCTION("""COMPUTED_VALUE"""),"Manager who sets unrealistic targets")</f>
        <v>Manager who sets unrealistic targets</v>
      </c>
      <c r="P1492" s="1" t="str">
        <f ca="1">IFERROR(__xludf.DUMMYFUNCTION("""COMPUTED_VALUE"""),"Work alone")</f>
        <v>Work alone</v>
      </c>
      <c r="Q1492" s="1" t="str">
        <f ca="1">IFERROR(__xludf.DUMMYFUNCTION("""COMPUTED_VALUE"""),"Yes")</f>
        <v>Yes</v>
      </c>
      <c r="R1492" s="1" t="str">
        <f ca="1">IFERROR(__xludf.DUMMYFUNCTION("""COMPUTED_VALUE"""),"No way")</f>
        <v>No way</v>
      </c>
      <c r="S1492" s="1"/>
    </row>
    <row r="1493" spans="1:19" ht="12.5" x14ac:dyDescent="0.25">
      <c r="A1493" s="2">
        <f ca="1">IFERROR(__xludf.DUMMYFUNCTION("""COMPUTED_VALUE"""),45045.5401687384)</f>
        <v>45045.5401687384</v>
      </c>
      <c r="B1493" s="1" t="str">
        <f ca="1">IFERROR(__xludf.DUMMYFUNCTION("""COMPUTED_VALUE"""),"India")</f>
        <v>India</v>
      </c>
      <c r="C1493" s="1">
        <f ca="1">IFERROR(__xludf.DUMMYFUNCTION("""COMPUTED_VALUE"""),40089)</f>
        <v>40089</v>
      </c>
      <c r="D1493" s="1" t="str">
        <f ca="1">IFERROR(__xludf.DUMMYFUNCTION("""COMPUTED_VALUE"""),"Female")</f>
        <v>Female</v>
      </c>
      <c r="E1493" s="1" t="str">
        <f ca="1">IFERROR(__xludf.DUMMYFUNCTION("""COMPUTED_VALUE"""),"People from my circle, but not family members")</f>
        <v>People from my circle, but not family members</v>
      </c>
      <c r="F1493" s="1" t="str">
        <f ca="1">IFERROR(__xludf.DUMMYFUNCTION("""COMPUTED_VALUE"""),"No, But if someone could bare the cost I will")</f>
        <v>No, But if someone could bare the cost I will</v>
      </c>
      <c r="G1493" s="1" t="str">
        <f ca="1">IFERROR(__xludf.DUMMYFUNCTION("""COMPUTED_VALUE"""),"Will work for 3 years or more")</f>
        <v>Will work for 3 years or more</v>
      </c>
      <c r="H1493" s="1" t="str">
        <f ca="1">IFERROR(__xludf.DUMMYFUNCTION("""COMPUTED_VALUE"""),"No")</f>
        <v>No</v>
      </c>
      <c r="I1493" s="1" t="str">
        <f ca="1">IFERROR(__xludf.DUMMYFUNCTION("""COMPUTED_VALUE"""),"Will NOT work for them")</f>
        <v>Will NOT work for them</v>
      </c>
      <c r="J1493" s="1">
        <f ca="1">IFERROR(__xludf.DUMMYFUNCTION("""COMPUTED_VALUE"""),5)</f>
        <v>5</v>
      </c>
      <c r="K1493" s="1" t="str">
        <f ca="1">IFERROR(__xludf.DUMMYFUNCTION("""COMPUTED_VALUE"""),"Hybrid Working Environment with less than 3 days a month at office")</f>
        <v>Hybrid Working Environment with less than 3 days a month at office</v>
      </c>
      <c r="L14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9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9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493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3" s="1" t="str">
        <f ca="1">IFERROR(__xludf.DUMMYFUNCTION("""COMPUTED_VALUE"""),"Work with 5 to 6 people in my team")</f>
        <v>Work with 5 to 6 people in my team</v>
      </c>
      <c r="Q1493" s="1" t="str">
        <f ca="1">IFERROR(__xludf.DUMMYFUNCTION("""COMPUTED_VALUE"""),"No")</f>
        <v>No</v>
      </c>
      <c r="R1493" s="1" t="str">
        <f ca="1">IFERROR(__xludf.DUMMYFUNCTION("""COMPUTED_VALUE"""),"This will be hard to do, but if it is the right company I would try")</f>
        <v>This will be hard to do, but if it is the right company I would try</v>
      </c>
      <c r="S1493" s="1"/>
    </row>
    <row r="1494" spans="1:19" ht="12.5" x14ac:dyDescent="0.25">
      <c r="A1494" s="2">
        <f ca="1">IFERROR(__xludf.DUMMYFUNCTION("""COMPUTED_VALUE"""),45045.5448998958)</f>
        <v>45045.544899895802</v>
      </c>
      <c r="B1494" s="1" t="str">
        <f ca="1">IFERROR(__xludf.DUMMYFUNCTION("""COMPUTED_VALUE"""),"India")</f>
        <v>India</v>
      </c>
      <c r="C1494" s="1">
        <f ca="1">IFERROR(__xludf.DUMMYFUNCTION("""COMPUTED_VALUE"""),122052)</f>
        <v>122052</v>
      </c>
      <c r="D1494" s="1" t="str">
        <f ca="1">IFERROR(__xludf.DUMMYFUNCTION("""COMPUTED_VALUE"""),"Female")</f>
        <v>Female</v>
      </c>
      <c r="E1494" s="1" t="str">
        <f ca="1">IFERROR(__xludf.DUMMYFUNCTION("""COMPUTED_VALUE"""),"Social Media like LinkedIn")</f>
        <v>Social Media like LinkedIn</v>
      </c>
      <c r="F1494" s="1" t="str">
        <f ca="1">IFERROR(__xludf.DUMMYFUNCTION("""COMPUTED_VALUE"""),"No, But if someone could bare the cost I will")</f>
        <v>No, But if someone could bare the cost I will</v>
      </c>
      <c r="G1494" s="1" t="str">
        <f ca="1">IFERROR(__xludf.DUMMYFUNCTION("""COMPUTED_VALUE"""),"Will work for 3 years or more")</f>
        <v>Will work for 3 years or more</v>
      </c>
      <c r="H1494" s="1" t="str">
        <f ca="1">IFERROR(__xludf.DUMMYFUNCTION("""COMPUTED_VALUE"""),"Yes")</f>
        <v>Yes</v>
      </c>
      <c r="I1494" s="1" t="str">
        <f ca="1">IFERROR(__xludf.DUMMYFUNCTION("""COMPUTED_VALUE"""),"Will NOT work for them")</f>
        <v>Will NOT work for them</v>
      </c>
      <c r="J1494" s="1">
        <f ca="1">IFERROR(__xludf.DUMMYFUNCTION("""COMPUTED_VALUE"""),4)</f>
        <v>4</v>
      </c>
      <c r="K1494" s="1" t="str">
        <f ca="1">IFERROR(__xludf.DUMMYFUNCTION("""COMPUTED_VALUE"""),"Hybrid Working Environment with less than 3 days a month at office")</f>
        <v>Hybrid Working Environment with less than 3 days a month at office</v>
      </c>
      <c r="L14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9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494" s="1" t="str">
        <f ca="1">IFERROR(__xludf.DUMMYFUNCTION("""COMPUTED_VALUE"""),"Teaching in any of the institutes/colleges/online or offline, Design and Develop amazing software, Look deeply into Data and generate insights, An Artificial Intelligence Specialist / Talking to Robots")</f>
        <v>Teaching in any of the institutes/colleges/online or offline, Design and Develop amazing software, Look deeply into Data and generate insights, An Artificial Intelligence Specialist / Talking to Robots</v>
      </c>
      <c r="O1494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4" s="1" t="str">
        <f ca="1">IFERROR(__xludf.DUMMYFUNCTION("""COMPUTED_VALUE"""),"Work with 5 to 6 people in my team")</f>
        <v>Work with 5 to 6 people in my team</v>
      </c>
      <c r="Q1494" s="1" t="str">
        <f ca="1">IFERROR(__xludf.DUMMYFUNCTION("""COMPUTED_VALUE"""),"No")</f>
        <v>No</v>
      </c>
      <c r="R1494" s="1" t="str">
        <f ca="1">IFERROR(__xludf.DUMMYFUNCTION("""COMPUTED_VALUE"""),"This will be hard to do, but if it is the right company I would try")</f>
        <v>This will be hard to do, but if it is the right company I would try</v>
      </c>
      <c r="S1494" s="1"/>
    </row>
    <row r="1495" spans="1:19" ht="12.5" x14ac:dyDescent="0.25">
      <c r="A1495" s="2">
        <f ca="1">IFERROR(__xludf.DUMMYFUNCTION("""COMPUTED_VALUE"""),45045.5615088194)</f>
        <v>45045.561508819403</v>
      </c>
      <c r="B1495" s="1" t="str">
        <f ca="1">IFERROR(__xludf.DUMMYFUNCTION("""COMPUTED_VALUE"""),"India")</f>
        <v>India</v>
      </c>
      <c r="C1495" s="1">
        <f ca="1">IFERROR(__xludf.DUMMYFUNCTION("""COMPUTED_VALUE"""),560048)</f>
        <v>560048</v>
      </c>
      <c r="D1495" s="1" t="str">
        <f ca="1">IFERROR(__xludf.DUMMYFUNCTION("""COMPUTED_VALUE"""),"Male")</f>
        <v>Male</v>
      </c>
      <c r="E1495" s="1" t="str">
        <f ca="1">IFERROR(__xludf.DUMMYFUNCTION("""COMPUTED_VALUE"""),"My Parents")</f>
        <v>My Parents</v>
      </c>
      <c r="F1495" s="1" t="str">
        <f ca="1">IFERROR(__xludf.DUMMYFUNCTION("""COMPUTED_VALUE"""),"Yes, I will earn and do that")</f>
        <v>Yes, I will earn and do that</v>
      </c>
      <c r="G1495" s="1" t="str">
        <f ca="1">IFERROR(__xludf.DUMMYFUNCTION("""COMPUTED_VALUE"""),"This will be hard to do, but if it is the right company I would try")</f>
        <v>This will be hard to do, but if it is the right company I would try</v>
      </c>
      <c r="H1495" s="1" t="str">
        <f ca="1">IFERROR(__xludf.DUMMYFUNCTION("""COMPUTED_VALUE"""),"No")</f>
        <v>No</v>
      </c>
      <c r="I1495" s="1" t="str">
        <f ca="1">IFERROR(__xludf.DUMMYFUNCTION("""COMPUTED_VALUE"""),"Will NOT work for them")</f>
        <v>Will NOT work for them</v>
      </c>
      <c r="J1495" s="1">
        <f ca="1">IFERROR(__xludf.DUMMYFUNCTION("""COMPUTED_VALUE"""),5)</f>
        <v>5</v>
      </c>
      <c r="K1495" s="1" t="str">
        <f ca="1">IFERROR(__xludf.DUMMYFUNCTION("""COMPUTED_VALUE"""),"Hybrid Working Environment with more than 15 days a month at office")</f>
        <v>Hybrid Working Environment with more than 15 days a month at office</v>
      </c>
      <c r="L14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495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495" s="1" t="str">
        <f ca="1">IFERROR(__xludf.DUMMYFUNCTION("""COMPUTED_VALUE"""),"Design and Creative strategy in any company, Business Operations in any organization, Manage and drive End-to-End Projects or Products, Work in a BPO setup for some well known client")</f>
        <v>Design and Creative strategy in any company, Business Operations in any organization, Manage and drive End-to-End Projects or Products, Work in a BPO setup for some well known client</v>
      </c>
      <c r="O1495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5" s="1" t="str">
        <f ca="1">IFERROR(__xludf.DUMMYFUNCTION("""COMPUTED_VALUE"""),"Work with 7 to 10 or more people in my team")</f>
        <v>Work with 7 to 10 or more people in my team</v>
      </c>
      <c r="Q1495" s="1" t="str">
        <f ca="1">IFERROR(__xludf.DUMMYFUNCTION("""COMPUTED_VALUE"""),"No")</f>
        <v>No</v>
      </c>
      <c r="R1495" s="1" t="str">
        <f ca="1">IFERROR(__xludf.DUMMYFUNCTION("""COMPUTED_VALUE"""),"No way")</f>
        <v>No way</v>
      </c>
      <c r="S1495" s="1"/>
    </row>
    <row r="1496" spans="1:19" ht="12.5" x14ac:dyDescent="0.25">
      <c r="A1496" s="2">
        <f ca="1">IFERROR(__xludf.DUMMYFUNCTION("""COMPUTED_VALUE"""),45045.5634289814)</f>
        <v>45045.563428981397</v>
      </c>
      <c r="B1496" s="1" t="str">
        <f ca="1">IFERROR(__xludf.DUMMYFUNCTION("""COMPUTED_VALUE"""),"India")</f>
        <v>India</v>
      </c>
      <c r="C1496" s="1">
        <f ca="1">IFERROR(__xludf.DUMMYFUNCTION("""COMPUTED_VALUE"""),440023)</f>
        <v>440023</v>
      </c>
      <c r="D1496" s="1" t="str">
        <f ca="1">IFERROR(__xludf.DUMMYFUNCTION("""COMPUTED_VALUE"""),"Male")</f>
        <v>Male</v>
      </c>
      <c r="E1496" s="1" t="str">
        <f ca="1">IFERROR(__xludf.DUMMYFUNCTION("""COMPUTED_VALUE"""),"My Parents")</f>
        <v>My Parents</v>
      </c>
      <c r="F1496" s="1" t="str">
        <f ca="1">IFERROR(__xludf.DUMMYFUNCTION("""COMPUTED_VALUE"""),"No, But if someone could bare the cost I will")</f>
        <v>No, But if someone could bare the cost I will</v>
      </c>
      <c r="G1496" s="1" t="str">
        <f ca="1">IFERROR(__xludf.DUMMYFUNCTION("""COMPUTED_VALUE"""),"Will work for 3 years or more")</f>
        <v>Will work for 3 years or more</v>
      </c>
      <c r="H1496" s="1" t="str">
        <f ca="1">IFERROR(__xludf.DUMMYFUNCTION("""COMPUTED_VALUE"""),"No")</f>
        <v>No</v>
      </c>
      <c r="I1496" s="1" t="str">
        <f ca="1">IFERROR(__xludf.DUMMYFUNCTION("""COMPUTED_VALUE"""),"Will NOT work for them")</f>
        <v>Will NOT work for them</v>
      </c>
      <c r="J1496" s="1">
        <f ca="1">IFERROR(__xludf.DUMMYFUNCTION("""COMPUTED_VALUE"""),1)</f>
        <v>1</v>
      </c>
      <c r="K1496" s="1" t="str">
        <f ca="1">IFERROR(__xludf.DUMMYFUNCTION("""COMPUTED_VALUE"""),"Fully Remote with Options to travel as and when needed")</f>
        <v>Fully Remote with Options to travel as and when needed</v>
      </c>
      <c r="L1496" s="1" t="str">
        <f ca="1">IFERROR(__xludf.DUMMYFUNCTION("""COMPUTED_VALUE"""),"Employer who appreciates learning and enables that environment")</f>
        <v>Employer who appreciates learning and enables that environment</v>
      </c>
      <c r="M149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496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496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6" s="1" t="str">
        <f ca="1">IFERROR(__xludf.DUMMYFUNCTION("""COMPUTED_VALUE"""),"Work with 2 to 3 people in my team")</f>
        <v>Work with 2 to 3 people in my team</v>
      </c>
      <c r="Q1496" s="1" t="str">
        <f ca="1">IFERROR(__xludf.DUMMYFUNCTION("""COMPUTED_VALUE"""),"Yes, I Understand this is gonna happen everywhere")</f>
        <v>Yes, I Understand this is gonna happen everywhere</v>
      </c>
      <c r="R1496" s="1" t="str">
        <f ca="1">IFERROR(__xludf.DUMMYFUNCTION("""COMPUTED_VALUE"""),"Will work for 7 years or more")</f>
        <v>Will work for 7 years or more</v>
      </c>
      <c r="S1496" s="1"/>
    </row>
    <row r="1497" spans="1:19" ht="12.5" x14ac:dyDescent="0.25">
      <c r="A1497" s="2">
        <f ca="1">IFERROR(__xludf.DUMMYFUNCTION("""COMPUTED_VALUE"""),45045.5641728125)</f>
        <v>45045.564172812497</v>
      </c>
      <c r="B1497" s="1" t="str">
        <f ca="1">IFERROR(__xludf.DUMMYFUNCTION("""COMPUTED_VALUE"""),"India")</f>
        <v>India</v>
      </c>
      <c r="C1497" s="1">
        <f ca="1">IFERROR(__xludf.DUMMYFUNCTION("""COMPUTED_VALUE"""),560093)</f>
        <v>560093</v>
      </c>
      <c r="D1497" s="1" t="str">
        <f ca="1">IFERROR(__xludf.DUMMYFUNCTION("""COMPUTED_VALUE"""),"Female")</f>
        <v>Female</v>
      </c>
      <c r="E1497" s="1" t="str">
        <f ca="1">IFERROR(__xludf.DUMMYFUNCTION("""COMPUTED_VALUE"""),"My Parents")</f>
        <v>My Parents</v>
      </c>
      <c r="F1497" s="1" t="str">
        <f ca="1">IFERROR(__xludf.DUMMYFUNCTION("""COMPUTED_VALUE"""),"No, But if someone could bare the cost I will")</f>
        <v>No, But if someone could bare the cost I will</v>
      </c>
      <c r="G1497" s="1" t="str">
        <f ca="1">IFERROR(__xludf.DUMMYFUNCTION("""COMPUTED_VALUE"""),"Will work for 3 years or more")</f>
        <v>Will work for 3 years or more</v>
      </c>
      <c r="H1497" s="1" t="str">
        <f ca="1">IFERROR(__xludf.DUMMYFUNCTION("""COMPUTED_VALUE"""),"Yes")</f>
        <v>Yes</v>
      </c>
      <c r="I1497" s="1" t="str">
        <f ca="1">IFERROR(__xludf.DUMMYFUNCTION("""COMPUTED_VALUE"""),"Will work for them")</f>
        <v>Will work for them</v>
      </c>
      <c r="J1497" s="1">
        <f ca="1">IFERROR(__xludf.DUMMYFUNCTION("""COMPUTED_VALUE"""),10)</f>
        <v>10</v>
      </c>
      <c r="K1497" s="1" t="str">
        <f ca="1">IFERROR(__xludf.DUMMYFUNCTION("""COMPUTED_VALUE"""),"Fully Remote with Options to travel as and when needed")</f>
        <v>Fully Remote with Options to travel as and when needed</v>
      </c>
      <c r="L1497" s="1" t="str">
        <f ca="1">IFERROR(__xludf.DUMMYFUNCTION("""COMPUTED_VALUE"""),"Employer who appreciates learning and enables that environment")</f>
        <v>Employer who appreciates learning and enables that environment</v>
      </c>
      <c r="M149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497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1497" s="1" t="str">
        <f ca="1">IFERROR(__xludf.DUMMYFUNCTION("""COMPUTED_VALUE"""),"Manager who clearly describes what she/he needs")</f>
        <v>Manager who clearly describes what she/he needs</v>
      </c>
      <c r="P1497" s="1" t="str">
        <f ca="1">IFERROR(__xludf.DUMMYFUNCTION("""COMPUTED_VALUE"""),"Work with 7 to 10 or more people in my team")</f>
        <v>Work with 7 to 10 or more people in my team</v>
      </c>
      <c r="Q1497" s="1" t="str">
        <f ca="1">IFERROR(__xludf.DUMMYFUNCTION("""COMPUTED_VALUE"""),"Yes")</f>
        <v>Yes</v>
      </c>
      <c r="R1497" s="1" t="str">
        <f ca="1">IFERROR(__xludf.DUMMYFUNCTION("""COMPUTED_VALUE"""),"No way")</f>
        <v>No way</v>
      </c>
      <c r="S1497" s="1"/>
    </row>
    <row r="1498" spans="1:19" ht="12.5" x14ac:dyDescent="0.25">
      <c r="A1498" s="2">
        <f ca="1">IFERROR(__xludf.DUMMYFUNCTION("""COMPUTED_VALUE"""),45045.57889125)</f>
        <v>45045.578891249999</v>
      </c>
      <c r="B1498" s="1" t="str">
        <f ca="1">IFERROR(__xludf.DUMMYFUNCTION("""COMPUTED_VALUE"""),"India")</f>
        <v>India</v>
      </c>
      <c r="C1498" s="1">
        <f ca="1">IFERROR(__xludf.DUMMYFUNCTION("""COMPUTED_VALUE"""),431122)</f>
        <v>431122</v>
      </c>
      <c r="D1498" s="1" t="str">
        <f ca="1">IFERROR(__xludf.DUMMYFUNCTION("""COMPUTED_VALUE"""),"Male")</f>
        <v>Male</v>
      </c>
      <c r="E1498" s="1" t="str">
        <f ca="1">IFERROR(__xludf.DUMMYFUNCTION("""COMPUTED_VALUE"""),"My Parents")</f>
        <v>My Parents</v>
      </c>
      <c r="F1498" s="1" t="str">
        <f ca="1">IFERROR(__xludf.DUMMYFUNCTION("""COMPUTED_VALUE"""),"Yes, I will earn and do that")</f>
        <v>Yes, I will earn and do that</v>
      </c>
      <c r="G1498" s="1" t="str">
        <f ca="1">IFERROR(__xludf.DUMMYFUNCTION("""COMPUTED_VALUE"""),"Will work for 3 years or more")</f>
        <v>Will work for 3 years or more</v>
      </c>
      <c r="H1498" s="1" t="str">
        <f ca="1">IFERROR(__xludf.DUMMYFUNCTION("""COMPUTED_VALUE"""),"No")</f>
        <v>No</v>
      </c>
      <c r="I1498" s="1" t="str">
        <f ca="1">IFERROR(__xludf.DUMMYFUNCTION("""COMPUTED_VALUE"""),"Will NOT work for them")</f>
        <v>Will NOT work for them</v>
      </c>
      <c r="J1498" s="1">
        <f ca="1">IFERROR(__xludf.DUMMYFUNCTION("""COMPUTED_VALUE"""),8)</f>
        <v>8</v>
      </c>
      <c r="K1498" s="1" t="str">
        <f ca="1">IFERROR(__xludf.DUMMYFUNCTION("""COMPUTED_VALUE"""),"Fully Remote with Options to travel as and when needed")</f>
        <v>Fully Remote with Options to travel as and when needed</v>
      </c>
      <c r="L1498" s="1" t="str">
        <f ca="1">IFERROR(__xludf.DUMMYFUNCTION("""COMPUTED_VALUE"""),"Employer who appreciates learning and enables that environment")</f>
        <v>Employer who appreciates learning and enables that environment</v>
      </c>
      <c r="M149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498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14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8" s="1" t="str">
        <f ca="1">IFERROR(__xludf.DUMMYFUNCTION("""COMPUTED_VALUE"""),"Work with 7 to 10 or more people in my team")</f>
        <v>Work with 7 to 10 or more people in my team</v>
      </c>
      <c r="Q1498" s="1" t="str">
        <f ca="1">IFERROR(__xludf.DUMMYFUNCTION("""COMPUTED_VALUE"""),"Yes, I Understand this is gonna happen everywhere")</f>
        <v>Yes, I Understand this is gonna happen everywhere</v>
      </c>
      <c r="R1498" s="1" t="str">
        <f ca="1">IFERROR(__xludf.DUMMYFUNCTION("""COMPUTED_VALUE"""),"This will be hard to do, but if it is the right company I would try")</f>
        <v>This will be hard to do, but if it is the right company I would try</v>
      </c>
      <c r="S1498" s="1"/>
    </row>
    <row r="1499" spans="1:19" ht="12.5" x14ac:dyDescent="0.25">
      <c r="A1499" s="2">
        <f ca="1">IFERROR(__xludf.DUMMYFUNCTION("""COMPUTED_VALUE"""),45045.5802555671)</f>
        <v>45045.580255567103</v>
      </c>
      <c r="B1499" s="1" t="str">
        <f ca="1">IFERROR(__xludf.DUMMYFUNCTION("""COMPUTED_VALUE"""),"India")</f>
        <v>India</v>
      </c>
      <c r="C1499" s="1">
        <f ca="1">IFERROR(__xludf.DUMMYFUNCTION("""COMPUTED_VALUE"""),530068)</f>
        <v>530068</v>
      </c>
      <c r="D1499" s="1" t="str">
        <f ca="1">IFERROR(__xludf.DUMMYFUNCTION("""COMPUTED_VALUE"""),"Male")</f>
        <v>Male</v>
      </c>
      <c r="E1499" s="1" t="str">
        <f ca="1">IFERROR(__xludf.DUMMYFUNCTION("""COMPUTED_VALUE"""),"My Parents")</f>
        <v>My Parents</v>
      </c>
      <c r="F1499" s="1" t="str">
        <f ca="1">IFERROR(__xludf.DUMMYFUNCTION("""COMPUTED_VALUE"""),"Yes, I will earn and do that")</f>
        <v>Yes, I will earn and do that</v>
      </c>
      <c r="G1499" s="1" t="str">
        <f ca="1">IFERROR(__xludf.DUMMYFUNCTION("""COMPUTED_VALUE"""),"This will be hard to do, but if it is the right company I would try")</f>
        <v>This will be hard to do, but if it is the right company I would try</v>
      </c>
      <c r="H1499" s="1" t="str">
        <f ca="1">IFERROR(__xludf.DUMMYFUNCTION("""COMPUTED_VALUE"""),"No")</f>
        <v>No</v>
      </c>
      <c r="I1499" s="1" t="str">
        <f ca="1">IFERROR(__xludf.DUMMYFUNCTION("""COMPUTED_VALUE"""),"Will NOT work for them")</f>
        <v>Will NOT work for them</v>
      </c>
      <c r="J1499" s="1">
        <f ca="1">IFERROR(__xludf.DUMMYFUNCTION("""COMPUTED_VALUE"""),1)</f>
        <v>1</v>
      </c>
      <c r="K1499" s="1" t="str">
        <f ca="1">IFERROR(__xludf.DUMMYFUNCTION("""COMPUTED_VALUE"""),"Hybrid Working Environment with less than 3 days a month at office")</f>
        <v>Hybrid Working Environment with less than 3 days a month at office</v>
      </c>
      <c r="L1499" s="1" t="str">
        <f ca="1">IFERROR(__xludf.DUMMYFUNCTION("""COMPUTED_VALUE"""),"Employer who appreciates learning and enables that environment")</f>
        <v>Employer who appreciates learning and enables that environment</v>
      </c>
      <c r="M149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499" s="1" t="str">
        <f ca="1">IFERROR(__xludf.DUMMYFUNCTION("""COMPUTED_VALUE"""),"Business Operations in any organization, Build and develop a Team, Design and Develop amazing software, Look deeply into Data and generate insights")</f>
        <v>Business Operations in any organization, Build and develop a Team, Design and Develop amazing software, Look deeply into Data and generate insights</v>
      </c>
      <c r="O1499" s="1" t="str">
        <f ca="1">IFERROR(__xludf.DUMMYFUNCTION("""COMPUTED_VALUE"""),"Manager who explains what is expected, sets a goal and helps achieve it")</f>
        <v>Manager who explains what is expected, sets a goal and helps achieve it</v>
      </c>
      <c r="P1499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499" s="1" t="str">
        <f ca="1">IFERROR(__xludf.DUMMYFUNCTION("""COMPUTED_VALUE"""),"Yes, I Understand this is gonna happen everywhere")</f>
        <v>Yes, I Understand this is gonna happen everywhere</v>
      </c>
      <c r="R1499" s="1" t="str">
        <f ca="1">IFERROR(__xludf.DUMMYFUNCTION("""COMPUTED_VALUE"""),"This will be hard to do, but if it is the right company I would try")</f>
        <v>This will be hard to do, but if it is the right company I would try</v>
      </c>
      <c r="S1499" s="1"/>
    </row>
    <row r="1500" spans="1:19" ht="12.5" x14ac:dyDescent="0.25">
      <c r="A1500" s="2">
        <f ca="1">IFERROR(__xludf.DUMMYFUNCTION("""COMPUTED_VALUE"""),45045.6004709722)</f>
        <v>45045.600470972196</v>
      </c>
      <c r="B1500" s="1" t="str">
        <f ca="1">IFERROR(__xludf.DUMMYFUNCTION("""COMPUTED_VALUE"""),"India")</f>
        <v>India</v>
      </c>
      <c r="C1500" s="1">
        <f ca="1">IFERROR(__xludf.DUMMYFUNCTION("""COMPUTED_VALUE"""),313002)</f>
        <v>313002</v>
      </c>
      <c r="D1500" s="1" t="str">
        <f ca="1">IFERROR(__xludf.DUMMYFUNCTION("""COMPUTED_VALUE"""),"Female")</f>
        <v>Female</v>
      </c>
      <c r="E1500" s="1" t="str">
        <f ca="1">IFERROR(__xludf.DUMMYFUNCTION("""COMPUTED_VALUE"""),"My Parents")</f>
        <v>My Parents</v>
      </c>
      <c r="F1500" s="1" t="str">
        <f ca="1">IFERROR(__xludf.DUMMYFUNCTION("""COMPUTED_VALUE"""),"No, But if someone could bare the cost I will")</f>
        <v>No, But if someone could bare the cost I will</v>
      </c>
      <c r="G1500" s="1" t="str">
        <f ca="1">IFERROR(__xludf.DUMMYFUNCTION("""COMPUTED_VALUE"""),"Will work for 3 years or more")</f>
        <v>Will work for 3 years or more</v>
      </c>
      <c r="H1500" s="1" t="str">
        <f ca="1">IFERROR(__xludf.DUMMYFUNCTION("""COMPUTED_VALUE"""),"No")</f>
        <v>No</v>
      </c>
      <c r="I1500" s="1" t="str">
        <f ca="1">IFERROR(__xludf.DUMMYFUNCTION("""COMPUTED_VALUE"""),"Will NOT work for them")</f>
        <v>Will NOT work for them</v>
      </c>
      <c r="J1500" s="1">
        <f ca="1">IFERROR(__xludf.DUMMYFUNCTION("""COMPUTED_VALUE"""),5)</f>
        <v>5</v>
      </c>
      <c r="K1500" s="1" t="str">
        <f ca="1">IFERROR(__xludf.DUMMYFUNCTION("""COMPUTED_VALUE"""),"Hybrid Working Environment with more than 15 days a month at office")</f>
        <v>Hybrid Working Environment with more than 15 days a month at office</v>
      </c>
      <c r="L15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0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500" s="1" t="str">
        <f ca="1">IFERROR(__xludf.DUMMYFUNCTION("""COMPUTED_VALUE"""),"Design and Creative strategy in any company, Teaching in any of the institutes/colleges/online or offline, Business Operations in any organization, Become a content Creator in some platform")</f>
        <v>Design and Creative strategy in any company, Teaching in any of the institutes/colleges/online or offline, Business Operations in any organization, Become a content Creator in some platform</v>
      </c>
      <c r="O1500" s="1" t="str">
        <f ca="1">IFERROR(__xludf.DUMMYFUNCTION("""COMPUTED_VALUE"""),"Manager who sets goal and helps me achieve it")</f>
        <v>Manager who sets goal and helps me achieve it</v>
      </c>
      <c r="P1500" s="1" t="str">
        <f ca="1">IFERROR(__xludf.DUMMYFUNCTION("""COMPUTED_VALUE"""),"Work with 2 to 3 people in my team")</f>
        <v>Work with 2 to 3 people in my team</v>
      </c>
      <c r="Q1500" s="1" t="str">
        <f ca="1">IFERROR(__xludf.DUMMYFUNCTION("""COMPUTED_VALUE"""),"No")</f>
        <v>No</v>
      </c>
      <c r="R1500" s="1" t="str">
        <f ca="1">IFERROR(__xludf.DUMMYFUNCTION("""COMPUTED_VALUE"""),"This will be hard to do, but if it is the right company I would try")</f>
        <v>This will be hard to do, but if it is the right company I would try</v>
      </c>
      <c r="S1500" s="1"/>
    </row>
    <row r="1501" spans="1:19" ht="12.5" x14ac:dyDescent="0.25">
      <c r="A1501" s="2">
        <f ca="1">IFERROR(__xludf.DUMMYFUNCTION("""COMPUTED_VALUE"""),45045.6054785648)</f>
        <v>45045.605478564801</v>
      </c>
      <c r="B1501" s="1" t="str">
        <f ca="1">IFERROR(__xludf.DUMMYFUNCTION("""COMPUTED_VALUE"""),"India")</f>
        <v>India</v>
      </c>
      <c r="C1501" s="1">
        <f ca="1">IFERROR(__xludf.DUMMYFUNCTION("""COMPUTED_VALUE"""),395006)</f>
        <v>395006</v>
      </c>
      <c r="D1501" s="1" t="str">
        <f ca="1">IFERROR(__xludf.DUMMYFUNCTION("""COMPUTED_VALUE"""),"Male")</f>
        <v>Male</v>
      </c>
      <c r="E1501" s="1" t="str">
        <f ca="1">IFERROR(__xludf.DUMMYFUNCTION("""COMPUTED_VALUE"""),"People from my circle, but not family members")</f>
        <v>People from my circle, but not family members</v>
      </c>
      <c r="F1501" s="1" t="str">
        <f ca="1">IFERROR(__xludf.DUMMYFUNCTION("""COMPUTED_VALUE"""),"Yes, I will earn and do that")</f>
        <v>Yes, I will earn and do that</v>
      </c>
      <c r="G1501" s="1" t="str">
        <f ca="1">IFERROR(__xludf.DUMMYFUNCTION("""COMPUTED_VALUE"""),"This will be hard to do, but if it is the right company I would try")</f>
        <v>This will be hard to do, but if it is the right company I would try</v>
      </c>
      <c r="H1501" s="1" t="str">
        <f ca="1">IFERROR(__xludf.DUMMYFUNCTION("""COMPUTED_VALUE"""),"No")</f>
        <v>No</v>
      </c>
      <c r="I1501" s="1" t="str">
        <f ca="1">IFERROR(__xludf.DUMMYFUNCTION("""COMPUTED_VALUE"""),"Will NOT work for them")</f>
        <v>Will NOT work for them</v>
      </c>
      <c r="J1501" s="1">
        <f ca="1">IFERROR(__xludf.DUMMYFUNCTION("""COMPUTED_VALUE"""),1)</f>
        <v>1</v>
      </c>
      <c r="K1501" s="1" t="str">
        <f ca="1">IFERROR(__xludf.DUMMYFUNCTION("""COMPUTED_VALUE"""),"Every Day Office Environment")</f>
        <v>Every Day Office Environment</v>
      </c>
      <c r="L15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01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501" s="1" t="str">
        <f ca="1">IFERROR(__xludf.DUMMYFUNCTION("""COMPUTED_VALUE"""),"Manage and drive End-to-End Projects or Products, Look deeply into Data and generate insights, Work as a freelancer and do my thing my way, An Artificial Intelligence Specialist / Talking to Robots")</f>
        <v>Manage and drive End-to-End Projects or Products, Look deeply into Data and generate insights, Work as a freelancer and do my thing my way, An Artificial Intelligence Specialist / Talking to Robots</v>
      </c>
      <c r="O1501" s="1" t="str">
        <f ca="1">IFERROR(__xludf.DUMMYFUNCTION("""COMPUTED_VALUE"""),"Manager who sets goal and helps me achieve it")</f>
        <v>Manager who sets goal and helps me achieve it</v>
      </c>
      <c r="P1501" s="1" t="str">
        <f ca="1">IFERROR(__xludf.DUMMYFUNCTION("""COMPUTED_VALUE"""),"Work with 5 to 6 people in my team")</f>
        <v>Work with 5 to 6 people in my team</v>
      </c>
      <c r="Q1501" s="1" t="str">
        <f ca="1">IFERROR(__xludf.DUMMYFUNCTION("""COMPUTED_VALUE"""),"Yes, I Understand this is gonna happen everywhere")</f>
        <v>Yes, I Understand this is gonna happen everywhere</v>
      </c>
      <c r="R1501" s="1" t="str">
        <f ca="1">IFERROR(__xludf.DUMMYFUNCTION("""COMPUTED_VALUE"""),"No way")</f>
        <v>No way</v>
      </c>
      <c r="S1501" s="1"/>
    </row>
    <row r="1502" spans="1:19" ht="12.5" x14ac:dyDescent="0.25">
      <c r="A1502" s="2">
        <f ca="1">IFERROR(__xludf.DUMMYFUNCTION("""COMPUTED_VALUE"""),45045.6157628588)</f>
        <v>45045.615762858797</v>
      </c>
      <c r="B1502" s="1" t="str">
        <f ca="1">IFERROR(__xludf.DUMMYFUNCTION("""COMPUTED_VALUE"""),"India")</f>
        <v>India</v>
      </c>
      <c r="C1502" s="1">
        <f ca="1">IFERROR(__xludf.DUMMYFUNCTION("""COMPUTED_VALUE"""),600097)</f>
        <v>600097</v>
      </c>
      <c r="D1502" s="1" t="str">
        <f ca="1">IFERROR(__xludf.DUMMYFUNCTION("""COMPUTED_VALUE"""),"Male")</f>
        <v>Male</v>
      </c>
      <c r="E1502" s="1" t="str">
        <f ca="1">IFERROR(__xludf.DUMMYFUNCTION("""COMPUTED_VALUE"""),"My Parents")</f>
        <v>My Parents</v>
      </c>
      <c r="F1502" s="1" t="str">
        <f ca="1">IFERROR(__xludf.DUMMYFUNCTION("""COMPUTED_VALUE"""),"No, But if someone could bare the cost I will")</f>
        <v>No, But if someone could bare the cost I will</v>
      </c>
      <c r="G1502" s="1" t="str">
        <f ca="1">IFERROR(__xludf.DUMMYFUNCTION("""COMPUTED_VALUE"""),"This will be hard to do, but if it is the right company I would try")</f>
        <v>This will be hard to do, but if it is the right company I would try</v>
      </c>
      <c r="H1502" s="1" t="str">
        <f ca="1">IFERROR(__xludf.DUMMYFUNCTION("""COMPUTED_VALUE"""),"Yes")</f>
        <v>Yes</v>
      </c>
      <c r="I1502" s="1" t="str">
        <f ca="1">IFERROR(__xludf.DUMMYFUNCTION("""COMPUTED_VALUE"""),"Will work for them")</f>
        <v>Will work for them</v>
      </c>
      <c r="J1502" s="1">
        <f ca="1">IFERROR(__xludf.DUMMYFUNCTION("""COMPUTED_VALUE"""),10)</f>
        <v>10</v>
      </c>
      <c r="K1502" s="1" t="str">
        <f ca="1">IFERROR(__xludf.DUMMYFUNCTION("""COMPUTED_VALUE"""),"Hybrid Working Environment with more than 15 days a month at office")</f>
        <v>Hybrid Working Environment with more than 15 days a month at office</v>
      </c>
      <c r="L1502" s="1" t="str">
        <f ca="1">IFERROR(__xludf.DUMMYFUNCTION("""COMPUTED_VALUE"""),"Employer who rewards learning and enables that environment")</f>
        <v>Employer who rewards learning and enables that environment</v>
      </c>
      <c r="M150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502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15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502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502" s="1" t="str">
        <f ca="1">IFERROR(__xludf.DUMMYFUNCTION("""COMPUTED_VALUE"""),"Yes")</f>
        <v>Yes</v>
      </c>
      <c r="R1502" s="1" t="str">
        <f ca="1">IFERROR(__xludf.DUMMYFUNCTION("""COMPUTED_VALUE"""),"This will be hard to do, but if it is the right company I would try")</f>
        <v>This will be hard to do, but if it is the right company I would try</v>
      </c>
      <c r="S1502" s="1"/>
    </row>
    <row r="1503" spans="1:19" ht="12.5" x14ac:dyDescent="0.25">
      <c r="A1503" s="2">
        <f ca="1">IFERROR(__xludf.DUMMYFUNCTION("""COMPUTED_VALUE"""),45045.6175001851)</f>
        <v>45045.617500185101</v>
      </c>
      <c r="B1503" s="1" t="str">
        <f ca="1">IFERROR(__xludf.DUMMYFUNCTION("""COMPUTED_VALUE"""),"India")</f>
        <v>India</v>
      </c>
      <c r="C1503" s="1">
        <f ca="1">IFERROR(__xludf.DUMMYFUNCTION("""COMPUTED_VALUE"""),421301)</f>
        <v>421301</v>
      </c>
      <c r="D1503" s="1" t="str">
        <f ca="1">IFERROR(__xludf.DUMMYFUNCTION("""COMPUTED_VALUE"""),"Female")</f>
        <v>Female</v>
      </c>
      <c r="E1503" s="1" t="str">
        <f ca="1">IFERROR(__xludf.DUMMYFUNCTION("""COMPUTED_VALUE"""),"My Parents")</f>
        <v>My Parents</v>
      </c>
      <c r="F1503" s="1" t="str">
        <f ca="1">IFERROR(__xludf.DUMMYFUNCTION("""COMPUTED_VALUE"""),"No I would not be pursuing Higher Education outside of India")</f>
        <v>No I would not be pursuing Higher Education outside of India</v>
      </c>
      <c r="G1503" s="1" t="str">
        <f ca="1">IFERROR(__xludf.DUMMYFUNCTION("""COMPUTED_VALUE"""),"This will be hard to do, but if it is the right company I would try")</f>
        <v>This will be hard to do, but if it is the right company I would try</v>
      </c>
      <c r="H1503" s="1" t="str">
        <f ca="1">IFERROR(__xludf.DUMMYFUNCTION("""COMPUTED_VALUE"""),"No")</f>
        <v>No</v>
      </c>
      <c r="I1503" s="1" t="str">
        <f ca="1">IFERROR(__xludf.DUMMYFUNCTION("""COMPUTED_VALUE"""),"Will NOT work for them")</f>
        <v>Will NOT work for them</v>
      </c>
      <c r="J1503" s="1">
        <f ca="1">IFERROR(__xludf.DUMMYFUNCTION("""COMPUTED_VALUE"""),5)</f>
        <v>5</v>
      </c>
      <c r="K1503" s="1" t="str">
        <f ca="1">IFERROR(__xludf.DUMMYFUNCTION("""COMPUTED_VALUE"""),"Hybrid Working Environment with more than 15 days a month at office")</f>
        <v>Hybrid Working Environment with more than 15 days a month at office</v>
      </c>
      <c r="L1503" s="1" t="str">
        <f ca="1">IFERROR(__xludf.DUMMYFUNCTION("""COMPUTED_VALUE"""),"Employer who appreciates learning and enables that environment")</f>
        <v>Employer who appreciates learning and enables that environment</v>
      </c>
      <c r="M150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03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50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03" s="1" t="str">
        <f ca="1">IFERROR(__xludf.DUMMYFUNCTION("""COMPUTED_VALUE"""),"Work alone, Work with 5 to 6 people in my team")</f>
        <v>Work alone, Work with 5 to 6 people in my team</v>
      </c>
      <c r="Q1503" s="1" t="str">
        <f ca="1">IFERROR(__xludf.DUMMYFUNCTION("""COMPUTED_VALUE"""),"No")</f>
        <v>No</v>
      </c>
      <c r="R1503" s="1" t="str">
        <f ca="1">IFERROR(__xludf.DUMMYFUNCTION("""COMPUTED_VALUE"""),"No way")</f>
        <v>No way</v>
      </c>
      <c r="S1503" s="1"/>
    </row>
    <row r="1504" spans="1:19" ht="12.5" x14ac:dyDescent="0.25">
      <c r="A1504" s="2">
        <f ca="1">IFERROR(__xludf.DUMMYFUNCTION("""COMPUTED_VALUE"""),45045.6179723263)</f>
        <v>45045.617972326298</v>
      </c>
      <c r="B1504" s="1" t="str">
        <f ca="1">IFERROR(__xludf.DUMMYFUNCTION("""COMPUTED_VALUE"""),"India")</f>
        <v>India</v>
      </c>
      <c r="C1504" s="1">
        <f ca="1">IFERROR(__xludf.DUMMYFUNCTION("""COMPUTED_VALUE"""),400102)</f>
        <v>400102</v>
      </c>
      <c r="D1504" s="1" t="str">
        <f ca="1">IFERROR(__xludf.DUMMYFUNCTION("""COMPUTED_VALUE"""),"Male")</f>
        <v>Male</v>
      </c>
      <c r="E1504" s="1" t="str">
        <f ca="1">IFERROR(__xludf.DUMMYFUNCTION("""COMPUTED_VALUE"""),"My Parents")</f>
        <v>My Parents</v>
      </c>
      <c r="F1504" s="1" t="str">
        <f ca="1">IFERROR(__xludf.DUMMYFUNCTION("""COMPUTED_VALUE"""),"Yes, I will earn and do that")</f>
        <v>Yes, I will earn and do that</v>
      </c>
      <c r="G1504" s="1" t="str">
        <f ca="1">IFERROR(__xludf.DUMMYFUNCTION("""COMPUTED_VALUE"""),"Will work for 3 years or more")</f>
        <v>Will work for 3 years or more</v>
      </c>
      <c r="H1504" s="1" t="str">
        <f ca="1">IFERROR(__xludf.DUMMYFUNCTION("""COMPUTED_VALUE"""),"No")</f>
        <v>No</v>
      </c>
      <c r="I1504" s="1" t="str">
        <f ca="1">IFERROR(__xludf.DUMMYFUNCTION("""COMPUTED_VALUE"""),"Will work for them")</f>
        <v>Will work for them</v>
      </c>
      <c r="J1504" s="1">
        <f ca="1">IFERROR(__xludf.DUMMYFUNCTION("""COMPUTED_VALUE"""),6)</f>
        <v>6</v>
      </c>
      <c r="K1504" s="1" t="str">
        <f ca="1">IFERROR(__xludf.DUMMYFUNCTION("""COMPUTED_VALUE"""),"Hybrid Working Environment with more than 15 days a month at office")</f>
        <v>Hybrid Working Environment with more than 15 days a month at office</v>
      </c>
      <c r="L15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0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04" s="1" t="str">
        <f ca="1">IFERROR(__xludf.DUMMYFUNCTION("""COMPUTED_VALUE"""),"Teaching in any of the institutes/colleges/online or offline, Manage and drive End-to-End Projects or Products, Look deeply into Data and generate insights, Entrepreneur or Start Up")</f>
        <v>Teaching in any of the institutes/colleges/online or offline, Manage and drive End-to-End Projects or Products, Look deeply into Data and generate insights, Entrepreneur or Start Up</v>
      </c>
      <c r="O1504" s="1" t="str">
        <f ca="1">IFERROR(__xludf.DUMMYFUNCTION("""COMPUTED_VALUE"""),"Manager who explains what is expected, sets a goal and helps achieve it")</f>
        <v>Manager who explains what is expected, sets a goal and helps achieve it</v>
      </c>
      <c r="P1504" s="1" t="str">
        <f ca="1">IFERROR(__xludf.DUMMYFUNCTION("""COMPUTED_VALUE"""),"Work with 2 to 3 people in my team, Work with 5 to 6 people in my team")</f>
        <v>Work with 2 to 3 people in my team, Work with 5 to 6 people in my team</v>
      </c>
      <c r="Q1504" s="1" t="str">
        <f ca="1">IFERROR(__xludf.DUMMYFUNCTION("""COMPUTED_VALUE"""),"Yes, I Understand this is gonna happen everywhere")</f>
        <v>Yes, I Understand this is gonna happen everywhere</v>
      </c>
      <c r="R1504" s="1" t="str">
        <f ca="1">IFERROR(__xludf.DUMMYFUNCTION("""COMPUTED_VALUE"""),"Will work for 7 years or more")</f>
        <v>Will work for 7 years or more</v>
      </c>
      <c r="S1504" s="1"/>
    </row>
    <row r="1505" spans="1:19" ht="12.5" x14ac:dyDescent="0.25">
      <c r="A1505" s="2">
        <f ca="1">IFERROR(__xludf.DUMMYFUNCTION("""COMPUTED_VALUE"""),45045.6197212615)</f>
        <v>45045.619721261501</v>
      </c>
      <c r="B1505" s="1" t="str">
        <f ca="1">IFERROR(__xludf.DUMMYFUNCTION("""COMPUTED_VALUE"""),"India")</f>
        <v>India</v>
      </c>
      <c r="C1505" s="1">
        <f ca="1">IFERROR(__xludf.DUMMYFUNCTION("""COMPUTED_VALUE"""),92)</f>
        <v>92</v>
      </c>
      <c r="D1505" s="1" t="str">
        <f ca="1">IFERROR(__xludf.DUMMYFUNCTION("""COMPUTED_VALUE"""),"Female")</f>
        <v>Female</v>
      </c>
      <c r="E1505" s="1" t="str">
        <f ca="1">IFERROR(__xludf.DUMMYFUNCTION("""COMPUTED_VALUE"""),"People who have changed the world for better")</f>
        <v>People who have changed the world for better</v>
      </c>
      <c r="F1505" s="1" t="str">
        <f ca="1">IFERROR(__xludf.DUMMYFUNCTION("""COMPUTED_VALUE"""),"No I would not be pursuing Higher Education outside of India")</f>
        <v>No I would not be pursuing Higher Education outside of India</v>
      </c>
      <c r="G1505" s="1" t="str">
        <f ca="1">IFERROR(__xludf.DUMMYFUNCTION("""COMPUTED_VALUE"""),"This will be hard to do, but if it is the right company I would try")</f>
        <v>This will be hard to do, but if it is the right company I would try</v>
      </c>
      <c r="H1505" s="1" t="str">
        <f ca="1">IFERROR(__xludf.DUMMYFUNCTION("""COMPUTED_VALUE"""),"No")</f>
        <v>No</v>
      </c>
      <c r="I1505" s="1" t="str">
        <f ca="1">IFERROR(__xludf.DUMMYFUNCTION("""COMPUTED_VALUE"""),"Will NOT work for them")</f>
        <v>Will NOT work for them</v>
      </c>
      <c r="J1505" s="1">
        <f ca="1">IFERROR(__xludf.DUMMYFUNCTION("""COMPUTED_VALUE"""),3)</f>
        <v>3</v>
      </c>
      <c r="K1505" s="1" t="str">
        <f ca="1">IFERROR(__xludf.DUMMYFUNCTION("""COMPUTED_VALUE"""),"Hybrid Working Environment with more than 15 days a month at office")</f>
        <v>Hybrid Working Environment with more than 15 days a month at office</v>
      </c>
      <c r="L15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0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05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1505" s="1" t="str">
        <f ca="1">IFERROR(__xludf.DUMMYFUNCTION("""COMPUTED_VALUE"""),"Manager who explains what is expected, sets a goal and helps achieve it")</f>
        <v>Manager who explains what is expected, sets a goal and helps achieve it</v>
      </c>
      <c r="P1505" s="1" t="str">
        <f ca="1">IFERROR(__xludf.DUMMYFUNCTION("""COMPUTED_VALUE"""),"Work with 5 to 6 people in my team")</f>
        <v>Work with 5 to 6 people in my team</v>
      </c>
      <c r="Q1505" s="1" t="str">
        <f ca="1">IFERROR(__xludf.DUMMYFUNCTION("""COMPUTED_VALUE"""),"Yes, I Understand this is gonna happen everywhere")</f>
        <v>Yes, I Understand this is gonna happen everywhere</v>
      </c>
      <c r="R1505" s="1" t="str">
        <f ca="1">IFERROR(__xludf.DUMMYFUNCTION("""COMPUTED_VALUE"""),"No way")</f>
        <v>No way</v>
      </c>
      <c r="S1505" s="1"/>
    </row>
    <row r="1506" spans="1:19" ht="12.5" x14ac:dyDescent="0.25">
      <c r="A1506" s="2">
        <f ca="1">IFERROR(__xludf.DUMMYFUNCTION("""COMPUTED_VALUE"""),45045.6200476504)</f>
        <v>45045.620047650402</v>
      </c>
      <c r="B1506" s="1" t="str">
        <f ca="1">IFERROR(__xludf.DUMMYFUNCTION("""COMPUTED_VALUE"""),"Others")</f>
        <v>Others</v>
      </c>
      <c r="C1506" s="1" t="str">
        <f ca="1">IFERROR(__xludf.DUMMYFUNCTION("""COMPUTED_VALUE"""),"PR17QS")</f>
        <v>PR17QS</v>
      </c>
      <c r="D1506" s="1" t="str">
        <f ca="1">IFERROR(__xludf.DUMMYFUNCTION("""COMPUTED_VALUE"""),"Female")</f>
        <v>Female</v>
      </c>
      <c r="E1506" s="1" t="str">
        <f ca="1">IFERROR(__xludf.DUMMYFUNCTION("""COMPUTED_VALUE"""),"My Parents")</f>
        <v>My Parents</v>
      </c>
      <c r="F1506" s="1" t="str">
        <f ca="1">IFERROR(__xludf.DUMMYFUNCTION("""COMPUTED_VALUE"""),"Yes, I will earn and do that")</f>
        <v>Yes, I will earn and do that</v>
      </c>
      <c r="G1506" s="1" t="str">
        <f ca="1">IFERROR(__xludf.DUMMYFUNCTION("""COMPUTED_VALUE"""),"This will be hard to do, but if it is the right company I would try")</f>
        <v>This will be hard to do, but if it is the right company I would try</v>
      </c>
      <c r="H1506" s="1" t="str">
        <f ca="1">IFERROR(__xludf.DUMMYFUNCTION("""COMPUTED_VALUE"""),"No")</f>
        <v>No</v>
      </c>
      <c r="I1506" s="1" t="str">
        <f ca="1">IFERROR(__xludf.DUMMYFUNCTION("""COMPUTED_VALUE"""),"Will NOT work for them")</f>
        <v>Will NOT work for them</v>
      </c>
      <c r="J1506" s="1">
        <f ca="1">IFERROR(__xludf.DUMMYFUNCTION("""COMPUTED_VALUE"""),2)</f>
        <v>2</v>
      </c>
      <c r="K1506" s="1" t="str">
        <f ca="1">IFERROR(__xludf.DUMMYFUNCTION("""COMPUTED_VALUE"""),"Hybrid Working Environment with more than 15 days a month at office")</f>
        <v>Hybrid Working Environment with more than 15 days a month at office</v>
      </c>
      <c r="L15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0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06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1506" s="1" t="str">
        <f ca="1">IFERROR(__xludf.DUMMYFUNCTION("""COMPUTED_VALUE"""),"Manager who explains what is expected, sets a goal and helps achieve it")</f>
        <v>Manager who explains what is expected, sets a goal and helps achieve it</v>
      </c>
      <c r="P1506" s="1" t="str">
        <f ca="1">IFERROR(__xludf.DUMMYFUNCTION("""COMPUTED_VALUE"""),"Work with 5 to 6 people in my team")</f>
        <v>Work with 5 to 6 people in my team</v>
      </c>
      <c r="Q1506" s="1" t="str">
        <f ca="1">IFERROR(__xludf.DUMMYFUNCTION("""COMPUTED_VALUE"""),"Yes, I Understand this is gonna happen everywhere")</f>
        <v>Yes, I Understand this is gonna happen everywhere</v>
      </c>
      <c r="R1506" s="1" t="str">
        <f ca="1">IFERROR(__xludf.DUMMYFUNCTION("""COMPUTED_VALUE"""),"No way")</f>
        <v>No way</v>
      </c>
      <c r="S1506" s="1"/>
    </row>
    <row r="1507" spans="1:19" ht="12.5" x14ac:dyDescent="0.25">
      <c r="A1507" s="2">
        <f ca="1">IFERROR(__xludf.DUMMYFUNCTION("""COMPUTED_VALUE"""),45045.62200603)</f>
        <v>45045.622006029997</v>
      </c>
      <c r="B1507" s="1" t="str">
        <f ca="1">IFERROR(__xludf.DUMMYFUNCTION("""COMPUTED_VALUE"""),"India")</f>
        <v>India</v>
      </c>
      <c r="C1507" s="1">
        <f ca="1">IFERROR(__xludf.DUMMYFUNCTION("""COMPUTED_VALUE"""),400008)</f>
        <v>400008</v>
      </c>
      <c r="D1507" s="1" t="str">
        <f ca="1">IFERROR(__xludf.DUMMYFUNCTION("""COMPUTED_VALUE"""),"Male")</f>
        <v>Male</v>
      </c>
      <c r="E1507" s="1" t="str">
        <f ca="1">IFERROR(__xludf.DUMMYFUNCTION("""COMPUTED_VALUE"""),"My Parents")</f>
        <v>My Parents</v>
      </c>
      <c r="F1507" s="1" t="str">
        <f ca="1">IFERROR(__xludf.DUMMYFUNCTION("""COMPUTED_VALUE"""),"No I would not be pursuing Higher Education outside of India")</f>
        <v>No I would not be pursuing Higher Education outside of India</v>
      </c>
      <c r="G1507" s="1" t="str">
        <f ca="1">IFERROR(__xludf.DUMMYFUNCTION("""COMPUTED_VALUE"""),"This will be hard to do, but if it is the right company I would try")</f>
        <v>This will be hard to do, but if it is the right company I would try</v>
      </c>
      <c r="H1507" s="1" t="str">
        <f ca="1">IFERROR(__xludf.DUMMYFUNCTION("""COMPUTED_VALUE"""),"Yes")</f>
        <v>Yes</v>
      </c>
      <c r="I1507" s="1" t="str">
        <f ca="1">IFERROR(__xludf.DUMMYFUNCTION("""COMPUTED_VALUE"""),"Will NOT work for them")</f>
        <v>Will NOT work for them</v>
      </c>
      <c r="J1507" s="1">
        <f ca="1">IFERROR(__xludf.DUMMYFUNCTION("""COMPUTED_VALUE"""),5)</f>
        <v>5</v>
      </c>
      <c r="K1507" s="1" t="str">
        <f ca="1">IFERROR(__xludf.DUMMYFUNCTION("""COMPUTED_VALUE"""),"Hybrid Working Environment with more than 15 days a month at office")</f>
        <v>Hybrid Working Environment with more than 15 days a month at office</v>
      </c>
      <c r="L15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07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507" s="1" t="str">
        <f ca="1">IFERROR(__xludf.DUMMYFUNCTION("""COMPUTED_VALUE"""),"Build and develop a Team, Entrepreneur or Start Up, I Want to sell things/Sales, Manufacturing / Oil and Gas/ Construction / Hard Physical Work related")</f>
        <v>Build and develop a Team, Entrepreneur or Start Up, I Want to sell things/Sales, Manufacturing / Oil and Gas/ Construction / Hard Physical Work related</v>
      </c>
      <c r="O1507" s="1" t="str">
        <f ca="1">IFERROR(__xludf.DUMMYFUNCTION("""COMPUTED_VALUE"""),"Manager who explains what is expected, sets a goal and helps achieve it")</f>
        <v>Manager who explains what is expected, sets a goal and helps achieve it</v>
      </c>
      <c r="P1507" s="1" t="str">
        <f ca="1">IFERROR(__xludf.DUMMYFUNCTION("""COMPUTED_VALUE"""),"Work with more than 10 people in my team")</f>
        <v>Work with more than 10 people in my team</v>
      </c>
      <c r="Q1507" s="1" t="str">
        <f ca="1">IFERROR(__xludf.DUMMYFUNCTION("""COMPUTED_VALUE"""),"Yes, I Understand this is gonna happen everywhere")</f>
        <v>Yes, I Understand this is gonna happen everywhere</v>
      </c>
      <c r="R1507" s="1" t="str">
        <f ca="1">IFERROR(__xludf.DUMMYFUNCTION("""COMPUTED_VALUE"""),"This will be hard to do, but if it is the right company I would try")</f>
        <v>This will be hard to do, but if it is the right company I would try</v>
      </c>
      <c r="S1507" s="1"/>
    </row>
    <row r="1508" spans="1:19" ht="12.5" x14ac:dyDescent="0.25">
      <c r="A1508" s="2">
        <f ca="1">IFERROR(__xludf.DUMMYFUNCTION("""COMPUTED_VALUE"""),45045.625838993)</f>
        <v>45045.625838993001</v>
      </c>
      <c r="B1508" s="1" t="str">
        <f ca="1">IFERROR(__xludf.DUMMYFUNCTION("""COMPUTED_VALUE"""),"India")</f>
        <v>India</v>
      </c>
      <c r="C1508" s="1">
        <f ca="1">IFERROR(__xludf.DUMMYFUNCTION("""COMPUTED_VALUE"""),410206)</f>
        <v>410206</v>
      </c>
      <c r="D1508" s="1" t="str">
        <f ca="1">IFERROR(__xludf.DUMMYFUNCTION("""COMPUTED_VALUE"""),"Female")</f>
        <v>Female</v>
      </c>
      <c r="E1508" s="1" t="str">
        <f ca="1">IFERROR(__xludf.DUMMYFUNCTION("""COMPUTED_VALUE"""),"People who have changed the world for better")</f>
        <v>People who have changed the world for better</v>
      </c>
      <c r="F1508" s="1" t="str">
        <f ca="1">IFERROR(__xludf.DUMMYFUNCTION("""COMPUTED_VALUE"""),"Yes, I will earn and do that")</f>
        <v>Yes, I will earn and do that</v>
      </c>
      <c r="G1508" s="1" t="str">
        <f ca="1">IFERROR(__xludf.DUMMYFUNCTION("""COMPUTED_VALUE"""),"This will be hard to do, but if it is the right company I would try")</f>
        <v>This will be hard to do, but if it is the right company I would try</v>
      </c>
      <c r="H1508" s="1" t="str">
        <f ca="1">IFERROR(__xludf.DUMMYFUNCTION("""COMPUTED_VALUE"""),"No")</f>
        <v>No</v>
      </c>
      <c r="I1508" s="1" t="str">
        <f ca="1">IFERROR(__xludf.DUMMYFUNCTION("""COMPUTED_VALUE"""),"Will NOT work for them")</f>
        <v>Will NOT work for them</v>
      </c>
      <c r="J1508" s="1">
        <f ca="1">IFERROR(__xludf.DUMMYFUNCTION("""COMPUTED_VALUE"""),3)</f>
        <v>3</v>
      </c>
      <c r="K1508" s="1" t="str">
        <f ca="1">IFERROR(__xludf.DUMMYFUNCTION("""COMPUTED_VALUE"""),"Every Day Office Environment")</f>
        <v>Every Day Office Environment</v>
      </c>
      <c r="L15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0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08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1508" s="1" t="str">
        <f ca="1">IFERROR(__xludf.DUMMYFUNCTION("""COMPUTED_VALUE"""),"Manager who explains what is expected, sets a goal and helps achieve it")</f>
        <v>Manager who explains what is expected, sets a goal and helps achieve it</v>
      </c>
      <c r="P1508" s="1" t="str">
        <f ca="1">IFERROR(__xludf.DUMMYFUNCTION("""COMPUTED_VALUE"""),"Work with 2 to 3 people in my team")</f>
        <v>Work with 2 to 3 people in my team</v>
      </c>
      <c r="Q1508" s="1" t="str">
        <f ca="1">IFERROR(__xludf.DUMMYFUNCTION("""COMPUTED_VALUE"""),"Yes, I Understand this is gonna happen everywhere")</f>
        <v>Yes, I Understand this is gonna happen everywhere</v>
      </c>
      <c r="R1508" s="1" t="str">
        <f ca="1">IFERROR(__xludf.DUMMYFUNCTION("""COMPUTED_VALUE"""),"No way")</f>
        <v>No way</v>
      </c>
      <c r="S1508" s="1"/>
    </row>
    <row r="1509" spans="1:19" ht="12.5" x14ac:dyDescent="0.25">
      <c r="A1509" s="2">
        <f ca="1">IFERROR(__xludf.DUMMYFUNCTION("""COMPUTED_VALUE"""),45045.6280369097)</f>
        <v>45045.6280369097</v>
      </c>
      <c r="B1509" s="1" t="str">
        <f ca="1">IFERROR(__xludf.DUMMYFUNCTION("""COMPUTED_VALUE"""),"India")</f>
        <v>India</v>
      </c>
      <c r="C1509" s="1">
        <f ca="1">IFERROR(__xludf.DUMMYFUNCTION("""COMPUTED_VALUE"""),242401)</f>
        <v>242401</v>
      </c>
      <c r="D1509" s="1" t="str">
        <f ca="1">IFERROR(__xludf.DUMMYFUNCTION("""COMPUTED_VALUE"""),"Male")</f>
        <v>Male</v>
      </c>
      <c r="E1509" s="1" t="str">
        <f ca="1">IFERROR(__xludf.DUMMYFUNCTION("""COMPUTED_VALUE"""),"People from my circle, but not family members")</f>
        <v>People from my circle, but not family members</v>
      </c>
      <c r="F1509" s="1" t="str">
        <f ca="1">IFERROR(__xludf.DUMMYFUNCTION("""COMPUTED_VALUE"""),"No I would not be pursuing Higher Education outside of India")</f>
        <v>No I would not be pursuing Higher Education outside of India</v>
      </c>
      <c r="G1509" s="1" t="str">
        <f ca="1">IFERROR(__xludf.DUMMYFUNCTION("""COMPUTED_VALUE"""),"Will work for 3 years or more")</f>
        <v>Will work for 3 years or more</v>
      </c>
      <c r="H1509" s="1" t="str">
        <f ca="1">IFERROR(__xludf.DUMMYFUNCTION("""COMPUTED_VALUE"""),"No")</f>
        <v>No</v>
      </c>
      <c r="I1509" s="1" t="str">
        <f ca="1">IFERROR(__xludf.DUMMYFUNCTION("""COMPUTED_VALUE"""),"Will NOT work for them")</f>
        <v>Will NOT work for them</v>
      </c>
      <c r="J1509" s="1">
        <f ca="1">IFERROR(__xludf.DUMMYFUNCTION("""COMPUTED_VALUE"""),3)</f>
        <v>3</v>
      </c>
      <c r="K1509" s="1" t="str">
        <f ca="1">IFERROR(__xludf.DUMMYFUNCTION("""COMPUTED_VALUE"""),"Hybrid Working Environment with more than 15 days a month at office")</f>
        <v>Hybrid Working Environment with more than 15 days a month at office</v>
      </c>
      <c r="L1509" s="1" t="str">
        <f ca="1">IFERROR(__xludf.DUMMYFUNCTION("""COMPUTED_VALUE"""),"Employer who rewards learning and enables that environment")</f>
        <v>Employer who rewards learning and enables that environment</v>
      </c>
      <c r="M150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509" s="1" t="str">
        <f ca="1">IFERROR(__xludf.DUMMYFUNCTION("""COMPUTED_VALUE"""),"Teaching in any of the institutes/colleges/online or offline, Business Operations in any organization, Work as a freelancer and do my thing my way, Become a content Creator in some platform")</f>
        <v>Teaching in any of the institutes/colleges/online or offline, Business Operations in any organization, Work as a freelancer and do my thing my way, Become a content Creator in some platform</v>
      </c>
      <c r="O150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09" s="1" t="str">
        <f ca="1">IFERROR(__xludf.DUMMYFUNCTION("""COMPUTED_VALUE"""),"Work with 2 to 3 people in my team")</f>
        <v>Work with 2 to 3 people in my team</v>
      </c>
      <c r="Q1509" s="1" t="str">
        <f ca="1">IFERROR(__xludf.DUMMYFUNCTION("""COMPUTED_VALUE"""),"Yes, I Understand this is gonna happen everywhere")</f>
        <v>Yes, I Understand this is gonna happen everywhere</v>
      </c>
      <c r="R1509" s="1" t="str">
        <f ca="1">IFERROR(__xludf.DUMMYFUNCTION("""COMPUTED_VALUE"""),"Will work for 7 years or more")</f>
        <v>Will work for 7 years or more</v>
      </c>
      <c r="S1509" s="1"/>
    </row>
    <row r="1510" spans="1:19" ht="12.5" x14ac:dyDescent="0.25">
      <c r="A1510" s="2">
        <f ca="1">IFERROR(__xludf.DUMMYFUNCTION("""COMPUTED_VALUE"""),45045.6338825115)</f>
        <v>45045.633882511502</v>
      </c>
      <c r="B1510" s="1" t="str">
        <f ca="1">IFERROR(__xludf.DUMMYFUNCTION("""COMPUTED_VALUE"""),"India")</f>
        <v>India</v>
      </c>
      <c r="C1510" s="1">
        <f ca="1">IFERROR(__xludf.DUMMYFUNCTION("""COMPUTED_VALUE"""),410206)</f>
        <v>410206</v>
      </c>
      <c r="D1510" s="1" t="str">
        <f ca="1">IFERROR(__xludf.DUMMYFUNCTION("""COMPUTED_VALUE"""),"Female")</f>
        <v>Female</v>
      </c>
      <c r="E1510" s="1" t="str">
        <f ca="1">IFERROR(__xludf.DUMMYFUNCTION("""COMPUTED_VALUE"""),"People from my circle, but not family members")</f>
        <v>People from my circle, but not family members</v>
      </c>
      <c r="F1510" s="1" t="str">
        <f ca="1">IFERROR(__xludf.DUMMYFUNCTION("""COMPUTED_VALUE"""),"No, But if someone could bare the cost I will")</f>
        <v>No, But if someone could bare the cost I will</v>
      </c>
      <c r="G1510" s="1" t="str">
        <f ca="1">IFERROR(__xludf.DUMMYFUNCTION("""COMPUTED_VALUE"""),"This will be hard to do, but if it is the right company I would try")</f>
        <v>This will be hard to do, but if it is the right company I would try</v>
      </c>
      <c r="H1510" s="1" t="str">
        <f ca="1">IFERROR(__xludf.DUMMYFUNCTION("""COMPUTED_VALUE"""),"No")</f>
        <v>No</v>
      </c>
      <c r="I1510" s="1" t="str">
        <f ca="1">IFERROR(__xludf.DUMMYFUNCTION("""COMPUTED_VALUE"""),"Will NOT work for them")</f>
        <v>Will NOT work for them</v>
      </c>
      <c r="J1510" s="1">
        <f ca="1">IFERROR(__xludf.DUMMYFUNCTION("""COMPUTED_VALUE"""),6)</f>
        <v>6</v>
      </c>
      <c r="K1510" s="1" t="str">
        <f ca="1">IFERROR(__xludf.DUMMYFUNCTION("""COMPUTED_VALUE"""),"Hybrid Working Environment with more than 15 days a month at office")</f>
        <v>Hybrid Working Environment with more than 15 days a month at office</v>
      </c>
      <c r="L15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10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1510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0" s="1" t="str">
        <f ca="1">IFERROR(__xludf.DUMMYFUNCTION("""COMPUTED_VALUE"""),"Work with 2 to 3 people in my team")</f>
        <v>Work with 2 to 3 people in my team</v>
      </c>
      <c r="Q1510" s="1" t="str">
        <f ca="1">IFERROR(__xludf.DUMMYFUNCTION("""COMPUTED_VALUE"""),"Yes, I Understand this is gonna happen everywhere")</f>
        <v>Yes, I Understand this is gonna happen everywhere</v>
      </c>
      <c r="R1510" s="1" t="str">
        <f ca="1">IFERROR(__xludf.DUMMYFUNCTION("""COMPUTED_VALUE"""),"No way")</f>
        <v>No way</v>
      </c>
      <c r="S1510" s="1"/>
    </row>
    <row r="1511" spans="1:19" ht="12.5" x14ac:dyDescent="0.25">
      <c r="A1511" s="2">
        <f ca="1">IFERROR(__xludf.DUMMYFUNCTION("""COMPUTED_VALUE"""),45045.6368648958)</f>
        <v>45045.636864895801</v>
      </c>
      <c r="B1511" s="1" t="str">
        <f ca="1">IFERROR(__xludf.DUMMYFUNCTION("""COMPUTED_VALUE"""),"India")</f>
        <v>India</v>
      </c>
      <c r="C1511" s="1">
        <f ca="1">IFERROR(__xludf.DUMMYFUNCTION("""COMPUTED_VALUE"""),500090)</f>
        <v>500090</v>
      </c>
      <c r="D1511" s="1" t="str">
        <f ca="1">IFERROR(__xludf.DUMMYFUNCTION("""COMPUTED_VALUE"""),"Female")</f>
        <v>Female</v>
      </c>
      <c r="E1511" s="1" t="str">
        <f ca="1">IFERROR(__xludf.DUMMYFUNCTION("""COMPUTED_VALUE"""),"My Parents")</f>
        <v>My Parents</v>
      </c>
      <c r="F1511" s="1" t="str">
        <f ca="1">IFERROR(__xludf.DUMMYFUNCTION("""COMPUTED_VALUE"""),"No I would not be pursuing Higher Education outside of India")</f>
        <v>No I would not be pursuing Higher Education outside of India</v>
      </c>
      <c r="G1511" s="1" t="str">
        <f ca="1">IFERROR(__xludf.DUMMYFUNCTION("""COMPUTED_VALUE"""),"This will be hard to do, but if it is the right company I would try")</f>
        <v>This will be hard to do, but if it is the right company I would try</v>
      </c>
      <c r="H1511" s="1" t="str">
        <f ca="1">IFERROR(__xludf.DUMMYFUNCTION("""COMPUTED_VALUE"""),"No")</f>
        <v>No</v>
      </c>
      <c r="I1511" s="1" t="str">
        <f ca="1">IFERROR(__xludf.DUMMYFUNCTION("""COMPUTED_VALUE"""),"Will NOT work for them")</f>
        <v>Will NOT work for them</v>
      </c>
      <c r="J1511" s="1">
        <f ca="1">IFERROR(__xludf.DUMMYFUNCTION("""COMPUTED_VALUE"""),3)</f>
        <v>3</v>
      </c>
      <c r="K1511" s="1" t="str">
        <f ca="1">IFERROR(__xludf.DUMMYFUNCTION("""COMPUTED_VALUE"""),"Hybrid Working Environment with less than 3 days a month at office")</f>
        <v>Hybrid Working Environment with less than 3 days a month at office</v>
      </c>
      <c r="L1511" s="1" t="str">
        <f ca="1">IFERROR(__xludf.DUMMYFUNCTION("""COMPUTED_VALUE"""),"Employer who rewards learning and enables that environment")</f>
        <v>Employer who rewards learning and enables that environment</v>
      </c>
      <c r="M151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11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151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1" s="1" t="str">
        <f ca="1">IFERROR(__xludf.DUMMYFUNCTION("""COMPUTED_VALUE"""),"Work with 5 to 6 people in my team")</f>
        <v>Work with 5 to 6 people in my team</v>
      </c>
      <c r="Q1511" s="1" t="str">
        <f ca="1">IFERROR(__xludf.DUMMYFUNCTION("""COMPUTED_VALUE"""),"Yes, I Understand this is gonna happen everywhere")</f>
        <v>Yes, I Understand this is gonna happen everywhere</v>
      </c>
      <c r="R1511" s="1" t="str">
        <f ca="1">IFERROR(__xludf.DUMMYFUNCTION("""COMPUTED_VALUE"""),"This will be hard to do, but if it is the right company I would try")</f>
        <v>This will be hard to do, but if it is the right company I would try</v>
      </c>
      <c r="S1511" s="1"/>
    </row>
    <row r="1512" spans="1:19" ht="12.5" x14ac:dyDescent="0.25">
      <c r="A1512" s="2">
        <f ca="1">IFERROR(__xludf.DUMMYFUNCTION("""COMPUTED_VALUE"""),45045.6375940277)</f>
        <v>45045.637594027699</v>
      </c>
      <c r="B1512" s="1" t="str">
        <f ca="1">IFERROR(__xludf.DUMMYFUNCTION("""COMPUTED_VALUE"""),"India")</f>
        <v>India</v>
      </c>
      <c r="C1512" s="1">
        <f ca="1">IFERROR(__xludf.DUMMYFUNCTION("""COMPUTED_VALUE"""),370465)</f>
        <v>370465</v>
      </c>
      <c r="D1512" s="1" t="str">
        <f ca="1">IFERROR(__xludf.DUMMYFUNCTION("""COMPUTED_VALUE"""),"Female")</f>
        <v>Female</v>
      </c>
      <c r="E1512" s="1" t="str">
        <f ca="1">IFERROR(__xludf.DUMMYFUNCTION("""COMPUTED_VALUE"""),"People from my circle, but not family members")</f>
        <v>People from my circle, but not family members</v>
      </c>
      <c r="F1512" s="1" t="str">
        <f ca="1">IFERROR(__xludf.DUMMYFUNCTION("""COMPUTED_VALUE"""),"Yes, I will earn and do that")</f>
        <v>Yes, I will earn and do that</v>
      </c>
      <c r="G1512" s="1" t="str">
        <f ca="1">IFERROR(__xludf.DUMMYFUNCTION("""COMPUTED_VALUE"""),"Will work for 3 years or more")</f>
        <v>Will work for 3 years or more</v>
      </c>
      <c r="H1512" s="1" t="str">
        <f ca="1">IFERROR(__xludf.DUMMYFUNCTION("""COMPUTED_VALUE"""),"No")</f>
        <v>No</v>
      </c>
      <c r="I1512" s="1" t="str">
        <f ca="1">IFERROR(__xludf.DUMMYFUNCTION("""COMPUTED_VALUE"""),"Will NOT work for them")</f>
        <v>Will NOT work for them</v>
      </c>
      <c r="J1512" s="1">
        <f ca="1">IFERROR(__xludf.DUMMYFUNCTION("""COMPUTED_VALUE"""),3)</f>
        <v>3</v>
      </c>
      <c r="K1512" s="1" t="str">
        <f ca="1">IFERROR(__xludf.DUMMYFUNCTION("""COMPUTED_VALUE"""),"Hybrid Working Environment with more than 15 days a month at office")</f>
        <v>Hybrid Working Environment with more than 15 days a month at office</v>
      </c>
      <c r="L15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512" s="1" t="str">
        <f ca="1">IFERROR(__xludf.DUMMYFUNCTION("""COMPUTED_VALUE"""),"Business Operations in any organization, Manage and drive End-to-End Projects or Products, Become a content Creator in some platform, I Want to sell things/Sales")</f>
        <v>Business Operations in any organization, Manage and drive End-to-End Projects or Products, Become a content Creator in some platform, I Want to sell things/Sales</v>
      </c>
      <c r="O15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2" s="1" t="str">
        <f ca="1">IFERROR(__xludf.DUMMYFUNCTION("""COMPUTED_VALUE"""),"Work with 5 to 6 people in my team")</f>
        <v>Work with 5 to 6 people in my team</v>
      </c>
      <c r="Q1512" s="1" t="str">
        <f ca="1">IFERROR(__xludf.DUMMYFUNCTION("""COMPUTED_VALUE"""),"No")</f>
        <v>No</v>
      </c>
      <c r="R1512" s="1" t="str">
        <f ca="1">IFERROR(__xludf.DUMMYFUNCTION("""COMPUTED_VALUE"""),"Will work for 7 years or more")</f>
        <v>Will work for 7 years or more</v>
      </c>
      <c r="S1512" s="1"/>
    </row>
    <row r="1513" spans="1:19" ht="12.5" x14ac:dyDescent="0.25">
      <c r="A1513" s="2">
        <f ca="1">IFERROR(__xludf.DUMMYFUNCTION("""COMPUTED_VALUE"""),45045.6382432407)</f>
        <v>45045.638243240697</v>
      </c>
      <c r="B1513" s="1" t="str">
        <f ca="1">IFERROR(__xludf.DUMMYFUNCTION("""COMPUTED_VALUE"""),"India")</f>
        <v>India</v>
      </c>
      <c r="C1513" s="1">
        <f ca="1">IFERROR(__xludf.DUMMYFUNCTION("""COMPUTED_VALUE"""),410206)</f>
        <v>410206</v>
      </c>
      <c r="D1513" s="1" t="str">
        <f ca="1">IFERROR(__xludf.DUMMYFUNCTION("""COMPUTED_VALUE"""),"Female")</f>
        <v>Female</v>
      </c>
      <c r="E1513" s="1" t="str">
        <f ca="1">IFERROR(__xludf.DUMMYFUNCTION("""COMPUTED_VALUE"""),"People from my circle, but not family members")</f>
        <v>People from my circle, but not family members</v>
      </c>
      <c r="F1513" s="1" t="str">
        <f ca="1">IFERROR(__xludf.DUMMYFUNCTION("""COMPUTED_VALUE"""),"Yes, I will earn and do that")</f>
        <v>Yes, I will earn and do that</v>
      </c>
      <c r="G1513" s="1" t="str">
        <f ca="1">IFERROR(__xludf.DUMMYFUNCTION("""COMPUTED_VALUE"""),"This will be hard to do, but if it is the right company I would try")</f>
        <v>This will be hard to do, but if it is the right company I would try</v>
      </c>
      <c r="H1513" s="1" t="str">
        <f ca="1">IFERROR(__xludf.DUMMYFUNCTION("""COMPUTED_VALUE"""),"No")</f>
        <v>No</v>
      </c>
      <c r="I1513" s="1" t="str">
        <f ca="1">IFERROR(__xludf.DUMMYFUNCTION("""COMPUTED_VALUE"""),"Will NOT work for them")</f>
        <v>Will NOT work for them</v>
      </c>
      <c r="J1513" s="1">
        <f ca="1">IFERROR(__xludf.DUMMYFUNCTION("""COMPUTED_VALUE"""),2)</f>
        <v>2</v>
      </c>
      <c r="K1513" s="1" t="str">
        <f ca="1">IFERROR(__xludf.DUMMYFUNCTION("""COMPUTED_VALUE"""),"Hybrid Working Environment with less than 3 days a month at office")</f>
        <v>Hybrid Working Environment with less than 3 days a month at office</v>
      </c>
      <c r="L15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513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151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3" s="1" t="str">
        <f ca="1">IFERROR(__xludf.DUMMYFUNCTION("""COMPUTED_VALUE"""),"Work with 2 to 3 people in my team")</f>
        <v>Work with 2 to 3 people in my team</v>
      </c>
      <c r="Q1513" s="1" t="str">
        <f ca="1">IFERROR(__xludf.DUMMYFUNCTION("""COMPUTED_VALUE"""),"No")</f>
        <v>No</v>
      </c>
      <c r="R1513" s="1" t="str">
        <f ca="1">IFERROR(__xludf.DUMMYFUNCTION("""COMPUTED_VALUE"""),"This will be hard to do, but if it is the right company I would try")</f>
        <v>This will be hard to do, but if it is the right company I would try</v>
      </c>
      <c r="S1513" s="1"/>
    </row>
    <row r="1514" spans="1:19" ht="12.5" x14ac:dyDescent="0.25">
      <c r="A1514" s="2">
        <f ca="1">IFERROR(__xludf.DUMMYFUNCTION("""COMPUTED_VALUE"""),45045.6471599768)</f>
        <v>45045.647159976797</v>
      </c>
      <c r="B1514" s="1" t="str">
        <f ca="1">IFERROR(__xludf.DUMMYFUNCTION("""COMPUTED_VALUE"""),"India")</f>
        <v>India</v>
      </c>
      <c r="C1514" s="1">
        <f ca="1">IFERROR(__xludf.DUMMYFUNCTION("""COMPUTED_VALUE"""),421103)</f>
        <v>421103</v>
      </c>
      <c r="D1514" s="1" t="str">
        <f ca="1">IFERROR(__xludf.DUMMYFUNCTION("""COMPUTED_VALUE"""),"Male")</f>
        <v>Male</v>
      </c>
      <c r="E1514" s="1" t="str">
        <f ca="1">IFERROR(__xludf.DUMMYFUNCTION("""COMPUTED_VALUE"""),"Influencers who had successful careers")</f>
        <v>Influencers who had successful careers</v>
      </c>
      <c r="F1514" s="1" t="str">
        <f ca="1">IFERROR(__xludf.DUMMYFUNCTION("""COMPUTED_VALUE"""),"Yes, I will earn and do that")</f>
        <v>Yes, I will earn and do that</v>
      </c>
      <c r="G1514" s="1" t="str">
        <f ca="1">IFERROR(__xludf.DUMMYFUNCTION("""COMPUTED_VALUE"""),"This will be hard to do, but if it is the right company I would try")</f>
        <v>This will be hard to do, but if it is the right company I would try</v>
      </c>
      <c r="H1514" s="1" t="str">
        <f ca="1">IFERROR(__xludf.DUMMYFUNCTION("""COMPUTED_VALUE"""),"No")</f>
        <v>No</v>
      </c>
      <c r="I1514" s="1" t="str">
        <f ca="1">IFERROR(__xludf.DUMMYFUNCTION("""COMPUTED_VALUE"""),"Will NOT work for them")</f>
        <v>Will NOT work for them</v>
      </c>
      <c r="J1514" s="1">
        <f ca="1">IFERROR(__xludf.DUMMYFUNCTION("""COMPUTED_VALUE"""),7)</f>
        <v>7</v>
      </c>
      <c r="K1514" s="1" t="str">
        <f ca="1">IFERROR(__xludf.DUMMYFUNCTION("""COMPUTED_VALUE"""),"Fully Remote with Options to travel as and when needed")</f>
        <v>Fully Remote with Options to travel as and when needed</v>
      </c>
      <c r="L15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14" s="1" t="str">
        <f ca="1">IFERROR(__xludf.DUMMYFUNCTION("""COMPUTED_VALUE"""),"Design and Creative strategy in any company, Look deeply into Data and generate insights, Work as a freelancer and do my thing my way, Become a content Creator in some platform")</f>
        <v>Design and Creative strategy in any company, Look deeply into Data and generate insights, Work as a freelancer and do my thing my way, Become a content Creator in some platform</v>
      </c>
      <c r="O1514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4" s="1" t="str">
        <f ca="1">IFERROR(__xludf.DUMMYFUNCTION("""COMPUTED_VALUE"""),"Work alone")</f>
        <v>Work alone</v>
      </c>
      <c r="Q1514" s="1" t="str">
        <f ca="1">IFERROR(__xludf.DUMMYFUNCTION("""COMPUTED_VALUE"""),"Yes, I Understand this is gonna happen everywhere")</f>
        <v>Yes, I Understand this is gonna happen everywhere</v>
      </c>
      <c r="R1514" s="1" t="str">
        <f ca="1">IFERROR(__xludf.DUMMYFUNCTION("""COMPUTED_VALUE"""),"No way")</f>
        <v>No way</v>
      </c>
      <c r="S1514" s="1"/>
    </row>
    <row r="1515" spans="1:19" ht="12.5" x14ac:dyDescent="0.25">
      <c r="A1515" s="2">
        <f ca="1">IFERROR(__xludf.DUMMYFUNCTION("""COMPUTED_VALUE"""),45045.6488073379)</f>
        <v>45045.648807337901</v>
      </c>
      <c r="B1515" s="1" t="str">
        <f ca="1">IFERROR(__xludf.DUMMYFUNCTION("""COMPUTED_VALUE"""),"India")</f>
        <v>India</v>
      </c>
      <c r="C1515" s="1">
        <f ca="1">IFERROR(__xludf.DUMMYFUNCTION("""COMPUTED_VALUE"""),751012)</f>
        <v>751012</v>
      </c>
      <c r="D1515" s="1" t="str">
        <f ca="1">IFERROR(__xludf.DUMMYFUNCTION("""COMPUTED_VALUE"""),"Female")</f>
        <v>Female</v>
      </c>
      <c r="E1515" s="1" t="str">
        <f ca="1">IFERROR(__xludf.DUMMYFUNCTION("""COMPUTED_VALUE"""),"People who have changed the world for better")</f>
        <v>People who have changed the world for better</v>
      </c>
      <c r="F1515" s="1" t="str">
        <f ca="1">IFERROR(__xludf.DUMMYFUNCTION("""COMPUTED_VALUE"""),"No I would not be pursuing Higher Education outside of India")</f>
        <v>No I would not be pursuing Higher Education outside of India</v>
      </c>
      <c r="G1515" s="1" t="str">
        <f ca="1">IFERROR(__xludf.DUMMYFUNCTION("""COMPUTED_VALUE"""),"Will work for 3 years or more")</f>
        <v>Will work for 3 years or more</v>
      </c>
      <c r="H1515" s="1" t="str">
        <f ca="1">IFERROR(__xludf.DUMMYFUNCTION("""COMPUTED_VALUE"""),"No")</f>
        <v>No</v>
      </c>
      <c r="I1515" s="1" t="str">
        <f ca="1">IFERROR(__xludf.DUMMYFUNCTION("""COMPUTED_VALUE"""),"Will NOT work for them")</f>
        <v>Will NOT work for them</v>
      </c>
      <c r="J1515" s="1">
        <f ca="1">IFERROR(__xludf.DUMMYFUNCTION("""COMPUTED_VALUE"""),6)</f>
        <v>6</v>
      </c>
      <c r="K1515" s="1" t="str">
        <f ca="1">IFERROR(__xludf.DUMMYFUNCTION("""COMPUTED_VALUE"""),"Fully Remote with Options to travel as and when needed")</f>
        <v>Fully Remote with Options to travel as and when needed</v>
      </c>
      <c r="L15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15" s="1" t="str">
        <f ca="1">IFERROR(__xludf.DUMMYFUNCTION("""COMPUTED_VALUE"""),"Business Operations in any organization, Design and Develop amazing software, Look deeply into Data and generate insights, Entrepreneur or Start Up")</f>
        <v>Business Operations in any organization, Design and Develop amazing software, Look deeply into Data and generate insights, Entrepreneur or Start Up</v>
      </c>
      <c r="O1515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5" s="1" t="str">
        <f ca="1">IFERROR(__xludf.DUMMYFUNCTION("""COMPUTED_VALUE"""),"Work alone, Work with more than 10 people in my team")</f>
        <v>Work alone, Work with more than 10 people in my team</v>
      </c>
      <c r="Q1515" s="1" t="str">
        <f ca="1">IFERROR(__xludf.DUMMYFUNCTION("""COMPUTED_VALUE"""),"Yes, I Understand this is gonna happen everywhere")</f>
        <v>Yes, I Understand this is gonna happen everywhere</v>
      </c>
      <c r="R1515" s="1" t="str">
        <f ca="1">IFERROR(__xludf.DUMMYFUNCTION("""COMPUTED_VALUE"""),"This will be hard to do, but if it is the right company I would try")</f>
        <v>This will be hard to do, but if it is the right company I would try</v>
      </c>
      <c r="S1515" s="1"/>
    </row>
    <row r="1516" spans="1:19" ht="12.5" x14ac:dyDescent="0.25">
      <c r="A1516" s="2">
        <f ca="1">IFERROR(__xludf.DUMMYFUNCTION("""COMPUTED_VALUE"""),45045.6504436574)</f>
        <v>45045.650443657403</v>
      </c>
      <c r="B1516" s="1" t="str">
        <f ca="1">IFERROR(__xludf.DUMMYFUNCTION("""COMPUTED_VALUE"""),"India")</f>
        <v>India</v>
      </c>
      <c r="C1516" s="1">
        <f ca="1">IFERROR(__xludf.DUMMYFUNCTION("""COMPUTED_VALUE"""),560107)</f>
        <v>560107</v>
      </c>
      <c r="D1516" s="1" t="str">
        <f ca="1">IFERROR(__xludf.DUMMYFUNCTION("""COMPUTED_VALUE"""),"Male")</f>
        <v>Male</v>
      </c>
      <c r="E1516" s="1" t="str">
        <f ca="1">IFERROR(__xludf.DUMMYFUNCTION("""COMPUTED_VALUE"""),"People who have changed the world for better")</f>
        <v>People who have changed the world for better</v>
      </c>
      <c r="F1516" s="1" t="str">
        <f ca="1">IFERROR(__xludf.DUMMYFUNCTION("""COMPUTED_VALUE"""),"Yes, I will earn and do that")</f>
        <v>Yes, I will earn and do that</v>
      </c>
      <c r="G1516" s="1" t="str">
        <f ca="1">IFERROR(__xludf.DUMMYFUNCTION("""COMPUTED_VALUE"""),"This will be hard to do, but if it is the right company I would try")</f>
        <v>This will be hard to do, but if it is the right company I would try</v>
      </c>
      <c r="H1516" s="1" t="str">
        <f ca="1">IFERROR(__xludf.DUMMYFUNCTION("""COMPUTED_VALUE"""),"No")</f>
        <v>No</v>
      </c>
      <c r="I1516" s="1" t="str">
        <f ca="1">IFERROR(__xludf.DUMMYFUNCTION("""COMPUTED_VALUE"""),"Will work for them")</f>
        <v>Will work for them</v>
      </c>
      <c r="J1516" s="1">
        <f ca="1">IFERROR(__xludf.DUMMYFUNCTION("""COMPUTED_VALUE"""),7)</f>
        <v>7</v>
      </c>
      <c r="K1516" s="1" t="str">
        <f ca="1">IFERROR(__xludf.DUMMYFUNCTION("""COMPUTED_VALUE"""),"Hybrid Working Environment with more than 15 days a month at office")</f>
        <v>Hybrid Working Environment with more than 15 days a month at office</v>
      </c>
      <c r="L15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16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1516" s="1" t="str">
        <f ca="1">IFERROR(__xludf.DUMMYFUNCTION("""COMPUTED_VALUE"""),"Manager who sets goal and helps me achieve it")</f>
        <v>Manager who sets goal and helps me achieve it</v>
      </c>
      <c r="P1516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516" s="1" t="str">
        <f ca="1">IFERROR(__xludf.DUMMYFUNCTION("""COMPUTED_VALUE"""),"Yes")</f>
        <v>Yes</v>
      </c>
      <c r="R1516" s="1" t="str">
        <f ca="1">IFERROR(__xludf.DUMMYFUNCTION("""COMPUTED_VALUE"""),"This will be hard to do, but if it is the right company I would try")</f>
        <v>This will be hard to do, but if it is the right company I would try</v>
      </c>
      <c r="S1516" s="1"/>
    </row>
    <row r="1517" spans="1:19" ht="12.5" x14ac:dyDescent="0.25">
      <c r="A1517" s="2">
        <f ca="1">IFERROR(__xludf.DUMMYFUNCTION("""COMPUTED_VALUE"""),45045.6549437731)</f>
        <v>45045.654943773101</v>
      </c>
      <c r="B1517" s="1" t="str">
        <f ca="1">IFERROR(__xludf.DUMMYFUNCTION("""COMPUTED_VALUE"""),"India")</f>
        <v>India</v>
      </c>
      <c r="C1517" s="1">
        <f ca="1">IFERROR(__xludf.DUMMYFUNCTION("""COMPUTED_VALUE"""),590005)</f>
        <v>590005</v>
      </c>
      <c r="D1517" s="1" t="str">
        <f ca="1">IFERROR(__xludf.DUMMYFUNCTION("""COMPUTED_VALUE"""),"Male")</f>
        <v>Male</v>
      </c>
      <c r="E1517" s="1" t="str">
        <f ca="1">IFERROR(__xludf.DUMMYFUNCTION("""COMPUTED_VALUE"""),"Social Media like LinkedIn")</f>
        <v>Social Media like LinkedIn</v>
      </c>
      <c r="F1517" s="1" t="str">
        <f ca="1">IFERROR(__xludf.DUMMYFUNCTION("""COMPUTED_VALUE"""),"No I would not be pursuing Higher Education outside of India")</f>
        <v>No I would not be pursuing Higher Education outside of India</v>
      </c>
      <c r="G1517" s="1" t="str">
        <f ca="1">IFERROR(__xludf.DUMMYFUNCTION("""COMPUTED_VALUE"""),"Will work for 3 years or more")</f>
        <v>Will work for 3 years or more</v>
      </c>
      <c r="H1517" s="1" t="str">
        <f ca="1">IFERROR(__xludf.DUMMYFUNCTION("""COMPUTED_VALUE"""),"No")</f>
        <v>No</v>
      </c>
      <c r="I1517" s="1" t="str">
        <f ca="1">IFERROR(__xludf.DUMMYFUNCTION("""COMPUTED_VALUE"""),"Will NOT work for them")</f>
        <v>Will NOT work for them</v>
      </c>
      <c r="J1517" s="1">
        <f ca="1">IFERROR(__xludf.DUMMYFUNCTION("""COMPUTED_VALUE"""),6)</f>
        <v>6</v>
      </c>
      <c r="K1517" s="1" t="str">
        <f ca="1">IFERROR(__xludf.DUMMYFUNCTION("""COMPUTED_VALUE"""),"Hybrid Working Environment with less than 3 days a month at office")</f>
        <v>Hybrid Working Environment with less than 3 days a month at office</v>
      </c>
      <c r="L15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517" s="1" t="str">
        <f ca="1">IFERROR(__xludf.DUMMYFUNCTION("""COMPUTED_VALUE"""),"Design and Creative strategy in any company, Teaching in any of the institutes/colleges/online or offline, Design and Develop amazing software, Manufacturing / Oil and Gas/ Construction / Hard Physical Work related")</f>
        <v>Design and Creative strategy in any company, Teaching in any of the institutes/colleges/online or offline, Design and Develop amazing software, Manufacturing / Oil and Gas/ Construction / Hard Physical Work related</v>
      </c>
      <c r="O15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7" s="1" t="str">
        <f ca="1">IFERROR(__xludf.DUMMYFUNCTION("""COMPUTED_VALUE"""),"Work with more than 10 people in my team")</f>
        <v>Work with more than 10 people in my team</v>
      </c>
      <c r="Q1517" s="1" t="str">
        <f ca="1">IFERROR(__xludf.DUMMYFUNCTION("""COMPUTED_VALUE"""),"Yes, I Understand this is gonna happen everywhere")</f>
        <v>Yes, I Understand this is gonna happen everywhere</v>
      </c>
      <c r="R1517" s="1" t="str">
        <f ca="1">IFERROR(__xludf.DUMMYFUNCTION("""COMPUTED_VALUE"""),"This will be hard to do, but if it is the right company I would try")</f>
        <v>This will be hard to do, but if it is the right company I would try</v>
      </c>
      <c r="S1517" s="1"/>
    </row>
    <row r="1518" spans="1:19" ht="12.5" x14ac:dyDescent="0.25">
      <c r="A1518" s="2">
        <f ca="1">IFERROR(__xludf.DUMMYFUNCTION("""COMPUTED_VALUE"""),45045.6550591088)</f>
        <v>45045.655059108802</v>
      </c>
      <c r="B1518" s="1" t="str">
        <f ca="1">IFERROR(__xludf.DUMMYFUNCTION("""COMPUTED_VALUE"""),"India")</f>
        <v>India</v>
      </c>
      <c r="C1518" s="1">
        <f ca="1">IFERROR(__xludf.DUMMYFUNCTION("""COMPUTED_VALUE"""),533201)</f>
        <v>533201</v>
      </c>
      <c r="D1518" s="1" t="str">
        <f ca="1">IFERROR(__xludf.DUMMYFUNCTION("""COMPUTED_VALUE"""),"Male")</f>
        <v>Male</v>
      </c>
      <c r="E1518" s="1" t="str">
        <f ca="1">IFERROR(__xludf.DUMMYFUNCTION("""COMPUTED_VALUE"""),"People from my circle, but not family members")</f>
        <v>People from my circle, but not family members</v>
      </c>
      <c r="F1518" s="1" t="str">
        <f ca="1">IFERROR(__xludf.DUMMYFUNCTION("""COMPUTED_VALUE"""),"No I would not be pursuing Higher Education outside of India")</f>
        <v>No I would not be pursuing Higher Education outside of India</v>
      </c>
      <c r="G1518" s="1" t="str">
        <f ca="1">IFERROR(__xludf.DUMMYFUNCTION("""COMPUTED_VALUE"""),"Will work for 3 years or more")</f>
        <v>Will work for 3 years or more</v>
      </c>
      <c r="H1518" s="1" t="str">
        <f ca="1">IFERROR(__xludf.DUMMYFUNCTION("""COMPUTED_VALUE"""),"No")</f>
        <v>No</v>
      </c>
      <c r="I1518" s="1" t="str">
        <f ca="1">IFERROR(__xludf.DUMMYFUNCTION("""COMPUTED_VALUE"""),"Will NOT work for them")</f>
        <v>Will NOT work for them</v>
      </c>
      <c r="J1518" s="1">
        <f ca="1">IFERROR(__xludf.DUMMYFUNCTION("""COMPUTED_VALUE"""),1)</f>
        <v>1</v>
      </c>
      <c r="K1518" s="1" t="str">
        <f ca="1">IFERROR(__xludf.DUMMYFUNCTION("""COMPUTED_VALUE"""),"Every Day Office Environment")</f>
        <v>Every Day Office Environment</v>
      </c>
      <c r="L15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18" s="1" t="str">
        <f ca="1">IFERROR(__xludf.DUMMYFUNCTION("""COMPUTED_VALUE"""),"Manage and drive End-to-End Projects or Products, Build and develop a Team, Become a content Creator in some platform, An Artificial Intelligence Specialist / Talking to Robots")</f>
        <v>Manage and drive End-to-End Projects or Products, Build and develop a Team, Become a content Creator in some platform, An Artificial Intelligence Specialist / Talking to Robots</v>
      </c>
      <c r="O15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8" s="1" t="str">
        <f ca="1">IFERROR(__xludf.DUMMYFUNCTION("""COMPUTED_VALUE"""),"Work with more than 10 people in my team")</f>
        <v>Work with more than 10 people in my team</v>
      </c>
      <c r="Q1518" s="1" t="str">
        <f ca="1">IFERROR(__xludf.DUMMYFUNCTION("""COMPUTED_VALUE"""),"No")</f>
        <v>No</v>
      </c>
      <c r="R1518" s="1" t="str">
        <f ca="1">IFERROR(__xludf.DUMMYFUNCTION("""COMPUTED_VALUE"""),"Will work for 7 years or more")</f>
        <v>Will work for 7 years or more</v>
      </c>
      <c r="S1518" s="1"/>
    </row>
    <row r="1519" spans="1:19" ht="12.5" x14ac:dyDescent="0.25">
      <c r="A1519" s="2">
        <f ca="1">IFERROR(__xludf.DUMMYFUNCTION("""COMPUTED_VALUE"""),45045.657750706)</f>
        <v>45045.657750705999</v>
      </c>
      <c r="B1519" s="1" t="str">
        <f ca="1">IFERROR(__xludf.DUMMYFUNCTION("""COMPUTED_VALUE"""),"India")</f>
        <v>India</v>
      </c>
      <c r="C1519" s="1">
        <f ca="1">IFERROR(__xludf.DUMMYFUNCTION("""COMPUTED_VALUE"""),560038)</f>
        <v>560038</v>
      </c>
      <c r="D1519" s="1" t="str">
        <f ca="1">IFERROR(__xludf.DUMMYFUNCTION("""COMPUTED_VALUE"""),"Male")</f>
        <v>Male</v>
      </c>
      <c r="E1519" s="1" t="str">
        <f ca="1">IFERROR(__xludf.DUMMYFUNCTION("""COMPUTED_VALUE"""),"People from my circle, but not family members")</f>
        <v>People from my circle, but not family members</v>
      </c>
      <c r="F1519" s="1" t="str">
        <f ca="1">IFERROR(__xludf.DUMMYFUNCTION("""COMPUTED_VALUE"""),"No I would not be pursuing Higher Education outside of India")</f>
        <v>No I would not be pursuing Higher Education outside of India</v>
      </c>
      <c r="G1519" s="1" t="str">
        <f ca="1">IFERROR(__xludf.DUMMYFUNCTION("""COMPUTED_VALUE"""),"This will be hard to do, but if it is the right company I would try")</f>
        <v>This will be hard to do, but if it is the right company I would try</v>
      </c>
      <c r="H1519" s="1" t="str">
        <f ca="1">IFERROR(__xludf.DUMMYFUNCTION("""COMPUTED_VALUE"""),"Yes")</f>
        <v>Yes</v>
      </c>
      <c r="I1519" s="1" t="str">
        <f ca="1">IFERROR(__xludf.DUMMYFUNCTION("""COMPUTED_VALUE"""),"Will NOT work for them")</f>
        <v>Will NOT work for them</v>
      </c>
      <c r="J1519" s="1">
        <f ca="1">IFERROR(__xludf.DUMMYFUNCTION("""COMPUTED_VALUE"""),4)</f>
        <v>4</v>
      </c>
      <c r="K1519" s="1" t="str">
        <f ca="1">IFERROR(__xludf.DUMMYFUNCTION("""COMPUTED_VALUE"""),"Every Day Office Environment")</f>
        <v>Every Day Office Environment</v>
      </c>
      <c r="L15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19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519" s="1" t="str">
        <f ca="1">IFERROR(__xludf.DUMMYFUNCTION("""COMPUTED_VALUE"""),"Design and Creative strategy in any company, Teaching in any of the institutes/colleges/online or offline, Build and develop a Team, Work as a freelancer and do my thing my way")</f>
        <v>Design and Creative strategy in any company, Teaching in any of the institutes/colleges/online or offline, Build and develop a Team, Work as a freelancer and do my thing my way</v>
      </c>
      <c r="O151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19" s="1" t="str">
        <f ca="1">IFERROR(__xludf.DUMMYFUNCTION("""COMPUTED_VALUE"""),"Work with 2 to 3 people in my team")</f>
        <v>Work with 2 to 3 people in my team</v>
      </c>
      <c r="Q1519" s="1" t="str">
        <f ca="1">IFERROR(__xludf.DUMMYFUNCTION("""COMPUTED_VALUE"""),"Yes, I Understand this is gonna happen everywhere")</f>
        <v>Yes, I Understand this is gonna happen everywhere</v>
      </c>
      <c r="R1519" s="1" t="str">
        <f ca="1">IFERROR(__xludf.DUMMYFUNCTION("""COMPUTED_VALUE"""),"This will be hard to do, but if it is the right company I would try")</f>
        <v>This will be hard to do, but if it is the right company I would try</v>
      </c>
      <c r="S1519" s="1"/>
    </row>
    <row r="1520" spans="1:19" ht="12.5" x14ac:dyDescent="0.25">
      <c r="A1520" s="2">
        <f ca="1">IFERROR(__xludf.DUMMYFUNCTION("""COMPUTED_VALUE"""),45045.6717107523)</f>
        <v>45045.6717107523</v>
      </c>
      <c r="B1520" s="1" t="str">
        <f ca="1">IFERROR(__xludf.DUMMYFUNCTION("""COMPUTED_VALUE"""),"India")</f>
        <v>India</v>
      </c>
      <c r="C1520" s="1">
        <f ca="1">IFERROR(__xludf.DUMMYFUNCTION("""COMPUTED_VALUE"""),400103)</f>
        <v>400103</v>
      </c>
      <c r="D1520" s="1" t="str">
        <f ca="1">IFERROR(__xludf.DUMMYFUNCTION("""COMPUTED_VALUE"""),"Female")</f>
        <v>Female</v>
      </c>
      <c r="E1520" s="1" t="str">
        <f ca="1">IFERROR(__xludf.DUMMYFUNCTION("""COMPUTED_VALUE"""),"My Parents")</f>
        <v>My Parents</v>
      </c>
      <c r="F1520" s="1" t="str">
        <f ca="1">IFERROR(__xludf.DUMMYFUNCTION("""COMPUTED_VALUE"""),"No I would not be pursuing Higher Education outside of India")</f>
        <v>No I would not be pursuing Higher Education outside of India</v>
      </c>
      <c r="G1520" s="1" t="str">
        <f ca="1">IFERROR(__xludf.DUMMYFUNCTION("""COMPUTED_VALUE"""),"Will work for 3 years or more")</f>
        <v>Will work for 3 years or more</v>
      </c>
      <c r="H1520" s="1" t="str">
        <f ca="1">IFERROR(__xludf.DUMMYFUNCTION("""COMPUTED_VALUE"""),"Yes")</f>
        <v>Yes</v>
      </c>
      <c r="I1520" s="1" t="str">
        <f ca="1">IFERROR(__xludf.DUMMYFUNCTION("""COMPUTED_VALUE"""),"Will NOT work for them")</f>
        <v>Will NOT work for them</v>
      </c>
      <c r="J1520" s="1">
        <f ca="1">IFERROR(__xludf.DUMMYFUNCTION("""COMPUTED_VALUE"""),7)</f>
        <v>7</v>
      </c>
      <c r="K1520" s="1" t="str">
        <f ca="1">IFERROR(__xludf.DUMMYFUNCTION("""COMPUTED_VALUE"""),"Fully Remote with Options to travel as and when needed")</f>
        <v>Fully Remote with Options to travel as and when needed</v>
      </c>
      <c r="L15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20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520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520" s="1" t="str">
        <f ca="1">IFERROR(__xludf.DUMMYFUNCTION("""COMPUTED_VALUE"""),"Manager who explains what is expected, sets a goal and helps achieve it")</f>
        <v>Manager who explains what is expected, sets a goal and helps achieve it</v>
      </c>
      <c r="P1520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520" s="1" t="str">
        <f ca="1">IFERROR(__xludf.DUMMYFUNCTION("""COMPUTED_VALUE"""),"I have NO other choice")</f>
        <v>I have NO other choice</v>
      </c>
      <c r="R1520" s="1" t="str">
        <f ca="1">IFERROR(__xludf.DUMMYFUNCTION("""COMPUTED_VALUE"""),"This will be hard to do, but if it is the right company I would try")</f>
        <v>This will be hard to do, but if it is the right company I would try</v>
      </c>
      <c r="S1520" s="1"/>
    </row>
    <row r="1521" spans="1:19" ht="12.5" x14ac:dyDescent="0.25">
      <c r="A1521" s="2">
        <f ca="1">IFERROR(__xludf.DUMMYFUNCTION("""COMPUTED_VALUE"""),45045.686766331)</f>
        <v>45045.686766330997</v>
      </c>
      <c r="B1521" s="1" t="str">
        <f ca="1">IFERROR(__xludf.DUMMYFUNCTION("""COMPUTED_VALUE"""),"India")</f>
        <v>India</v>
      </c>
      <c r="C1521" s="1">
        <f ca="1">IFERROR(__xludf.DUMMYFUNCTION("""COMPUTED_VALUE"""),410210)</f>
        <v>410210</v>
      </c>
      <c r="D1521" s="1" t="str">
        <f ca="1">IFERROR(__xludf.DUMMYFUNCTION("""COMPUTED_VALUE"""),"Male")</f>
        <v>Male</v>
      </c>
      <c r="E1521" s="1" t="str">
        <f ca="1">IFERROR(__xludf.DUMMYFUNCTION("""COMPUTED_VALUE"""),"People from my circle, but not family members")</f>
        <v>People from my circle, but not family members</v>
      </c>
      <c r="F1521" s="1" t="str">
        <f ca="1">IFERROR(__xludf.DUMMYFUNCTION("""COMPUTED_VALUE"""),"No I would not be pursuing Higher Education outside of India")</f>
        <v>No I would not be pursuing Higher Education outside of India</v>
      </c>
      <c r="G1521" s="1" t="str">
        <f ca="1">IFERROR(__xludf.DUMMYFUNCTION("""COMPUTED_VALUE"""),"Will work for 3 years or more")</f>
        <v>Will work for 3 years or more</v>
      </c>
      <c r="H1521" s="1" t="str">
        <f ca="1">IFERROR(__xludf.DUMMYFUNCTION("""COMPUTED_VALUE"""),"Yes")</f>
        <v>Yes</v>
      </c>
      <c r="I1521" s="1" t="str">
        <f ca="1">IFERROR(__xludf.DUMMYFUNCTION("""COMPUTED_VALUE"""),"Will NOT work for them")</f>
        <v>Will NOT work for them</v>
      </c>
      <c r="J1521" s="1">
        <f ca="1">IFERROR(__xludf.DUMMYFUNCTION("""COMPUTED_VALUE"""),8)</f>
        <v>8</v>
      </c>
      <c r="K1521" s="1" t="str">
        <f ca="1">IFERROR(__xludf.DUMMYFUNCTION("""COMPUTED_VALUE"""),"Fully Remote with Options to travel as and when needed")</f>
        <v>Fully Remote with Options to travel as and when needed</v>
      </c>
      <c r="L15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2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21" s="1" t="str">
        <f ca="1">IFERROR(__xludf.DUMMYFUNCTION("""COMPUTED_VALUE"""),"Design and Creative strategy in any company, Manage and drive End-to-End Projects or Products, Build and develop a Team, An Artificial Intelligence Specialist / Talking to Robots")</f>
        <v>Design and Creative strategy in any company, Manage and drive End-to-End Projects or Products, Build and develop a Team, An Artificial Intelligence Specialist / Talking to Robots</v>
      </c>
      <c r="O152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21" s="1" t="str">
        <f ca="1">IFERROR(__xludf.DUMMYFUNCTION("""COMPUTED_VALUE"""),"Work with more than 10 people in my team")</f>
        <v>Work with more than 10 people in my team</v>
      </c>
      <c r="Q1521" s="1" t="str">
        <f ca="1">IFERROR(__xludf.DUMMYFUNCTION("""COMPUTED_VALUE"""),"Yes, I Understand this is gonna happen everywhere")</f>
        <v>Yes, I Understand this is gonna happen everywhere</v>
      </c>
      <c r="R1521" s="1" t="str">
        <f ca="1">IFERROR(__xludf.DUMMYFUNCTION("""COMPUTED_VALUE"""),"This will be hard to do, but if it is the right company I would try")</f>
        <v>This will be hard to do, but if it is the right company I would try</v>
      </c>
      <c r="S1521" s="1"/>
    </row>
    <row r="1522" spans="1:19" ht="12.5" x14ac:dyDescent="0.25">
      <c r="A1522" s="2">
        <f ca="1">IFERROR(__xludf.DUMMYFUNCTION("""COMPUTED_VALUE"""),45045.6906418055)</f>
        <v>45045.6906418055</v>
      </c>
      <c r="B1522" s="1" t="str">
        <f ca="1">IFERROR(__xludf.DUMMYFUNCTION("""COMPUTED_VALUE"""),"India")</f>
        <v>India</v>
      </c>
      <c r="C1522" s="1">
        <f ca="1">IFERROR(__xludf.DUMMYFUNCTION("""COMPUTED_VALUE"""),400709)</f>
        <v>400709</v>
      </c>
      <c r="D1522" s="1" t="str">
        <f ca="1">IFERROR(__xludf.DUMMYFUNCTION("""COMPUTED_VALUE"""),"Male")</f>
        <v>Male</v>
      </c>
      <c r="E1522" s="1" t="str">
        <f ca="1">IFERROR(__xludf.DUMMYFUNCTION("""COMPUTED_VALUE"""),"My Parents")</f>
        <v>My Parents</v>
      </c>
      <c r="F1522" s="1" t="str">
        <f ca="1">IFERROR(__xludf.DUMMYFUNCTION("""COMPUTED_VALUE"""),"No I would not be pursuing Higher Education outside of India")</f>
        <v>No I would not be pursuing Higher Education outside of India</v>
      </c>
      <c r="G1522" s="1" t="str">
        <f ca="1">IFERROR(__xludf.DUMMYFUNCTION("""COMPUTED_VALUE"""),"No way")</f>
        <v>No way</v>
      </c>
      <c r="H1522" s="1" t="str">
        <f ca="1">IFERROR(__xludf.DUMMYFUNCTION("""COMPUTED_VALUE"""),"Yes")</f>
        <v>Yes</v>
      </c>
      <c r="I1522" s="1" t="str">
        <f ca="1">IFERROR(__xludf.DUMMYFUNCTION("""COMPUTED_VALUE"""),"Will work for them")</f>
        <v>Will work for them</v>
      </c>
      <c r="J1522" s="1">
        <f ca="1">IFERROR(__xludf.DUMMYFUNCTION("""COMPUTED_VALUE"""),10)</f>
        <v>10</v>
      </c>
      <c r="K1522" s="1" t="str">
        <f ca="1">IFERROR(__xludf.DUMMYFUNCTION("""COMPUTED_VALUE"""),"Every Day Office Environment")</f>
        <v>Every Day Office Environment</v>
      </c>
      <c r="L1522" s="1" t="str">
        <f ca="1">IFERROR(__xludf.DUMMYFUNCTION("""COMPUTED_VALUE"""),"Employer who appreciates learning and enables that environment")</f>
        <v>Employer who appreciates learning and enables that environment</v>
      </c>
      <c r="M152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22" s="1" t="str">
        <f ca="1">IFERROR(__xludf.DUMMYFUNCTION("""COMPUTED_VALUE"""),"Business Operations in any organization, Entrepreneur or Start Up, I Want to sell things/Sales, An Artificial Intelligence Specialist / Talking to Robots")</f>
        <v>Business Operations in any organization, Entrepreneur or Start Up, I Want to sell things/Sales, An Artificial Intelligence Specialist / Talking to Robots</v>
      </c>
      <c r="O1522" s="1" t="str">
        <f ca="1">IFERROR(__xludf.DUMMYFUNCTION("""COMPUTED_VALUE"""),"Manager who sets goal and helps me achieve it")</f>
        <v>Manager who sets goal and helps me achieve it</v>
      </c>
      <c r="P1522" s="1" t="str">
        <f ca="1">IFERROR(__xludf.DUMMYFUNCTION("""COMPUTED_VALUE"""),"Work alone, Work with 2 to 3 people in my team")</f>
        <v>Work alone, Work with 2 to 3 people in my team</v>
      </c>
      <c r="Q1522" s="1" t="str">
        <f ca="1">IFERROR(__xludf.DUMMYFUNCTION("""COMPUTED_VALUE"""),"Yes")</f>
        <v>Yes</v>
      </c>
      <c r="R1522" s="1" t="str">
        <f ca="1">IFERROR(__xludf.DUMMYFUNCTION("""COMPUTED_VALUE"""),"No way")</f>
        <v>No way</v>
      </c>
      <c r="S1522" s="1"/>
    </row>
    <row r="1523" spans="1:19" ht="12.5" x14ac:dyDescent="0.25">
      <c r="A1523" s="2">
        <f ca="1">IFERROR(__xludf.DUMMYFUNCTION("""COMPUTED_VALUE"""),45045.7052571064)</f>
        <v>45045.705257106398</v>
      </c>
      <c r="B1523" s="1" t="str">
        <f ca="1">IFERROR(__xludf.DUMMYFUNCTION("""COMPUTED_VALUE"""),"India")</f>
        <v>India</v>
      </c>
      <c r="C1523" s="1">
        <f ca="1">IFERROR(__xludf.DUMMYFUNCTION("""COMPUTED_VALUE"""),147003)</f>
        <v>147003</v>
      </c>
      <c r="D1523" s="1" t="str">
        <f ca="1">IFERROR(__xludf.DUMMYFUNCTION("""COMPUTED_VALUE"""),"Male")</f>
        <v>Male</v>
      </c>
      <c r="E1523" s="1" t="str">
        <f ca="1">IFERROR(__xludf.DUMMYFUNCTION("""COMPUTED_VALUE"""),"People from my circle, but not family members")</f>
        <v>People from my circle, but not family members</v>
      </c>
      <c r="F1523" s="1" t="str">
        <f ca="1">IFERROR(__xludf.DUMMYFUNCTION("""COMPUTED_VALUE"""),"No I would not be pursuing Higher Education outside of India")</f>
        <v>No I would not be pursuing Higher Education outside of India</v>
      </c>
      <c r="G1523" s="1" t="str">
        <f ca="1">IFERROR(__xludf.DUMMYFUNCTION("""COMPUTED_VALUE"""),"This will be hard to do, but if it is the right company I would try")</f>
        <v>This will be hard to do, but if it is the right company I would try</v>
      </c>
      <c r="H1523" s="1" t="str">
        <f ca="1">IFERROR(__xludf.DUMMYFUNCTION("""COMPUTED_VALUE"""),"No")</f>
        <v>No</v>
      </c>
      <c r="I1523" s="1" t="str">
        <f ca="1">IFERROR(__xludf.DUMMYFUNCTION("""COMPUTED_VALUE"""),"Will NOT work for them")</f>
        <v>Will NOT work for them</v>
      </c>
      <c r="J1523" s="1">
        <f ca="1">IFERROR(__xludf.DUMMYFUNCTION("""COMPUTED_VALUE"""),7)</f>
        <v>7</v>
      </c>
      <c r="K1523" s="1" t="str">
        <f ca="1">IFERROR(__xludf.DUMMYFUNCTION("""COMPUTED_VALUE"""),"Hybrid Working Environment with more than 15 days a month at office")</f>
        <v>Hybrid Working Environment with more than 15 days a month at office</v>
      </c>
      <c r="L15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2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52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52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23" s="1" t="str">
        <f ca="1">IFERROR(__xludf.DUMMYFUNCTION("""COMPUTED_VALUE"""),"Work alone, Work with 2 to 3 people in my team")</f>
        <v>Work alone, Work with 2 to 3 people in my team</v>
      </c>
      <c r="Q1523" s="1" t="str">
        <f ca="1">IFERROR(__xludf.DUMMYFUNCTION("""COMPUTED_VALUE"""),"No")</f>
        <v>No</v>
      </c>
      <c r="R1523" s="1" t="str">
        <f ca="1">IFERROR(__xludf.DUMMYFUNCTION("""COMPUTED_VALUE"""),"This will be hard to do, but if it is the right company I would try")</f>
        <v>This will be hard to do, but if it is the right company I would try</v>
      </c>
      <c r="S1523" s="1"/>
    </row>
    <row r="1524" spans="1:19" ht="12.5" x14ac:dyDescent="0.25">
      <c r="A1524" s="2">
        <f ca="1">IFERROR(__xludf.DUMMYFUNCTION("""COMPUTED_VALUE"""),45045.7074385648)</f>
        <v>45045.707438564801</v>
      </c>
      <c r="B1524" s="1" t="str">
        <f ca="1">IFERROR(__xludf.DUMMYFUNCTION("""COMPUTED_VALUE"""),"India")</f>
        <v>India</v>
      </c>
      <c r="C1524" s="1">
        <f ca="1">IFERROR(__xludf.DUMMYFUNCTION("""COMPUTED_VALUE"""),456010)</f>
        <v>456010</v>
      </c>
      <c r="D1524" s="1" t="str">
        <f ca="1">IFERROR(__xludf.DUMMYFUNCTION("""COMPUTED_VALUE"""),"Female")</f>
        <v>Female</v>
      </c>
      <c r="E1524" s="1" t="str">
        <f ca="1">IFERROR(__xludf.DUMMYFUNCTION("""COMPUTED_VALUE"""),"Social Media like LinkedIn")</f>
        <v>Social Media like LinkedIn</v>
      </c>
      <c r="F1524" s="1" t="str">
        <f ca="1">IFERROR(__xludf.DUMMYFUNCTION("""COMPUTED_VALUE"""),"Yes, I will earn and do that")</f>
        <v>Yes, I will earn and do that</v>
      </c>
      <c r="G1524" s="1" t="str">
        <f ca="1">IFERROR(__xludf.DUMMYFUNCTION("""COMPUTED_VALUE"""),"This will be hard to do, but if it is the right company I would try")</f>
        <v>This will be hard to do, but if it is the right company I would try</v>
      </c>
      <c r="H1524" s="1" t="str">
        <f ca="1">IFERROR(__xludf.DUMMYFUNCTION("""COMPUTED_VALUE"""),"No")</f>
        <v>No</v>
      </c>
      <c r="I1524" s="1" t="str">
        <f ca="1">IFERROR(__xludf.DUMMYFUNCTION("""COMPUTED_VALUE"""),"Will NOT work for them")</f>
        <v>Will NOT work for them</v>
      </c>
      <c r="J1524" s="1">
        <f ca="1">IFERROR(__xludf.DUMMYFUNCTION("""COMPUTED_VALUE"""),5)</f>
        <v>5</v>
      </c>
      <c r="K1524" s="1" t="str">
        <f ca="1">IFERROR(__xludf.DUMMYFUNCTION("""COMPUTED_VALUE"""),"Hybrid Working Environment with more than 15 days a month at office")</f>
        <v>Hybrid Working Environment with more than 15 days a month at office</v>
      </c>
      <c r="L15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2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24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1524" s="1" t="str">
        <f ca="1">IFERROR(__xludf.DUMMYFUNCTION("""COMPUTED_VALUE"""),"Manager who sets goal and helps me achieve it")</f>
        <v>Manager who sets goal and helps me achieve it</v>
      </c>
      <c r="P1524" s="1" t="str">
        <f ca="1">IFERROR(__xludf.DUMMYFUNCTION("""COMPUTED_VALUE"""),"Work with 2 to 3 people in my team, Work with 5 to 6 people in my team")</f>
        <v>Work with 2 to 3 people in my team, Work with 5 to 6 people in my team</v>
      </c>
      <c r="Q1524" s="1" t="str">
        <f ca="1">IFERROR(__xludf.DUMMYFUNCTION("""COMPUTED_VALUE"""),"I have NO other choice")</f>
        <v>I have NO other choice</v>
      </c>
      <c r="R1524" s="1" t="str">
        <f ca="1">IFERROR(__xludf.DUMMYFUNCTION("""COMPUTED_VALUE"""),"This will be hard to do, but if it is the right company I would try")</f>
        <v>This will be hard to do, but if it is the right company I would try</v>
      </c>
      <c r="S1524" s="1"/>
    </row>
    <row r="1525" spans="1:19" ht="12.5" x14ac:dyDescent="0.25">
      <c r="A1525" s="2">
        <f ca="1">IFERROR(__xludf.DUMMYFUNCTION("""COMPUTED_VALUE"""),45045.7078788657)</f>
        <v>45045.707878865702</v>
      </c>
      <c r="B1525" s="1" t="str">
        <f ca="1">IFERROR(__xludf.DUMMYFUNCTION("""COMPUTED_VALUE"""),"India")</f>
        <v>India</v>
      </c>
      <c r="C1525" s="1">
        <f ca="1">IFERROR(__xludf.DUMMYFUNCTION("""COMPUTED_VALUE"""),142026)</f>
        <v>142026</v>
      </c>
      <c r="D1525" s="1" t="str">
        <f ca="1">IFERROR(__xludf.DUMMYFUNCTION("""COMPUTED_VALUE"""),"Female")</f>
        <v>Female</v>
      </c>
      <c r="E1525" s="1" t="str">
        <f ca="1">IFERROR(__xludf.DUMMYFUNCTION("""COMPUTED_VALUE"""),"People who have changed the world for better")</f>
        <v>People who have changed the world for better</v>
      </c>
      <c r="F1525" s="1" t="str">
        <f ca="1">IFERROR(__xludf.DUMMYFUNCTION("""COMPUTED_VALUE"""),"Yes, I will earn and do that")</f>
        <v>Yes, I will earn and do that</v>
      </c>
      <c r="G1525" s="1" t="str">
        <f ca="1">IFERROR(__xludf.DUMMYFUNCTION("""COMPUTED_VALUE"""),"Will work for 3 years or more")</f>
        <v>Will work for 3 years or more</v>
      </c>
      <c r="H1525" s="1" t="str">
        <f ca="1">IFERROR(__xludf.DUMMYFUNCTION("""COMPUTED_VALUE"""),"No")</f>
        <v>No</v>
      </c>
      <c r="I1525" s="1" t="str">
        <f ca="1">IFERROR(__xludf.DUMMYFUNCTION("""COMPUTED_VALUE"""),"Will NOT work for them")</f>
        <v>Will NOT work for them</v>
      </c>
      <c r="J1525" s="1">
        <f ca="1">IFERROR(__xludf.DUMMYFUNCTION("""COMPUTED_VALUE"""),4)</f>
        <v>4</v>
      </c>
      <c r="K1525" s="1" t="str">
        <f ca="1">IFERROR(__xludf.DUMMYFUNCTION("""COMPUTED_VALUE"""),"Fully Remote with Options to travel as and when needed")</f>
        <v>Fully Remote with Options to travel as and when needed</v>
      </c>
      <c r="L15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2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525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525" s="1" t="str">
        <f ca="1">IFERROR(__xludf.DUMMYFUNCTION("""COMPUTED_VALUE"""),"Manager who explains what is expected, sets a goal and helps achieve it")</f>
        <v>Manager who explains what is expected, sets a goal and helps achieve it</v>
      </c>
      <c r="P1525" s="1" t="str">
        <f ca="1">IFERROR(__xludf.DUMMYFUNCTION("""COMPUTED_VALUE"""),"Work with 2 to 3 people in my team")</f>
        <v>Work with 2 to 3 people in my team</v>
      </c>
      <c r="Q1525" s="1" t="str">
        <f ca="1">IFERROR(__xludf.DUMMYFUNCTION("""COMPUTED_VALUE"""),"No")</f>
        <v>No</v>
      </c>
      <c r="R1525" s="1" t="str">
        <f ca="1">IFERROR(__xludf.DUMMYFUNCTION("""COMPUTED_VALUE"""),"This will be hard to do, but if it is the right company I would try")</f>
        <v>This will be hard to do, but if it is the right company I would try</v>
      </c>
      <c r="S1525" s="1"/>
    </row>
    <row r="1526" spans="1:19" ht="12.5" x14ac:dyDescent="0.25">
      <c r="A1526" s="2">
        <f ca="1">IFERROR(__xludf.DUMMYFUNCTION("""COMPUTED_VALUE"""),45045.7144385879)</f>
        <v>45045.7144385879</v>
      </c>
      <c r="B1526" s="1" t="str">
        <f ca="1">IFERROR(__xludf.DUMMYFUNCTION("""COMPUTED_VALUE"""),"India")</f>
        <v>India</v>
      </c>
      <c r="C1526" s="1">
        <f ca="1">IFERROR(__xludf.DUMMYFUNCTION("""COMPUTED_VALUE"""),605004)</f>
        <v>605004</v>
      </c>
      <c r="D1526" s="1" t="str">
        <f ca="1">IFERROR(__xludf.DUMMYFUNCTION("""COMPUTED_VALUE"""),"Female")</f>
        <v>Female</v>
      </c>
      <c r="E1526" s="1" t="str">
        <f ca="1">IFERROR(__xludf.DUMMYFUNCTION("""COMPUTED_VALUE"""),"Influencers who had successful careers")</f>
        <v>Influencers who had successful careers</v>
      </c>
      <c r="F1526" s="1" t="str">
        <f ca="1">IFERROR(__xludf.DUMMYFUNCTION("""COMPUTED_VALUE"""),"No, But if someone could bare the cost I will")</f>
        <v>No, But if someone could bare the cost I will</v>
      </c>
      <c r="G1526" s="1" t="str">
        <f ca="1">IFERROR(__xludf.DUMMYFUNCTION("""COMPUTED_VALUE"""),"This will be hard to do, but if it is the right company I would try")</f>
        <v>This will be hard to do, but if it is the right company I would try</v>
      </c>
      <c r="H1526" s="1" t="str">
        <f ca="1">IFERROR(__xludf.DUMMYFUNCTION("""COMPUTED_VALUE"""),"No")</f>
        <v>No</v>
      </c>
      <c r="I1526" s="1" t="str">
        <f ca="1">IFERROR(__xludf.DUMMYFUNCTION("""COMPUTED_VALUE"""),"Will NOT work for them")</f>
        <v>Will NOT work for them</v>
      </c>
      <c r="J1526" s="1">
        <f ca="1">IFERROR(__xludf.DUMMYFUNCTION("""COMPUTED_VALUE"""),8)</f>
        <v>8</v>
      </c>
      <c r="K1526" s="1" t="str">
        <f ca="1">IFERROR(__xludf.DUMMYFUNCTION("""COMPUTED_VALUE"""),"Fully Remote with Options to travel as and when needed")</f>
        <v>Fully Remote with Options to travel as and when needed</v>
      </c>
      <c r="L15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2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26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5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526" s="1" t="str">
        <f ca="1">IFERROR(__xludf.DUMMYFUNCTION("""COMPUTED_VALUE"""),"Work with 5 to 6 people in my team")</f>
        <v>Work with 5 to 6 people in my team</v>
      </c>
      <c r="Q1526" s="1" t="str">
        <f ca="1">IFERROR(__xludf.DUMMYFUNCTION("""COMPUTED_VALUE"""),"Yes, I Understand this is gonna happen everywhere")</f>
        <v>Yes, I Understand this is gonna happen everywhere</v>
      </c>
      <c r="R1526" s="1" t="str">
        <f ca="1">IFERROR(__xludf.DUMMYFUNCTION("""COMPUTED_VALUE"""),"No way")</f>
        <v>No way</v>
      </c>
      <c r="S1526" s="1"/>
    </row>
    <row r="1527" spans="1:19" ht="12.5" x14ac:dyDescent="0.25">
      <c r="A1527" s="2">
        <f ca="1">IFERROR(__xludf.DUMMYFUNCTION("""COMPUTED_VALUE"""),45045.7155325231)</f>
        <v>45045.7155325231</v>
      </c>
      <c r="B1527" s="1" t="str">
        <f ca="1">IFERROR(__xludf.DUMMYFUNCTION("""COMPUTED_VALUE"""),"India")</f>
        <v>India</v>
      </c>
      <c r="C1527" s="1">
        <f ca="1">IFERROR(__xludf.DUMMYFUNCTION("""COMPUTED_VALUE"""),456010)</f>
        <v>456010</v>
      </c>
      <c r="D1527" s="1" t="str">
        <f ca="1">IFERROR(__xludf.DUMMYFUNCTION("""COMPUTED_VALUE"""),"Female")</f>
        <v>Female</v>
      </c>
      <c r="E1527" s="1" t="str">
        <f ca="1">IFERROR(__xludf.DUMMYFUNCTION("""COMPUTED_VALUE"""),"My Parents")</f>
        <v>My Parents</v>
      </c>
      <c r="F1527" s="1" t="str">
        <f ca="1">IFERROR(__xludf.DUMMYFUNCTION("""COMPUTED_VALUE"""),"No, But if someone could bare the cost I will")</f>
        <v>No, But if someone could bare the cost I will</v>
      </c>
      <c r="G1527" s="1" t="str">
        <f ca="1">IFERROR(__xludf.DUMMYFUNCTION("""COMPUTED_VALUE"""),"Will work for 3 years or more")</f>
        <v>Will work for 3 years or more</v>
      </c>
      <c r="H1527" s="1" t="str">
        <f ca="1">IFERROR(__xludf.DUMMYFUNCTION("""COMPUTED_VALUE"""),"No")</f>
        <v>No</v>
      </c>
      <c r="I1527" s="1" t="str">
        <f ca="1">IFERROR(__xludf.DUMMYFUNCTION("""COMPUTED_VALUE"""),"Will NOT work for them")</f>
        <v>Will NOT work for them</v>
      </c>
      <c r="J1527" s="1">
        <f ca="1">IFERROR(__xludf.DUMMYFUNCTION("""COMPUTED_VALUE"""),1)</f>
        <v>1</v>
      </c>
      <c r="K1527" s="1" t="str">
        <f ca="1">IFERROR(__xludf.DUMMYFUNCTION("""COMPUTED_VALUE"""),"Fully Remote with No option to visit offices")</f>
        <v>Fully Remote with No option to visit offices</v>
      </c>
      <c r="L1527" s="1" t="str">
        <f ca="1">IFERROR(__xludf.DUMMYFUNCTION("""COMPUTED_VALUE"""),"Employer who rewards learning and enables that environment")</f>
        <v>Employer who rewards learning and enables that environment</v>
      </c>
      <c r="M152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527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1527" s="1" t="str">
        <f ca="1">IFERROR(__xludf.DUMMYFUNCTION("""COMPUTED_VALUE"""),"Manager who clearly describes what she/he needs")</f>
        <v>Manager who clearly describes what she/he needs</v>
      </c>
      <c r="P1527" s="1" t="str">
        <f ca="1">IFERROR(__xludf.DUMMYFUNCTION("""COMPUTED_VALUE"""),"Work alone")</f>
        <v>Work alone</v>
      </c>
      <c r="Q1527" s="1" t="str">
        <f ca="1">IFERROR(__xludf.DUMMYFUNCTION("""COMPUTED_VALUE"""),"No")</f>
        <v>No</v>
      </c>
      <c r="R1527" s="1" t="str">
        <f ca="1">IFERROR(__xludf.DUMMYFUNCTION("""COMPUTED_VALUE"""),"Will work for 7 years or more")</f>
        <v>Will work for 7 years or more</v>
      </c>
      <c r="S1527" s="1"/>
    </row>
    <row r="1528" spans="1:19" ht="12.5" x14ac:dyDescent="0.25">
      <c r="A1528" s="2">
        <f ca="1">IFERROR(__xludf.DUMMYFUNCTION("""COMPUTED_VALUE"""),45045.7192017013)</f>
        <v>45045.7192017013</v>
      </c>
      <c r="B1528" s="1" t="str">
        <f ca="1">IFERROR(__xludf.DUMMYFUNCTION("""COMPUTED_VALUE"""),"India")</f>
        <v>India</v>
      </c>
      <c r="C1528" s="1">
        <f ca="1">IFERROR(__xludf.DUMMYFUNCTION("""COMPUTED_VALUE"""),456006)</f>
        <v>456006</v>
      </c>
      <c r="D1528" s="1" t="str">
        <f ca="1">IFERROR(__xludf.DUMMYFUNCTION("""COMPUTED_VALUE"""),"Male")</f>
        <v>Male</v>
      </c>
      <c r="E1528" s="1" t="str">
        <f ca="1">IFERROR(__xludf.DUMMYFUNCTION("""COMPUTED_VALUE"""),"My Parents")</f>
        <v>My Parents</v>
      </c>
      <c r="F1528" s="1" t="str">
        <f ca="1">IFERROR(__xludf.DUMMYFUNCTION("""COMPUTED_VALUE"""),"Yes, I will earn and do that")</f>
        <v>Yes, I will earn and do that</v>
      </c>
      <c r="G1528" s="1" t="str">
        <f ca="1">IFERROR(__xludf.DUMMYFUNCTION("""COMPUTED_VALUE"""),"No way")</f>
        <v>No way</v>
      </c>
      <c r="H1528" s="1" t="str">
        <f ca="1">IFERROR(__xludf.DUMMYFUNCTION("""COMPUTED_VALUE"""),"Yes")</f>
        <v>Yes</v>
      </c>
      <c r="I1528" s="1" t="str">
        <f ca="1">IFERROR(__xludf.DUMMYFUNCTION("""COMPUTED_VALUE"""),"Will work for them")</f>
        <v>Will work for them</v>
      </c>
      <c r="J1528" s="1">
        <f ca="1">IFERROR(__xludf.DUMMYFUNCTION("""COMPUTED_VALUE"""),1)</f>
        <v>1</v>
      </c>
      <c r="K1528" s="1" t="str">
        <f ca="1">IFERROR(__xludf.DUMMYFUNCTION("""COMPUTED_VALUE"""),"Every Day Office Environment")</f>
        <v>Every Day Office Environment</v>
      </c>
      <c r="L1528" s="1" t="str">
        <f ca="1">IFERROR(__xludf.DUMMYFUNCTION("""COMPUTED_VALUE"""),"Employer who appreciates learning and enables that environment")</f>
        <v>Employer who appreciates learning and enables that environment</v>
      </c>
      <c r="M1528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528" s="1" t="str">
        <f ca="1">IFERROR(__xludf.DUMMYFUNCTION("""COMPUTED_VALUE"""),"Design and Creative strategy in any company, Business Operations in any organization, Manage and drive End-to-End Projects or Products, Manufacturing / Oil and Gas/ Construction / Hard Physical Work related")</f>
        <v>Design and Creative strategy in any company, Business Operations in any organization, Manage and drive End-to-End Projects or Products, Manufacturing / Oil and Gas/ Construction / Hard Physical Work related</v>
      </c>
      <c r="O1528" s="1" t="str">
        <f ca="1">IFERROR(__xludf.DUMMYFUNCTION("""COMPUTED_VALUE"""),"Manager who clearly describes what she/he needs")</f>
        <v>Manager who clearly describes what she/he needs</v>
      </c>
      <c r="P1528" s="1" t="str">
        <f ca="1">IFERROR(__xludf.DUMMYFUNCTION("""COMPUTED_VALUE"""),"Work with 2 to 3 people in my team")</f>
        <v>Work with 2 to 3 people in my team</v>
      </c>
      <c r="Q1528" s="1" t="str">
        <f ca="1">IFERROR(__xludf.DUMMYFUNCTION("""COMPUTED_VALUE"""),"Yes")</f>
        <v>Yes</v>
      </c>
      <c r="R1528" s="1" t="str">
        <f ca="1">IFERROR(__xludf.DUMMYFUNCTION("""COMPUTED_VALUE"""),"No way")</f>
        <v>No way</v>
      </c>
      <c r="S1528" s="1"/>
    </row>
    <row r="1529" spans="1:19" ht="12.5" x14ac:dyDescent="0.25">
      <c r="A1529" s="2">
        <f ca="1">IFERROR(__xludf.DUMMYFUNCTION("""COMPUTED_VALUE"""),45045.7210609027)</f>
        <v>45045.721060902702</v>
      </c>
      <c r="B1529" s="1" t="str">
        <f ca="1">IFERROR(__xludf.DUMMYFUNCTION("""COMPUTED_VALUE"""),"India")</f>
        <v>India</v>
      </c>
      <c r="C1529" s="1">
        <f ca="1">IFERROR(__xludf.DUMMYFUNCTION("""COMPUTED_VALUE"""),452010)</f>
        <v>452010</v>
      </c>
      <c r="D1529" s="1" t="str">
        <f ca="1">IFERROR(__xludf.DUMMYFUNCTION("""COMPUTED_VALUE"""),"Male")</f>
        <v>Male</v>
      </c>
      <c r="E1529" s="1" t="str">
        <f ca="1">IFERROR(__xludf.DUMMYFUNCTION("""COMPUTED_VALUE"""),"People from my circle, but not family members")</f>
        <v>People from my circle, but not family members</v>
      </c>
      <c r="F1529" s="1" t="str">
        <f ca="1">IFERROR(__xludf.DUMMYFUNCTION("""COMPUTED_VALUE"""),"No I would not be pursuing Higher Education outside of India")</f>
        <v>No I would not be pursuing Higher Education outside of India</v>
      </c>
      <c r="G1529" s="1" t="str">
        <f ca="1">IFERROR(__xludf.DUMMYFUNCTION("""COMPUTED_VALUE"""),"Will work for 3 years or more")</f>
        <v>Will work for 3 years or more</v>
      </c>
      <c r="H1529" s="1" t="str">
        <f ca="1">IFERROR(__xludf.DUMMYFUNCTION("""COMPUTED_VALUE"""),"No")</f>
        <v>No</v>
      </c>
      <c r="I1529" s="1" t="str">
        <f ca="1">IFERROR(__xludf.DUMMYFUNCTION("""COMPUTED_VALUE"""),"Will NOT work for them")</f>
        <v>Will NOT work for them</v>
      </c>
      <c r="J1529" s="1">
        <f ca="1">IFERROR(__xludf.DUMMYFUNCTION("""COMPUTED_VALUE"""),10)</f>
        <v>10</v>
      </c>
      <c r="K1529" s="1" t="str">
        <f ca="1">IFERROR(__xludf.DUMMYFUNCTION("""COMPUTED_VALUE"""),"Fully Remote with Options to travel as and when needed")</f>
        <v>Fully Remote with Options to travel as and when needed</v>
      </c>
      <c r="L1529" s="1" t="str">
        <f ca="1">IFERROR(__xludf.DUMMYFUNCTION("""COMPUTED_VALUE"""),"Employer who appreciates learning and enables that environment")</f>
        <v>Employer who appreciates learning and enables that environment</v>
      </c>
      <c r="M1529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1529" s="1" t="str">
        <f ca="1">IFERROR(__xludf.DUMMYFUNCTION("""COMPUTED_VALUE"""),"Design and Creative strategy in any company, Business Operations in any organization, Build and develop a Team, I Want to sell things/Sales")</f>
        <v>Design and Creative strategy in any company, Business Operations in any organization, Build and develop a Team, I Want to sell things/Sales</v>
      </c>
      <c r="O152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29" s="1" t="str">
        <f ca="1">IFERROR(__xludf.DUMMYFUNCTION("""COMPUTED_VALUE"""),"Work with more than 10 people in my team")</f>
        <v>Work with more than 10 people in my team</v>
      </c>
      <c r="Q1529" s="1" t="str">
        <f ca="1">IFERROR(__xludf.DUMMYFUNCTION("""COMPUTED_VALUE"""),"No")</f>
        <v>No</v>
      </c>
      <c r="R1529" s="1" t="str">
        <f ca="1">IFERROR(__xludf.DUMMYFUNCTION("""COMPUTED_VALUE"""),"Will work for 7 years or more")</f>
        <v>Will work for 7 years or more</v>
      </c>
      <c r="S1529" s="1"/>
    </row>
    <row r="1530" spans="1:19" ht="12.5" x14ac:dyDescent="0.25">
      <c r="A1530" s="2">
        <f ca="1">IFERROR(__xludf.DUMMYFUNCTION("""COMPUTED_VALUE"""),45045.7228673958)</f>
        <v>45045.722867395802</v>
      </c>
      <c r="B1530" s="1" t="str">
        <f ca="1">IFERROR(__xludf.DUMMYFUNCTION("""COMPUTED_VALUE"""),"India")</f>
        <v>India</v>
      </c>
      <c r="C1530" s="1">
        <f ca="1">IFERROR(__xludf.DUMMYFUNCTION("""COMPUTED_VALUE"""),456010)</f>
        <v>456010</v>
      </c>
      <c r="D1530" s="1" t="str">
        <f ca="1">IFERROR(__xludf.DUMMYFUNCTION("""COMPUTED_VALUE"""),"Female")</f>
        <v>Female</v>
      </c>
      <c r="E1530" s="1" t="str">
        <f ca="1">IFERROR(__xludf.DUMMYFUNCTION("""COMPUTED_VALUE"""),"My Parents")</f>
        <v>My Parents</v>
      </c>
      <c r="F1530" s="1" t="str">
        <f ca="1">IFERROR(__xludf.DUMMYFUNCTION("""COMPUTED_VALUE"""),"Yes, I will earn and do that")</f>
        <v>Yes, I will earn and do that</v>
      </c>
      <c r="G1530" s="1" t="str">
        <f ca="1">IFERROR(__xludf.DUMMYFUNCTION("""COMPUTED_VALUE"""),"This will be hard to do, but if it is the right company I would try")</f>
        <v>This will be hard to do, but if it is the right company I would try</v>
      </c>
      <c r="H1530" s="1" t="str">
        <f ca="1">IFERROR(__xludf.DUMMYFUNCTION("""COMPUTED_VALUE"""),"Yes")</f>
        <v>Yes</v>
      </c>
      <c r="I1530" s="1" t="str">
        <f ca="1">IFERROR(__xludf.DUMMYFUNCTION("""COMPUTED_VALUE"""),"Will work for them")</f>
        <v>Will work for them</v>
      </c>
      <c r="J1530" s="1">
        <f ca="1">IFERROR(__xludf.DUMMYFUNCTION("""COMPUTED_VALUE"""),5)</f>
        <v>5</v>
      </c>
      <c r="K1530" s="1" t="str">
        <f ca="1">IFERROR(__xludf.DUMMYFUNCTION("""COMPUTED_VALUE"""),"Hybrid Working Environment with less than 3 days a month at office")</f>
        <v>Hybrid Working Environment with less than 3 days a month at office</v>
      </c>
      <c r="L15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530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530" s="1" t="str">
        <f ca="1">IFERROR(__xludf.DUMMYFUNCTION("""COMPUTED_VALUE"""),"Manager who explains what is expected, sets a goal and helps achieve it")</f>
        <v>Manager who explains what is expected, sets a goal and helps achieve it</v>
      </c>
      <c r="P153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530" s="1" t="str">
        <f ca="1">IFERROR(__xludf.DUMMYFUNCTION("""COMPUTED_VALUE"""),"Yes, I Understand this is gonna happen everywhere")</f>
        <v>Yes, I Understand this is gonna happen everywhere</v>
      </c>
      <c r="R1530" s="1" t="str">
        <f ca="1">IFERROR(__xludf.DUMMYFUNCTION("""COMPUTED_VALUE"""),"This will be hard to do, but if it is the right company I would try")</f>
        <v>This will be hard to do, but if it is the right company I would try</v>
      </c>
      <c r="S1530" s="1"/>
    </row>
    <row r="1531" spans="1:19" ht="12.5" x14ac:dyDescent="0.25">
      <c r="A1531" s="2">
        <f ca="1">IFERROR(__xludf.DUMMYFUNCTION("""COMPUTED_VALUE"""),45045.7333492129)</f>
        <v>45045.733349212896</v>
      </c>
      <c r="B1531" s="1" t="str">
        <f ca="1">IFERROR(__xludf.DUMMYFUNCTION("""COMPUTED_VALUE"""),"India")</f>
        <v>India</v>
      </c>
      <c r="C1531" s="1">
        <f ca="1">IFERROR(__xludf.DUMMYFUNCTION("""COMPUTED_VALUE"""),721302)</f>
        <v>721302</v>
      </c>
      <c r="D1531" s="1" t="str">
        <f ca="1">IFERROR(__xludf.DUMMYFUNCTION("""COMPUTED_VALUE"""),"Female")</f>
        <v>Female</v>
      </c>
      <c r="E1531" s="1" t="str">
        <f ca="1">IFERROR(__xludf.DUMMYFUNCTION("""COMPUTED_VALUE"""),"People who have changed the world for better")</f>
        <v>People who have changed the world for better</v>
      </c>
      <c r="F1531" s="1" t="str">
        <f ca="1">IFERROR(__xludf.DUMMYFUNCTION("""COMPUTED_VALUE"""),"Yes, I will earn and do that")</f>
        <v>Yes, I will earn and do that</v>
      </c>
      <c r="G1531" s="1" t="str">
        <f ca="1">IFERROR(__xludf.DUMMYFUNCTION("""COMPUTED_VALUE"""),"This will be hard to do, but if it is the right company I would try")</f>
        <v>This will be hard to do, but if it is the right company I would try</v>
      </c>
      <c r="H1531" s="1" t="str">
        <f ca="1">IFERROR(__xludf.DUMMYFUNCTION("""COMPUTED_VALUE"""),"No")</f>
        <v>No</v>
      </c>
      <c r="I1531" s="1" t="str">
        <f ca="1">IFERROR(__xludf.DUMMYFUNCTION("""COMPUTED_VALUE"""),"Will NOT work for them")</f>
        <v>Will NOT work for them</v>
      </c>
      <c r="J1531" s="1">
        <f ca="1">IFERROR(__xludf.DUMMYFUNCTION("""COMPUTED_VALUE"""),5)</f>
        <v>5</v>
      </c>
      <c r="K1531" s="1" t="str">
        <f ca="1">IFERROR(__xludf.DUMMYFUNCTION("""COMPUTED_VALUE"""),"Fully Remote with Options to travel as and when needed")</f>
        <v>Fully Remote with Options to travel as and when needed</v>
      </c>
      <c r="L15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531" s="1" t="str">
        <f ca="1">IFERROR(__xludf.DUMMYFUNCTION("""COMPUTED_VALUE"""),"Design and Develop amazing software, Look deeply into Data and generate insights, Work as a freelancer and do my thing my way, Entrepreneur or Start Up")</f>
        <v>Design and Develop amazing software, Look deeply into Data and generate insights, Work as a freelancer and do my thing my way, Entrepreneur or Start Up</v>
      </c>
      <c r="O153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31" s="1" t="str">
        <f ca="1">IFERROR(__xludf.DUMMYFUNCTION("""COMPUTED_VALUE"""),"Work with 2 to 3 people in my team, Work with 5 to 6 people in my team")</f>
        <v>Work with 2 to 3 people in my team, Work with 5 to 6 people in my team</v>
      </c>
      <c r="Q1531" s="1" t="str">
        <f ca="1">IFERROR(__xludf.DUMMYFUNCTION("""COMPUTED_VALUE"""),"Yes, I Understand this is gonna happen everywhere")</f>
        <v>Yes, I Understand this is gonna happen everywhere</v>
      </c>
      <c r="R1531" s="1" t="str">
        <f ca="1">IFERROR(__xludf.DUMMYFUNCTION("""COMPUTED_VALUE"""),"This will be hard to do, but if it is the right company I would try")</f>
        <v>This will be hard to do, but if it is the right company I would try</v>
      </c>
      <c r="S1531" s="1"/>
    </row>
    <row r="1532" spans="1:19" ht="12.5" x14ac:dyDescent="0.25">
      <c r="A1532" s="2">
        <f ca="1">IFERROR(__xludf.DUMMYFUNCTION("""COMPUTED_VALUE"""),45045.7371481481)</f>
        <v>45045.737148148102</v>
      </c>
      <c r="B1532" s="1" t="str">
        <f ca="1">IFERROR(__xludf.DUMMYFUNCTION("""COMPUTED_VALUE"""),"India")</f>
        <v>India</v>
      </c>
      <c r="C1532" s="1">
        <f ca="1">IFERROR(__xludf.DUMMYFUNCTION("""COMPUTED_VALUE"""),731130)</f>
        <v>731130</v>
      </c>
      <c r="D1532" s="1" t="str">
        <f ca="1">IFERROR(__xludf.DUMMYFUNCTION("""COMPUTED_VALUE"""),"Male")</f>
        <v>Male</v>
      </c>
      <c r="E1532" s="1" t="str">
        <f ca="1">IFERROR(__xludf.DUMMYFUNCTION("""COMPUTED_VALUE"""),"My Parents")</f>
        <v>My Parents</v>
      </c>
      <c r="F1532" s="1" t="str">
        <f ca="1">IFERROR(__xludf.DUMMYFUNCTION("""COMPUTED_VALUE"""),"Yes, I will earn and do that")</f>
        <v>Yes, I will earn and do that</v>
      </c>
      <c r="G1532" s="1" t="str">
        <f ca="1">IFERROR(__xludf.DUMMYFUNCTION("""COMPUTED_VALUE"""),"This will be hard to do, but if it is the right company I would try")</f>
        <v>This will be hard to do, but if it is the right company I would try</v>
      </c>
      <c r="H1532" s="1" t="str">
        <f ca="1">IFERROR(__xludf.DUMMYFUNCTION("""COMPUTED_VALUE"""),"Yes")</f>
        <v>Yes</v>
      </c>
      <c r="I1532" s="1" t="str">
        <f ca="1">IFERROR(__xludf.DUMMYFUNCTION("""COMPUTED_VALUE"""),"Will work for them")</f>
        <v>Will work for them</v>
      </c>
      <c r="J1532" s="1">
        <f ca="1">IFERROR(__xludf.DUMMYFUNCTION("""COMPUTED_VALUE"""),1)</f>
        <v>1</v>
      </c>
      <c r="K1532" s="1" t="str">
        <f ca="1">IFERROR(__xludf.DUMMYFUNCTION("""COMPUTED_VALUE"""),"Hybrid Working Environment with less than 3 days a month at office")</f>
        <v>Hybrid Working Environment with less than 3 days a month at office</v>
      </c>
      <c r="L15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32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532" s="1" t="str">
        <f ca="1">IFERROR(__xludf.DUMMYFUNCTION("""COMPUTED_VALUE"""),"Manager who clearly describes what she/he needs")</f>
        <v>Manager who clearly describes what she/he needs</v>
      </c>
      <c r="P1532" s="1" t="str">
        <f ca="1">IFERROR(__xludf.DUMMYFUNCTION("""COMPUTED_VALUE"""),"Work with 2 to 3 people in my team")</f>
        <v>Work with 2 to 3 people in my team</v>
      </c>
      <c r="Q1532" s="1" t="str">
        <f ca="1">IFERROR(__xludf.DUMMYFUNCTION("""COMPUTED_VALUE"""),"Yes")</f>
        <v>Yes</v>
      </c>
      <c r="R1532" s="1" t="str">
        <f ca="1">IFERROR(__xludf.DUMMYFUNCTION("""COMPUTED_VALUE"""),"This will be hard to do, but if it is the right company I would try")</f>
        <v>This will be hard to do, but if it is the right company I would try</v>
      </c>
      <c r="S1532" s="1"/>
    </row>
    <row r="1533" spans="1:19" ht="12.5" x14ac:dyDescent="0.25">
      <c r="A1533" s="2">
        <f ca="1">IFERROR(__xludf.DUMMYFUNCTION("""COMPUTED_VALUE"""),45045.7386199652)</f>
        <v>45045.738619965203</v>
      </c>
      <c r="B1533" s="1" t="str">
        <f ca="1">IFERROR(__xludf.DUMMYFUNCTION("""COMPUTED_VALUE"""),"India")</f>
        <v>India</v>
      </c>
      <c r="C1533" s="1">
        <f ca="1">IFERROR(__xludf.DUMMYFUNCTION("""COMPUTED_VALUE"""),600049)</f>
        <v>600049</v>
      </c>
      <c r="D1533" s="1" t="str">
        <f ca="1">IFERROR(__xludf.DUMMYFUNCTION("""COMPUTED_VALUE"""),"Female")</f>
        <v>Female</v>
      </c>
      <c r="E1533" s="1" t="str">
        <f ca="1">IFERROR(__xludf.DUMMYFUNCTION("""COMPUTED_VALUE"""),"Influencers who had successful careers")</f>
        <v>Influencers who had successful careers</v>
      </c>
      <c r="F1533" s="1" t="str">
        <f ca="1">IFERROR(__xludf.DUMMYFUNCTION("""COMPUTED_VALUE"""),"Yes, I will earn and do that")</f>
        <v>Yes, I will earn and do that</v>
      </c>
      <c r="G1533" s="1" t="str">
        <f ca="1">IFERROR(__xludf.DUMMYFUNCTION("""COMPUTED_VALUE"""),"Will work for 3 years or more")</f>
        <v>Will work for 3 years or more</v>
      </c>
      <c r="H1533" s="1" t="str">
        <f ca="1">IFERROR(__xludf.DUMMYFUNCTION("""COMPUTED_VALUE"""),"No")</f>
        <v>No</v>
      </c>
      <c r="I1533" s="1" t="str">
        <f ca="1">IFERROR(__xludf.DUMMYFUNCTION("""COMPUTED_VALUE"""),"Will NOT work for them")</f>
        <v>Will NOT work for them</v>
      </c>
      <c r="J1533" s="1">
        <f ca="1">IFERROR(__xludf.DUMMYFUNCTION("""COMPUTED_VALUE"""),5)</f>
        <v>5</v>
      </c>
      <c r="K1533" s="1" t="str">
        <f ca="1">IFERROR(__xludf.DUMMYFUNCTION("""COMPUTED_VALUE"""),"Hybrid Working Environment with less than 3 days a month at office")</f>
        <v>Hybrid Working Environment with less than 3 days a month at office</v>
      </c>
      <c r="L1533" s="1" t="str">
        <f ca="1">IFERROR(__xludf.DUMMYFUNCTION("""COMPUTED_VALUE"""),"Employer who rewards learning and enables that environment")</f>
        <v>Employer who rewards learning and enables that environment</v>
      </c>
      <c r="M1533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533" s="1" t="str">
        <f ca="1">IFERROR(__xludf.DUMMYFUNCTION("""COMPUTED_VALUE"""),"Business Operations in any organization, Build and develop a Team, Look deeply into Data and generate insights, Work in a BPO setup for some well known client")</f>
        <v>Business Operations in any organization, Build and develop a Team, Look deeply into Data and generate insights, Work in a BPO setup for some well known client</v>
      </c>
      <c r="O153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33" s="1" t="str">
        <f ca="1">IFERROR(__xludf.DUMMYFUNCTION("""COMPUTED_VALUE"""),"Work with 7 to 10 or more people in my team")</f>
        <v>Work with 7 to 10 or more people in my team</v>
      </c>
      <c r="Q1533" s="1" t="str">
        <f ca="1">IFERROR(__xludf.DUMMYFUNCTION("""COMPUTED_VALUE"""),"Yes, I Understand this is gonna happen everywhere")</f>
        <v>Yes, I Understand this is gonna happen everywhere</v>
      </c>
      <c r="R1533" s="1" t="str">
        <f ca="1">IFERROR(__xludf.DUMMYFUNCTION("""COMPUTED_VALUE"""),"This will be hard to do, but if it is the right company I would try")</f>
        <v>This will be hard to do, but if it is the right company I would try</v>
      </c>
      <c r="S1533" s="1"/>
    </row>
    <row r="1534" spans="1:19" ht="12.5" x14ac:dyDescent="0.25">
      <c r="A1534" s="2">
        <f ca="1">IFERROR(__xludf.DUMMYFUNCTION("""COMPUTED_VALUE"""),45045.7406760069)</f>
        <v>45045.740676006899</v>
      </c>
      <c r="B1534" s="1" t="str">
        <f ca="1">IFERROR(__xludf.DUMMYFUNCTION("""COMPUTED_VALUE"""),"India")</f>
        <v>India</v>
      </c>
      <c r="C1534" s="1">
        <f ca="1">IFERROR(__xludf.DUMMYFUNCTION("""COMPUTED_VALUE"""),781014)</f>
        <v>781014</v>
      </c>
      <c r="D1534" s="1" t="str">
        <f ca="1">IFERROR(__xludf.DUMMYFUNCTION("""COMPUTED_VALUE"""),"Male")</f>
        <v>Male</v>
      </c>
      <c r="E1534" s="1" t="str">
        <f ca="1">IFERROR(__xludf.DUMMYFUNCTION("""COMPUTED_VALUE"""),"People from my circle, but not family members")</f>
        <v>People from my circle, but not family members</v>
      </c>
      <c r="F1534" s="1" t="str">
        <f ca="1">IFERROR(__xludf.DUMMYFUNCTION("""COMPUTED_VALUE"""),"No I would not be pursuing Higher Education outside of India")</f>
        <v>No I would not be pursuing Higher Education outside of India</v>
      </c>
      <c r="G1534" s="1" t="str">
        <f ca="1">IFERROR(__xludf.DUMMYFUNCTION("""COMPUTED_VALUE"""),"Will work for 3 years or more")</f>
        <v>Will work for 3 years or more</v>
      </c>
      <c r="H1534" s="1" t="str">
        <f ca="1">IFERROR(__xludf.DUMMYFUNCTION("""COMPUTED_VALUE"""),"No")</f>
        <v>No</v>
      </c>
      <c r="I1534" s="1" t="str">
        <f ca="1">IFERROR(__xludf.DUMMYFUNCTION("""COMPUTED_VALUE"""),"Will NOT work for them")</f>
        <v>Will NOT work for them</v>
      </c>
      <c r="J1534" s="1">
        <f ca="1">IFERROR(__xludf.DUMMYFUNCTION("""COMPUTED_VALUE"""),5)</f>
        <v>5</v>
      </c>
      <c r="K1534" s="1" t="str">
        <f ca="1">IFERROR(__xludf.DUMMYFUNCTION("""COMPUTED_VALUE"""),"Hybrid Working Environment with more than 15 days a month at office")</f>
        <v>Hybrid Working Environment with more than 15 days a month at office</v>
      </c>
      <c r="L15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34" s="1" t="str">
        <f ca="1">IFERROR(__xludf.DUMMYFUNCTION("""COMPUTED_VALUE"""),"Design and Creative strategy in any company, Teaching in any of the institutes/colleges/online or offline, Look deeply into Data and generate insights, An Artificial Intelligence Specialist / Talking to Robots")</f>
        <v>Design and Creative strategy in any company, Teaching in any of the institutes/colleges/online or offline, Look deeply into Data and generate insights, An Artificial Intelligence Specialist / Talking to Robots</v>
      </c>
      <c r="O1534" s="1" t="str">
        <f ca="1">IFERROR(__xludf.DUMMYFUNCTION("""COMPUTED_VALUE"""),"Manager who explains what is expected, sets a goal and helps achieve it")</f>
        <v>Manager who explains what is expected, sets a goal and helps achieve it</v>
      </c>
      <c r="P1534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534" s="1" t="str">
        <f ca="1">IFERROR(__xludf.DUMMYFUNCTION("""COMPUTED_VALUE"""),"Yes, I Understand this is gonna happen everywhere")</f>
        <v>Yes, I Understand this is gonna happen everywhere</v>
      </c>
      <c r="R1534" s="1" t="str">
        <f ca="1">IFERROR(__xludf.DUMMYFUNCTION("""COMPUTED_VALUE"""),"This will be hard to do, but if it is the right company I would try")</f>
        <v>This will be hard to do, but if it is the right company I would try</v>
      </c>
      <c r="S1534" s="1"/>
    </row>
    <row r="1535" spans="1:19" ht="12.5" x14ac:dyDescent="0.25">
      <c r="A1535" s="2">
        <f ca="1">IFERROR(__xludf.DUMMYFUNCTION("""COMPUTED_VALUE"""),45045.7491878125)</f>
        <v>45045.7491878125</v>
      </c>
      <c r="B1535" s="1" t="str">
        <f ca="1">IFERROR(__xludf.DUMMYFUNCTION("""COMPUTED_VALUE"""),"India")</f>
        <v>India</v>
      </c>
      <c r="C1535" s="1">
        <f ca="1">IFERROR(__xludf.DUMMYFUNCTION("""COMPUTED_VALUE"""),144602)</f>
        <v>144602</v>
      </c>
      <c r="D1535" s="1" t="str">
        <f ca="1">IFERROR(__xludf.DUMMYFUNCTION("""COMPUTED_VALUE"""),"Male")</f>
        <v>Male</v>
      </c>
      <c r="E1535" s="1" t="str">
        <f ca="1">IFERROR(__xludf.DUMMYFUNCTION("""COMPUTED_VALUE"""),"People from my circle, but not family members")</f>
        <v>People from my circle, but not family members</v>
      </c>
      <c r="F1535" s="1" t="str">
        <f ca="1">IFERROR(__xludf.DUMMYFUNCTION("""COMPUTED_VALUE"""),"Yes, I will earn and do that")</f>
        <v>Yes, I will earn and do that</v>
      </c>
      <c r="G1535" s="1" t="str">
        <f ca="1">IFERROR(__xludf.DUMMYFUNCTION("""COMPUTED_VALUE"""),"This will be hard to do, but if it is the right company I would try")</f>
        <v>This will be hard to do, but if it is the right company I would try</v>
      </c>
      <c r="H1535" s="1" t="str">
        <f ca="1">IFERROR(__xludf.DUMMYFUNCTION("""COMPUTED_VALUE"""),"No")</f>
        <v>No</v>
      </c>
      <c r="I1535" s="1" t="str">
        <f ca="1">IFERROR(__xludf.DUMMYFUNCTION("""COMPUTED_VALUE"""),"Will NOT work for them")</f>
        <v>Will NOT work for them</v>
      </c>
      <c r="J1535" s="1">
        <f ca="1">IFERROR(__xludf.DUMMYFUNCTION("""COMPUTED_VALUE"""),9)</f>
        <v>9</v>
      </c>
      <c r="K1535" s="1" t="str">
        <f ca="1">IFERROR(__xludf.DUMMYFUNCTION("""COMPUTED_VALUE"""),"Hybrid Working Environment with more than 15 days a month at office")</f>
        <v>Hybrid Working Environment with more than 15 days a month at office</v>
      </c>
      <c r="L153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535" s="1" t="str">
        <f ca="1">IFERROR(__xludf.DUMMYFUNCTION("""COMPUTED_VALUE"""),"Business Operations in any organization, Manage and drive End-to-End Projects or Products, Become a content Creator in some platform, Entrepreneur or Start Up")</f>
        <v>Business Operations in any organization, Manage and drive End-to-End Projects or Products, Become a content Creator in some platform, Entrepreneur or Start Up</v>
      </c>
      <c r="O1535" s="1" t="str">
        <f ca="1">IFERROR(__xludf.DUMMYFUNCTION("""COMPUTED_VALUE"""),"Manager who explains what is expected, sets a goal and helps achieve it")</f>
        <v>Manager who explains what is expected, sets a goal and helps achieve it</v>
      </c>
      <c r="P1535" s="1" t="str">
        <f ca="1">IFERROR(__xludf.DUMMYFUNCTION("""COMPUTED_VALUE"""),"Work with 5 to 6 people in my team")</f>
        <v>Work with 5 to 6 people in my team</v>
      </c>
      <c r="Q1535" s="1" t="str">
        <f ca="1">IFERROR(__xludf.DUMMYFUNCTION("""COMPUTED_VALUE"""),"Yes, I Understand this is gonna happen everywhere")</f>
        <v>Yes, I Understand this is gonna happen everywhere</v>
      </c>
      <c r="R1535" s="1" t="str">
        <f ca="1">IFERROR(__xludf.DUMMYFUNCTION("""COMPUTED_VALUE"""),"This will be hard to do, but if it is the right company I would try")</f>
        <v>This will be hard to do, but if it is the right company I would try</v>
      </c>
      <c r="S1535" s="1"/>
    </row>
    <row r="1536" spans="1:19" ht="12.5" x14ac:dyDescent="0.25">
      <c r="A1536" s="2">
        <f ca="1">IFERROR(__xludf.DUMMYFUNCTION("""COMPUTED_VALUE"""),45045.7492109953)</f>
        <v>45045.749210995302</v>
      </c>
      <c r="B1536" s="1" t="str">
        <f ca="1">IFERROR(__xludf.DUMMYFUNCTION("""COMPUTED_VALUE"""),"India")</f>
        <v>India</v>
      </c>
      <c r="C1536" s="1">
        <f ca="1">IFERROR(__xludf.DUMMYFUNCTION("""COMPUTED_VALUE"""),110006)</f>
        <v>110006</v>
      </c>
      <c r="D1536" s="1" t="str">
        <f ca="1">IFERROR(__xludf.DUMMYFUNCTION("""COMPUTED_VALUE"""),"Male")</f>
        <v>Male</v>
      </c>
      <c r="E1536" s="1" t="str">
        <f ca="1">IFERROR(__xludf.DUMMYFUNCTION("""COMPUTED_VALUE"""),"Social Media like LinkedIn")</f>
        <v>Social Media like LinkedIn</v>
      </c>
      <c r="F1536" s="1" t="str">
        <f ca="1">IFERROR(__xludf.DUMMYFUNCTION("""COMPUTED_VALUE"""),"No I would not be pursuing Higher Education outside of India")</f>
        <v>No I would not be pursuing Higher Education outside of India</v>
      </c>
      <c r="G1536" s="1" t="str">
        <f ca="1">IFERROR(__xludf.DUMMYFUNCTION("""COMPUTED_VALUE"""),"This will be hard to do, but if it is the right company I would try")</f>
        <v>This will be hard to do, but if it is the right company I would try</v>
      </c>
      <c r="H1536" s="1" t="str">
        <f ca="1">IFERROR(__xludf.DUMMYFUNCTION("""COMPUTED_VALUE"""),"No")</f>
        <v>No</v>
      </c>
      <c r="I1536" s="1" t="str">
        <f ca="1">IFERROR(__xludf.DUMMYFUNCTION("""COMPUTED_VALUE"""),"Will NOT work for them")</f>
        <v>Will NOT work for them</v>
      </c>
      <c r="J1536" s="1">
        <f ca="1">IFERROR(__xludf.DUMMYFUNCTION("""COMPUTED_VALUE"""),8)</f>
        <v>8</v>
      </c>
      <c r="K1536" s="1" t="str">
        <f ca="1">IFERROR(__xludf.DUMMYFUNCTION("""COMPUTED_VALUE"""),"Hybrid Working Environment with more than 15 days a month at office")</f>
        <v>Hybrid Working Environment with more than 15 days a month at office</v>
      </c>
      <c r="L15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36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536" s="1" t="str">
        <f ca="1">IFERROR(__xludf.DUMMYFUNCTION("""COMPUTED_VALUE"""),"Manager who clearly describes what she/he needs")</f>
        <v>Manager who clearly describes what she/he needs</v>
      </c>
      <c r="P1536" s="1" t="str">
        <f ca="1">IFERROR(__xludf.DUMMYFUNCTION("""COMPUTED_VALUE"""),"Work with more than 10 people in my team")</f>
        <v>Work with more than 10 people in my team</v>
      </c>
      <c r="Q1536" s="1" t="str">
        <f ca="1">IFERROR(__xludf.DUMMYFUNCTION("""COMPUTED_VALUE"""),"No")</f>
        <v>No</v>
      </c>
      <c r="R1536" s="1" t="str">
        <f ca="1">IFERROR(__xludf.DUMMYFUNCTION("""COMPUTED_VALUE"""),"This will be hard to do, but if it is the right company I would try")</f>
        <v>This will be hard to do, but if it is the right company I would try</v>
      </c>
      <c r="S1536" s="1"/>
    </row>
    <row r="1537" spans="1:19" ht="12.5" x14ac:dyDescent="0.25">
      <c r="A1537" s="2">
        <f ca="1">IFERROR(__xludf.DUMMYFUNCTION("""COMPUTED_VALUE"""),45045.7494537615)</f>
        <v>45045.749453761498</v>
      </c>
      <c r="B1537" s="1" t="str">
        <f ca="1">IFERROR(__xludf.DUMMYFUNCTION("""COMPUTED_VALUE"""),"India")</f>
        <v>India</v>
      </c>
      <c r="C1537" s="1">
        <f ca="1">IFERROR(__xludf.DUMMYFUNCTION("""COMPUTED_VALUE"""),452009)</f>
        <v>452009</v>
      </c>
      <c r="D1537" s="1" t="str">
        <f ca="1">IFERROR(__xludf.DUMMYFUNCTION("""COMPUTED_VALUE"""),"Female")</f>
        <v>Female</v>
      </c>
      <c r="E1537" s="1" t="str">
        <f ca="1">IFERROR(__xludf.DUMMYFUNCTION("""COMPUTED_VALUE"""),"Influencers who had successful careers")</f>
        <v>Influencers who had successful careers</v>
      </c>
      <c r="F1537" s="1" t="str">
        <f ca="1">IFERROR(__xludf.DUMMYFUNCTION("""COMPUTED_VALUE"""),"Yes, I will earn and do that")</f>
        <v>Yes, I will earn and do that</v>
      </c>
      <c r="G1537" s="1" t="str">
        <f ca="1">IFERROR(__xludf.DUMMYFUNCTION("""COMPUTED_VALUE"""),"This will be hard to do, but if it is the right company I would try")</f>
        <v>This will be hard to do, but if it is the right company I would try</v>
      </c>
      <c r="H1537" s="1" t="str">
        <f ca="1">IFERROR(__xludf.DUMMYFUNCTION("""COMPUTED_VALUE"""),"No")</f>
        <v>No</v>
      </c>
      <c r="I1537" s="1" t="str">
        <f ca="1">IFERROR(__xludf.DUMMYFUNCTION("""COMPUTED_VALUE"""),"Will NOT work for them")</f>
        <v>Will NOT work for them</v>
      </c>
      <c r="J1537" s="1">
        <f ca="1">IFERROR(__xludf.DUMMYFUNCTION("""COMPUTED_VALUE"""),5)</f>
        <v>5</v>
      </c>
      <c r="K1537" s="1" t="str">
        <f ca="1">IFERROR(__xludf.DUMMYFUNCTION("""COMPUTED_VALUE"""),"Fully Remote with Options to travel as and when needed")</f>
        <v>Fully Remote with Options to travel as and when needed</v>
      </c>
      <c r="L1537" s="1" t="str">
        <f ca="1">IFERROR(__xludf.DUMMYFUNCTION("""COMPUTED_VALUE"""),"Employer who appreciates learning and enables that environment")</f>
        <v>Employer who appreciates learning and enables that environment</v>
      </c>
      <c r="M153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37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537" s="1" t="str">
        <f ca="1">IFERROR(__xludf.DUMMYFUNCTION("""COMPUTED_VALUE"""),"Manager who explains what is expected, sets a goal and helps achieve it")</f>
        <v>Manager who explains what is expected, sets a goal and helps achieve it</v>
      </c>
      <c r="P1537" s="1" t="str">
        <f ca="1">IFERROR(__xludf.DUMMYFUNCTION("""COMPUTED_VALUE"""),"Work with 2 to 3 people in my team")</f>
        <v>Work with 2 to 3 people in my team</v>
      </c>
      <c r="Q1537" s="1" t="str">
        <f ca="1">IFERROR(__xludf.DUMMYFUNCTION("""COMPUTED_VALUE"""),"Yes, I Understand this is gonna happen everywhere")</f>
        <v>Yes, I Understand this is gonna happen everywhere</v>
      </c>
      <c r="R1537" s="1" t="str">
        <f ca="1">IFERROR(__xludf.DUMMYFUNCTION("""COMPUTED_VALUE"""),"No way")</f>
        <v>No way</v>
      </c>
      <c r="S1537" s="1"/>
    </row>
    <row r="1538" spans="1:19" ht="12.5" x14ac:dyDescent="0.25">
      <c r="A1538" s="2">
        <f ca="1">IFERROR(__xludf.DUMMYFUNCTION("""COMPUTED_VALUE"""),45045.7495361805)</f>
        <v>45045.749536180498</v>
      </c>
      <c r="B1538" s="1" t="str">
        <f ca="1">IFERROR(__xludf.DUMMYFUNCTION("""COMPUTED_VALUE"""),"India")</f>
        <v>India</v>
      </c>
      <c r="C1538" s="1">
        <f ca="1">IFERROR(__xludf.DUMMYFUNCTION("""COMPUTED_VALUE"""),456010)</f>
        <v>456010</v>
      </c>
      <c r="D1538" s="1" t="str">
        <f ca="1">IFERROR(__xludf.DUMMYFUNCTION("""COMPUTED_VALUE"""),"Female")</f>
        <v>Female</v>
      </c>
      <c r="E1538" s="1" t="str">
        <f ca="1">IFERROR(__xludf.DUMMYFUNCTION("""COMPUTED_VALUE"""),"People who have changed the world for better")</f>
        <v>People who have changed the world for better</v>
      </c>
      <c r="F1538" s="1" t="str">
        <f ca="1">IFERROR(__xludf.DUMMYFUNCTION("""COMPUTED_VALUE"""),"No, But if someone could bare the cost I will")</f>
        <v>No, But if someone could bare the cost I will</v>
      </c>
      <c r="G1538" s="1" t="str">
        <f ca="1">IFERROR(__xludf.DUMMYFUNCTION("""COMPUTED_VALUE"""),"Will work for 3 years or more")</f>
        <v>Will work for 3 years or more</v>
      </c>
      <c r="H1538" s="1" t="str">
        <f ca="1">IFERROR(__xludf.DUMMYFUNCTION("""COMPUTED_VALUE"""),"Yes")</f>
        <v>Yes</v>
      </c>
      <c r="I1538" s="1" t="str">
        <f ca="1">IFERROR(__xludf.DUMMYFUNCTION("""COMPUTED_VALUE"""),"Will NOT work for them")</f>
        <v>Will NOT work for them</v>
      </c>
      <c r="J1538" s="1">
        <f ca="1">IFERROR(__xludf.DUMMYFUNCTION("""COMPUTED_VALUE"""),7)</f>
        <v>7</v>
      </c>
      <c r="K1538" s="1" t="str">
        <f ca="1">IFERROR(__xludf.DUMMYFUNCTION("""COMPUTED_VALUE"""),"Fully Remote with Options to travel as and when needed")</f>
        <v>Fully Remote with Options to travel as and when needed</v>
      </c>
      <c r="L15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538" s="1" t="str">
        <f ca="1">IFERROR(__xludf.DUMMYFUNCTION("""COMPUTED_VALUE"""),"Business Operations in any organization, Manage and drive End-to-End Projects or Products, Build and develop a Team, I Want to sell things/Sales")</f>
        <v>Business Operations in any organization, Manage and drive End-to-End Projects or Products, Build and develop a Team, I Want to sell things/Sales</v>
      </c>
      <c r="O1538" s="1" t="str">
        <f ca="1">IFERROR(__xludf.DUMMYFUNCTION("""COMPUTED_VALUE"""),"Manager who sets goal and helps me achieve it")</f>
        <v>Manager who sets goal and helps me achieve it</v>
      </c>
      <c r="P1538" s="1" t="str">
        <f ca="1">IFERROR(__xludf.DUMMYFUNCTION("""COMPUTED_VALUE"""),"Work with 2 to 3 people in my team")</f>
        <v>Work with 2 to 3 people in my team</v>
      </c>
      <c r="Q1538" s="1" t="str">
        <f ca="1">IFERROR(__xludf.DUMMYFUNCTION("""COMPUTED_VALUE"""),"Yes, I Understand this is gonna happen everywhere")</f>
        <v>Yes, I Understand this is gonna happen everywhere</v>
      </c>
      <c r="R1538" s="1" t="str">
        <f ca="1">IFERROR(__xludf.DUMMYFUNCTION("""COMPUTED_VALUE"""),"This will be hard to do, but if it is the right company I would try")</f>
        <v>This will be hard to do, but if it is the right company I would try</v>
      </c>
      <c r="S1538" s="1"/>
    </row>
    <row r="1539" spans="1:19" ht="12.5" x14ac:dyDescent="0.25">
      <c r="A1539" s="2">
        <f ca="1">IFERROR(__xludf.DUMMYFUNCTION("""COMPUTED_VALUE"""),45045.7515923263)</f>
        <v>45045.751592326298</v>
      </c>
      <c r="B1539" s="1" t="str">
        <f ca="1">IFERROR(__xludf.DUMMYFUNCTION("""COMPUTED_VALUE"""),"India")</f>
        <v>India</v>
      </c>
      <c r="C1539" s="1">
        <f ca="1">IFERROR(__xludf.DUMMYFUNCTION("""COMPUTED_VALUE"""),400067)</f>
        <v>400067</v>
      </c>
      <c r="D1539" s="1" t="str">
        <f ca="1">IFERROR(__xludf.DUMMYFUNCTION("""COMPUTED_VALUE"""),"Female")</f>
        <v>Female</v>
      </c>
      <c r="E1539" s="1" t="str">
        <f ca="1">IFERROR(__xludf.DUMMYFUNCTION("""COMPUTED_VALUE"""),"People from my circle, but not family members")</f>
        <v>People from my circle, but not family members</v>
      </c>
      <c r="F1539" s="1" t="str">
        <f ca="1">IFERROR(__xludf.DUMMYFUNCTION("""COMPUTED_VALUE"""),"Yes, I will earn and do that")</f>
        <v>Yes, I will earn and do that</v>
      </c>
      <c r="G1539" s="1" t="str">
        <f ca="1">IFERROR(__xludf.DUMMYFUNCTION("""COMPUTED_VALUE"""),"This will be hard to do, but if it is the right company I would try")</f>
        <v>This will be hard to do, but if it is the right company I would try</v>
      </c>
      <c r="H1539" s="1" t="str">
        <f ca="1">IFERROR(__xludf.DUMMYFUNCTION("""COMPUTED_VALUE"""),"No")</f>
        <v>No</v>
      </c>
      <c r="I1539" s="1" t="str">
        <f ca="1">IFERROR(__xludf.DUMMYFUNCTION("""COMPUTED_VALUE"""),"Will NOT work for them")</f>
        <v>Will NOT work for them</v>
      </c>
      <c r="J1539" s="1">
        <f ca="1">IFERROR(__xludf.DUMMYFUNCTION("""COMPUTED_VALUE"""),5)</f>
        <v>5</v>
      </c>
      <c r="K1539" s="1" t="str">
        <f ca="1">IFERROR(__xludf.DUMMYFUNCTION("""COMPUTED_VALUE"""),"Fully Remote with Options to travel as and when needed")</f>
        <v>Fully Remote with Options to travel as and when needed</v>
      </c>
      <c r="L15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3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539" s="1" t="str">
        <f ca="1">IFERROR(__xludf.DUMMYFUNCTION("""COMPUTED_VALUE"""),"Business Operations in any organization, Manage and drive End-to-End Projects or Products, Work in a BPO setup for some well known client, An Artificial Intelligence Specialist / Talking to Robots")</f>
        <v>Business Operations in any organization, Manage and drive End-to-End Projects or Products, Work in a BPO setup for some well known client, An Artificial Intelligence Specialist / Talking to Robots</v>
      </c>
      <c r="O153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39" s="1" t="str">
        <f ca="1">IFERROR(__xludf.DUMMYFUNCTION("""COMPUTED_VALUE"""),"Work with 7 to 10 or more people in my team")</f>
        <v>Work with 7 to 10 or more people in my team</v>
      </c>
      <c r="Q1539" s="1" t="str">
        <f ca="1">IFERROR(__xludf.DUMMYFUNCTION("""COMPUTED_VALUE"""),"No")</f>
        <v>No</v>
      </c>
      <c r="R1539" s="1" t="str">
        <f ca="1">IFERROR(__xludf.DUMMYFUNCTION("""COMPUTED_VALUE"""),"No way")</f>
        <v>No way</v>
      </c>
      <c r="S1539" s="1"/>
    </row>
    <row r="1540" spans="1:19" ht="12.5" x14ac:dyDescent="0.25">
      <c r="A1540" s="2">
        <f ca="1">IFERROR(__xludf.DUMMYFUNCTION("""COMPUTED_VALUE"""),45045.755997037)</f>
        <v>45045.755997036998</v>
      </c>
      <c r="B1540" s="1" t="str">
        <f ca="1">IFERROR(__xludf.DUMMYFUNCTION("""COMPUTED_VALUE"""),"India")</f>
        <v>India</v>
      </c>
      <c r="C1540" s="1">
        <f ca="1">IFERROR(__xludf.DUMMYFUNCTION("""COMPUTED_VALUE"""),713212)</f>
        <v>713212</v>
      </c>
      <c r="D1540" s="1" t="str">
        <f ca="1">IFERROR(__xludf.DUMMYFUNCTION("""COMPUTED_VALUE"""),"Female")</f>
        <v>Female</v>
      </c>
      <c r="E1540" s="1" t="str">
        <f ca="1">IFERROR(__xludf.DUMMYFUNCTION("""COMPUTED_VALUE"""),"People from my circle, but not family members")</f>
        <v>People from my circle, but not family members</v>
      </c>
      <c r="F1540" s="1" t="str">
        <f ca="1">IFERROR(__xludf.DUMMYFUNCTION("""COMPUTED_VALUE"""),"Yes, I will earn and do that")</f>
        <v>Yes, I will earn and do that</v>
      </c>
      <c r="G1540" s="1" t="str">
        <f ca="1">IFERROR(__xludf.DUMMYFUNCTION("""COMPUTED_VALUE"""),"Will work for 3 years or more")</f>
        <v>Will work for 3 years or more</v>
      </c>
      <c r="H1540" s="1" t="str">
        <f ca="1">IFERROR(__xludf.DUMMYFUNCTION("""COMPUTED_VALUE"""),"No")</f>
        <v>No</v>
      </c>
      <c r="I1540" s="1" t="str">
        <f ca="1">IFERROR(__xludf.DUMMYFUNCTION("""COMPUTED_VALUE"""),"Will NOT work for them")</f>
        <v>Will NOT work for them</v>
      </c>
      <c r="J1540" s="1">
        <f ca="1">IFERROR(__xludf.DUMMYFUNCTION("""COMPUTED_VALUE"""),1)</f>
        <v>1</v>
      </c>
      <c r="K1540" s="1" t="str">
        <f ca="1">IFERROR(__xludf.DUMMYFUNCTION("""COMPUTED_VALUE"""),"Every Day Office Environment")</f>
        <v>Every Day Office Environment</v>
      </c>
      <c r="L1540" s="1" t="str">
        <f ca="1">IFERROR(__xludf.DUMMYFUNCTION("""COMPUTED_VALUE"""),"Employer who rewards learning and enables that environment")</f>
        <v>Employer who rewards learning and enables that environment</v>
      </c>
      <c r="M154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40" s="1" t="str">
        <f ca="1">IFERROR(__xludf.DUMMYFUNCTION("""COMPUTED_VALUE"""),"Teaching in any of the institutes/colleges/online or offline, Look deeply into Data and generate insights, Work as a freelancer and do my thing my way, Manufacturing / Oil and Gas/ Construction / Hard Physical Work related")</f>
        <v>Teaching in any of the institutes/colleges/online or offline, Look deeply into Data and generate insights, Work as a freelancer and do my thing my way, Manufacturing / Oil and Gas/ Construction / Hard Physical Work related</v>
      </c>
      <c r="O1540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0" s="1" t="str">
        <f ca="1">IFERROR(__xludf.DUMMYFUNCTION("""COMPUTED_VALUE"""),"Work with 2 to 3 people in my team")</f>
        <v>Work with 2 to 3 people in my team</v>
      </c>
      <c r="Q1540" s="1" t="str">
        <f ca="1">IFERROR(__xludf.DUMMYFUNCTION("""COMPUTED_VALUE"""),"No")</f>
        <v>No</v>
      </c>
      <c r="R1540" s="1" t="str">
        <f ca="1">IFERROR(__xludf.DUMMYFUNCTION("""COMPUTED_VALUE"""),"No way")</f>
        <v>No way</v>
      </c>
      <c r="S1540" s="1"/>
    </row>
    <row r="1541" spans="1:19" ht="12.5" x14ac:dyDescent="0.25">
      <c r="A1541" s="2">
        <f ca="1">IFERROR(__xludf.DUMMYFUNCTION("""COMPUTED_VALUE"""),45045.7592626851)</f>
        <v>45045.759262685096</v>
      </c>
      <c r="B1541" s="1" t="str">
        <f ca="1">IFERROR(__xludf.DUMMYFUNCTION("""COMPUTED_VALUE"""),"Others")</f>
        <v>Others</v>
      </c>
      <c r="C1541" s="1">
        <f ca="1">IFERROR(__xludf.DUMMYFUNCTION("""COMPUTED_VALUE"""),641183)</f>
        <v>641183</v>
      </c>
      <c r="D1541" s="1" t="str">
        <f ca="1">IFERROR(__xludf.DUMMYFUNCTION("""COMPUTED_VALUE"""),"Male")</f>
        <v>Male</v>
      </c>
      <c r="E1541" s="1" t="str">
        <f ca="1">IFERROR(__xludf.DUMMYFUNCTION("""COMPUTED_VALUE"""),"Social Media like LinkedIn")</f>
        <v>Social Media like LinkedIn</v>
      </c>
      <c r="F1541" s="1" t="str">
        <f ca="1">IFERROR(__xludf.DUMMYFUNCTION("""COMPUTED_VALUE"""),"Yes, I will earn and do that")</f>
        <v>Yes, I will earn and do that</v>
      </c>
      <c r="G1541" s="1" t="str">
        <f ca="1">IFERROR(__xludf.DUMMYFUNCTION("""COMPUTED_VALUE"""),"This will be hard to do, but if it is the right company I would try")</f>
        <v>This will be hard to do, but if it is the right company I would try</v>
      </c>
      <c r="H1541" s="1" t="str">
        <f ca="1">IFERROR(__xludf.DUMMYFUNCTION("""COMPUTED_VALUE"""),"No")</f>
        <v>No</v>
      </c>
      <c r="I1541" s="1" t="str">
        <f ca="1">IFERROR(__xludf.DUMMYFUNCTION("""COMPUTED_VALUE"""),"Will work for them")</f>
        <v>Will work for them</v>
      </c>
      <c r="J1541" s="1">
        <f ca="1">IFERROR(__xludf.DUMMYFUNCTION("""COMPUTED_VALUE"""),7)</f>
        <v>7</v>
      </c>
      <c r="K1541" s="1" t="str">
        <f ca="1">IFERROR(__xludf.DUMMYFUNCTION("""COMPUTED_VALUE"""),"Hybrid Working Environment with more than 15 days a month at office")</f>
        <v>Hybrid Working Environment with more than 15 days a month at office</v>
      </c>
      <c r="L15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4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541" s="1" t="str">
        <f ca="1">IFERROR(__xludf.DUMMYFUNCTION("""COMPUTED_VALUE"""),"Design and Creative strategy in any company, Business Operations in any organization, Build and develop a Team, Manufacturing / Oil and Gas/ Construction / Hard Physical Work related")</f>
        <v>Design and Creative strategy in any company, Business Operations in any organization, Build and develop a Team, Manufacturing / Oil and Gas/ Construction / Hard Physical Work related</v>
      </c>
      <c r="O154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1" s="1" t="str">
        <f ca="1">IFERROR(__xludf.DUMMYFUNCTION("""COMPUTED_VALUE"""),"Work with 2 to 3 people in my team, Work with 5 to 6 people in my team")</f>
        <v>Work with 2 to 3 people in my team, Work with 5 to 6 people in my team</v>
      </c>
      <c r="Q1541" s="1" t="str">
        <f ca="1">IFERROR(__xludf.DUMMYFUNCTION("""COMPUTED_VALUE"""),"Yes, I Understand this is gonna happen everywhere")</f>
        <v>Yes, I Understand this is gonna happen everywhere</v>
      </c>
      <c r="R1541" s="1" t="str">
        <f ca="1">IFERROR(__xludf.DUMMYFUNCTION("""COMPUTED_VALUE"""),"This will be hard to do, but if it is the right company I would try")</f>
        <v>This will be hard to do, but if it is the right company I would try</v>
      </c>
      <c r="S1541" s="1"/>
    </row>
    <row r="1542" spans="1:19" ht="12.5" x14ac:dyDescent="0.25">
      <c r="A1542" s="2">
        <f ca="1">IFERROR(__xludf.DUMMYFUNCTION("""COMPUTED_VALUE"""),45045.7672358564)</f>
        <v>45045.767235856401</v>
      </c>
      <c r="B1542" s="1" t="str">
        <f ca="1">IFERROR(__xludf.DUMMYFUNCTION("""COMPUTED_VALUE"""),"India")</f>
        <v>India</v>
      </c>
      <c r="C1542" s="1">
        <f ca="1">IFERROR(__xludf.DUMMYFUNCTION("""COMPUTED_VALUE"""),560001)</f>
        <v>560001</v>
      </c>
      <c r="D1542" s="1" t="str">
        <f ca="1">IFERROR(__xludf.DUMMYFUNCTION("""COMPUTED_VALUE"""),"Male")</f>
        <v>Male</v>
      </c>
      <c r="E1542" s="1" t="str">
        <f ca="1">IFERROR(__xludf.DUMMYFUNCTION("""COMPUTED_VALUE"""),"People from my circle, but not family members")</f>
        <v>People from my circle, but not family members</v>
      </c>
      <c r="F1542" s="1" t="str">
        <f ca="1">IFERROR(__xludf.DUMMYFUNCTION("""COMPUTED_VALUE"""),"Yes, I will earn and do that")</f>
        <v>Yes, I will earn and do that</v>
      </c>
      <c r="G1542" s="1" t="str">
        <f ca="1">IFERROR(__xludf.DUMMYFUNCTION("""COMPUTED_VALUE"""),"Will work for 3 years or more")</f>
        <v>Will work for 3 years or more</v>
      </c>
      <c r="H1542" s="1" t="str">
        <f ca="1">IFERROR(__xludf.DUMMYFUNCTION("""COMPUTED_VALUE"""),"No")</f>
        <v>No</v>
      </c>
      <c r="I1542" s="1" t="str">
        <f ca="1">IFERROR(__xludf.DUMMYFUNCTION("""COMPUTED_VALUE"""),"Will NOT work for them")</f>
        <v>Will NOT work for them</v>
      </c>
      <c r="J1542" s="1">
        <f ca="1">IFERROR(__xludf.DUMMYFUNCTION("""COMPUTED_VALUE"""),3)</f>
        <v>3</v>
      </c>
      <c r="K1542" s="1" t="str">
        <f ca="1">IFERROR(__xludf.DUMMYFUNCTION("""COMPUTED_VALUE"""),"Hybrid Working Environment with less than 3 days a month at office")</f>
        <v>Hybrid Working Environment with less than 3 days a month at office</v>
      </c>
      <c r="L1542" s="1" t="str">
        <f ca="1">IFERROR(__xludf.DUMMYFUNCTION("""COMPUTED_VALUE"""),"Employer who appreciates learning and enables that environment")</f>
        <v>Employer who appreciates learning and enables that environment</v>
      </c>
      <c r="M154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542" s="1" t="str">
        <f ca="1">IFERROR(__xludf.DUMMYFUNCTION("""COMPUTED_VALUE"""),"Become a content Creator in some platform, I Want to sell things/Sales, An Artificial Intelligence Specialist / Talking to Robots, Manufacturing / Oil and Gas/ Construction / Hard Physical Work related")</f>
        <v>Become a content Creator in some platform, I Want to sell things/Sales, An Artificial Intelligence Specialist / Talking to Robots, Manufacturing / Oil and Gas/ Construction / Hard Physical Work related</v>
      </c>
      <c r="O1542" s="1" t="str">
        <f ca="1">IFERROR(__xludf.DUMMYFUNCTION("""COMPUTED_VALUE"""),"Manager who sets targets and expects me to achieve it")</f>
        <v>Manager who sets targets and expects me to achieve it</v>
      </c>
      <c r="P1542" s="1" t="str">
        <f ca="1">IFERROR(__xludf.DUMMYFUNCTION("""COMPUTED_VALUE"""),"Work alone, Work with 5 to 6 people in my team")</f>
        <v>Work alone, Work with 5 to 6 people in my team</v>
      </c>
      <c r="Q1542" s="1" t="str">
        <f ca="1">IFERROR(__xludf.DUMMYFUNCTION("""COMPUTED_VALUE"""),"Yes")</f>
        <v>Yes</v>
      </c>
      <c r="R1542" s="1" t="str">
        <f ca="1">IFERROR(__xludf.DUMMYFUNCTION("""COMPUTED_VALUE"""),"Will work for 7 years or more")</f>
        <v>Will work for 7 years or more</v>
      </c>
      <c r="S1542" s="1"/>
    </row>
    <row r="1543" spans="1:19" ht="12.5" x14ac:dyDescent="0.25">
      <c r="A1543" s="2">
        <f ca="1">IFERROR(__xludf.DUMMYFUNCTION("""COMPUTED_VALUE"""),45045.768317662)</f>
        <v>45045.768317661998</v>
      </c>
      <c r="B1543" s="1" t="str">
        <f ca="1">IFERROR(__xludf.DUMMYFUNCTION("""COMPUTED_VALUE"""),"India")</f>
        <v>India</v>
      </c>
      <c r="C1543" s="1">
        <f ca="1">IFERROR(__xludf.DUMMYFUNCTION("""COMPUTED_VALUE"""),533201)</f>
        <v>533201</v>
      </c>
      <c r="D1543" s="1" t="str">
        <f ca="1">IFERROR(__xludf.DUMMYFUNCTION("""COMPUTED_VALUE"""),"Female")</f>
        <v>Female</v>
      </c>
      <c r="E1543" s="1" t="str">
        <f ca="1">IFERROR(__xludf.DUMMYFUNCTION("""COMPUTED_VALUE"""),"People from my circle, but not family members")</f>
        <v>People from my circle, but not family members</v>
      </c>
      <c r="F1543" s="1" t="str">
        <f ca="1">IFERROR(__xludf.DUMMYFUNCTION("""COMPUTED_VALUE"""),"No I would not be pursuing Higher Education outside of India")</f>
        <v>No I would not be pursuing Higher Education outside of India</v>
      </c>
      <c r="G1543" s="1" t="str">
        <f ca="1">IFERROR(__xludf.DUMMYFUNCTION("""COMPUTED_VALUE"""),"This will be hard to do, but if it is the right company I would try")</f>
        <v>This will be hard to do, but if it is the right company I would try</v>
      </c>
      <c r="H1543" s="1" t="str">
        <f ca="1">IFERROR(__xludf.DUMMYFUNCTION("""COMPUTED_VALUE"""),"No")</f>
        <v>No</v>
      </c>
      <c r="I1543" s="1" t="str">
        <f ca="1">IFERROR(__xludf.DUMMYFUNCTION("""COMPUTED_VALUE"""),"Will NOT work for them")</f>
        <v>Will NOT work for them</v>
      </c>
      <c r="J1543" s="1">
        <f ca="1">IFERROR(__xludf.DUMMYFUNCTION("""COMPUTED_VALUE"""),10)</f>
        <v>10</v>
      </c>
      <c r="K1543" s="1" t="str">
        <f ca="1">IFERROR(__xludf.DUMMYFUNCTION("""COMPUTED_VALUE"""),"Fully Remote with No option to visit offices")</f>
        <v>Fully Remote with No option to visit offices</v>
      </c>
      <c r="L1543" s="1" t="str">
        <f ca="1">IFERROR(__xludf.DUMMYFUNCTION("""COMPUTED_VALUE"""),"Employer who appreciates learning and enables that environment")</f>
        <v>Employer who appreciates learning and enables that environment</v>
      </c>
      <c r="M15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43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154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3" s="1" t="str">
        <f ca="1">IFERROR(__xludf.DUMMYFUNCTION("""COMPUTED_VALUE"""),"Work with more than 10 people in my team")</f>
        <v>Work with more than 10 people in my team</v>
      </c>
      <c r="Q1543" s="1" t="str">
        <f ca="1">IFERROR(__xludf.DUMMYFUNCTION("""COMPUTED_VALUE"""),"Yes, I Understand this is gonna happen everywhere")</f>
        <v>Yes, I Understand this is gonna happen everywhere</v>
      </c>
      <c r="R1543" s="1" t="str">
        <f ca="1">IFERROR(__xludf.DUMMYFUNCTION("""COMPUTED_VALUE"""),"This will be hard to do, but if it is the right company I would try")</f>
        <v>This will be hard to do, but if it is the right company I would try</v>
      </c>
      <c r="S1543" s="1"/>
    </row>
    <row r="1544" spans="1:19" ht="12.5" x14ac:dyDescent="0.25">
      <c r="A1544" s="2">
        <f ca="1">IFERROR(__xludf.DUMMYFUNCTION("""COMPUTED_VALUE"""),45045.7724445601)</f>
        <v>45045.772444560098</v>
      </c>
      <c r="B1544" s="1" t="str">
        <f ca="1">IFERROR(__xludf.DUMMYFUNCTION("""COMPUTED_VALUE"""),"India")</f>
        <v>India</v>
      </c>
      <c r="C1544" s="1">
        <f ca="1">IFERROR(__xludf.DUMMYFUNCTION("""COMPUTED_VALUE"""),456010)</f>
        <v>456010</v>
      </c>
      <c r="D1544" s="1" t="str">
        <f ca="1">IFERROR(__xludf.DUMMYFUNCTION("""COMPUTED_VALUE"""),"Male")</f>
        <v>Male</v>
      </c>
      <c r="E1544" s="1" t="str">
        <f ca="1">IFERROR(__xludf.DUMMYFUNCTION("""COMPUTED_VALUE"""),"My Parents")</f>
        <v>My Parents</v>
      </c>
      <c r="F1544" s="1" t="str">
        <f ca="1">IFERROR(__xludf.DUMMYFUNCTION("""COMPUTED_VALUE"""),"No, But if someone could bare the cost I will")</f>
        <v>No, But if someone could bare the cost I will</v>
      </c>
      <c r="G1544" s="1" t="str">
        <f ca="1">IFERROR(__xludf.DUMMYFUNCTION("""COMPUTED_VALUE"""),"Will work for 3 years or more")</f>
        <v>Will work for 3 years or more</v>
      </c>
      <c r="H1544" s="1" t="str">
        <f ca="1">IFERROR(__xludf.DUMMYFUNCTION("""COMPUTED_VALUE"""),"No")</f>
        <v>No</v>
      </c>
      <c r="I1544" s="1" t="str">
        <f ca="1">IFERROR(__xludf.DUMMYFUNCTION("""COMPUTED_VALUE"""),"Will NOT work for them")</f>
        <v>Will NOT work for them</v>
      </c>
      <c r="J1544" s="1">
        <f ca="1">IFERROR(__xludf.DUMMYFUNCTION("""COMPUTED_VALUE"""),4)</f>
        <v>4</v>
      </c>
      <c r="K1544" s="1" t="str">
        <f ca="1">IFERROR(__xludf.DUMMYFUNCTION("""COMPUTED_VALUE"""),"Every Day Office Environment")</f>
        <v>Every Day Office Environment</v>
      </c>
      <c r="L1544" s="1" t="str">
        <f ca="1">IFERROR(__xludf.DUMMYFUNCTION("""COMPUTED_VALUE"""),"Employer who appreciates learning and enables that environment")</f>
        <v>Employer who appreciates learning and enables that environment</v>
      </c>
      <c r="M154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44" s="1" t="str">
        <f ca="1">IFERROR(__xludf.DUMMYFUNCTION("""COMPUTED_VALUE"""),"Teaching in any of the institutes/colleges/online or offline, Manage and drive End-to-End Projects or Products, Work as a freelancer and do my thing my way, Entrepreneur or Start Up")</f>
        <v>Teaching in any of the institutes/colleges/online or offline, Manage and drive End-to-End Projects or Products, Work as a freelancer and do my thing my way, Entrepreneur or Start Up</v>
      </c>
      <c r="O1544" s="1" t="str">
        <f ca="1">IFERROR(__xludf.DUMMYFUNCTION("""COMPUTED_VALUE"""),"Manager who sets goal and helps me achieve it")</f>
        <v>Manager who sets goal and helps me achieve it</v>
      </c>
      <c r="P1544" s="1" t="str">
        <f ca="1">IFERROR(__xludf.DUMMYFUNCTION("""COMPUTED_VALUE"""),"Work with more than 10 people in my team")</f>
        <v>Work with more than 10 people in my team</v>
      </c>
      <c r="Q1544" s="1" t="str">
        <f ca="1">IFERROR(__xludf.DUMMYFUNCTION("""COMPUTED_VALUE"""),"No")</f>
        <v>No</v>
      </c>
      <c r="R1544" s="1" t="str">
        <f ca="1">IFERROR(__xludf.DUMMYFUNCTION("""COMPUTED_VALUE"""),"This will be hard to do, but if it is the right company I would try")</f>
        <v>This will be hard to do, but if it is the right company I would try</v>
      </c>
      <c r="S1544" s="1"/>
    </row>
    <row r="1545" spans="1:19" ht="12.5" x14ac:dyDescent="0.25">
      <c r="A1545" s="2">
        <f ca="1">IFERROR(__xludf.DUMMYFUNCTION("""COMPUTED_VALUE"""),45045.7821344675)</f>
        <v>45045.782134467503</v>
      </c>
      <c r="B1545" s="1" t="str">
        <f ca="1">IFERROR(__xludf.DUMMYFUNCTION("""COMPUTED_VALUE"""),"India")</f>
        <v>India</v>
      </c>
      <c r="C1545" s="1">
        <f ca="1">IFERROR(__xludf.DUMMYFUNCTION("""COMPUTED_VALUE"""),122008)</f>
        <v>122008</v>
      </c>
      <c r="D1545" s="1" t="str">
        <f ca="1">IFERROR(__xludf.DUMMYFUNCTION("""COMPUTED_VALUE"""),"Male")</f>
        <v>Male</v>
      </c>
      <c r="E1545" s="1" t="str">
        <f ca="1">IFERROR(__xludf.DUMMYFUNCTION("""COMPUTED_VALUE"""),"My Parents")</f>
        <v>My Parents</v>
      </c>
      <c r="F1545" s="1" t="str">
        <f ca="1">IFERROR(__xludf.DUMMYFUNCTION("""COMPUTED_VALUE"""),"No, But if someone could bare the cost I will")</f>
        <v>No, But if someone could bare the cost I will</v>
      </c>
      <c r="G1545" s="1" t="str">
        <f ca="1">IFERROR(__xludf.DUMMYFUNCTION("""COMPUTED_VALUE"""),"Will work for 3 years or more")</f>
        <v>Will work for 3 years or more</v>
      </c>
      <c r="H1545" s="1" t="str">
        <f ca="1">IFERROR(__xludf.DUMMYFUNCTION("""COMPUTED_VALUE"""),"No")</f>
        <v>No</v>
      </c>
      <c r="I1545" s="1" t="str">
        <f ca="1">IFERROR(__xludf.DUMMYFUNCTION("""COMPUTED_VALUE"""),"Will NOT work for them")</f>
        <v>Will NOT work for them</v>
      </c>
      <c r="J1545" s="1">
        <f ca="1">IFERROR(__xludf.DUMMYFUNCTION("""COMPUTED_VALUE"""),8)</f>
        <v>8</v>
      </c>
      <c r="K1545" s="1" t="str">
        <f ca="1">IFERROR(__xludf.DUMMYFUNCTION("""COMPUTED_VALUE"""),"Hybrid Working Environment with more than 15 days a month at office")</f>
        <v>Hybrid Working Environment with more than 15 days a month at office</v>
      </c>
      <c r="L15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4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45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1545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5" s="1" t="str">
        <f ca="1">IFERROR(__xludf.DUMMYFUNCTION("""COMPUTED_VALUE"""),"Work with more than 10 people in my team")</f>
        <v>Work with more than 10 people in my team</v>
      </c>
      <c r="Q1545" s="1" t="str">
        <f ca="1">IFERROR(__xludf.DUMMYFUNCTION("""COMPUTED_VALUE"""),"Yes, I Understand this is gonna happen everywhere")</f>
        <v>Yes, I Understand this is gonna happen everywhere</v>
      </c>
      <c r="R1545" s="1" t="str">
        <f ca="1">IFERROR(__xludf.DUMMYFUNCTION("""COMPUTED_VALUE"""),"This will be hard to do, but if it is the right company I would try")</f>
        <v>This will be hard to do, but if it is the right company I would try</v>
      </c>
      <c r="S1545" s="1"/>
    </row>
    <row r="1546" spans="1:19" ht="12.5" x14ac:dyDescent="0.25">
      <c r="A1546" s="2">
        <f ca="1">IFERROR(__xludf.DUMMYFUNCTION("""COMPUTED_VALUE"""),45045.7939083912)</f>
        <v>45045.793908391199</v>
      </c>
      <c r="B1546" s="1" t="str">
        <f ca="1">IFERROR(__xludf.DUMMYFUNCTION("""COMPUTED_VALUE"""),"India")</f>
        <v>India</v>
      </c>
      <c r="C1546" s="1">
        <f ca="1">IFERROR(__xludf.DUMMYFUNCTION("""COMPUTED_VALUE"""),160062)</f>
        <v>160062</v>
      </c>
      <c r="D1546" s="1" t="str">
        <f ca="1">IFERROR(__xludf.DUMMYFUNCTION("""COMPUTED_VALUE"""),"Female")</f>
        <v>Female</v>
      </c>
      <c r="E1546" s="1" t="str">
        <f ca="1">IFERROR(__xludf.DUMMYFUNCTION("""COMPUTED_VALUE"""),"Influencers who had successful careers")</f>
        <v>Influencers who had successful careers</v>
      </c>
      <c r="F1546" s="1" t="str">
        <f ca="1">IFERROR(__xludf.DUMMYFUNCTION("""COMPUTED_VALUE"""),"Yes, I will earn and do that")</f>
        <v>Yes, I will earn and do that</v>
      </c>
      <c r="G1546" s="1" t="str">
        <f ca="1">IFERROR(__xludf.DUMMYFUNCTION("""COMPUTED_VALUE"""),"This will be hard to do, but if it is the right company I would try")</f>
        <v>This will be hard to do, but if it is the right company I would try</v>
      </c>
      <c r="H1546" s="1" t="str">
        <f ca="1">IFERROR(__xludf.DUMMYFUNCTION("""COMPUTED_VALUE"""),"No")</f>
        <v>No</v>
      </c>
      <c r="I1546" s="1" t="str">
        <f ca="1">IFERROR(__xludf.DUMMYFUNCTION("""COMPUTED_VALUE"""),"Will NOT work for them")</f>
        <v>Will NOT work for them</v>
      </c>
      <c r="J1546" s="1">
        <f ca="1">IFERROR(__xludf.DUMMYFUNCTION("""COMPUTED_VALUE"""),3)</f>
        <v>3</v>
      </c>
      <c r="K1546" s="1" t="str">
        <f ca="1">IFERROR(__xludf.DUMMYFUNCTION("""COMPUTED_VALUE"""),"Hybrid Working Environment with more than 15 days a month at office")</f>
        <v>Hybrid Working Environment with more than 15 days a month at office</v>
      </c>
      <c r="L15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4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546" s="1" t="str">
        <f ca="1">IFERROR(__xludf.DUMMYFUNCTION("""COMPUTED_VALUE"""),"Design and Creative strategy in any company, Teaching in any of the institutes/colleges/online or offline, Work as a freelancer and do my thing my way, Become a content Creator in some platform")</f>
        <v>Design and Creative strategy in any company, Teaching in any of the institutes/colleges/online or offline, Work as a freelancer and do my thing my way, Become a content Creator in some platform</v>
      </c>
      <c r="O1546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6" s="1" t="str">
        <f ca="1">IFERROR(__xludf.DUMMYFUNCTION("""COMPUTED_VALUE"""),"Work with 5 to 6 people in my team")</f>
        <v>Work with 5 to 6 people in my team</v>
      </c>
      <c r="Q1546" s="1" t="str">
        <f ca="1">IFERROR(__xludf.DUMMYFUNCTION("""COMPUTED_VALUE"""),"No")</f>
        <v>No</v>
      </c>
      <c r="R1546" s="1" t="str">
        <f ca="1">IFERROR(__xludf.DUMMYFUNCTION("""COMPUTED_VALUE"""),"No way")</f>
        <v>No way</v>
      </c>
      <c r="S1546" s="1"/>
    </row>
    <row r="1547" spans="1:19" ht="12.5" x14ac:dyDescent="0.25">
      <c r="A1547" s="2">
        <f ca="1">IFERROR(__xludf.DUMMYFUNCTION("""COMPUTED_VALUE"""),45045.7970205324)</f>
        <v>45045.797020532402</v>
      </c>
      <c r="B1547" s="1" t="str">
        <f ca="1">IFERROR(__xludf.DUMMYFUNCTION("""COMPUTED_VALUE"""),"India")</f>
        <v>India</v>
      </c>
      <c r="C1547" s="1">
        <f ca="1">IFERROR(__xludf.DUMMYFUNCTION("""COMPUTED_VALUE"""),400703)</f>
        <v>400703</v>
      </c>
      <c r="D1547" s="1" t="str">
        <f ca="1">IFERROR(__xludf.DUMMYFUNCTION("""COMPUTED_VALUE"""),"Male")</f>
        <v>Male</v>
      </c>
      <c r="E1547" s="1" t="str">
        <f ca="1">IFERROR(__xludf.DUMMYFUNCTION("""COMPUTED_VALUE"""),"My Parents")</f>
        <v>My Parents</v>
      </c>
      <c r="F1547" s="1" t="str">
        <f ca="1">IFERROR(__xludf.DUMMYFUNCTION("""COMPUTED_VALUE"""),"No, But if someone could bare the cost I will")</f>
        <v>No, But if someone could bare the cost I will</v>
      </c>
      <c r="G1547" s="1" t="str">
        <f ca="1">IFERROR(__xludf.DUMMYFUNCTION("""COMPUTED_VALUE"""),"Will work for 3 years or more")</f>
        <v>Will work for 3 years or more</v>
      </c>
      <c r="H1547" s="1" t="str">
        <f ca="1">IFERROR(__xludf.DUMMYFUNCTION("""COMPUTED_VALUE"""),"Yes")</f>
        <v>Yes</v>
      </c>
      <c r="I1547" s="1" t="str">
        <f ca="1">IFERROR(__xludf.DUMMYFUNCTION("""COMPUTED_VALUE"""),"Will work for them")</f>
        <v>Will work for them</v>
      </c>
      <c r="J1547" s="1">
        <f ca="1">IFERROR(__xludf.DUMMYFUNCTION("""COMPUTED_VALUE"""),8)</f>
        <v>8</v>
      </c>
      <c r="K1547" s="1" t="str">
        <f ca="1">IFERROR(__xludf.DUMMYFUNCTION("""COMPUTED_VALUE"""),"Hybrid Working Environment with more than 15 days a month at office")</f>
        <v>Hybrid Working Environment with more than 15 days a month at office</v>
      </c>
      <c r="L15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4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547" s="1" t="str">
        <f ca="1">IFERROR(__xludf.DUMMYFUNCTION("""COMPUTED_VALUE"""),"Design and Creative strategy in any company, Manage and drive End-to-End Projects or Products, Build and develop a Team, Become a content Creator in some platform")</f>
        <v>Design and Creative strategy in any company, Manage and drive End-to-End Projects or Products, Build and develop a Team, Become a content Creator in some platform</v>
      </c>
      <c r="O1547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7" s="1" t="str">
        <f ca="1">IFERROR(__xludf.DUMMYFUNCTION("""COMPUTED_VALUE"""),"Work with 7 to 10 or more people in my team")</f>
        <v>Work with 7 to 10 or more people in my team</v>
      </c>
      <c r="Q1547" s="1" t="str">
        <f ca="1">IFERROR(__xludf.DUMMYFUNCTION("""COMPUTED_VALUE"""),"Yes, I Understand this is gonna happen everywhere")</f>
        <v>Yes, I Understand this is gonna happen everywhere</v>
      </c>
      <c r="R1547" s="1" t="str">
        <f ca="1">IFERROR(__xludf.DUMMYFUNCTION("""COMPUTED_VALUE"""),"This will be hard to do, but if it is the right company I would try")</f>
        <v>This will be hard to do, but if it is the right company I would try</v>
      </c>
      <c r="S1547" s="1"/>
    </row>
    <row r="1548" spans="1:19" ht="12.5" x14ac:dyDescent="0.25">
      <c r="A1548" s="2">
        <f ca="1">IFERROR(__xludf.DUMMYFUNCTION("""COMPUTED_VALUE"""),45045.7978296875)</f>
        <v>45045.797829687501</v>
      </c>
      <c r="B1548" s="1" t="str">
        <f ca="1">IFERROR(__xludf.DUMMYFUNCTION("""COMPUTED_VALUE"""),"India")</f>
        <v>India</v>
      </c>
      <c r="C1548" s="1">
        <f ca="1">IFERROR(__xludf.DUMMYFUNCTION("""COMPUTED_VALUE"""),110019)</f>
        <v>110019</v>
      </c>
      <c r="D1548" s="1" t="str">
        <f ca="1">IFERROR(__xludf.DUMMYFUNCTION("""COMPUTED_VALUE"""),"Female")</f>
        <v>Female</v>
      </c>
      <c r="E1548" s="1" t="str">
        <f ca="1">IFERROR(__xludf.DUMMYFUNCTION("""COMPUTED_VALUE"""),"My Parents")</f>
        <v>My Parents</v>
      </c>
      <c r="F1548" s="1" t="str">
        <f ca="1">IFERROR(__xludf.DUMMYFUNCTION("""COMPUTED_VALUE"""),"Yes, I will earn and do that")</f>
        <v>Yes, I will earn and do that</v>
      </c>
      <c r="G1548" s="1" t="str">
        <f ca="1">IFERROR(__xludf.DUMMYFUNCTION("""COMPUTED_VALUE"""),"This will be hard to do, but if it is the right company I would try")</f>
        <v>This will be hard to do, but if it is the right company I would try</v>
      </c>
      <c r="H1548" s="1" t="str">
        <f ca="1">IFERROR(__xludf.DUMMYFUNCTION("""COMPUTED_VALUE"""),"Yes")</f>
        <v>Yes</v>
      </c>
      <c r="I1548" s="1" t="str">
        <f ca="1">IFERROR(__xludf.DUMMYFUNCTION("""COMPUTED_VALUE"""),"Will NOT work for them")</f>
        <v>Will NOT work for them</v>
      </c>
      <c r="J1548" s="1">
        <f ca="1">IFERROR(__xludf.DUMMYFUNCTION("""COMPUTED_VALUE"""),5)</f>
        <v>5</v>
      </c>
      <c r="K1548" s="1" t="str">
        <f ca="1">IFERROR(__xludf.DUMMYFUNCTION("""COMPUTED_VALUE"""),"Fully Remote with Options to travel as and when needed")</f>
        <v>Fully Remote with Options to travel as and when needed</v>
      </c>
      <c r="L15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4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48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548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8" s="1" t="str">
        <f ca="1">IFERROR(__xludf.DUMMYFUNCTION("""COMPUTED_VALUE"""),"Work with 2 to 3 people in my team")</f>
        <v>Work with 2 to 3 people in my team</v>
      </c>
      <c r="Q1548" s="1" t="str">
        <f ca="1">IFERROR(__xludf.DUMMYFUNCTION("""COMPUTED_VALUE"""),"Yes, I Understand this is gonna happen everywhere")</f>
        <v>Yes, I Understand this is gonna happen everywhere</v>
      </c>
      <c r="R1548" s="1" t="str">
        <f ca="1">IFERROR(__xludf.DUMMYFUNCTION("""COMPUTED_VALUE"""),"This will be hard to do, but if it is the right company I would try")</f>
        <v>This will be hard to do, but if it is the right company I would try</v>
      </c>
      <c r="S1548" s="1"/>
    </row>
    <row r="1549" spans="1:19" ht="12.5" x14ac:dyDescent="0.25">
      <c r="A1549" s="2">
        <f ca="1">IFERROR(__xludf.DUMMYFUNCTION("""COMPUTED_VALUE"""),45045.801921331)</f>
        <v>45045.801921331004</v>
      </c>
      <c r="B1549" s="1" t="str">
        <f ca="1">IFERROR(__xludf.DUMMYFUNCTION("""COMPUTED_VALUE"""),"India")</f>
        <v>India</v>
      </c>
      <c r="C1549" s="1">
        <f ca="1">IFERROR(__xludf.DUMMYFUNCTION("""COMPUTED_VALUE"""),410206)</f>
        <v>410206</v>
      </c>
      <c r="D1549" s="1" t="str">
        <f ca="1">IFERROR(__xludf.DUMMYFUNCTION("""COMPUTED_VALUE"""),"Male")</f>
        <v>Male</v>
      </c>
      <c r="E1549" s="1" t="str">
        <f ca="1">IFERROR(__xludf.DUMMYFUNCTION("""COMPUTED_VALUE"""),"My Parents")</f>
        <v>My Parents</v>
      </c>
      <c r="F1549" s="1" t="str">
        <f ca="1">IFERROR(__xludf.DUMMYFUNCTION("""COMPUTED_VALUE"""),"Yes, I will earn and do that")</f>
        <v>Yes, I will earn and do that</v>
      </c>
      <c r="G1549" s="1" t="str">
        <f ca="1">IFERROR(__xludf.DUMMYFUNCTION("""COMPUTED_VALUE"""),"Will work for 3 years or more")</f>
        <v>Will work for 3 years or more</v>
      </c>
      <c r="H1549" s="1" t="str">
        <f ca="1">IFERROR(__xludf.DUMMYFUNCTION("""COMPUTED_VALUE"""),"No")</f>
        <v>No</v>
      </c>
      <c r="I1549" s="1" t="str">
        <f ca="1">IFERROR(__xludf.DUMMYFUNCTION("""COMPUTED_VALUE"""),"Will NOT work for them")</f>
        <v>Will NOT work for them</v>
      </c>
      <c r="J1549" s="1">
        <f ca="1">IFERROR(__xludf.DUMMYFUNCTION("""COMPUTED_VALUE"""),3)</f>
        <v>3</v>
      </c>
      <c r="K1549" s="1" t="str">
        <f ca="1">IFERROR(__xludf.DUMMYFUNCTION("""COMPUTED_VALUE"""),"Hybrid Working Environment with more than 15 days a month at office")</f>
        <v>Hybrid Working Environment with more than 15 days a month at office</v>
      </c>
      <c r="L1549" s="1" t="str">
        <f ca="1">IFERROR(__xludf.DUMMYFUNCTION("""COMPUTED_VALUE"""),"Employer who appreciates learning and enables that environment")</f>
        <v>Employer who appreciates learning and enables that environment</v>
      </c>
      <c r="M154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49" s="1" t="str">
        <f ca="1">IFERROR(__xludf.DUMMYFUNCTION("""COMPUTED_VALUE"""),"Design and Develop amazing software, Become a content Creator in some platform, An Artificial Intelligence Specialist / Talking to Robots, Manufacturing / Oil and Gas/ Construction / Hard Physical Work related")</f>
        <v>Design and Develop amazing software, Become a content Creator in some platform, An Artificial Intelligence Specialist / Talking to Robots, Manufacturing / Oil and Gas/ Construction / Hard Physical Work related</v>
      </c>
      <c r="O154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49" s="1" t="str">
        <f ca="1">IFERROR(__xludf.DUMMYFUNCTION("""COMPUTED_VALUE"""),"Work with 2 to 3 people in my team")</f>
        <v>Work with 2 to 3 people in my team</v>
      </c>
      <c r="Q1549" s="1" t="str">
        <f ca="1">IFERROR(__xludf.DUMMYFUNCTION("""COMPUTED_VALUE"""),"Yes, I Understand this is gonna happen everywhere")</f>
        <v>Yes, I Understand this is gonna happen everywhere</v>
      </c>
      <c r="R1549" s="1" t="str">
        <f ca="1">IFERROR(__xludf.DUMMYFUNCTION("""COMPUTED_VALUE"""),"This will be hard to do, but if it is the right company I would try")</f>
        <v>This will be hard to do, but if it is the right company I would try</v>
      </c>
      <c r="S1549" s="1"/>
    </row>
    <row r="1550" spans="1:19" ht="12.5" x14ac:dyDescent="0.25">
      <c r="A1550" s="2">
        <f ca="1">IFERROR(__xludf.DUMMYFUNCTION("""COMPUTED_VALUE"""),45045.8045855092)</f>
        <v>45045.804585509199</v>
      </c>
      <c r="B1550" s="1" t="str">
        <f ca="1">IFERROR(__xludf.DUMMYFUNCTION("""COMPUTED_VALUE"""),"India")</f>
        <v>India</v>
      </c>
      <c r="C1550" s="1">
        <f ca="1">IFERROR(__xludf.DUMMYFUNCTION("""COMPUTED_VALUE"""),533262)</f>
        <v>533262</v>
      </c>
      <c r="D1550" s="1" t="str">
        <f ca="1">IFERROR(__xludf.DUMMYFUNCTION("""COMPUTED_VALUE"""),"Male")</f>
        <v>Male</v>
      </c>
      <c r="E1550" s="1" t="str">
        <f ca="1">IFERROR(__xludf.DUMMYFUNCTION("""COMPUTED_VALUE"""),"My Parents")</f>
        <v>My Parents</v>
      </c>
      <c r="F1550" s="1" t="str">
        <f ca="1">IFERROR(__xludf.DUMMYFUNCTION("""COMPUTED_VALUE"""),"No, But if someone could bare the cost I will")</f>
        <v>No, But if someone could bare the cost I will</v>
      </c>
      <c r="G1550" s="1" t="str">
        <f ca="1">IFERROR(__xludf.DUMMYFUNCTION("""COMPUTED_VALUE"""),"Will work for 3 years or more")</f>
        <v>Will work for 3 years or more</v>
      </c>
      <c r="H1550" s="1" t="str">
        <f ca="1">IFERROR(__xludf.DUMMYFUNCTION("""COMPUTED_VALUE"""),"No")</f>
        <v>No</v>
      </c>
      <c r="I1550" s="1" t="str">
        <f ca="1">IFERROR(__xludf.DUMMYFUNCTION("""COMPUTED_VALUE"""),"Will NOT work for them")</f>
        <v>Will NOT work for them</v>
      </c>
      <c r="J1550" s="1">
        <f ca="1">IFERROR(__xludf.DUMMYFUNCTION("""COMPUTED_VALUE"""),5)</f>
        <v>5</v>
      </c>
      <c r="K1550" s="1" t="str">
        <f ca="1">IFERROR(__xludf.DUMMYFUNCTION("""COMPUTED_VALUE"""),"Every Day Office Environment")</f>
        <v>Every Day Office Environment</v>
      </c>
      <c r="L1550" s="1" t="str">
        <f ca="1">IFERROR(__xludf.DUMMYFUNCTION("""COMPUTED_VALUE"""),"Employer who appreciates learning and enables that environment")</f>
        <v>Employer who appreciates learning and enables that environment</v>
      </c>
      <c r="M155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550" s="1" t="str">
        <f ca="1">IFERROR(__xludf.DUMMYFUNCTION("""COMPUTED_VALUE"""),"Design and Develop amazing software, Look deeply into Data and generate insights, Become a content Creator in some platform, An Artificial Intelligence Specialist / Talking to Robots")</f>
        <v>Design and Develop amazing software, Look deeply into Data and generate insights, Become a content Creator in some platform, An Artificial Intelligence Specialist / Talking to Robots</v>
      </c>
      <c r="O1550" s="1" t="str">
        <f ca="1">IFERROR(__xludf.DUMMYFUNCTION("""COMPUTED_VALUE"""),"Manager who explains what is expected, sets a goal and helps achieve it")</f>
        <v>Manager who explains what is expected, sets a goal and helps achieve it</v>
      </c>
      <c r="P1550" s="1" t="str">
        <f ca="1">IFERROR(__xludf.DUMMYFUNCTION("""COMPUTED_VALUE"""),"Work with 2 to 3 people in my team, Work with 5 to 6 people in my team")</f>
        <v>Work with 2 to 3 people in my team, Work with 5 to 6 people in my team</v>
      </c>
      <c r="Q1550" s="1" t="str">
        <f ca="1">IFERROR(__xludf.DUMMYFUNCTION("""COMPUTED_VALUE"""),"Yes, I Understand this is gonna happen everywhere")</f>
        <v>Yes, I Understand this is gonna happen everywhere</v>
      </c>
      <c r="R1550" s="1" t="str">
        <f ca="1">IFERROR(__xludf.DUMMYFUNCTION("""COMPUTED_VALUE"""),"This will be hard to do, but if it is the right company I would try")</f>
        <v>This will be hard to do, but if it is the right company I would try</v>
      </c>
      <c r="S1550" s="1"/>
    </row>
    <row r="1551" spans="1:19" ht="12.5" x14ac:dyDescent="0.25">
      <c r="A1551" s="2">
        <f ca="1">IFERROR(__xludf.DUMMYFUNCTION("""COMPUTED_VALUE"""),45045.8133652083)</f>
        <v>45045.813365208298</v>
      </c>
      <c r="B1551" s="1" t="str">
        <f ca="1">IFERROR(__xludf.DUMMYFUNCTION("""COMPUTED_VALUE"""),"India")</f>
        <v>India</v>
      </c>
      <c r="C1551" s="1">
        <f ca="1">IFERROR(__xludf.DUMMYFUNCTION("""COMPUTED_VALUE"""),400050)</f>
        <v>400050</v>
      </c>
      <c r="D1551" s="1" t="str">
        <f ca="1">IFERROR(__xludf.DUMMYFUNCTION("""COMPUTED_VALUE"""),"Female")</f>
        <v>Female</v>
      </c>
      <c r="E1551" s="1" t="str">
        <f ca="1">IFERROR(__xludf.DUMMYFUNCTION("""COMPUTED_VALUE"""),"People from my circle, but not family members")</f>
        <v>People from my circle, but not family members</v>
      </c>
      <c r="F1551" s="1" t="str">
        <f ca="1">IFERROR(__xludf.DUMMYFUNCTION("""COMPUTED_VALUE"""),"No I would not be pursuing Higher Education outside of India")</f>
        <v>No I would not be pursuing Higher Education outside of India</v>
      </c>
      <c r="G1551" s="1" t="str">
        <f ca="1">IFERROR(__xludf.DUMMYFUNCTION("""COMPUTED_VALUE"""),"This will be hard to do, but if it is the right company I would try")</f>
        <v>This will be hard to do, but if it is the right company I would try</v>
      </c>
      <c r="H1551" s="1" t="str">
        <f ca="1">IFERROR(__xludf.DUMMYFUNCTION("""COMPUTED_VALUE"""),"No")</f>
        <v>No</v>
      </c>
      <c r="I1551" s="1" t="str">
        <f ca="1">IFERROR(__xludf.DUMMYFUNCTION("""COMPUTED_VALUE"""),"Will NOT work for them")</f>
        <v>Will NOT work for them</v>
      </c>
      <c r="J1551" s="1">
        <f ca="1">IFERROR(__xludf.DUMMYFUNCTION("""COMPUTED_VALUE"""),7)</f>
        <v>7</v>
      </c>
      <c r="K1551" s="1" t="str">
        <f ca="1">IFERROR(__xludf.DUMMYFUNCTION("""COMPUTED_VALUE"""),"Fully Remote with Options to travel as and when needed")</f>
        <v>Fully Remote with Options to travel as and when needed</v>
      </c>
      <c r="L1551" s="1" t="str">
        <f ca="1">IFERROR(__xludf.DUMMYFUNCTION("""COMPUTED_VALUE"""),"Employer who rewards learning and enables that environment")</f>
        <v>Employer who rewards learning and enables that environment</v>
      </c>
      <c r="M155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551" s="1" t="str">
        <f ca="1">IFERROR(__xludf.DUMMYFUNCTION("""COMPUTED_VALUE"""),"Design and Creative strategy in any company, Teaching in any of the institutes/colleges/online or offline, Manage and drive End-to-End Projects or Products, Work as a freelancer and do my thing my way")</f>
        <v>Design and Creative strategy in any company, Teaching in any of the institutes/colleges/online or offline, Manage and drive End-to-End Projects or Products, Work as a freelancer and do my thing my way</v>
      </c>
      <c r="O155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51" s="1" t="str">
        <f ca="1">IFERROR(__xludf.DUMMYFUNCTION("""COMPUTED_VALUE"""),"Work with 2 to 3 people in my team, Work with 5 to 6 people in my team")</f>
        <v>Work with 2 to 3 people in my team, Work with 5 to 6 people in my team</v>
      </c>
      <c r="Q1551" s="1" t="str">
        <f ca="1">IFERROR(__xludf.DUMMYFUNCTION("""COMPUTED_VALUE"""),"Yes, I Understand this is gonna happen everywhere")</f>
        <v>Yes, I Understand this is gonna happen everywhere</v>
      </c>
      <c r="R1551" s="1" t="str">
        <f ca="1">IFERROR(__xludf.DUMMYFUNCTION("""COMPUTED_VALUE"""),"This will be hard to do, but if it is the right company I would try")</f>
        <v>This will be hard to do, but if it is the right company I would try</v>
      </c>
      <c r="S1551" s="1"/>
    </row>
    <row r="1552" spans="1:19" ht="12.5" x14ac:dyDescent="0.25">
      <c r="A1552" s="2">
        <f ca="1">IFERROR(__xludf.DUMMYFUNCTION("""COMPUTED_VALUE"""),45045.8198918518)</f>
        <v>45045.819891851803</v>
      </c>
      <c r="B1552" s="1" t="str">
        <f ca="1">IFERROR(__xludf.DUMMYFUNCTION("""COMPUTED_VALUE"""),"India")</f>
        <v>India</v>
      </c>
      <c r="C1552" s="1">
        <f ca="1">IFERROR(__xludf.DUMMYFUNCTION("""COMPUTED_VALUE"""),700118)</f>
        <v>700118</v>
      </c>
      <c r="D1552" s="1" t="str">
        <f ca="1">IFERROR(__xludf.DUMMYFUNCTION("""COMPUTED_VALUE"""),"Male")</f>
        <v>Male</v>
      </c>
      <c r="E1552" s="1" t="str">
        <f ca="1">IFERROR(__xludf.DUMMYFUNCTION("""COMPUTED_VALUE"""),"People who have changed the world for better")</f>
        <v>People who have changed the world for better</v>
      </c>
      <c r="F1552" s="1" t="str">
        <f ca="1">IFERROR(__xludf.DUMMYFUNCTION("""COMPUTED_VALUE"""),"No I would not be pursuing Higher Education outside of India")</f>
        <v>No I would not be pursuing Higher Education outside of India</v>
      </c>
      <c r="G1552" s="1" t="str">
        <f ca="1">IFERROR(__xludf.DUMMYFUNCTION("""COMPUTED_VALUE"""),"This will be hard to do, but if it is the right company I would try")</f>
        <v>This will be hard to do, but if it is the right company I would try</v>
      </c>
      <c r="H1552" s="1" t="str">
        <f ca="1">IFERROR(__xludf.DUMMYFUNCTION("""COMPUTED_VALUE"""),"No")</f>
        <v>No</v>
      </c>
      <c r="I1552" s="1" t="str">
        <f ca="1">IFERROR(__xludf.DUMMYFUNCTION("""COMPUTED_VALUE"""),"Will NOT work for them")</f>
        <v>Will NOT work for them</v>
      </c>
      <c r="J1552" s="1">
        <f ca="1">IFERROR(__xludf.DUMMYFUNCTION("""COMPUTED_VALUE"""),1)</f>
        <v>1</v>
      </c>
      <c r="K1552" s="1" t="str">
        <f ca="1">IFERROR(__xludf.DUMMYFUNCTION("""COMPUTED_VALUE"""),"Hybrid Working Environment with more than 15 days a month at office")</f>
        <v>Hybrid Working Environment with more than 15 days a month at office</v>
      </c>
      <c r="L1552" s="1" t="str">
        <f ca="1">IFERROR(__xludf.DUMMYFUNCTION("""COMPUTED_VALUE"""),"Employer who appreciates learning and enables that environment")</f>
        <v>Employer who appreciates learning and enables that environment</v>
      </c>
      <c r="M155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552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552" s="1" t="str">
        <f ca="1">IFERROR(__xludf.DUMMYFUNCTION("""COMPUTED_VALUE"""),"Manager who sets goal and helps me achieve it")</f>
        <v>Manager who sets goal and helps me achieve it</v>
      </c>
      <c r="P1552" s="1" t="str">
        <f ca="1">IFERROR(__xludf.DUMMYFUNCTION("""COMPUTED_VALUE"""),"Work with 5 to 6 people in my team")</f>
        <v>Work with 5 to 6 people in my team</v>
      </c>
      <c r="Q1552" s="1" t="str">
        <f ca="1">IFERROR(__xludf.DUMMYFUNCTION("""COMPUTED_VALUE"""),"Yes, I Understand this is gonna happen everywhere")</f>
        <v>Yes, I Understand this is gonna happen everywhere</v>
      </c>
      <c r="R1552" s="1" t="str">
        <f ca="1">IFERROR(__xludf.DUMMYFUNCTION("""COMPUTED_VALUE"""),"No way")</f>
        <v>No way</v>
      </c>
      <c r="S1552" s="1"/>
    </row>
    <row r="1553" spans="1:19" ht="12.5" x14ac:dyDescent="0.25">
      <c r="A1553" s="2">
        <f ca="1">IFERROR(__xludf.DUMMYFUNCTION("""COMPUTED_VALUE"""),45045.8252145486)</f>
        <v>45045.825214548597</v>
      </c>
      <c r="B1553" s="1" t="str">
        <f ca="1">IFERROR(__xludf.DUMMYFUNCTION("""COMPUTED_VALUE"""),"India")</f>
        <v>India</v>
      </c>
      <c r="C1553" s="1">
        <f ca="1">IFERROR(__xludf.DUMMYFUNCTION("""COMPUTED_VALUE"""),605010)</f>
        <v>605010</v>
      </c>
      <c r="D1553" s="1" t="str">
        <f ca="1">IFERROR(__xludf.DUMMYFUNCTION("""COMPUTED_VALUE"""),"Female")</f>
        <v>Female</v>
      </c>
      <c r="E1553" s="1" t="str">
        <f ca="1">IFERROR(__xludf.DUMMYFUNCTION("""COMPUTED_VALUE"""),"Influencers who had successful careers")</f>
        <v>Influencers who had successful careers</v>
      </c>
      <c r="F1553" s="1" t="str">
        <f ca="1">IFERROR(__xludf.DUMMYFUNCTION("""COMPUTED_VALUE"""),"No, But if someone could bare the cost I will")</f>
        <v>No, But if someone could bare the cost I will</v>
      </c>
      <c r="G1553" s="1" t="str">
        <f ca="1">IFERROR(__xludf.DUMMYFUNCTION("""COMPUTED_VALUE"""),"Will work for 3 years or more")</f>
        <v>Will work for 3 years or more</v>
      </c>
      <c r="H1553" s="1" t="str">
        <f ca="1">IFERROR(__xludf.DUMMYFUNCTION("""COMPUTED_VALUE"""),"No")</f>
        <v>No</v>
      </c>
      <c r="I1553" s="1" t="str">
        <f ca="1">IFERROR(__xludf.DUMMYFUNCTION("""COMPUTED_VALUE"""),"Will NOT work for them")</f>
        <v>Will NOT work for them</v>
      </c>
      <c r="J1553" s="1">
        <f ca="1">IFERROR(__xludf.DUMMYFUNCTION("""COMPUTED_VALUE"""),3)</f>
        <v>3</v>
      </c>
      <c r="K1553" s="1" t="str">
        <f ca="1">IFERROR(__xludf.DUMMYFUNCTION("""COMPUTED_VALUE"""),"Hybrid Working Environment with more than 15 days a month at office")</f>
        <v>Hybrid Working Environment with more than 15 days a month at office</v>
      </c>
      <c r="L1553" s="1" t="str">
        <f ca="1">IFERROR(__xludf.DUMMYFUNCTION("""COMPUTED_VALUE"""),"Employer who rewards learning and enables that environment")</f>
        <v>Employer who rewards learning and enables that environment</v>
      </c>
      <c r="M155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53" s="1" t="str">
        <f ca="1">IFERROR(__xludf.DUMMYFUNCTION("""COMPUTED_VALUE"""),"Teaching in any of the institutes/colleges/online or offline, Work as a freelancer and do my thing my way, Entrepreneur or Start Up, An Artificial Intelligence Specialist / Talking to Robots")</f>
        <v>Teaching in any of the institutes/colleges/online or offline, Work as a freelancer and do my thing my way, Entrepreneur or Start Up, An Artificial Intelligence Specialist / Talking to Robots</v>
      </c>
      <c r="O155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53" s="1" t="str">
        <f ca="1">IFERROR(__xludf.DUMMYFUNCTION("""COMPUTED_VALUE"""),"Work with 5 to 6 people in my team")</f>
        <v>Work with 5 to 6 people in my team</v>
      </c>
      <c r="Q1553" s="1" t="str">
        <f ca="1">IFERROR(__xludf.DUMMYFUNCTION("""COMPUTED_VALUE"""),"No")</f>
        <v>No</v>
      </c>
      <c r="R1553" s="1" t="str">
        <f ca="1">IFERROR(__xludf.DUMMYFUNCTION("""COMPUTED_VALUE"""),"Will work for 7 years or more")</f>
        <v>Will work for 7 years or more</v>
      </c>
      <c r="S1553" s="1"/>
    </row>
    <row r="1554" spans="1:19" ht="12.5" x14ac:dyDescent="0.25">
      <c r="A1554" s="2">
        <f ca="1">IFERROR(__xludf.DUMMYFUNCTION("""COMPUTED_VALUE"""),45045.8261623958)</f>
        <v>45045.826162395802</v>
      </c>
      <c r="B1554" s="1" t="str">
        <f ca="1">IFERROR(__xludf.DUMMYFUNCTION("""COMPUTED_VALUE"""),"Others")</f>
        <v>Others</v>
      </c>
      <c r="C1554" s="1">
        <f ca="1">IFERROR(__xludf.DUMMYFUNCTION("""COMPUTED_VALUE"""),2145)</f>
        <v>2145</v>
      </c>
      <c r="D1554" s="1" t="str">
        <f ca="1">IFERROR(__xludf.DUMMYFUNCTION("""COMPUTED_VALUE"""),"Female")</f>
        <v>Female</v>
      </c>
      <c r="E1554" s="1" t="str">
        <f ca="1">IFERROR(__xludf.DUMMYFUNCTION("""COMPUTED_VALUE"""),"People who have changed the world for better")</f>
        <v>People who have changed the world for better</v>
      </c>
      <c r="F1554" s="1" t="str">
        <f ca="1">IFERROR(__xludf.DUMMYFUNCTION("""COMPUTED_VALUE"""),"No, But if someone could bare the cost I will")</f>
        <v>No, But if someone could bare the cost I will</v>
      </c>
      <c r="G1554" s="1" t="str">
        <f ca="1">IFERROR(__xludf.DUMMYFUNCTION("""COMPUTED_VALUE"""),"This will be hard to do, but if it is the right company I would try")</f>
        <v>This will be hard to do, but if it is the right company I would try</v>
      </c>
      <c r="H1554" s="1" t="str">
        <f ca="1">IFERROR(__xludf.DUMMYFUNCTION("""COMPUTED_VALUE"""),"No")</f>
        <v>No</v>
      </c>
      <c r="I1554" s="1" t="str">
        <f ca="1">IFERROR(__xludf.DUMMYFUNCTION("""COMPUTED_VALUE"""),"Will NOT work for them")</f>
        <v>Will NOT work for them</v>
      </c>
      <c r="J1554" s="1">
        <f ca="1">IFERROR(__xludf.DUMMYFUNCTION("""COMPUTED_VALUE"""),1)</f>
        <v>1</v>
      </c>
      <c r="K1554" s="1" t="str">
        <f ca="1">IFERROR(__xludf.DUMMYFUNCTION("""COMPUTED_VALUE"""),"Fully Remote with Options to travel as and when needed")</f>
        <v>Fully Remote with Options to travel as and when needed</v>
      </c>
      <c r="L1554" s="1" t="str">
        <f ca="1">IFERROR(__xludf.DUMMYFUNCTION("""COMPUTED_VALUE"""),"Employer who rewards learning and enables that environment")</f>
        <v>Employer who rewards learning and enables that environment</v>
      </c>
      <c r="M155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54" s="1" t="str">
        <f ca="1">IFERROR(__xludf.DUMMYFUNCTION("""COMPUTED_VALUE"""),"Business Operations in any organization, Build and develop a Team, Design and Develop amazing software, Work as a freelancer and do my thing my way")</f>
        <v>Business Operations in any organization, Build and develop a Team, Design and Develop amazing software, Work as a freelancer and do my thing my way</v>
      </c>
      <c r="O1554" s="1" t="str">
        <f ca="1">IFERROR(__xludf.DUMMYFUNCTION("""COMPUTED_VALUE"""),"Manager who explains what is expected, sets a goal and helps achieve it")</f>
        <v>Manager who explains what is expected, sets a goal and helps achieve it</v>
      </c>
      <c r="P1554" s="1" t="str">
        <f ca="1">IFERROR(__xludf.DUMMYFUNCTION("""COMPUTED_VALUE"""),"Work with 5 to 6 people in my team")</f>
        <v>Work with 5 to 6 people in my team</v>
      </c>
      <c r="Q1554" s="1" t="str">
        <f ca="1">IFERROR(__xludf.DUMMYFUNCTION("""COMPUTED_VALUE"""),"No")</f>
        <v>No</v>
      </c>
      <c r="R1554" s="1" t="str">
        <f ca="1">IFERROR(__xludf.DUMMYFUNCTION("""COMPUTED_VALUE"""),"No way")</f>
        <v>No way</v>
      </c>
      <c r="S1554" s="1"/>
    </row>
    <row r="1555" spans="1:19" ht="12.5" x14ac:dyDescent="0.25">
      <c r="A1555" s="2">
        <f ca="1">IFERROR(__xludf.DUMMYFUNCTION("""COMPUTED_VALUE"""),45045.8393320254)</f>
        <v>45045.839332025404</v>
      </c>
      <c r="B1555" s="1" t="str">
        <f ca="1">IFERROR(__xludf.DUMMYFUNCTION("""COMPUTED_VALUE"""),"India")</f>
        <v>India</v>
      </c>
      <c r="C1555" s="1">
        <f ca="1">IFERROR(__xludf.DUMMYFUNCTION("""COMPUTED_VALUE"""),600004)</f>
        <v>600004</v>
      </c>
      <c r="D1555" s="1" t="str">
        <f ca="1">IFERROR(__xludf.DUMMYFUNCTION("""COMPUTED_VALUE"""),"Female")</f>
        <v>Female</v>
      </c>
      <c r="E1555" s="1" t="str">
        <f ca="1">IFERROR(__xludf.DUMMYFUNCTION("""COMPUTED_VALUE"""),"My Parents")</f>
        <v>My Parents</v>
      </c>
      <c r="F1555" s="1" t="str">
        <f ca="1">IFERROR(__xludf.DUMMYFUNCTION("""COMPUTED_VALUE"""),"No I would not be pursuing Higher Education outside of India")</f>
        <v>No I would not be pursuing Higher Education outside of India</v>
      </c>
      <c r="G1555" s="1" t="str">
        <f ca="1">IFERROR(__xludf.DUMMYFUNCTION("""COMPUTED_VALUE"""),"This will be hard to do, but if it is the right company I would try")</f>
        <v>This will be hard to do, but if it is the right company I would try</v>
      </c>
      <c r="H1555" s="1" t="str">
        <f ca="1">IFERROR(__xludf.DUMMYFUNCTION("""COMPUTED_VALUE"""),"No")</f>
        <v>No</v>
      </c>
      <c r="I1555" s="1" t="str">
        <f ca="1">IFERROR(__xludf.DUMMYFUNCTION("""COMPUTED_VALUE"""),"Will NOT work for them")</f>
        <v>Will NOT work for them</v>
      </c>
      <c r="J1555" s="1">
        <f ca="1">IFERROR(__xludf.DUMMYFUNCTION("""COMPUTED_VALUE"""),1)</f>
        <v>1</v>
      </c>
      <c r="K1555" s="1" t="str">
        <f ca="1">IFERROR(__xludf.DUMMYFUNCTION("""COMPUTED_VALUE"""),"Every Day Office Environment")</f>
        <v>Every Day Office Environment</v>
      </c>
      <c r="L1555" s="1" t="str">
        <f ca="1">IFERROR(__xludf.DUMMYFUNCTION("""COMPUTED_VALUE"""),"Employer who rewards learning and enables that environment")</f>
        <v>Employer who rewards learning and enables that environment</v>
      </c>
      <c r="M1555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555" s="1" t="str">
        <f ca="1">IFERROR(__xludf.DUMMYFUNCTION("""COMPUTED_VALUE"""),"Design and Creative strategy in any company, Manage and drive End-to-End Projects or Products, Build and develop a Team, Work as a freelancer and do my thing my way")</f>
        <v>Design and Creative strategy in any company, Manage and drive End-to-End Projects or Products, Build and develop a Team, Work as a freelancer and do my thing my way</v>
      </c>
      <c r="O1555" s="1" t="str">
        <f ca="1">IFERROR(__xludf.DUMMYFUNCTION("""COMPUTED_VALUE"""),"Manager who sets targets and expects me to achieve it")</f>
        <v>Manager who sets targets and expects me to achieve it</v>
      </c>
      <c r="P1555" s="1" t="str">
        <f ca="1">IFERROR(__xludf.DUMMYFUNCTION("""COMPUTED_VALUE"""),"Work with more than 10 people in my team")</f>
        <v>Work with more than 10 people in my team</v>
      </c>
      <c r="Q1555" s="1" t="str">
        <f ca="1">IFERROR(__xludf.DUMMYFUNCTION("""COMPUTED_VALUE"""),"Yes, I Understand this is gonna happen everywhere")</f>
        <v>Yes, I Understand this is gonna happen everywhere</v>
      </c>
      <c r="R1555" s="1" t="str">
        <f ca="1">IFERROR(__xludf.DUMMYFUNCTION("""COMPUTED_VALUE"""),"This will be hard to do, but if it is the right company I would try")</f>
        <v>This will be hard to do, but if it is the right company I would try</v>
      </c>
      <c r="S1555" s="1"/>
    </row>
    <row r="1556" spans="1:19" ht="12.5" x14ac:dyDescent="0.25">
      <c r="A1556" s="2">
        <f ca="1">IFERROR(__xludf.DUMMYFUNCTION("""COMPUTED_VALUE"""),45045.8402047106)</f>
        <v>45045.840204710599</v>
      </c>
      <c r="B1556" s="1" t="str">
        <f ca="1">IFERROR(__xludf.DUMMYFUNCTION("""COMPUTED_VALUE"""),"Canada")</f>
        <v>Canada</v>
      </c>
      <c r="C1556" s="1" t="str">
        <f ca="1">IFERROR(__xludf.DUMMYFUNCTION("""COMPUTED_VALUE"""),"V5Z3G7")</f>
        <v>V5Z3G7</v>
      </c>
      <c r="D1556" s="1" t="str">
        <f ca="1">IFERROR(__xludf.DUMMYFUNCTION("""COMPUTED_VALUE"""),"Male")</f>
        <v>Male</v>
      </c>
      <c r="E1556" s="1" t="str">
        <f ca="1">IFERROR(__xludf.DUMMYFUNCTION("""COMPUTED_VALUE"""),"People from my circle, but not family members")</f>
        <v>People from my circle, but not family members</v>
      </c>
      <c r="F1556" s="1" t="str">
        <f ca="1">IFERROR(__xludf.DUMMYFUNCTION("""COMPUTED_VALUE"""),"Yes, I will earn and do that")</f>
        <v>Yes, I will earn and do that</v>
      </c>
      <c r="G1556" s="1" t="str">
        <f ca="1">IFERROR(__xludf.DUMMYFUNCTION("""COMPUTED_VALUE"""),"Will work for 3 years or more")</f>
        <v>Will work for 3 years or more</v>
      </c>
      <c r="H1556" s="1" t="str">
        <f ca="1">IFERROR(__xludf.DUMMYFUNCTION("""COMPUTED_VALUE"""),"No")</f>
        <v>No</v>
      </c>
      <c r="I1556" s="1" t="str">
        <f ca="1">IFERROR(__xludf.DUMMYFUNCTION("""COMPUTED_VALUE"""),"Will NOT work for them")</f>
        <v>Will NOT work for them</v>
      </c>
      <c r="J1556" s="1">
        <f ca="1">IFERROR(__xludf.DUMMYFUNCTION("""COMPUTED_VALUE"""),6)</f>
        <v>6</v>
      </c>
      <c r="K1556" s="1" t="str">
        <f ca="1">IFERROR(__xludf.DUMMYFUNCTION("""COMPUTED_VALUE"""),"Every Day Office Environment")</f>
        <v>Every Day Office Environment</v>
      </c>
      <c r="L1556" s="1" t="str">
        <f ca="1">IFERROR(__xludf.DUMMYFUNCTION("""COMPUTED_VALUE"""),"Employer who appreciates learning and enables that environment")</f>
        <v>Employer who appreciates learning and enables that environment</v>
      </c>
      <c r="M1556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1556" s="1" t="str">
        <f ca="1">IFERROR(__xludf.DUMMYFUNCTION("""COMPUTED_VALUE"""),"Design and Creative strategy in any company, Build and develop a Team, Work as a freelancer and do my thing my way, I Want to sell things/Sales")</f>
        <v>Design and Creative strategy in any company, Build and develop a Team, Work as a freelancer and do my thing my way, I Want to sell things/Sales</v>
      </c>
      <c r="O1556" s="1" t="str">
        <f ca="1">IFERROR(__xludf.DUMMYFUNCTION("""COMPUTED_VALUE"""),"Manager who clearly describes what she/he needs")</f>
        <v>Manager who clearly describes what she/he needs</v>
      </c>
      <c r="P1556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556" s="1" t="str">
        <f ca="1">IFERROR(__xludf.DUMMYFUNCTION("""COMPUTED_VALUE"""),"Yes, I Understand this is gonna happen everywhere")</f>
        <v>Yes, I Understand this is gonna happen everywhere</v>
      </c>
      <c r="R1556" s="1" t="str">
        <f ca="1">IFERROR(__xludf.DUMMYFUNCTION("""COMPUTED_VALUE"""),"This will be hard to do, but if it is the right company I would try")</f>
        <v>This will be hard to do, but if it is the right company I would try</v>
      </c>
      <c r="S1556" s="1"/>
    </row>
    <row r="1557" spans="1:19" ht="12.5" x14ac:dyDescent="0.25">
      <c r="A1557" s="2">
        <f ca="1">IFERROR(__xludf.DUMMYFUNCTION("""COMPUTED_VALUE"""),45045.8419922337)</f>
        <v>45045.841992233698</v>
      </c>
      <c r="B1557" s="1" t="str">
        <f ca="1">IFERROR(__xludf.DUMMYFUNCTION("""COMPUTED_VALUE"""),"India")</f>
        <v>India</v>
      </c>
      <c r="C1557" s="1">
        <f ca="1">IFERROR(__xludf.DUMMYFUNCTION("""COMPUTED_VALUE"""),110076)</f>
        <v>110076</v>
      </c>
      <c r="D1557" s="1" t="str">
        <f ca="1">IFERROR(__xludf.DUMMYFUNCTION("""COMPUTED_VALUE"""),"Female")</f>
        <v>Female</v>
      </c>
      <c r="E1557" s="1" t="str">
        <f ca="1">IFERROR(__xludf.DUMMYFUNCTION("""COMPUTED_VALUE"""),"People from my circle, but not family members")</f>
        <v>People from my circle, but not family members</v>
      </c>
      <c r="F1557" s="1" t="str">
        <f ca="1">IFERROR(__xludf.DUMMYFUNCTION("""COMPUTED_VALUE"""),"Yes, I will earn and do that")</f>
        <v>Yes, I will earn and do that</v>
      </c>
      <c r="G1557" s="1" t="str">
        <f ca="1">IFERROR(__xludf.DUMMYFUNCTION("""COMPUTED_VALUE"""),"Will work for 3 years or more")</f>
        <v>Will work for 3 years or more</v>
      </c>
      <c r="H1557" s="1" t="str">
        <f ca="1">IFERROR(__xludf.DUMMYFUNCTION("""COMPUTED_VALUE"""),"No")</f>
        <v>No</v>
      </c>
      <c r="I1557" s="1" t="str">
        <f ca="1">IFERROR(__xludf.DUMMYFUNCTION("""COMPUTED_VALUE"""),"Will NOT work for them")</f>
        <v>Will NOT work for them</v>
      </c>
      <c r="J1557" s="1">
        <f ca="1">IFERROR(__xludf.DUMMYFUNCTION("""COMPUTED_VALUE"""),3)</f>
        <v>3</v>
      </c>
      <c r="K1557" s="1" t="str">
        <f ca="1">IFERROR(__xludf.DUMMYFUNCTION("""COMPUTED_VALUE"""),"Hybrid Working Environment with more than 15 days a month at office")</f>
        <v>Hybrid Working Environment with more than 15 days a month at office</v>
      </c>
      <c r="L1557" s="1" t="str">
        <f ca="1">IFERROR(__xludf.DUMMYFUNCTION("""COMPUTED_VALUE"""),"Employer who rewards learning and enables that environment")</f>
        <v>Employer who rewards learning and enables that environment</v>
      </c>
      <c r="M1557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557" s="1" t="str">
        <f ca="1">IFERROR(__xludf.DUMMYFUNCTION("""COMPUTED_VALUE"""),"Business Operations in any organization, Manage and drive End-to-End Projects or Products, Look deeply into Data and generate insights, Become a content Creator in some platform")</f>
        <v>Business Operations in any organization, Manage and drive End-to-End Projects or Products, Look deeply into Data and generate insights, Become a content Creator in some platform</v>
      </c>
      <c r="O1557" s="1" t="str">
        <f ca="1">IFERROR(__xludf.DUMMYFUNCTION("""COMPUTED_VALUE"""),"Manager who explains what is expected, sets a goal and helps achieve it")</f>
        <v>Manager who explains what is expected, sets a goal and helps achieve it</v>
      </c>
      <c r="P1557" s="1" t="str">
        <f ca="1">IFERROR(__xludf.DUMMYFUNCTION("""COMPUTED_VALUE"""),"Work with 5 to 6 people in my team")</f>
        <v>Work with 5 to 6 people in my team</v>
      </c>
      <c r="Q1557" s="1" t="str">
        <f ca="1">IFERROR(__xludf.DUMMYFUNCTION("""COMPUTED_VALUE"""),"Yes")</f>
        <v>Yes</v>
      </c>
      <c r="R1557" s="1" t="str">
        <f ca="1">IFERROR(__xludf.DUMMYFUNCTION("""COMPUTED_VALUE"""),"Will work for 7 years or more")</f>
        <v>Will work for 7 years or more</v>
      </c>
      <c r="S1557" s="1"/>
    </row>
    <row r="1558" spans="1:19" ht="12.5" x14ac:dyDescent="0.25">
      <c r="A1558" s="2">
        <f ca="1">IFERROR(__xludf.DUMMYFUNCTION("""COMPUTED_VALUE"""),45045.8420590856)</f>
        <v>45045.842059085597</v>
      </c>
      <c r="B1558" s="1" t="str">
        <f ca="1">IFERROR(__xludf.DUMMYFUNCTION("""COMPUTED_VALUE"""),"India")</f>
        <v>India</v>
      </c>
      <c r="C1558" s="1">
        <f ca="1">IFERROR(__xludf.DUMMYFUNCTION("""COMPUTED_VALUE"""),500003)</f>
        <v>500003</v>
      </c>
      <c r="D1558" s="1" t="str">
        <f ca="1">IFERROR(__xludf.DUMMYFUNCTION("""COMPUTED_VALUE"""),"Female")</f>
        <v>Female</v>
      </c>
      <c r="E1558" s="1" t="str">
        <f ca="1">IFERROR(__xludf.DUMMYFUNCTION("""COMPUTED_VALUE"""),"People from my circle, but not family members")</f>
        <v>People from my circle, but not family members</v>
      </c>
      <c r="F1558" s="1" t="str">
        <f ca="1">IFERROR(__xludf.DUMMYFUNCTION("""COMPUTED_VALUE"""),"No I would not be pursuing Higher Education outside of India")</f>
        <v>No I would not be pursuing Higher Education outside of India</v>
      </c>
      <c r="G1558" s="1" t="str">
        <f ca="1">IFERROR(__xludf.DUMMYFUNCTION("""COMPUTED_VALUE"""),"No way")</f>
        <v>No way</v>
      </c>
      <c r="H1558" s="1" t="str">
        <f ca="1">IFERROR(__xludf.DUMMYFUNCTION("""COMPUTED_VALUE"""),"No")</f>
        <v>No</v>
      </c>
      <c r="I1558" s="1" t="str">
        <f ca="1">IFERROR(__xludf.DUMMYFUNCTION("""COMPUTED_VALUE"""),"Will work for them")</f>
        <v>Will work for them</v>
      </c>
      <c r="J1558" s="1">
        <f ca="1">IFERROR(__xludf.DUMMYFUNCTION("""COMPUTED_VALUE"""),7)</f>
        <v>7</v>
      </c>
      <c r="K1558" s="1" t="str">
        <f ca="1">IFERROR(__xludf.DUMMYFUNCTION("""COMPUTED_VALUE"""),"Fully Remote with Options to travel as and when needed")</f>
        <v>Fully Remote with Options to travel as and when needed</v>
      </c>
      <c r="L15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5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558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1558" s="1" t="str">
        <f ca="1">IFERROR(__xludf.DUMMYFUNCTION("""COMPUTED_VALUE"""),"Manager who clearly describes what she/he needs")</f>
        <v>Manager who clearly describes what she/he needs</v>
      </c>
      <c r="P1558" s="1" t="str">
        <f ca="1">IFERROR(__xludf.DUMMYFUNCTION("""COMPUTED_VALUE"""),"Work with 2 to 3 people in my team")</f>
        <v>Work with 2 to 3 people in my team</v>
      </c>
      <c r="Q1558" s="1" t="str">
        <f ca="1">IFERROR(__xludf.DUMMYFUNCTION("""COMPUTED_VALUE"""),"No")</f>
        <v>No</v>
      </c>
      <c r="R1558" s="1" t="str">
        <f ca="1">IFERROR(__xludf.DUMMYFUNCTION("""COMPUTED_VALUE"""),"No way")</f>
        <v>No way</v>
      </c>
      <c r="S1558" s="1"/>
    </row>
    <row r="1559" spans="1:19" ht="12.5" x14ac:dyDescent="0.25">
      <c r="A1559" s="2">
        <f ca="1">IFERROR(__xludf.DUMMYFUNCTION("""COMPUTED_VALUE"""),45045.8425336458)</f>
        <v>45045.842533645802</v>
      </c>
      <c r="B1559" s="1" t="str">
        <f ca="1">IFERROR(__xludf.DUMMYFUNCTION("""COMPUTED_VALUE"""),"India")</f>
        <v>India</v>
      </c>
      <c r="C1559" s="1">
        <f ca="1">IFERROR(__xludf.DUMMYFUNCTION("""COMPUTED_VALUE"""),160062)</f>
        <v>160062</v>
      </c>
      <c r="D1559" s="1" t="str">
        <f ca="1">IFERROR(__xludf.DUMMYFUNCTION("""COMPUTED_VALUE"""),"Male")</f>
        <v>Male</v>
      </c>
      <c r="E1559" s="1" t="str">
        <f ca="1">IFERROR(__xludf.DUMMYFUNCTION("""COMPUTED_VALUE"""),"My Parents")</f>
        <v>My Parents</v>
      </c>
      <c r="F1559" s="1" t="str">
        <f ca="1">IFERROR(__xludf.DUMMYFUNCTION("""COMPUTED_VALUE"""),"No, But if someone could bare the cost I will")</f>
        <v>No, But if someone could bare the cost I will</v>
      </c>
      <c r="G1559" s="1" t="str">
        <f ca="1">IFERROR(__xludf.DUMMYFUNCTION("""COMPUTED_VALUE"""),"This will be hard to do, but if it is the right company I would try")</f>
        <v>This will be hard to do, but if it is the right company I would try</v>
      </c>
      <c r="H1559" s="1" t="str">
        <f ca="1">IFERROR(__xludf.DUMMYFUNCTION("""COMPUTED_VALUE"""),"No")</f>
        <v>No</v>
      </c>
      <c r="I1559" s="1" t="str">
        <f ca="1">IFERROR(__xludf.DUMMYFUNCTION("""COMPUTED_VALUE"""),"Will NOT work for them")</f>
        <v>Will NOT work for them</v>
      </c>
      <c r="J1559" s="1">
        <f ca="1">IFERROR(__xludf.DUMMYFUNCTION("""COMPUTED_VALUE"""),4)</f>
        <v>4</v>
      </c>
      <c r="K1559" s="1" t="str">
        <f ca="1">IFERROR(__xludf.DUMMYFUNCTION("""COMPUTED_VALUE"""),"Hybrid Working Environment with more than 15 days a month at office")</f>
        <v>Hybrid Working Environment with more than 15 days a month at office</v>
      </c>
      <c r="L15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5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559" s="1" t="str">
        <f ca="1">IFERROR(__xludf.DUMMYFUNCTION("""COMPUTED_VALUE"""),"Design and Creative strategy in any company, Build and develop a Team, Design and Develop amazing software, Work as a freelancer and do my thing my way")</f>
        <v>Design and Creative strategy in any company, Build and develop a Team, Design and Develop amazing software, Work as a freelancer and do my thing my way</v>
      </c>
      <c r="O155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59" s="1" t="str">
        <f ca="1">IFERROR(__xludf.DUMMYFUNCTION("""COMPUTED_VALUE"""),"Work with 5 to 6 people in my team")</f>
        <v>Work with 5 to 6 people in my team</v>
      </c>
      <c r="Q1559" s="1" t="str">
        <f ca="1">IFERROR(__xludf.DUMMYFUNCTION("""COMPUTED_VALUE"""),"I have NO other choice")</f>
        <v>I have NO other choice</v>
      </c>
      <c r="R1559" s="1" t="str">
        <f ca="1">IFERROR(__xludf.DUMMYFUNCTION("""COMPUTED_VALUE"""),"This will be hard to do, but if it is the right company I would try")</f>
        <v>This will be hard to do, but if it is the right company I would try</v>
      </c>
      <c r="S1559" s="1"/>
    </row>
    <row r="1560" spans="1:19" ht="12.5" x14ac:dyDescent="0.25">
      <c r="A1560" s="2">
        <f ca="1">IFERROR(__xludf.DUMMYFUNCTION("""COMPUTED_VALUE"""),45045.8425577083)</f>
        <v>45045.842557708304</v>
      </c>
      <c r="B1560" s="1" t="str">
        <f ca="1">IFERROR(__xludf.DUMMYFUNCTION("""COMPUTED_VALUE"""),"India")</f>
        <v>India</v>
      </c>
      <c r="C1560" s="1">
        <f ca="1">IFERROR(__xludf.DUMMYFUNCTION("""COMPUTED_VALUE"""),505001)</f>
        <v>505001</v>
      </c>
      <c r="D1560" s="1" t="str">
        <f ca="1">IFERROR(__xludf.DUMMYFUNCTION("""COMPUTED_VALUE"""),"Female")</f>
        <v>Female</v>
      </c>
      <c r="E1560" s="1" t="str">
        <f ca="1">IFERROR(__xludf.DUMMYFUNCTION("""COMPUTED_VALUE"""),"People who have changed the world for better")</f>
        <v>People who have changed the world for better</v>
      </c>
      <c r="F1560" s="1" t="str">
        <f ca="1">IFERROR(__xludf.DUMMYFUNCTION("""COMPUTED_VALUE"""),"Yes, I will earn and do that")</f>
        <v>Yes, I will earn and do that</v>
      </c>
      <c r="G1560" s="1" t="str">
        <f ca="1">IFERROR(__xludf.DUMMYFUNCTION("""COMPUTED_VALUE"""),"This will be hard to do, but if it is the right company I would try")</f>
        <v>This will be hard to do, but if it is the right company I would try</v>
      </c>
      <c r="H1560" s="1" t="str">
        <f ca="1">IFERROR(__xludf.DUMMYFUNCTION("""COMPUTED_VALUE"""),"No")</f>
        <v>No</v>
      </c>
      <c r="I1560" s="1" t="str">
        <f ca="1">IFERROR(__xludf.DUMMYFUNCTION("""COMPUTED_VALUE"""),"Will NOT work for them")</f>
        <v>Will NOT work for them</v>
      </c>
      <c r="J1560" s="1">
        <f ca="1">IFERROR(__xludf.DUMMYFUNCTION("""COMPUTED_VALUE"""),7)</f>
        <v>7</v>
      </c>
      <c r="K1560" s="1" t="str">
        <f ca="1">IFERROR(__xludf.DUMMYFUNCTION("""COMPUTED_VALUE"""),"Hybrid Working Environment with less than 3 days a month at office")</f>
        <v>Hybrid Working Environment with less than 3 days a month at office</v>
      </c>
      <c r="L15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6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560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1560" s="1" t="str">
        <f ca="1">IFERROR(__xludf.DUMMYFUNCTION("""COMPUTED_VALUE"""),"Manager who sets goal and helps me achieve it")</f>
        <v>Manager who sets goal and helps me achieve it</v>
      </c>
      <c r="P1560" s="1" t="str">
        <f ca="1">IFERROR(__xludf.DUMMYFUNCTION("""COMPUTED_VALUE"""),"Work with 7 to 10 or more people in my team")</f>
        <v>Work with 7 to 10 or more people in my team</v>
      </c>
      <c r="Q1560" s="1" t="str">
        <f ca="1">IFERROR(__xludf.DUMMYFUNCTION("""COMPUTED_VALUE"""),"No")</f>
        <v>No</v>
      </c>
      <c r="R1560" s="1" t="str">
        <f ca="1">IFERROR(__xludf.DUMMYFUNCTION("""COMPUTED_VALUE"""),"This will be hard to do, but if it is the right company I would try")</f>
        <v>This will be hard to do, but if it is the right company I would try</v>
      </c>
      <c r="S1560" s="1"/>
    </row>
    <row r="1561" spans="1:19" ht="12.5" x14ac:dyDescent="0.25">
      <c r="A1561" s="2">
        <f ca="1">IFERROR(__xludf.DUMMYFUNCTION("""COMPUTED_VALUE"""),45045.843451412)</f>
        <v>45045.843451412002</v>
      </c>
      <c r="B1561" s="1" t="str">
        <f ca="1">IFERROR(__xludf.DUMMYFUNCTION("""COMPUTED_VALUE"""),"India")</f>
        <v>India</v>
      </c>
      <c r="C1561" s="1">
        <f ca="1">IFERROR(__xludf.DUMMYFUNCTION("""COMPUTED_VALUE"""),160062)</f>
        <v>160062</v>
      </c>
      <c r="D1561" s="1" t="str">
        <f ca="1">IFERROR(__xludf.DUMMYFUNCTION("""COMPUTED_VALUE"""),"Male")</f>
        <v>Male</v>
      </c>
      <c r="E1561" s="1" t="str">
        <f ca="1">IFERROR(__xludf.DUMMYFUNCTION("""COMPUTED_VALUE"""),"Social Media like LinkedIn")</f>
        <v>Social Media like LinkedIn</v>
      </c>
      <c r="F1561" s="1" t="str">
        <f ca="1">IFERROR(__xludf.DUMMYFUNCTION("""COMPUTED_VALUE"""),"No, But if someone could bare the cost I will")</f>
        <v>No, But if someone could bare the cost I will</v>
      </c>
      <c r="G1561" s="1" t="str">
        <f ca="1">IFERROR(__xludf.DUMMYFUNCTION("""COMPUTED_VALUE"""),"This will be hard to do, but if it is the right company I would try")</f>
        <v>This will be hard to do, but if it is the right company I would try</v>
      </c>
      <c r="H1561" s="1" t="str">
        <f ca="1">IFERROR(__xludf.DUMMYFUNCTION("""COMPUTED_VALUE"""),"No")</f>
        <v>No</v>
      </c>
      <c r="I1561" s="1" t="str">
        <f ca="1">IFERROR(__xludf.DUMMYFUNCTION("""COMPUTED_VALUE"""),"Will NOT work for them")</f>
        <v>Will NOT work for them</v>
      </c>
      <c r="J1561" s="1">
        <f ca="1">IFERROR(__xludf.DUMMYFUNCTION("""COMPUTED_VALUE"""),1)</f>
        <v>1</v>
      </c>
      <c r="K1561" s="1" t="str">
        <f ca="1">IFERROR(__xludf.DUMMYFUNCTION("""COMPUTED_VALUE"""),"Fully Remote with Options to travel as and when needed")</f>
        <v>Fully Remote with Options to travel as and when needed</v>
      </c>
      <c r="L15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6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61" s="1" t="str">
        <f ca="1">IFERROR(__xludf.DUMMYFUNCTION("""COMPUTED_VALUE"""),"Work as a freelancer and do my thing my way, Entrepreneur or Start Up, I Want to sell things/Sales, An Artificial Intelligence Specialist / Talking to Robots")</f>
        <v>Work as a freelancer and do my thing my way, Entrepreneur or Start Up, I Want to sell things/Sales, An Artificial Intelligence Specialist / Talking to Robots</v>
      </c>
      <c r="O156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61" s="1" t="str">
        <f ca="1">IFERROR(__xludf.DUMMYFUNCTION("""COMPUTED_VALUE"""),"Work with 2 to 3 people in my team")</f>
        <v>Work with 2 to 3 people in my team</v>
      </c>
      <c r="Q1561" s="1" t="str">
        <f ca="1">IFERROR(__xludf.DUMMYFUNCTION("""COMPUTED_VALUE"""),"No")</f>
        <v>No</v>
      </c>
      <c r="R1561" s="1" t="str">
        <f ca="1">IFERROR(__xludf.DUMMYFUNCTION("""COMPUTED_VALUE"""),"Will work for 7 years or more")</f>
        <v>Will work for 7 years or more</v>
      </c>
      <c r="S1561" s="1"/>
    </row>
    <row r="1562" spans="1:19" ht="12.5" x14ac:dyDescent="0.25">
      <c r="A1562" s="2">
        <f ca="1">IFERROR(__xludf.DUMMYFUNCTION("""COMPUTED_VALUE"""),45045.8468377314)</f>
        <v>45045.846837731398</v>
      </c>
      <c r="B1562" s="1" t="str">
        <f ca="1">IFERROR(__xludf.DUMMYFUNCTION("""COMPUTED_VALUE"""),"India")</f>
        <v>India</v>
      </c>
      <c r="C1562" s="1">
        <f ca="1">IFERROR(__xludf.DUMMYFUNCTION("""COMPUTED_VALUE"""),533262)</f>
        <v>533262</v>
      </c>
      <c r="D1562" s="1" t="str">
        <f ca="1">IFERROR(__xludf.DUMMYFUNCTION("""COMPUTED_VALUE"""),"Male")</f>
        <v>Male</v>
      </c>
      <c r="E1562" s="1" t="str">
        <f ca="1">IFERROR(__xludf.DUMMYFUNCTION("""COMPUTED_VALUE"""),"People from my circle, but not family members")</f>
        <v>People from my circle, but not family members</v>
      </c>
      <c r="F1562" s="1" t="str">
        <f ca="1">IFERROR(__xludf.DUMMYFUNCTION("""COMPUTED_VALUE"""),"No I would not be pursuing Higher Education outside of India")</f>
        <v>No I would not be pursuing Higher Education outside of India</v>
      </c>
      <c r="G1562" s="1" t="str">
        <f ca="1">IFERROR(__xludf.DUMMYFUNCTION("""COMPUTED_VALUE"""),"This will be hard to do, but if it is the right company I would try")</f>
        <v>This will be hard to do, but if it is the right company I would try</v>
      </c>
      <c r="H1562" s="1" t="str">
        <f ca="1">IFERROR(__xludf.DUMMYFUNCTION("""COMPUTED_VALUE"""),"Yes")</f>
        <v>Yes</v>
      </c>
      <c r="I1562" s="1" t="str">
        <f ca="1">IFERROR(__xludf.DUMMYFUNCTION("""COMPUTED_VALUE"""),"Will work for them")</f>
        <v>Will work for them</v>
      </c>
      <c r="J1562" s="1">
        <f ca="1">IFERROR(__xludf.DUMMYFUNCTION("""COMPUTED_VALUE"""),4)</f>
        <v>4</v>
      </c>
      <c r="K1562" s="1" t="str">
        <f ca="1">IFERROR(__xludf.DUMMYFUNCTION("""COMPUTED_VALUE"""),"Hybrid Working Environment with less than 3 days a month at office")</f>
        <v>Hybrid Working Environment with less than 3 days a month at office</v>
      </c>
      <c r="L1562" s="1" t="str">
        <f ca="1">IFERROR(__xludf.DUMMYFUNCTION("""COMPUTED_VALUE"""),"Employer who appreciates learning and enables that environment")</f>
        <v>Employer who appreciates learning and enables that environment</v>
      </c>
      <c r="M156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62" s="1" t="str">
        <f ca="1">IFERROR(__xludf.DUMMYFUNCTION("""COMPUTED_VALUE"""),"Business Operations in any organization, Build and develop a Team, Design and Develop amazing software, Entrepreneur or Start Up")</f>
        <v>Business Operations in any organization, Build and develop a Team, Design and Develop amazing software, Entrepreneur or Start Up</v>
      </c>
      <c r="O1562" s="1" t="str">
        <f ca="1">IFERROR(__xludf.DUMMYFUNCTION("""COMPUTED_VALUE"""),"Manager who explains what is expected, sets a goal and helps achieve it")</f>
        <v>Manager who explains what is expected, sets a goal and helps achieve it</v>
      </c>
      <c r="P1562" s="1" t="str">
        <f ca="1">IFERROR(__xludf.DUMMYFUNCTION("""COMPUTED_VALUE"""),"Work with 7 to 10 or more people in my team")</f>
        <v>Work with 7 to 10 or more people in my team</v>
      </c>
      <c r="Q1562" s="1" t="str">
        <f ca="1">IFERROR(__xludf.DUMMYFUNCTION("""COMPUTED_VALUE"""),"No")</f>
        <v>No</v>
      </c>
      <c r="R1562" s="1" t="str">
        <f ca="1">IFERROR(__xludf.DUMMYFUNCTION("""COMPUTED_VALUE"""),"This will be hard to do, but if it is the right company I would try")</f>
        <v>This will be hard to do, but if it is the right company I would try</v>
      </c>
      <c r="S1562" s="1"/>
    </row>
    <row r="1563" spans="1:19" ht="12.5" x14ac:dyDescent="0.25">
      <c r="A1563" s="2">
        <f ca="1">IFERROR(__xludf.DUMMYFUNCTION("""COMPUTED_VALUE"""),45045.8486119907)</f>
        <v>45045.848611990703</v>
      </c>
      <c r="B1563" s="1" t="str">
        <f ca="1">IFERROR(__xludf.DUMMYFUNCTION("""COMPUTED_VALUE"""),"India")</f>
        <v>India</v>
      </c>
      <c r="C1563" s="1">
        <f ca="1">IFERROR(__xludf.DUMMYFUNCTION("""COMPUTED_VALUE"""),505001)</f>
        <v>505001</v>
      </c>
      <c r="D1563" s="1" t="str">
        <f ca="1">IFERROR(__xludf.DUMMYFUNCTION("""COMPUTED_VALUE"""),"Male")</f>
        <v>Male</v>
      </c>
      <c r="E1563" s="1" t="str">
        <f ca="1">IFERROR(__xludf.DUMMYFUNCTION("""COMPUTED_VALUE"""),"My Parents")</f>
        <v>My Parents</v>
      </c>
      <c r="F1563" s="1" t="str">
        <f ca="1">IFERROR(__xludf.DUMMYFUNCTION("""COMPUTED_VALUE"""),"No, But if someone could bare the cost I will")</f>
        <v>No, But if someone could bare the cost I will</v>
      </c>
      <c r="G1563" s="1" t="str">
        <f ca="1">IFERROR(__xludf.DUMMYFUNCTION("""COMPUTED_VALUE"""),"This will be hard to do, but if it is the right company I would try")</f>
        <v>This will be hard to do, but if it is the right company I would try</v>
      </c>
      <c r="H1563" s="1" t="str">
        <f ca="1">IFERROR(__xludf.DUMMYFUNCTION("""COMPUTED_VALUE"""),"No")</f>
        <v>No</v>
      </c>
      <c r="I1563" s="1" t="str">
        <f ca="1">IFERROR(__xludf.DUMMYFUNCTION("""COMPUTED_VALUE"""),"Will NOT work for them")</f>
        <v>Will NOT work for them</v>
      </c>
      <c r="J1563" s="1">
        <f ca="1">IFERROR(__xludf.DUMMYFUNCTION("""COMPUTED_VALUE"""),5)</f>
        <v>5</v>
      </c>
      <c r="K1563" s="1" t="str">
        <f ca="1">IFERROR(__xludf.DUMMYFUNCTION("""COMPUTED_VALUE"""),"Every Day Office Environment")</f>
        <v>Every Day Office Environment</v>
      </c>
      <c r="L15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63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563" s="1" t="str">
        <f ca="1">IFERROR(__xludf.DUMMYFUNCTION("""COMPUTED_VALUE"""),"Teaching in any of the institutes/colleges/online or offline, Build and develop a Team, Become a content Creator in some platform, Entrepreneur or Start Up")</f>
        <v>Teaching in any of the institutes/colleges/online or offline, Build and develop a Team, Become a content Creator in some platform, Entrepreneur or Start Up</v>
      </c>
      <c r="O156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63" s="1" t="str">
        <f ca="1">IFERROR(__xludf.DUMMYFUNCTION("""COMPUTED_VALUE"""),"Work with 5 to 6 people in my team")</f>
        <v>Work with 5 to 6 people in my team</v>
      </c>
      <c r="Q1563" s="1" t="str">
        <f ca="1">IFERROR(__xludf.DUMMYFUNCTION("""COMPUTED_VALUE"""),"Yes, I Understand this is gonna happen everywhere")</f>
        <v>Yes, I Understand this is gonna happen everywhere</v>
      </c>
      <c r="R1563" s="1" t="str">
        <f ca="1">IFERROR(__xludf.DUMMYFUNCTION("""COMPUTED_VALUE"""),"This will be hard to do, but if it is the right company I would try")</f>
        <v>This will be hard to do, but if it is the right company I would try</v>
      </c>
      <c r="S1563" s="1"/>
    </row>
    <row r="1564" spans="1:19" ht="12.5" x14ac:dyDescent="0.25">
      <c r="A1564" s="2">
        <f ca="1">IFERROR(__xludf.DUMMYFUNCTION("""COMPUTED_VALUE"""),45045.8488790509)</f>
        <v>45045.8488790509</v>
      </c>
      <c r="B1564" s="1" t="str">
        <f ca="1">IFERROR(__xludf.DUMMYFUNCTION("""COMPUTED_VALUE"""),"India")</f>
        <v>India</v>
      </c>
      <c r="C1564" s="1">
        <f ca="1">IFERROR(__xludf.DUMMYFUNCTION("""COMPUTED_VALUE"""),533005)</f>
        <v>533005</v>
      </c>
      <c r="D1564" s="1" t="str">
        <f ca="1">IFERROR(__xludf.DUMMYFUNCTION("""COMPUTED_VALUE"""),"Male")</f>
        <v>Male</v>
      </c>
      <c r="E1564" s="1" t="str">
        <f ca="1">IFERROR(__xludf.DUMMYFUNCTION("""COMPUTED_VALUE"""),"My Parents")</f>
        <v>My Parents</v>
      </c>
      <c r="F1564" s="1" t="str">
        <f ca="1">IFERROR(__xludf.DUMMYFUNCTION("""COMPUTED_VALUE"""),"Yes, I will earn and do that")</f>
        <v>Yes, I will earn and do that</v>
      </c>
      <c r="G1564" s="1" t="str">
        <f ca="1">IFERROR(__xludf.DUMMYFUNCTION("""COMPUTED_VALUE"""),"This will be hard to do, but if it is the right company I would try")</f>
        <v>This will be hard to do, but if it is the right company I would try</v>
      </c>
      <c r="H1564" s="1" t="str">
        <f ca="1">IFERROR(__xludf.DUMMYFUNCTION("""COMPUTED_VALUE"""),"Yes")</f>
        <v>Yes</v>
      </c>
      <c r="I1564" s="1" t="str">
        <f ca="1">IFERROR(__xludf.DUMMYFUNCTION("""COMPUTED_VALUE"""),"Will work for them")</f>
        <v>Will work for them</v>
      </c>
      <c r="J1564" s="1">
        <f ca="1">IFERROR(__xludf.DUMMYFUNCTION("""COMPUTED_VALUE"""),2)</f>
        <v>2</v>
      </c>
      <c r="K1564" s="1" t="str">
        <f ca="1">IFERROR(__xludf.DUMMYFUNCTION("""COMPUTED_VALUE"""),"Fully Remote with Options to travel as and when needed")</f>
        <v>Fully Remote with Options to travel as and when needed</v>
      </c>
      <c r="L15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6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64" s="1" t="str">
        <f ca="1">IFERROR(__xludf.DUMMYFUNCTION("""COMPUTED_VALUE"""),"Business Operations in any organization, Design and Develop amazing software, Work in a BPO setup for some well known client, Manufacturing / Oil and Gas/ Construction / Hard Physical Work related")</f>
        <v>Business Operations in any organization, Design and Develop amazing software, Work in a BPO setup for some well known client, Manufacturing / Oil and Gas/ Construction / Hard Physical Work related</v>
      </c>
      <c r="O1564" s="1" t="str">
        <f ca="1">IFERROR(__xludf.DUMMYFUNCTION("""COMPUTED_VALUE"""),"Manager who explains what is expected, sets a goal and helps achieve it")</f>
        <v>Manager who explains what is expected, sets a goal and helps achieve it</v>
      </c>
      <c r="P1564" s="1" t="str">
        <f ca="1">IFERROR(__xludf.DUMMYFUNCTION("""COMPUTED_VALUE"""),"Work with 5 to 6 people in my team")</f>
        <v>Work with 5 to 6 people in my team</v>
      </c>
      <c r="Q1564" s="1" t="str">
        <f ca="1">IFERROR(__xludf.DUMMYFUNCTION("""COMPUTED_VALUE"""),"Yes, I Understand this is gonna happen everywhere")</f>
        <v>Yes, I Understand this is gonna happen everywhere</v>
      </c>
      <c r="R1564" s="1" t="str">
        <f ca="1">IFERROR(__xludf.DUMMYFUNCTION("""COMPUTED_VALUE"""),"This will be hard to do, but if it is the right company I would try")</f>
        <v>This will be hard to do, but if it is the right company I would try</v>
      </c>
      <c r="S1564" s="1"/>
    </row>
    <row r="1565" spans="1:19" ht="12.5" x14ac:dyDescent="0.25">
      <c r="A1565" s="2">
        <f ca="1">IFERROR(__xludf.DUMMYFUNCTION("""COMPUTED_VALUE"""),45045.8491904282)</f>
        <v>45045.849190428198</v>
      </c>
      <c r="B1565" s="1" t="str">
        <f ca="1">IFERROR(__xludf.DUMMYFUNCTION("""COMPUTED_VALUE"""),"India")</f>
        <v>India</v>
      </c>
      <c r="C1565" s="1">
        <f ca="1">IFERROR(__xludf.DUMMYFUNCTION("""COMPUTED_VALUE"""),500026)</f>
        <v>500026</v>
      </c>
      <c r="D1565" s="1" t="str">
        <f ca="1">IFERROR(__xludf.DUMMYFUNCTION("""COMPUTED_VALUE"""),"Female")</f>
        <v>Female</v>
      </c>
      <c r="E1565" s="1" t="str">
        <f ca="1">IFERROR(__xludf.DUMMYFUNCTION("""COMPUTED_VALUE"""),"My Parents")</f>
        <v>My Parents</v>
      </c>
      <c r="F1565" s="1" t="str">
        <f ca="1">IFERROR(__xludf.DUMMYFUNCTION("""COMPUTED_VALUE"""),"Yes, I will earn and do that")</f>
        <v>Yes, I will earn and do that</v>
      </c>
      <c r="G1565" s="1" t="str">
        <f ca="1">IFERROR(__xludf.DUMMYFUNCTION("""COMPUTED_VALUE"""),"This will be hard to do, but if it is the right company I would try")</f>
        <v>This will be hard to do, but if it is the right company I would try</v>
      </c>
      <c r="H1565" s="1" t="str">
        <f ca="1">IFERROR(__xludf.DUMMYFUNCTION("""COMPUTED_VALUE"""),"No")</f>
        <v>No</v>
      </c>
      <c r="I1565" s="1" t="str">
        <f ca="1">IFERROR(__xludf.DUMMYFUNCTION("""COMPUTED_VALUE"""),"Will work for them")</f>
        <v>Will work for them</v>
      </c>
      <c r="J1565" s="1">
        <f ca="1">IFERROR(__xludf.DUMMYFUNCTION("""COMPUTED_VALUE"""),6)</f>
        <v>6</v>
      </c>
      <c r="K1565" s="1" t="str">
        <f ca="1">IFERROR(__xludf.DUMMYFUNCTION("""COMPUTED_VALUE"""),"Fully Remote with Options to travel as and when needed")</f>
        <v>Fully Remote with Options to travel as and when needed</v>
      </c>
      <c r="L1565" s="1" t="str">
        <f ca="1">IFERROR(__xludf.DUMMYFUNCTION("""COMPUTED_VALUE"""),"Employer who appreciates learning and enables that environment")</f>
        <v>Employer who appreciates learning and enables that environment</v>
      </c>
      <c r="M156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565" s="1" t="str">
        <f ca="1">IFERROR(__xludf.DUMMYFUNCTION("""COMPUTED_VALUE"""),"Business Operations in any organization, Manage and drive End-to-End Projects or Products, Design and Develop amazing software, An Artificial Intelligence Specialist / Talking to Robots")</f>
        <v>Business Operations in any organization, Manage and drive End-to-End Projects or Products, Design and Develop amazing software, An Artificial Intelligence Specialist / Talking to Robots</v>
      </c>
      <c r="O1565" s="1" t="str">
        <f ca="1">IFERROR(__xludf.DUMMYFUNCTION("""COMPUTED_VALUE"""),"Manager who sets targets and expects me to achieve it")</f>
        <v>Manager who sets targets and expects me to achieve it</v>
      </c>
      <c r="P1565" s="1" t="str">
        <f ca="1">IFERROR(__xludf.DUMMYFUNCTION("""COMPUTED_VALUE"""),"Work alone, Work with 7 to 10 or more people in my team")</f>
        <v>Work alone, Work with 7 to 10 or more people in my team</v>
      </c>
      <c r="Q1565" s="1" t="str">
        <f ca="1">IFERROR(__xludf.DUMMYFUNCTION("""COMPUTED_VALUE"""),"No")</f>
        <v>No</v>
      </c>
      <c r="R1565" s="1" t="str">
        <f ca="1">IFERROR(__xludf.DUMMYFUNCTION("""COMPUTED_VALUE"""),"No way")</f>
        <v>No way</v>
      </c>
      <c r="S1565" s="1"/>
    </row>
    <row r="1566" spans="1:19" ht="12.5" x14ac:dyDescent="0.25">
      <c r="A1566" s="2">
        <f ca="1">IFERROR(__xludf.DUMMYFUNCTION("""COMPUTED_VALUE"""),45045.8498843981)</f>
        <v>45045.8498843981</v>
      </c>
      <c r="B1566" s="1" t="str">
        <f ca="1">IFERROR(__xludf.DUMMYFUNCTION("""COMPUTED_VALUE"""),"India")</f>
        <v>India</v>
      </c>
      <c r="C1566" s="1">
        <f ca="1">IFERROR(__xludf.DUMMYFUNCTION("""COMPUTED_VALUE"""),533262)</f>
        <v>533262</v>
      </c>
      <c r="D1566" s="1" t="str">
        <f ca="1">IFERROR(__xludf.DUMMYFUNCTION("""COMPUTED_VALUE"""),"Female")</f>
        <v>Female</v>
      </c>
      <c r="E1566" s="1" t="str">
        <f ca="1">IFERROR(__xludf.DUMMYFUNCTION("""COMPUTED_VALUE"""),"My Parents")</f>
        <v>My Parents</v>
      </c>
      <c r="F1566" s="1" t="str">
        <f ca="1">IFERROR(__xludf.DUMMYFUNCTION("""COMPUTED_VALUE"""),"Yes, I will earn and do that")</f>
        <v>Yes, I will earn and do that</v>
      </c>
      <c r="G1566" s="1" t="str">
        <f ca="1">IFERROR(__xludf.DUMMYFUNCTION("""COMPUTED_VALUE"""),"Will work for 3 years or more")</f>
        <v>Will work for 3 years or more</v>
      </c>
      <c r="H1566" s="1" t="str">
        <f ca="1">IFERROR(__xludf.DUMMYFUNCTION("""COMPUTED_VALUE"""),"Yes")</f>
        <v>Yes</v>
      </c>
      <c r="I1566" s="1" t="str">
        <f ca="1">IFERROR(__xludf.DUMMYFUNCTION("""COMPUTED_VALUE"""),"Will work for them")</f>
        <v>Will work for them</v>
      </c>
      <c r="J1566" s="1">
        <f ca="1">IFERROR(__xludf.DUMMYFUNCTION("""COMPUTED_VALUE"""),3)</f>
        <v>3</v>
      </c>
      <c r="K1566" s="1" t="str">
        <f ca="1">IFERROR(__xludf.DUMMYFUNCTION("""COMPUTED_VALUE"""),"Every Day Office Environment")</f>
        <v>Every Day Office Environment</v>
      </c>
      <c r="L1566" s="1" t="str">
        <f ca="1">IFERROR(__xludf.DUMMYFUNCTION("""COMPUTED_VALUE"""),"Employer who appreciates learning and enables that environment")</f>
        <v>Employer who appreciates learning and enables that environment</v>
      </c>
      <c r="M156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66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1566" s="1" t="str">
        <f ca="1">IFERROR(__xludf.DUMMYFUNCTION("""COMPUTED_VALUE"""),"Manager who clearly describes what she/he needs")</f>
        <v>Manager who clearly describes what she/he needs</v>
      </c>
      <c r="P1566" s="1" t="str">
        <f ca="1">IFERROR(__xludf.DUMMYFUNCTION("""COMPUTED_VALUE"""),"Work with 5 to 6 people in my team")</f>
        <v>Work with 5 to 6 people in my team</v>
      </c>
      <c r="Q1566" s="1" t="str">
        <f ca="1">IFERROR(__xludf.DUMMYFUNCTION("""COMPUTED_VALUE"""),"Yes, I Understand this is gonna happen everywhere")</f>
        <v>Yes, I Understand this is gonna happen everywhere</v>
      </c>
      <c r="R1566" s="1" t="str">
        <f ca="1">IFERROR(__xludf.DUMMYFUNCTION("""COMPUTED_VALUE"""),"This will be hard to do, but if it is the right company I would try")</f>
        <v>This will be hard to do, but if it is the right company I would try</v>
      </c>
      <c r="S1566" s="1"/>
    </row>
    <row r="1567" spans="1:19" ht="12.5" x14ac:dyDescent="0.25">
      <c r="A1567" s="2">
        <f ca="1">IFERROR(__xludf.DUMMYFUNCTION("""COMPUTED_VALUE"""),45045.8500181597)</f>
        <v>45045.850018159697</v>
      </c>
      <c r="B1567" s="1" t="str">
        <f ca="1">IFERROR(__xludf.DUMMYFUNCTION("""COMPUTED_VALUE"""),"India")</f>
        <v>India</v>
      </c>
      <c r="C1567" s="1">
        <f ca="1">IFERROR(__xludf.DUMMYFUNCTION("""COMPUTED_VALUE"""),110060)</f>
        <v>110060</v>
      </c>
      <c r="D1567" s="1" t="str">
        <f ca="1">IFERROR(__xludf.DUMMYFUNCTION("""COMPUTED_VALUE"""),"Male")</f>
        <v>Male</v>
      </c>
      <c r="E1567" s="1" t="str">
        <f ca="1">IFERROR(__xludf.DUMMYFUNCTION("""COMPUTED_VALUE"""),"People who have changed the world for better")</f>
        <v>People who have changed the world for better</v>
      </c>
      <c r="F1567" s="1" t="str">
        <f ca="1">IFERROR(__xludf.DUMMYFUNCTION("""COMPUTED_VALUE"""),"No I would not be pursuing Higher Education outside of India")</f>
        <v>No I would not be pursuing Higher Education outside of India</v>
      </c>
      <c r="G1567" s="1" t="str">
        <f ca="1">IFERROR(__xludf.DUMMYFUNCTION("""COMPUTED_VALUE"""),"No way")</f>
        <v>No way</v>
      </c>
      <c r="H1567" s="1" t="str">
        <f ca="1">IFERROR(__xludf.DUMMYFUNCTION("""COMPUTED_VALUE"""),"No")</f>
        <v>No</v>
      </c>
      <c r="I1567" s="1" t="str">
        <f ca="1">IFERROR(__xludf.DUMMYFUNCTION("""COMPUTED_VALUE"""),"Will NOT work for them")</f>
        <v>Will NOT work for them</v>
      </c>
      <c r="J1567" s="1">
        <f ca="1">IFERROR(__xludf.DUMMYFUNCTION("""COMPUTED_VALUE"""),1)</f>
        <v>1</v>
      </c>
      <c r="K1567" s="1" t="str">
        <f ca="1">IFERROR(__xludf.DUMMYFUNCTION("""COMPUTED_VALUE"""),"Hybrid Working Environment with less than 3 days a month at office")</f>
        <v>Hybrid Working Environment with less than 3 days a month at office</v>
      </c>
      <c r="L1567" s="1" t="str">
        <f ca="1">IFERROR(__xludf.DUMMYFUNCTION("""COMPUTED_VALUE"""),"Employer who appreciates learning and enables that environment")</f>
        <v>Employer who appreciates learning and enables that environment</v>
      </c>
      <c r="M1567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567" s="1" t="str">
        <f ca="1">IFERROR(__xludf.DUMMYFUNCTION("""COMPUTED_VALUE"""),"Work as a freelancer and do my thing my way, Become a content Creator in some platform, Entrepreneur or Start Up, I Want to sell things/Sales")</f>
        <v>Work as a freelancer and do my thing my way, Become a content Creator in some platform, Entrepreneur or Start Up, I Want to sell things/Sales</v>
      </c>
      <c r="O1567" s="1" t="str">
        <f ca="1">IFERROR(__xludf.DUMMYFUNCTION("""COMPUTED_VALUE"""),"Manager who clearly describes what she/he needs")</f>
        <v>Manager who clearly describes what she/he needs</v>
      </c>
      <c r="P1567" s="1" t="str">
        <f ca="1">IFERROR(__xludf.DUMMYFUNCTION("""COMPUTED_VALUE"""),"Work alone")</f>
        <v>Work alone</v>
      </c>
      <c r="Q1567" s="1" t="str">
        <f ca="1">IFERROR(__xludf.DUMMYFUNCTION("""COMPUTED_VALUE"""),"No")</f>
        <v>No</v>
      </c>
      <c r="R1567" s="1" t="str">
        <f ca="1">IFERROR(__xludf.DUMMYFUNCTION("""COMPUTED_VALUE"""),"No way")</f>
        <v>No way</v>
      </c>
      <c r="S1567" s="1"/>
    </row>
    <row r="1568" spans="1:19" ht="12.5" x14ac:dyDescent="0.25">
      <c r="A1568" s="2">
        <f ca="1">IFERROR(__xludf.DUMMYFUNCTION("""COMPUTED_VALUE"""),45045.8535692013)</f>
        <v>45045.853569201303</v>
      </c>
      <c r="B1568" s="1" t="str">
        <f ca="1">IFERROR(__xludf.DUMMYFUNCTION("""COMPUTED_VALUE"""),"India")</f>
        <v>India</v>
      </c>
      <c r="C1568" s="1">
        <f ca="1">IFERROR(__xludf.DUMMYFUNCTION("""COMPUTED_VALUE"""),500009)</f>
        <v>500009</v>
      </c>
      <c r="D1568" s="1" t="str">
        <f ca="1">IFERROR(__xludf.DUMMYFUNCTION("""COMPUTED_VALUE"""),"Male")</f>
        <v>Male</v>
      </c>
      <c r="E1568" s="1" t="str">
        <f ca="1">IFERROR(__xludf.DUMMYFUNCTION("""COMPUTED_VALUE"""),"My Parents")</f>
        <v>My Parents</v>
      </c>
      <c r="F1568" s="1" t="str">
        <f ca="1">IFERROR(__xludf.DUMMYFUNCTION("""COMPUTED_VALUE"""),"Yes, I will earn and do that")</f>
        <v>Yes, I will earn and do that</v>
      </c>
      <c r="G1568" s="1" t="str">
        <f ca="1">IFERROR(__xludf.DUMMYFUNCTION("""COMPUTED_VALUE"""),"This will be hard to do, but if it is the right company I would try")</f>
        <v>This will be hard to do, but if it is the right company I would try</v>
      </c>
      <c r="H1568" s="1" t="str">
        <f ca="1">IFERROR(__xludf.DUMMYFUNCTION("""COMPUTED_VALUE"""),"No")</f>
        <v>No</v>
      </c>
      <c r="I1568" s="1" t="str">
        <f ca="1">IFERROR(__xludf.DUMMYFUNCTION("""COMPUTED_VALUE"""),"Will NOT work for them")</f>
        <v>Will NOT work for them</v>
      </c>
      <c r="J1568" s="1">
        <f ca="1">IFERROR(__xludf.DUMMYFUNCTION("""COMPUTED_VALUE"""),6)</f>
        <v>6</v>
      </c>
      <c r="K1568" s="1" t="str">
        <f ca="1">IFERROR(__xludf.DUMMYFUNCTION("""COMPUTED_VALUE"""),"Every Day Office Environment")</f>
        <v>Every Day Office Environment</v>
      </c>
      <c r="L15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6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68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1568" s="1" t="str">
        <f ca="1">IFERROR(__xludf.DUMMYFUNCTION("""COMPUTED_VALUE"""),"Manager who clearly describes what she/he needs")</f>
        <v>Manager who clearly describes what she/he needs</v>
      </c>
      <c r="P1568" s="1" t="str">
        <f ca="1">IFERROR(__xludf.DUMMYFUNCTION("""COMPUTED_VALUE"""),"Work with 7 to 10 or more people in my team")</f>
        <v>Work with 7 to 10 or more people in my team</v>
      </c>
      <c r="Q1568" s="1" t="str">
        <f ca="1">IFERROR(__xludf.DUMMYFUNCTION("""COMPUTED_VALUE"""),"No")</f>
        <v>No</v>
      </c>
      <c r="R1568" s="1" t="str">
        <f ca="1">IFERROR(__xludf.DUMMYFUNCTION("""COMPUTED_VALUE"""),"This will be hard to do, but if it is the right company I would try")</f>
        <v>This will be hard to do, but if it is the right company I would try</v>
      </c>
      <c r="S1568" s="1"/>
    </row>
    <row r="1569" spans="1:19" ht="12.5" x14ac:dyDescent="0.25">
      <c r="A1569" s="2">
        <f ca="1">IFERROR(__xludf.DUMMYFUNCTION("""COMPUTED_VALUE"""),45045.8545929745)</f>
        <v>45045.854592974501</v>
      </c>
      <c r="B1569" s="1" t="str">
        <f ca="1">IFERROR(__xludf.DUMMYFUNCTION("""COMPUTED_VALUE"""),"India")</f>
        <v>India</v>
      </c>
      <c r="C1569" s="1">
        <f ca="1">IFERROR(__xludf.DUMMYFUNCTION("""COMPUTED_VALUE"""),500057)</f>
        <v>500057</v>
      </c>
      <c r="D1569" s="1" t="str">
        <f ca="1">IFERROR(__xludf.DUMMYFUNCTION("""COMPUTED_VALUE"""),"Female")</f>
        <v>Female</v>
      </c>
      <c r="E1569" s="1" t="str">
        <f ca="1">IFERROR(__xludf.DUMMYFUNCTION("""COMPUTED_VALUE"""),"My Parents")</f>
        <v>My Parents</v>
      </c>
      <c r="F1569" s="1" t="str">
        <f ca="1">IFERROR(__xludf.DUMMYFUNCTION("""COMPUTED_VALUE"""),"No, But if someone could bare the cost I will")</f>
        <v>No, But if someone could bare the cost I will</v>
      </c>
      <c r="G1569" s="1" t="str">
        <f ca="1">IFERROR(__xludf.DUMMYFUNCTION("""COMPUTED_VALUE"""),"This will be hard to do, but if it is the right company I would try")</f>
        <v>This will be hard to do, but if it is the right company I would try</v>
      </c>
      <c r="H1569" s="1" t="str">
        <f ca="1">IFERROR(__xludf.DUMMYFUNCTION("""COMPUTED_VALUE"""),"No")</f>
        <v>No</v>
      </c>
      <c r="I1569" s="1" t="str">
        <f ca="1">IFERROR(__xludf.DUMMYFUNCTION("""COMPUTED_VALUE"""),"Will NOT work for them")</f>
        <v>Will NOT work for them</v>
      </c>
      <c r="J1569" s="1">
        <f ca="1">IFERROR(__xludf.DUMMYFUNCTION("""COMPUTED_VALUE"""),10)</f>
        <v>10</v>
      </c>
      <c r="K1569" s="1" t="str">
        <f ca="1">IFERROR(__xludf.DUMMYFUNCTION("""COMPUTED_VALUE"""),"Every Day Office Environment")</f>
        <v>Every Day Office Environment</v>
      </c>
      <c r="L1569" s="1" t="str">
        <f ca="1">IFERROR(__xludf.DUMMYFUNCTION("""COMPUTED_VALUE"""),"Employer who rewards learning and enables that environment")</f>
        <v>Employer who rewards learning and enables that environment</v>
      </c>
      <c r="M156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69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56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69" s="1" t="str">
        <f ca="1">IFERROR(__xludf.DUMMYFUNCTION("""COMPUTED_VALUE"""),"Work alone")</f>
        <v>Work alone</v>
      </c>
      <c r="Q1569" s="1" t="str">
        <f ca="1">IFERROR(__xludf.DUMMYFUNCTION("""COMPUTED_VALUE"""),"No")</f>
        <v>No</v>
      </c>
      <c r="R1569" s="1" t="str">
        <f ca="1">IFERROR(__xludf.DUMMYFUNCTION("""COMPUTED_VALUE"""),"This will be hard to do, but if it is the right company I would try")</f>
        <v>This will be hard to do, but if it is the right company I would try</v>
      </c>
      <c r="S1569" s="1"/>
    </row>
    <row r="1570" spans="1:19" ht="12.5" x14ac:dyDescent="0.25">
      <c r="A1570" s="2">
        <f ca="1">IFERROR(__xludf.DUMMYFUNCTION("""COMPUTED_VALUE"""),45045.8546041898)</f>
        <v>45045.854604189801</v>
      </c>
      <c r="B1570" s="1" t="str">
        <f ca="1">IFERROR(__xludf.DUMMYFUNCTION("""COMPUTED_VALUE"""),"India")</f>
        <v>India</v>
      </c>
      <c r="C1570" s="1">
        <f ca="1">IFERROR(__xludf.DUMMYFUNCTION("""COMPUTED_VALUE"""),500083)</f>
        <v>500083</v>
      </c>
      <c r="D1570" s="1" t="str">
        <f ca="1">IFERROR(__xludf.DUMMYFUNCTION("""COMPUTED_VALUE"""),"Male")</f>
        <v>Male</v>
      </c>
      <c r="E1570" s="1" t="str">
        <f ca="1">IFERROR(__xludf.DUMMYFUNCTION("""COMPUTED_VALUE"""),"Influencers who had successful careers")</f>
        <v>Influencers who had successful careers</v>
      </c>
      <c r="F1570" s="1" t="str">
        <f ca="1">IFERROR(__xludf.DUMMYFUNCTION("""COMPUTED_VALUE"""),"No, But if someone could bare the cost I will")</f>
        <v>No, But if someone could bare the cost I will</v>
      </c>
      <c r="G1570" s="1" t="str">
        <f ca="1">IFERROR(__xludf.DUMMYFUNCTION("""COMPUTED_VALUE"""),"This will be hard to do, but if it is the right company I would try")</f>
        <v>This will be hard to do, but if it is the right company I would try</v>
      </c>
      <c r="H1570" s="1" t="str">
        <f ca="1">IFERROR(__xludf.DUMMYFUNCTION("""COMPUTED_VALUE"""),"No")</f>
        <v>No</v>
      </c>
      <c r="I1570" s="1" t="str">
        <f ca="1">IFERROR(__xludf.DUMMYFUNCTION("""COMPUTED_VALUE"""),"Will work for them")</f>
        <v>Will work for them</v>
      </c>
      <c r="J1570" s="1">
        <f ca="1">IFERROR(__xludf.DUMMYFUNCTION("""COMPUTED_VALUE"""),10)</f>
        <v>10</v>
      </c>
      <c r="K1570" s="1" t="str">
        <f ca="1">IFERROR(__xludf.DUMMYFUNCTION("""COMPUTED_VALUE"""),"Hybrid Working Environment with more than 15 days a month at office")</f>
        <v>Hybrid Working Environment with more than 15 days a month at office</v>
      </c>
      <c r="L1570" s="1" t="str">
        <f ca="1">IFERROR(__xludf.DUMMYFUNCTION("""COMPUTED_VALUE"""),"Employer who rewards learning and enables that environment")</f>
        <v>Employer who rewards learning and enables that environment</v>
      </c>
      <c r="M157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70" s="1" t="str">
        <f ca="1">IFERROR(__xludf.DUMMYFUNCTION("""COMPUTED_VALUE"""),"Build and develop a Team, Entrepreneur or Start Up, I Want to sell things/Sales, Manufacturing / Oil and Gas/ Construction / Hard Physical Work related")</f>
        <v>Build and develop a Team, Entrepreneur or Start Up, I Want to sell things/Sales, Manufacturing / Oil and Gas/ Construction / Hard Physical Work related</v>
      </c>
      <c r="O1570" s="1" t="str">
        <f ca="1">IFERROR(__xludf.DUMMYFUNCTION("""COMPUTED_VALUE"""),"Manager who explains what is expected, sets a goal and helps achieve it")</f>
        <v>Manager who explains what is expected, sets a goal and helps achieve it</v>
      </c>
      <c r="P1570" s="1" t="str">
        <f ca="1">IFERROR(__xludf.DUMMYFUNCTION("""COMPUTED_VALUE"""),"Work with 2 to 3 people in my team, Work with 5 to 6 people in my team")</f>
        <v>Work with 2 to 3 people in my team, Work with 5 to 6 people in my team</v>
      </c>
      <c r="Q1570" s="1" t="str">
        <f ca="1">IFERROR(__xludf.DUMMYFUNCTION("""COMPUTED_VALUE"""),"Yes, I Understand this is gonna happen everywhere")</f>
        <v>Yes, I Understand this is gonna happen everywhere</v>
      </c>
      <c r="R1570" s="1" t="str">
        <f ca="1">IFERROR(__xludf.DUMMYFUNCTION("""COMPUTED_VALUE"""),"No way")</f>
        <v>No way</v>
      </c>
      <c r="S1570" s="1"/>
    </row>
    <row r="1571" spans="1:19" ht="12.5" x14ac:dyDescent="0.25">
      <c r="A1571" s="2">
        <f ca="1">IFERROR(__xludf.DUMMYFUNCTION("""COMPUTED_VALUE"""),45045.8565572453)</f>
        <v>45045.856557245301</v>
      </c>
      <c r="B1571" s="1" t="str">
        <f ca="1">IFERROR(__xludf.DUMMYFUNCTION("""COMPUTED_VALUE"""),"India")</f>
        <v>India</v>
      </c>
      <c r="C1571" s="1">
        <f ca="1">IFERROR(__xludf.DUMMYFUNCTION("""COMPUTED_VALUE"""),411028)</f>
        <v>411028</v>
      </c>
      <c r="D1571" s="1" t="str">
        <f ca="1">IFERROR(__xludf.DUMMYFUNCTION("""COMPUTED_VALUE"""),"Male")</f>
        <v>Male</v>
      </c>
      <c r="E1571" s="1" t="str">
        <f ca="1">IFERROR(__xludf.DUMMYFUNCTION("""COMPUTED_VALUE"""),"People who have changed the world for better")</f>
        <v>People who have changed the world for better</v>
      </c>
      <c r="F1571" s="1" t="str">
        <f ca="1">IFERROR(__xludf.DUMMYFUNCTION("""COMPUTED_VALUE"""),"No I would not be pursuing Higher Education outside of India")</f>
        <v>No I would not be pursuing Higher Education outside of India</v>
      </c>
      <c r="G1571" s="1" t="str">
        <f ca="1">IFERROR(__xludf.DUMMYFUNCTION("""COMPUTED_VALUE"""),"This will be hard to do, but if it is the right company I would try")</f>
        <v>This will be hard to do, but if it is the right company I would try</v>
      </c>
      <c r="H1571" s="1" t="str">
        <f ca="1">IFERROR(__xludf.DUMMYFUNCTION("""COMPUTED_VALUE"""),"No")</f>
        <v>No</v>
      </c>
      <c r="I1571" s="1" t="str">
        <f ca="1">IFERROR(__xludf.DUMMYFUNCTION("""COMPUTED_VALUE"""),"Will NOT work for them")</f>
        <v>Will NOT work for them</v>
      </c>
      <c r="J1571" s="1">
        <f ca="1">IFERROR(__xludf.DUMMYFUNCTION("""COMPUTED_VALUE"""),5)</f>
        <v>5</v>
      </c>
      <c r="K1571" s="1" t="str">
        <f ca="1">IFERROR(__xludf.DUMMYFUNCTION("""COMPUTED_VALUE"""),"Hybrid Working Environment with more than 15 days a month at office")</f>
        <v>Hybrid Working Environment with more than 15 days a month at office</v>
      </c>
      <c r="L15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7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571" s="1" t="str">
        <f ca="1">IFERROR(__xludf.DUMMYFUNCTION("""COMPUTED_VALUE"""),"Teaching in any of the institutes/colleges/online or offline, Build and develop a Team, Work as a freelancer and do my thing my way, Become a content Creator in some platform")</f>
        <v>Teaching in any of the institutes/colleges/online or offline, Build and develop a Team, Work as a freelancer and do my thing my way, Become a content Creator in some platform</v>
      </c>
      <c r="O157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71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571" s="1" t="str">
        <f ca="1">IFERROR(__xludf.DUMMYFUNCTION("""COMPUTED_VALUE"""),"Yes, I Understand this is gonna happen everywhere")</f>
        <v>Yes, I Understand this is gonna happen everywhere</v>
      </c>
      <c r="R1571" s="1" t="str">
        <f ca="1">IFERROR(__xludf.DUMMYFUNCTION("""COMPUTED_VALUE"""),"This will be hard to do, but if it is the right company I would try")</f>
        <v>This will be hard to do, but if it is the right company I would try</v>
      </c>
      <c r="S1571" s="1"/>
    </row>
    <row r="1572" spans="1:19" ht="12.5" x14ac:dyDescent="0.25">
      <c r="A1572" s="2">
        <f ca="1">IFERROR(__xludf.DUMMYFUNCTION("""COMPUTED_VALUE"""),45045.8589259838)</f>
        <v>45045.858925983797</v>
      </c>
      <c r="B1572" s="1" t="str">
        <f ca="1">IFERROR(__xludf.DUMMYFUNCTION("""COMPUTED_VALUE"""),"India")</f>
        <v>India</v>
      </c>
      <c r="C1572" s="1">
        <f ca="1">IFERROR(__xludf.DUMMYFUNCTION("""COMPUTED_VALUE"""),533005)</f>
        <v>533005</v>
      </c>
      <c r="D1572" s="1" t="str">
        <f ca="1">IFERROR(__xludf.DUMMYFUNCTION("""COMPUTED_VALUE"""),"Male")</f>
        <v>Male</v>
      </c>
      <c r="E1572" s="1" t="str">
        <f ca="1">IFERROR(__xludf.DUMMYFUNCTION("""COMPUTED_VALUE"""),"People from my circle, but not family members")</f>
        <v>People from my circle, but not family members</v>
      </c>
      <c r="F1572" s="1" t="str">
        <f ca="1">IFERROR(__xludf.DUMMYFUNCTION("""COMPUTED_VALUE"""),"No, But if someone could bare the cost I will")</f>
        <v>No, But if someone could bare the cost I will</v>
      </c>
      <c r="G1572" s="1" t="str">
        <f ca="1">IFERROR(__xludf.DUMMYFUNCTION("""COMPUTED_VALUE"""),"This will be hard to do, but if it is the right company I would try")</f>
        <v>This will be hard to do, but if it is the right company I would try</v>
      </c>
      <c r="H1572" s="1" t="str">
        <f ca="1">IFERROR(__xludf.DUMMYFUNCTION("""COMPUTED_VALUE"""),"Yes")</f>
        <v>Yes</v>
      </c>
      <c r="I1572" s="1" t="str">
        <f ca="1">IFERROR(__xludf.DUMMYFUNCTION("""COMPUTED_VALUE"""),"Will NOT work for them")</f>
        <v>Will NOT work for them</v>
      </c>
      <c r="J1572" s="1">
        <f ca="1">IFERROR(__xludf.DUMMYFUNCTION("""COMPUTED_VALUE"""),4)</f>
        <v>4</v>
      </c>
      <c r="K1572" s="1" t="str">
        <f ca="1">IFERROR(__xludf.DUMMYFUNCTION("""COMPUTED_VALUE"""),"Hybrid Working Environment with more than 15 days a month at office")</f>
        <v>Hybrid Working Environment with more than 15 days a month at office</v>
      </c>
      <c r="L15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7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72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1572" s="1" t="str">
        <f ca="1">IFERROR(__xludf.DUMMYFUNCTION("""COMPUTED_VALUE"""),"Manager who explains what is expected, sets a goal and helps achieve it")</f>
        <v>Manager who explains what is expected, sets a goal and helps achieve it</v>
      </c>
      <c r="P1572" s="1" t="str">
        <f ca="1">IFERROR(__xludf.DUMMYFUNCTION("""COMPUTED_VALUE"""),"Work alone, Work with 2 to 3 people in my team")</f>
        <v>Work alone, Work with 2 to 3 people in my team</v>
      </c>
      <c r="Q1572" s="1" t="str">
        <f ca="1">IFERROR(__xludf.DUMMYFUNCTION("""COMPUTED_VALUE"""),"Yes, I Understand this is gonna happen everywhere")</f>
        <v>Yes, I Understand this is gonna happen everywhere</v>
      </c>
      <c r="R1572" s="1" t="str">
        <f ca="1">IFERROR(__xludf.DUMMYFUNCTION("""COMPUTED_VALUE"""),"This will be hard to do, but if it is the right company I would try")</f>
        <v>This will be hard to do, but if it is the right company I would try</v>
      </c>
      <c r="S1572" s="1"/>
    </row>
    <row r="1573" spans="1:19" ht="12.5" x14ac:dyDescent="0.25">
      <c r="A1573" s="2">
        <f ca="1">IFERROR(__xludf.DUMMYFUNCTION("""COMPUTED_VALUE"""),45045.8607478587)</f>
        <v>45045.8607478587</v>
      </c>
      <c r="B1573" s="1" t="str">
        <f ca="1">IFERROR(__xludf.DUMMYFUNCTION("""COMPUTED_VALUE"""),"India")</f>
        <v>India</v>
      </c>
      <c r="C1573" s="1">
        <f ca="1">IFERROR(__xludf.DUMMYFUNCTION("""COMPUTED_VALUE"""),505001)</f>
        <v>505001</v>
      </c>
      <c r="D1573" s="1" t="str">
        <f ca="1">IFERROR(__xludf.DUMMYFUNCTION("""COMPUTED_VALUE"""),"Female")</f>
        <v>Female</v>
      </c>
      <c r="E1573" s="1" t="str">
        <f ca="1">IFERROR(__xludf.DUMMYFUNCTION("""COMPUTED_VALUE"""),"My Parents")</f>
        <v>My Parents</v>
      </c>
      <c r="F1573" s="1" t="str">
        <f ca="1">IFERROR(__xludf.DUMMYFUNCTION("""COMPUTED_VALUE"""),"No I would not be pursuing Higher Education outside of India")</f>
        <v>No I would not be pursuing Higher Education outside of India</v>
      </c>
      <c r="G1573" s="1" t="str">
        <f ca="1">IFERROR(__xludf.DUMMYFUNCTION("""COMPUTED_VALUE"""),"This will be hard to do, but if it is the right company I would try")</f>
        <v>This will be hard to do, but if it is the right company I would try</v>
      </c>
      <c r="H1573" s="1" t="str">
        <f ca="1">IFERROR(__xludf.DUMMYFUNCTION("""COMPUTED_VALUE"""),"No")</f>
        <v>No</v>
      </c>
      <c r="I1573" s="1" t="str">
        <f ca="1">IFERROR(__xludf.DUMMYFUNCTION("""COMPUTED_VALUE"""),"Will NOT work for them")</f>
        <v>Will NOT work for them</v>
      </c>
      <c r="J1573" s="1">
        <f ca="1">IFERROR(__xludf.DUMMYFUNCTION("""COMPUTED_VALUE"""),1)</f>
        <v>1</v>
      </c>
      <c r="K1573" s="1" t="str">
        <f ca="1">IFERROR(__xludf.DUMMYFUNCTION("""COMPUTED_VALUE"""),"Fully Remote with No option to visit offices")</f>
        <v>Fully Remote with No option to visit offices</v>
      </c>
      <c r="L1573" s="1" t="str">
        <f ca="1">IFERROR(__xludf.DUMMYFUNCTION("""COMPUTED_VALUE"""),"Employer who appreciates learning and enables that environment")</f>
        <v>Employer who appreciates learning and enables that environment</v>
      </c>
      <c r="M157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73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57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73" s="1" t="str">
        <f ca="1">IFERROR(__xludf.DUMMYFUNCTION("""COMPUTED_VALUE"""),"Work with 5 to 6 people in my team")</f>
        <v>Work with 5 to 6 people in my team</v>
      </c>
      <c r="Q1573" s="1" t="str">
        <f ca="1">IFERROR(__xludf.DUMMYFUNCTION("""COMPUTED_VALUE"""),"Yes, I Understand this is gonna happen everywhere")</f>
        <v>Yes, I Understand this is gonna happen everywhere</v>
      </c>
      <c r="R1573" s="1" t="str">
        <f ca="1">IFERROR(__xludf.DUMMYFUNCTION("""COMPUTED_VALUE"""),"This will be hard to do, but if it is the right company I would try")</f>
        <v>This will be hard to do, but if it is the right company I would try</v>
      </c>
      <c r="S1573" s="1"/>
    </row>
    <row r="1574" spans="1:19" ht="12.5" x14ac:dyDescent="0.25">
      <c r="A1574" s="2">
        <f ca="1">IFERROR(__xludf.DUMMYFUNCTION("""COMPUTED_VALUE"""),45045.8635213541)</f>
        <v>45045.863521354098</v>
      </c>
      <c r="B1574" s="1" t="str">
        <f ca="1">IFERROR(__xludf.DUMMYFUNCTION("""COMPUTED_VALUE"""),"India")</f>
        <v>India</v>
      </c>
      <c r="C1574" s="1">
        <f ca="1">IFERROR(__xludf.DUMMYFUNCTION("""COMPUTED_VALUE"""),500029)</f>
        <v>500029</v>
      </c>
      <c r="D1574" s="1" t="str">
        <f ca="1">IFERROR(__xludf.DUMMYFUNCTION("""COMPUTED_VALUE"""),"Male")</f>
        <v>Male</v>
      </c>
      <c r="E1574" s="1" t="str">
        <f ca="1">IFERROR(__xludf.DUMMYFUNCTION("""COMPUTED_VALUE"""),"My Parents")</f>
        <v>My Parents</v>
      </c>
      <c r="F1574" s="1" t="str">
        <f ca="1">IFERROR(__xludf.DUMMYFUNCTION("""COMPUTED_VALUE"""),"Yes, I will earn and do that")</f>
        <v>Yes, I will earn and do that</v>
      </c>
      <c r="G1574" s="1" t="str">
        <f ca="1">IFERROR(__xludf.DUMMYFUNCTION("""COMPUTED_VALUE"""),"Will work for 3 years or more")</f>
        <v>Will work for 3 years or more</v>
      </c>
      <c r="H1574" s="1" t="str">
        <f ca="1">IFERROR(__xludf.DUMMYFUNCTION("""COMPUTED_VALUE"""),"Yes")</f>
        <v>Yes</v>
      </c>
      <c r="I1574" s="1" t="str">
        <f ca="1">IFERROR(__xludf.DUMMYFUNCTION("""COMPUTED_VALUE"""),"Will NOT work for them")</f>
        <v>Will NOT work for them</v>
      </c>
      <c r="J1574" s="1">
        <f ca="1">IFERROR(__xludf.DUMMYFUNCTION("""COMPUTED_VALUE"""),7)</f>
        <v>7</v>
      </c>
      <c r="K1574" s="1" t="str">
        <f ca="1">IFERROR(__xludf.DUMMYFUNCTION("""COMPUTED_VALUE"""),"Hybrid Working Environment with more than 15 days a month at office")</f>
        <v>Hybrid Working Environment with more than 15 days a month at office</v>
      </c>
      <c r="L15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7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74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574" s="1" t="str">
        <f ca="1">IFERROR(__xludf.DUMMYFUNCTION("""COMPUTED_VALUE"""),"Manager who sets goal and helps me achieve it")</f>
        <v>Manager who sets goal and helps me achieve it</v>
      </c>
      <c r="P1574" s="1" t="str">
        <f ca="1">IFERROR(__xludf.DUMMYFUNCTION("""COMPUTED_VALUE"""),"Work with 5 to 6 people in my team")</f>
        <v>Work with 5 to 6 people in my team</v>
      </c>
      <c r="Q1574" s="1" t="str">
        <f ca="1">IFERROR(__xludf.DUMMYFUNCTION("""COMPUTED_VALUE"""),"Yes, I Understand this is gonna happen everywhere")</f>
        <v>Yes, I Understand this is gonna happen everywhere</v>
      </c>
      <c r="R1574" s="1" t="str">
        <f ca="1">IFERROR(__xludf.DUMMYFUNCTION("""COMPUTED_VALUE"""),"This will be hard to do, but if it is the right company I would try")</f>
        <v>This will be hard to do, but if it is the right company I would try</v>
      </c>
      <c r="S1574" s="1"/>
    </row>
    <row r="1575" spans="1:19" ht="12.5" x14ac:dyDescent="0.25">
      <c r="A1575" s="2">
        <f ca="1">IFERROR(__xludf.DUMMYFUNCTION("""COMPUTED_VALUE"""),45045.8649970833)</f>
        <v>45045.864997083299</v>
      </c>
      <c r="B1575" s="1" t="str">
        <f ca="1">IFERROR(__xludf.DUMMYFUNCTION("""COMPUTED_VALUE"""),"India")</f>
        <v>India</v>
      </c>
      <c r="C1575" s="1">
        <f ca="1">IFERROR(__xludf.DUMMYFUNCTION("""COMPUTED_VALUE"""),500094)</f>
        <v>500094</v>
      </c>
      <c r="D1575" s="1" t="str">
        <f ca="1">IFERROR(__xludf.DUMMYFUNCTION("""COMPUTED_VALUE"""),"Female")</f>
        <v>Female</v>
      </c>
      <c r="E1575" s="1" t="str">
        <f ca="1">IFERROR(__xludf.DUMMYFUNCTION("""COMPUTED_VALUE"""),"My Parents")</f>
        <v>My Parents</v>
      </c>
      <c r="F1575" s="1" t="str">
        <f ca="1">IFERROR(__xludf.DUMMYFUNCTION("""COMPUTED_VALUE"""),"Yes, I will earn and do that")</f>
        <v>Yes, I will earn and do that</v>
      </c>
      <c r="G1575" s="1" t="str">
        <f ca="1">IFERROR(__xludf.DUMMYFUNCTION("""COMPUTED_VALUE"""),"This will be hard to do, but if it is the right company I would try")</f>
        <v>This will be hard to do, but if it is the right company I would try</v>
      </c>
      <c r="H1575" s="1" t="str">
        <f ca="1">IFERROR(__xludf.DUMMYFUNCTION("""COMPUTED_VALUE"""),"No")</f>
        <v>No</v>
      </c>
      <c r="I1575" s="1" t="str">
        <f ca="1">IFERROR(__xludf.DUMMYFUNCTION("""COMPUTED_VALUE"""),"Will work for them")</f>
        <v>Will work for them</v>
      </c>
      <c r="J1575" s="1">
        <f ca="1">IFERROR(__xludf.DUMMYFUNCTION("""COMPUTED_VALUE"""),3)</f>
        <v>3</v>
      </c>
      <c r="K1575" s="1" t="str">
        <f ca="1">IFERROR(__xludf.DUMMYFUNCTION("""COMPUTED_VALUE"""),"Fully Remote with Options to travel as and when needed")</f>
        <v>Fully Remote with Options to travel as and when needed</v>
      </c>
      <c r="L15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7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575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1575" s="1" t="str">
        <f ca="1">IFERROR(__xludf.DUMMYFUNCTION("""COMPUTED_VALUE"""),"Manager who sets goal and helps me achieve it")</f>
        <v>Manager who sets goal and helps me achieve it</v>
      </c>
      <c r="P1575" s="1" t="str">
        <f ca="1">IFERROR(__xludf.DUMMYFUNCTION("""COMPUTED_VALUE"""),"Work with 2 to 3 people in my team")</f>
        <v>Work with 2 to 3 people in my team</v>
      </c>
      <c r="Q1575" s="1" t="str">
        <f ca="1">IFERROR(__xludf.DUMMYFUNCTION("""COMPUTED_VALUE"""),"Yes, I Understand this is gonna happen everywhere")</f>
        <v>Yes, I Understand this is gonna happen everywhere</v>
      </c>
      <c r="R1575" s="1" t="str">
        <f ca="1">IFERROR(__xludf.DUMMYFUNCTION("""COMPUTED_VALUE"""),"No way")</f>
        <v>No way</v>
      </c>
      <c r="S1575" s="1"/>
    </row>
    <row r="1576" spans="1:19" ht="12.5" x14ac:dyDescent="0.25">
      <c r="A1576" s="2">
        <f ca="1">IFERROR(__xludf.DUMMYFUNCTION("""COMPUTED_VALUE"""),45045.8698424537)</f>
        <v>45045.8698424537</v>
      </c>
      <c r="B1576" s="1" t="str">
        <f ca="1">IFERROR(__xludf.DUMMYFUNCTION("""COMPUTED_VALUE"""),"India")</f>
        <v>India</v>
      </c>
      <c r="C1576" s="1">
        <f ca="1">IFERROR(__xludf.DUMMYFUNCTION("""COMPUTED_VALUE"""),522501)</f>
        <v>522501</v>
      </c>
      <c r="D1576" s="1" t="str">
        <f ca="1">IFERROR(__xludf.DUMMYFUNCTION("""COMPUTED_VALUE"""),"Female")</f>
        <v>Female</v>
      </c>
      <c r="E1576" s="1" t="str">
        <f ca="1">IFERROR(__xludf.DUMMYFUNCTION("""COMPUTED_VALUE"""),"People who have changed the world for better")</f>
        <v>People who have changed the world for better</v>
      </c>
      <c r="F1576" s="1" t="str">
        <f ca="1">IFERROR(__xludf.DUMMYFUNCTION("""COMPUTED_VALUE"""),"No I would not be pursuing Higher Education outside of India")</f>
        <v>No I would not be pursuing Higher Education outside of India</v>
      </c>
      <c r="G1576" s="1" t="str">
        <f ca="1">IFERROR(__xludf.DUMMYFUNCTION("""COMPUTED_VALUE"""),"This will be hard to do, but if it is the right company I would try")</f>
        <v>This will be hard to do, but if it is the right company I would try</v>
      </c>
      <c r="H1576" s="1" t="str">
        <f ca="1">IFERROR(__xludf.DUMMYFUNCTION("""COMPUTED_VALUE"""),"No")</f>
        <v>No</v>
      </c>
      <c r="I1576" s="1" t="str">
        <f ca="1">IFERROR(__xludf.DUMMYFUNCTION("""COMPUTED_VALUE"""),"Will NOT work for them")</f>
        <v>Will NOT work for them</v>
      </c>
      <c r="J1576" s="1">
        <f ca="1">IFERROR(__xludf.DUMMYFUNCTION("""COMPUTED_VALUE"""),5)</f>
        <v>5</v>
      </c>
      <c r="K1576" s="1" t="str">
        <f ca="1">IFERROR(__xludf.DUMMYFUNCTION("""COMPUTED_VALUE"""),"Fully Remote with No option to visit offices")</f>
        <v>Fully Remote with No option to visit offices</v>
      </c>
      <c r="L15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76" s="1" t="str">
        <f ca="1">IFERROR(__xludf.DUMMYFUNCTION("""COMPUTED_VALUE"""),"Teaching in any of the institutes/colleges/online or offline, Design and Develop amazing software, Entrepreneur or Start Up, An Artificial Intelligence Specialist / Talking to Robots")</f>
        <v>Teaching in any of the institutes/colleges/online or offline, Design and Develop amazing software, Entrepreneur or Start Up, An Artificial Intelligence Specialist / Talking to Robots</v>
      </c>
      <c r="O1576" s="1" t="str">
        <f ca="1">IFERROR(__xludf.DUMMYFUNCTION("""COMPUTED_VALUE"""),"Manager who clearly describes what she/he needs")</f>
        <v>Manager who clearly describes what she/he needs</v>
      </c>
      <c r="P1576" s="1" t="str">
        <f ca="1">IFERROR(__xludf.DUMMYFUNCTION("""COMPUTED_VALUE"""),"Work with 5 to 6 people in my team")</f>
        <v>Work with 5 to 6 people in my team</v>
      </c>
      <c r="Q1576" s="1" t="str">
        <f ca="1">IFERROR(__xludf.DUMMYFUNCTION("""COMPUTED_VALUE"""),"No")</f>
        <v>No</v>
      </c>
      <c r="R1576" s="1" t="str">
        <f ca="1">IFERROR(__xludf.DUMMYFUNCTION("""COMPUTED_VALUE"""),"This will be hard to do, but if it is the right company I would try")</f>
        <v>This will be hard to do, but if it is the right company I would try</v>
      </c>
      <c r="S1576" s="1"/>
    </row>
    <row r="1577" spans="1:19" ht="12.5" x14ac:dyDescent="0.25">
      <c r="A1577" s="2">
        <f ca="1">IFERROR(__xludf.DUMMYFUNCTION("""COMPUTED_VALUE"""),45045.8734557291)</f>
        <v>45045.873455729103</v>
      </c>
      <c r="B1577" s="1" t="str">
        <f ca="1">IFERROR(__xludf.DUMMYFUNCTION("""COMPUTED_VALUE"""),"India")</f>
        <v>India</v>
      </c>
      <c r="C1577" s="1">
        <f ca="1">IFERROR(__xludf.DUMMYFUNCTION("""COMPUTED_VALUE"""),125111)</f>
        <v>125111</v>
      </c>
      <c r="D1577" s="1" t="str">
        <f ca="1">IFERROR(__xludf.DUMMYFUNCTION("""COMPUTED_VALUE"""),"Female")</f>
        <v>Female</v>
      </c>
      <c r="E1577" s="1" t="str">
        <f ca="1">IFERROR(__xludf.DUMMYFUNCTION("""COMPUTED_VALUE"""),"My Parents")</f>
        <v>My Parents</v>
      </c>
      <c r="F1577" s="1" t="str">
        <f ca="1">IFERROR(__xludf.DUMMYFUNCTION("""COMPUTED_VALUE"""),"Yes, I will earn and do that")</f>
        <v>Yes, I will earn and do that</v>
      </c>
      <c r="G1577" s="1" t="str">
        <f ca="1">IFERROR(__xludf.DUMMYFUNCTION("""COMPUTED_VALUE"""),"Will work for 3 years or more")</f>
        <v>Will work for 3 years or more</v>
      </c>
      <c r="H1577" s="1" t="str">
        <f ca="1">IFERROR(__xludf.DUMMYFUNCTION("""COMPUTED_VALUE"""),"Yes")</f>
        <v>Yes</v>
      </c>
      <c r="I1577" s="1" t="str">
        <f ca="1">IFERROR(__xludf.DUMMYFUNCTION("""COMPUTED_VALUE"""),"Will work for them")</f>
        <v>Will work for them</v>
      </c>
      <c r="J1577" s="1">
        <f ca="1">IFERROR(__xludf.DUMMYFUNCTION("""COMPUTED_VALUE"""),6)</f>
        <v>6</v>
      </c>
      <c r="K1577" s="1" t="str">
        <f ca="1">IFERROR(__xludf.DUMMYFUNCTION("""COMPUTED_VALUE"""),"Fully Remote with No option to visit offices")</f>
        <v>Fully Remote with No option to visit offices</v>
      </c>
      <c r="L15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7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577" s="1" t="str">
        <f ca="1">IFERROR(__xludf.DUMMYFUNCTION("""COMPUTED_VALUE"""),"Design and Creative strategy in any company, Teaching in any of the institutes/colleges/online or offline, Build and develop a Team, Work as a freelancer and do my thing my way")</f>
        <v>Design and Creative strategy in any company, Teaching in any of the institutes/colleges/online or offline, Build and develop a Team, Work as a freelancer and do my thing my way</v>
      </c>
      <c r="O1577" s="1" t="str">
        <f ca="1">IFERROR(__xludf.DUMMYFUNCTION("""COMPUTED_VALUE"""),"Manager who explains what is expected, sets a goal and helps achieve it")</f>
        <v>Manager who explains what is expected, sets a goal and helps achieve it</v>
      </c>
      <c r="P1577" s="1" t="str">
        <f ca="1">IFERROR(__xludf.DUMMYFUNCTION("""COMPUTED_VALUE"""),"Work alone")</f>
        <v>Work alone</v>
      </c>
      <c r="Q1577" s="1" t="str">
        <f ca="1">IFERROR(__xludf.DUMMYFUNCTION("""COMPUTED_VALUE"""),"Yes")</f>
        <v>Yes</v>
      </c>
      <c r="R1577" s="1" t="str">
        <f ca="1">IFERROR(__xludf.DUMMYFUNCTION("""COMPUTED_VALUE"""),"This will be hard to do, but if it is the right company I would try")</f>
        <v>This will be hard to do, but if it is the right company I would try</v>
      </c>
      <c r="S1577" s="1"/>
    </row>
    <row r="1578" spans="1:19" ht="12.5" x14ac:dyDescent="0.25">
      <c r="A1578" s="2">
        <f ca="1">IFERROR(__xludf.DUMMYFUNCTION("""COMPUTED_VALUE"""),45045.8738184027)</f>
        <v>45045.873818402702</v>
      </c>
      <c r="B1578" s="1" t="str">
        <f ca="1">IFERROR(__xludf.DUMMYFUNCTION("""COMPUTED_VALUE"""),"India")</f>
        <v>India</v>
      </c>
      <c r="C1578" s="1">
        <f ca="1">IFERROR(__xludf.DUMMYFUNCTION("""COMPUTED_VALUE"""),505524)</f>
        <v>505524</v>
      </c>
      <c r="D1578" s="1" t="str">
        <f ca="1">IFERROR(__xludf.DUMMYFUNCTION("""COMPUTED_VALUE"""),"Male")</f>
        <v>Male</v>
      </c>
      <c r="E1578" s="1" t="str">
        <f ca="1">IFERROR(__xludf.DUMMYFUNCTION("""COMPUTED_VALUE"""),"People who have changed the world for better")</f>
        <v>People who have changed the world for better</v>
      </c>
      <c r="F1578" s="1" t="str">
        <f ca="1">IFERROR(__xludf.DUMMYFUNCTION("""COMPUTED_VALUE"""),"No I would not be pursuing Higher Education outside of India")</f>
        <v>No I would not be pursuing Higher Education outside of India</v>
      </c>
      <c r="G1578" s="1" t="str">
        <f ca="1">IFERROR(__xludf.DUMMYFUNCTION("""COMPUTED_VALUE"""),"Will work for 3 years or more")</f>
        <v>Will work for 3 years or more</v>
      </c>
      <c r="H1578" s="1" t="str">
        <f ca="1">IFERROR(__xludf.DUMMYFUNCTION("""COMPUTED_VALUE"""),"No")</f>
        <v>No</v>
      </c>
      <c r="I1578" s="1" t="str">
        <f ca="1">IFERROR(__xludf.DUMMYFUNCTION("""COMPUTED_VALUE"""),"Will work for them")</f>
        <v>Will work for them</v>
      </c>
      <c r="J1578" s="1">
        <f ca="1">IFERROR(__xludf.DUMMYFUNCTION("""COMPUTED_VALUE"""),5)</f>
        <v>5</v>
      </c>
      <c r="K1578" s="1" t="str">
        <f ca="1">IFERROR(__xludf.DUMMYFUNCTION("""COMPUTED_VALUE"""),"Hybrid Working Environment with more than 15 days a month at office")</f>
        <v>Hybrid Working Environment with more than 15 days a month at office</v>
      </c>
      <c r="L1578" s="1" t="str">
        <f ca="1">IFERROR(__xludf.DUMMYFUNCTION("""COMPUTED_VALUE"""),"Employer who appreciates learning and enables that environment")</f>
        <v>Employer who appreciates learning and enables that environment</v>
      </c>
      <c r="M157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578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578" s="1" t="str">
        <f ca="1">IFERROR(__xludf.DUMMYFUNCTION("""COMPUTED_VALUE"""),"Manager who explains what is expected, sets a goal and helps achieve it")</f>
        <v>Manager who explains what is expected, sets a goal and helps achieve it</v>
      </c>
      <c r="P1578" s="1" t="str">
        <f ca="1">IFERROR(__xludf.DUMMYFUNCTION("""COMPUTED_VALUE"""),"Work with 5 to 6 people in my team")</f>
        <v>Work with 5 to 6 people in my team</v>
      </c>
      <c r="Q1578" s="1" t="str">
        <f ca="1">IFERROR(__xludf.DUMMYFUNCTION("""COMPUTED_VALUE"""),"Yes")</f>
        <v>Yes</v>
      </c>
      <c r="R1578" s="1" t="str">
        <f ca="1">IFERROR(__xludf.DUMMYFUNCTION("""COMPUTED_VALUE"""),"No way")</f>
        <v>No way</v>
      </c>
      <c r="S1578" s="1"/>
    </row>
    <row r="1579" spans="1:19" ht="12.5" x14ac:dyDescent="0.25">
      <c r="A1579" s="2">
        <f ca="1">IFERROR(__xludf.DUMMYFUNCTION("""COMPUTED_VALUE"""),45045.8738984606)</f>
        <v>45045.873898460603</v>
      </c>
      <c r="B1579" s="1" t="str">
        <f ca="1">IFERROR(__xludf.DUMMYFUNCTION("""COMPUTED_VALUE"""),"India")</f>
        <v>India</v>
      </c>
      <c r="C1579" s="1">
        <f ca="1">IFERROR(__xludf.DUMMYFUNCTION("""COMPUTED_VALUE"""),500019)</f>
        <v>500019</v>
      </c>
      <c r="D1579" s="1" t="str">
        <f ca="1">IFERROR(__xludf.DUMMYFUNCTION("""COMPUTED_VALUE"""),"Male")</f>
        <v>Male</v>
      </c>
      <c r="E1579" s="1" t="str">
        <f ca="1">IFERROR(__xludf.DUMMYFUNCTION("""COMPUTED_VALUE"""),"People from my circle, but not family members")</f>
        <v>People from my circle, but not family members</v>
      </c>
      <c r="F1579" s="1" t="str">
        <f ca="1">IFERROR(__xludf.DUMMYFUNCTION("""COMPUTED_VALUE"""),"No, But if someone could bare the cost I will")</f>
        <v>No, But if someone could bare the cost I will</v>
      </c>
      <c r="G1579" s="1" t="str">
        <f ca="1">IFERROR(__xludf.DUMMYFUNCTION("""COMPUTED_VALUE"""),"No way")</f>
        <v>No way</v>
      </c>
      <c r="H1579" s="1" t="str">
        <f ca="1">IFERROR(__xludf.DUMMYFUNCTION("""COMPUTED_VALUE"""),"No")</f>
        <v>No</v>
      </c>
      <c r="I1579" s="1" t="str">
        <f ca="1">IFERROR(__xludf.DUMMYFUNCTION("""COMPUTED_VALUE"""),"Will NOT work for them")</f>
        <v>Will NOT work for them</v>
      </c>
      <c r="J1579" s="1">
        <f ca="1">IFERROR(__xludf.DUMMYFUNCTION("""COMPUTED_VALUE"""),8)</f>
        <v>8</v>
      </c>
      <c r="K1579" s="1" t="str">
        <f ca="1">IFERROR(__xludf.DUMMYFUNCTION("""COMPUTED_VALUE"""),"Hybrid Working Environment with less than 3 days a month at office")</f>
        <v>Hybrid Working Environment with less than 3 days a month at office</v>
      </c>
      <c r="L15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7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579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1579" s="1" t="str">
        <f ca="1">IFERROR(__xludf.DUMMYFUNCTION("""COMPUTED_VALUE"""),"Manager who sets goal and helps me achieve it")</f>
        <v>Manager who sets goal and helps me achieve it</v>
      </c>
      <c r="P1579" s="1" t="str">
        <f ca="1">IFERROR(__xludf.DUMMYFUNCTION("""COMPUTED_VALUE"""),"Work with 7 to 10 or more people in my team")</f>
        <v>Work with 7 to 10 or more people in my team</v>
      </c>
      <c r="Q1579" s="1" t="str">
        <f ca="1">IFERROR(__xludf.DUMMYFUNCTION("""COMPUTED_VALUE"""),"Yes, I Understand this is gonna happen everywhere")</f>
        <v>Yes, I Understand this is gonna happen everywhere</v>
      </c>
      <c r="R1579" s="1" t="str">
        <f ca="1">IFERROR(__xludf.DUMMYFUNCTION("""COMPUTED_VALUE"""),"This will be hard to do, but if it is the right company I would try")</f>
        <v>This will be hard to do, but if it is the right company I would try</v>
      </c>
      <c r="S1579" s="1"/>
    </row>
    <row r="1580" spans="1:19" ht="12.5" x14ac:dyDescent="0.25">
      <c r="A1580" s="2">
        <f ca="1">IFERROR(__xludf.DUMMYFUNCTION("""COMPUTED_VALUE"""),45045.8750028009)</f>
        <v>45045.875002800902</v>
      </c>
      <c r="B1580" s="1" t="str">
        <f ca="1">IFERROR(__xludf.DUMMYFUNCTION("""COMPUTED_VALUE"""),"India")</f>
        <v>India</v>
      </c>
      <c r="C1580" s="1">
        <f ca="1">IFERROR(__xludf.DUMMYFUNCTION("""COMPUTED_VALUE"""),508101)</f>
        <v>508101</v>
      </c>
      <c r="D1580" s="1" t="str">
        <f ca="1">IFERROR(__xludf.DUMMYFUNCTION("""COMPUTED_VALUE"""),"Female")</f>
        <v>Female</v>
      </c>
      <c r="E1580" s="1" t="str">
        <f ca="1">IFERROR(__xludf.DUMMYFUNCTION("""COMPUTED_VALUE"""),"Influencers who had successful careers")</f>
        <v>Influencers who had successful careers</v>
      </c>
      <c r="F1580" s="1" t="str">
        <f ca="1">IFERROR(__xludf.DUMMYFUNCTION("""COMPUTED_VALUE"""),"Yes, I will earn and do that")</f>
        <v>Yes, I will earn and do that</v>
      </c>
      <c r="G1580" s="1" t="str">
        <f ca="1">IFERROR(__xludf.DUMMYFUNCTION("""COMPUTED_VALUE"""),"This will be hard to do, but if it is the right company I would try")</f>
        <v>This will be hard to do, but if it is the right company I would try</v>
      </c>
      <c r="H1580" s="1" t="str">
        <f ca="1">IFERROR(__xludf.DUMMYFUNCTION("""COMPUTED_VALUE"""),"No")</f>
        <v>No</v>
      </c>
      <c r="I1580" s="1" t="str">
        <f ca="1">IFERROR(__xludf.DUMMYFUNCTION("""COMPUTED_VALUE"""),"Will NOT work for them")</f>
        <v>Will NOT work for them</v>
      </c>
      <c r="J1580" s="1">
        <f ca="1">IFERROR(__xludf.DUMMYFUNCTION("""COMPUTED_VALUE"""),4)</f>
        <v>4</v>
      </c>
      <c r="K1580" s="1" t="str">
        <f ca="1">IFERROR(__xludf.DUMMYFUNCTION("""COMPUTED_VALUE"""),"Hybrid Working Environment with more than 15 days a month at office")</f>
        <v>Hybrid Working Environment with more than 15 days a month at office</v>
      </c>
      <c r="L15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8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80" s="1" t="str">
        <f ca="1">IFERROR(__xludf.DUMMYFUNCTION("""COMPUTED_VALUE"""),"Manage and drive End-to-End Projects or Products, Look deeply into Data and generate insights, Entrepreneur or Start Up, An Artificial Intelligence Specialist / Talking to Robots")</f>
        <v>Manage and drive End-to-End Projects or Products, Look deeply into Data and generate insights, Entrepreneur or Start Up, An Artificial Intelligence Specialist / Talking to Robots</v>
      </c>
      <c r="O1580" s="1" t="str">
        <f ca="1">IFERROR(__xludf.DUMMYFUNCTION("""COMPUTED_VALUE"""),"Manager who explains what is expected, sets a goal and helps achieve it")</f>
        <v>Manager who explains what is expected, sets a goal and helps achieve it</v>
      </c>
      <c r="P158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580" s="1" t="str">
        <f ca="1">IFERROR(__xludf.DUMMYFUNCTION("""COMPUTED_VALUE"""),"Yes, I Understand this is gonna happen everywhere")</f>
        <v>Yes, I Understand this is gonna happen everywhere</v>
      </c>
      <c r="R1580" s="1" t="str">
        <f ca="1">IFERROR(__xludf.DUMMYFUNCTION("""COMPUTED_VALUE"""),"This will be hard to do, but if it is the right company I would try")</f>
        <v>This will be hard to do, but if it is the right company I would try</v>
      </c>
      <c r="S1580" s="1"/>
    </row>
    <row r="1581" spans="1:19" ht="12.5" x14ac:dyDescent="0.25">
      <c r="A1581" s="2">
        <f ca="1">IFERROR(__xludf.DUMMYFUNCTION("""COMPUTED_VALUE"""),45045.8761457986)</f>
        <v>45045.876145798597</v>
      </c>
      <c r="B1581" s="1" t="str">
        <f ca="1">IFERROR(__xludf.DUMMYFUNCTION("""COMPUTED_VALUE"""),"India")</f>
        <v>India</v>
      </c>
      <c r="C1581" s="1">
        <f ca="1">IFERROR(__xludf.DUMMYFUNCTION("""COMPUTED_VALUE"""),452001)</f>
        <v>452001</v>
      </c>
      <c r="D1581" s="1" t="str">
        <f ca="1">IFERROR(__xludf.DUMMYFUNCTION("""COMPUTED_VALUE"""),"Male")</f>
        <v>Male</v>
      </c>
      <c r="E1581" s="1" t="str">
        <f ca="1">IFERROR(__xludf.DUMMYFUNCTION("""COMPUTED_VALUE"""),"My Parents")</f>
        <v>My Parents</v>
      </c>
      <c r="F1581" s="1" t="str">
        <f ca="1">IFERROR(__xludf.DUMMYFUNCTION("""COMPUTED_VALUE"""),"No I would not be pursuing Higher Education outside of India")</f>
        <v>No I would not be pursuing Higher Education outside of India</v>
      </c>
      <c r="G1581" s="1" t="str">
        <f ca="1">IFERROR(__xludf.DUMMYFUNCTION("""COMPUTED_VALUE"""),"Will work for 3 years or more")</f>
        <v>Will work for 3 years or more</v>
      </c>
      <c r="H1581" s="1" t="str">
        <f ca="1">IFERROR(__xludf.DUMMYFUNCTION("""COMPUTED_VALUE"""),"No")</f>
        <v>No</v>
      </c>
      <c r="I1581" s="1" t="str">
        <f ca="1">IFERROR(__xludf.DUMMYFUNCTION("""COMPUTED_VALUE"""),"Will NOT work for them")</f>
        <v>Will NOT work for them</v>
      </c>
      <c r="J1581" s="1">
        <f ca="1">IFERROR(__xludf.DUMMYFUNCTION("""COMPUTED_VALUE"""),1)</f>
        <v>1</v>
      </c>
      <c r="K1581" s="1" t="str">
        <f ca="1">IFERROR(__xludf.DUMMYFUNCTION("""COMPUTED_VALUE"""),"Hybrid Working Environment with more than 15 days a month at office")</f>
        <v>Hybrid Working Environment with more than 15 days a month at office</v>
      </c>
      <c r="L1581" s="1" t="str">
        <f ca="1">IFERROR(__xludf.DUMMYFUNCTION("""COMPUTED_VALUE"""),"Employer who appreciates learning and enables that environment")</f>
        <v>Employer who appreciates learning and enables that environment</v>
      </c>
      <c r="M158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81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1581" s="1" t="str">
        <f ca="1">IFERROR(__xludf.DUMMYFUNCTION("""COMPUTED_VALUE"""),"Manager who sets targets and expects me to achieve it")</f>
        <v>Manager who sets targets and expects me to achieve it</v>
      </c>
      <c r="P1581" s="1" t="str">
        <f ca="1">IFERROR(__xludf.DUMMYFUNCTION("""COMPUTED_VALUE"""),"Work with 2 to 3 people in my team")</f>
        <v>Work with 2 to 3 people in my team</v>
      </c>
      <c r="Q1581" s="1" t="str">
        <f ca="1">IFERROR(__xludf.DUMMYFUNCTION("""COMPUTED_VALUE"""),"No")</f>
        <v>No</v>
      </c>
      <c r="R1581" s="1" t="str">
        <f ca="1">IFERROR(__xludf.DUMMYFUNCTION("""COMPUTED_VALUE"""),"This will be hard to do, but if it is the right company I would try")</f>
        <v>This will be hard to do, but if it is the right company I would try</v>
      </c>
      <c r="S1581" s="1"/>
    </row>
    <row r="1582" spans="1:19" ht="12.5" x14ac:dyDescent="0.25">
      <c r="A1582" s="2">
        <f ca="1">IFERROR(__xludf.DUMMYFUNCTION("""COMPUTED_VALUE"""),45045.8766770486)</f>
        <v>45045.876677048604</v>
      </c>
      <c r="B1582" s="1" t="str">
        <f ca="1">IFERROR(__xludf.DUMMYFUNCTION("""COMPUTED_VALUE"""),"India")</f>
        <v>India</v>
      </c>
      <c r="C1582" s="1">
        <f ca="1">IFERROR(__xludf.DUMMYFUNCTION("""COMPUTED_VALUE"""),500013)</f>
        <v>500013</v>
      </c>
      <c r="D1582" s="1" t="str">
        <f ca="1">IFERROR(__xludf.DUMMYFUNCTION("""COMPUTED_VALUE"""),"Male")</f>
        <v>Male</v>
      </c>
      <c r="E1582" s="1" t="str">
        <f ca="1">IFERROR(__xludf.DUMMYFUNCTION("""COMPUTED_VALUE"""),"People from my circle, but not family members")</f>
        <v>People from my circle, but not family members</v>
      </c>
      <c r="F1582" s="1" t="str">
        <f ca="1">IFERROR(__xludf.DUMMYFUNCTION("""COMPUTED_VALUE"""),"Yes, I will earn and do that")</f>
        <v>Yes, I will earn and do that</v>
      </c>
      <c r="G1582" s="1" t="str">
        <f ca="1">IFERROR(__xludf.DUMMYFUNCTION("""COMPUTED_VALUE"""),"This will be hard to do, but if it is the right company I would try")</f>
        <v>This will be hard to do, but if it is the right company I would try</v>
      </c>
      <c r="H1582" s="1" t="str">
        <f ca="1">IFERROR(__xludf.DUMMYFUNCTION("""COMPUTED_VALUE"""),"No")</f>
        <v>No</v>
      </c>
      <c r="I1582" s="1" t="str">
        <f ca="1">IFERROR(__xludf.DUMMYFUNCTION("""COMPUTED_VALUE"""),"Will NOT work for them")</f>
        <v>Will NOT work for them</v>
      </c>
      <c r="J1582" s="1">
        <f ca="1">IFERROR(__xludf.DUMMYFUNCTION("""COMPUTED_VALUE"""),7)</f>
        <v>7</v>
      </c>
      <c r="K1582" s="1" t="str">
        <f ca="1">IFERROR(__xludf.DUMMYFUNCTION("""COMPUTED_VALUE"""),"Hybrid Working Environment with more than 15 days a month at office")</f>
        <v>Hybrid Working Environment with more than 15 days a month at office</v>
      </c>
      <c r="L15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82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582" s="1" t="str">
        <f ca="1">IFERROR(__xludf.DUMMYFUNCTION("""COMPUTED_VALUE"""),"Design and Develop amazing software, Entrepreneur or Start Up, I Want to sell things/Sales, An Artificial Intelligence Specialist / Talking to Robots")</f>
        <v>Design and Develop amazing software, Entrepreneur or Start Up, I Want to sell things/Sales, An Artificial Intelligence Specialist / Talking to Robots</v>
      </c>
      <c r="O1582" s="1" t="str">
        <f ca="1">IFERROR(__xludf.DUMMYFUNCTION("""COMPUTED_VALUE"""),"Manager who explains what is expected, sets a goal and helps achieve it")</f>
        <v>Manager who explains what is expected, sets a goal and helps achieve it</v>
      </c>
      <c r="P1582" s="1" t="str">
        <f ca="1">IFERROR(__xludf.DUMMYFUNCTION("""COMPUTED_VALUE"""),"Work with 2 to 3 people in my team")</f>
        <v>Work with 2 to 3 people in my team</v>
      </c>
      <c r="Q1582" s="1" t="str">
        <f ca="1">IFERROR(__xludf.DUMMYFUNCTION("""COMPUTED_VALUE"""),"Yes, I Understand this is gonna happen everywhere")</f>
        <v>Yes, I Understand this is gonna happen everywhere</v>
      </c>
      <c r="R1582" s="1" t="str">
        <f ca="1">IFERROR(__xludf.DUMMYFUNCTION("""COMPUTED_VALUE"""),"This will be hard to do, but if it is the right company I would try")</f>
        <v>This will be hard to do, but if it is the right company I would try</v>
      </c>
      <c r="S1582" s="1"/>
    </row>
    <row r="1583" spans="1:19" ht="12.5" x14ac:dyDescent="0.25">
      <c r="A1583" s="2">
        <f ca="1">IFERROR(__xludf.DUMMYFUNCTION("""COMPUTED_VALUE"""),45045.8809333449)</f>
        <v>45045.880933344903</v>
      </c>
      <c r="B1583" s="1" t="str">
        <f ca="1">IFERROR(__xludf.DUMMYFUNCTION("""COMPUTED_VALUE"""),"India")</f>
        <v>India</v>
      </c>
      <c r="C1583" s="1">
        <f ca="1">IFERROR(__xludf.DUMMYFUNCTION("""COMPUTED_VALUE"""),828116)</f>
        <v>828116</v>
      </c>
      <c r="D1583" s="1" t="str">
        <f ca="1">IFERROR(__xludf.DUMMYFUNCTION("""COMPUTED_VALUE"""),"Male")</f>
        <v>Male</v>
      </c>
      <c r="E1583" s="1" t="str">
        <f ca="1">IFERROR(__xludf.DUMMYFUNCTION("""COMPUTED_VALUE"""),"People from my circle, but not family members")</f>
        <v>People from my circle, but not family members</v>
      </c>
      <c r="F1583" s="1" t="str">
        <f ca="1">IFERROR(__xludf.DUMMYFUNCTION("""COMPUTED_VALUE"""),"No, But if someone could bare the cost I will")</f>
        <v>No, But if someone could bare the cost I will</v>
      </c>
      <c r="G1583" s="1" t="str">
        <f ca="1">IFERROR(__xludf.DUMMYFUNCTION("""COMPUTED_VALUE"""),"Will work for 3 years or more")</f>
        <v>Will work for 3 years or more</v>
      </c>
      <c r="H1583" s="1" t="str">
        <f ca="1">IFERROR(__xludf.DUMMYFUNCTION("""COMPUTED_VALUE"""),"Yes")</f>
        <v>Yes</v>
      </c>
      <c r="I1583" s="1" t="str">
        <f ca="1">IFERROR(__xludf.DUMMYFUNCTION("""COMPUTED_VALUE"""),"Will work for them")</f>
        <v>Will work for them</v>
      </c>
      <c r="J1583" s="1">
        <f ca="1">IFERROR(__xludf.DUMMYFUNCTION("""COMPUTED_VALUE"""),10)</f>
        <v>10</v>
      </c>
      <c r="K1583" s="1" t="str">
        <f ca="1">IFERROR(__xludf.DUMMYFUNCTION("""COMPUTED_VALUE"""),"Hybrid Working Environment with more than 15 days a month at office")</f>
        <v>Hybrid Working Environment with more than 15 days a month at office</v>
      </c>
      <c r="L15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8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83" s="1" t="str">
        <f ca="1">IFERROR(__xludf.DUMMYFUNCTION("""COMPUTED_VALUE"""),"Teaching in any of the institutes/colleges/online or offline, Work as a freelancer and do my thing my way, Become a content Creator in some platform, Manufacturing / Oil and Gas/ Construction / Hard Physical Work related")</f>
        <v>Teaching in any of the institutes/colleges/online or offline, Work as a freelancer and do my thing my way, Become a content Creator in some platform, Manufacturing / Oil and Gas/ Construction / Hard Physical Work related</v>
      </c>
      <c r="O15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583" s="1" t="str">
        <f ca="1">IFERROR(__xludf.DUMMYFUNCTION("""COMPUTED_VALUE"""),"Work with 2 to 3 people in my team")</f>
        <v>Work with 2 to 3 people in my team</v>
      </c>
      <c r="Q1583" s="1" t="str">
        <f ca="1">IFERROR(__xludf.DUMMYFUNCTION("""COMPUTED_VALUE"""),"I have NO other choice")</f>
        <v>I have NO other choice</v>
      </c>
      <c r="R1583" s="1" t="str">
        <f ca="1">IFERROR(__xludf.DUMMYFUNCTION("""COMPUTED_VALUE"""),"Will work for 7 years or more")</f>
        <v>Will work for 7 years or more</v>
      </c>
      <c r="S1583" s="1"/>
    </row>
    <row r="1584" spans="1:19" ht="12.5" x14ac:dyDescent="0.25">
      <c r="A1584" s="2">
        <f ca="1">IFERROR(__xludf.DUMMYFUNCTION("""COMPUTED_VALUE"""),45045.8826855555)</f>
        <v>45045.882685555502</v>
      </c>
      <c r="B1584" s="1" t="str">
        <f ca="1">IFERROR(__xludf.DUMMYFUNCTION("""COMPUTED_VALUE"""),"India")</f>
        <v>India</v>
      </c>
      <c r="C1584" s="1">
        <f ca="1">IFERROR(__xludf.DUMMYFUNCTION("""COMPUTED_VALUE"""),500011)</f>
        <v>500011</v>
      </c>
      <c r="D1584" s="1" t="str">
        <f ca="1">IFERROR(__xludf.DUMMYFUNCTION("""COMPUTED_VALUE"""),"Female")</f>
        <v>Female</v>
      </c>
      <c r="E1584" s="1" t="str">
        <f ca="1">IFERROR(__xludf.DUMMYFUNCTION("""COMPUTED_VALUE"""),"My Parents")</f>
        <v>My Parents</v>
      </c>
      <c r="F1584" s="1" t="str">
        <f ca="1">IFERROR(__xludf.DUMMYFUNCTION("""COMPUTED_VALUE"""),"No I would not be pursuing Higher Education outside of India")</f>
        <v>No I would not be pursuing Higher Education outside of India</v>
      </c>
      <c r="G1584" s="1" t="str">
        <f ca="1">IFERROR(__xludf.DUMMYFUNCTION("""COMPUTED_VALUE"""),"This will be hard to do, but if it is the right company I would try")</f>
        <v>This will be hard to do, but if it is the right company I would try</v>
      </c>
      <c r="H1584" s="1" t="str">
        <f ca="1">IFERROR(__xludf.DUMMYFUNCTION("""COMPUTED_VALUE"""),"Yes")</f>
        <v>Yes</v>
      </c>
      <c r="I1584" s="1" t="str">
        <f ca="1">IFERROR(__xludf.DUMMYFUNCTION("""COMPUTED_VALUE"""),"Will work for them")</f>
        <v>Will work for them</v>
      </c>
      <c r="J1584" s="1">
        <f ca="1">IFERROR(__xludf.DUMMYFUNCTION("""COMPUTED_VALUE"""),3)</f>
        <v>3</v>
      </c>
      <c r="K1584" s="1" t="str">
        <f ca="1">IFERROR(__xludf.DUMMYFUNCTION("""COMPUTED_VALUE"""),"Hybrid Working Environment with less than 3 days a month at office")</f>
        <v>Hybrid Working Environment with less than 3 days a month at office</v>
      </c>
      <c r="L1584" s="1" t="str">
        <f ca="1">IFERROR(__xludf.DUMMYFUNCTION("""COMPUTED_VALUE"""),"Employer who appreciates learning and enables that environment")</f>
        <v>Employer who appreciates learning and enables that environment</v>
      </c>
      <c r="M1584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1584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1584" s="1" t="str">
        <f ca="1">IFERROR(__xludf.DUMMYFUNCTION("""COMPUTED_VALUE"""),"Manager who clearly describes what she/he needs")</f>
        <v>Manager who clearly describes what she/he needs</v>
      </c>
      <c r="P1584" s="1" t="str">
        <f ca="1">IFERROR(__xludf.DUMMYFUNCTION("""COMPUTED_VALUE"""),"Work alone")</f>
        <v>Work alone</v>
      </c>
      <c r="Q1584" s="1" t="str">
        <f ca="1">IFERROR(__xludf.DUMMYFUNCTION("""COMPUTED_VALUE"""),"No")</f>
        <v>No</v>
      </c>
      <c r="R1584" s="1" t="str">
        <f ca="1">IFERROR(__xludf.DUMMYFUNCTION("""COMPUTED_VALUE"""),"No way")</f>
        <v>No way</v>
      </c>
      <c r="S1584" s="1"/>
    </row>
    <row r="1585" spans="1:19" ht="12.5" x14ac:dyDescent="0.25">
      <c r="A1585" s="2">
        <f ca="1">IFERROR(__xludf.DUMMYFUNCTION("""COMPUTED_VALUE"""),45045.8827236921)</f>
        <v>45045.882723692099</v>
      </c>
      <c r="B1585" s="1" t="str">
        <f ca="1">IFERROR(__xludf.DUMMYFUNCTION("""COMPUTED_VALUE"""),"Canada")</f>
        <v>Canada</v>
      </c>
      <c r="C1585" s="1" t="str">
        <f ca="1">IFERROR(__xludf.DUMMYFUNCTION("""COMPUTED_VALUE"""),"Xxxxx")</f>
        <v>Xxxxx</v>
      </c>
      <c r="D1585" s="1" t="str">
        <f ca="1">IFERROR(__xludf.DUMMYFUNCTION("""COMPUTED_VALUE"""),"Male")</f>
        <v>Male</v>
      </c>
      <c r="E1585" s="1" t="str">
        <f ca="1">IFERROR(__xludf.DUMMYFUNCTION("""COMPUTED_VALUE"""),"People from my circle, but not family members")</f>
        <v>People from my circle, but not family members</v>
      </c>
      <c r="F1585" s="1" t="str">
        <f ca="1">IFERROR(__xludf.DUMMYFUNCTION("""COMPUTED_VALUE"""),"No, But if someone could bare the cost I will")</f>
        <v>No, But if someone could bare the cost I will</v>
      </c>
      <c r="G1585" s="1" t="str">
        <f ca="1">IFERROR(__xludf.DUMMYFUNCTION("""COMPUTED_VALUE"""),"This will be hard to do, but if it is the right company I would try")</f>
        <v>This will be hard to do, but if it is the right company I would try</v>
      </c>
      <c r="H1585" s="1" t="str">
        <f ca="1">IFERROR(__xludf.DUMMYFUNCTION("""COMPUTED_VALUE"""),"No")</f>
        <v>No</v>
      </c>
      <c r="I1585" s="1" t="str">
        <f ca="1">IFERROR(__xludf.DUMMYFUNCTION("""COMPUTED_VALUE"""),"Will NOT work for them")</f>
        <v>Will NOT work for them</v>
      </c>
      <c r="J1585" s="1">
        <f ca="1">IFERROR(__xludf.DUMMYFUNCTION("""COMPUTED_VALUE"""),5)</f>
        <v>5</v>
      </c>
      <c r="K1585" s="1" t="str">
        <f ca="1">IFERROR(__xludf.DUMMYFUNCTION("""COMPUTED_VALUE"""),"Hybrid Working Environment with more than 15 days a month at office")</f>
        <v>Hybrid Working Environment with more than 15 days a month at office</v>
      </c>
      <c r="L1585" s="1" t="str">
        <f ca="1">IFERROR(__xludf.DUMMYFUNCTION("""COMPUTED_VALUE"""),"Employer who appreciates learning and enables that environment")</f>
        <v>Employer who appreciates learning and enables that environment</v>
      </c>
      <c r="M158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585" s="1" t="str">
        <f ca="1">IFERROR(__xludf.DUMMYFUNCTION("""COMPUTED_VALUE"""),"Design and Creative strategy in any company, Build and develop a Team, Work as a freelancer and do my thing my way, Become a content Creator in some platform")</f>
        <v>Design and Creative strategy in any company, Build and develop a Team, Work as a freelancer and do my thing my way, Become a content Creator in some platform</v>
      </c>
      <c r="O1585" s="1" t="str">
        <f ca="1">IFERROR(__xludf.DUMMYFUNCTION("""COMPUTED_VALUE"""),"Manager who explains what is expected, sets a goal and helps achieve it")</f>
        <v>Manager who explains what is expected, sets a goal and helps achieve it</v>
      </c>
      <c r="P1585" s="1" t="str">
        <f ca="1">IFERROR(__xludf.DUMMYFUNCTION("""COMPUTED_VALUE"""),"Work with 5 to 6 people in my team")</f>
        <v>Work with 5 to 6 people in my team</v>
      </c>
      <c r="Q1585" s="1" t="str">
        <f ca="1">IFERROR(__xludf.DUMMYFUNCTION("""COMPUTED_VALUE"""),"No")</f>
        <v>No</v>
      </c>
      <c r="R1585" s="1" t="str">
        <f ca="1">IFERROR(__xludf.DUMMYFUNCTION("""COMPUTED_VALUE"""),"This will be hard to do, but if it is the right company I would try")</f>
        <v>This will be hard to do, but if it is the right company I would try</v>
      </c>
      <c r="S1585" s="1"/>
    </row>
    <row r="1586" spans="1:19" ht="12.5" x14ac:dyDescent="0.25">
      <c r="A1586" s="2">
        <f ca="1">IFERROR(__xludf.DUMMYFUNCTION("""COMPUTED_VALUE"""),45045.8844610648)</f>
        <v>45045.884461064801</v>
      </c>
      <c r="B1586" s="1" t="str">
        <f ca="1">IFERROR(__xludf.DUMMYFUNCTION("""COMPUTED_VALUE"""),"India")</f>
        <v>India</v>
      </c>
      <c r="C1586" s="1">
        <f ca="1">IFERROR(__xludf.DUMMYFUNCTION("""COMPUTED_VALUE"""),500062)</f>
        <v>500062</v>
      </c>
      <c r="D1586" s="1" t="str">
        <f ca="1">IFERROR(__xludf.DUMMYFUNCTION("""COMPUTED_VALUE"""),"Male")</f>
        <v>Male</v>
      </c>
      <c r="E1586" s="1" t="str">
        <f ca="1">IFERROR(__xludf.DUMMYFUNCTION("""COMPUTED_VALUE"""),"People from my circle, but not family members")</f>
        <v>People from my circle, but not family members</v>
      </c>
      <c r="F1586" s="1" t="str">
        <f ca="1">IFERROR(__xludf.DUMMYFUNCTION("""COMPUTED_VALUE"""),"No I would not be pursuing Higher Education outside of India")</f>
        <v>No I would not be pursuing Higher Education outside of India</v>
      </c>
      <c r="G1586" s="1" t="str">
        <f ca="1">IFERROR(__xludf.DUMMYFUNCTION("""COMPUTED_VALUE"""),"This will be hard to do, but if it is the right company I would try")</f>
        <v>This will be hard to do, but if it is the right company I would try</v>
      </c>
      <c r="H1586" s="1" t="str">
        <f ca="1">IFERROR(__xludf.DUMMYFUNCTION("""COMPUTED_VALUE"""),"No")</f>
        <v>No</v>
      </c>
      <c r="I1586" s="1" t="str">
        <f ca="1">IFERROR(__xludf.DUMMYFUNCTION("""COMPUTED_VALUE"""),"Will NOT work for them")</f>
        <v>Will NOT work for them</v>
      </c>
      <c r="J1586" s="1">
        <f ca="1">IFERROR(__xludf.DUMMYFUNCTION("""COMPUTED_VALUE"""),2)</f>
        <v>2</v>
      </c>
      <c r="K1586" s="1" t="str">
        <f ca="1">IFERROR(__xludf.DUMMYFUNCTION("""COMPUTED_VALUE"""),"Hybrid Working Environment with more than 15 days a month at office")</f>
        <v>Hybrid Working Environment with more than 15 days a month at office</v>
      </c>
      <c r="L1586" s="1" t="str">
        <f ca="1">IFERROR(__xludf.DUMMYFUNCTION("""COMPUTED_VALUE"""),"Employer who appreciates learning and enables that environment")</f>
        <v>Employer who appreciates learning and enables that environment</v>
      </c>
      <c r="M158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586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1586" s="1" t="str">
        <f ca="1">IFERROR(__xludf.DUMMYFUNCTION("""COMPUTED_VALUE"""),"Manager who sets goal and helps me achieve it")</f>
        <v>Manager who sets goal and helps me achieve it</v>
      </c>
      <c r="P1586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586" s="1" t="str">
        <f ca="1">IFERROR(__xludf.DUMMYFUNCTION("""COMPUTED_VALUE"""),"No")</f>
        <v>No</v>
      </c>
      <c r="R1586" s="1" t="str">
        <f ca="1">IFERROR(__xludf.DUMMYFUNCTION("""COMPUTED_VALUE"""),"This will be hard to do, but if it is the right company I would try")</f>
        <v>This will be hard to do, but if it is the right company I would try</v>
      </c>
      <c r="S1586" s="1"/>
    </row>
    <row r="1587" spans="1:19" ht="12.5" x14ac:dyDescent="0.25">
      <c r="A1587" s="2">
        <f ca="1">IFERROR(__xludf.DUMMYFUNCTION("""COMPUTED_VALUE"""),45045.8848477662)</f>
        <v>45045.884847766203</v>
      </c>
      <c r="B1587" s="1" t="str">
        <f ca="1">IFERROR(__xludf.DUMMYFUNCTION("""COMPUTED_VALUE"""),"Canada")</f>
        <v>Canada</v>
      </c>
      <c r="C1587" s="1" t="str">
        <f ca="1">IFERROR(__xludf.DUMMYFUNCTION("""COMPUTED_VALUE"""),"H3X2V2")</f>
        <v>H3X2V2</v>
      </c>
      <c r="D1587" s="1" t="str">
        <f ca="1">IFERROR(__xludf.DUMMYFUNCTION("""COMPUTED_VALUE"""),"Male")</f>
        <v>Male</v>
      </c>
      <c r="E1587" s="1" t="str">
        <f ca="1">IFERROR(__xludf.DUMMYFUNCTION("""COMPUTED_VALUE"""),"My Parents")</f>
        <v>My Parents</v>
      </c>
      <c r="F1587" s="1" t="str">
        <f ca="1">IFERROR(__xludf.DUMMYFUNCTION("""COMPUTED_VALUE"""),"Yes, I will earn and do that")</f>
        <v>Yes, I will earn and do that</v>
      </c>
      <c r="G1587" s="1" t="str">
        <f ca="1">IFERROR(__xludf.DUMMYFUNCTION("""COMPUTED_VALUE"""),"Will work for 3 years or more")</f>
        <v>Will work for 3 years or more</v>
      </c>
      <c r="H1587" s="1" t="str">
        <f ca="1">IFERROR(__xludf.DUMMYFUNCTION("""COMPUTED_VALUE"""),"No")</f>
        <v>No</v>
      </c>
      <c r="I1587" s="1" t="str">
        <f ca="1">IFERROR(__xludf.DUMMYFUNCTION("""COMPUTED_VALUE"""),"Will NOT work for them")</f>
        <v>Will NOT work for them</v>
      </c>
      <c r="J1587" s="1">
        <f ca="1">IFERROR(__xludf.DUMMYFUNCTION("""COMPUTED_VALUE"""),1)</f>
        <v>1</v>
      </c>
      <c r="K1587" s="1" t="str">
        <f ca="1">IFERROR(__xludf.DUMMYFUNCTION("""COMPUTED_VALUE"""),"Hybrid Working Environment with less than 3 days a month at office")</f>
        <v>Hybrid Working Environment with less than 3 days a month at office</v>
      </c>
      <c r="L15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8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587" s="1" t="str">
        <f ca="1">IFERROR(__xludf.DUMMYFUNCTION("""COMPUTED_VALUE"""),"Design and Creative strategy in any company, Teaching in any of the institutes/colleges/online or offline, Manage and drive End-to-End Projects or Products, An Artificial Intelligence Specialist / Talking to Robots")</f>
        <v>Design and Creative strategy in any company, Teaching in any of the institutes/colleges/online or offline, Manage and drive End-to-End Projects or Products, An Artificial Intelligence Specialist / Talking to Robots</v>
      </c>
      <c r="O1587" s="1" t="str">
        <f ca="1">IFERROR(__xludf.DUMMYFUNCTION("""COMPUTED_VALUE"""),"Manager who explains what is expected, sets a goal and helps achieve it")</f>
        <v>Manager who explains what is expected, sets a goal and helps achieve it</v>
      </c>
      <c r="P158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587" s="1" t="str">
        <f ca="1">IFERROR(__xludf.DUMMYFUNCTION("""COMPUTED_VALUE"""),"Yes")</f>
        <v>Yes</v>
      </c>
      <c r="R1587" s="1" t="str">
        <f ca="1">IFERROR(__xludf.DUMMYFUNCTION("""COMPUTED_VALUE"""),"Will work for 7 years or more")</f>
        <v>Will work for 7 years or more</v>
      </c>
      <c r="S1587" s="1"/>
    </row>
    <row r="1588" spans="1:19" ht="12.5" x14ac:dyDescent="0.25">
      <c r="A1588" s="2">
        <f ca="1">IFERROR(__xludf.DUMMYFUNCTION("""COMPUTED_VALUE"""),45045.8851780555)</f>
        <v>45045.885178055498</v>
      </c>
      <c r="B1588" s="1" t="str">
        <f ca="1">IFERROR(__xludf.DUMMYFUNCTION("""COMPUTED_VALUE"""),"India")</f>
        <v>India</v>
      </c>
      <c r="C1588" s="1">
        <f ca="1">IFERROR(__xludf.DUMMYFUNCTION("""COMPUTED_VALUE"""),421201)</f>
        <v>421201</v>
      </c>
      <c r="D1588" s="1" t="str">
        <f ca="1">IFERROR(__xludf.DUMMYFUNCTION("""COMPUTED_VALUE"""),"Male")</f>
        <v>Male</v>
      </c>
      <c r="E1588" s="1" t="str">
        <f ca="1">IFERROR(__xludf.DUMMYFUNCTION("""COMPUTED_VALUE"""),"People who have changed the world for better")</f>
        <v>People who have changed the world for better</v>
      </c>
      <c r="F1588" s="1" t="str">
        <f ca="1">IFERROR(__xludf.DUMMYFUNCTION("""COMPUTED_VALUE"""),"Yes, I will earn and do that")</f>
        <v>Yes, I will earn and do that</v>
      </c>
      <c r="G1588" s="1" t="str">
        <f ca="1">IFERROR(__xludf.DUMMYFUNCTION("""COMPUTED_VALUE"""),"This will be hard to do, but if it is the right company I would try")</f>
        <v>This will be hard to do, but if it is the right company I would try</v>
      </c>
      <c r="H1588" s="1" t="str">
        <f ca="1">IFERROR(__xludf.DUMMYFUNCTION("""COMPUTED_VALUE"""),"No")</f>
        <v>No</v>
      </c>
      <c r="I1588" s="1" t="str">
        <f ca="1">IFERROR(__xludf.DUMMYFUNCTION("""COMPUTED_VALUE"""),"Will NOT work for them")</f>
        <v>Will NOT work for them</v>
      </c>
      <c r="J1588" s="1">
        <f ca="1">IFERROR(__xludf.DUMMYFUNCTION("""COMPUTED_VALUE"""),5)</f>
        <v>5</v>
      </c>
      <c r="K1588" s="1" t="str">
        <f ca="1">IFERROR(__xludf.DUMMYFUNCTION("""COMPUTED_VALUE"""),"Hybrid Working Environment with more than 15 days a month at office")</f>
        <v>Hybrid Working Environment with more than 15 days a month at office</v>
      </c>
      <c r="L1588" s="1" t="str">
        <f ca="1">IFERROR(__xludf.DUMMYFUNCTION("""COMPUTED_VALUE"""),"Employer who appreciates learning and enables that environment")</f>
        <v>Employer who appreciates learning and enables that environment</v>
      </c>
      <c r="M158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588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588" s="1" t="str">
        <f ca="1">IFERROR(__xludf.DUMMYFUNCTION("""COMPUTED_VALUE"""),"Manager who clearly describes what she/he needs")</f>
        <v>Manager who clearly describes what she/he needs</v>
      </c>
      <c r="P1588" s="1" t="str">
        <f ca="1">IFERROR(__xludf.DUMMYFUNCTION("""COMPUTED_VALUE"""),"Work with 5 to 6 people in my team")</f>
        <v>Work with 5 to 6 people in my team</v>
      </c>
      <c r="Q1588" s="1" t="str">
        <f ca="1">IFERROR(__xludf.DUMMYFUNCTION("""COMPUTED_VALUE"""),"Yes, I Understand this is gonna happen everywhere")</f>
        <v>Yes, I Understand this is gonna happen everywhere</v>
      </c>
      <c r="R1588" s="1" t="str">
        <f ca="1">IFERROR(__xludf.DUMMYFUNCTION("""COMPUTED_VALUE"""),"No way")</f>
        <v>No way</v>
      </c>
      <c r="S1588" s="1"/>
    </row>
    <row r="1589" spans="1:19" ht="12.5" x14ac:dyDescent="0.25">
      <c r="A1589" s="2">
        <f ca="1">IFERROR(__xludf.DUMMYFUNCTION("""COMPUTED_VALUE"""),45045.8864719907)</f>
        <v>45045.8864719907</v>
      </c>
      <c r="B1589" s="1" t="str">
        <f ca="1">IFERROR(__xludf.DUMMYFUNCTION("""COMPUTED_VALUE"""),"Canada")</f>
        <v>Canada</v>
      </c>
      <c r="C1589" s="1" t="str">
        <f ca="1">IFERROR(__xludf.DUMMYFUNCTION("""COMPUTED_VALUE"""),"Xxxx")</f>
        <v>Xxxx</v>
      </c>
      <c r="D1589" s="1" t="str">
        <f ca="1">IFERROR(__xludf.DUMMYFUNCTION("""COMPUTED_VALUE"""),"Male")</f>
        <v>Male</v>
      </c>
      <c r="E1589" s="1" t="str">
        <f ca="1">IFERROR(__xludf.DUMMYFUNCTION("""COMPUTED_VALUE"""),"My Parents")</f>
        <v>My Parents</v>
      </c>
      <c r="F1589" s="1" t="str">
        <f ca="1">IFERROR(__xludf.DUMMYFUNCTION("""COMPUTED_VALUE"""),"No, But if someone could bare the cost I will")</f>
        <v>No, But if someone could bare the cost I will</v>
      </c>
      <c r="G1589" s="1" t="str">
        <f ca="1">IFERROR(__xludf.DUMMYFUNCTION("""COMPUTED_VALUE"""),"Will work for 3 years or more")</f>
        <v>Will work for 3 years or more</v>
      </c>
      <c r="H1589" s="1" t="str">
        <f ca="1">IFERROR(__xludf.DUMMYFUNCTION("""COMPUTED_VALUE"""),"No")</f>
        <v>No</v>
      </c>
      <c r="I1589" s="1" t="str">
        <f ca="1">IFERROR(__xludf.DUMMYFUNCTION("""COMPUTED_VALUE"""),"Will work for them")</f>
        <v>Will work for them</v>
      </c>
      <c r="J1589" s="1">
        <f ca="1">IFERROR(__xludf.DUMMYFUNCTION("""COMPUTED_VALUE"""),5)</f>
        <v>5</v>
      </c>
      <c r="K1589" s="1" t="str">
        <f ca="1">IFERROR(__xludf.DUMMYFUNCTION("""COMPUTED_VALUE"""),"Hybrid Working Environment with more than 15 days a month at office")</f>
        <v>Hybrid Working Environment with more than 15 days a month at office</v>
      </c>
      <c r="L158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58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589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158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89" s="1" t="str">
        <f ca="1">IFERROR(__xludf.DUMMYFUNCTION("""COMPUTED_VALUE"""),"Work with 5 to 6 people in my team")</f>
        <v>Work with 5 to 6 people in my team</v>
      </c>
      <c r="Q1589" s="1" t="str">
        <f ca="1">IFERROR(__xludf.DUMMYFUNCTION("""COMPUTED_VALUE"""),"Yes, I Understand this is gonna happen everywhere")</f>
        <v>Yes, I Understand this is gonna happen everywhere</v>
      </c>
      <c r="R1589" s="1" t="str">
        <f ca="1">IFERROR(__xludf.DUMMYFUNCTION("""COMPUTED_VALUE"""),"No way")</f>
        <v>No way</v>
      </c>
      <c r="S1589" s="1"/>
    </row>
    <row r="1590" spans="1:19" ht="12.5" x14ac:dyDescent="0.25">
      <c r="A1590" s="2">
        <f ca="1">IFERROR(__xludf.DUMMYFUNCTION("""COMPUTED_VALUE"""),45045.8899465856)</f>
        <v>45045.889946585601</v>
      </c>
      <c r="B1590" s="1" t="str">
        <f ca="1">IFERROR(__xludf.DUMMYFUNCTION("""COMPUTED_VALUE"""),"India")</f>
        <v>India</v>
      </c>
      <c r="C1590" s="1">
        <f ca="1">IFERROR(__xludf.DUMMYFUNCTION("""COMPUTED_VALUE"""),110076)</f>
        <v>110076</v>
      </c>
      <c r="D1590" s="1" t="str">
        <f ca="1">IFERROR(__xludf.DUMMYFUNCTION("""COMPUTED_VALUE"""),"Male")</f>
        <v>Male</v>
      </c>
      <c r="E1590" s="1" t="str">
        <f ca="1">IFERROR(__xludf.DUMMYFUNCTION("""COMPUTED_VALUE"""),"People from my circle, but not family members")</f>
        <v>People from my circle, but not family members</v>
      </c>
      <c r="F1590" s="1" t="str">
        <f ca="1">IFERROR(__xludf.DUMMYFUNCTION("""COMPUTED_VALUE"""),"Yes, I will earn and do that")</f>
        <v>Yes, I will earn and do that</v>
      </c>
      <c r="G1590" s="1" t="str">
        <f ca="1">IFERROR(__xludf.DUMMYFUNCTION("""COMPUTED_VALUE"""),"Will work for 3 years or more")</f>
        <v>Will work for 3 years or more</v>
      </c>
      <c r="H1590" s="1" t="str">
        <f ca="1">IFERROR(__xludf.DUMMYFUNCTION("""COMPUTED_VALUE"""),"No")</f>
        <v>No</v>
      </c>
      <c r="I1590" s="1" t="str">
        <f ca="1">IFERROR(__xludf.DUMMYFUNCTION("""COMPUTED_VALUE"""),"Will NOT work for them")</f>
        <v>Will NOT work for them</v>
      </c>
      <c r="J1590" s="1">
        <f ca="1">IFERROR(__xludf.DUMMYFUNCTION("""COMPUTED_VALUE"""),5)</f>
        <v>5</v>
      </c>
      <c r="K1590" s="1" t="str">
        <f ca="1">IFERROR(__xludf.DUMMYFUNCTION("""COMPUTED_VALUE"""),"Every Day Office Environment")</f>
        <v>Every Day Office Environment</v>
      </c>
      <c r="L15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9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590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1590" s="1" t="str">
        <f ca="1">IFERROR(__xludf.DUMMYFUNCTION("""COMPUTED_VALUE"""),"Manager who explains what is expected, sets a goal and helps achieve it")</f>
        <v>Manager who explains what is expected, sets a goal and helps achieve it</v>
      </c>
      <c r="P1590" s="1" t="str">
        <f ca="1">IFERROR(__xludf.DUMMYFUNCTION("""COMPUTED_VALUE"""),"Work with more than 10 people in my team")</f>
        <v>Work with more than 10 people in my team</v>
      </c>
      <c r="Q1590" s="1" t="str">
        <f ca="1">IFERROR(__xludf.DUMMYFUNCTION("""COMPUTED_VALUE"""),"Yes, I Understand this is gonna happen everywhere")</f>
        <v>Yes, I Understand this is gonna happen everywhere</v>
      </c>
      <c r="R1590" s="1" t="str">
        <f ca="1">IFERROR(__xludf.DUMMYFUNCTION("""COMPUTED_VALUE"""),"This will be hard to do, but if it is the right company I would try")</f>
        <v>This will be hard to do, but if it is the right company I would try</v>
      </c>
      <c r="S1590" s="1"/>
    </row>
    <row r="1591" spans="1:19" ht="12.5" x14ac:dyDescent="0.25">
      <c r="A1591" s="2">
        <f ca="1">IFERROR(__xludf.DUMMYFUNCTION("""COMPUTED_VALUE"""),45045.8900229398)</f>
        <v>45045.890022939799</v>
      </c>
      <c r="B1591" s="1" t="str">
        <f ca="1">IFERROR(__xludf.DUMMYFUNCTION("""COMPUTED_VALUE"""),"India")</f>
        <v>India</v>
      </c>
      <c r="C1591" s="1">
        <f ca="1">IFERROR(__xludf.DUMMYFUNCTION("""COMPUTED_VALUE"""),462042)</f>
        <v>462042</v>
      </c>
      <c r="D1591" s="1" t="str">
        <f ca="1">IFERROR(__xludf.DUMMYFUNCTION("""COMPUTED_VALUE"""),"Male")</f>
        <v>Male</v>
      </c>
      <c r="E1591" s="1" t="str">
        <f ca="1">IFERROR(__xludf.DUMMYFUNCTION("""COMPUTED_VALUE"""),"Influencers who had successful careers")</f>
        <v>Influencers who had successful careers</v>
      </c>
      <c r="F1591" s="1" t="str">
        <f ca="1">IFERROR(__xludf.DUMMYFUNCTION("""COMPUTED_VALUE"""),"Yes, I will earn and do that")</f>
        <v>Yes, I will earn and do that</v>
      </c>
      <c r="G1591" s="1" t="str">
        <f ca="1">IFERROR(__xludf.DUMMYFUNCTION("""COMPUTED_VALUE"""),"Will work for 3 years or more")</f>
        <v>Will work for 3 years or more</v>
      </c>
      <c r="H1591" s="1" t="str">
        <f ca="1">IFERROR(__xludf.DUMMYFUNCTION("""COMPUTED_VALUE"""),"No")</f>
        <v>No</v>
      </c>
      <c r="I1591" s="1" t="str">
        <f ca="1">IFERROR(__xludf.DUMMYFUNCTION("""COMPUTED_VALUE"""),"Will NOT work for them")</f>
        <v>Will NOT work for them</v>
      </c>
      <c r="J1591" s="1">
        <f ca="1">IFERROR(__xludf.DUMMYFUNCTION("""COMPUTED_VALUE"""),8)</f>
        <v>8</v>
      </c>
      <c r="K1591" s="1" t="str">
        <f ca="1">IFERROR(__xludf.DUMMYFUNCTION("""COMPUTED_VALUE"""),"Fully Remote with Options to travel as and when needed")</f>
        <v>Fully Remote with Options to travel as and when needed</v>
      </c>
      <c r="L15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9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591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15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591" s="1" t="str">
        <f ca="1">IFERROR(__xludf.DUMMYFUNCTION("""COMPUTED_VALUE"""),"Work with 2 to 3 people in my team")</f>
        <v>Work with 2 to 3 people in my team</v>
      </c>
      <c r="Q1591" s="1" t="str">
        <f ca="1">IFERROR(__xludf.DUMMYFUNCTION("""COMPUTED_VALUE"""),"Yes, I Understand this is gonna happen everywhere")</f>
        <v>Yes, I Understand this is gonna happen everywhere</v>
      </c>
      <c r="R1591" s="1" t="str">
        <f ca="1">IFERROR(__xludf.DUMMYFUNCTION("""COMPUTED_VALUE"""),"This will be hard to do, but if it is the right company I would try")</f>
        <v>This will be hard to do, but if it is the right company I would try</v>
      </c>
      <c r="S1591" s="1"/>
    </row>
    <row r="1592" spans="1:19" ht="12.5" x14ac:dyDescent="0.25">
      <c r="A1592" s="2">
        <f ca="1">IFERROR(__xludf.DUMMYFUNCTION("""COMPUTED_VALUE"""),45045.8900604861)</f>
        <v>45045.890060486097</v>
      </c>
      <c r="B1592" s="1" t="str">
        <f ca="1">IFERROR(__xludf.DUMMYFUNCTION("""COMPUTED_VALUE"""),"India")</f>
        <v>India</v>
      </c>
      <c r="C1592" s="1">
        <f ca="1">IFERROR(__xludf.DUMMYFUNCTION("""COMPUTED_VALUE"""),110096)</f>
        <v>110096</v>
      </c>
      <c r="D1592" s="1" t="str">
        <f ca="1">IFERROR(__xludf.DUMMYFUNCTION("""COMPUTED_VALUE"""),"Female")</f>
        <v>Female</v>
      </c>
      <c r="E1592" s="1" t="str">
        <f ca="1">IFERROR(__xludf.DUMMYFUNCTION("""COMPUTED_VALUE"""),"People from my circle, but not family members")</f>
        <v>People from my circle, but not family members</v>
      </c>
      <c r="F1592" s="1" t="str">
        <f ca="1">IFERROR(__xludf.DUMMYFUNCTION("""COMPUTED_VALUE"""),"Yes, I will earn and do that")</f>
        <v>Yes, I will earn and do that</v>
      </c>
      <c r="G1592" s="1" t="str">
        <f ca="1">IFERROR(__xludf.DUMMYFUNCTION("""COMPUTED_VALUE"""),"Will work for 3 years or more")</f>
        <v>Will work for 3 years or more</v>
      </c>
      <c r="H1592" s="1" t="str">
        <f ca="1">IFERROR(__xludf.DUMMYFUNCTION("""COMPUTED_VALUE"""),"No")</f>
        <v>No</v>
      </c>
      <c r="I1592" s="1" t="str">
        <f ca="1">IFERROR(__xludf.DUMMYFUNCTION("""COMPUTED_VALUE"""),"Will NOT work for them")</f>
        <v>Will NOT work for them</v>
      </c>
      <c r="J1592" s="1">
        <f ca="1">IFERROR(__xludf.DUMMYFUNCTION("""COMPUTED_VALUE"""),2)</f>
        <v>2</v>
      </c>
      <c r="K1592" s="1" t="str">
        <f ca="1">IFERROR(__xludf.DUMMYFUNCTION("""COMPUTED_VALUE"""),"Hybrid Working Environment with more than 15 days a month at office")</f>
        <v>Hybrid Working Environment with more than 15 days a month at office</v>
      </c>
      <c r="L1592" s="1" t="str">
        <f ca="1">IFERROR(__xludf.DUMMYFUNCTION("""COMPUTED_VALUE"""),"Employer who appreciates learning and enables that environment")</f>
        <v>Employer who appreciates learning and enables that environment</v>
      </c>
      <c r="M159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592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592" s="1" t="str">
        <f ca="1">IFERROR(__xludf.DUMMYFUNCTION("""COMPUTED_VALUE"""),"Manager who explains what is expected, sets a goal and helps achieve it")</f>
        <v>Manager who explains what is expected, sets a goal and helps achieve it</v>
      </c>
      <c r="P1592" s="1" t="str">
        <f ca="1">IFERROR(__xludf.DUMMYFUNCTION("""COMPUTED_VALUE"""),"Work with 2 to 3 people in my team")</f>
        <v>Work with 2 to 3 people in my team</v>
      </c>
      <c r="Q1592" s="1" t="str">
        <f ca="1">IFERROR(__xludf.DUMMYFUNCTION("""COMPUTED_VALUE"""),"No")</f>
        <v>No</v>
      </c>
      <c r="R1592" s="1" t="str">
        <f ca="1">IFERROR(__xludf.DUMMYFUNCTION("""COMPUTED_VALUE"""),"This will be hard to do, but if it is the right company I would try")</f>
        <v>This will be hard to do, but if it is the right company I would try</v>
      </c>
      <c r="S1592" s="1"/>
    </row>
    <row r="1593" spans="1:19" ht="12.5" x14ac:dyDescent="0.25">
      <c r="A1593" s="2">
        <f ca="1">IFERROR(__xludf.DUMMYFUNCTION("""COMPUTED_VALUE"""),45045.8925893634)</f>
        <v>45045.8925893634</v>
      </c>
      <c r="B1593" s="1" t="str">
        <f ca="1">IFERROR(__xludf.DUMMYFUNCTION("""COMPUTED_VALUE"""),"India")</f>
        <v>India</v>
      </c>
      <c r="C1593" s="1">
        <f ca="1">IFERROR(__xludf.DUMMYFUNCTION("""COMPUTED_VALUE"""),110008)</f>
        <v>110008</v>
      </c>
      <c r="D1593" s="1" t="str">
        <f ca="1">IFERROR(__xludf.DUMMYFUNCTION("""COMPUTED_VALUE"""),"Female")</f>
        <v>Female</v>
      </c>
      <c r="E1593" s="1" t="str">
        <f ca="1">IFERROR(__xludf.DUMMYFUNCTION("""COMPUTED_VALUE"""),"My Parents")</f>
        <v>My Parents</v>
      </c>
      <c r="F1593" s="1" t="str">
        <f ca="1">IFERROR(__xludf.DUMMYFUNCTION("""COMPUTED_VALUE"""),"No I would not be pursuing Higher Education outside of India")</f>
        <v>No I would not be pursuing Higher Education outside of India</v>
      </c>
      <c r="G1593" s="1" t="str">
        <f ca="1">IFERROR(__xludf.DUMMYFUNCTION("""COMPUTED_VALUE"""),"This will be hard to do, but if it is the right company I would try")</f>
        <v>This will be hard to do, but if it is the right company I would try</v>
      </c>
      <c r="H1593" s="1" t="str">
        <f ca="1">IFERROR(__xludf.DUMMYFUNCTION("""COMPUTED_VALUE"""),"No")</f>
        <v>No</v>
      </c>
      <c r="I1593" s="1" t="str">
        <f ca="1">IFERROR(__xludf.DUMMYFUNCTION("""COMPUTED_VALUE"""),"Will NOT work for them")</f>
        <v>Will NOT work for them</v>
      </c>
      <c r="J1593" s="1">
        <f ca="1">IFERROR(__xludf.DUMMYFUNCTION("""COMPUTED_VALUE"""),5)</f>
        <v>5</v>
      </c>
      <c r="K1593" s="1" t="str">
        <f ca="1">IFERROR(__xludf.DUMMYFUNCTION("""COMPUTED_VALUE"""),"Hybrid Working Environment with more than 15 days a month at office")</f>
        <v>Hybrid Working Environment with more than 15 days a month at office</v>
      </c>
      <c r="L15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9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93" s="1" t="str">
        <f ca="1">IFERROR(__xludf.DUMMYFUNCTION("""COMPUTED_VALUE"""),"Teaching in any of the institutes/colleges/online or offline, Business Operations in any organization, Manage and drive End-to-End Projects or Products, Manufacturing / Oil and Gas/ Construction / Hard Physical Work related")</f>
        <v>Teaching in any of the institutes/colleges/online or offline, Business Operations in any organization, Manage and drive End-to-End Projects or Products, Manufacturing / Oil and Gas/ Construction / Hard Physical Work related</v>
      </c>
      <c r="O1593" s="1" t="str">
        <f ca="1">IFERROR(__xludf.DUMMYFUNCTION("""COMPUTED_VALUE"""),"Manager who clearly describes what she/he needs")</f>
        <v>Manager who clearly describes what she/he needs</v>
      </c>
      <c r="P1593" s="1" t="str">
        <f ca="1">IFERROR(__xludf.DUMMYFUNCTION("""COMPUTED_VALUE"""),"Work with 2 to 3 people in my team, Work with 5 to 6 people in my team")</f>
        <v>Work with 2 to 3 people in my team, Work with 5 to 6 people in my team</v>
      </c>
      <c r="Q1593" s="1" t="str">
        <f ca="1">IFERROR(__xludf.DUMMYFUNCTION("""COMPUTED_VALUE"""),"No")</f>
        <v>No</v>
      </c>
      <c r="R1593" s="1" t="str">
        <f ca="1">IFERROR(__xludf.DUMMYFUNCTION("""COMPUTED_VALUE"""),"No way")</f>
        <v>No way</v>
      </c>
      <c r="S1593" s="1"/>
    </row>
    <row r="1594" spans="1:19" ht="12.5" x14ac:dyDescent="0.25">
      <c r="A1594" s="2">
        <f ca="1">IFERROR(__xludf.DUMMYFUNCTION("""COMPUTED_VALUE"""),45045.8929906597)</f>
        <v>45045.892990659697</v>
      </c>
      <c r="B1594" s="1" t="str">
        <f ca="1">IFERROR(__xludf.DUMMYFUNCTION("""COMPUTED_VALUE"""),"India")</f>
        <v>India</v>
      </c>
      <c r="C1594" s="1">
        <f ca="1">IFERROR(__xludf.DUMMYFUNCTION("""COMPUTED_VALUE"""),533005)</f>
        <v>533005</v>
      </c>
      <c r="D1594" s="1" t="str">
        <f ca="1">IFERROR(__xludf.DUMMYFUNCTION("""COMPUTED_VALUE"""),"Male")</f>
        <v>Male</v>
      </c>
      <c r="E1594" s="1" t="str">
        <f ca="1">IFERROR(__xludf.DUMMYFUNCTION("""COMPUTED_VALUE"""),"My Parents")</f>
        <v>My Parents</v>
      </c>
      <c r="F1594" s="1" t="str">
        <f ca="1">IFERROR(__xludf.DUMMYFUNCTION("""COMPUTED_VALUE"""),"No I would not be pursuing Higher Education outside of India")</f>
        <v>No I would not be pursuing Higher Education outside of India</v>
      </c>
      <c r="G1594" s="1" t="str">
        <f ca="1">IFERROR(__xludf.DUMMYFUNCTION("""COMPUTED_VALUE"""),"Will work for 3 years or more")</f>
        <v>Will work for 3 years or more</v>
      </c>
      <c r="H1594" s="1" t="str">
        <f ca="1">IFERROR(__xludf.DUMMYFUNCTION("""COMPUTED_VALUE"""),"Yes")</f>
        <v>Yes</v>
      </c>
      <c r="I1594" s="1" t="str">
        <f ca="1">IFERROR(__xludf.DUMMYFUNCTION("""COMPUTED_VALUE"""),"Will NOT work for them")</f>
        <v>Will NOT work for them</v>
      </c>
      <c r="J1594" s="1">
        <f ca="1">IFERROR(__xludf.DUMMYFUNCTION("""COMPUTED_VALUE"""),5)</f>
        <v>5</v>
      </c>
      <c r="K1594" s="1" t="str">
        <f ca="1">IFERROR(__xludf.DUMMYFUNCTION("""COMPUTED_VALUE"""),"Fully Remote with Options to travel as and when needed")</f>
        <v>Fully Remote with Options to travel as and when needed</v>
      </c>
      <c r="L15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9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594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1594" s="1" t="str">
        <f ca="1">IFERROR(__xludf.DUMMYFUNCTION("""COMPUTED_VALUE"""),"Manager who explains what is expected, sets a goal and helps achieve it")</f>
        <v>Manager who explains what is expected, sets a goal and helps achieve it</v>
      </c>
      <c r="P1594" s="1" t="str">
        <f ca="1">IFERROR(__xludf.DUMMYFUNCTION("""COMPUTED_VALUE"""),"Work with 7 to 10 or more people in my team")</f>
        <v>Work with 7 to 10 or more people in my team</v>
      </c>
      <c r="Q1594" s="1" t="str">
        <f ca="1">IFERROR(__xludf.DUMMYFUNCTION("""COMPUTED_VALUE"""),"Yes, I Understand this is gonna happen everywhere")</f>
        <v>Yes, I Understand this is gonna happen everywhere</v>
      </c>
      <c r="R1594" s="1" t="str">
        <f ca="1">IFERROR(__xludf.DUMMYFUNCTION("""COMPUTED_VALUE"""),"This will be hard to do, but if it is the right company I would try")</f>
        <v>This will be hard to do, but if it is the right company I would try</v>
      </c>
      <c r="S1594" s="1"/>
    </row>
    <row r="1595" spans="1:19" ht="12.5" x14ac:dyDescent="0.25">
      <c r="A1595" s="2">
        <f ca="1">IFERROR(__xludf.DUMMYFUNCTION("""COMPUTED_VALUE"""),45045.8931932986)</f>
        <v>45045.893193298602</v>
      </c>
      <c r="B1595" s="1" t="str">
        <f ca="1">IFERROR(__xludf.DUMMYFUNCTION("""COMPUTED_VALUE"""),"Canada")</f>
        <v>Canada</v>
      </c>
      <c r="C1595" s="1" t="str">
        <f ca="1">IFERROR(__xludf.DUMMYFUNCTION("""COMPUTED_VALUE"""),"H3N1W9")</f>
        <v>H3N1W9</v>
      </c>
      <c r="D1595" s="1" t="str">
        <f ca="1">IFERROR(__xludf.DUMMYFUNCTION("""COMPUTED_VALUE"""),"Male")</f>
        <v>Male</v>
      </c>
      <c r="E1595" s="1" t="str">
        <f ca="1">IFERROR(__xludf.DUMMYFUNCTION("""COMPUTED_VALUE"""),"Influencers who had successful careers")</f>
        <v>Influencers who had successful careers</v>
      </c>
      <c r="F1595" s="1" t="str">
        <f ca="1">IFERROR(__xludf.DUMMYFUNCTION("""COMPUTED_VALUE"""),"Yes, I will earn and do that")</f>
        <v>Yes, I will earn and do that</v>
      </c>
      <c r="G1595" s="1" t="str">
        <f ca="1">IFERROR(__xludf.DUMMYFUNCTION("""COMPUTED_VALUE"""),"Will work for 3 years or more")</f>
        <v>Will work for 3 years or more</v>
      </c>
      <c r="H1595" s="1" t="str">
        <f ca="1">IFERROR(__xludf.DUMMYFUNCTION("""COMPUTED_VALUE"""),"No")</f>
        <v>No</v>
      </c>
      <c r="I1595" s="1" t="str">
        <f ca="1">IFERROR(__xludf.DUMMYFUNCTION("""COMPUTED_VALUE"""),"Will NOT work for them")</f>
        <v>Will NOT work for them</v>
      </c>
      <c r="J1595" s="1">
        <f ca="1">IFERROR(__xludf.DUMMYFUNCTION("""COMPUTED_VALUE"""),5)</f>
        <v>5</v>
      </c>
      <c r="K1595" s="1" t="str">
        <f ca="1">IFERROR(__xludf.DUMMYFUNCTION("""COMPUTED_VALUE"""),"Every Day Office Environment")</f>
        <v>Every Day Office Environment</v>
      </c>
      <c r="L1595" s="1" t="str">
        <f ca="1">IFERROR(__xludf.DUMMYFUNCTION("""COMPUTED_VALUE"""),"Employer who appreciates learning and enables that environment")</f>
        <v>Employer who appreciates learning and enables that environment</v>
      </c>
      <c r="M1595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595" s="1" t="str">
        <f ca="1">IFERROR(__xludf.DUMMYFUNCTION("""COMPUTED_VALUE"""),"Design and Creative strategy in any company, Work as a freelancer and do my thing my way, Entrepreneur or Start Up, An Artificial Intelligence Specialist / Talking to Robots")</f>
        <v>Design and Creative strategy in any company, Work as a freelancer and do my thing my way, Entrepreneur or Start Up, An Artificial Intelligence Specialist / Talking to Robots</v>
      </c>
      <c r="O1595" s="1" t="str">
        <f ca="1">IFERROR(__xludf.DUMMYFUNCTION("""COMPUTED_VALUE"""),"Manager who sets targets and expects me to achieve it")</f>
        <v>Manager who sets targets and expects me to achieve it</v>
      </c>
      <c r="P1595" s="1" t="str">
        <f ca="1">IFERROR(__xludf.DUMMYFUNCTION("""COMPUTED_VALUE"""),"Work with 2 to 3 people in my team")</f>
        <v>Work with 2 to 3 people in my team</v>
      </c>
      <c r="Q1595" s="1" t="str">
        <f ca="1">IFERROR(__xludf.DUMMYFUNCTION("""COMPUTED_VALUE"""),"Yes, I Understand this is gonna happen everywhere")</f>
        <v>Yes, I Understand this is gonna happen everywhere</v>
      </c>
      <c r="R1595" s="1" t="str">
        <f ca="1">IFERROR(__xludf.DUMMYFUNCTION("""COMPUTED_VALUE"""),"This will be hard to do, but if it is the right company I would try")</f>
        <v>This will be hard to do, but if it is the right company I would try</v>
      </c>
      <c r="S1595" s="1"/>
    </row>
    <row r="1596" spans="1:19" ht="12.5" x14ac:dyDescent="0.25">
      <c r="A1596" s="2">
        <f ca="1">IFERROR(__xludf.DUMMYFUNCTION("""COMPUTED_VALUE"""),45045.8947499652)</f>
        <v>45045.894749965199</v>
      </c>
      <c r="B1596" s="1" t="str">
        <f ca="1">IFERROR(__xludf.DUMMYFUNCTION("""COMPUTED_VALUE"""),"United States of America")</f>
        <v>United States of America</v>
      </c>
      <c r="C1596" s="1">
        <f ca="1">IFERROR(__xludf.DUMMYFUNCTION("""COMPUTED_VALUE"""),78363)</f>
        <v>78363</v>
      </c>
      <c r="D1596" s="1" t="str">
        <f ca="1">IFERROR(__xludf.DUMMYFUNCTION("""COMPUTED_VALUE"""),"Male")</f>
        <v>Male</v>
      </c>
      <c r="E1596" s="1" t="str">
        <f ca="1">IFERROR(__xludf.DUMMYFUNCTION("""COMPUTED_VALUE"""),"My Parents")</f>
        <v>My Parents</v>
      </c>
      <c r="F1596" s="1" t="str">
        <f ca="1">IFERROR(__xludf.DUMMYFUNCTION("""COMPUTED_VALUE"""),"Yes, I will earn and do that")</f>
        <v>Yes, I will earn and do that</v>
      </c>
      <c r="G1596" s="1" t="str">
        <f ca="1">IFERROR(__xludf.DUMMYFUNCTION("""COMPUTED_VALUE"""),"This will be hard to do, but if it is the right company I would try")</f>
        <v>This will be hard to do, but if it is the right company I would try</v>
      </c>
      <c r="H1596" s="1" t="str">
        <f ca="1">IFERROR(__xludf.DUMMYFUNCTION("""COMPUTED_VALUE"""),"Yes")</f>
        <v>Yes</v>
      </c>
      <c r="I1596" s="1" t="str">
        <f ca="1">IFERROR(__xludf.DUMMYFUNCTION("""COMPUTED_VALUE"""),"Will work for them")</f>
        <v>Will work for them</v>
      </c>
      <c r="J1596" s="1">
        <f ca="1">IFERROR(__xludf.DUMMYFUNCTION("""COMPUTED_VALUE"""),10)</f>
        <v>10</v>
      </c>
      <c r="K1596" s="1" t="str">
        <f ca="1">IFERROR(__xludf.DUMMYFUNCTION("""COMPUTED_VALUE"""),"Every Day Office Environment")</f>
        <v>Every Day Office Environment</v>
      </c>
      <c r="L15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96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596" s="1" t="str">
        <f ca="1">IFERROR(__xludf.DUMMYFUNCTION("""COMPUTED_VALUE"""),"Design and Creative strategy in any company, Business Operations in any organization, I Want to sell things/Sales, Manufacturing / Oil and Gas/ Construction / Hard Physical Work related")</f>
        <v>Design and Creative strategy in any company, Business Operations in any organization, I Want to sell things/Sales, Manufacturing / Oil and Gas/ Construction / Hard Physical Work related</v>
      </c>
      <c r="O1596" s="1" t="str">
        <f ca="1">IFERROR(__xludf.DUMMYFUNCTION("""COMPUTED_VALUE"""),"Manager who explains what is expected, sets a goal and helps achieve it")</f>
        <v>Manager who explains what is expected, sets a goal and helps achieve it</v>
      </c>
      <c r="P1596" s="1" t="str">
        <f ca="1">IFERROR(__xludf.DUMMYFUNCTION("""COMPUTED_VALUE"""),"Work with 5 to 6 people in my team")</f>
        <v>Work with 5 to 6 people in my team</v>
      </c>
      <c r="Q1596" s="1" t="str">
        <f ca="1">IFERROR(__xludf.DUMMYFUNCTION("""COMPUTED_VALUE"""),"Yes, I Understand this is gonna happen everywhere")</f>
        <v>Yes, I Understand this is gonna happen everywhere</v>
      </c>
      <c r="R1596" s="1" t="str">
        <f ca="1">IFERROR(__xludf.DUMMYFUNCTION("""COMPUTED_VALUE"""),"This will be hard to do, but if it is the right company I would try")</f>
        <v>This will be hard to do, but if it is the right company I would try</v>
      </c>
      <c r="S1596" s="1"/>
    </row>
    <row r="1597" spans="1:19" ht="12.5" x14ac:dyDescent="0.25">
      <c r="A1597" s="2">
        <f ca="1">IFERROR(__xludf.DUMMYFUNCTION("""COMPUTED_VALUE"""),45045.8955835879)</f>
        <v>45045.895583587902</v>
      </c>
      <c r="B1597" s="1" t="str">
        <f ca="1">IFERROR(__xludf.DUMMYFUNCTION("""COMPUTED_VALUE"""),"Canada")</f>
        <v>Canada</v>
      </c>
      <c r="C1597" s="1" t="str">
        <f ca="1">IFERROR(__xludf.DUMMYFUNCTION("""COMPUTED_VALUE"""),"H3S")</f>
        <v>H3S</v>
      </c>
      <c r="D1597" s="1" t="str">
        <f ca="1">IFERROR(__xludf.DUMMYFUNCTION("""COMPUTED_VALUE"""),"Male")</f>
        <v>Male</v>
      </c>
      <c r="E1597" s="1" t="str">
        <f ca="1">IFERROR(__xludf.DUMMYFUNCTION("""COMPUTED_VALUE"""),"People who have changed the world for better")</f>
        <v>People who have changed the world for better</v>
      </c>
      <c r="F1597" s="1" t="str">
        <f ca="1">IFERROR(__xludf.DUMMYFUNCTION("""COMPUTED_VALUE"""),"Yes, I will earn and do that")</f>
        <v>Yes, I will earn and do that</v>
      </c>
      <c r="G1597" s="1" t="str">
        <f ca="1">IFERROR(__xludf.DUMMYFUNCTION("""COMPUTED_VALUE"""),"This will be hard to do, but if it is the right company I would try")</f>
        <v>This will be hard to do, but if it is the right company I would try</v>
      </c>
      <c r="H1597" s="1" t="str">
        <f ca="1">IFERROR(__xludf.DUMMYFUNCTION("""COMPUTED_VALUE"""),"No")</f>
        <v>No</v>
      </c>
      <c r="I1597" s="1" t="str">
        <f ca="1">IFERROR(__xludf.DUMMYFUNCTION("""COMPUTED_VALUE"""),"Will NOT work for them")</f>
        <v>Will NOT work for them</v>
      </c>
      <c r="J1597" s="1">
        <f ca="1">IFERROR(__xludf.DUMMYFUNCTION("""COMPUTED_VALUE"""),1)</f>
        <v>1</v>
      </c>
      <c r="K1597" s="1" t="str">
        <f ca="1">IFERROR(__xludf.DUMMYFUNCTION("""COMPUTED_VALUE"""),"Every Day Office Environment")</f>
        <v>Every Day Office Environment</v>
      </c>
      <c r="L1597" s="1" t="str">
        <f ca="1">IFERROR(__xludf.DUMMYFUNCTION("""COMPUTED_VALUE"""),"Employer who appreciates learning and enables that environment")</f>
        <v>Employer who appreciates learning and enables that environment</v>
      </c>
      <c r="M159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597" s="1" t="str">
        <f ca="1">IFERROR(__xludf.DUMMYFUNCTION("""COMPUTED_VALUE"""),"Design and Creative strategy in any company, Teaching in any of the institutes/colleges/online or offline, Build and develop a Team, Entrepreneur or Start Up")</f>
        <v>Design and Creative strategy in any company, Teaching in any of the institutes/colleges/online or offline, Build and develop a Team, Entrepreneur or Start Up</v>
      </c>
      <c r="O1597" s="1" t="str">
        <f ca="1">IFERROR(__xludf.DUMMYFUNCTION("""COMPUTED_VALUE"""),"Manager who sets goal and helps me achieve it")</f>
        <v>Manager who sets goal and helps me achieve it</v>
      </c>
      <c r="P1597" s="1" t="str">
        <f ca="1">IFERROR(__xludf.DUMMYFUNCTION("""COMPUTED_VALUE"""),"Work with more than 10 people in my team")</f>
        <v>Work with more than 10 people in my team</v>
      </c>
      <c r="Q1597" s="1" t="str">
        <f ca="1">IFERROR(__xludf.DUMMYFUNCTION("""COMPUTED_VALUE"""),"Yes, I Understand this is gonna happen everywhere")</f>
        <v>Yes, I Understand this is gonna happen everywhere</v>
      </c>
      <c r="R1597" s="1" t="str">
        <f ca="1">IFERROR(__xludf.DUMMYFUNCTION("""COMPUTED_VALUE"""),"This will be hard to do, but if it is the right company I would try")</f>
        <v>This will be hard to do, but if it is the right company I would try</v>
      </c>
      <c r="S1597" s="1"/>
    </row>
    <row r="1598" spans="1:19" ht="12.5" x14ac:dyDescent="0.25">
      <c r="A1598" s="2">
        <f ca="1">IFERROR(__xludf.DUMMYFUNCTION("""COMPUTED_VALUE"""),45045.8974549074)</f>
        <v>45045.897454907397</v>
      </c>
      <c r="B1598" s="1" t="str">
        <f ca="1">IFERROR(__xludf.DUMMYFUNCTION("""COMPUTED_VALUE"""),"India")</f>
        <v>India</v>
      </c>
      <c r="C1598" s="1">
        <f ca="1">IFERROR(__xludf.DUMMYFUNCTION("""COMPUTED_VALUE"""),509301)</f>
        <v>509301</v>
      </c>
      <c r="D1598" s="1" t="str">
        <f ca="1">IFERROR(__xludf.DUMMYFUNCTION("""COMPUTED_VALUE"""),"Female")</f>
        <v>Female</v>
      </c>
      <c r="E1598" s="1" t="str">
        <f ca="1">IFERROR(__xludf.DUMMYFUNCTION("""COMPUTED_VALUE"""),"My Parents")</f>
        <v>My Parents</v>
      </c>
      <c r="F1598" s="1" t="str">
        <f ca="1">IFERROR(__xludf.DUMMYFUNCTION("""COMPUTED_VALUE"""),"Yes, I will earn and do that")</f>
        <v>Yes, I will earn and do that</v>
      </c>
      <c r="G1598" s="1" t="str">
        <f ca="1">IFERROR(__xludf.DUMMYFUNCTION("""COMPUTED_VALUE"""),"This will be hard to do, but if it is the right company I would try")</f>
        <v>This will be hard to do, but if it is the right company I would try</v>
      </c>
      <c r="H1598" s="1" t="str">
        <f ca="1">IFERROR(__xludf.DUMMYFUNCTION("""COMPUTED_VALUE"""),"Yes")</f>
        <v>Yes</v>
      </c>
      <c r="I1598" s="1" t="str">
        <f ca="1">IFERROR(__xludf.DUMMYFUNCTION("""COMPUTED_VALUE"""),"Will work for them")</f>
        <v>Will work for them</v>
      </c>
      <c r="J1598" s="1">
        <f ca="1">IFERROR(__xludf.DUMMYFUNCTION("""COMPUTED_VALUE"""),9)</f>
        <v>9</v>
      </c>
      <c r="K1598" s="1" t="str">
        <f ca="1">IFERROR(__xludf.DUMMYFUNCTION("""COMPUTED_VALUE"""),"Hybrid Working Environment with more than 15 days a month at office")</f>
        <v>Hybrid Working Environment with more than 15 days a month at office</v>
      </c>
      <c r="L15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59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598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15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598" s="1" t="str">
        <f ca="1">IFERROR(__xludf.DUMMYFUNCTION("""COMPUTED_VALUE"""),"Work with 5 to 6 people in my team")</f>
        <v>Work with 5 to 6 people in my team</v>
      </c>
      <c r="Q1598" s="1" t="str">
        <f ca="1">IFERROR(__xludf.DUMMYFUNCTION("""COMPUTED_VALUE"""),"Yes, I Understand this is gonna happen everywhere")</f>
        <v>Yes, I Understand this is gonna happen everywhere</v>
      </c>
      <c r="R1598" s="1" t="str">
        <f ca="1">IFERROR(__xludf.DUMMYFUNCTION("""COMPUTED_VALUE"""),"This will be hard to do, but if it is the right company I would try")</f>
        <v>This will be hard to do, but if it is the right company I would try</v>
      </c>
      <c r="S1598" s="1"/>
    </row>
    <row r="1599" spans="1:19" ht="12.5" x14ac:dyDescent="0.25">
      <c r="A1599" s="2">
        <f ca="1">IFERROR(__xludf.DUMMYFUNCTION("""COMPUTED_VALUE"""),45045.8994663657)</f>
        <v>45045.899466365699</v>
      </c>
      <c r="B1599" s="1" t="str">
        <f ca="1">IFERROR(__xludf.DUMMYFUNCTION("""COMPUTED_VALUE"""),"India")</f>
        <v>India</v>
      </c>
      <c r="C1599" s="1">
        <f ca="1">IFERROR(__xludf.DUMMYFUNCTION("""COMPUTED_VALUE"""),110027)</f>
        <v>110027</v>
      </c>
      <c r="D1599" s="1" t="str">
        <f ca="1">IFERROR(__xludf.DUMMYFUNCTION("""COMPUTED_VALUE"""),"Female")</f>
        <v>Female</v>
      </c>
      <c r="E1599" s="1" t="str">
        <f ca="1">IFERROR(__xludf.DUMMYFUNCTION("""COMPUTED_VALUE"""),"People who have changed the world for better")</f>
        <v>People who have changed the world for better</v>
      </c>
      <c r="F1599" s="1" t="str">
        <f ca="1">IFERROR(__xludf.DUMMYFUNCTION("""COMPUTED_VALUE"""),"No, But if someone could bare the cost I will")</f>
        <v>No, But if someone could bare the cost I will</v>
      </c>
      <c r="G1599" s="1" t="str">
        <f ca="1">IFERROR(__xludf.DUMMYFUNCTION("""COMPUTED_VALUE"""),"This will be hard to do, but if it is the right company I would try")</f>
        <v>This will be hard to do, but if it is the right company I would try</v>
      </c>
      <c r="H1599" s="1" t="str">
        <f ca="1">IFERROR(__xludf.DUMMYFUNCTION("""COMPUTED_VALUE"""),"No")</f>
        <v>No</v>
      </c>
      <c r="I1599" s="1" t="str">
        <f ca="1">IFERROR(__xludf.DUMMYFUNCTION("""COMPUTED_VALUE"""),"Will NOT work for them")</f>
        <v>Will NOT work for them</v>
      </c>
      <c r="J1599" s="1">
        <f ca="1">IFERROR(__xludf.DUMMYFUNCTION("""COMPUTED_VALUE"""),7)</f>
        <v>7</v>
      </c>
      <c r="K1599" s="1" t="str">
        <f ca="1">IFERROR(__xludf.DUMMYFUNCTION("""COMPUTED_VALUE"""),"Hybrid Working Environment with less than 3 days a month at office")</f>
        <v>Hybrid Working Environment with less than 3 days a month at office</v>
      </c>
      <c r="L1599" s="1" t="str">
        <f ca="1">IFERROR(__xludf.DUMMYFUNCTION("""COMPUTED_VALUE"""),"Employer who appreciates learning and enables that environment")</f>
        <v>Employer who appreciates learning and enables that environment</v>
      </c>
      <c r="M1599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599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1599" s="1" t="str">
        <f ca="1">IFERROR(__xludf.DUMMYFUNCTION("""COMPUTED_VALUE"""),"Manager who explains what is expected, sets a goal and helps achieve it")</f>
        <v>Manager who explains what is expected, sets a goal and helps achieve it</v>
      </c>
      <c r="P1599" s="1" t="str">
        <f ca="1">IFERROR(__xludf.DUMMYFUNCTION("""COMPUTED_VALUE"""),"Work with 2 to 3 people in my team")</f>
        <v>Work with 2 to 3 people in my team</v>
      </c>
      <c r="Q1599" s="1" t="str">
        <f ca="1">IFERROR(__xludf.DUMMYFUNCTION("""COMPUTED_VALUE"""),"Yes, I Understand this is gonna happen everywhere")</f>
        <v>Yes, I Understand this is gonna happen everywhere</v>
      </c>
      <c r="R1599" s="1" t="str">
        <f ca="1">IFERROR(__xludf.DUMMYFUNCTION("""COMPUTED_VALUE"""),"This will be hard to do, but if it is the right company I would try")</f>
        <v>This will be hard to do, but if it is the right company I would try</v>
      </c>
      <c r="S1599" s="1"/>
    </row>
    <row r="1600" spans="1:19" ht="12.5" x14ac:dyDescent="0.25">
      <c r="A1600" s="2">
        <f ca="1">IFERROR(__xludf.DUMMYFUNCTION("""COMPUTED_VALUE"""),45045.901446493)</f>
        <v>45045.901446493001</v>
      </c>
      <c r="B1600" s="1" t="str">
        <f ca="1">IFERROR(__xludf.DUMMYFUNCTION("""COMPUTED_VALUE"""),"India")</f>
        <v>India</v>
      </c>
      <c r="C1600" s="1">
        <f ca="1">IFERROR(__xludf.DUMMYFUNCTION("""COMPUTED_VALUE"""),581301)</f>
        <v>581301</v>
      </c>
      <c r="D1600" s="1" t="str">
        <f ca="1">IFERROR(__xludf.DUMMYFUNCTION("""COMPUTED_VALUE"""),"Male")</f>
        <v>Male</v>
      </c>
      <c r="E1600" s="1" t="str">
        <f ca="1">IFERROR(__xludf.DUMMYFUNCTION("""COMPUTED_VALUE"""),"Influencers who had successful careers")</f>
        <v>Influencers who had successful careers</v>
      </c>
      <c r="F1600" s="1" t="str">
        <f ca="1">IFERROR(__xludf.DUMMYFUNCTION("""COMPUTED_VALUE"""),"No I would not be pursuing Higher Education outside of India")</f>
        <v>No I would not be pursuing Higher Education outside of India</v>
      </c>
      <c r="G1600" s="1" t="str">
        <f ca="1">IFERROR(__xludf.DUMMYFUNCTION("""COMPUTED_VALUE"""),"This will be hard to do, but if it is the right company I would try")</f>
        <v>This will be hard to do, but if it is the right company I would try</v>
      </c>
      <c r="H1600" s="1" t="str">
        <f ca="1">IFERROR(__xludf.DUMMYFUNCTION("""COMPUTED_VALUE"""),"Yes")</f>
        <v>Yes</v>
      </c>
      <c r="I1600" s="1" t="str">
        <f ca="1">IFERROR(__xludf.DUMMYFUNCTION("""COMPUTED_VALUE"""),"Will NOT work for them")</f>
        <v>Will NOT work for them</v>
      </c>
      <c r="J1600" s="1">
        <f ca="1">IFERROR(__xludf.DUMMYFUNCTION("""COMPUTED_VALUE"""),5)</f>
        <v>5</v>
      </c>
      <c r="K1600" s="1" t="str">
        <f ca="1">IFERROR(__xludf.DUMMYFUNCTION("""COMPUTED_VALUE"""),"Fully Remote with Options to travel as and when needed")</f>
        <v>Fully Remote with Options to travel as and when needed</v>
      </c>
      <c r="L1600" s="1" t="str">
        <f ca="1">IFERROR(__xludf.DUMMYFUNCTION("""COMPUTED_VALUE"""),"Employer who rewards learning and enables that environment")</f>
        <v>Employer who rewards learning and enables that environment</v>
      </c>
      <c r="M160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00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1600" s="1" t="str">
        <f ca="1">IFERROR(__xludf.DUMMYFUNCTION("""COMPUTED_VALUE"""),"Manager who explains what is expected, sets a goal and helps achieve it")</f>
        <v>Manager who explains what is expected, sets a goal and helps achieve it</v>
      </c>
      <c r="P1600" s="1" t="str">
        <f ca="1">IFERROR(__xludf.DUMMYFUNCTION("""COMPUTED_VALUE"""),"Work alone, Work with 2 to 3 people in my team")</f>
        <v>Work alone, Work with 2 to 3 people in my team</v>
      </c>
      <c r="Q1600" s="1" t="str">
        <f ca="1">IFERROR(__xludf.DUMMYFUNCTION("""COMPUTED_VALUE"""),"Yes, I Understand this is gonna happen everywhere")</f>
        <v>Yes, I Understand this is gonna happen everywhere</v>
      </c>
      <c r="R1600" s="1" t="str">
        <f ca="1">IFERROR(__xludf.DUMMYFUNCTION("""COMPUTED_VALUE"""),"This will be hard to do, but if it is the right company I would try")</f>
        <v>This will be hard to do, but if it is the right company I would try</v>
      </c>
      <c r="S1600" s="1"/>
    </row>
    <row r="1601" spans="1:19" ht="12.5" x14ac:dyDescent="0.25">
      <c r="A1601" s="2">
        <f ca="1">IFERROR(__xludf.DUMMYFUNCTION("""COMPUTED_VALUE"""),45045.9067729166)</f>
        <v>45045.906772916598</v>
      </c>
      <c r="B1601" s="1" t="str">
        <f ca="1">IFERROR(__xludf.DUMMYFUNCTION("""COMPUTED_VALUE"""),"India")</f>
        <v>India</v>
      </c>
      <c r="C1601" s="1">
        <f ca="1">IFERROR(__xludf.DUMMYFUNCTION("""COMPUTED_VALUE"""),110027)</f>
        <v>110027</v>
      </c>
      <c r="D1601" s="1" t="str">
        <f ca="1">IFERROR(__xludf.DUMMYFUNCTION("""COMPUTED_VALUE"""),"Female")</f>
        <v>Female</v>
      </c>
      <c r="E1601" s="1" t="str">
        <f ca="1">IFERROR(__xludf.DUMMYFUNCTION("""COMPUTED_VALUE"""),"People who have changed the world for better")</f>
        <v>People who have changed the world for better</v>
      </c>
      <c r="F1601" s="1" t="str">
        <f ca="1">IFERROR(__xludf.DUMMYFUNCTION("""COMPUTED_VALUE"""),"Yes, I will earn and do that")</f>
        <v>Yes, I will earn and do that</v>
      </c>
      <c r="G1601" s="1" t="str">
        <f ca="1">IFERROR(__xludf.DUMMYFUNCTION("""COMPUTED_VALUE"""),"This will be hard to do, but if it is the right company I would try")</f>
        <v>This will be hard to do, but if it is the right company I would try</v>
      </c>
      <c r="H1601" s="1" t="str">
        <f ca="1">IFERROR(__xludf.DUMMYFUNCTION("""COMPUTED_VALUE"""),"Yes")</f>
        <v>Yes</v>
      </c>
      <c r="I1601" s="1" t="str">
        <f ca="1">IFERROR(__xludf.DUMMYFUNCTION("""COMPUTED_VALUE"""),"Will NOT work for them")</f>
        <v>Will NOT work for them</v>
      </c>
      <c r="J1601" s="1">
        <f ca="1">IFERROR(__xludf.DUMMYFUNCTION("""COMPUTED_VALUE"""),5)</f>
        <v>5</v>
      </c>
      <c r="K1601" s="1" t="str">
        <f ca="1">IFERROR(__xludf.DUMMYFUNCTION("""COMPUTED_VALUE"""),"Hybrid Working Environment with more than 15 days a month at office")</f>
        <v>Hybrid Working Environment with more than 15 days a month at office</v>
      </c>
      <c r="L16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0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01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601" s="1" t="str">
        <f ca="1">IFERROR(__xludf.DUMMYFUNCTION("""COMPUTED_VALUE"""),"Manager who explains what is expected, sets a goal and helps achieve it")</f>
        <v>Manager who explains what is expected, sets a goal and helps achieve it</v>
      </c>
      <c r="P1601" s="1" t="str">
        <f ca="1">IFERROR(__xludf.DUMMYFUNCTION("""COMPUTED_VALUE"""),"Work with more than 10 people in my team")</f>
        <v>Work with more than 10 people in my team</v>
      </c>
      <c r="Q1601" s="1" t="str">
        <f ca="1">IFERROR(__xludf.DUMMYFUNCTION("""COMPUTED_VALUE"""),"No")</f>
        <v>No</v>
      </c>
      <c r="R1601" s="1" t="str">
        <f ca="1">IFERROR(__xludf.DUMMYFUNCTION("""COMPUTED_VALUE"""),"This will be hard to do, but if it is the right company I would try")</f>
        <v>This will be hard to do, but if it is the right company I would try</v>
      </c>
      <c r="S1601" s="1"/>
    </row>
    <row r="1602" spans="1:19" ht="12.5" x14ac:dyDescent="0.25">
      <c r="A1602" s="2">
        <f ca="1">IFERROR(__xludf.DUMMYFUNCTION("""COMPUTED_VALUE"""),45045.9123969907)</f>
        <v>45045.912396990701</v>
      </c>
      <c r="B1602" s="1" t="str">
        <f ca="1">IFERROR(__xludf.DUMMYFUNCTION("""COMPUTED_VALUE"""),"India")</f>
        <v>India</v>
      </c>
      <c r="C1602" s="1">
        <f ca="1">IFERROR(__xludf.DUMMYFUNCTION("""COMPUTED_VALUE"""),201002)</f>
        <v>201002</v>
      </c>
      <c r="D1602" s="1" t="str">
        <f ca="1">IFERROR(__xludf.DUMMYFUNCTION("""COMPUTED_VALUE"""),"Male")</f>
        <v>Male</v>
      </c>
      <c r="E1602" s="1" t="str">
        <f ca="1">IFERROR(__xludf.DUMMYFUNCTION("""COMPUTED_VALUE"""),"Influencers who had successful careers")</f>
        <v>Influencers who had successful careers</v>
      </c>
      <c r="F1602" s="1" t="str">
        <f ca="1">IFERROR(__xludf.DUMMYFUNCTION("""COMPUTED_VALUE"""),"Yes, I will earn and do that")</f>
        <v>Yes, I will earn and do that</v>
      </c>
      <c r="G1602" s="1" t="str">
        <f ca="1">IFERROR(__xludf.DUMMYFUNCTION("""COMPUTED_VALUE"""),"This will be hard to do, but if it is the right company I would try")</f>
        <v>This will be hard to do, but if it is the right company I would try</v>
      </c>
      <c r="H1602" s="1" t="str">
        <f ca="1">IFERROR(__xludf.DUMMYFUNCTION("""COMPUTED_VALUE"""),"No")</f>
        <v>No</v>
      </c>
      <c r="I1602" s="1" t="str">
        <f ca="1">IFERROR(__xludf.DUMMYFUNCTION("""COMPUTED_VALUE"""),"Will NOT work for them")</f>
        <v>Will NOT work for them</v>
      </c>
      <c r="J1602" s="1">
        <f ca="1">IFERROR(__xludf.DUMMYFUNCTION("""COMPUTED_VALUE"""),1)</f>
        <v>1</v>
      </c>
      <c r="K1602" s="1" t="str">
        <f ca="1">IFERROR(__xludf.DUMMYFUNCTION("""COMPUTED_VALUE"""),"Hybrid Working Environment with less than 3 days a month at office")</f>
        <v>Hybrid Working Environment with less than 3 days a month at office</v>
      </c>
      <c r="L16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0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02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16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602" s="1" t="str">
        <f ca="1">IFERROR(__xludf.DUMMYFUNCTION("""COMPUTED_VALUE"""),"Work with 5 to 6 people in my team")</f>
        <v>Work with 5 to 6 people in my team</v>
      </c>
      <c r="Q1602" s="1" t="str">
        <f ca="1">IFERROR(__xludf.DUMMYFUNCTION("""COMPUTED_VALUE"""),"Yes, I Understand this is gonna happen everywhere")</f>
        <v>Yes, I Understand this is gonna happen everywhere</v>
      </c>
      <c r="R1602" s="1" t="str">
        <f ca="1">IFERROR(__xludf.DUMMYFUNCTION("""COMPUTED_VALUE"""),"No way")</f>
        <v>No way</v>
      </c>
      <c r="S1602" s="1"/>
    </row>
    <row r="1603" spans="1:19" ht="12.5" x14ac:dyDescent="0.25">
      <c r="A1603" s="2">
        <f ca="1">IFERROR(__xludf.DUMMYFUNCTION("""COMPUTED_VALUE"""),45045.9128753935)</f>
        <v>45045.9128753935</v>
      </c>
      <c r="B1603" s="1" t="str">
        <f ca="1">IFERROR(__xludf.DUMMYFUNCTION("""COMPUTED_VALUE"""),"India")</f>
        <v>India</v>
      </c>
      <c r="C1603" s="1">
        <f ca="1">IFERROR(__xludf.DUMMYFUNCTION("""COMPUTED_VALUE"""),43002)</f>
        <v>43002</v>
      </c>
      <c r="D1603" s="1" t="str">
        <f ca="1">IFERROR(__xludf.DUMMYFUNCTION("""COMPUTED_VALUE"""),"Female")</f>
        <v>Female</v>
      </c>
      <c r="E1603" s="1" t="str">
        <f ca="1">IFERROR(__xludf.DUMMYFUNCTION("""COMPUTED_VALUE"""),"My Parents")</f>
        <v>My Parents</v>
      </c>
      <c r="F1603" s="1" t="str">
        <f ca="1">IFERROR(__xludf.DUMMYFUNCTION("""COMPUTED_VALUE"""),"No I would not be pursuing Higher Education outside of India")</f>
        <v>No I would not be pursuing Higher Education outside of India</v>
      </c>
      <c r="G1603" s="1" t="str">
        <f ca="1">IFERROR(__xludf.DUMMYFUNCTION("""COMPUTED_VALUE"""),"This will be hard to do, but if it is the right company I would try")</f>
        <v>This will be hard to do, but if it is the right company I would try</v>
      </c>
      <c r="H1603" s="1" t="str">
        <f ca="1">IFERROR(__xludf.DUMMYFUNCTION("""COMPUTED_VALUE"""),"No")</f>
        <v>No</v>
      </c>
      <c r="I1603" s="1" t="str">
        <f ca="1">IFERROR(__xludf.DUMMYFUNCTION("""COMPUTED_VALUE"""),"Will NOT work for them")</f>
        <v>Will NOT work for them</v>
      </c>
      <c r="J1603" s="1">
        <f ca="1">IFERROR(__xludf.DUMMYFUNCTION("""COMPUTED_VALUE"""),8)</f>
        <v>8</v>
      </c>
      <c r="K1603" s="1" t="str">
        <f ca="1">IFERROR(__xludf.DUMMYFUNCTION("""COMPUTED_VALUE"""),"Every Day Office Environment")</f>
        <v>Every Day Office Environment</v>
      </c>
      <c r="L16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0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03" s="1" t="str">
        <f ca="1">IFERROR(__xludf.DUMMYFUNCTION("""COMPUTED_VALUE"""),"Design and Creative strategy in any company, Business Operations in any organization, Build and develop a Team, Become a content Creator in some platform")</f>
        <v>Design and Creative strategy in any company, Business Operations in any organization, Build and develop a Team, Become a content Creator in some platform</v>
      </c>
      <c r="O1603" s="1" t="str">
        <f ca="1">IFERROR(__xludf.DUMMYFUNCTION("""COMPUTED_VALUE"""),"Manager who explains what is expected, sets a goal and helps achieve it")</f>
        <v>Manager who explains what is expected, sets a goal and helps achieve it</v>
      </c>
      <c r="P1603" s="1" t="str">
        <f ca="1">IFERROR(__xludf.DUMMYFUNCTION("""COMPUTED_VALUE"""),"Work with 2 to 3 people in my team")</f>
        <v>Work with 2 to 3 people in my team</v>
      </c>
      <c r="Q1603" s="1" t="str">
        <f ca="1">IFERROR(__xludf.DUMMYFUNCTION("""COMPUTED_VALUE"""),"Yes, I Understand this is gonna happen everywhere")</f>
        <v>Yes, I Understand this is gonna happen everywhere</v>
      </c>
      <c r="R1603" s="1" t="str">
        <f ca="1">IFERROR(__xludf.DUMMYFUNCTION("""COMPUTED_VALUE"""),"This will be hard to do, but if it is the right company I would try")</f>
        <v>This will be hard to do, but if it is the right company I would try</v>
      </c>
      <c r="S1603" s="1"/>
    </row>
    <row r="1604" spans="1:19" ht="12.5" x14ac:dyDescent="0.25">
      <c r="A1604" s="2">
        <f ca="1">IFERROR(__xludf.DUMMYFUNCTION("""COMPUTED_VALUE"""),45045.9152175347)</f>
        <v>45045.915217534697</v>
      </c>
      <c r="B1604" s="1" t="str">
        <f ca="1">IFERROR(__xludf.DUMMYFUNCTION("""COMPUTED_VALUE"""),"India")</f>
        <v>India</v>
      </c>
      <c r="C1604" s="1">
        <f ca="1">IFERROR(__xludf.DUMMYFUNCTION("""COMPUTED_VALUE"""),110003)</f>
        <v>110003</v>
      </c>
      <c r="D1604" s="1" t="str">
        <f ca="1">IFERROR(__xludf.DUMMYFUNCTION("""COMPUTED_VALUE"""),"Male")</f>
        <v>Male</v>
      </c>
      <c r="E1604" s="1" t="str">
        <f ca="1">IFERROR(__xludf.DUMMYFUNCTION("""COMPUTED_VALUE"""),"People who have changed the world for better")</f>
        <v>People who have changed the world for better</v>
      </c>
      <c r="F1604" s="1" t="str">
        <f ca="1">IFERROR(__xludf.DUMMYFUNCTION("""COMPUTED_VALUE"""),"Yes, I will earn and do that")</f>
        <v>Yes, I will earn and do that</v>
      </c>
      <c r="G1604" s="1" t="str">
        <f ca="1">IFERROR(__xludf.DUMMYFUNCTION("""COMPUTED_VALUE"""),"This will be hard to do, but if it is the right company I would try")</f>
        <v>This will be hard to do, but if it is the right company I would try</v>
      </c>
      <c r="H1604" s="1" t="str">
        <f ca="1">IFERROR(__xludf.DUMMYFUNCTION("""COMPUTED_VALUE"""),"No")</f>
        <v>No</v>
      </c>
      <c r="I1604" s="1" t="str">
        <f ca="1">IFERROR(__xludf.DUMMYFUNCTION("""COMPUTED_VALUE"""),"Will NOT work for them")</f>
        <v>Will NOT work for them</v>
      </c>
      <c r="J1604" s="1">
        <f ca="1">IFERROR(__xludf.DUMMYFUNCTION("""COMPUTED_VALUE"""),8)</f>
        <v>8</v>
      </c>
      <c r="K1604" s="1" t="str">
        <f ca="1">IFERROR(__xludf.DUMMYFUNCTION("""COMPUTED_VALUE"""),"Fully Remote with Options to travel as and when needed")</f>
        <v>Fully Remote with Options to travel as and when needed</v>
      </c>
      <c r="L1604" s="1" t="str">
        <f ca="1">IFERROR(__xludf.DUMMYFUNCTION("""COMPUTED_VALUE"""),"Employer who appreciates learning and enables that environment")</f>
        <v>Employer who appreciates learning and enables that environment</v>
      </c>
      <c r="M160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0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604" s="1" t="str">
        <f ca="1">IFERROR(__xludf.DUMMYFUNCTION("""COMPUTED_VALUE"""),"Manager who sets goal and helps me achieve it")</f>
        <v>Manager who sets goal and helps me achieve it</v>
      </c>
      <c r="P1604" s="1" t="str">
        <f ca="1">IFERROR(__xludf.DUMMYFUNCTION("""COMPUTED_VALUE"""),"Work with 2 to 3 people in my team")</f>
        <v>Work with 2 to 3 people in my team</v>
      </c>
      <c r="Q1604" s="1" t="str">
        <f ca="1">IFERROR(__xludf.DUMMYFUNCTION("""COMPUTED_VALUE"""),"Yes, I Understand this is gonna happen everywhere")</f>
        <v>Yes, I Understand this is gonna happen everywhere</v>
      </c>
      <c r="R1604" s="1" t="str">
        <f ca="1">IFERROR(__xludf.DUMMYFUNCTION("""COMPUTED_VALUE"""),"No way")</f>
        <v>No way</v>
      </c>
      <c r="S1604" s="1"/>
    </row>
    <row r="1605" spans="1:19" ht="12.5" x14ac:dyDescent="0.25">
      <c r="A1605" s="2">
        <f ca="1">IFERROR(__xludf.DUMMYFUNCTION("""COMPUTED_VALUE"""),45045.9216758333)</f>
        <v>45045.921675833299</v>
      </c>
      <c r="B1605" s="1" t="str">
        <f ca="1">IFERROR(__xludf.DUMMYFUNCTION("""COMPUTED_VALUE"""),"Canada")</f>
        <v>Canada</v>
      </c>
      <c r="C1605" s="1" t="str">
        <f ca="1">IFERROR(__xludf.DUMMYFUNCTION("""COMPUTED_VALUE"""),"H3X2V2")</f>
        <v>H3X2V2</v>
      </c>
      <c r="D1605" s="1" t="str">
        <f ca="1">IFERROR(__xludf.DUMMYFUNCTION("""COMPUTED_VALUE"""),"Male")</f>
        <v>Male</v>
      </c>
      <c r="E1605" s="1" t="str">
        <f ca="1">IFERROR(__xludf.DUMMYFUNCTION("""COMPUTED_VALUE"""),"People who have changed the world for better")</f>
        <v>People who have changed the world for better</v>
      </c>
      <c r="F1605" s="1" t="str">
        <f ca="1">IFERROR(__xludf.DUMMYFUNCTION("""COMPUTED_VALUE"""),"Yes, I will earn and do that")</f>
        <v>Yes, I will earn and do that</v>
      </c>
      <c r="G1605" s="1" t="str">
        <f ca="1">IFERROR(__xludf.DUMMYFUNCTION("""COMPUTED_VALUE"""),"This will be hard to do, but if it is the right company I would try")</f>
        <v>This will be hard to do, but if it is the right company I would try</v>
      </c>
      <c r="H1605" s="1" t="str">
        <f ca="1">IFERROR(__xludf.DUMMYFUNCTION("""COMPUTED_VALUE"""),"No")</f>
        <v>No</v>
      </c>
      <c r="I1605" s="1" t="str">
        <f ca="1">IFERROR(__xludf.DUMMYFUNCTION("""COMPUTED_VALUE"""),"Will NOT work for them")</f>
        <v>Will NOT work for them</v>
      </c>
      <c r="J1605" s="1">
        <f ca="1">IFERROR(__xludf.DUMMYFUNCTION("""COMPUTED_VALUE"""),1)</f>
        <v>1</v>
      </c>
      <c r="K1605" s="1" t="str">
        <f ca="1">IFERROR(__xludf.DUMMYFUNCTION("""COMPUTED_VALUE"""),"Hybrid Working Environment with more than 15 days a month at office")</f>
        <v>Hybrid Working Environment with more than 15 days a month at office</v>
      </c>
      <c r="L16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0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05" s="1" t="str">
        <f ca="1">IFERROR(__xludf.DUMMYFUNCTION("""COMPUTED_VALUE"""),"Teaching in any of the institutes/colleges/online or offline, Build and develop a Team, Design and Develop amazing software, Look deeply into Data and generate insights")</f>
        <v>Teaching in any of the institutes/colleges/online or offline, Build and develop a Team, Design and Develop amazing software, Look deeply into Data and generate insights</v>
      </c>
      <c r="O1605" s="1" t="str">
        <f ca="1">IFERROR(__xludf.DUMMYFUNCTION("""COMPUTED_VALUE"""),"Manager who explains what is expected, sets a goal and helps achieve it")</f>
        <v>Manager who explains what is expected, sets a goal and helps achieve it</v>
      </c>
      <c r="P1605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605" s="1" t="str">
        <f ca="1">IFERROR(__xludf.DUMMYFUNCTION("""COMPUTED_VALUE"""),"Yes, I Understand this is gonna happen everywhere")</f>
        <v>Yes, I Understand this is gonna happen everywhere</v>
      </c>
      <c r="R1605" s="1" t="str">
        <f ca="1">IFERROR(__xludf.DUMMYFUNCTION("""COMPUTED_VALUE"""),"This will be hard to do, but if it is the right company I would try")</f>
        <v>This will be hard to do, but if it is the right company I would try</v>
      </c>
      <c r="S1605" s="1"/>
    </row>
    <row r="1606" spans="1:19" ht="12.5" x14ac:dyDescent="0.25">
      <c r="A1606" s="2">
        <f ca="1">IFERROR(__xludf.DUMMYFUNCTION("""COMPUTED_VALUE"""),45045.9227116898)</f>
        <v>45045.922711689796</v>
      </c>
      <c r="B1606" s="1" t="str">
        <f ca="1">IFERROR(__xludf.DUMMYFUNCTION("""COMPUTED_VALUE"""),"India")</f>
        <v>India</v>
      </c>
      <c r="C1606" s="1">
        <f ca="1">IFERROR(__xludf.DUMMYFUNCTION("""COMPUTED_VALUE"""),500072)</f>
        <v>500072</v>
      </c>
      <c r="D1606" s="1" t="str">
        <f ca="1">IFERROR(__xludf.DUMMYFUNCTION("""COMPUTED_VALUE"""),"Female")</f>
        <v>Female</v>
      </c>
      <c r="E1606" s="1" t="str">
        <f ca="1">IFERROR(__xludf.DUMMYFUNCTION("""COMPUTED_VALUE"""),"Influencers who had successful careers")</f>
        <v>Influencers who had successful careers</v>
      </c>
      <c r="F1606" s="1" t="str">
        <f ca="1">IFERROR(__xludf.DUMMYFUNCTION("""COMPUTED_VALUE"""),"Yes, I will earn and do that")</f>
        <v>Yes, I will earn and do that</v>
      </c>
      <c r="G1606" s="1" t="str">
        <f ca="1">IFERROR(__xludf.DUMMYFUNCTION("""COMPUTED_VALUE"""),"Will work for 3 years or more")</f>
        <v>Will work for 3 years or more</v>
      </c>
      <c r="H1606" s="1" t="str">
        <f ca="1">IFERROR(__xludf.DUMMYFUNCTION("""COMPUTED_VALUE"""),"No")</f>
        <v>No</v>
      </c>
      <c r="I1606" s="1" t="str">
        <f ca="1">IFERROR(__xludf.DUMMYFUNCTION("""COMPUTED_VALUE"""),"Will NOT work for them")</f>
        <v>Will NOT work for them</v>
      </c>
      <c r="J1606" s="1">
        <f ca="1">IFERROR(__xludf.DUMMYFUNCTION("""COMPUTED_VALUE"""),6)</f>
        <v>6</v>
      </c>
      <c r="K1606" s="1" t="str">
        <f ca="1">IFERROR(__xludf.DUMMYFUNCTION("""COMPUTED_VALUE"""),"Every Day Office Environment")</f>
        <v>Every Day Office Environment</v>
      </c>
      <c r="L16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0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06" s="1" t="str">
        <f ca="1">IFERROR(__xludf.DUMMYFUNCTION("""COMPUTED_VALUE"""),"Manage and drive End-to-End Projects or Products, Look deeply into Data and generate insights, Work as a freelancer and do my thing my way, An Artificial Intelligence Specialist / Talking to Robots")</f>
        <v>Manage and drive End-to-End Projects or Products, Look deeply into Data and generate insights, Work as a freelancer and do my thing my way, An Artificial Intelligence Specialist / Talking to Robots</v>
      </c>
      <c r="O1606" s="1" t="str">
        <f ca="1">IFERROR(__xludf.DUMMYFUNCTION("""COMPUTED_VALUE"""),"Manager who sets targets and expects me to achieve it")</f>
        <v>Manager who sets targets and expects me to achieve it</v>
      </c>
      <c r="P1606" s="1" t="str">
        <f ca="1">IFERROR(__xludf.DUMMYFUNCTION("""COMPUTED_VALUE"""),"Work alone, Work with 2 to 3 people in my team")</f>
        <v>Work alone, Work with 2 to 3 people in my team</v>
      </c>
      <c r="Q1606" s="1" t="str">
        <f ca="1">IFERROR(__xludf.DUMMYFUNCTION("""COMPUTED_VALUE"""),"Yes, I Understand this is gonna happen everywhere")</f>
        <v>Yes, I Understand this is gonna happen everywhere</v>
      </c>
      <c r="R1606" s="1" t="str">
        <f ca="1">IFERROR(__xludf.DUMMYFUNCTION("""COMPUTED_VALUE"""),"This will be hard to do, but if it is the right company I would try")</f>
        <v>This will be hard to do, but if it is the right company I would try</v>
      </c>
      <c r="S1606" s="1"/>
    </row>
    <row r="1607" spans="1:19" ht="12.5" x14ac:dyDescent="0.25">
      <c r="A1607" s="2">
        <f ca="1">IFERROR(__xludf.DUMMYFUNCTION("""COMPUTED_VALUE"""),45045.9233549537)</f>
        <v>45045.923354953702</v>
      </c>
      <c r="B1607" s="1" t="str">
        <f ca="1">IFERROR(__xludf.DUMMYFUNCTION("""COMPUTED_VALUE"""),"India")</f>
        <v>India</v>
      </c>
      <c r="C1607" s="1">
        <f ca="1">IFERROR(__xludf.DUMMYFUNCTION("""COMPUTED_VALUE"""),495001)</f>
        <v>495001</v>
      </c>
      <c r="D1607" s="1" t="str">
        <f ca="1">IFERROR(__xludf.DUMMYFUNCTION("""COMPUTED_VALUE"""),"Female")</f>
        <v>Female</v>
      </c>
      <c r="E1607" s="1" t="str">
        <f ca="1">IFERROR(__xludf.DUMMYFUNCTION("""COMPUTED_VALUE"""),"My Parents")</f>
        <v>My Parents</v>
      </c>
      <c r="F1607" s="1" t="str">
        <f ca="1">IFERROR(__xludf.DUMMYFUNCTION("""COMPUTED_VALUE"""),"Yes, I will earn and do that")</f>
        <v>Yes, I will earn and do that</v>
      </c>
      <c r="G1607" s="1" t="str">
        <f ca="1">IFERROR(__xludf.DUMMYFUNCTION("""COMPUTED_VALUE"""),"Will work for 3 years or more")</f>
        <v>Will work for 3 years or more</v>
      </c>
      <c r="H1607" s="1" t="str">
        <f ca="1">IFERROR(__xludf.DUMMYFUNCTION("""COMPUTED_VALUE"""),"No")</f>
        <v>No</v>
      </c>
      <c r="I1607" s="1" t="str">
        <f ca="1">IFERROR(__xludf.DUMMYFUNCTION("""COMPUTED_VALUE"""),"Will NOT work for them")</f>
        <v>Will NOT work for them</v>
      </c>
      <c r="J1607" s="1">
        <f ca="1">IFERROR(__xludf.DUMMYFUNCTION("""COMPUTED_VALUE"""),4)</f>
        <v>4</v>
      </c>
      <c r="K1607" s="1" t="str">
        <f ca="1">IFERROR(__xludf.DUMMYFUNCTION("""COMPUTED_VALUE"""),"Hybrid Working Environment with more than 15 days a month at office")</f>
        <v>Hybrid Working Environment with more than 15 days a month at office</v>
      </c>
      <c r="L16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0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07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607" s="1" t="str">
        <f ca="1">IFERROR(__xludf.DUMMYFUNCTION("""COMPUTED_VALUE"""),"Manager who explains what is expected, sets a goal and helps achieve it")</f>
        <v>Manager who explains what is expected, sets a goal and helps achieve it</v>
      </c>
      <c r="P1607" s="1" t="str">
        <f ca="1">IFERROR(__xludf.DUMMYFUNCTION("""COMPUTED_VALUE"""),"Work with 2 to 3 people in my team, Work with 5 to 6 people in my team")</f>
        <v>Work with 2 to 3 people in my team, Work with 5 to 6 people in my team</v>
      </c>
      <c r="Q1607" s="1" t="str">
        <f ca="1">IFERROR(__xludf.DUMMYFUNCTION("""COMPUTED_VALUE"""),"Yes, I Understand this is gonna happen everywhere")</f>
        <v>Yes, I Understand this is gonna happen everywhere</v>
      </c>
      <c r="R1607" s="1" t="str">
        <f ca="1">IFERROR(__xludf.DUMMYFUNCTION("""COMPUTED_VALUE"""),"This will be hard to do, but if it is the right company I would try")</f>
        <v>This will be hard to do, but if it is the right company I would try</v>
      </c>
      <c r="S1607" s="1"/>
    </row>
    <row r="1608" spans="1:19" ht="12.5" x14ac:dyDescent="0.25">
      <c r="A1608" s="2">
        <f ca="1">IFERROR(__xludf.DUMMYFUNCTION("""COMPUTED_VALUE"""),45045.9249749884)</f>
        <v>45045.924974988397</v>
      </c>
      <c r="B1608" s="1" t="str">
        <f ca="1">IFERROR(__xludf.DUMMYFUNCTION("""COMPUTED_VALUE"""),"India")</f>
        <v>India</v>
      </c>
      <c r="C1608" s="1">
        <f ca="1">IFERROR(__xludf.DUMMYFUNCTION("""COMPUTED_VALUE"""),456006)</f>
        <v>456006</v>
      </c>
      <c r="D1608" s="1" t="str">
        <f ca="1">IFERROR(__xludf.DUMMYFUNCTION("""COMPUTED_VALUE"""),"Female")</f>
        <v>Female</v>
      </c>
      <c r="E1608" s="1" t="str">
        <f ca="1">IFERROR(__xludf.DUMMYFUNCTION("""COMPUTED_VALUE"""),"People from my circle, but not family members")</f>
        <v>People from my circle, but not family members</v>
      </c>
      <c r="F1608" s="1" t="str">
        <f ca="1">IFERROR(__xludf.DUMMYFUNCTION("""COMPUTED_VALUE"""),"No, But if someone could bare the cost I will")</f>
        <v>No, But if someone could bare the cost I will</v>
      </c>
      <c r="G1608" s="1" t="str">
        <f ca="1">IFERROR(__xludf.DUMMYFUNCTION("""COMPUTED_VALUE"""),"This will be hard to do, but if it is the right company I would try")</f>
        <v>This will be hard to do, but if it is the right company I would try</v>
      </c>
      <c r="H1608" s="1" t="str">
        <f ca="1">IFERROR(__xludf.DUMMYFUNCTION("""COMPUTED_VALUE"""),"No")</f>
        <v>No</v>
      </c>
      <c r="I1608" s="1" t="str">
        <f ca="1">IFERROR(__xludf.DUMMYFUNCTION("""COMPUTED_VALUE"""),"Will NOT work for them")</f>
        <v>Will NOT work for them</v>
      </c>
      <c r="J1608" s="1">
        <f ca="1">IFERROR(__xludf.DUMMYFUNCTION("""COMPUTED_VALUE"""),10)</f>
        <v>10</v>
      </c>
      <c r="K1608" s="1" t="str">
        <f ca="1">IFERROR(__xludf.DUMMYFUNCTION("""COMPUTED_VALUE"""),"Fully Remote with Options to travel as and when needed")</f>
        <v>Fully Remote with Options to travel as and when needed</v>
      </c>
      <c r="L16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0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08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1608" s="1" t="str">
        <f ca="1">IFERROR(__xludf.DUMMYFUNCTION("""COMPUTED_VALUE"""),"Manager who explains what is expected, sets a goal and helps achieve it")</f>
        <v>Manager who explains what is expected, sets a goal and helps achieve it</v>
      </c>
      <c r="P1608" s="1" t="str">
        <f ca="1">IFERROR(__xludf.DUMMYFUNCTION("""COMPUTED_VALUE"""),"Work with 7 to 10 or more people in my team")</f>
        <v>Work with 7 to 10 or more people in my team</v>
      </c>
      <c r="Q1608" s="1" t="str">
        <f ca="1">IFERROR(__xludf.DUMMYFUNCTION("""COMPUTED_VALUE"""),"Yes, I Understand this is gonna happen everywhere")</f>
        <v>Yes, I Understand this is gonna happen everywhere</v>
      </c>
      <c r="R1608" s="1" t="str">
        <f ca="1">IFERROR(__xludf.DUMMYFUNCTION("""COMPUTED_VALUE"""),"No way")</f>
        <v>No way</v>
      </c>
      <c r="S1608" s="1"/>
    </row>
    <row r="1609" spans="1:19" ht="12.5" x14ac:dyDescent="0.25">
      <c r="A1609" s="2">
        <f ca="1">IFERROR(__xludf.DUMMYFUNCTION("""COMPUTED_VALUE"""),45045.9260512384)</f>
        <v>45045.926051238399</v>
      </c>
      <c r="B1609" s="1" t="str">
        <f ca="1">IFERROR(__xludf.DUMMYFUNCTION("""COMPUTED_VALUE"""),"India")</f>
        <v>India</v>
      </c>
      <c r="C1609" s="1">
        <f ca="1">IFERROR(__xludf.DUMMYFUNCTION("""COMPUTED_VALUE"""),473001)</f>
        <v>473001</v>
      </c>
      <c r="D1609" s="1" t="str">
        <f ca="1">IFERROR(__xludf.DUMMYFUNCTION("""COMPUTED_VALUE"""),"Male")</f>
        <v>Male</v>
      </c>
      <c r="E1609" s="1" t="str">
        <f ca="1">IFERROR(__xludf.DUMMYFUNCTION("""COMPUTED_VALUE"""),"People from my circle, but not family members")</f>
        <v>People from my circle, but not family members</v>
      </c>
      <c r="F1609" s="1" t="str">
        <f ca="1">IFERROR(__xludf.DUMMYFUNCTION("""COMPUTED_VALUE"""),"No I would not be pursuing Higher Education outside of India")</f>
        <v>No I would not be pursuing Higher Education outside of India</v>
      </c>
      <c r="G1609" s="1" t="str">
        <f ca="1">IFERROR(__xludf.DUMMYFUNCTION("""COMPUTED_VALUE"""),"This will be hard to do, but if it is the right company I would try")</f>
        <v>This will be hard to do, but if it is the right company I would try</v>
      </c>
      <c r="H1609" s="1" t="str">
        <f ca="1">IFERROR(__xludf.DUMMYFUNCTION("""COMPUTED_VALUE"""),"No")</f>
        <v>No</v>
      </c>
      <c r="I1609" s="1" t="str">
        <f ca="1">IFERROR(__xludf.DUMMYFUNCTION("""COMPUTED_VALUE"""),"Will NOT work for them")</f>
        <v>Will NOT work for them</v>
      </c>
      <c r="J1609" s="1">
        <f ca="1">IFERROR(__xludf.DUMMYFUNCTION("""COMPUTED_VALUE"""),3)</f>
        <v>3</v>
      </c>
      <c r="K1609" s="1" t="str">
        <f ca="1">IFERROR(__xludf.DUMMYFUNCTION("""COMPUTED_VALUE"""),"Hybrid Working Environment with more than 15 days a month at office")</f>
        <v>Hybrid Working Environment with more than 15 days a month at office</v>
      </c>
      <c r="L16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0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609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1609" s="1" t="str">
        <f ca="1">IFERROR(__xludf.DUMMYFUNCTION("""COMPUTED_VALUE"""),"Manager who sets goal and helps me achieve it")</f>
        <v>Manager who sets goal and helps me achieve it</v>
      </c>
      <c r="P1609" s="1" t="str">
        <f ca="1">IFERROR(__xludf.DUMMYFUNCTION("""COMPUTED_VALUE"""),"Work with 5 to 6 people in my team")</f>
        <v>Work with 5 to 6 people in my team</v>
      </c>
      <c r="Q1609" s="1" t="str">
        <f ca="1">IFERROR(__xludf.DUMMYFUNCTION("""COMPUTED_VALUE"""),"Yes, I Understand this is gonna happen everywhere")</f>
        <v>Yes, I Understand this is gonna happen everywhere</v>
      </c>
      <c r="R1609" s="1" t="str">
        <f ca="1">IFERROR(__xludf.DUMMYFUNCTION("""COMPUTED_VALUE"""),"This will be hard to do, but if it is the right company I would try")</f>
        <v>This will be hard to do, but if it is the right company I would try</v>
      </c>
      <c r="S1609" s="1"/>
    </row>
    <row r="1610" spans="1:19" ht="12.5" x14ac:dyDescent="0.25">
      <c r="A1610" s="2">
        <f ca="1">IFERROR(__xludf.DUMMYFUNCTION("""COMPUTED_VALUE"""),45045.927445625)</f>
        <v>45045.927445624999</v>
      </c>
      <c r="B1610" s="1" t="str">
        <f ca="1">IFERROR(__xludf.DUMMYFUNCTION("""COMPUTED_VALUE"""),"India")</f>
        <v>India</v>
      </c>
      <c r="C1610" s="1">
        <f ca="1">IFERROR(__xludf.DUMMYFUNCTION("""COMPUTED_VALUE"""),110006)</f>
        <v>110006</v>
      </c>
      <c r="D1610" s="1" t="str">
        <f ca="1">IFERROR(__xludf.DUMMYFUNCTION("""COMPUTED_VALUE"""),"Female")</f>
        <v>Female</v>
      </c>
      <c r="E1610" s="1" t="str">
        <f ca="1">IFERROR(__xludf.DUMMYFUNCTION("""COMPUTED_VALUE"""),"People from my circle, but not family members")</f>
        <v>People from my circle, but not family members</v>
      </c>
      <c r="F1610" s="1" t="str">
        <f ca="1">IFERROR(__xludf.DUMMYFUNCTION("""COMPUTED_VALUE"""),"No, But if someone could bare the cost I will")</f>
        <v>No, But if someone could bare the cost I will</v>
      </c>
      <c r="G1610" s="1" t="str">
        <f ca="1">IFERROR(__xludf.DUMMYFUNCTION("""COMPUTED_VALUE"""),"This will be hard to do, but if it is the right company I would try")</f>
        <v>This will be hard to do, but if it is the right company I would try</v>
      </c>
      <c r="H1610" s="1" t="str">
        <f ca="1">IFERROR(__xludf.DUMMYFUNCTION("""COMPUTED_VALUE"""),"No")</f>
        <v>No</v>
      </c>
      <c r="I1610" s="1" t="str">
        <f ca="1">IFERROR(__xludf.DUMMYFUNCTION("""COMPUTED_VALUE"""),"Will NOT work for them")</f>
        <v>Will NOT work for them</v>
      </c>
      <c r="J1610" s="1">
        <f ca="1">IFERROR(__xludf.DUMMYFUNCTION("""COMPUTED_VALUE"""),4)</f>
        <v>4</v>
      </c>
      <c r="K1610" s="1" t="str">
        <f ca="1">IFERROR(__xludf.DUMMYFUNCTION("""COMPUTED_VALUE"""),"Hybrid Working Environment with less than 3 days a month at office")</f>
        <v>Hybrid Working Environment with less than 3 days a month at office</v>
      </c>
      <c r="L16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1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10" s="1" t="str">
        <f ca="1">IFERROR(__xludf.DUMMYFUNCTION("""COMPUTED_VALUE"""),"Design and Creative strategy in any company, Teaching in any of the institutes/colleges/online or offline, Work as a freelancer and do my thing my way, I Want to sell things/Sales")</f>
        <v>Design and Creative strategy in any company, Teaching in any of the institutes/colleges/online or offline, Work as a freelancer and do my thing my way, I Want to sell things/Sales</v>
      </c>
      <c r="O1610" s="1" t="str">
        <f ca="1">IFERROR(__xludf.DUMMYFUNCTION("""COMPUTED_VALUE"""),"Manager who explains what is expected, sets a goal and helps achieve it")</f>
        <v>Manager who explains what is expected, sets a goal and helps achieve it</v>
      </c>
      <c r="P1610" s="1" t="str">
        <f ca="1">IFERROR(__xludf.DUMMYFUNCTION("""COMPUTED_VALUE"""),"Work with 2 to 3 people in my team, Work with 5 to 6 people in my team")</f>
        <v>Work with 2 to 3 people in my team, Work with 5 to 6 people in my team</v>
      </c>
      <c r="Q1610" s="1" t="str">
        <f ca="1">IFERROR(__xludf.DUMMYFUNCTION("""COMPUTED_VALUE"""),"No")</f>
        <v>No</v>
      </c>
      <c r="R1610" s="1" t="str">
        <f ca="1">IFERROR(__xludf.DUMMYFUNCTION("""COMPUTED_VALUE"""),"This will be hard to do, but if it is the right company I would try")</f>
        <v>This will be hard to do, but if it is the right company I would try</v>
      </c>
      <c r="S1610" s="1"/>
    </row>
    <row r="1611" spans="1:19" ht="12.5" x14ac:dyDescent="0.25">
      <c r="A1611" s="2">
        <f ca="1">IFERROR(__xludf.DUMMYFUNCTION("""COMPUTED_VALUE"""),45045.9293493287)</f>
        <v>45045.929349328697</v>
      </c>
      <c r="B1611" s="1" t="str">
        <f ca="1">IFERROR(__xludf.DUMMYFUNCTION("""COMPUTED_VALUE"""),"United States of America")</f>
        <v>United States of America</v>
      </c>
      <c r="C1611" s="1">
        <f ca="1">IFERROR(__xludf.DUMMYFUNCTION("""COMPUTED_VALUE"""),27606)</f>
        <v>27606</v>
      </c>
      <c r="D1611" s="1" t="str">
        <f ca="1">IFERROR(__xludf.DUMMYFUNCTION("""COMPUTED_VALUE"""),"Female")</f>
        <v>Female</v>
      </c>
      <c r="E1611" s="1" t="str">
        <f ca="1">IFERROR(__xludf.DUMMYFUNCTION("""COMPUTED_VALUE"""),"People who have changed the world for better")</f>
        <v>People who have changed the world for better</v>
      </c>
      <c r="F1611" s="1" t="str">
        <f ca="1">IFERROR(__xludf.DUMMYFUNCTION("""COMPUTED_VALUE"""),"No, But if someone could bare the cost I will")</f>
        <v>No, But if someone could bare the cost I will</v>
      </c>
      <c r="G1611" s="1" t="str">
        <f ca="1">IFERROR(__xludf.DUMMYFUNCTION("""COMPUTED_VALUE"""),"Will work for 3 years or more")</f>
        <v>Will work for 3 years or more</v>
      </c>
      <c r="H1611" s="1" t="str">
        <f ca="1">IFERROR(__xludf.DUMMYFUNCTION("""COMPUTED_VALUE"""),"No")</f>
        <v>No</v>
      </c>
      <c r="I1611" s="1" t="str">
        <f ca="1">IFERROR(__xludf.DUMMYFUNCTION("""COMPUTED_VALUE"""),"Will NOT work for them")</f>
        <v>Will NOT work for them</v>
      </c>
      <c r="J1611" s="1">
        <f ca="1">IFERROR(__xludf.DUMMYFUNCTION("""COMPUTED_VALUE"""),5)</f>
        <v>5</v>
      </c>
      <c r="K1611" s="1" t="str">
        <f ca="1">IFERROR(__xludf.DUMMYFUNCTION("""COMPUTED_VALUE"""),"Hybrid Working Environment with more than 15 days a month at office")</f>
        <v>Hybrid Working Environment with more than 15 days a month at office</v>
      </c>
      <c r="L16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1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11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611" s="1" t="str">
        <f ca="1">IFERROR(__xludf.DUMMYFUNCTION("""COMPUTED_VALUE"""),"Manager who explains what is expected, sets a goal and helps achieve it")</f>
        <v>Manager who explains what is expected, sets a goal and helps achieve it</v>
      </c>
      <c r="P1611" s="1" t="str">
        <f ca="1">IFERROR(__xludf.DUMMYFUNCTION("""COMPUTED_VALUE"""),"Work with 5 to 6 people in my team")</f>
        <v>Work with 5 to 6 people in my team</v>
      </c>
      <c r="Q1611" s="1" t="str">
        <f ca="1">IFERROR(__xludf.DUMMYFUNCTION("""COMPUTED_VALUE"""),"Yes, I Understand this is gonna happen everywhere")</f>
        <v>Yes, I Understand this is gonna happen everywhere</v>
      </c>
      <c r="R1611" s="1" t="str">
        <f ca="1">IFERROR(__xludf.DUMMYFUNCTION("""COMPUTED_VALUE"""),"This will be hard to do, but if it is the right company I would try")</f>
        <v>This will be hard to do, but if it is the right company I would try</v>
      </c>
      <c r="S1611" s="1"/>
    </row>
    <row r="1612" spans="1:19" ht="12.5" x14ac:dyDescent="0.25">
      <c r="A1612" s="2">
        <f ca="1">IFERROR(__xludf.DUMMYFUNCTION("""COMPUTED_VALUE"""),45045.9305853125)</f>
        <v>45045.930585312497</v>
      </c>
      <c r="B1612" s="1" t="str">
        <f ca="1">IFERROR(__xludf.DUMMYFUNCTION("""COMPUTED_VALUE"""),"India")</f>
        <v>India</v>
      </c>
      <c r="C1612" s="1">
        <f ca="1">IFERROR(__xludf.DUMMYFUNCTION("""COMPUTED_VALUE"""),721302)</f>
        <v>721302</v>
      </c>
      <c r="D1612" s="1" t="str">
        <f ca="1">IFERROR(__xludf.DUMMYFUNCTION("""COMPUTED_VALUE"""),"Male")</f>
        <v>Male</v>
      </c>
      <c r="E1612" s="1" t="str">
        <f ca="1">IFERROR(__xludf.DUMMYFUNCTION("""COMPUTED_VALUE"""),"Social Media like LinkedIn")</f>
        <v>Social Media like LinkedIn</v>
      </c>
      <c r="F1612" s="1" t="str">
        <f ca="1">IFERROR(__xludf.DUMMYFUNCTION("""COMPUTED_VALUE"""),"No I would not be pursuing Higher Education outside of India")</f>
        <v>No I would not be pursuing Higher Education outside of India</v>
      </c>
      <c r="G1612" s="1" t="str">
        <f ca="1">IFERROR(__xludf.DUMMYFUNCTION("""COMPUTED_VALUE"""),"This will be hard to do, but if it is the right company I would try")</f>
        <v>This will be hard to do, but if it is the right company I would try</v>
      </c>
      <c r="H1612" s="1" t="str">
        <f ca="1">IFERROR(__xludf.DUMMYFUNCTION("""COMPUTED_VALUE"""),"No")</f>
        <v>No</v>
      </c>
      <c r="I1612" s="1" t="str">
        <f ca="1">IFERROR(__xludf.DUMMYFUNCTION("""COMPUTED_VALUE"""),"Will NOT work for them")</f>
        <v>Will NOT work for them</v>
      </c>
      <c r="J1612" s="1">
        <f ca="1">IFERROR(__xludf.DUMMYFUNCTION("""COMPUTED_VALUE"""),6)</f>
        <v>6</v>
      </c>
      <c r="K1612" s="1" t="str">
        <f ca="1">IFERROR(__xludf.DUMMYFUNCTION("""COMPUTED_VALUE"""),"Every Day Office Environment")</f>
        <v>Every Day Office Environment</v>
      </c>
      <c r="L16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1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612" s="1" t="str">
        <f ca="1">IFERROR(__xludf.DUMMYFUNCTION("""COMPUTED_VALUE"""),"Design and Creative strategy in any company, Manage and drive End-to-End Projects or Products, Build and develop a Team, Manufacturing / Oil and Gas/ Construction / Hard Physical Work related")</f>
        <v>Design and Creative strategy in any company, Manage and drive End-to-End Projects or Products, Build and develop a Team, Manufacturing / Oil and Gas/ Construction / Hard Physical Work related</v>
      </c>
      <c r="O1612" s="1" t="str">
        <f ca="1">IFERROR(__xludf.DUMMYFUNCTION("""COMPUTED_VALUE"""),"Manager who sets goal and helps me achieve it")</f>
        <v>Manager who sets goal and helps me achieve it</v>
      </c>
      <c r="P1612" s="1" t="str">
        <f ca="1">IFERROR(__xludf.DUMMYFUNCTION("""COMPUTED_VALUE"""),"Work with 5 to 6 people in my team")</f>
        <v>Work with 5 to 6 people in my team</v>
      </c>
      <c r="Q1612" s="1" t="str">
        <f ca="1">IFERROR(__xludf.DUMMYFUNCTION("""COMPUTED_VALUE"""),"Yes, I Understand this is gonna happen everywhere")</f>
        <v>Yes, I Understand this is gonna happen everywhere</v>
      </c>
      <c r="R1612" s="1" t="str">
        <f ca="1">IFERROR(__xludf.DUMMYFUNCTION("""COMPUTED_VALUE"""),"This will be hard to do, but if it is the right company I would try")</f>
        <v>This will be hard to do, but if it is the right company I would try</v>
      </c>
      <c r="S1612" s="1"/>
    </row>
    <row r="1613" spans="1:19" ht="12.5" x14ac:dyDescent="0.25">
      <c r="A1613" s="2">
        <f ca="1">IFERROR(__xludf.DUMMYFUNCTION("""COMPUTED_VALUE"""),45045.931969537)</f>
        <v>45045.931969537</v>
      </c>
      <c r="B1613" s="1" t="str">
        <f ca="1">IFERROR(__xludf.DUMMYFUNCTION("""COMPUTED_VALUE"""),"India")</f>
        <v>India</v>
      </c>
      <c r="C1613" s="1">
        <f ca="1">IFERROR(__xludf.DUMMYFUNCTION("""COMPUTED_VALUE"""),452001)</f>
        <v>452001</v>
      </c>
      <c r="D1613" s="1" t="str">
        <f ca="1">IFERROR(__xludf.DUMMYFUNCTION("""COMPUTED_VALUE"""),"Female")</f>
        <v>Female</v>
      </c>
      <c r="E1613" s="1" t="str">
        <f ca="1">IFERROR(__xludf.DUMMYFUNCTION("""COMPUTED_VALUE"""),"People who have changed the world for better")</f>
        <v>People who have changed the world for better</v>
      </c>
      <c r="F1613" s="1" t="str">
        <f ca="1">IFERROR(__xludf.DUMMYFUNCTION("""COMPUTED_VALUE"""),"No I would not be pursuing Higher Education outside of India")</f>
        <v>No I would not be pursuing Higher Education outside of India</v>
      </c>
      <c r="G1613" s="1" t="str">
        <f ca="1">IFERROR(__xludf.DUMMYFUNCTION("""COMPUTED_VALUE"""),"This will be hard to do, but if it is the right company I would try")</f>
        <v>This will be hard to do, but if it is the right company I would try</v>
      </c>
      <c r="H1613" s="1" t="str">
        <f ca="1">IFERROR(__xludf.DUMMYFUNCTION("""COMPUTED_VALUE"""),"No")</f>
        <v>No</v>
      </c>
      <c r="I1613" s="1" t="str">
        <f ca="1">IFERROR(__xludf.DUMMYFUNCTION("""COMPUTED_VALUE"""),"Will NOT work for them")</f>
        <v>Will NOT work for them</v>
      </c>
      <c r="J1613" s="1">
        <f ca="1">IFERROR(__xludf.DUMMYFUNCTION("""COMPUTED_VALUE"""),3)</f>
        <v>3</v>
      </c>
      <c r="K1613" s="1" t="str">
        <f ca="1">IFERROR(__xludf.DUMMYFUNCTION("""COMPUTED_VALUE"""),"Hybrid Working Environment with less than 3 days a month at office")</f>
        <v>Hybrid Working Environment with less than 3 days a month at office</v>
      </c>
      <c r="L16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1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13" s="1" t="str">
        <f ca="1">IFERROR(__xludf.DUMMYFUNCTION("""COMPUTED_VALUE"""),"Business Operations in any organization, Build and develop a Team, Look deeply into Data and generate insights, Become a content Creator in some platform")</f>
        <v>Business Operations in any organization, Build and develop a Team, Look deeply into Data and generate insights, Become a content Creator in some platform</v>
      </c>
      <c r="O1613" s="1" t="str">
        <f ca="1">IFERROR(__xludf.DUMMYFUNCTION("""COMPUTED_VALUE"""),"Manager who explains what is expected, sets a goal and helps achieve it")</f>
        <v>Manager who explains what is expected, sets a goal and helps achieve it</v>
      </c>
      <c r="P1613" s="1" t="str">
        <f ca="1">IFERROR(__xludf.DUMMYFUNCTION("""COMPUTED_VALUE"""),"Work with 5 to 6 people in my team")</f>
        <v>Work with 5 to 6 people in my team</v>
      </c>
      <c r="Q1613" s="1" t="str">
        <f ca="1">IFERROR(__xludf.DUMMYFUNCTION("""COMPUTED_VALUE"""),"Yes, I Understand this is gonna happen everywhere")</f>
        <v>Yes, I Understand this is gonna happen everywhere</v>
      </c>
      <c r="R1613" s="1" t="str">
        <f ca="1">IFERROR(__xludf.DUMMYFUNCTION("""COMPUTED_VALUE"""),"This will be hard to do, but if it is the right company I would try")</f>
        <v>This will be hard to do, but if it is the right company I would try</v>
      </c>
      <c r="S1613" s="1"/>
    </row>
    <row r="1614" spans="1:19" ht="12.5" x14ac:dyDescent="0.25">
      <c r="A1614" s="2">
        <f ca="1">IFERROR(__xludf.DUMMYFUNCTION("""COMPUTED_VALUE"""),45045.9324794444)</f>
        <v>45045.932479444396</v>
      </c>
      <c r="B1614" s="1" t="str">
        <f ca="1">IFERROR(__xludf.DUMMYFUNCTION("""COMPUTED_VALUE"""),"India")</f>
        <v>India</v>
      </c>
      <c r="C1614" s="1">
        <f ca="1">IFERROR(__xludf.DUMMYFUNCTION("""COMPUTED_VALUE"""),828302)</f>
        <v>828302</v>
      </c>
      <c r="D1614" s="1" t="str">
        <f ca="1">IFERROR(__xludf.DUMMYFUNCTION("""COMPUTED_VALUE"""),"Male")</f>
        <v>Male</v>
      </c>
      <c r="E1614" s="1" t="str">
        <f ca="1">IFERROR(__xludf.DUMMYFUNCTION("""COMPUTED_VALUE"""),"Social Media like LinkedIn")</f>
        <v>Social Media like LinkedIn</v>
      </c>
      <c r="F1614" s="1" t="str">
        <f ca="1">IFERROR(__xludf.DUMMYFUNCTION("""COMPUTED_VALUE"""),"No I would not be pursuing Higher Education outside of India")</f>
        <v>No I would not be pursuing Higher Education outside of India</v>
      </c>
      <c r="G1614" s="1" t="str">
        <f ca="1">IFERROR(__xludf.DUMMYFUNCTION("""COMPUTED_VALUE"""),"This will be hard to do, but if it is the right company I would try")</f>
        <v>This will be hard to do, but if it is the right company I would try</v>
      </c>
      <c r="H1614" s="1" t="str">
        <f ca="1">IFERROR(__xludf.DUMMYFUNCTION("""COMPUTED_VALUE"""),"Yes")</f>
        <v>Yes</v>
      </c>
      <c r="I1614" s="1" t="str">
        <f ca="1">IFERROR(__xludf.DUMMYFUNCTION("""COMPUTED_VALUE"""),"Will NOT work for them")</f>
        <v>Will NOT work for them</v>
      </c>
      <c r="J1614" s="1">
        <f ca="1">IFERROR(__xludf.DUMMYFUNCTION("""COMPUTED_VALUE"""),6)</f>
        <v>6</v>
      </c>
      <c r="K1614" s="1" t="str">
        <f ca="1">IFERROR(__xludf.DUMMYFUNCTION("""COMPUTED_VALUE"""),"Fully Remote with Options to travel as and when needed")</f>
        <v>Fully Remote with Options to travel as and when needed</v>
      </c>
      <c r="L1614" s="1" t="str">
        <f ca="1">IFERROR(__xludf.DUMMYFUNCTION("""COMPUTED_VALUE"""),"Employer who appreciates learning and enables that environment")</f>
        <v>Employer who appreciates learning and enables that environment</v>
      </c>
      <c r="M161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614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1614" s="1" t="str">
        <f ca="1">IFERROR(__xludf.DUMMYFUNCTION("""COMPUTED_VALUE"""),"Manager who clearly describes what she/he needs")</f>
        <v>Manager who clearly describes what she/he needs</v>
      </c>
      <c r="P1614" s="1" t="str">
        <f ca="1">IFERROR(__xludf.DUMMYFUNCTION("""COMPUTED_VALUE"""),"Work with 5 to 6 people in my team")</f>
        <v>Work with 5 to 6 people in my team</v>
      </c>
      <c r="Q1614" s="1" t="str">
        <f ca="1">IFERROR(__xludf.DUMMYFUNCTION("""COMPUTED_VALUE"""),"Yes")</f>
        <v>Yes</v>
      </c>
      <c r="R1614" s="1" t="str">
        <f ca="1">IFERROR(__xludf.DUMMYFUNCTION("""COMPUTED_VALUE"""),"This will be hard to do, but if it is the right company I would try")</f>
        <v>This will be hard to do, but if it is the right company I would try</v>
      </c>
      <c r="S1614" s="1"/>
    </row>
    <row r="1615" spans="1:19" ht="12.5" x14ac:dyDescent="0.25">
      <c r="A1615" s="2">
        <f ca="1">IFERROR(__xludf.DUMMYFUNCTION("""COMPUTED_VALUE"""),45045.935455405)</f>
        <v>45045.935455405001</v>
      </c>
      <c r="B1615" s="1" t="str">
        <f ca="1">IFERROR(__xludf.DUMMYFUNCTION("""COMPUTED_VALUE"""),"India")</f>
        <v>India</v>
      </c>
      <c r="C1615" s="1">
        <f ca="1">IFERROR(__xludf.DUMMYFUNCTION("""COMPUTED_VALUE"""),505001)</f>
        <v>505001</v>
      </c>
      <c r="D1615" s="1" t="str">
        <f ca="1">IFERROR(__xludf.DUMMYFUNCTION("""COMPUTED_VALUE"""),"Male")</f>
        <v>Male</v>
      </c>
      <c r="E1615" s="1" t="str">
        <f ca="1">IFERROR(__xludf.DUMMYFUNCTION("""COMPUTED_VALUE"""),"My Parents")</f>
        <v>My Parents</v>
      </c>
      <c r="F1615" s="1" t="str">
        <f ca="1">IFERROR(__xludf.DUMMYFUNCTION("""COMPUTED_VALUE"""),"Yes, I will earn and do that")</f>
        <v>Yes, I will earn and do that</v>
      </c>
      <c r="G1615" s="1" t="str">
        <f ca="1">IFERROR(__xludf.DUMMYFUNCTION("""COMPUTED_VALUE"""),"Will work for 3 years or more")</f>
        <v>Will work for 3 years or more</v>
      </c>
      <c r="H1615" s="1" t="str">
        <f ca="1">IFERROR(__xludf.DUMMYFUNCTION("""COMPUTED_VALUE"""),"Yes")</f>
        <v>Yes</v>
      </c>
      <c r="I1615" s="1" t="str">
        <f ca="1">IFERROR(__xludf.DUMMYFUNCTION("""COMPUTED_VALUE"""),"Will NOT work for them")</f>
        <v>Will NOT work for them</v>
      </c>
      <c r="J1615" s="1">
        <f ca="1">IFERROR(__xludf.DUMMYFUNCTION("""COMPUTED_VALUE"""),7)</f>
        <v>7</v>
      </c>
      <c r="K1615" s="1" t="str">
        <f ca="1">IFERROR(__xludf.DUMMYFUNCTION("""COMPUTED_VALUE"""),"Every Day Office Environment")</f>
        <v>Every Day Office Environment</v>
      </c>
      <c r="L16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1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15" s="1" t="str">
        <f ca="1">IFERROR(__xludf.DUMMYFUNCTION("""COMPUTED_VALUE"""),"Design and Develop amazing software, Work as a freelancer and do my thing my way, Become a content Creator in some platform, I Want to sell things/Sales")</f>
        <v>Design and Develop amazing software, Work as a freelancer and do my thing my way, Become a content Creator in some platform, I Want to sell things/Sales</v>
      </c>
      <c r="O1615" s="1" t="str">
        <f ca="1">IFERROR(__xludf.DUMMYFUNCTION("""COMPUTED_VALUE"""),"Manager who sets unrealistic targets")</f>
        <v>Manager who sets unrealistic targets</v>
      </c>
      <c r="P1615" s="1" t="str">
        <f ca="1">IFERROR(__xludf.DUMMYFUNCTION("""COMPUTED_VALUE"""),"Work with 7 to 10 or more people in my team")</f>
        <v>Work with 7 to 10 or more people in my team</v>
      </c>
      <c r="Q1615" s="1" t="str">
        <f ca="1">IFERROR(__xludf.DUMMYFUNCTION("""COMPUTED_VALUE"""),"Yes, I Understand this is gonna happen everywhere")</f>
        <v>Yes, I Understand this is gonna happen everywhere</v>
      </c>
      <c r="R1615" s="1" t="str">
        <f ca="1">IFERROR(__xludf.DUMMYFUNCTION("""COMPUTED_VALUE"""),"This will be hard to do, but if it is the right company I would try")</f>
        <v>This will be hard to do, but if it is the right company I would try</v>
      </c>
      <c r="S1615" s="1"/>
    </row>
    <row r="1616" spans="1:19" ht="12.5" x14ac:dyDescent="0.25">
      <c r="A1616" s="2">
        <f ca="1">IFERROR(__xludf.DUMMYFUNCTION("""COMPUTED_VALUE"""),45045.942665625)</f>
        <v>45045.942665625</v>
      </c>
      <c r="B1616" s="1" t="str">
        <f ca="1">IFERROR(__xludf.DUMMYFUNCTION("""COMPUTED_VALUE"""),"India")</f>
        <v>India</v>
      </c>
      <c r="C1616" s="1">
        <f ca="1">IFERROR(__xludf.DUMMYFUNCTION("""COMPUTED_VALUE"""),576101)</f>
        <v>576101</v>
      </c>
      <c r="D1616" s="1" t="str">
        <f ca="1">IFERROR(__xludf.DUMMYFUNCTION("""COMPUTED_VALUE"""),"Female")</f>
        <v>Female</v>
      </c>
      <c r="E1616" s="1" t="str">
        <f ca="1">IFERROR(__xludf.DUMMYFUNCTION("""COMPUTED_VALUE"""),"People from my circle, but not family members")</f>
        <v>People from my circle, but not family members</v>
      </c>
      <c r="F1616" s="1" t="str">
        <f ca="1">IFERROR(__xludf.DUMMYFUNCTION("""COMPUTED_VALUE"""),"Yes, I will earn and do that")</f>
        <v>Yes, I will earn and do that</v>
      </c>
      <c r="G1616" s="1" t="str">
        <f ca="1">IFERROR(__xludf.DUMMYFUNCTION("""COMPUTED_VALUE"""),"Will work for 3 years or more")</f>
        <v>Will work for 3 years or more</v>
      </c>
      <c r="H1616" s="1" t="str">
        <f ca="1">IFERROR(__xludf.DUMMYFUNCTION("""COMPUTED_VALUE"""),"No")</f>
        <v>No</v>
      </c>
      <c r="I1616" s="1" t="str">
        <f ca="1">IFERROR(__xludf.DUMMYFUNCTION("""COMPUTED_VALUE"""),"Will NOT work for them")</f>
        <v>Will NOT work for them</v>
      </c>
      <c r="J1616" s="1">
        <f ca="1">IFERROR(__xludf.DUMMYFUNCTION("""COMPUTED_VALUE"""),2)</f>
        <v>2</v>
      </c>
      <c r="K1616" s="1" t="str">
        <f ca="1">IFERROR(__xludf.DUMMYFUNCTION("""COMPUTED_VALUE"""),"Hybrid Working Environment with more than 15 days a month at office")</f>
        <v>Hybrid Working Environment with more than 15 days a month at office</v>
      </c>
      <c r="L1616" s="1" t="str">
        <f ca="1">IFERROR(__xludf.DUMMYFUNCTION("""COMPUTED_VALUE"""),"Employer who rewards learning and enables that environment")</f>
        <v>Employer who rewards learning and enables that environment</v>
      </c>
      <c r="M161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16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6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616" s="1" t="str">
        <f ca="1">IFERROR(__xludf.DUMMYFUNCTION("""COMPUTED_VALUE"""),"Work with 5 to 6 people in my team")</f>
        <v>Work with 5 to 6 people in my team</v>
      </c>
      <c r="Q1616" s="1" t="str">
        <f ca="1">IFERROR(__xludf.DUMMYFUNCTION("""COMPUTED_VALUE"""),"Yes, I Understand this is gonna happen everywhere")</f>
        <v>Yes, I Understand this is gonna happen everywhere</v>
      </c>
      <c r="R1616" s="1" t="str">
        <f ca="1">IFERROR(__xludf.DUMMYFUNCTION("""COMPUTED_VALUE"""),"This will be hard to do, but if it is the right company I would try")</f>
        <v>This will be hard to do, but if it is the right company I would try</v>
      </c>
      <c r="S1616" s="1"/>
    </row>
    <row r="1617" spans="1:19" ht="12.5" x14ac:dyDescent="0.25">
      <c r="A1617" s="2">
        <f ca="1">IFERROR(__xludf.DUMMYFUNCTION("""COMPUTED_VALUE"""),45045.9480668865)</f>
        <v>45045.9480668865</v>
      </c>
      <c r="B1617" s="1" t="str">
        <f ca="1">IFERROR(__xludf.DUMMYFUNCTION("""COMPUTED_VALUE"""),"India")</f>
        <v>India</v>
      </c>
      <c r="C1617" s="1">
        <f ca="1">IFERROR(__xludf.DUMMYFUNCTION("""COMPUTED_VALUE"""),515002)</f>
        <v>515002</v>
      </c>
      <c r="D1617" s="1" t="str">
        <f ca="1">IFERROR(__xludf.DUMMYFUNCTION("""COMPUTED_VALUE"""),"Female")</f>
        <v>Female</v>
      </c>
      <c r="E1617" s="1" t="str">
        <f ca="1">IFERROR(__xludf.DUMMYFUNCTION("""COMPUTED_VALUE"""),"My Parents")</f>
        <v>My Parents</v>
      </c>
      <c r="F1617" s="1" t="str">
        <f ca="1">IFERROR(__xludf.DUMMYFUNCTION("""COMPUTED_VALUE"""),"Yes, I will earn and do that")</f>
        <v>Yes, I will earn and do that</v>
      </c>
      <c r="G1617" s="1" t="str">
        <f ca="1">IFERROR(__xludf.DUMMYFUNCTION("""COMPUTED_VALUE"""),"Will work for 3 years or more")</f>
        <v>Will work for 3 years or more</v>
      </c>
      <c r="H1617" s="1" t="str">
        <f ca="1">IFERROR(__xludf.DUMMYFUNCTION("""COMPUTED_VALUE"""),"No")</f>
        <v>No</v>
      </c>
      <c r="I1617" s="1" t="str">
        <f ca="1">IFERROR(__xludf.DUMMYFUNCTION("""COMPUTED_VALUE"""),"Will work for them")</f>
        <v>Will work for them</v>
      </c>
      <c r="J1617" s="1">
        <f ca="1">IFERROR(__xludf.DUMMYFUNCTION("""COMPUTED_VALUE"""),5)</f>
        <v>5</v>
      </c>
      <c r="K1617" s="1" t="str">
        <f ca="1">IFERROR(__xludf.DUMMYFUNCTION("""COMPUTED_VALUE"""),"Hybrid Working Environment with less than 3 days a month at office")</f>
        <v>Hybrid Working Environment with less than 3 days a month at office</v>
      </c>
      <c r="L1617" s="1" t="str">
        <f ca="1">IFERROR(__xludf.DUMMYFUNCTION("""COMPUTED_VALUE"""),"Employer who appreciates learning and enables that environment")</f>
        <v>Employer who appreciates learning and enables that environment</v>
      </c>
      <c r="M161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17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16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617" s="1" t="str">
        <f ca="1">IFERROR(__xludf.DUMMYFUNCTION("""COMPUTED_VALUE"""),"Work with 7 to 10 or more people in my team")</f>
        <v>Work with 7 to 10 or more people in my team</v>
      </c>
      <c r="Q1617" s="1" t="str">
        <f ca="1">IFERROR(__xludf.DUMMYFUNCTION("""COMPUTED_VALUE"""),"Yes, I Understand this is gonna happen everywhere")</f>
        <v>Yes, I Understand this is gonna happen everywhere</v>
      </c>
      <c r="R1617" s="1" t="str">
        <f ca="1">IFERROR(__xludf.DUMMYFUNCTION("""COMPUTED_VALUE"""),"This will be hard to do, but if it is the right company I would try")</f>
        <v>This will be hard to do, but if it is the right company I would try</v>
      </c>
      <c r="S1617" s="1"/>
    </row>
    <row r="1618" spans="1:19" ht="12.5" x14ac:dyDescent="0.25">
      <c r="A1618" s="2">
        <f ca="1">IFERROR(__xludf.DUMMYFUNCTION("""COMPUTED_VALUE"""),45045.9493373611)</f>
        <v>45045.949337361097</v>
      </c>
      <c r="B1618" s="1" t="str">
        <f ca="1">IFERROR(__xludf.DUMMYFUNCTION("""COMPUTED_VALUE"""),"India")</f>
        <v>India</v>
      </c>
      <c r="C1618" s="1">
        <f ca="1">IFERROR(__xludf.DUMMYFUNCTION("""COMPUTED_VALUE"""),518003)</f>
        <v>518003</v>
      </c>
      <c r="D1618" s="1" t="str">
        <f ca="1">IFERROR(__xludf.DUMMYFUNCTION("""COMPUTED_VALUE"""),"Female")</f>
        <v>Female</v>
      </c>
      <c r="E1618" s="1" t="str">
        <f ca="1">IFERROR(__xludf.DUMMYFUNCTION("""COMPUTED_VALUE"""),"My Parents")</f>
        <v>My Parents</v>
      </c>
      <c r="F1618" s="1" t="str">
        <f ca="1">IFERROR(__xludf.DUMMYFUNCTION("""COMPUTED_VALUE"""),"No I would not be pursuing Higher Education outside of India")</f>
        <v>No I would not be pursuing Higher Education outside of India</v>
      </c>
      <c r="G1618" s="1" t="str">
        <f ca="1">IFERROR(__xludf.DUMMYFUNCTION("""COMPUTED_VALUE"""),"This will be hard to do, but if it is the right company I would try")</f>
        <v>This will be hard to do, but if it is the right company I would try</v>
      </c>
      <c r="H1618" s="1" t="str">
        <f ca="1">IFERROR(__xludf.DUMMYFUNCTION("""COMPUTED_VALUE"""),"No")</f>
        <v>No</v>
      </c>
      <c r="I1618" s="1" t="str">
        <f ca="1">IFERROR(__xludf.DUMMYFUNCTION("""COMPUTED_VALUE"""),"Will work for them")</f>
        <v>Will work for them</v>
      </c>
      <c r="J1618" s="1">
        <f ca="1">IFERROR(__xludf.DUMMYFUNCTION("""COMPUTED_VALUE"""),7)</f>
        <v>7</v>
      </c>
      <c r="K1618" s="1" t="str">
        <f ca="1">IFERROR(__xludf.DUMMYFUNCTION("""COMPUTED_VALUE"""),"Fully Remote with Options to travel as and when needed")</f>
        <v>Fully Remote with Options to travel as and when needed</v>
      </c>
      <c r="L16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1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18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618" s="1" t="str">
        <f ca="1">IFERROR(__xludf.DUMMYFUNCTION("""COMPUTED_VALUE"""),"Manager who sets goal and helps me achieve it")</f>
        <v>Manager who sets goal and helps me achieve it</v>
      </c>
      <c r="P1618" s="1" t="str">
        <f ca="1">IFERROR(__xludf.DUMMYFUNCTION("""COMPUTED_VALUE"""),"Work with 5 to 6 people in my team")</f>
        <v>Work with 5 to 6 people in my team</v>
      </c>
      <c r="Q1618" s="1" t="str">
        <f ca="1">IFERROR(__xludf.DUMMYFUNCTION("""COMPUTED_VALUE"""),"Yes, I Understand this is gonna happen everywhere")</f>
        <v>Yes, I Understand this is gonna happen everywhere</v>
      </c>
      <c r="R1618" s="1" t="str">
        <f ca="1">IFERROR(__xludf.DUMMYFUNCTION("""COMPUTED_VALUE"""),"This will be hard to do, but if it is the right company I would try")</f>
        <v>This will be hard to do, but if it is the right company I would try</v>
      </c>
      <c r="S1618" s="1"/>
    </row>
    <row r="1619" spans="1:19" ht="12.5" x14ac:dyDescent="0.25">
      <c r="A1619" s="2">
        <f ca="1">IFERROR(__xludf.DUMMYFUNCTION("""COMPUTED_VALUE"""),45045.9535823032)</f>
        <v>45045.953582303198</v>
      </c>
      <c r="B1619" s="1" t="str">
        <f ca="1">IFERROR(__xludf.DUMMYFUNCTION("""COMPUTED_VALUE"""),"India")</f>
        <v>India</v>
      </c>
      <c r="C1619" s="1">
        <f ca="1">IFERROR(__xludf.DUMMYFUNCTION("""COMPUTED_VALUE"""),524004)</f>
        <v>524004</v>
      </c>
      <c r="D1619" s="1" t="str">
        <f ca="1">IFERROR(__xludf.DUMMYFUNCTION("""COMPUTED_VALUE"""),"Female")</f>
        <v>Female</v>
      </c>
      <c r="E1619" s="1" t="str">
        <f ca="1">IFERROR(__xludf.DUMMYFUNCTION("""COMPUTED_VALUE"""),"My Parents")</f>
        <v>My Parents</v>
      </c>
      <c r="F1619" s="1" t="str">
        <f ca="1">IFERROR(__xludf.DUMMYFUNCTION("""COMPUTED_VALUE"""),"Yes, I will earn and do that")</f>
        <v>Yes, I will earn and do that</v>
      </c>
      <c r="G1619" s="1" t="str">
        <f ca="1">IFERROR(__xludf.DUMMYFUNCTION("""COMPUTED_VALUE"""),"This will be hard to do, but if it is the right company I would try")</f>
        <v>This will be hard to do, but if it is the right company I would try</v>
      </c>
      <c r="H1619" s="1" t="str">
        <f ca="1">IFERROR(__xludf.DUMMYFUNCTION("""COMPUTED_VALUE"""),"No")</f>
        <v>No</v>
      </c>
      <c r="I1619" s="1" t="str">
        <f ca="1">IFERROR(__xludf.DUMMYFUNCTION("""COMPUTED_VALUE"""),"Will work for them")</f>
        <v>Will work for them</v>
      </c>
      <c r="J1619" s="1">
        <f ca="1">IFERROR(__xludf.DUMMYFUNCTION("""COMPUTED_VALUE"""),10)</f>
        <v>10</v>
      </c>
      <c r="K1619" s="1" t="str">
        <f ca="1">IFERROR(__xludf.DUMMYFUNCTION("""COMPUTED_VALUE"""),"Every Day Office Environment")</f>
        <v>Every Day Office Environment</v>
      </c>
      <c r="L1619" s="1" t="str">
        <f ca="1">IFERROR(__xludf.DUMMYFUNCTION("""COMPUTED_VALUE"""),"Employer who appreciates learning and enables that environment")</f>
        <v>Employer who appreciates learning and enables that environment</v>
      </c>
      <c r="M161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19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1619" s="1" t="str">
        <f ca="1">IFERROR(__xludf.DUMMYFUNCTION("""COMPUTED_VALUE"""),"Manager who clearly describes what she/he needs")</f>
        <v>Manager who clearly describes what she/he needs</v>
      </c>
      <c r="P1619" s="1" t="str">
        <f ca="1">IFERROR(__xludf.DUMMYFUNCTION("""COMPUTED_VALUE"""),"Work with 5 to 6 people in my team")</f>
        <v>Work with 5 to 6 people in my team</v>
      </c>
      <c r="Q1619" s="1" t="str">
        <f ca="1">IFERROR(__xludf.DUMMYFUNCTION("""COMPUTED_VALUE"""),"No")</f>
        <v>No</v>
      </c>
      <c r="R1619" s="1" t="str">
        <f ca="1">IFERROR(__xludf.DUMMYFUNCTION("""COMPUTED_VALUE"""),"This will be hard to do, but if it is the right company I would try")</f>
        <v>This will be hard to do, but if it is the right company I would try</v>
      </c>
      <c r="S1619" s="1"/>
    </row>
    <row r="1620" spans="1:19" ht="12.5" x14ac:dyDescent="0.25">
      <c r="A1620" s="2">
        <f ca="1">IFERROR(__xludf.DUMMYFUNCTION("""COMPUTED_VALUE"""),45045.9546655208)</f>
        <v>45045.954665520803</v>
      </c>
      <c r="B1620" s="1" t="str">
        <f ca="1">IFERROR(__xludf.DUMMYFUNCTION("""COMPUTED_VALUE"""),"India")</f>
        <v>India</v>
      </c>
      <c r="C1620" s="1">
        <f ca="1">IFERROR(__xludf.DUMMYFUNCTION("""COMPUTED_VALUE"""),516434)</f>
        <v>516434</v>
      </c>
      <c r="D1620" s="1" t="str">
        <f ca="1">IFERROR(__xludf.DUMMYFUNCTION("""COMPUTED_VALUE"""),"Female")</f>
        <v>Female</v>
      </c>
      <c r="E1620" s="1" t="str">
        <f ca="1">IFERROR(__xludf.DUMMYFUNCTION("""COMPUTED_VALUE"""),"My Parents")</f>
        <v>My Parents</v>
      </c>
      <c r="F1620" s="1" t="str">
        <f ca="1">IFERROR(__xludf.DUMMYFUNCTION("""COMPUTED_VALUE"""),"No I would not be pursuing Higher Education outside of India")</f>
        <v>No I would not be pursuing Higher Education outside of India</v>
      </c>
      <c r="G1620" s="1" t="str">
        <f ca="1">IFERROR(__xludf.DUMMYFUNCTION("""COMPUTED_VALUE"""),"Will work for 3 years or more")</f>
        <v>Will work for 3 years or more</v>
      </c>
      <c r="H1620" s="1" t="str">
        <f ca="1">IFERROR(__xludf.DUMMYFUNCTION("""COMPUTED_VALUE"""),"No")</f>
        <v>No</v>
      </c>
      <c r="I1620" s="1" t="str">
        <f ca="1">IFERROR(__xludf.DUMMYFUNCTION("""COMPUTED_VALUE"""),"Will NOT work for them")</f>
        <v>Will NOT work for them</v>
      </c>
      <c r="J1620" s="1">
        <f ca="1">IFERROR(__xludf.DUMMYFUNCTION("""COMPUTED_VALUE"""),2)</f>
        <v>2</v>
      </c>
      <c r="K1620" s="1" t="str">
        <f ca="1">IFERROR(__xludf.DUMMYFUNCTION("""COMPUTED_VALUE"""),"Every Day Office Environment")</f>
        <v>Every Day Office Environment</v>
      </c>
      <c r="L1620" s="1" t="str">
        <f ca="1">IFERROR(__xludf.DUMMYFUNCTION("""COMPUTED_VALUE"""),"Employer who appreciates learning and enables that environment")</f>
        <v>Employer who appreciates learning and enables that environment</v>
      </c>
      <c r="M162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620" s="1" t="str">
        <f ca="1">IFERROR(__xludf.DUMMYFUNCTION("""COMPUTED_VALUE"""),"Manage and drive End-to-End Projects or Products, Build and develop a Team, Design and Develop amazing software, An Artificial Intelligence Specialist / Talking to Robots")</f>
        <v>Manage and drive End-to-End Projects or Products, Build and develop a Team, Design and Develop amazing software, An Artificial Intelligence Specialist / Talking to Robots</v>
      </c>
      <c r="O1620" s="1" t="str">
        <f ca="1">IFERROR(__xludf.DUMMYFUNCTION("""COMPUTED_VALUE"""),"Manager who explains what is expected, sets a goal and helps achieve it")</f>
        <v>Manager who explains what is expected, sets a goal and helps achieve it</v>
      </c>
      <c r="P1620" s="1" t="str">
        <f ca="1">IFERROR(__xludf.DUMMYFUNCTION("""COMPUTED_VALUE"""),"Work with 5 to 6 people in my team")</f>
        <v>Work with 5 to 6 people in my team</v>
      </c>
      <c r="Q1620" s="1" t="str">
        <f ca="1">IFERROR(__xludf.DUMMYFUNCTION("""COMPUTED_VALUE"""),"Yes, I Understand this is gonna happen everywhere")</f>
        <v>Yes, I Understand this is gonna happen everywhere</v>
      </c>
      <c r="R1620" s="1" t="str">
        <f ca="1">IFERROR(__xludf.DUMMYFUNCTION("""COMPUTED_VALUE"""),"This will be hard to do, but if it is the right company I would try")</f>
        <v>This will be hard to do, but if it is the right company I would try</v>
      </c>
      <c r="S1620" s="1"/>
    </row>
    <row r="1621" spans="1:19" ht="12.5" x14ac:dyDescent="0.25">
      <c r="A1621" s="2">
        <f ca="1">IFERROR(__xludf.DUMMYFUNCTION("""COMPUTED_VALUE"""),45045.9579409143)</f>
        <v>45045.957940914297</v>
      </c>
      <c r="B1621" s="1" t="str">
        <f ca="1">IFERROR(__xludf.DUMMYFUNCTION("""COMPUTED_VALUE"""),"Others")</f>
        <v>Others</v>
      </c>
      <c r="C1621" s="1" t="str">
        <f ca="1">IFERROR(__xludf.DUMMYFUNCTION("""COMPUTED_VALUE"""),"0000")</f>
        <v>0000</v>
      </c>
      <c r="D1621" s="1" t="str">
        <f ca="1">IFERROR(__xludf.DUMMYFUNCTION("""COMPUTED_VALUE"""),"Female")</f>
        <v>Female</v>
      </c>
      <c r="E1621" s="1" t="str">
        <f ca="1">IFERROR(__xludf.DUMMYFUNCTION("""COMPUTED_VALUE"""),"People who have changed the world for better")</f>
        <v>People who have changed the world for better</v>
      </c>
      <c r="F1621" s="1" t="str">
        <f ca="1">IFERROR(__xludf.DUMMYFUNCTION("""COMPUTED_VALUE"""),"No I would not be pursuing Higher Education outside of India")</f>
        <v>No I would not be pursuing Higher Education outside of India</v>
      </c>
      <c r="G1621" s="1" t="str">
        <f ca="1">IFERROR(__xludf.DUMMYFUNCTION("""COMPUTED_VALUE"""),"This will be hard to do, but if it is the right company I would try")</f>
        <v>This will be hard to do, but if it is the right company I would try</v>
      </c>
      <c r="H1621" s="1" t="str">
        <f ca="1">IFERROR(__xludf.DUMMYFUNCTION("""COMPUTED_VALUE"""),"No")</f>
        <v>No</v>
      </c>
      <c r="I1621" s="1" t="str">
        <f ca="1">IFERROR(__xludf.DUMMYFUNCTION("""COMPUTED_VALUE"""),"Will NOT work for them")</f>
        <v>Will NOT work for them</v>
      </c>
      <c r="J1621" s="1">
        <f ca="1">IFERROR(__xludf.DUMMYFUNCTION("""COMPUTED_VALUE"""),4)</f>
        <v>4</v>
      </c>
      <c r="K1621" s="1" t="str">
        <f ca="1">IFERROR(__xludf.DUMMYFUNCTION("""COMPUTED_VALUE"""),"Hybrid Working Environment with more than 15 days a month at office")</f>
        <v>Hybrid Working Environment with more than 15 days a month at office</v>
      </c>
      <c r="L1621" s="1" t="str">
        <f ca="1">IFERROR(__xludf.DUMMYFUNCTION("""COMPUTED_VALUE"""),"Employer who appreciates learning and enables that environment")</f>
        <v>Employer who appreciates learning and enables that environment</v>
      </c>
      <c r="M162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621" s="1" t="str">
        <f ca="1">IFERROR(__xludf.DUMMYFUNCTION("""COMPUTED_VALUE"""),"Business Operations in any organization, Build and develop a Team, Design and Develop amazing software, Look deeply into Data and generate insights")</f>
        <v>Business Operations in any organization, Build and develop a Team, Design and Develop amazing software, Look deeply into Data and generate insights</v>
      </c>
      <c r="O1621" s="1" t="str">
        <f ca="1">IFERROR(__xludf.DUMMYFUNCTION("""COMPUTED_VALUE"""),"Manager who clearly describes what she/he needs")</f>
        <v>Manager who clearly describes what she/he needs</v>
      </c>
      <c r="P1621" s="1" t="str">
        <f ca="1">IFERROR(__xludf.DUMMYFUNCTION("""COMPUTED_VALUE"""),"Work with 5 to 6 people in my team")</f>
        <v>Work with 5 to 6 people in my team</v>
      </c>
      <c r="Q1621" s="1" t="str">
        <f ca="1">IFERROR(__xludf.DUMMYFUNCTION("""COMPUTED_VALUE"""),"Yes, I Understand this is gonna happen everywhere")</f>
        <v>Yes, I Understand this is gonna happen everywhere</v>
      </c>
      <c r="R1621" s="1" t="str">
        <f ca="1">IFERROR(__xludf.DUMMYFUNCTION("""COMPUTED_VALUE"""),"No way")</f>
        <v>No way</v>
      </c>
      <c r="S1621" s="1"/>
    </row>
    <row r="1622" spans="1:19" ht="12.5" x14ac:dyDescent="0.25">
      <c r="A1622" s="2">
        <f ca="1">IFERROR(__xludf.DUMMYFUNCTION("""COMPUTED_VALUE"""),45045.9598627313)</f>
        <v>45045.959862731397</v>
      </c>
      <c r="B1622" s="1" t="str">
        <f ca="1">IFERROR(__xludf.DUMMYFUNCTION("""COMPUTED_VALUE"""),"India")</f>
        <v>India</v>
      </c>
      <c r="C1622" s="1">
        <f ca="1">IFERROR(__xludf.DUMMYFUNCTION("""COMPUTED_VALUE"""),500045)</f>
        <v>500045</v>
      </c>
      <c r="D1622" s="1" t="str">
        <f ca="1">IFERROR(__xludf.DUMMYFUNCTION("""COMPUTED_VALUE"""),"Male")</f>
        <v>Male</v>
      </c>
      <c r="E1622" s="1" t="str">
        <f ca="1">IFERROR(__xludf.DUMMYFUNCTION("""COMPUTED_VALUE"""),"Social Media like LinkedIn")</f>
        <v>Social Media like LinkedIn</v>
      </c>
      <c r="F1622" s="1" t="str">
        <f ca="1">IFERROR(__xludf.DUMMYFUNCTION("""COMPUTED_VALUE"""),"Yes, I will earn and do that")</f>
        <v>Yes, I will earn and do that</v>
      </c>
      <c r="G1622" s="1" t="str">
        <f ca="1">IFERROR(__xludf.DUMMYFUNCTION("""COMPUTED_VALUE"""),"This will be hard to do, but if it is the right company I would try")</f>
        <v>This will be hard to do, but if it is the right company I would try</v>
      </c>
      <c r="H1622" s="1" t="str">
        <f ca="1">IFERROR(__xludf.DUMMYFUNCTION("""COMPUTED_VALUE"""),"No")</f>
        <v>No</v>
      </c>
      <c r="I1622" s="1" t="str">
        <f ca="1">IFERROR(__xludf.DUMMYFUNCTION("""COMPUTED_VALUE"""),"Will work for them")</f>
        <v>Will work for them</v>
      </c>
      <c r="J1622" s="1">
        <f ca="1">IFERROR(__xludf.DUMMYFUNCTION("""COMPUTED_VALUE"""),2)</f>
        <v>2</v>
      </c>
      <c r="K1622" s="1" t="str">
        <f ca="1">IFERROR(__xludf.DUMMYFUNCTION("""COMPUTED_VALUE"""),"Hybrid Working Environment with more than 15 days a month at office")</f>
        <v>Hybrid Working Environment with more than 15 days a month at office</v>
      </c>
      <c r="L1622" s="1" t="str">
        <f ca="1">IFERROR(__xludf.DUMMYFUNCTION("""COMPUTED_VALUE"""),"Employer who appreciates learning and enables that environment")</f>
        <v>Employer who appreciates learning and enables that environment</v>
      </c>
      <c r="M162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622" s="1" t="str">
        <f ca="1">IFERROR(__xludf.DUMMYFUNCTION("""COMPUTED_VALUE"""),"Design and Creative strategy in any company, Teaching in any of the institutes/colleges/online or offline, Build and develop a Team, Work as a freelancer and do my thing my way")</f>
        <v>Design and Creative strategy in any company, Teaching in any of the institutes/colleges/online or offline, Build and develop a Team, Work as a freelancer and do my thing my way</v>
      </c>
      <c r="O1622" s="1" t="str">
        <f ca="1">IFERROR(__xludf.DUMMYFUNCTION("""COMPUTED_VALUE"""),"Manager who clearly describes what she/he needs")</f>
        <v>Manager who clearly describes what she/he needs</v>
      </c>
      <c r="P1622" s="1" t="str">
        <f ca="1">IFERROR(__xludf.DUMMYFUNCTION("""COMPUTED_VALUE"""),"Work with 5 to 6 people in my team")</f>
        <v>Work with 5 to 6 people in my team</v>
      </c>
      <c r="Q1622" s="1" t="str">
        <f ca="1">IFERROR(__xludf.DUMMYFUNCTION("""COMPUTED_VALUE"""),"Yes")</f>
        <v>Yes</v>
      </c>
      <c r="R1622" s="1" t="str">
        <f ca="1">IFERROR(__xludf.DUMMYFUNCTION("""COMPUTED_VALUE"""),"No way")</f>
        <v>No way</v>
      </c>
      <c r="S1622" s="1"/>
    </row>
    <row r="1623" spans="1:19" ht="12.5" x14ac:dyDescent="0.25">
      <c r="A1623" s="2">
        <f ca="1">IFERROR(__xludf.DUMMYFUNCTION("""COMPUTED_VALUE"""),45045.964420081)</f>
        <v>45045.964420081</v>
      </c>
      <c r="B1623" s="1" t="str">
        <f ca="1">IFERROR(__xludf.DUMMYFUNCTION("""COMPUTED_VALUE"""),"India")</f>
        <v>India</v>
      </c>
      <c r="C1623" s="1">
        <f ca="1">IFERROR(__xludf.DUMMYFUNCTION("""COMPUTED_VALUE"""),751002)</f>
        <v>751002</v>
      </c>
      <c r="D1623" s="1" t="str">
        <f ca="1">IFERROR(__xludf.DUMMYFUNCTION("""COMPUTED_VALUE"""),"Female")</f>
        <v>Female</v>
      </c>
      <c r="E1623" s="1" t="str">
        <f ca="1">IFERROR(__xludf.DUMMYFUNCTION("""COMPUTED_VALUE"""),"Influencers who had successful careers")</f>
        <v>Influencers who had successful careers</v>
      </c>
      <c r="F1623" s="1" t="str">
        <f ca="1">IFERROR(__xludf.DUMMYFUNCTION("""COMPUTED_VALUE"""),"No, But if someone could bare the cost I will")</f>
        <v>No, But if someone could bare the cost I will</v>
      </c>
      <c r="G1623" s="1" t="str">
        <f ca="1">IFERROR(__xludf.DUMMYFUNCTION("""COMPUTED_VALUE"""),"This will be hard to do, but if it is the right company I would try")</f>
        <v>This will be hard to do, but if it is the right company I would try</v>
      </c>
      <c r="H1623" s="1" t="str">
        <f ca="1">IFERROR(__xludf.DUMMYFUNCTION("""COMPUTED_VALUE"""),"No")</f>
        <v>No</v>
      </c>
      <c r="I1623" s="1" t="str">
        <f ca="1">IFERROR(__xludf.DUMMYFUNCTION("""COMPUTED_VALUE"""),"Will NOT work for them")</f>
        <v>Will NOT work for them</v>
      </c>
      <c r="J1623" s="1">
        <f ca="1">IFERROR(__xludf.DUMMYFUNCTION("""COMPUTED_VALUE"""),1)</f>
        <v>1</v>
      </c>
      <c r="K1623" s="1" t="str">
        <f ca="1">IFERROR(__xludf.DUMMYFUNCTION("""COMPUTED_VALUE"""),"Hybrid Working Environment with less than 3 days a month at office")</f>
        <v>Hybrid Working Environment with less than 3 days a month at office</v>
      </c>
      <c r="L16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2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23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1623" s="1" t="str">
        <f ca="1">IFERROR(__xludf.DUMMYFUNCTION("""COMPUTED_VALUE"""),"Manager who explains what is expected, sets a goal and helps achieve it")</f>
        <v>Manager who explains what is expected, sets a goal and helps achieve it</v>
      </c>
      <c r="P1623" s="1" t="str">
        <f ca="1">IFERROR(__xludf.DUMMYFUNCTION("""COMPUTED_VALUE"""),"Work with 5 to 6 people in my team")</f>
        <v>Work with 5 to 6 people in my team</v>
      </c>
      <c r="Q1623" s="1" t="str">
        <f ca="1">IFERROR(__xludf.DUMMYFUNCTION("""COMPUTED_VALUE"""),"Yes, I Understand this is gonna happen everywhere")</f>
        <v>Yes, I Understand this is gonna happen everywhere</v>
      </c>
      <c r="R1623" s="1" t="str">
        <f ca="1">IFERROR(__xludf.DUMMYFUNCTION("""COMPUTED_VALUE"""),"This will be hard to do, but if it is the right company I would try")</f>
        <v>This will be hard to do, but if it is the right company I would try</v>
      </c>
      <c r="S1623" s="1"/>
    </row>
    <row r="1624" spans="1:19" ht="12.5" x14ac:dyDescent="0.25">
      <c r="A1624" s="2">
        <f ca="1">IFERROR(__xludf.DUMMYFUNCTION("""COMPUTED_VALUE"""),45045.9700188773)</f>
        <v>45045.970018877299</v>
      </c>
      <c r="B1624" s="1" t="str">
        <f ca="1">IFERROR(__xludf.DUMMYFUNCTION("""COMPUTED_VALUE"""),"India")</f>
        <v>India</v>
      </c>
      <c r="C1624" s="1">
        <f ca="1">IFERROR(__xludf.DUMMYFUNCTION("""COMPUTED_VALUE"""),505001)</f>
        <v>505001</v>
      </c>
      <c r="D1624" s="1" t="str">
        <f ca="1">IFERROR(__xludf.DUMMYFUNCTION("""COMPUTED_VALUE"""),"Male")</f>
        <v>Male</v>
      </c>
      <c r="E1624" s="1" t="str">
        <f ca="1">IFERROR(__xludf.DUMMYFUNCTION("""COMPUTED_VALUE"""),"People who have changed the world for better")</f>
        <v>People who have changed the world for better</v>
      </c>
      <c r="F1624" s="1" t="str">
        <f ca="1">IFERROR(__xludf.DUMMYFUNCTION("""COMPUTED_VALUE"""),"Yes, I will earn and do that")</f>
        <v>Yes, I will earn and do that</v>
      </c>
      <c r="G1624" s="1" t="str">
        <f ca="1">IFERROR(__xludf.DUMMYFUNCTION("""COMPUTED_VALUE"""),"Will work for 3 years or more")</f>
        <v>Will work for 3 years or more</v>
      </c>
      <c r="H1624" s="1" t="str">
        <f ca="1">IFERROR(__xludf.DUMMYFUNCTION("""COMPUTED_VALUE"""),"No")</f>
        <v>No</v>
      </c>
      <c r="I1624" s="1" t="str">
        <f ca="1">IFERROR(__xludf.DUMMYFUNCTION("""COMPUTED_VALUE"""),"Will NOT work for them")</f>
        <v>Will NOT work for them</v>
      </c>
      <c r="J1624" s="1">
        <f ca="1">IFERROR(__xludf.DUMMYFUNCTION("""COMPUTED_VALUE"""),4)</f>
        <v>4</v>
      </c>
      <c r="K1624" s="1" t="str">
        <f ca="1">IFERROR(__xludf.DUMMYFUNCTION("""COMPUTED_VALUE"""),"Fully Remote with Options to travel as and when needed")</f>
        <v>Fully Remote with Options to travel as and when needed</v>
      </c>
      <c r="L1624" s="1" t="str">
        <f ca="1">IFERROR(__xludf.DUMMYFUNCTION("""COMPUTED_VALUE"""),"Employer who appreciates learning and enables that environment")</f>
        <v>Employer who appreciates learning and enables that environment</v>
      </c>
      <c r="M162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24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1624" s="1" t="str">
        <f ca="1">IFERROR(__xludf.DUMMYFUNCTION("""COMPUTED_VALUE"""),"Manager who sets goal and helps me achieve it")</f>
        <v>Manager who sets goal and helps me achieve it</v>
      </c>
      <c r="P1624" s="1" t="str">
        <f ca="1">IFERROR(__xludf.DUMMYFUNCTION("""COMPUTED_VALUE"""),"Work with more than 10 people in my team")</f>
        <v>Work with more than 10 people in my team</v>
      </c>
      <c r="Q1624" s="1" t="str">
        <f ca="1">IFERROR(__xludf.DUMMYFUNCTION("""COMPUTED_VALUE"""),"Yes, I Understand this is gonna happen everywhere")</f>
        <v>Yes, I Understand this is gonna happen everywhere</v>
      </c>
      <c r="R1624" s="1" t="str">
        <f ca="1">IFERROR(__xludf.DUMMYFUNCTION("""COMPUTED_VALUE"""),"Will work for 7 years or more")</f>
        <v>Will work for 7 years or more</v>
      </c>
      <c r="S1624" s="1"/>
    </row>
    <row r="1625" spans="1:19" ht="12.5" x14ac:dyDescent="0.25">
      <c r="A1625" s="2">
        <f ca="1">IFERROR(__xludf.DUMMYFUNCTION("""COMPUTED_VALUE"""),45046.000606875)</f>
        <v>45046.000606875001</v>
      </c>
      <c r="B1625" s="1" t="str">
        <f ca="1">IFERROR(__xludf.DUMMYFUNCTION("""COMPUTED_VALUE"""),"India")</f>
        <v>India</v>
      </c>
      <c r="C1625" s="1">
        <f ca="1">IFERROR(__xludf.DUMMYFUNCTION("""COMPUTED_VALUE"""),600089)</f>
        <v>600089</v>
      </c>
      <c r="D1625" s="1" t="str">
        <f ca="1">IFERROR(__xludf.DUMMYFUNCTION("""COMPUTED_VALUE"""),"Male")</f>
        <v>Male</v>
      </c>
      <c r="E1625" s="1" t="str">
        <f ca="1">IFERROR(__xludf.DUMMYFUNCTION("""COMPUTED_VALUE"""),"My Parents")</f>
        <v>My Parents</v>
      </c>
      <c r="F1625" s="1" t="str">
        <f ca="1">IFERROR(__xludf.DUMMYFUNCTION("""COMPUTED_VALUE"""),"Yes, I will earn and do that")</f>
        <v>Yes, I will earn and do that</v>
      </c>
      <c r="G1625" s="1" t="str">
        <f ca="1">IFERROR(__xludf.DUMMYFUNCTION("""COMPUTED_VALUE"""),"This will be hard to do, but if it is the right company I would try")</f>
        <v>This will be hard to do, but if it is the right company I would try</v>
      </c>
      <c r="H1625" s="1" t="str">
        <f ca="1">IFERROR(__xludf.DUMMYFUNCTION("""COMPUTED_VALUE"""),"No")</f>
        <v>No</v>
      </c>
      <c r="I1625" s="1" t="str">
        <f ca="1">IFERROR(__xludf.DUMMYFUNCTION("""COMPUTED_VALUE"""),"Will NOT work for them")</f>
        <v>Will NOT work for them</v>
      </c>
      <c r="J1625" s="1">
        <f ca="1">IFERROR(__xludf.DUMMYFUNCTION("""COMPUTED_VALUE"""),3)</f>
        <v>3</v>
      </c>
      <c r="K1625" s="1" t="str">
        <f ca="1">IFERROR(__xludf.DUMMYFUNCTION("""COMPUTED_VALUE"""),"Hybrid Working Environment with more than 15 days a month at office")</f>
        <v>Hybrid Working Environment with more than 15 days a month at office</v>
      </c>
      <c r="L16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2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25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1625" s="1" t="str">
        <f ca="1">IFERROR(__xludf.DUMMYFUNCTION("""COMPUTED_VALUE"""),"Manager who sets goal and helps me achieve it")</f>
        <v>Manager who sets goal and helps me achieve it</v>
      </c>
      <c r="P1625" s="1" t="str">
        <f ca="1">IFERROR(__xludf.DUMMYFUNCTION("""COMPUTED_VALUE"""),"Work with 5 to 6 people in my team")</f>
        <v>Work with 5 to 6 people in my team</v>
      </c>
      <c r="Q1625" s="1" t="str">
        <f ca="1">IFERROR(__xludf.DUMMYFUNCTION("""COMPUTED_VALUE"""),"Yes, I Understand this is gonna happen everywhere")</f>
        <v>Yes, I Understand this is gonna happen everywhere</v>
      </c>
      <c r="R1625" s="1" t="str">
        <f ca="1">IFERROR(__xludf.DUMMYFUNCTION("""COMPUTED_VALUE"""),"This will be hard to do, but if it is the right company I would try")</f>
        <v>This will be hard to do, but if it is the right company I would try</v>
      </c>
      <c r="S1625" s="1"/>
    </row>
    <row r="1626" spans="1:19" ht="12.5" x14ac:dyDescent="0.25">
      <c r="A1626" s="2">
        <f ca="1">IFERROR(__xludf.DUMMYFUNCTION("""COMPUTED_VALUE"""),45046.0270081481)</f>
        <v>45046.027008148099</v>
      </c>
      <c r="B1626" s="1" t="str">
        <f ca="1">IFERROR(__xludf.DUMMYFUNCTION("""COMPUTED_VALUE"""),"India")</f>
        <v>India</v>
      </c>
      <c r="C1626" s="1">
        <f ca="1">IFERROR(__xludf.DUMMYFUNCTION("""COMPUTED_VALUE"""),470001)</f>
        <v>470001</v>
      </c>
      <c r="D1626" s="1" t="str">
        <f ca="1">IFERROR(__xludf.DUMMYFUNCTION("""COMPUTED_VALUE"""),"Female")</f>
        <v>Female</v>
      </c>
      <c r="E1626" s="1" t="str">
        <f ca="1">IFERROR(__xludf.DUMMYFUNCTION("""COMPUTED_VALUE"""),"Influencers who had successful careers")</f>
        <v>Influencers who had successful careers</v>
      </c>
      <c r="F1626" s="1" t="str">
        <f ca="1">IFERROR(__xludf.DUMMYFUNCTION("""COMPUTED_VALUE"""),"Yes, I will earn and do that")</f>
        <v>Yes, I will earn and do that</v>
      </c>
      <c r="G1626" s="1" t="str">
        <f ca="1">IFERROR(__xludf.DUMMYFUNCTION("""COMPUTED_VALUE"""),"This will be hard to do, but if it is the right company I would try")</f>
        <v>This will be hard to do, but if it is the right company I would try</v>
      </c>
      <c r="H1626" s="1" t="str">
        <f ca="1">IFERROR(__xludf.DUMMYFUNCTION("""COMPUTED_VALUE"""),"No")</f>
        <v>No</v>
      </c>
      <c r="I1626" s="1" t="str">
        <f ca="1">IFERROR(__xludf.DUMMYFUNCTION("""COMPUTED_VALUE"""),"Will NOT work for them")</f>
        <v>Will NOT work for them</v>
      </c>
      <c r="J1626" s="1">
        <f ca="1">IFERROR(__xludf.DUMMYFUNCTION("""COMPUTED_VALUE"""),6)</f>
        <v>6</v>
      </c>
      <c r="K1626" s="1" t="str">
        <f ca="1">IFERROR(__xludf.DUMMYFUNCTION("""COMPUTED_VALUE"""),"Fully Remote with Options to travel as and when needed")</f>
        <v>Fully Remote with Options to travel as and when needed</v>
      </c>
      <c r="L16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2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26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16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626" s="1" t="str">
        <f ca="1">IFERROR(__xludf.DUMMYFUNCTION("""COMPUTED_VALUE"""),"Work alone")</f>
        <v>Work alone</v>
      </c>
      <c r="Q1626" s="1" t="str">
        <f ca="1">IFERROR(__xludf.DUMMYFUNCTION("""COMPUTED_VALUE"""),"Yes, I Understand this is gonna happen everywhere")</f>
        <v>Yes, I Understand this is gonna happen everywhere</v>
      </c>
      <c r="R1626" s="1" t="str">
        <f ca="1">IFERROR(__xludf.DUMMYFUNCTION("""COMPUTED_VALUE"""),"This will be hard to do, but if it is the right company I would try")</f>
        <v>This will be hard to do, but if it is the right company I would try</v>
      </c>
      <c r="S1626" s="1"/>
    </row>
    <row r="1627" spans="1:19" ht="12.5" x14ac:dyDescent="0.25">
      <c r="A1627" s="2">
        <f ca="1">IFERROR(__xludf.DUMMYFUNCTION("""COMPUTED_VALUE"""),45046.0278942939)</f>
        <v>45046.027894293897</v>
      </c>
      <c r="B1627" s="1" t="str">
        <f ca="1">IFERROR(__xludf.DUMMYFUNCTION("""COMPUTED_VALUE"""),"India")</f>
        <v>India</v>
      </c>
      <c r="C1627" s="1">
        <f ca="1">IFERROR(__xludf.DUMMYFUNCTION("""COMPUTED_VALUE"""),18)</f>
        <v>18</v>
      </c>
      <c r="D1627" s="1" t="str">
        <f ca="1">IFERROR(__xludf.DUMMYFUNCTION("""COMPUTED_VALUE"""),"Male")</f>
        <v>Male</v>
      </c>
      <c r="E1627" s="1" t="str">
        <f ca="1">IFERROR(__xludf.DUMMYFUNCTION("""COMPUTED_VALUE"""),"My Parents")</f>
        <v>My Parents</v>
      </c>
      <c r="F1627" s="1" t="str">
        <f ca="1">IFERROR(__xludf.DUMMYFUNCTION("""COMPUTED_VALUE"""),"Yes, I will earn and do that")</f>
        <v>Yes, I will earn and do that</v>
      </c>
      <c r="G1627" s="1" t="str">
        <f ca="1">IFERROR(__xludf.DUMMYFUNCTION("""COMPUTED_VALUE"""),"This will be hard to do, but if it is the right company I would try")</f>
        <v>This will be hard to do, but if it is the right company I would try</v>
      </c>
      <c r="H1627" s="1" t="str">
        <f ca="1">IFERROR(__xludf.DUMMYFUNCTION("""COMPUTED_VALUE"""),"No")</f>
        <v>No</v>
      </c>
      <c r="I1627" s="1" t="str">
        <f ca="1">IFERROR(__xludf.DUMMYFUNCTION("""COMPUTED_VALUE"""),"Will NOT work for them")</f>
        <v>Will NOT work for them</v>
      </c>
      <c r="J1627" s="1">
        <f ca="1">IFERROR(__xludf.DUMMYFUNCTION("""COMPUTED_VALUE"""),5)</f>
        <v>5</v>
      </c>
      <c r="K1627" s="1" t="str">
        <f ca="1">IFERROR(__xludf.DUMMYFUNCTION("""COMPUTED_VALUE"""),"Hybrid Working Environment with more than 15 days a month at office")</f>
        <v>Hybrid Working Environment with more than 15 days a month at office</v>
      </c>
      <c r="L1627" s="1" t="str">
        <f ca="1">IFERROR(__xludf.DUMMYFUNCTION("""COMPUTED_VALUE"""),"Employer who appreciates learning and enables that environment")</f>
        <v>Employer who appreciates learning and enables that environment</v>
      </c>
      <c r="M162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627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1627" s="1" t="str">
        <f ca="1">IFERROR(__xludf.DUMMYFUNCTION("""COMPUTED_VALUE"""),"Manager who explains what is expected, sets a goal and helps achieve it")</f>
        <v>Manager who explains what is expected, sets a goal and helps achieve it</v>
      </c>
      <c r="P1627" s="1" t="str">
        <f ca="1">IFERROR(__xludf.DUMMYFUNCTION("""COMPUTED_VALUE"""),"Work with 5 to 6 people in my team")</f>
        <v>Work with 5 to 6 people in my team</v>
      </c>
      <c r="Q1627" s="1" t="str">
        <f ca="1">IFERROR(__xludf.DUMMYFUNCTION("""COMPUTED_VALUE"""),"Yes, I Understand this is gonna happen everywhere")</f>
        <v>Yes, I Understand this is gonna happen everywhere</v>
      </c>
      <c r="R1627" s="1" t="str">
        <f ca="1">IFERROR(__xludf.DUMMYFUNCTION("""COMPUTED_VALUE"""),"This will be hard to do, but if it is the right company I would try")</f>
        <v>This will be hard to do, but if it is the right company I would try</v>
      </c>
      <c r="S1627" s="1"/>
    </row>
    <row r="1628" spans="1:19" ht="12.5" x14ac:dyDescent="0.25">
      <c r="A1628" s="2">
        <f ca="1">IFERROR(__xludf.DUMMYFUNCTION("""COMPUTED_VALUE"""),45046.035219537)</f>
        <v>45046.035219537</v>
      </c>
      <c r="B1628" s="1" t="str">
        <f ca="1">IFERROR(__xludf.DUMMYFUNCTION("""COMPUTED_VALUE"""),"India")</f>
        <v>India</v>
      </c>
      <c r="C1628" s="1">
        <f ca="1">IFERROR(__xludf.DUMMYFUNCTION("""COMPUTED_VALUE"""),500091)</f>
        <v>500091</v>
      </c>
      <c r="D1628" s="1" t="str">
        <f ca="1">IFERROR(__xludf.DUMMYFUNCTION("""COMPUTED_VALUE"""),"Male")</f>
        <v>Male</v>
      </c>
      <c r="E1628" s="1" t="str">
        <f ca="1">IFERROR(__xludf.DUMMYFUNCTION("""COMPUTED_VALUE"""),"People from my circle, but not family members")</f>
        <v>People from my circle, but not family members</v>
      </c>
      <c r="F1628" s="1" t="str">
        <f ca="1">IFERROR(__xludf.DUMMYFUNCTION("""COMPUTED_VALUE"""),"Yes, I will earn and do that")</f>
        <v>Yes, I will earn and do that</v>
      </c>
      <c r="G1628" s="1" t="str">
        <f ca="1">IFERROR(__xludf.DUMMYFUNCTION("""COMPUTED_VALUE"""),"This will be hard to do, but if it is the right company I would try")</f>
        <v>This will be hard to do, but if it is the right company I would try</v>
      </c>
      <c r="H1628" s="1" t="str">
        <f ca="1">IFERROR(__xludf.DUMMYFUNCTION("""COMPUTED_VALUE"""),"No")</f>
        <v>No</v>
      </c>
      <c r="I1628" s="1" t="str">
        <f ca="1">IFERROR(__xludf.DUMMYFUNCTION("""COMPUTED_VALUE"""),"Will NOT work for them")</f>
        <v>Will NOT work for them</v>
      </c>
      <c r="J1628" s="1">
        <f ca="1">IFERROR(__xludf.DUMMYFUNCTION("""COMPUTED_VALUE"""),5)</f>
        <v>5</v>
      </c>
      <c r="K1628" s="1" t="str">
        <f ca="1">IFERROR(__xludf.DUMMYFUNCTION("""COMPUTED_VALUE"""),"Hybrid Working Environment with less than 3 days a month at office")</f>
        <v>Hybrid Working Environment with less than 3 days a month at office</v>
      </c>
      <c r="L1628" s="1" t="str">
        <f ca="1">IFERROR(__xludf.DUMMYFUNCTION("""COMPUTED_VALUE"""),"Employer who rewards learning and enables that environment")</f>
        <v>Employer who rewards learning and enables that environment</v>
      </c>
      <c r="M162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28" s="1" t="str">
        <f ca="1">IFERROR(__xludf.DUMMYFUNCTION("""COMPUTED_VALUE"""),"Manage and drive End-to-End Projects or Products, Build and develop a Team, Design and Develop amazing software, Entrepreneur or Start Up")</f>
        <v>Manage and drive End-to-End Projects or Products, Build and develop a Team, Design and Develop amazing software, Entrepreneur or Start Up</v>
      </c>
      <c r="O1628" s="1" t="str">
        <f ca="1">IFERROR(__xludf.DUMMYFUNCTION("""COMPUTED_VALUE"""),"Manager who explains what is expected, sets a goal and helps achieve it")</f>
        <v>Manager who explains what is expected, sets a goal and helps achieve it</v>
      </c>
      <c r="P1628" s="1" t="str">
        <f ca="1">IFERROR(__xludf.DUMMYFUNCTION("""COMPUTED_VALUE"""),"Work alone, Work with 2 to 3 people in my team")</f>
        <v>Work alone, Work with 2 to 3 people in my team</v>
      </c>
      <c r="Q1628" s="1" t="str">
        <f ca="1">IFERROR(__xludf.DUMMYFUNCTION("""COMPUTED_VALUE"""),"Yes, I Understand this is gonna happen everywhere")</f>
        <v>Yes, I Understand this is gonna happen everywhere</v>
      </c>
      <c r="R1628" s="1" t="str">
        <f ca="1">IFERROR(__xludf.DUMMYFUNCTION("""COMPUTED_VALUE"""),"This will be hard to do, but if it is the right company I would try")</f>
        <v>This will be hard to do, but if it is the right company I would try</v>
      </c>
      <c r="S1628" s="1"/>
    </row>
    <row r="1629" spans="1:19" ht="12.5" x14ac:dyDescent="0.25">
      <c r="A1629" s="2">
        <f ca="1">IFERROR(__xludf.DUMMYFUNCTION("""COMPUTED_VALUE"""),45046.0428527777)</f>
        <v>45046.042852777697</v>
      </c>
      <c r="B1629" s="1" t="str">
        <f ca="1">IFERROR(__xludf.DUMMYFUNCTION("""COMPUTED_VALUE"""),"India")</f>
        <v>India</v>
      </c>
      <c r="C1629" s="1">
        <f ca="1">IFERROR(__xludf.DUMMYFUNCTION("""COMPUTED_VALUE"""),605003)</f>
        <v>605003</v>
      </c>
      <c r="D1629" s="1" t="str">
        <f ca="1">IFERROR(__xludf.DUMMYFUNCTION("""COMPUTED_VALUE"""),"Female")</f>
        <v>Female</v>
      </c>
      <c r="E1629" s="1" t="str">
        <f ca="1">IFERROR(__xludf.DUMMYFUNCTION("""COMPUTED_VALUE"""),"People who have changed the world for better")</f>
        <v>People who have changed the world for better</v>
      </c>
      <c r="F1629" s="1" t="str">
        <f ca="1">IFERROR(__xludf.DUMMYFUNCTION("""COMPUTED_VALUE"""),"No I would not be pursuing Higher Education outside of India")</f>
        <v>No I would not be pursuing Higher Education outside of India</v>
      </c>
      <c r="G1629" s="1" t="str">
        <f ca="1">IFERROR(__xludf.DUMMYFUNCTION("""COMPUTED_VALUE"""),"Will work for 3 years or more")</f>
        <v>Will work for 3 years or more</v>
      </c>
      <c r="H1629" s="1" t="str">
        <f ca="1">IFERROR(__xludf.DUMMYFUNCTION("""COMPUTED_VALUE"""),"No")</f>
        <v>No</v>
      </c>
      <c r="I1629" s="1" t="str">
        <f ca="1">IFERROR(__xludf.DUMMYFUNCTION("""COMPUTED_VALUE"""),"Will NOT work for them")</f>
        <v>Will NOT work for them</v>
      </c>
      <c r="J1629" s="1">
        <f ca="1">IFERROR(__xludf.DUMMYFUNCTION("""COMPUTED_VALUE"""),7)</f>
        <v>7</v>
      </c>
      <c r="K1629" s="1" t="str">
        <f ca="1">IFERROR(__xludf.DUMMYFUNCTION("""COMPUTED_VALUE"""),"Hybrid Working Environment with less than 3 days a month at office")</f>
        <v>Hybrid Working Environment with less than 3 days a month at office</v>
      </c>
      <c r="L16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2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29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1629" s="1" t="str">
        <f ca="1">IFERROR(__xludf.DUMMYFUNCTION("""COMPUTED_VALUE"""),"Manager who sets targets and expects me to achieve it")</f>
        <v>Manager who sets targets and expects me to achieve it</v>
      </c>
      <c r="P1629" s="1" t="str">
        <f ca="1">IFERROR(__xludf.DUMMYFUNCTION("""COMPUTED_VALUE"""),"Work with more than 10 people in my team")</f>
        <v>Work with more than 10 people in my team</v>
      </c>
      <c r="Q1629" s="1" t="str">
        <f ca="1">IFERROR(__xludf.DUMMYFUNCTION("""COMPUTED_VALUE"""),"Yes, I Understand this is gonna happen everywhere")</f>
        <v>Yes, I Understand this is gonna happen everywhere</v>
      </c>
      <c r="R1629" s="1" t="str">
        <f ca="1">IFERROR(__xludf.DUMMYFUNCTION("""COMPUTED_VALUE"""),"This will be hard to do, but if it is the right company I would try")</f>
        <v>This will be hard to do, but if it is the right company I would try</v>
      </c>
      <c r="S1629" s="1"/>
    </row>
    <row r="1630" spans="1:19" ht="12.5" x14ac:dyDescent="0.25">
      <c r="A1630" s="2">
        <f ca="1">IFERROR(__xludf.DUMMYFUNCTION("""COMPUTED_VALUE"""),45046.0476713078)</f>
        <v>45046.047671307802</v>
      </c>
      <c r="B1630" s="1" t="str">
        <f ca="1">IFERROR(__xludf.DUMMYFUNCTION("""COMPUTED_VALUE"""),"Canada")</f>
        <v>Canada</v>
      </c>
      <c r="C1630" s="1" t="str">
        <f ca="1">IFERROR(__xludf.DUMMYFUNCTION("""COMPUTED_VALUE"""),"V4C4G1")</f>
        <v>V4C4G1</v>
      </c>
      <c r="D1630" s="1" t="str">
        <f ca="1">IFERROR(__xludf.DUMMYFUNCTION("""COMPUTED_VALUE"""),"Female")</f>
        <v>Female</v>
      </c>
      <c r="E1630" s="1" t="str">
        <f ca="1">IFERROR(__xludf.DUMMYFUNCTION("""COMPUTED_VALUE"""),"Social Media like LinkedIn")</f>
        <v>Social Media like LinkedIn</v>
      </c>
      <c r="F1630" s="1" t="str">
        <f ca="1">IFERROR(__xludf.DUMMYFUNCTION("""COMPUTED_VALUE"""),"Yes, I will earn and do that")</f>
        <v>Yes, I will earn and do that</v>
      </c>
      <c r="G1630" s="1" t="str">
        <f ca="1">IFERROR(__xludf.DUMMYFUNCTION("""COMPUTED_VALUE"""),"This will be hard to do, but if it is the right company I would try")</f>
        <v>This will be hard to do, but if it is the right company I would try</v>
      </c>
      <c r="H1630" s="1" t="str">
        <f ca="1">IFERROR(__xludf.DUMMYFUNCTION("""COMPUTED_VALUE"""),"No")</f>
        <v>No</v>
      </c>
      <c r="I1630" s="1" t="str">
        <f ca="1">IFERROR(__xludf.DUMMYFUNCTION("""COMPUTED_VALUE"""),"Will NOT work for them")</f>
        <v>Will NOT work for them</v>
      </c>
      <c r="J1630" s="1">
        <f ca="1">IFERROR(__xludf.DUMMYFUNCTION("""COMPUTED_VALUE"""),5)</f>
        <v>5</v>
      </c>
      <c r="K1630" s="1" t="str">
        <f ca="1">IFERROR(__xludf.DUMMYFUNCTION("""COMPUTED_VALUE"""),"Hybrid Working Environment with less than 3 days a month at office")</f>
        <v>Hybrid Working Environment with less than 3 days a month at office</v>
      </c>
      <c r="L16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3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30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630" s="1" t="str">
        <f ca="1">IFERROR(__xludf.DUMMYFUNCTION("""COMPUTED_VALUE"""),"Manager who sets targets and expects me to achieve it")</f>
        <v>Manager who sets targets and expects me to achieve it</v>
      </c>
      <c r="P1630" s="1" t="str">
        <f ca="1">IFERROR(__xludf.DUMMYFUNCTION("""COMPUTED_VALUE"""),"Work with 5 to 6 people in my team")</f>
        <v>Work with 5 to 6 people in my team</v>
      </c>
      <c r="Q1630" s="1" t="str">
        <f ca="1">IFERROR(__xludf.DUMMYFUNCTION("""COMPUTED_VALUE"""),"No")</f>
        <v>No</v>
      </c>
      <c r="R1630" s="1" t="str">
        <f ca="1">IFERROR(__xludf.DUMMYFUNCTION("""COMPUTED_VALUE"""),"This will be hard to do, but if it is the right company I would try")</f>
        <v>This will be hard to do, but if it is the right company I would try</v>
      </c>
      <c r="S1630" s="1"/>
    </row>
    <row r="1631" spans="1:19" ht="12.5" x14ac:dyDescent="0.25">
      <c r="A1631" s="2">
        <f ca="1">IFERROR(__xludf.DUMMYFUNCTION("""COMPUTED_VALUE"""),45046.154862037)</f>
        <v>45046.154862037001</v>
      </c>
      <c r="B1631" s="1" t="str">
        <f ca="1">IFERROR(__xludf.DUMMYFUNCTION("""COMPUTED_VALUE"""),"India")</f>
        <v>India</v>
      </c>
      <c r="C1631" s="1">
        <f ca="1">IFERROR(__xludf.DUMMYFUNCTION("""COMPUTED_VALUE"""),110007)</f>
        <v>110007</v>
      </c>
      <c r="D1631" s="1" t="str">
        <f ca="1">IFERROR(__xludf.DUMMYFUNCTION("""COMPUTED_VALUE"""),"Male")</f>
        <v>Male</v>
      </c>
      <c r="E1631" s="1" t="str">
        <f ca="1">IFERROR(__xludf.DUMMYFUNCTION("""COMPUTED_VALUE"""),"Influencers who had successful careers")</f>
        <v>Influencers who had successful careers</v>
      </c>
      <c r="F1631" s="1" t="str">
        <f ca="1">IFERROR(__xludf.DUMMYFUNCTION("""COMPUTED_VALUE"""),"Yes, I will earn and do that")</f>
        <v>Yes, I will earn and do that</v>
      </c>
      <c r="G1631" s="1" t="str">
        <f ca="1">IFERROR(__xludf.DUMMYFUNCTION("""COMPUTED_VALUE"""),"Will work for 3 years or more")</f>
        <v>Will work for 3 years or more</v>
      </c>
      <c r="H1631" s="1" t="str">
        <f ca="1">IFERROR(__xludf.DUMMYFUNCTION("""COMPUTED_VALUE"""),"No")</f>
        <v>No</v>
      </c>
      <c r="I1631" s="1" t="str">
        <f ca="1">IFERROR(__xludf.DUMMYFUNCTION("""COMPUTED_VALUE"""),"Will NOT work for them")</f>
        <v>Will NOT work for them</v>
      </c>
      <c r="J1631" s="1">
        <f ca="1">IFERROR(__xludf.DUMMYFUNCTION("""COMPUTED_VALUE"""),4)</f>
        <v>4</v>
      </c>
      <c r="K1631" s="1" t="str">
        <f ca="1">IFERROR(__xludf.DUMMYFUNCTION("""COMPUTED_VALUE"""),"Hybrid Working Environment with more than 15 days a month at office")</f>
        <v>Hybrid Working Environment with more than 15 days a month at office</v>
      </c>
      <c r="L16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31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631" s="1" t="str">
        <f ca="1">IFERROR(__xludf.DUMMYFUNCTION("""COMPUTED_VALUE"""),"Build and develop a Team, Work in a BPO setup for some well known client, Work as a freelancer and do my thing my way, I Want to sell things/Sales")</f>
        <v>Build and develop a Team, Work in a BPO setup for some well known client, Work as a freelancer and do my thing my way, I Want to sell things/Sales</v>
      </c>
      <c r="O1631" s="1" t="str">
        <f ca="1">IFERROR(__xludf.DUMMYFUNCTION("""COMPUTED_VALUE"""),"Manager who sets targets and expects me to achieve it")</f>
        <v>Manager who sets targets and expects me to achieve it</v>
      </c>
      <c r="P1631" s="1" t="str">
        <f ca="1">IFERROR(__xludf.DUMMYFUNCTION("""COMPUTED_VALUE"""),"Work with 5 to 6 people in my team")</f>
        <v>Work with 5 to 6 people in my team</v>
      </c>
      <c r="Q1631" s="1" t="str">
        <f ca="1">IFERROR(__xludf.DUMMYFUNCTION("""COMPUTED_VALUE"""),"No")</f>
        <v>No</v>
      </c>
      <c r="R1631" s="1" t="str">
        <f ca="1">IFERROR(__xludf.DUMMYFUNCTION("""COMPUTED_VALUE"""),"No way")</f>
        <v>No way</v>
      </c>
      <c r="S1631" s="1"/>
    </row>
    <row r="1632" spans="1:19" ht="12.5" x14ac:dyDescent="0.25">
      <c r="A1632" s="2">
        <f ca="1">IFERROR(__xludf.DUMMYFUNCTION("""COMPUTED_VALUE"""),45046.183475081)</f>
        <v>45046.183475081001</v>
      </c>
      <c r="B1632" s="1" t="str">
        <f ca="1">IFERROR(__xludf.DUMMYFUNCTION("""COMPUTED_VALUE"""),"India")</f>
        <v>India</v>
      </c>
      <c r="C1632" s="1">
        <f ca="1">IFERROR(__xludf.DUMMYFUNCTION("""COMPUTED_VALUE"""),110062)</f>
        <v>110062</v>
      </c>
      <c r="D1632" s="1" t="str">
        <f ca="1">IFERROR(__xludf.DUMMYFUNCTION("""COMPUTED_VALUE"""),"Male")</f>
        <v>Male</v>
      </c>
      <c r="E1632" s="1" t="str">
        <f ca="1">IFERROR(__xludf.DUMMYFUNCTION("""COMPUTED_VALUE"""),"Influencers who had successful careers")</f>
        <v>Influencers who had successful careers</v>
      </c>
      <c r="F1632" s="1" t="str">
        <f ca="1">IFERROR(__xludf.DUMMYFUNCTION("""COMPUTED_VALUE"""),"No I would not be pursuing Higher Education outside of India")</f>
        <v>No I would not be pursuing Higher Education outside of India</v>
      </c>
      <c r="G1632" s="1" t="str">
        <f ca="1">IFERROR(__xludf.DUMMYFUNCTION("""COMPUTED_VALUE"""),"No way")</f>
        <v>No way</v>
      </c>
      <c r="H1632" s="1" t="str">
        <f ca="1">IFERROR(__xludf.DUMMYFUNCTION("""COMPUTED_VALUE"""),"No")</f>
        <v>No</v>
      </c>
      <c r="I1632" s="1" t="str">
        <f ca="1">IFERROR(__xludf.DUMMYFUNCTION("""COMPUTED_VALUE"""),"Will NOT work for them")</f>
        <v>Will NOT work for them</v>
      </c>
      <c r="J1632" s="1">
        <f ca="1">IFERROR(__xludf.DUMMYFUNCTION("""COMPUTED_VALUE"""),5)</f>
        <v>5</v>
      </c>
      <c r="K1632" s="1" t="str">
        <f ca="1">IFERROR(__xludf.DUMMYFUNCTION("""COMPUTED_VALUE"""),"Fully Remote with Options to travel as and when needed")</f>
        <v>Fully Remote with Options to travel as and when needed</v>
      </c>
      <c r="L1632" s="1" t="str">
        <f ca="1">IFERROR(__xludf.DUMMYFUNCTION("""COMPUTED_VALUE"""),"Employer who rewards learning and enables that environment")</f>
        <v>Employer who rewards learning and enables that environment</v>
      </c>
      <c r="M163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32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1632" s="1" t="str">
        <f ca="1">IFERROR(__xludf.DUMMYFUNCTION("""COMPUTED_VALUE"""),"Manager who explains what is expected, sets a goal and helps achieve it")</f>
        <v>Manager who explains what is expected, sets a goal and helps achieve it</v>
      </c>
      <c r="P1632" s="1" t="str">
        <f ca="1">IFERROR(__xludf.DUMMYFUNCTION("""COMPUTED_VALUE"""),"Work with more than 10 people in my team")</f>
        <v>Work with more than 10 people in my team</v>
      </c>
      <c r="Q1632" s="1" t="str">
        <f ca="1">IFERROR(__xludf.DUMMYFUNCTION("""COMPUTED_VALUE"""),"Yes, I Understand this is gonna happen everywhere")</f>
        <v>Yes, I Understand this is gonna happen everywhere</v>
      </c>
      <c r="R1632" s="1" t="str">
        <f ca="1">IFERROR(__xludf.DUMMYFUNCTION("""COMPUTED_VALUE"""),"No way")</f>
        <v>No way</v>
      </c>
      <c r="S1632" s="1"/>
    </row>
    <row r="1633" spans="1:19" ht="12.5" x14ac:dyDescent="0.25">
      <c r="A1633" s="2">
        <f ca="1">IFERROR(__xludf.DUMMYFUNCTION("""COMPUTED_VALUE"""),45046.3000362384)</f>
        <v>45046.300036238397</v>
      </c>
      <c r="B1633" s="1" t="str">
        <f ca="1">IFERROR(__xludf.DUMMYFUNCTION("""COMPUTED_VALUE"""),"India")</f>
        <v>India</v>
      </c>
      <c r="C1633" s="1">
        <f ca="1">IFERROR(__xludf.DUMMYFUNCTION("""COMPUTED_VALUE"""),473001)</f>
        <v>473001</v>
      </c>
      <c r="D1633" s="1" t="str">
        <f ca="1">IFERROR(__xludf.DUMMYFUNCTION("""COMPUTED_VALUE"""),"Male")</f>
        <v>Male</v>
      </c>
      <c r="E1633" s="1" t="str">
        <f ca="1">IFERROR(__xludf.DUMMYFUNCTION("""COMPUTED_VALUE"""),"My Parents")</f>
        <v>My Parents</v>
      </c>
      <c r="F1633" s="1" t="str">
        <f ca="1">IFERROR(__xludf.DUMMYFUNCTION("""COMPUTED_VALUE"""),"No, But if someone could bare the cost I will")</f>
        <v>No, But if someone could bare the cost I will</v>
      </c>
      <c r="G1633" s="1" t="str">
        <f ca="1">IFERROR(__xludf.DUMMYFUNCTION("""COMPUTED_VALUE"""),"No way")</f>
        <v>No way</v>
      </c>
      <c r="H1633" s="1" t="str">
        <f ca="1">IFERROR(__xludf.DUMMYFUNCTION("""COMPUTED_VALUE"""),"No")</f>
        <v>No</v>
      </c>
      <c r="I1633" s="1" t="str">
        <f ca="1">IFERROR(__xludf.DUMMYFUNCTION("""COMPUTED_VALUE"""),"Will NOT work for them")</f>
        <v>Will NOT work for them</v>
      </c>
      <c r="J1633" s="1">
        <f ca="1">IFERROR(__xludf.DUMMYFUNCTION("""COMPUTED_VALUE"""),4)</f>
        <v>4</v>
      </c>
      <c r="K1633" s="1" t="str">
        <f ca="1">IFERROR(__xludf.DUMMYFUNCTION("""COMPUTED_VALUE"""),"Every Day Office Environment")</f>
        <v>Every Day Office Environment</v>
      </c>
      <c r="L16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3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33" s="1" t="str">
        <f ca="1">IFERROR(__xludf.DUMMYFUNCTION("""COMPUTED_VALUE"""),"Teaching in any of the institutes/colleges/online or offline, Look deeply into Data and generate insights, Entrepreneur or Start Up, An Artificial Intelligence Specialist / Talking to Robots")</f>
        <v>Teaching in any of the institutes/colleges/online or offline, Look deeply into Data and generate insights, Entrepreneur or Start Up, An Artificial Intelligence Specialist / Talking to Robots</v>
      </c>
      <c r="O1633" s="1" t="str">
        <f ca="1">IFERROR(__xludf.DUMMYFUNCTION("""COMPUTED_VALUE"""),"Manager who explains what is expected, sets a goal and helps achieve it")</f>
        <v>Manager who explains what is expected, sets a goal and helps achieve it</v>
      </c>
      <c r="P1633" s="1" t="str">
        <f ca="1">IFERROR(__xludf.DUMMYFUNCTION("""COMPUTED_VALUE"""),"Work with 2 to 3 people in my team")</f>
        <v>Work with 2 to 3 people in my team</v>
      </c>
      <c r="Q1633" s="1" t="str">
        <f ca="1">IFERROR(__xludf.DUMMYFUNCTION("""COMPUTED_VALUE"""),"No")</f>
        <v>No</v>
      </c>
      <c r="R1633" s="1" t="str">
        <f ca="1">IFERROR(__xludf.DUMMYFUNCTION("""COMPUTED_VALUE"""),"No way")</f>
        <v>No way</v>
      </c>
      <c r="S1633" s="1"/>
    </row>
    <row r="1634" spans="1:19" ht="12.5" x14ac:dyDescent="0.25">
      <c r="A1634" s="2">
        <f ca="1">IFERROR(__xludf.DUMMYFUNCTION("""COMPUTED_VALUE"""),45046.3079862384)</f>
        <v>45046.307986238397</v>
      </c>
      <c r="B1634" s="1" t="str">
        <f ca="1">IFERROR(__xludf.DUMMYFUNCTION("""COMPUTED_VALUE"""),"India")</f>
        <v>India</v>
      </c>
      <c r="C1634" s="1">
        <f ca="1">IFERROR(__xludf.DUMMYFUNCTION("""COMPUTED_VALUE"""),505460)</f>
        <v>505460</v>
      </c>
      <c r="D1634" s="1" t="str">
        <f ca="1">IFERROR(__xludf.DUMMYFUNCTION("""COMPUTED_VALUE"""),"Female")</f>
        <v>Female</v>
      </c>
      <c r="E1634" s="1" t="str">
        <f ca="1">IFERROR(__xludf.DUMMYFUNCTION("""COMPUTED_VALUE"""),"My Parents")</f>
        <v>My Parents</v>
      </c>
      <c r="F1634" s="1" t="str">
        <f ca="1">IFERROR(__xludf.DUMMYFUNCTION("""COMPUTED_VALUE"""),"No, But if someone could bare the cost I will")</f>
        <v>No, But if someone could bare the cost I will</v>
      </c>
      <c r="G1634" s="1" t="str">
        <f ca="1">IFERROR(__xludf.DUMMYFUNCTION("""COMPUTED_VALUE"""),"No way")</f>
        <v>No way</v>
      </c>
      <c r="H1634" s="1" t="str">
        <f ca="1">IFERROR(__xludf.DUMMYFUNCTION("""COMPUTED_VALUE"""),"Yes")</f>
        <v>Yes</v>
      </c>
      <c r="I1634" s="1" t="str">
        <f ca="1">IFERROR(__xludf.DUMMYFUNCTION("""COMPUTED_VALUE"""),"Will NOT work for them")</f>
        <v>Will NOT work for them</v>
      </c>
      <c r="J1634" s="1">
        <f ca="1">IFERROR(__xludf.DUMMYFUNCTION("""COMPUTED_VALUE"""),5)</f>
        <v>5</v>
      </c>
      <c r="K1634" s="1" t="str">
        <f ca="1">IFERROR(__xludf.DUMMYFUNCTION("""COMPUTED_VALUE"""),"Hybrid Working Environment with less than 3 days a month at office")</f>
        <v>Hybrid Working Environment with less than 3 days a month at office</v>
      </c>
      <c r="L1634" s="1" t="str">
        <f ca="1">IFERROR(__xludf.DUMMYFUNCTION("""COMPUTED_VALUE"""),"Employer who appreciates learning and enables that environment")</f>
        <v>Employer who appreciates learning and enables that environment</v>
      </c>
      <c r="M163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34" s="1" t="str">
        <f ca="1">IFERROR(__xludf.DUMMYFUNCTION("""COMPUTED_VALUE"""),"Design and Creative strategy in any company, Business Operations in any organization, Manage and drive End-to-End Projects or Products, Work in a BPO setup for some well known client")</f>
        <v>Design and Creative strategy in any company, Business Operations in any organization, Manage and drive End-to-End Projects or Products, Work in a BPO setup for some well known client</v>
      </c>
      <c r="O1634" s="1" t="str">
        <f ca="1">IFERROR(__xludf.DUMMYFUNCTION("""COMPUTED_VALUE"""),"Manager who sets goal and helps me achieve it")</f>
        <v>Manager who sets goal and helps me achieve it</v>
      </c>
      <c r="P1634" s="1" t="str">
        <f ca="1">IFERROR(__xludf.DUMMYFUNCTION("""COMPUTED_VALUE"""),"Work with 5 to 6 people in my team")</f>
        <v>Work with 5 to 6 people in my team</v>
      </c>
      <c r="Q1634" s="1" t="str">
        <f ca="1">IFERROR(__xludf.DUMMYFUNCTION("""COMPUTED_VALUE"""),"I have NO other choice")</f>
        <v>I have NO other choice</v>
      </c>
      <c r="R1634" s="1" t="str">
        <f ca="1">IFERROR(__xludf.DUMMYFUNCTION("""COMPUTED_VALUE"""),"No way")</f>
        <v>No way</v>
      </c>
      <c r="S1634" s="1"/>
    </row>
    <row r="1635" spans="1:19" ht="12.5" x14ac:dyDescent="0.25">
      <c r="A1635" s="2">
        <f ca="1">IFERROR(__xludf.DUMMYFUNCTION("""COMPUTED_VALUE"""),45046.3230974768)</f>
        <v>45046.323097476801</v>
      </c>
      <c r="B1635" s="1" t="str">
        <f ca="1">IFERROR(__xludf.DUMMYFUNCTION("""COMPUTED_VALUE"""),"India")</f>
        <v>India</v>
      </c>
      <c r="C1635" s="1">
        <f ca="1">IFERROR(__xludf.DUMMYFUNCTION("""COMPUTED_VALUE"""),110006)</f>
        <v>110006</v>
      </c>
      <c r="D1635" s="1" t="str">
        <f ca="1">IFERROR(__xludf.DUMMYFUNCTION("""COMPUTED_VALUE"""),"Female")</f>
        <v>Female</v>
      </c>
      <c r="E1635" s="1" t="str">
        <f ca="1">IFERROR(__xludf.DUMMYFUNCTION("""COMPUTED_VALUE"""),"My Parents")</f>
        <v>My Parents</v>
      </c>
      <c r="F1635" s="1" t="str">
        <f ca="1">IFERROR(__xludf.DUMMYFUNCTION("""COMPUTED_VALUE"""),"Yes, I will earn and do that")</f>
        <v>Yes, I will earn and do that</v>
      </c>
      <c r="G1635" s="1" t="str">
        <f ca="1">IFERROR(__xludf.DUMMYFUNCTION("""COMPUTED_VALUE"""),"This will be hard to do, but if it is the right company I would try")</f>
        <v>This will be hard to do, but if it is the right company I would try</v>
      </c>
      <c r="H1635" s="1" t="str">
        <f ca="1">IFERROR(__xludf.DUMMYFUNCTION("""COMPUTED_VALUE"""),"No")</f>
        <v>No</v>
      </c>
      <c r="I1635" s="1" t="str">
        <f ca="1">IFERROR(__xludf.DUMMYFUNCTION("""COMPUTED_VALUE"""),"Will NOT work for them")</f>
        <v>Will NOT work for them</v>
      </c>
      <c r="J1635" s="1">
        <f ca="1">IFERROR(__xludf.DUMMYFUNCTION("""COMPUTED_VALUE"""),1)</f>
        <v>1</v>
      </c>
      <c r="K1635" s="1" t="str">
        <f ca="1">IFERROR(__xludf.DUMMYFUNCTION("""COMPUTED_VALUE"""),"Hybrid Working Environment with more than 15 days a month at office")</f>
        <v>Hybrid Working Environment with more than 15 days a month at office</v>
      </c>
      <c r="L163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3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635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1635" s="1" t="str">
        <f ca="1">IFERROR(__xludf.DUMMYFUNCTION("""COMPUTED_VALUE"""),"Manager who explains what is expected, sets a goal and helps achieve it")</f>
        <v>Manager who explains what is expected, sets a goal and helps achieve it</v>
      </c>
      <c r="P1635" s="1" t="str">
        <f ca="1">IFERROR(__xludf.DUMMYFUNCTION("""COMPUTED_VALUE"""),"Work with 7 to 10 or more people in my team")</f>
        <v>Work with 7 to 10 or more people in my team</v>
      </c>
      <c r="Q1635" s="1" t="str">
        <f ca="1">IFERROR(__xludf.DUMMYFUNCTION("""COMPUTED_VALUE"""),"Yes, I Understand this is gonna happen everywhere")</f>
        <v>Yes, I Understand this is gonna happen everywhere</v>
      </c>
      <c r="R1635" s="1" t="str">
        <f ca="1">IFERROR(__xludf.DUMMYFUNCTION("""COMPUTED_VALUE"""),"This will be hard to do, but if it is the right company I would try")</f>
        <v>This will be hard to do, but if it is the right company I would try</v>
      </c>
      <c r="S1635" s="1"/>
    </row>
    <row r="1636" spans="1:19" ht="12.5" x14ac:dyDescent="0.25">
      <c r="A1636" s="2">
        <f ca="1">IFERROR(__xludf.DUMMYFUNCTION("""COMPUTED_VALUE"""),45046.3310814467)</f>
        <v>45046.331081446697</v>
      </c>
      <c r="B1636" s="1" t="str">
        <f ca="1">IFERROR(__xludf.DUMMYFUNCTION("""COMPUTED_VALUE"""),"India")</f>
        <v>India</v>
      </c>
      <c r="C1636" s="1">
        <f ca="1">IFERROR(__xludf.DUMMYFUNCTION("""COMPUTED_VALUE"""),560066)</f>
        <v>560066</v>
      </c>
      <c r="D1636" s="1" t="str">
        <f ca="1">IFERROR(__xludf.DUMMYFUNCTION("""COMPUTED_VALUE"""),"Female")</f>
        <v>Female</v>
      </c>
      <c r="E1636" s="1" t="str">
        <f ca="1">IFERROR(__xludf.DUMMYFUNCTION("""COMPUTED_VALUE"""),"People from my circle, but not family members")</f>
        <v>People from my circle, but not family members</v>
      </c>
      <c r="F1636" s="1" t="str">
        <f ca="1">IFERROR(__xludf.DUMMYFUNCTION("""COMPUTED_VALUE"""),"No, But if someone could bare the cost I will")</f>
        <v>No, But if someone could bare the cost I will</v>
      </c>
      <c r="G1636" s="1" t="str">
        <f ca="1">IFERROR(__xludf.DUMMYFUNCTION("""COMPUTED_VALUE"""),"This will be hard to do, but if it is the right company I would try")</f>
        <v>This will be hard to do, but if it is the right company I would try</v>
      </c>
      <c r="H1636" s="1" t="str">
        <f ca="1">IFERROR(__xludf.DUMMYFUNCTION("""COMPUTED_VALUE"""),"No")</f>
        <v>No</v>
      </c>
      <c r="I1636" s="1" t="str">
        <f ca="1">IFERROR(__xludf.DUMMYFUNCTION("""COMPUTED_VALUE"""),"Will NOT work for them")</f>
        <v>Will NOT work for them</v>
      </c>
      <c r="J1636" s="1">
        <f ca="1">IFERROR(__xludf.DUMMYFUNCTION("""COMPUTED_VALUE"""),6)</f>
        <v>6</v>
      </c>
      <c r="K1636" s="1" t="str">
        <f ca="1">IFERROR(__xludf.DUMMYFUNCTION("""COMPUTED_VALUE"""),"Hybrid Working Environment with more than 15 days a month at office")</f>
        <v>Hybrid Working Environment with more than 15 days a month at office</v>
      </c>
      <c r="L16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3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36" s="1" t="str">
        <f ca="1">IFERROR(__xludf.DUMMYFUNCTION("""COMPUTED_VALUE"""),"Design and Creative strategy in any company, Teaching in any of the institutes/colleges/online or offline, Work in a BPO setup for some well known client, Entrepreneur or Start Up")</f>
        <v>Design and Creative strategy in any company, Teaching in any of the institutes/colleges/online or offline, Work in a BPO setup for some well known client, Entrepreneur or Start Up</v>
      </c>
      <c r="O1636" s="1" t="str">
        <f ca="1">IFERROR(__xludf.DUMMYFUNCTION("""COMPUTED_VALUE"""),"Manager who explains what is expected, sets a goal and helps achieve it")</f>
        <v>Manager who explains what is expected, sets a goal and helps achieve it</v>
      </c>
      <c r="P1636" s="1" t="str">
        <f ca="1">IFERROR(__xludf.DUMMYFUNCTION("""COMPUTED_VALUE"""),"Work with 7 to 10 or more people in my team")</f>
        <v>Work with 7 to 10 or more people in my team</v>
      </c>
      <c r="Q1636" s="1" t="str">
        <f ca="1">IFERROR(__xludf.DUMMYFUNCTION("""COMPUTED_VALUE"""),"Yes, I Understand this is gonna happen everywhere")</f>
        <v>Yes, I Understand this is gonna happen everywhere</v>
      </c>
      <c r="R1636" s="1" t="str">
        <f ca="1">IFERROR(__xludf.DUMMYFUNCTION("""COMPUTED_VALUE"""),"This will be hard to do, but if it is the right company I would try")</f>
        <v>This will be hard to do, but if it is the right company I would try</v>
      </c>
      <c r="S1636" s="1"/>
    </row>
    <row r="1637" spans="1:19" ht="12.5" x14ac:dyDescent="0.25">
      <c r="A1637" s="2">
        <f ca="1">IFERROR(__xludf.DUMMYFUNCTION("""COMPUTED_VALUE"""),45046.3585796527)</f>
        <v>45046.358579652697</v>
      </c>
      <c r="B1637" s="1" t="str">
        <f ca="1">IFERROR(__xludf.DUMMYFUNCTION("""COMPUTED_VALUE"""),"India")</f>
        <v>India</v>
      </c>
      <c r="C1637" s="1">
        <f ca="1">IFERROR(__xludf.DUMMYFUNCTION("""COMPUTED_VALUE"""),160002)</f>
        <v>160002</v>
      </c>
      <c r="D1637" s="1" t="str">
        <f ca="1">IFERROR(__xludf.DUMMYFUNCTION("""COMPUTED_VALUE"""),"Female")</f>
        <v>Female</v>
      </c>
      <c r="E1637" s="1" t="str">
        <f ca="1">IFERROR(__xludf.DUMMYFUNCTION("""COMPUTED_VALUE"""),"My Parents")</f>
        <v>My Parents</v>
      </c>
      <c r="F1637" s="1" t="str">
        <f ca="1">IFERROR(__xludf.DUMMYFUNCTION("""COMPUTED_VALUE"""),"No I would not be pursuing Higher Education outside of India")</f>
        <v>No I would not be pursuing Higher Education outside of India</v>
      </c>
      <c r="G1637" s="1" t="str">
        <f ca="1">IFERROR(__xludf.DUMMYFUNCTION("""COMPUTED_VALUE"""),"This will be hard to do, but if it is the right company I would try")</f>
        <v>This will be hard to do, but if it is the right company I would try</v>
      </c>
      <c r="H1637" s="1" t="str">
        <f ca="1">IFERROR(__xludf.DUMMYFUNCTION("""COMPUTED_VALUE"""),"No")</f>
        <v>No</v>
      </c>
      <c r="I1637" s="1" t="str">
        <f ca="1">IFERROR(__xludf.DUMMYFUNCTION("""COMPUTED_VALUE"""),"Will NOT work for them")</f>
        <v>Will NOT work for them</v>
      </c>
      <c r="J1637" s="1">
        <f ca="1">IFERROR(__xludf.DUMMYFUNCTION("""COMPUTED_VALUE"""),1)</f>
        <v>1</v>
      </c>
      <c r="K1637" s="1" t="str">
        <f ca="1">IFERROR(__xludf.DUMMYFUNCTION("""COMPUTED_VALUE"""),"Fully Remote with No option to visit offices")</f>
        <v>Fully Remote with No option to visit offices</v>
      </c>
      <c r="L1637" s="1" t="str">
        <f ca="1">IFERROR(__xludf.DUMMYFUNCTION("""COMPUTED_VALUE"""),"Employer who appreciates learning and enables that environment")</f>
        <v>Employer who appreciates learning and enables that environment</v>
      </c>
      <c r="M163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37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1637" s="1" t="str">
        <f ca="1">IFERROR(__xludf.DUMMYFUNCTION("""COMPUTED_VALUE"""),"Manager who clearly describes what she/he needs")</f>
        <v>Manager who clearly describes what she/he needs</v>
      </c>
      <c r="P1637" s="1" t="str">
        <f ca="1">IFERROR(__xludf.DUMMYFUNCTION("""COMPUTED_VALUE"""),"Work with 2 to 3 people in my team")</f>
        <v>Work with 2 to 3 people in my team</v>
      </c>
      <c r="Q1637" s="1" t="str">
        <f ca="1">IFERROR(__xludf.DUMMYFUNCTION("""COMPUTED_VALUE"""),"No")</f>
        <v>No</v>
      </c>
      <c r="R1637" s="1" t="str">
        <f ca="1">IFERROR(__xludf.DUMMYFUNCTION("""COMPUTED_VALUE"""),"No way")</f>
        <v>No way</v>
      </c>
      <c r="S1637" s="1"/>
    </row>
    <row r="1638" spans="1:19" ht="12.5" x14ac:dyDescent="0.25">
      <c r="A1638" s="2">
        <f ca="1">IFERROR(__xludf.DUMMYFUNCTION("""COMPUTED_VALUE"""),45046.4178829976)</f>
        <v>45046.417882997601</v>
      </c>
      <c r="B1638" s="1" t="str">
        <f ca="1">IFERROR(__xludf.DUMMYFUNCTION("""COMPUTED_VALUE"""),"India")</f>
        <v>India</v>
      </c>
      <c r="C1638" s="1">
        <f ca="1">IFERROR(__xludf.DUMMYFUNCTION("""COMPUTED_VALUE"""),605010)</f>
        <v>605010</v>
      </c>
      <c r="D1638" s="1" t="str">
        <f ca="1">IFERROR(__xludf.DUMMYFUNCTION("""COMPUTED_VALUE"""),"Female")</f>
        <v>Female</v>
      </c>
      <c r="E1638" s="1" t="str">
        <f ca="1">IFERROR(__xludf.DUMMYFUNCTION("""COMPUTED_VALUE"""),"People from my circle, but not family members")</f>
        <v>People from my circle, but not family members</v>
      </c>
      <c r="F1638" s="1" t="str">
        <f ca="1">IFERROR(__xludf.DUMMYFUNCTION("""COMPUTED_VALUE"""),"No, But if someone could bare the cost I will")</f>
        <v>No, But if someone could bare the cost I will</v>
      </c>
      <c r="G1638" s="1" t="str">
        <f ca="1">IFERROR(__xludf.DUMMYFUNCTION("""COMPUTED_VALUE"""),"Will work for 3 years or more")</f>
        <v>Will work for 3 years or more</v>
      </c>
      <c r="H1638" s="1" t="str">
        <f ca="1">IFERROR(__xludf.DUMMYFUNCTION("""COMPUTED_VALUE"""),"No")</f>
        <v>No</v>
      </c>
      <c r="I1638" s="1" t="str">
        <f ca="1">IFERROR(__xludf.DUMMYFUNCTION("""COMPUTED_VALUE"""),"Will NOT work for them")</f>
        <v>Will NOT work for them</v>
      </c>
      <c r="J1638" s="1">
        <f ca="1">IFERROR(__xludf.DUMMYFUNCTION("""COMPUTED_VALUE"""),6)</f>
        <v>6</v>
      </c>
      <c r="K1638" s="1" t="str">
        <f ca="1">IFERROR(__xludf.DUMMYFUNCTION("""COMPUTED_VALUE"""),"Fully Remote with Options to travel as and when needed")</f>
        <v>Fully Remote with Options to travel as and when needed</v>
      </c>
      <c r="L1638" s="1" t="str">
        <f ca="1">IFERROR(__xludf.DUMMYFUNCTION("""COMPUTED_VALUE"""),"Employer who rewards learning and enables that environment")</f>
        <v>Employer who rewards learning and enables that environment</v>
      </c>
      <c r="M163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38" s="1" t="str">
        <f ca="1">IFERROR(__xludf.DUMMYFUNCTION("""COMPUTED_VALUE"""),"Teaching in any of the institutes/colleges/online or offline, Business Operations in any organization, Manage and drive End-to-End Projects or Products, Look deeply into Data and generate insights")</f>
        <v>Teaching in any of the institutes/colleges/online or offline, Business Operations in any organization, Manage and drive End-to-End Projects or Products, Look deeply into Data and generate insights</v>
      </c>
      <c r="O1638" s="1" t="str">
        <f ca="1">IFERROR(__xludf.DUMMYFUNCTION("""COMPUTED_VALUE"""),"Manager who sets goal and helps me achieve it")</f>
        <v>Manager who sets goal and helps me achieve it</v>
      </c>
      <c r="P1638" s="1" t="str">
        <f ca="1">IFERROR(__xludf.DUMMYFUNCTION("""COMPUTED_VALUE"""),"Work with 2 to 3 people in my team")</f>
        <v>Work with 2 to 3 people in my team</v>
      </c>
      <c r="Q1638" s="1" t="str">
        <f ca="1">IFERROR(__xludf.DUMMYFUNCTION("""COMPUTED_VALUE"""),"Yes, I Understand this is gonna happen everywhere")</f>
        <v>Yes, I Understand this is gonna happen everywhere</v>
      </c>
      <c r="R1638" s="1" t="str">
        <f ca="1">IFERROR(__xludf.DUMMYFUNCTION("""COMPUTED_VALUE"""),"This will be hard to do, but if it is the right company I would try")</f>
        <v>This will be hard to do, but if it is the right company I would try</v>
      </c>
      <c r="S1638" s="1"/>
    </row>
    <row r="1639" spans="1:19" ht="12.5" x14ac:dyDescent="0.25">
      <c r="A1639" s="2">
        <f ca="1">IFERROR(__xludf.DUMMYFUNCTION("""COMPUTED_VALUE"""),45046.4212645949)</f>
        <v>45046.421264594901</v>
      </c>
      <c r="B1639" s="1" t="str">
        <f ca="1">IFERROR(__xludf.DUMMYFUNCTION("""COMPUTED_VALUE"""),"India")</f>
        <v>India</v>
      </c>
      <c r="C1639" s="1">
        <f ca="1">IFERROR(__xludf.DUMMYFUNCTION("""COMPUTED_VALUE"""),571301)</f>
        <v>571301</v>
      </c>
      <c r="D1639" s="1" t="str">
        <f ca="1">IFERROR(__xludf.DUMMYFUNCTION("""COMPUTED_VALUE"""),"Male")</f>
        <v>Male</v>
      </c>
      <c r="E1639" s="1" t="str">
        <f ca="1">IFERROR(__xludf.DUMMYFUNCTION("""COMPUTED_VALUE"""),"My Parents")</f>
        <v>My Parents</v>
      </c>
      <c r="F1639" s="1" t="str">
        <f ca="1">IFERROR(__xludf.DUMMYFUNCTION("""COMPUTED_VALUE"""),"No I would not be pursuing Higher Education outside of India")</f>
        <v>No I would not be pursuing Higher Education outside of India</v>
      </c>
      <c r="G1639" s="1" t="str">
        <f ca="1">IFERROR(__xludf.DUMMYFUNCTION("""COMPUTED_VALUE"""),"This will be hard to do, but if it is the right company I would try")</f>
        <v>This will be hard to do, but if it is the right company I would try</v>
      </c>
      <c r="H1639" s="1" t="str">
        <f ca="1">IFERROR(__xludf.DUMMYFUNCTION("""COMPUTED_VALUE"""),"No")</f>
        <v>No</v>
      </c>
      <c r="I1639" s="1" t="str">
        <f ca="1">IFERROR(__xludf.DUMMYFUNCTION("""COMPUTED_VALUE"""),"Will NOT work for them")</f>
        <v>Will NOT work for them</v>
      </c>
      <c r="J1639" s="1">
        <f ca="1">IFERROR(__xludf.DUMMYFUNCTION("""COMPUTED_VALUE"""),5)</f>
        <v>5</v>
      </c>
      <c r="K1639" s="1" t="str">
        <f ca="1">IFERROR(__xludf.DUMMYFUNCTION("""COMPUTED_VALUE"""),"Hybrid Working Environment with more than 15 days a month at office")</f>
        <v>Hybrid Working Environment with more than 15 days a month at office</v>
      </c>
      <c r="L1639" s="1" t="str">
        <f ca="1">IFERROR(__xludf.DUMMYFUNCTION("""COMPUTED_VALUE"""),"Employer who appreciates learning and enables that environment")</f>
        <v>Employer who appreciates learning and enables that environment</v>
      </c>
      <c r="M163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639" s="1" t="str">
        <f ca="1">IFERROR(__xludf.DUMMYFUNCTION("""COMPUTED_VALUE"""),"Business Operations in any organization, Work as a freelancer and do my thing my way, Entrepreneur or Start Up, Manufacturing / Oil and Gas/ Construction / Hard Physical Work related")</f>
        <v>Business Operations in any organization, Work as a freelancer and do my thing my way, Entrepreneur or Start Up, Manufacturing / Oil and Gas/ Construction / Hard Physical Work related</v>
      </c>
      <c r="O1639" s="1" t="str">
        <f ca="1">IFERROR(__xludf.DUMMYFUNCTION("""COMPUTED_VALUE"""),"Manager who clearly describes what she/he needs")</f>
        <v>Manager who clearly describes what she/he needs</v>
      </c>
      <c r="P1639" s="1" t="str">
        <f ca="1">IFERROR(__xludf.DUMMYFUNCTION("""COMPUTED_VALUE"""),"Work with more than 10 people in my team")</f>
        <v>Work with more than 10 people in my team</v>
      </c>
      <c r="Q1639" s="1" t="str">
        <f ca="1">IFERROR(__xludf.DUMMYFUNCTION("""COMPUTED_VALUE"""),"Yes, I Understand this is gonna happen everywhere")</f>
        <v>Yes, I Understand this is gonna happen everywhere</v>
      </c>
      <c r="R1639" s="1" t="str">
        <f ca="1">IFERROR(__xludf.DUMMYFUNCTION("""COMPUTED_VALUE"""),"This will be hard to do, but if it is the right company I would try")</f>
        <v>This will be hard to do, but if it is the right company I would try</v>
      </c>
      <c r="S1639" s="1"/>
    </row>
    <row r="1640" spans="1:19" ht="12.5" x14ac:dyDescent="0.25">
      <c r="A1640" s="2">
        <f ca="1">IFERROR(__xludf.DUMMYFUNCTION("""COMPUTED_VALUE"""),45046.4299020486)</f>
        <v>45046.4299020486</v>
      </c>
      <c r="B1640" s="1" t="str">
        <f ca="1">IFERROR(__xludf.DUMMYFUNCTION("""COMPUTED_VALUE"""),"Canada")</f>
        <v>Canada</v>
      </c>
      <c r="C1640" s="1" t="str">
        <f ca="1">IFERROR(__xludf.DUMMYFUNCTION("""COMPUTED_VALUE"""),"M3J0E5")</f>
        <v>M3J0E5</v>
      </c>
      <c r="D1640" s="1" t="str">
        <f ca="1">IFERROR(__xludf.DUMMYFUNCTION("""COMPUTED_VALUE"""),"Female")</f>
        <v>Female</v>
      </c>
      <c r="E1640" s="1" t="str">
        <f ca="1">IFERROR(__xludf.DUMMYFUNCTION("""COMPUTED_VALUE"""),"People from my circle, but not family members")</f>
        <v>People from my circle, but not family members</v>
      </c>
      <c r="F1640" s="1" t="str">
        <f ca="1">IFERROR(__xludf.DUMMYFUNCTION("""COMPUTED_VALUE"""),"Yes, I will earn and do that")</f>
        <v>Yes, I will earn and do that</v>
      </c>
      <c r="G1640" s="1" t="str">
        <f ca="1">IFERROR(__xludf.DUMMYFUNCTION("""COMPUTED_VALUE"""),"No way")</f>
        <v>No way</v>
      </c>
      <c r="H1640" s="1" t="str">
        <f ca="1">IFERROR(__xludf.DUMMYFUNCTION("""COMPUTED_VALUE"""),"No")</f>
        <v>No</v>
      </c>
      <c r="I1640" s="1" t="str">
        <f ca="1">IFERROR(__xludf.DUMMYFUNCTION("""COMPUTED_VALUE"""),"Will work for them")</f>
        <v>Will work for them</v>
      </c>
      <c r="J1640" s="1">
        <f ca="1">IFERROR(__xludf.DUMMYFUNCTION("""COMPUTED_VALUE"""),8)</f>
        <v>8</v>
      </c>
      <c r="K1640" s="1" t="str">
        <f ca="1">IFERROR(__xludf.DUMMYFUNCTION("""COMPUTED_VALUE"""),"Fully Remote with Options to travel as and when needed")</f>
        <v>Fully Remote with Options to travel as and when needed</v>
      </c>
      <c r="L16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40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640" s="1" t="str">
        <f ca="1">IFERROR(__xludf.DUMMYFUNCTION("""COMPUTED_VALUE"""),"Business Operations in any organization, Manage and drive End-to-End Projects or Products, Build and develop a Team, Manufacturing / Oil and Gas/ Construction / Hard Physical Work related")</f>
        <v>Business Operations in any organization, Manage and drive End-to-End Projects or Products, Build and develop a Team, Manufacturing / Oil and Gas/ Construction / Hard Physical Work related</v>
      </c>
      <c r="O1640" s="1" t="str">
        <f ca="1">IFERROR(__xludf.DUMMYFUNCTION("""COMPUTED_VALUE"""),"Manager who sets goal and helps me achieve it")</f>
        <v>Manager who sets goal and helps me achieve it</v>
      </c>
      <c r="P1640" s="1" t="str">
        <f ca="1">IFERROR(__xludf.DUMMYFUNCTION("""COMPUTED_VALUE"""),"Work with more than 10 people in my team")</f>
        <v>Work with more than 10 people in my team</v>
      </c>
      <c r="Q1640" s="1" t="str">
        <f ca="1">IFERROR(__xludf.DUMMYFUNCTION("""COMPUTED_VALUE"""),"Yes, I Understand this is gonna happen everywhere")</f>
        <v>Yes, I Understand this is gonna happen everywhere</v>
      </c>
      <c r="R1640" s="1" t="str">
        <f ca="1">IFERROR(__xludf.DUMMYFUNCTION("""COMPUTED_VALUE"""),"No way")</f>
        <v>No way</v>
      </c>
      <c r="S1640" s="1"/>
    </row>
    <row r="1641" spans="1:19" ht="12.5" x14ac:dyDescent="0.25">
      <c r="A1641" s="2">
        <f ca="1">IFERROR(__xludf.DUMMYFUNCTION("""COMPUTED_VALUE"""),45046.4421729861)</f>
        <v>45046.442172986099</v>
      </c>
      <c r="B1641" s="1" t="str">
        <f ca="1">IFERROR(__xludf.DUMMYFUNCTION("""COMPUTED_VALUE"""),"India")</f>
        <v>India</v>
      </c>
      <c r="C1641" s="1">
        <f ca="1">IFERROR(__xludf.DUMMYFUNCTION("""COMPUTED_VALUE"""),243006)</f>
        <v>243006</v>
      </c>
      <c r="D1641" s="1" t="str">
        <f ca="1">IFERROR(__xludf.DUMMYFUNCTION("""COMPUTED_VALUE"""),"Male")</f>
        <v>Male</v>
      </c>
      <c r="E1641" s="1" t="str">
        <f ca="1">IFERROR(__xludf.DUMMYFUNCTION("""COMPUTED_VALUE"""),"Influencers who had successful careers")</f>
        <v>Influencers who had successful careers</v>
      </c>
      <c r="F1641" s="1" t="str">
        <f ca="1">IFERROR(__xludf.DUMMYFUNCTION("""COMPUTED_VALUE"""),"No I would not be pursuing Higher Education outside of India")</f>
        <v>No I would not be pursuing Higher Education outside of India</v>
      </c>
      <c r="G1641" s="1" t="str">
        <f ca="1">IFERROR(__xludf.DUMMYFUNCTION("""COMPUTED_VALUE"""),"This will be hard to do, but if it is the right company I would try")</f>
        <v>This will be hard to do, but if it is the right company I would try</v>
      </c>
      <c r="H1641" s="1" t="str">
        <f ca="1">IFERROR(__xludf.DUMMYFUNCTION("""COMPUTED_VALUE"""),"Yes")</f>
        <v>Yes</v>
      </c>
      <c r="I1641" s="1" t="str">
        <f ca="1">IFERROR(__xludf.DUMMYFUNCTION("""COMPUTED_VALUE"""),"Will NOT work for them")</f>
        <v>Will NOT work for them</v>
      </c>
      <c r="J1641" s="1">
        <f ca="1">IFERROR(__xludf.DUMMYFUNCTION("""COMPUTED_VALUE"""),5)</f>
        <v>5</v>
      </c>
      <c r="K1641" s="1" t="str">
        <f ca="1">IFERROR(__xludf.DUMMYFUNCTION("""COMPUTED_VALUE"""),"Hybrid Working Environment with less than 3 days a month at office")</f>
        <v>Hybrid Working Environment with less than 3 days a month at office</v>
      </c>
      <c r="L16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4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41" s="1" t="str">
        <f ca="1">IFERROR(__xludf.DUMMYFUNCTION("""COMPUTED_VALUE"""),"Look deeply into Data and generate insights, Work as a freelancer and do my thing my way, Entrepreneur or Start Up, An Artificial Intelligence Specialist / Talking to Robots")</f>
        <v>Look deeply into Data and generate insights, Work as a freelancer and do my thing my way, Entrepreneur or Start Up, An Artificial Intelligence Specialist / Talking to Robots</v>
      </c>
      <c r="O1641" s="1" t="str">
        <f ca="1">IFERROR(__xludf.DUMMYFUNCTION("""COMPUTED_VALUE"""),"Manager who explains what is expected, sets a goal and helps achieve it")</f>
        <v>Manager who explains what is expected, sets a goal and helps achieve it</v>
      </c>
      <c r="P1641" s="1" t="str">
        <f ca="1">IFERROR(__xludf.DUMMYFUNCTION("""COMPUTED_VALUE"""),"Work with 5 to 6 people in my team")</f>
        <v>Work with 5 to 6 people in my team</v>
      </c>
      <c r="Q1641" s="1" t="str">
        <f ca="1">IFERROR(__xludf.DUMMYFUNCTION("""COMPUTED_VALUE"""),"Yes, I Understand this is gonna happen everywhere")</f>
        <v>Yes, I Understand this is gonna happen everywhere</v>
      </c>
      <c r="R1641" s="1" t="str">
        <f ca="1">IFERROR(__xludf.DUMMYFUNCTION("""COMPUTED_VALUE"""),"This will be hard to do, but if it is the right company I would try")</f>
        <v>This will be hard to do, but if it is the right company I would try</v>
      </c>
      <c r="S1641" s="1"/>
    </row>
    <row r="1642" spans="1:19" ht="12.5" x14ac:dyDescent="0.25">
      <c r="A1642" s="2">
        <f ca="1">IFERROR(__xludf.DUMMYFUNCTION("""COMPUTED_VALUE"""),45046.4502612384)</f>
        <v>45046.450261238402</v>
      </c>
      <c r="B1642" s="1" t="str">
        <f ca="1">IFERROR(__xludf.DUMMYFUNCTION("""COMPUTED_VALUE"""),"India")</f>
        <v>India</v>
      </c>
      <c r="C1642" s="1">
        <f ca="1">IFERROR(__xludf.DUMMYFUNCTION("""COMPUTED_VALUE"""),142026)</f>
        <v>142026</v>
      </c>
      <c r="D1642" s="1" t="str">
        <f ca="1">IFERROR(__xludf.DUMMYFUNCTION("""COMPUTED_VALUE"""),"Female")</f>
        <v>Female</v>
      </c>
      <c r="E1642" s="1" t="str">
        <f ca="1">IFERROR(__xludf.DUMMYFUNCTION("""COMPUTED_VALUE"""),"My Parents")</f>
        <v>My Parents</v>
      </c>
      <c r="F1642" s="1" t="str">
        <f ca="1">IFERROR(__xludf.DUMMYFUNCTION("""COMPUTED_VALUE"""),"Yes, I will earn and do that")</f>
        <v>Yes, I will earn and do that</v>
      </c>
      <c r="G1642" s="1" t="str">
        <f ca="1">IFERROR(__xludf.DUMMYFUNCTION("""COMPUTED_VALUE"""),"Will work for 3 years or more")</f>
        <v>Will work for 3 years or more</v>
      </c>
      <c r="H1642" s="1" t="str">
        <f ca="1">IFERROR(__xludf.DUMMYFUNCTION("""COMPUTED_VALUE"""),"No")</f>
        <v>No</v>
      </c>
      <c r="I1642" s="1" t="str">
        <f ca="1">IFERROR(__xludf.DUMMYFUNCTION("""COMPUTED_VALUE"""),"Will NOT work for them")</f>
        <v>Will NOT work for them</v>
      </c>
      <c r="J1642" s="1">
        <f ca="1">IFERROR(__xludf.DUMMYFUNCTION("""COMPUTED_VALUE"""),8)</f>
        <v>8</v>
      </c>
      <c r="K1642" s="1" t="str">
        <f ca="1">IFERROR(__xludf.DUMMYFUNCTION("""COMPUTED_VALUE"""),"Fully Remote with Options to travel as and when needed")</f>
        <v>Fully Remote with Options to travel as and when needed</v>
      </c>
      <c r="L16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4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642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1642" s="1" t="str">
        <f ca="1">IFERROR(__xludf.DUMMYFUNCTION("""COMPUTED_VALUE"""),"Manager who sets goal and helps me achieve it")</f>
        <v>Manager who sets goal and helps me achieve it</v>
      </c>
      <c r="P1642" s="1" t="str">
        <f ca="1">IFERROR(__xludf.DUMMYFUNCTION("""COMPUTED_VALUE"""),"Work alone")</f>
        <v>Work alone</v>
      </c>
      <c r="Q1642" s="1" t="str">
        <f ca="1">IFERROR(__xludf.DUMMYFUNCTION("""COMPUTED_VALUE"""),"Yes")</f>
        <v>Yes</v>
      </c>
      <c r="R1642" s="1" t="str">
        <f ca="1">IFERROR(__xludf.DUMMYFUNCTION("""COMPUTED_VALUE"""),"This will be hard to do, but if it is the right company I would try")</f>
        <v>This will be hard to do, but if it is the right company I would try</v>
      </c>
      <c r="S1642" s="1"/>
    </row>
    <row r="1643" spans="1:19" ht="12.5" x14ac:dyDescent="0.25">
      <c r="A1643" s="2">
        <f ca="1">IFERROR(__xludf.DUMMYFUNCTION("""COMPUTED_VALUE"""),45046.465264699)</f>
        <v>45046.465264699</v>
      </c>
      <c r="B1643" s="1" t="str">
        <f ca="1">IFERROR(__xludf.DUMMYFUNCTION("""COMPUTED_VALUE"""),"India")</f>
        <v>India</v>
      </c>
      <c r="C1643" s="1">
        <f ca="1">IFERROR(__xludf.DUMMYFUNCTION("""COMPUTED_VALUE"""),605013)</f>
        <v>605013</v>
      </c>
      <c r="D1643" s="1" t="str">
        <f ca="1">IFERROR(__xludf.DUMMYFUNCTION("""COMPUTED_VALUE"""),"Female")</f>
        <v>Female</v>
      </c>
      <c r="E1643" s="1" t="str">
        <f ca="1">IFERROR(__xludf.DUMMYFUNCTION("""COMPUTED_VALUE"""),"My Parents")</f>
        <v>My Parents</v>
      </c>
      <c r="F1643" s="1" t="str">
        <f ca="1">IFERROR(__xludf.DUMMYFUNCTION("""COMPUTED_VALUE"""),"Yes, I will earn and do that")</f>
        <v>Yes, I will earn and do that</v>
      </c>
      <c r="G1643" s="1" t="str">
        <f ca="1">IFERROR(__xludf.DUMMYFUNCTION("""COMPUTED_VALUE"""),"Will work for 3 years or more")</f>
        <v>Will work for 3 years or more</v>
      </c>
      <c r="H1643" s="1" t="str">
        <f ca="1">IFERROR(__xludf.DUMMYFUNCTION("""COMPUTED_VALUE"""),"No")</f>
        <v>No</v>
      </c>
      <c r="I1643" s="1" t="str">
        <f ca="1">IFERROR(__xludf.DUMMYFUNCTION("""COMPUTED_VALUE"""),"Will NOT work for them")</f>
        <v>Will NOT work for them</v>
      </c>
      <c r="J1643" s="1">
        <f ca="1">IFERROR(__xludf.DUMMYFUNCTION("""COMPUTED_VALUE"""),9)</f>
        <v>9</v>
      </c>
      <c r="K1643" s="1" t="str">
        <f ca="1">IFERROR(__xludf.DUMMYFUNCTION("""COMPUTED_VALUE"""),"Hybrid Working Environment with more than 15 days a month at office")</f>
        <v>Hybrid Working Environment with more than 15 days a month at office</v>
      </c>
      <c r="L1643" s="1" t="str">
        <f ca="1">IFERROR(__xludf.DUMMYFUNCTION("""COMPUTED_VALUE"""),"Employer who appreciates learning and enables that environment")</f>
        <v>Employer who appreciates learning and enables that environment</v>
      </c>
      <c r="M1643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643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643" s="1" t="str">
        <f ca="1">IFERROR(__xludf.DUMMYFUNCTION("""COMPUTED_VALUE"""),"Manager who explains what is expected, sets a goal and helps achieve it")</f>
        <v>Manager who explains what is expected, sets a goal and helps achieve it</v>
      </c>
      <c r="P1643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643" s="1" t="str">
        <f ca="1">IFERROR(__xludf.DUMMYFUNCTION("""COMPUTED_VALUE"""),"Yes, I Understand this is gonna happen everywhere")</f>
        <v>Yes, I Understand this is gonna happen everywhere</v>
      </c>
      <c r="R1643" s="1" t="str">
        <f ca="1">IFERROR(__xludf.DUMMYFUNCTION("""COMPUTED_VALUE"""),"This will be hard to do, but if it is the right company I would try")</f>
        <v>This will be hard to do, but if it is the right company I would try</v>
      </c>
      <c r="S1643" s="1"/>
    </row>
    <row r="1644" spans="1:19" ht="12.5" x14ac:dyDescent="0.25">
      <c r="A1644" s="2">
        <f ca="1">IFERROR(__xludf.DUMMYFUNCTION("""COMPUTED_VALUE"""),45046.4777301504)</f>
        <v>45046.4777301504</v>
      </c>
      <c r="B1644" s="1" t="str">
        <f ca="1">IFERROR(__xludf.DUMMYFUNCTION("""COMPUTED_VALUE"""),"India")</f>
        <v>India</v>
      </c>
      <c r="C1644" s="1">
        <f ca="1">IFERROR(__xludf.DUMMYFUNCTION("""COMPUTED_VALUE"""),201010)</f>
        <v>201010</v>
      </c>
      <c r="D1644" s="1" t="str">
        <f ca="1">IFERROR(__xludf.DUMMYFUNCTION("""COMPUTED_VALUE"""),"Male")</f>
        <v>Male</v>
      </c>
      <c r="E1644" s="1" t="str">
        <f ca="1">IFERROR(__xludf.DUMMYFUNCTION("""COMPUTED_VALUE"""),"People from my circle, but not family members")</f>
        <v>People from my circle, but not family members</v>
      </c>
      <c r="F1644" s="1" t="str">
        <f ca="1">IFERROR(__xludf.DUMMYFUNCTION("""COMPUTED_VALUE"""),"No I would not be pursuing Higher Education outside of India")</f>
        <v>No I would not be pursuing Higher Education outside of India</v>
      </c>
      <c r="G1644" s="1" t="str">
        <f ca="1">IFERROR(__xludf.DUMMYFUNCTION("""COMPUTED_VALUE"""),"Will work for 3 years or more")</f>
        <v>Will work for 3 years or more</v>
      </c>
      <c r="H1644" s="1" t="str">
        <f ca="1">IFERROR(__xludf.DUMMYFUNCTION("""COMPUTED_VALUE"""),"No")</f>
        <v>No</v>
      </c>
      <c r="I1644" s="1" t="str">
        <f ca="1">IFERROR(__xludf.DUMMYFUNCTION("""COMPUTED_VALUE"""),"Will work for them")</f>
        <v>Will work for them</v>
      </c>
      <c r="J1644" s="1">
        <f ca="1">IFERROR(__xludf.DUMMYFUNCTION("""COMPUTED_VALUE"""),10)</f>
        <v>10</v>
      </c>
      <c r="K1644" s="1" t="str">
        <f ca="1">IFERROR(__xludf.DUMMYFUNCTION("""COMPUTED_VALUE"""),"Every Day Office Environment")</f>
        <v>Every Day Office Environment</v>
      </c>
      <c r="L16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44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644" s="1" t="str">
        <f ca="1">IFERROR(__xludf.DUMMYFUNCTION("""COMPUTED_VALUE"""),"Design and Creative strategy in any company, Look deeply into Data and generate insights, Entrepreneur or Start Up, I Want to sell things/Sales")</f>
        <v>Design and Creative strategy in any company, Look deeply into Data and generate insights, Entrepreneur or Start Up, I Want to sell things/Sales</v>
      </c>
      <c r="O1644" s="1" t="str">
        <f ca="1">IFERROR(__xludf.DUMMYFUNCTION("""COMPUTED_VALUE"""),"Manager who explains what is expected, sets a goal and helps achieve it")</f>
        <v>Manager who explains what is expected, sets a goal and helps achieve it</v>
      </c>
      <c r="P1644" s="1" t="str">
        <f ca="1">IFERROR(__xludf.DUMMYFUNCTION("""COMPUTED_VALUE"""),"Work with 7 to 10 or more people in my team")</f>
        <v>Work with 7 to 10 or more people in my team</v>
      </c>
      <c r="Q1644" s="1" t="str">
        <f ca="1">IFERROR(__xludf.DUMMYFUNCTION("""COMPUTED_VALUE"""),"No")</f>
        <v>No</v>
      </c>
      <c r="R1644" s="1" t="str">
        <f ca="1">IFERROR(__xludf.DUMMYFUNCTION("""COMPUTED_VALUE"""),"This will be hard to do, but if it is the right company I would try")</f>
        <v>This will be hard to do, but if it is the right company I would try</v>
      </c>
      <c r="S1644" s="1"/>
    </row>
    <row r="1645" spans="1:19" ht="12.5" x14ac:dyDescent="0.25">
      <c r="A1645" s="2">
        <f ca="1">IFERROR(__xludf.DUMMYFUNCTION("""COMPUTED_VALUE"""),45046.5172536111)</f>
        <v>45046.517253611099</v>
      </c>
      <c r="B1645" s="1" t="str">
        <f ca="1">IFERROR(__xludf.DUMMYFUNCTION("""COMPUTED_VALUE"""),"India")</f>
        <v>India</v>
      </c>
      <c r="C1645" s="1">
        <f ca="1">IFERROR(__xludf.DUMMYFUNCTION("""COMPUTED_VALUE"""),518395)</f>
        <v>518395</v>
      </c>
      <c r="D1645" s="1" t="str">
        <f ca="1">IFERROR(__xludf.DUMMYFUNCTION("""COMPUTED_VALUE"""),"Male")</f>
        <v>Male</v>
      </c>
      <c r="E1645" s="1" t="str">
        <f ca="1">IFERROR(__xludf.DUMMYFUNCTION("""COMPUTED_VALUE"""),"People who have changed the world for better")</f>
        <v>People who have changed the world for better</v>
      </c>
      <c r="F1645" s="1" t="str">
        <f ca="1">IFERROR(__xludf.DUMMYFUNCTION("""COMPUTED_VALUE"""),"No I would not be pursuing Higher Education outside of India")</f>
        <v>No I would not be pursuing Higher Education outside of India</v>
      </c>
      <c r="G1645" s="1" t="str">
        <f ca="1">IFERROR(__xludf.DUMMYFUNCTION("""COMPUTED_VALUE"""),"Will work for 3 years or more")</f>
        <v>Will work for 3 years or more</v>
      </c>
      <c r="H1645" s="1" t="str">
        <f ca="1">IFERROR(__xludf.DUMMYFUNCTION("""COMPUTED_VALUE"""),"No")</f>
        <v>No</v>
      </c>
      <c r="I1645" s="1" t="str">
        <f ca="1">IFERROR(__xludf.DUMMYFUNCTION("""COMPUTED_VALUE"""),"Will NOT work for them")</f>
        <v>Will NOT work for them</v>
      </c>
      <c r="J1645" s="1">
        <f ca="1">IFERROR(__xludf.DUMMYFUNCTION("""COMPUTED_VALUE"""),8)</f>
        <v>8</v>
      </c>
      <c r="K1645" s="1" t="str">
        <f ca="1">IFERROR(__xludf.DUMMYFUNCTION("""COMPUTED_VALUE"""),"Fully Remote with Options to travel as and when needed")</f>
        <v>Fully Remote with Options to travel as and when needed</v>
      </c>
      <c r="L1645" s="1" t="str">
        <f ca="1">IFERROR(__xludf.DUMMYFUNCTION("""COMPUTED_VALUE"""),"Employer who appreciates learning and enables that environment")</f>
        <v>Employer who appreciates learning and enables that environment</v>
      </c>
      <c r="M164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645" s="1" t="str">
        <f ca="1">IFERROR(__xludf.DUMMYFUNCTION("""COMPUTED_VALUE"""),"Teaching in any of the institutes/colleges/online or offline, Build and develop a Team, Look deeply into Data and generate insights, Work in a BPO setup for some well known client")</f>
        <v>Teaching in any of the institutes/colleges/online or offline, Build and develop a Team, Look deeply into Data and generate insights, Work in a BPO setup for some well known client</v>
      </c>
      <c r="O1645" s="1" t="str">
        <f ca="1">IFERROR(__xludf.DUMMYFUNCTION("""COMPUTED_VALUE"""),"Manager who clearly describes what she/he needs")</f>
        <v>Manager who clearly describes what she/he needs</v>
      </c>
      <c r="P1645" s="1" t="str">
        <f ca="1">IFERROR(__xludf.DUMMYFUNCTION("""COMPUTED_VALUE"""),"Work with more than 10 people in my team")</f>
        <v>Work with more than 10 people in my team</v>
      </c>
      <c r="Q1645" s="1" t="str">
        <f ca="1">IFERROR(__xludf.DUMMYFUNCTION("""COMPUTED_VALUE"""),"Yes")</f>
        <v>Yes</v>
      </c>
      <c r="R1645" s="1" t="str">
        <f ca="1">IFERROR(__xludf.DUMMYFUNCTION("""COMPUTED_VALUE"""),"No way")</f>
        <v>No way</v>
      </c>
      <c r="S1645" s="1"/>
    </row>
    <row r="1646" spans="1:19" ht="12.5" x14ac:dyDescent="0.25">
      <c r="A1646" s="2">
        <f ca="1">IFERROR(__xludf.DUMMYFUNCTION("""COMPUTED_VALUE"""),45046.5203216319)</f>
        <v>45046.520321631899</v>
      </c>
      <c r="B1646" s="1" t="str">
        <f ca="1">IFERROR(__xludf.DUMMYFUNCTION("""COMPUTED_VALUE"""),"India")</f>
        <v>India</v>
      </c>
      <c r="C1646" s="1">
        <f ca="1">IFERROR(__xludf.DUMMYFUNCTION("""COMPUTED_VALUE"""),700032)</f>
        <v>700032</v>
      </c>
      <c r="D1646" s="1" t="str">
        <f ca="1">IFERROR(__xludf.DUMMYFUNCTION("""COMPUTED_VALUE"""),"Female")</f>
        <v>Female</v>
      </c>
      <c r="E1646" s="1" t="str">
        <f ca="1">IFERROR(__xludf.DUMMYFUNCTION("""COMPUTED_VALUE"""),"Influencers who had successful careers")</f>
        <v>Influencers who had successful careers</v>
      </c>
      <c r="F1646" s="1" t="str">
        <f ca="1">IFERROR(__xludf.DUMMYFUNCTION("""COMPUTED_VALUE"""),"No, But if someone could bare the cost I will")</f>
        <v>No, But if someone could bare the cost I will</v>
      </c>
      <c r="G1646" s="1" t="str">
        <f ca="1">IFERROR(__xludf.DUMMYFUNCTION("""COMPUTED_VALUE"""),"Will work for 3 years or more")</f>
        <v>Will work for 3 years or more</v>
      </c>
      <c r="H1646" s="1" t="str">
        <f ca="1">IFERROR(__xludf.DUMMYFUNCTION("""COMPUTED_VALUE"""),"Yes")</f>
        <v>Yes</v>
      </c>
      <c r="I1646" s="1" t="str">
        <f ca="1">IFERROR(__xludf.DUMMYFUNCTION("""COMPUTED_VALUE"""),"Will work for them")</f>
        <v>Will work for them</v>
      </c>
      <c r="J1646" s="1">
        <f ca="1">IFERROR(__xludf.DUMMYFUNCTION("""COMPUTED_VALUE"""),7)</f>
        <v>7</v>
      </c>
      <c r="K1646" s="1" t="str">
        <f ca="1">IFERROR(__xludf.DUMMYFUNCTION("""COMPUTED_VALUE"""),"Hybrid Working Environment with less than 3 days a month at office")</f>
        <v>Hybrid Working Environment with less than 3 days a month at office</v>
      </c>
      <c r="L16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4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46" s="1" t="str">
        <f ca="1">IFERROR(__xludf.DUMMYFUNCTION("""COMPUTED_VALUE"""),"Design and Creative strategy in any company, Look deeply into Data and generate insights, Work in a BPO setup for some well known client, Work as a freelancer and do my thing my way")</f>
        <v>Design and Creative strategy in any company, Look deeply into Data and generate insights, Work in a BPO setup for some well known client, Work as a freelancer and do my thing my way</v>
      </c>
      <c r="O1646" s="1" t="str">
        <f ca="1">IFERROR(__xludf.DUMMYFUNCTION("""COMPUTED_VALUE"""),"Manager who explains what is expected, sets a goal and helps achieve it")</f>
        <v>Manager who explains what is expected, sets a goal and helps achieve it</v>
      </c>
      <c r="P1646" s="1" t="str">
        <f ca="1">IFERROR(__xludf.DUMMYFUNCTION("""COMPUTED_VALUE"""),"Work with 2 to 3 people in my team")</f>
        <v>Work with 2 to 3 people in my team</v>
      </c>
      <c r="Q1646" s="1" t="str">
        <f ca="1">IFERROR(__xludf.DUMMYFUNCTION("""COMPUTED_VALUE"""),"No")</f>
        <v>No</v>
      </c>
      <c r="R1646" s="1" t="str">
        <f ca="1">IFERROR(__xludf.DUMMYFUNCTION("""COMPUTED_VALUE"""),"This will be hard to do, but if it is the right company I would try")</f>
        <v>This will be hard to do, but if it is the right company I would try</v>
      </c>
      <c r="S1646" s="1"/>
    </row>
    <row r="1647" spans="1:19" ht="12.5" x14ac:dyDescent="0.25">
      <c r="A1647" s="2">
        <f ca="1">IFERROR(__xludf.DUMMYFUNCTION("""COMPUTED_VALUE"""),45046.5217293171)</f>
        <v>45046.521729317101</v>
      </c>
      <c r="B1647" s="1" t="str">
        <f ca="1">IFERROR(__xludf.DUMMYFUNCTION("""COMPUTED_VALUE"""),"India")</f>
        <v>India</v>
      </c>
      <c r="C1647" s="1">
        <f ca="1">IFERROR(__xludf.DUMMYFUNCTION("""COMPUTED_VALUE"""),395006)</f>
        <v>395006</v>
      </c>
      <c r="D1647" s="1" t="str">
        <f ca="1">IFERROR(__xludf.DUMMYFUNCTION("""COMPUTED_VALUE"""),"Male")</f>
        <v>Male</v>
      </c>
      <c r="E1647" s="1" t="str">
        <f ca="1">IFERROR(__xludf.DUMMYFUNCTION("""COMPUTED_VALUE"""),"People who have changed the world for better")</f>
        <v>People who have changed the world for better</v>
      </c>
      <c r="F1647" s="1" t="str">
        <f ca="1">IFERROR(__xludf.DUMMYFUNCTION("""COMPUTED_VALUE"""),"Yes, I will earn and do that")</f>
        <v>Yes, I will earn and do that</v>
      </c>
      <c r="G1647" s="1" t="str">
        <f ca="1">IFERROR(__xludf.DUMMYFUNCTION("""COMPUTED_VALUE"""),"This will be hard to do, but if it is the right company I would try")</f>
        <v>This will be hard to do, but if it is the right company I would try</v>
      </c>
      <c r="H1647" s="1" t="str">
        <f ca="1">IFERROR(__xludf.DUMMYFUNCTION("""COMPUTED_VALUE"""),"No")</f>
        <v>No</v>
      </c>
      <c r="I1647" s="1" t="str">
        <f ca="1">IFERROR(__xludf.DUMMYFUNCTION("""COMPUTED_VALUE"""),"Will NOT work for them")</f>
        <v>Will NOT work for them</v>
      </c>
      <c r="J1647" s="1">
        <f ca="1">IFERROR(__xludf.DUMMYFUNCTION("""COMPUTED_VALUE"""),8)</f>
        <v>8</v>
      </c>
      <c r="K1647" s="1" t="str">
        <f ca="1">IFERROR(__xludf.DUMMYFUNCTION("""COMPUTED_VALUE"""),"Fully Remote with Options to travel as and when needed")</f>
        <v>Fully Remote with Options to travel as and when needed</v>
      </c>
      <c r="L16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4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47" s="1" t="str">
        <f ca="1">IFERROR(__xludf.DUMMYFUNCTION("""COMPUTED_VALUE"""),"Design and Creative strategy in any company, Build and develop a Team, Entrepreneur or Start Up, An Artificial Intelligence Specialist / Talking to Robots")</f>
        <v>Design and Creative strategy in any company, Build and develop a Team, Entrepreneur or Start Up, An Artificial Intelligence Specialist / Talking to Robots</v>
      </c>
      <c r="O1647" s="1" t="str">
        <f ca="1">IFERROR(__xludf.DUMMYFUNCTION("""COMPUTED_VALUE"""),"Manager who sets goal and helps me achieve it")</f>
        <v>Manager who sets goal and helps me achieve it</v>
      </c>
      <c r="P164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647" s="1" t="str">
        <f ca="1">IFERROR(__xludf.DUMMYFUNCTION("""COMPUTED_VALUE"""),"Yes, I Understand this is gonna happen everywhere")</f>
        <v>Yes, I Understand this is gonna happen everywhere</v>
      </c>
      <c r="R1647" s="1" t="str">
        <f ca="1">IFERROR(__xludf.DUMMYFUNCTION("""COMPUTED_VALUE"""),"This will be hard to do, but if it is the right company I would try")</f>
        <v>This will be hard to do, but if it is the right company I would try</v>
      </c>
      <c r="S1647" s="1"/>
    </row>
    <row r="1648" spans="1:19" ht="12.5" x14ac:dyDescent="0.25">
      <c r="A1648" s="2">
        <f ca="1">IFERROR(__xludf.DUMMYFUNCTION("""COMPUTED_VALUE"""),45046.5247316319)</f>
        <v>45046.5247316319</v>
      </c>
      <c r="B1648" s="1" t="str">
        <f ca="1">IFERROR(__xludf.DUMMYFUNCTION("""COMPUTED_VALUE"""),"India")</f>
        <v>India</v>
      </c>
      <c r="C1648" s="1">
        <f ca="1">IFERROR(__xludf.DUMMYFUNCTION("""COMPUTED_VALUE"""),395004)</f>
        <v>395004</v>
      </c>
      <c r="D1648" s="1" t="str">
        <f ca="1">IFERROR(__xludf.DUMMYFUNCTION("""COMPUTED_VALUE"""),"Male")</f>
        <v>Male</v>
      </c>
      <c r="E1648" s="1" t="str">
        <f ca="1">IFERROR(__xludf.DUMMYFUNCTION("""COMPUTED_VALUE"""),"My Parents")</f>
        <v>My Parents</v>
      </c>
      <c r="F1648" s="1" t="str">
        <f ca="1">IFERROR(__xludf.DUMMYFUNCTION("""COMPUTED_VALUE"""),"No, But if someone could bare the cost I will")</f>
        <v>No, But if someone could bare the cost I will</v>
      </c>
      <c r="G1648" s="1" t="str">
        <f ca="1">IFERROR(__xludf.DUMMYFUNCTION("""COMPUTED_VALUE"""),"This will be hard to do, but if it is the right company I would try")</f>
        <v>This will be hard to do, but if it is the right company I would try</v>
      </c>
      <c r="H1648" s="1" t="str">
        <f ca="1">IFERROR(__xludf.DUMMYFUNCTION("""COMPUTED_VALUE"""),"No")</f>
        <v>No</v>
      </c>
      <c r="I1648" s="1" t="str">
        <f ca="1">IFERROR(__xludf.DUMMYFUNCTION("""COMPUTED_VALUE"""),"Will NOT work for them")</f>
        <v>Will NOT work for them</v>
      </c>
      <c r="J1648" s="1">
        <f ca="1">IFERROR(__xludf.DUMMYFUNCTION("""COMPUTED_VALUE"""),1)</f>
        <v>1</v>
      </c>
      <c r="K1648" s="1" t="str">
        <f ca="1">IFERROR(__xludf.DUMMYFUNCTION("""COMPUTED_VALUE"""),"Every Day Office Environment")</f>
        <v>Every Day Office Environment</v>
      </c>
      <c r="L1648" s="1" t="str">
        <f ca="1">IFERROR(__xludf.DUMMYFUNCTION("""COMPUTED_VALUE"""),"Employer who rewards learning and enables that environment")</f>
        <v>Employer who rewards learning and enables that environment</v>
      </c>
      <c r="M164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48" s="1" t="str">
        <f ca="1">IFERROR(__xludf.DUMMYFUNCTION("""COMPUTED_VALUE"""),"Teaching in any of the institutes/colleges/online or offline, Business Operations in any organization, Work as a freelancer and do my thing my way, Become a content Creator in some platform")</f>
        <v>Teaching in any of the institutes/colleges/online or offline, Business Operations in any organization, Work as a freelancer and do my thing my way, Become a content Creator in some platform</v>
      </c>
      <c r="O1648" s="1" t="str">
        <f ca="1">IFERROR(__xludf.DUMMYFUNCTION("""COMPUTED_VALUE"""),"Manager who explains what is expected, sets a goal and helps achieve it")</f>
        <v>Manager who explains what is expected, sets a goal and helps achieve it</v>
      </c>
      <c r="P164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648" s="1" t="str">
        <f ca="1">IFERROR(__xludf.DUMMYFUNCTION("""COMPUTED_VALUE"""),"Yes, I Understand this is gonna happen everywhere")</f>
        <v>Yes, I Understand this is gonna happen everywhere</v>
      </c>
      <c r="R1648" s="1" t="str">
        <f ca="1">IFERROR(__xludf.DUMMYFUNCTION("""COMPUTED_VALUE"""),"This will be hard to do, but if it is the right company I would try")</f>
        <v>This will be hard to do, but if it is the right company I would try</v>
      </c>
      <c r="S1648" s="1"/>
    </row>
    <row r="1649" spans="1:19" ht="12.5" x14ac:dyDescent="0.25">
      <c r="A1649" s="2">
        <f ca="1">IFERROR(__xludf.DUMMYFUNCTION("""COMPUTED_VALUE"""),45046.528079456)</f>
        <v>45046.528079456002</v>
      </c>
      <c r="B1649" s="1" t="str">
        <f ca="1">IFERROR(__xludf.DUMMYFUNCTION("""COMPUTED_VALUE"""),"India")</f>
        <v>India</v>
      </c>
      <c r="C1649" s="1">
        <f ca="1">IFERROR(__xludf.DUMMYFUNCTION("""COMPUTED_VALUE"""),395006)</f>
        <v>395006</v>
      </c>
      <c r="D1649" s="1" t="str">
        <f ca="1">IFERROR(__xludf.DUMMYFUNCTION("""COMPUTED_VALUE"""),"Female")</f>
        <v>Female</v>
      </c>
      <c r="E1649" s="1" t="str">
        <f ca="1">IFERROR(__xludf.DUMMYFUNCTION("""COMPUTED_VALUE"""),"My Parents")</f>
        <v>My Parents</v>
      </c>
      <c r="F1649" s="1" t="str">
        <f ca="1">IFERROR(__xludf.DUMMYFUNCTION("""COMPUTED_VALUE"""),"No I would not be pursuing Higher Education outside of India")</f>
        <v>No I would not be pursuing Higher Education outside of India</v>
      </c>
      <c r="G1649" s="1" t="str">
        <f ca="1">IFERROR(__xludf.DUMMYFUNCTION("""COMPUTED_VALUE"""),"This will be hard to do, but if it is the right company I would try")</f>
        <v>This will be hard to do, but if it is the right company I would try</v>
      </c>
      <c r="H1649" s="1" t="str">
        <f ca="1">IFERROR(__xludf.DUMMYFUNCTION("""COMPUTED_VALUE"""),"No")</f>
        <v>No</v>
      </c>
      <c r="I1649" s="1" t="str">
        <f ca="1">IFERROR(__xludf.DUMMYFUNCTION("""COMPUTED_VALUE"""),"Will NOT work for them")</f>
        <v>Will NOT work for them</v>
      </c>
      <c r="J1649" s="1">
        <f ca="1">IFERROR(__xludf.DUMMYFUNCTION("""COMPUTED_VALUE"""),3)</f>
        <v>3</v>
      </c>
      <c r="K1649" s="1" t="str">
        <f ca="1">IFERROR(__xludf.DUMMYFUNCTION("""COMPUTED_VALUE"""),"Every Day Office Environment")</f>
        <v>Every Day Office Environment</v>
      </c>
      <c r="L1649" s="1" t="str">
        <f ca="1">IFERROR(__xludf.DUMMYFUNCTION("""COMPUTED_VALUE"""),"Employer who appreciates learning and enables that environment")</f>
        <v>Employer who appreciates learning and enables that environment</v>
      </c>
      <c r="M164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649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1649" s="1" t="str">
        <f ca="1">IFERROR(__xludf.DUMMYFUNCTION("""COMPUTED_VALUE"""),"Manager who sets goal and helps me achieve it")</f>
        <v>Manager who sets goal and helps me achieve it</v>
      </c>
      <c r="P1649" s="1" t="str">
        <f ca="1">IFERROR(__xludf.DUMMYFUNCTION("""COMPUTED_VALUE"""),"Work with 7 to 10 or more people in my team")</f>
        <v>Work with 7 to 10 or more people in my team</v>
      </c>
      <c r="Q1649" s="1" t="str">
        <f ca="1">IFERROR(__xludf.DUMMYFUNCTION("""COMPUTED_VALUE"""),"No")</f>
        <v>No</v>
      </c>
      <c r="R1649" s="1" t="str">
        <f ca="1">IFERROR(__xludf.DUMMYFUNCTION("""COMPUTED_VALUE"""),"This will be hard to do, but if it is the right company I would try")</f>
        <v>This will be hard to do, but if it is the right company I would try</v>
      </c>
      <c r="S1649" s="1"/>
    </row>
    <row r="1650" spans="1:19" ht="12.5" x14ac:dyDescent="0.25">
      <c r="A1650" s="2">
        <f ca="1">IFERROR(__xludf.DUMMYFUNCTION("""COMPUTED_VALUE"""),45046.5285756134)</f>
        <v>45046.528575613404</v>
      </c>
      <c r="B1650" s="1" t="str">
        <f ca="1">IFERROR(__xludf.DUMMYFUNCTION("""COMPUTED_VALUE"""),"India")</f>
        <v>India</v>
      </c>
      <c r="C1650" s="1">
        <f ca="1">IFERROR(__xludf.DUMMYFUNCTION("""COMPUTED_VALUE"""),492001)</f>
        <v>492001</v>
      </c>
      <c r="D1650" s="1" t="str">
        <f ca="1">IFERROR(__xludf.DUMMYFUNCTION("""COMPUTED_VALUE"""),"Male")</f>
        <v>Male</v>
      </c>
      <c r="E1650" s="1" t="str">
        <f ca="1">IFERROR(__xludf.DUMMYFUNCTION("""COMPUTED_VALUE"""),"My Parents")</f>
        <v>My Parents</v>
      </c>
      <c r="F1650" s="1" t="str">
        <f ca="1">IFERROR(__xludf.DUMMYFUNCTION("""COMPUTED_VALUE"""),"No I would not be pursuing Higher Education outside of India")</f>
        <v>No I would not be pursuing Higher Education outside of India</v>
      </c>
      <c r="G1650" s="1" t="str">
        <f ca="1">IFERROR(__xludf.DUMMYFUNCTION("""COMPUTED_VALUE"""),"Will work for 3 years or more")</f>
        <v>Will work for 3 years or more</v>
      </c>
      <c r="H1650" s="1" t="str">
        <f ca="1">IFERROR(__xludf.DUMMYFUNCTION("""COMPUTED_VALUE"""),"No")</f>
        <v>No</v>
      </c>
      <c r="I1650" s="1" t="str">
        <f ca="1">IFERROR(__xludf.DUMMYFUNCTION("""COMPUTED_VALUE"""),"Will NOT work for them")</f>
        <v>Will NOT work for them</v>
      </c>
      <c r="J1650" s="1">
        <f ca="1">IFERROR(__xludf.DUMMYFUNCTION("""COMPUTED_VALUE"""),9)</f>
        <v>9</v>
      </c>
      <c r="K1650" s="1" t="str">
        <f ca="1">IFERROR(__xludf.DUMMYFUNCTION("""COMPUTED_VALUE"""),"Every Day Office Environment")</f>
        <v>Every Day Office Environment</v>
      </c>
      <c r="L1650" s="1" t="str">
        <f ca="1">IFERROR(__xludf.DUMMYFUNCTION("""COMPUTED_VALUE"""),"Employer who appreciates learning and enables that environment")</f>
        <v>Employer who appreciates learning and enables that environment</v>
      </c>
      <c r="M165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50" s="1" t="str">
        <f ca="1">IFERROR(__xludf.DUMMYFUNCTION("""COMPUTED_VALUE"""),"Teaching in any of the institutes/colleges/online or offline, Build and develop a Team, Design and Develop amazing software, Look deeply into Data and generate insights")</f>
        <v>Teaching in any of the institutes/colleges/online or offline, Build and develop a Team, Design and Develop amazing software, Look deeply into Data and generate insights</v>
      </c>
      <c r="O1650" s="1" t="str">
        <f ca="1">IFERROR(__xludf.DUMMYFUNCTION("""COMPUTED_VALUE"""),"Manager who explains what is expected, sets a goal and helps achieve it")</f>
        <v>Manager who explains what is expected, sets a goal and helps achieve it</v>
      </c>
      <c r="P1650" s="1" t="str">
        <f ca="1">IFERROR(__xludf.DUMMYFUNCTION("""COMPUTED_VALUE"""),"Work with 5 to 6 people in my team")</f>
        <v>Work with 5 to 6 people in my team</v>
      </c>
      <c r="Q1650" s="1" t="str">
        <f ca="1">IFERROR(__xludf.DUMMYFUNCTION("""COMPUTED_VALUE"""),"Yes, I Understand this is gonna happen everywhere")</f>
        <v>Yes, I Understand this is gonna happen everywhere</v>
      </c>
      <c r="R1650" s="1" t="str">
        <f ca="1">IFERROR(__xludf.DUMMYFUNCTION("""COMPUTED_VALUE"""),"This will be hard to do, but if it is the right company I would try")</f>
        <v>This will be hard to do, but if it is the right company I would try</v>
      </c>
      <c r="S1650" s="1"/>
    </row>
    <row r="1651" spans="1:19" ht="12.5" x14ac:dyDescent="0.25">
      <c r="A1651" s="2">
        <f ca="1">IFERROR(__xludf.DUMMYFUNCTION("""COMPUTED_VALUE"""),45046.5441000347)</f>
        <v>45046.544100034698</v>
      </c>
      <c r="B1651" s="1" t="str">
        <f ca="1">IFERROR(__xludf.DUMMYFUNCTION("""COMPUTED_VALUE"""),"India")</f>
        <v>India</v>
      </c>
      <c r="C1651" s="1">
        <f ca="1">IFERROR(__xludf.DUMMYFUNCTION("""COMPUTED_VALUE"""),394327)</f>
        <v>394327</v>
      </c>
      <c r="D1651" s="1" t="str">
        <f ca="1">IFERROR(__xludf.DUMMYFUNCTION("""COMPUTED_VALUE"""),"Male")</f>
        <v>Male</v>
      </c>
      <c r="E1651" s="1" t="str">
        <f ca="1">IFERROR(__xludf.DUMMYFUNCTION("""COMPUTED_VALUE"""),"My Parents")</f>
        <v>My Parents</v>
      </c>
      <c r="F1651" s="1" t="str">
        <f ca="1">IFERROR(__xludf.DUMMYFUNCTION("""COMPUTED_VALUE"""),"No, But if someone could bare the cost I will")</f>
        <v>No, But if someone could bare the cost I will</v>
      </c>
      <c r="G1651" s="1" t="str">
        <f ca="1">IFERROR(__xludf.DUMMYFUNCTION("""COMPUTED_VALUE"""),"This will be hard to do, but if it is the right company I would try")</f>
        <v>This will be hard to do, but if it is the right company I would try</v>
      </c>
      <c r="H1651" s="1" t="str">
        <f ca="1">IFERROR(__xludf.DUMMYFUNCTION("""COMPUTED_VALUE"""),"No")</f>
        <v>No</v>
      </c>
      <c r="I1651" s="1" t="str">
        <f ca="1">IFERROR(__xludf.DUMMYFUNCTION("""COMPUTED_VALUE"""),"Will NOT work for them")</f>
        <v>Will NOT work for them</v>
      </c>
      <c r="J1651" s="1">
        <f ca="1">IFERROR(__xludf.DUMMYFUNCTION("""COMPUTED_VALUE"""),1)</f>
        <v>1</v>
      </c>
      <c r="K1651" s="1" t="str">
        <f ca="1">IFERROR(__xludf.DUMMYFUNCTION("""COMPUTED_VALUE"""),"Hybrid Working Environment with more than 15 days a month at office")</f>
        <v>Hybrid Working Environment with more than 15 days a month at office</v>
      </c>
      <c r="L16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5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51" s="1" t="str">
        <f ca="1">IFERROR(__xludf.DUMMYFUNCTION("""COMPUTED_VALUE"""),"Teaching in any of the institutes/colleges/online or offline, Look deeply into Data and generate insights, Work as a freelancer and do my thing my way, An Artificial Intelligence Specialist / Talking to Robots")</f>
        <v>Teaching in any of the institutes/colleges/online or offline, Look deeply into Data and generate insights, Work as a freelancer and do my thing my way, An Artificial Intelligence Specialist / Talking to Robots</v>
      </c>
      <c r="O1651" s="1" t="str">
        <f ca="1">IFERROR(__xludf.DUMMYFUNCTION("""COMPUTED_VALUE"""),"Manager who clearly describes what she/he needs")</f>
        <v>Manager who clearly describes what she/he needs</v>
      </c>
      <c r="P1651" s="1" t="str">
        <f ca="1">IFERROR(__xludf.DUMMYFUNCTION("""COMPUTED_VALUE"""),"Work with 2 to 3 people in my team")</f>
        <v>Work with 2 to 3 people in my team</v>
      </c>
      <c r="Q1651" s="1" t="str">
        <f ca="1">IFERROR(__xludf.DUMMYFUNCTION("""COMPUTED_VALUE"""),"I have NO other choice")</f>
        <v>I have NO other choice</v>
      </c>
      <c r="R1651" s="1" t="str">
        <f ca="1">IFERROR(__xludf.DUMMYFUNCTION("""COMPUTED_VALUE"""),"This will be hard to do, but if it is the right company I would try")</f>
        <v>This will be hard to do, but if it is the right company I would try</v>
      </c>
      <c r="S1651" s="1"/>
    </row>
    <row r="1652" spans="1:19" ht="12.5" x14ac:dyDescent="0.25">
      <c r="A1652" s="2">
        <f ca="1">IFERROR(__xludf.DUMMYFUNCTION("""COMPUTED_VALUE"""),45046.5456448032)</f>
        <v>45046.545644803198</v>
      </c>
      <c r="B1652" s="1" t="str">
        <f ca="1">IFERROR(__xludf.DUMMYFUNCTION("""COMPUTED_VALUE"""),"India")</f>
        <v>India</v>
      </c>
      <c r="C1652" s="1">
        <f ca="1">IFERROR(__xludf.DUMMYFUNCTION("""COMPUTED_VALUE"""),231304)</f>
        <v>231304</v>
      </c>
      <c r="D1652" s="1" t="str">
        <f ca="1">IFERROR(__xludf.DUMMYFUNCTION("""COMPUTED_VALUE"""),"Male")</f>
        <v>Male</v>
      </c>
      <c r="E1652" s="1" t="str">
        <f ca="1">IFERROR(__xludf.DUMMYFUNCTION("""COMPUTED_VALUE"""),"Social Media like LinkedIn")</f>
        <v>Social Media like LinkedIn</v>
      </c>
      <c r="F1652" s="1" t="str">
        <f ca="1">IFERROR(__xludf.DUMMYFUNCTION("""COMPUTED_VALUE"""),"Yes, I will earn and do that")</f>
        <v>Yes, I will earn and do that</v>
      </c>
      <c r="G1652" s="1" t="str">
        <f ca="1">IFERROR(__xludf.DUMMYFUNCTION("""COMPUTED_VALUE"""),"Will work for 3 years or more")</f>
        <v>Will work for 3 years or more</v>
      </c>
      <c r="H1652" s="1" t="str">
        <f ca="1">IFERROR(__xludf.DUMMYFUNCTION("""COMPUTED_VALUE"""),"No")</f>
        <v>No</v>
      </c>
      <c r="I1652" s="1" t="str">
        <f ca="1">IFERROR(__xludf.DUMMYFUNCTION("""COMPUTED_VALUE"""),"Will NOT work for them")</f>
        <v>Will NOT work for them</v>
      </c>
      <c r="J1652" s="1">
        <f ca="1">IFERROR(__xludf.DUMMYFUNCTION("""COMPUTED_VALUE"""),1)</f>
        <v>1</v>
      </c>
      <c r="K1652" s="1" t="str">
        <f ca="1">IFERROR(__xludf.DUMMYFUNCTION("""COMPUTED_VALUE"""),"Every Day Office Environment")</f>
        <v>Every Day Office Environment</v>
      </c>
      <c r="L1652" s="1" t="str">
        <f ca="1">IFERROR(__xludf.DUMMYFUNCTION("""COMPUTED_VALUE"""),"Employer who appreciates learning and enables that environment")</f>
        <v>Employer who appreciates learning and enables that environment</v>
      </c>
      <c r="M165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652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1652" s="1" t="str">
        <f ca="1">IFERROR(__xludf.DUMMYFUNCTION("""COMPUTED_VALUE"""),"Manager who explains what is expected, sets a goal and helps achieve it")</f>
        <v>Manager who explains what is expected, sets a goal and helps achieve it</v>
      </c>
      <c r="P1652" s="1" t="str">
        <f ca="1">IFERROR(__xludf.DUMMYFUNCTION("""COMPUTED_VALUE"""),"Work with more than 10 people in my team")</f>
        <v>Work with more than 10 people in my team</v>
      </c>
      <c r="Q1652" s="1" t="str">
        <f ca="1">IFERROR(__xludf.DUMMYFUNCTION("""COMPUTED_VALUE"""),"No")</f>
        <v>No</v>
      </c>
      <c r="R1652" s="1" t="str">
        <f ca="1">IFERROR(__xludf.DUMMYFUNCTION("""COMPUTED_VALUE"""),"This will be hard to do, but if it is the right company I would try")</f>
        <v>This will be hard to do, but if it is the right company I would try</v>
      </c>
      <c r="S1652" s="1"/>
    </row>
    <row r="1653" spans="1:19" ht="12.5" x14ac:dyDescent="0.25">
      <c r="A1653" s="2">
        <f ca="1">IFERROR(__xludf.DUMMYFUNCTION("""COMPUTED_VALUE"""),45046.5458278703)</f>
        <v>45046.545827870301</v>
      </c>
      <c r="B1653" s="1" t="str">
        <f ca="1">IFERROR(__xludf.DUMMYFUNCTION("""COMPUTED_VALUE"""),"India")</f>
        <v>India</v>
      </c>
      <c r="C1653" s="1">
        <f ca="1">IFERROR(__xludf.DUMMYFUNCTION("""COMPUTED_VALUE"""),473001)</f>
        <v>473001</v>
      </c>
      <c r="D1653" s="1" t="str">
        <f ca="1">IFERROR(__xludf.DUMMYFUNCTION("""COMPUTED_VALUE"""),"Male")</f>
        <v>Male</v>
      </c>
      <c r="E1653" s="1" t="str">
        <f ca="1">IFERROR(__xludf.DUMMYFUNCTION("""COMPUTED_VALUE"""),"Social Media like LinkedIn")</f>
        <v>Social Media like LinkedIn</v>
      </c>
      <c r="F1653" s="1" t="str">
        <f ca="1">IFERROR(__xludf.DUMMYFUNCTION("""COMPUTED_VALUE"""),"Yes, I will earn and do that")</f>
        <v>Yes, I will earn and do that</v>
      </c>
      <c r="G1653" s="1" t="str">
        <f ca="1">IFERROR(__xludf.DUMMYFUNCTION("""COMPUTED_VALUE"""),"This will be hard to do, but if it is the right company I would try")</f>
        <v>This will be hard to do, but if it is the right company I would try</v>
      </c>
      <c r="H1653" s="1" t="str">
        <f ca="1">IFERROR(__xludf.DUMMYFUNCTION("""COMPUTED_VALUE"""),"Yes")</f>
        <v>Yes</v>
      </c>
      <c r="I1653" s="1" t="str">
        <f ca="1">IFERROR(__xludf.DUMMYFUNCTION("""COMPUTED_VALUE"""),"Will work for them")</f>
        <v>Will work for them</v>
      </c>
      <c r="J1653" s="1">
        <f ca="1">IFERROR(__xludf.DUMMYFUNCTION("""COMPUTED_VALUE"""),10)</f>
        <v>10</v>
      </c>
      <c r="K1653" s="1" t="str">
        <f ca="1">IFERROR(__xludf.DUMMYFUNCTION("""COMPUTED_VALUE"""),"Hybrid Working Environment with less than 3 days a month at office")</f>
        <v>Hybrid Working Environment with less than 3 days a month at office</v>
      </c>
      <c r="L1653" s="1" t="str">
        <f ca="1">IFERROR(__xludf.DUMMYFUNCTION("""COMPUTED_VALUE"""),"Employer who appreciates learning and enables that environment")</f>
        <v>Employer who appreciates learning and enables that environment</v>
      </c>
      <c r="M1653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653" s="1" t="str">
        <f ca="1">IFERROR(__xludf.DUMMYFUNCTION("""COMPUTED_VALUE"""),"Manage and drive End-to-End Projects or Products, Build and develop a Team, Look deeply into Data and generate insights, Entrepreneur or Start Up")</f>
        <v>Manage and drive End-to-End Projects or Products, Build and develop a Team, Look deeply into Data and generate insights, Entrepreneur or Start Up</v>
      </c>
      <c r="O1653" s="1" t="str">
        <f ca="1">IFERROR(__xludf.DUMMYFUNCTION("""COMPUTED_VALUE"""),"Manager who clearly describes what she/he needs")</f>
        <v>Manager who clearly describes what she/he needs</v>
      </c>
      <c r="P1653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653" s="1" t="str">
        <f ca="1">IFERROR(__xludf.DUMMYFUNCTION("""COMPUTED_VALUE"""),"I have NO other choice")</f>
        <v>I have NO other choice</v>
      </c>
      <c r="R1653" s="1" t="str">
        <f ca="1">IFERROR(__xludf.DUMMYFUNCTION("""COMPUTED_VALUE"""),"This will be hard to do, but if it is the right company I would try")</f>
        <v>This will be hard to do, but if it is the right company I would try</v>
      </c>
      <c r="S1653" s="1"/>
    </row>
    <row r="1654" spans="1:19" ht="12.5" x14ac:dyDescent="0.25">
      <c r="A1654" s="2">
        <f ca="1">IFERROR(__xludf.DUMMYFUNCTION("""COMPUTED_VALUE"""),45046.5556298842)</f>
        <v>45046.555629884198</v>
      </c>
      <c r="B1654" s="1" t="str">
        <f ca="1">IFERROR(__xludf.DUMMYFUNCTION("""COMPUTED_VALUE"""),"India")</f>
        <v>India</v>
      </c>
      <c r="C1654" s="1">
        <f ca="1">IFERROR(__xludf.DUMMYFUNCTION("""COMPUTED_VALUE"""),248001)</f>
        <v>248001</v>
      </c>
      <c r="D1654" s="1" t="str">
        <f ca="1">IFERROR(__xludf.DUMMYFUNCTION("""COMPUTED_VALUE"""),"Male")</f>
        <v>Male</v>
      </c>
      <c r="E1654" s="1" t="str">
        <f ca="1">IFERROR(__xludf.DUMMYFUNCTION("""COMPUTED_VALUE"""),"People from my circle, but not family members")</f>
        <v>People from my circle, but not family members</v>
      </c>
      <c r="F1654" s="1" t="str">
        <f ca="1">IFERROR(__xludf.DUMMYFUNCTION("""COMPUTED_VALUE"""),"No I would not be pursuing Higher Education outside of India")</f>
        <v>No I would not be pursuing Higher Education outside of India</v>
      </c>
      <c r="G1654" s="1" t="str">
        <f ca="1">IFERROR(__xludf.DUMMYFUNCTION("""COMPUTED_VALUE"""),"Will work for 3 years or more")</f>
        <v>Will work for 3 years or more</v>
      </c>
      <c r="H1654" s="1" t="str">
        <f ca="1">IFERROR(__xludf.DUMMYFUNCTION("""COMPUTED_VALUE"""),"Yes")</f>
        <v>Yes</v>
      </c>
      <c r="I1654" s="1" t="str">
        <f ca="1">IFERROR(__xludf.DUMMYFUNCTION("""COMPUTED_VALUE"""),"Will NOT work for them")</f>
        <v>Will NOT work for them</v>
      </c>
      <c r="J1654" s="1">
        <f ca="1">IFERROR(__xludf.DUMMYFUNCTION("""COMPUTED_VALUE"""),8)</f>
        <v>8</v>
      </c>
      <c r="K1654" s="1" t="str">
        <f ca="1">IFERROR(__xludf.DUMMYFUNCTION("""COMPUTED_VALUE"""),"Fully Remote with Options to travel as and when needed")</f>
        <v>Fully Remote with Options to travel as and when needed</v>
      </c>
      <c r="L16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5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54" s="1" t="str">
        <f ca="1">IFERROR(__xludf.DUMMYFUNCTION("""COMPUTED_VALUE"""),"Build and develop a Team, Design and Develop amazing software, Work as a freelancer and do my thing my way, Entrepreneur or Start Up")</f>
        <v>Build and develop a Team, Design and Develop amazing software, Work as a freelancer and do my thing my way, Entrepreneur or Start Up</v>
      </c>
      <c r="O1654" s="1" t="str">
        <f ca="1">IFERROR(__xludf.DUMMYFUNCTION("""COMPUTED_VALUE"""),"Manager who explains what is expected, sets a goal and helps achieve it")</f>
        <v>Manager who explains what is expected, sets a goal and helps achieve it</v>
      </c>
      <c r="P1654" s="1" t="str">
        <f ca="1">IFERROR(__xludf.DUMMYFUNCTION("""COMPUTED_VALUE"""),"Work with 5 to 6 people in my team")</f>
        <v>Work with 5 to 6 people in my team</v>
      </c>
      <c r="Q1654" s="1" t="str">
        <f ca="1">IFERROR(__xludf.DUMMYFUNCTION("""COMPUTED_VALUE"""),"Yes, I Understand this is gonna happen everywhere")</f>
        <v>Yes, I Understand this is gonna happen everywhere</v>
      </c>
      <c r="R1654" s="1" t="str">
        <f ca="1">IFERROR(__xludf.DUMMYFUNCTION("""COMPUTED_VALUE"""),"This will be hard to do, but if it is the right company I would try")</f>
        <v>This will be hard to do, but if it is the right company I would try</v>
      </c>
      <c r="S1654" s="1"/>
    </row>
    <row r="1655" spans="1:19" ht="12.5" x14ac:dyDescent="0.25">
      <c r="A1655" s="2">
        <f ca="1">IFERROR(__xludf.DUMMYFUNCTION("""COMPUTED_VALUE"""),45046.5584866087)</f>
        <v>45046.558486608701</v>
      </c>
      <c r="B1655" s="1" t="str">
        <f ca="1">IFERROR(__xludf.DUMMYFUNCTION("""COMPUTED_VALUE"""),"India")</f>
        <v>India</v>
      </c>
      <c r="C1655" s="1">
        <f ca="1">IFERROR(__xludf.DUMMYFUNCTION("""COMPUTED_VALUE"""),600504)</f>
        <v>600504</v>
      </c>
      <c r="D1655" s="1" t="str">
        <f ca="1">IFERROR(__xludf.DUMMYFUNCTION("""COMPUTED_VALUE"""),"Female")</f>
        <v>Female</v>
      </c>
      <c r="E1655" s="1" t="str">
        <f ca="1">IFERROR(__xludf.DUMMYFUNCTION("""COMPUTED_VALUE"""),"My Parents")</f>
        <v>My Parents</v>
      </c>
      <c r="F1655" s="1" t="str">
        <f ca="1">IFERROR(__xludf.DUMMYFUNCTION("""COMPUTED_VALUE"""),"No I would not be pursuing Higher Education outside of India")</f>
        <v>No I would not be pursuing Higher Education outside of India</v>
      </c>
      <c r="G1655" s="1" t="str">
        <f ca="1">IFERROR(__xludf.DUMMYFUNCTION("""COMPUTED_VALUE"""),"Will work for 3 years or more")</f>
        <v>Will work for 3 years or more</v>
      </c>
      <c r="H1655" s="1" t="str">
        <f ca="1">IFERROR(__xludf.DUMMYFUNCTION("""COMPUTED_VALUE"""),"No")</f>
        <v>No</v>
      </c>
      <c r="I1655" s="1" t="str">
        <f ca="1">IFERROR(__xludf.DUMMYFUNCTION("""COMPUTED_VALUE"""),"Will NOT work for them")</f>
        <v>Will NOT work for them</v>
      </c>
      <c r="J1655" s="1">
        <f ca="1">IFERROR(__xludf.DUMMYFUNCTION("""COMPUTED_VALUE"""),3)</f>
        <v>3</v>
      </c>
      <c r="K1655" s="1" t="str">
        <f ca="1">IFERROR(__xludf.DUMMYFUNCTION("""COMPUTED_VALUE"""),"Every Day Office Environment")</f>
        <v>Every Day Office Environment</v>
      </c>
      <c r="L1655" s="1" t="str">
        <f ca="1">IFERROR(__xludf.DUMMYFUNCTION("""COMPUTED_VALUE"""),"Employer who appreciates learning and enables that environment")</f>
        <v>Employer who appreciates learning and enables that environment</v>
      </c>
      <c r="M165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55" s="1" t="str">
        <f ca="1">IFERROR(__xludf.DUMMYFUNCTION("""COMPUTED_VALUE"""),"Manage and drive End-to-End Projects or Products, Become a content Creator in some platform, I Want to sell things/Sales, Manufacturing / Oil and Gas/ Construction / Hard Physical Work related")</f>
        <v>Manage and drive End-to-End Projects or Products, Become a content Creator in some platform, I Want to sell things/Sales, Manufacturing / Oil and Gas/ Construction / Hard Physical Work related</v>
      </c>
      <c r="O1655" s="1" t="str">
        <f ca="1">IFERROR(__xludf.DUMMYFUNCTION("""COMPUTED_VALUE"""),"Manager who sets goal and helps me achieve it")</f>
        <v>Manager who sets goal and helps me achieve it</v>
      </c>
      <c r="P1655" s="1" t="str">
        <f ca="1">IFERROR(__xludf.DUMMYFUNCTION("""COMPUTED_VALUE"""),"Work with 2 to 3 people in my team")</f>
        <v>Work with 2 to 3 people in my team</v>
      </c>
      <c r="Q1655" s="1" t="str">
        <f ca="1">IFERROR(__xludf.DUMMYFUNCTION("""COMPUTED_VALUE"""),"No")</f>
        <v>No</v>
      </c>
      <c r="R1655" s="1" t="str">
        <f ca="1">IFERROR(__xludf.DUMMYFUNCTION("""COMPUTED_VALUE"""),"This will be hard to do, but if it is the right company I would try")</f>
        <v>This will be hard to do, but if it is the right company I would try</v>
      </c>
      <c r="S1655" s="1"/>
    </row>
    <row r="1656" spans="1:19" ht="12.5" x14ac:dyDescent="0.25">
      <c r="A1656" s="2">
        <f ca="1">IFERROR(__xludf.DUMMYFUNCTION("""COMPUTED_VALUE"""),45046.5695848495)</f>
        <v>45046.569584849502</v>
      </c>
      <c r="B1656" s="1" t="str">
        <f ca="1">IFERROR(__xludf.DUMMYFUNCTION("""COMPUTED_VALUE"""),"India")</f>
        <v>India</v>
      </c>
      <c r="C1656" s="1">
        <f ca="1">IFERROR(__xludf.DUMMYFUNCTION("""COMPUTED_VALUE"""),94587)</f>
        <v>94587</v>
      </c>
      <c r="D1656" s="1" t="str">
        <f ca="1">IFERROR(__xludf.DUMMYFUNCTION("""COMPUTED_VALUE"""),"Male")</f>
        <v>Male</v>
      </c>
      <c r="E1656" s="1" t="str">
        <f ca="1">IFERROR(__xludf.DUMMYFUNCTION("""COMPUTED_VALUE"""),"My Parents")</f>
        <v>My Parents</v>
      </c>
      <c r="F1656" s="1" t="str">
        <f ca="1">IFERROR(__xludf.DUMMYFUNCTION("""COMPUTED_VALUE"""),"No I would not be pursuing Higher Education outside of India")</f>
        <v>No I would not be pursuing Higher Education outside of India</v>
      </c>
      <c r="G1656" s="1" t="str">
        <f ca="1">IFERROR(__xludf.DUMMYFUNCTION("""COMPUTED_VALUE"""),"No way")</f>
        <v>No way</v>
      </c>
      <c r="H1656" s="1" t="str">
        <f ca="1">IFERROR(__xludf.DUMMYFUNCTION("""COMPUTED_VALUE"""),"No")</f>
        <v>No</v>
      </c>
      <c r="I1656" s="1" t="str">
        <f ca="1">IFERROR(__xludf.DUMMYFUNCTION("""COMPUTED_VALUE"""),"Will NOT work for them")</f>
        <v>Will NOT work for them</v>
      </c>
      <c r="J1656" s="1">
        <f ca="1">IFERROR(__xludf.DUMMYFUNCTION("""COMPUTED_VALUE"""),7)</f>
        <v>7</v>
      </c>
      <c r="K1656" s="1" t="str">
        <f ca="1">IFERROR(__xludf.DUMMYFUNCTION("""COMPUTED_VALUE"""),"Every Day Office Environment")</f>
        <v>Every Day Office Environment</v>
      </c>
      <c r="L16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5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56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1656" s="1" t="str">
        <f ca="1">IFERROR(__xludf.DUMMYFUNCTION("""COMPUTED_VALUE"""),"Manager who clearly describes what she/he needs")</f>
        <v>Manager who clearly describes what she/he needs</v>
      </c>
      <c r="P1656" s="1" t="str">
        <f ca="1">IFERROR(__xludf.DUMMYFUNCTION("""COMPUTED_VALUE"""),"Work with more than 10 people in my team")</f>
        <v>Work with more than 10 people in my team</v>
      </c>
      <c r="Q1656" s="1" t="str">
        <f ca="1">IFERROR(__xludf.DUMMYFUNCTION("""COMPUTED_VALUE"""),"Yes, I Understand this is gonna happen everywhere")</f>
        <v>Yes, I Understand this is gonna happen everywhere</v>
      </c>
      <c r="R1656" s="1" t="str">
        <f ca="1">IFERROR(__xludf.DUMMYFUNCTION("""COMPUTED_VALUE"""),"This will be hard to do, but if it is the right company I would try")</f>
        <v>This will be hard to do, but if it is the right company I would try</v>
      </c>
      <c r="S1656" s="1"/>
    </row>
    <row r="1657" spans="1:19" ht="12.5" x14ac:dyDescent="0.25">
      <c r="A1657" s="2">
        <f ca="1">IFERROR(__xludf.DUMMYFUNCTION("""COMPUTED_VALUE"""),45046.5730561111)</f>
        <v>45046.573056111098</v>
      </c>
      <c r="B1657" s="1" t="str">
        <f ca="1">IFERROR(__xludf.DUMMYFUNCTION("""COMPUTED_VALUE"""),"India")</f>
        <v>India</v>
      </c>
      <c r="C1657" s="1">
        <f ca="1">IFERROR(__xludf.DUMMYFUNCTION("""COMPUTED_VALUE"""),395006)</f>
        <v>395006</v>
      </c>
      <c r="D1657" s="1" t="str">
        <f ca="1">IFERROR(__xludf.DUMMYFUNCTION("""COMPUTED_VALUE"""),"Male")</f>
        <v>Male</v>
      </c>
      <c r="E1657" s="1" t="str">
        <f ca="1">IFERROR(__xludf.DUMMYFUNCTION("""COMPUTED_VALUE"""),"People who have changed the world for better")</f>
        <v>People who have changed the world for better</v>
      </c>
      <c r="F1657" s="1" t="str">
        <f ca="1">IFERROR(__xludf.DUMMYFUNCTION("""COMPUTED_VALUE"""),"Yes, I will earn and do that")</f>
        <v>Yes, I will earn and do that</v>
      </c>
      <c r="G1657" s="1" t="str">
        <f ca="1">IFERROR(__xludf.DUMMYFUNCTION("""COMPUTED_VALUE"""),"This will be hard to do, but if it is the right company I would try")</f>
        <v>This will be hard to do, but if it is the right company I would try</v>
      </c>
      <c r="H1657" s="1" t="str">
        <f ca="1">IFERROR(__xludf.DUMMYFUNCTION("""COMPUTED_VALUE"""),"Yes")</f>
        <v>Yes</v>
      </c>
      <c r="I1657" s="1" t="str">
        <f ca="1">IFERROR(__xludf.DUMMYFUNCTION("""COMPUTED_VALUE"""),"Will work for them")</f>
        <v>Will work for them</v>
      </c>
      <c r="J1657" s="1">
        <f ca="1">IFERROR(__xludf.DUMMYFUNCTION("""COMPUTED_VALUE"""),2)</f>
        <v>2</v>
      </c>
      <c r="K1657" s="1" t="str">
        <f ca="1">IFERROR(__xludf.DUMMYFUNCTION("""COMPUTED_VALUE"""),"Hybrid Working Environment with more than 15 days a month at office")</f>
        <v>Hybrid Working Environment with more than 15 days a month at office</v>
      </c>
      <c r="L1657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657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657" s="1" t="str">
        <f ca="1">IFERROR(__xludf.DUMMYFUNCTION("""COMPUTED_VALUE"""),"Business Operations in any organization, Build and develop a Team, Look deeply into Data and generate insights, Work as a freelancer and do my thing my way")</f>
        <v>Business Operations in any organization, Build and develop a Team, Look deeply into Data and generate insights, Work as a freelancer and do my thing my way</v>
      </c>
      <c r="O1657" s="1" t="str">
        <f ca="1">IFERROR(__xludf.DUMMYFUNCTION("""COMPUTED_VALUE"""),"Manager who sets unrealistic targets")</f>
        <v>Manager who sets unrealistic targets</v>
      </c>
      <c r="P1657" s="1" t="str">
        <f ca="1">IFERROR(__xludf.DUMMYFUNCTION("""COMPUTED_VALUE"""),"Work with more than 10 people in my team")</f>
        <v>Work with more than 10 people in my team</v>
      </c>
      <c r="Q1657" s="1" t="str">
        <f ca="1">IFERROR(__xludf.DUMMYFUNCTION("""COMPUTED_VALUE"""),"Yes, I Understand this is gonna happen everywhere")</f>
        <v>Yes, I Understand this is gonna happen everywhere</v>
      </c>
      <c r="R1657" s="1" t="str">
        <f ca="1">IFERROR(__xludf.DUMMYFUNCTION("""COMPUTED_VALUE"""),"No way")</f>
        <v>No way</v>
      </c>
      <c r="S1657" s="1"/>
    </row>
    <row r="1658" spans="1:19" ht="12.5" x14ac:dyDescent="0.25">
      <c r="A1658" s="2">
        <f ca="1">IFERROR(__xludf.DUMMYFUNCTION("""COMPUTED_VALUE"""),45046.5771298842)</f>
        <v>45046.577129884201</v>
      </c>
      <c r="B1658" s="1" t="str">
        <f ca="1">IFERROR(__xludf.DUMMYFUNCTION("""COMPUTED_VALUE"""),"India")</f>
        <v>India</v>
      </c>
      <c r="C1658" s="1">
        <f ca="1">IFERROR(__xludf.DUMMYFUNCTION("""COMPUTED_VALUE"""),686503)</f>
        <v>686503</v>
      </c>
      <c r="D1658" s="1" t="str">
        <f ca="1">IFERROR(__xludf.DUMMYFUNCTION("""COMPUTED_VALUE"""),"Male")</f>
        <v>Male</v>
      </c>
      <c r="E1658" s="1" t="str">
        <f ca="1">IFERROR(__xludf.DUMMYFUNCTION("""COMPUTED_VALUE"""),"People from my circle, but not family members")</f>
        <v>People from my circle, but not family members</v>
      </c>
      <c r="F1658" s="1" t="str">
        <f ca="1">IFERROR(__xludf.DUMMYFUNCTION("""COMPUTED_VALUE"""),"No I would not be pursuing Higher Education outside of India")</f>
        <v>No I would not be pursuing Higher Education outside of India</v>
      </c>
      <c r="G1658" s="1" t="str">
        <f ca="1">IFERROR(__xludf.DUMMYFUNCTION("""COMPUTED_VALUE"""),"This will be hard to do, but if it is the right company I would try")</f>
        <v>This will be hard to do, but if it is the right company I would try</v>
      </c>
      <c r="H1658" s="1" t="str">
        <f ca="1">IFERROR(__xludf.DUMMYFUNCTION("""COMPUTED_VALUE"""),"No")</f>
        <v>No</v>
      </c>
      <c r="I1658" s="1" t="str">
        <f ca="1">IFERROR(__xludf.DUMMYFUNCTION("""COMPUTED_VALUE"""),"Will NOT work for them")</f>
        <v>Will NOT work for them</v>
      </c>
      <c r="J1658" s="1">
        <f ca="1">IFERROR(__xludf.DUMMYFUNCTION("""COMPUTED_VALUE"""),3)</f>
        <v>3</v>
      </c>
      <c r="K1658" s="1" t="str">
        <f ca="1">IFERROR(__xludf.DUMMYFUNCTION("""COMPUTED_VALUE"""),"Fully Remote with Options to travel as and when needed")</f>
        <v>Fully Remote with Options to travel as and when needed</v>
      </c>
      <c r="L16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5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5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658" s="1" t="str">
        <f ca="1">IFERROR(__xludf.DUMMYFUNCTION("""COMPUTED_VALUE"""),"Manager who sets targets and expects me to achieve it")</f>
        <v>Manager who sets targets and expects me to achieve it</v>
      </c>
      <c r="P1658" s="1" t="str">
        <f ca="1">IFERROR(__xludf.DUMMYFUNCTION("""COMPUTED_VALUE"""),"Work with more than 10 people in my team")</f>
        <v>Work with more than 10 people in my team</v>
      </c>
      <c r="Q1658" s="1" t="str">
        <f ca="1">IFERROR(__xludf.DUMMYFUNCTION("""COMPUTED_VALUE"""),"Yes, I Understand this is gonna happen everywhere")</f>
        <v>Yes, I Understand this is gonna happen everywhere</v>
      </c>
      <c r="R1658" s="1" t="str">
        <f ca="1">IFERROR(__xludf.DUMMYFUNCTION("""COMPUTED_VALUE"""),"This will be hard to do, but if it is the right company I would try")</f>
        <v>This will be hard to do, but if it is the right company I would try</v>
      </c>
      <c r="S1658" s="1"/>
    </row>
    <row r="1659" spans="1:19" ht="12.5" x14ac:dyDescent="0.25">
      <c r="A1659" s="2">
        <f ca="1">IFERROR(__xludf.DUMMYFUNCTION("""COMPUTED_VALUE"""),45046.5894431828)</f>
        <v>45046.589443182798</v>
      </c>
      <c r="B1659" s="1" t="str">
        <f ca="1">IFERROR(__xludf.DUMMYFUNCTION("""COMPUTED_VALUE"""),"India")</f>
        <v>India</v>
      </c>
      <c r="C1659" s="1">
        <f ca="1">IFERROR(__xludf.DUMMYFUNCTION("""COMPUTED_VALUE"""),110025)</f>
        <v>110025</v>
      </c>
      <c r="D1659" s="1" t="str">
        <f ca="1">IFERROR(__xludf.DUMMYFUNCTION("""COMPUTED_VALUE"""),"Male")</f>
        <v>Male</v>
      </c>
      <c r="E1659" s="1" t="str">
        <f ca="1">IFERROR(__xludf.DUMMYFUNCTION("""COMPUTED_VALUE"""),"People who have changed the world for better")</f>
        <v>People who have changed the world for better</v>
      </c>
      <c r="F1659" s="1" t="str">
        <f ca="1">IFERROR(__xludf.DUMMYFUNCTION("""COMPUTED_VALUE"""),"Yes, I will earn and do that")</f>
        <v>Yes, I will earn and do that</v>
      </c>
      <c r="G1659" s="1" t="str">
        <f ca="1">IFERROR(__xludf.DUMMYFUNCTION("""COMPUTED_VALUE"""),"Will work for 3 years or more")</f>
        <v>Will work for 3 years or more</v>
      </c>
      <c r="H1659" s="1" t="str">
        <f ca="1">IFERROR(__xludf.DUMMYFUNCTION("""COMPUTED_VALUE"""),"No")</f>
        <v>No</v>
      </c>
      <c r="I1659" s="1" t="str">
        <f ca="1">IFERROR(__xludf.DUMMYFUNCTION("""COMPUTED_VALUE"""),"Will NOT work for them")</f>
        <v>Will NOT work for them</v>
      </c>
      <c r="J1659" s="1">
        <f ca="1">IFERROR(__xludf.DUMMYFUNCTION("""COMPUTED_VALUE"""),5)</f>
        <v>5</v>
      </c>
      <c r="K1659" s="1" t="str">
        <f ca="1">IFERROR(__xludf.DUMMYFUNCTION("""COMPUTED_VALUE"""),"Hybrid Working Environment with less than 3 days a month at office")</f>
        <v>Hybrid Working Environment with less than 3 days a month at office</v>
      </c>
      <c r="L16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5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59" s="1" t="str">
        <f ca="1">IFERROR(__xludf.DUMMYFUNCTION("""COMPUTED_VALUE"""),"Design and Creative strategy in any company, Build and develop a Team, Look deeply into Data and generate insights, Entrepreneur or Start Up")</f>
        <v>Design and Creative strategy in any company, Build and develop a Team, Look deeply into Data and generate insights, Entrepreneur or Start Up</v>
      </c>
      <c r="O1659" s="1" t="str">
        <f ca="1">IFERROR(__xludf.DUMMYFUNCTION("""COMPUTED_VALUE"""),"Manager who sets goal and helps me achieve it")</f>
        <v>Manager who sets goal and helps me achieve it</v>
      </c>
      <c r="P1659" s="1" t="str">
        <f ca="1">IFERROR(__xludf.DUMMYFUNCTION("""COMPUTED_VALUE"""),"Work with 5 to 6 people in my team")</f>
        <v>Work with 5 to 6 people in my team</v>
      </c>
      <c r="Q1659" s="1" t="str">
        <f ca="1">IFERROR(__xludf.DUMMYFUNCTION("""COMPUTED_VALUE"""),"Yes, I Understand this is gonna happen everywhere")</f>
        <v>Yes, I Understand this is gonna happen everywhere</v>
      </c>
      <c r="R1659" s="1" t="str">
        <f ca="1">IFERROR(__xludf.DUMMYFUNCTION("""COMPUTED_VALUE"""),"This will be hard to do, but if it is the right company I would try")</f>
        <v>This will be hard to do, but if it is the right company I would try</v>
      </c>
      <c r="S1659" s="1"/>
    </row>
    <row r="1660" spans="1:19" ht="12.5" x14ac:dyDescent="0.25">
      <c r="A1660" s="2">
        <f ca="1">IFERROR(__xludf.DUMMYFUNCTION("""COMPUTED_VALUE"""),45046.5975797222)</f>
        <v>45046.597579722198</v>
      </c>
      <c r="B1660" s="1" t="str">
        <f ca="1">IFERROR(__xludf.DUMMYFUNCTION("""COMPUTED_VALUE"""),"India")</f>
        <v>India</v>
      </c>
      <c r="C1660" s="1">
        <f ca="1">IFERROR(__xludf.DUMMYFUNCTION("""COMPUTED_VALUE"""),841230)</f>
        <v>841230</v>
      </c>
      <c r="D1660" s="1" t="str">
        <f ca="1">IFERROR(__xludf.DUMMYFUNCTION("""COMPUTED_VALUE"""),"Male")</f>
        <v>Male</v>
      </c>
      <c r="E1660" s="1" t="str">
        <f ca="1">IFERROR(__xludf.DUMMYFUNCTION("""COMPUTED_VALUE"""),"My Parents")</f>
        <v>My Parents</v>
      </c>
      <c r="F1660" s="1" t="str">
        <f ca="1">IFERROR(__xludf.DUMMYFUNCTION("""COMPUTED_VALUE"""),"No I would not be pursuing Higher Education outside of India")</f>
        <v>No I would not be pursuing Higher Education outside of India</v>
      </c>
      <c r="G1660" s="1" t="str">
        <f ca="1">IFERROR(__xludf.DUMMYFUNCTION("""COMPUTED_VALUE"""),"This will be hard to do, but if it is the right company I would try")</f>
        <v>This will be hard to do, but if it is the right company I would try</v>
      </c>
      <c r="H1660" s="1" t="str">
        <f ca="1">IFERROR(__xludf.DUMMYFUNCTION("""COMPUTED_VALUE"""),"Yes")</f>
        <v>Yes</v>
      </c>
      <c r="I1660" s="1" t="str">
        <f ca="1">IFERROR(__xludf.DUMMYFUNCTION("""COMPUTED_VALUE"""),"Will work for them")</f>
        <v>Will work for them</v>
      </c>
      <c r="J1660" s="1">
        <f ca="1">IFERROR(__xludf.DUMMYFUNCTION("""COMPUTED_VALUE"""),9)</f>
        <v>9</v>
      </c>
      <c r="K1660" s="1" t="str">
        <f ca="1">IFERROR(__xludf.DUMMYFUNCTION("""COMPUTED_VALUE"""),"Fully Remote with Options to travel as and when needed")</f>
        <v>Fully Remote with Options to travel as and when needed</v>
      </c>
      <c r="L1660" s="1" t="str">
        <f ca="1">IFERROR(__xludf.DUMMYFUNCTION("""COMPUTED_VALUE"""),"Employer who rewards learning and enables that environment")</f>
        <v>Employer who rewards learning and enables that environment</v>
      </c>
      <c r="M1660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660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1660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0" s="1" t="str">
        <f ca="1">IFERROR(__xludf.DUMMYFUNCTION("""COMPUTED_VALUE"""),"Work with more than 10 people in my team")</f>
        <v>Work with more than 10 people in my team</v>
      </c>
      <c r="Q1660" s="1" t="str">
        <f ca="1">IFERROR(__xludf.DUMMYFUNCTION("""COMPUTED_VALUE"""),"Yes, I Understand this is gonna happen everywhere")</f>
        <v>Yes, I Understand this is gonna happen everywhere</v>
      </c>
      <c r="R1660" s="1" t="str">
        <f ca="1">IFERROR(__xludf.DUMMYFUNCTION("""COMPUTED_VALUE"""),"This will be hard to do, but if it is the right company I would try")</f>
        <v>This will be hard to do, but if it is the right company I would try</v>
      </c>
      <c r="S1660" s="1"/>
    </row>
    <row r="1661" spans="1:19" ht="12.5" x14ac:dyDescent="0.25">
      <c r="A1661" s="2">
        <f ca="1">IFERROR(__xludf.DUMMYFUNCTION("""COMPUTED_VALUE"""),45046.6137366666)</f>
        <v>45046.613736666601</v>
      </c>
      <c r="B1661" s="1" t="str">
        <f ca="1">IFERROR(__xludf.DUMMYFUNCTION("""COMPUTED_VALUE"""),"India")</f>
        <v>India</v>
      </c>
      <c r="C1661" s="1">
        <f ca="1">IFERROR(__xludf.DUMMYFUNCTION("""COMPUTED_VALUE"""),440035)</f>
        <v>440035</v>
      </c>
      <c r="D1661" s="1" t="str">
        <f ca="1">IFERROR(__xludf.DUMMYFUNCTION("""COMPUTED_VALUE"""),"Male")</f>
        <v>Male</v>
      </c>
      <c r="E1661" s="1" t="str">
        <f ca="1">IFERROR(__xludf.DUMMYFUNCTION("""COMPUTED_VALUE"""),"People from my circle, but not family members")</f>
        <v>People from my circle, but not family members</v>
      </c>
      <c r="F1661" s="1" t="str">
        <f ca="1">IFERROR(__xludf.DUMMYFUNCTION("""COMPUTED_VALUE"""),"Yes, I will earn and do that")</f>
        <v>Yes, I will earn and do that</v>
      </c>
      <c r="G1661" s="1" t="str">
        <f ca="1">IFERROR(__xludf.DUMMYFUNCTION("""COMPUTED_VALUE"""),"This will be hard to do, but if it is the right company I would try")</f>
        <v>This will be hard to do, but if it is the right company I would try</v>
      </c>
      <c r="H1661" s="1" t="str">
        <f ca="1">IFERROR(__xludf.DUMMYFUNCTION("""COMPUTED_VALUE"""),"No")</f>
        <v>No</v>
      </c>
      <c r="I1661" s="1" t="str">
        <f ca="1">IFERROR(__xludf.DUMMYFUNCTION("""COMPUTED_VALUE"""),"Will NOT work for them")</f>
        <v>Will NOT work for them</v>
      </c>
      <c r="J1661" s="1">
        <f ca="1">IFERROR(__xludf.DUMMYFUNCTION("""COMPUTED_VALUE"""),6)</f>
        <v>6</v>
      </c>
      <c r="K1661" s="1" t="str">
        <f ca="1">IFERROR(__xludf.DUMMYFUNCTION("""COMPUTED_VALUE"""),"Fully Remote with Options to travel as and when needed")</f>
        <v>Fully Remote with Options to travel as and when needed</v>
      </c>
      <c r="L1661" s="1" t="str">
        <f ca="1">IFERROR(__xludf.DUMMYFUNCTION("""COMPUTED_VALUE"""),"Employer who appreciates learning and enables that environment")</f>
        <v>Employer who appreciates learning and enables that environment</v>
      </c>
      <c r="M1661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661" s="1" t="str">
        <f ca="1">IFERROR(__xludf.DUMMYFUNCTION("""COMPUTED_VALUE"""),"Design and Creative strategy in any company, Teaching in any of the institutes/colleges/online or offline, Design and Develop amazing software, Look deeply into Data and generate insights")</f>
        <v>Design and Creative strategy in any company, Teaching in any of the institutes/colleges/online or offline, Design and Develop amazing software, Look deeply into Data and generate insights</v>
      </c>
      <c r="O1661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1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661" s="1" t="str">
        <f ca="1">IFERROR(__xludf.DUMMYFUNCTION("""COMPUTED_VALUE"""),"Yes, I Understand this is gonna happen everywhere")</f>
        <v>Yes, I Understand this is gonna happen everywhere</v>
      </c>
      <c r="R1661" s="1" t="str">
        <f ca="1">IFERROR(__xludf.DUMMYFUNCTION("""COMPUTED_VALUE"""),"This will be hard to do, but if it is the right company I would try")</f>
        <v>This will be hard to do, but if it is the right company I would try</v>
      </c>
      <c r="S1661" s="1"/>
    </row>
    <row r="1662" spans="1:19" ht="12.5" x14ac:dyDescent="0.25">
      <c r="A1662" s="2">
        <f ca="1">IFERROR(__xludf.DUMMYFUNCTION("""COMPUTED_VALUE"""),45046.623180081)</f>
        <v>45046.623180080998</v>
      </c>
      <c r="B1662" s="1" t="str">
        <f ca="1">IFERROR(__xludf.DUMMYFUNCTION("""COMPUTED_VALUE"""),"India")</f>
        <v>India</v>
      </c>
      <c r="C1662" s="1">
        <f ca="1">IFERROR(__xludf.DUMMYFUNCTION("""COMPUTED_VALUE"""),395006)</f>
        <v>395006</v>
      </c>
      <c r="D1662" s="1" t="str">
        <f ca="1">IFERROR(__xludf.DUMMYFUNCTION("""COMPUTED_VALUE"""),"Female")</f>
        <v>Female</v>
      </c>
      <c r="E1662" s="1" t="str">
        <f ca="1">IFERROR(__xludf.DUMMYFUNCTION("""COMPUTED_VALUE"""),"People from my circle, but not family members")</f>
        <v>People from my circle, but not family members</v>
      </c>
      <c r="F1662" s="1" t="str">
        <f ca="1">IFERROR(__xludf.DUMMYFUNCTION("""COMPUTED_VALUE"""),"No I would not be pursuing Higher Education outside of India")</f>
        <v>No I would not be pursuing Higher Education outside of India</v>
      </c>
      <c r="G1662" s="1" t="str">
        <f ca="1">IFERROR(__xludf.DUMMYFUNCTION("""COMPUTED_VALUE"""),"This will be hard to do, but if it is the right company I would try")</f>
        <v>This will be hard to do, but if it is the right company I would try</v>
      </c>
      <c r="H1662" s="1" t="str">
        <f ca="1">IFERROR(__xludf.DUMMYFUNCTION("""COMPUTED_VALUE"""),"No")</f>
        <v>No</v>
      </c>
      <c r="I1662" s="1" t="str">
        <f ca="1">IFERROR(__xludf.DUMMYFUNCTION("""COMPUTED_VALUE"""),"Will NOT work for them")</f>
        <v>Will NOT work for them</v>
      </c>
      <c r="J1662" s="1">
        <f ca="1">IFERROR(__xludf.DUMMYFUNCTION("""COMPUTED_VALUE"""),1)</f>
        <v>1</v>
      </c>
      <c r="K1662" s="1" t="str">
        <f ca="1">IFERROR(__xludf.DUMMYFUNCTION("""COMPUTED_VALUE"""),"Fully Remote with Options to travel as and when needed")</f>
        <v>Fully Remote with Options to travel as and when needed</v>
      </c>
      <c r="L1662" s="1" t="str">
        <f ca="1">IFERROR(__xludf.DUMMYFUNCTION("""COMPUTED_VALUE"""),"Employer who rewards learning and enables that environment")</f>
        <v>Employer who rewards learning and enables that environment</v>
      </c>
      <c r="M166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662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662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2" s="1" t="str">
        <f ca="1">IFERROR(__xludf.DUMMYFUNCTION("""COMPUTED_VALUE"""),"Work with 2 to 3 people in my team")</f>
        <v>Work with 2 to 3 people in my team</v>
      </c>
      <c r="Q1662" s="1" t="str">
        <f ca="1">IFERROR(__xludf.DUMMYFUNCTION("""COMPUTED_VALUE"""),"No")</f>
        <v>No</v>
      </c>
      <c r="R1662" s="1" t="str">
        <f ca="1">IFERROR(__xludf.DUMMYFUNCTION("""COMPUTED_VALUE"""),"This will be hard to do, but if it is the right company I would try")</f>
        <v>This will be hard to do, but if it is the right company I would try</v>
      </c>
      <c r="S1662" s="1"/>
    </row>
    <row r="1663" spans="1:19" ht="12.5" x14ac:dyDescent="0.25">
      <c r="A1663" s="2">
        <f ca="1">IFERROR(__xludf.DUMMYFUNCTION("""COMPUTED_VALUE"""),45046.6327862037)</f>
        <v>45046.6327862037</v>
      </c>
      <c r="B1663" s="1" t="str">
        <f ca="1">IFERROR(__xludf.DUMMYFUNCTION("""COMPUTED_VALUE"""),"India")</f>
        <v>India</v>
      </c>
      <c r="C1663" s="1">
        <f ca="1">IFERROR(__xludf.DUMMYFUNCTION("""COMPUTED_VALUE"""),395006)</f>
        <v>395006</v>
      </c>
      <c r="D1663" s="1" t="str">
        <f ca="1">IFERROR(__xludf.DUMMYFUNCTION("""COMPUTED_VALUE"""),"Male")</f>
        <v>Male</v>
      </c>
      <c r="E1663" s="1" t="str">
        <f ca="1">IFERROR(__xludf.DUMMYFUNCTION("""COMPUTED_VALUE"""),"People from my circle, but not family members")</f>
        <v>People from my circle, but not family members</v>
      </c>
      <c r="F1663" s="1" t="str">
        <f ca="1">IFERROR(__xludf.DUMMYFUNCTION("""COMPUTED_VALUE"""),"No I would not be pursuing Higher Education outside of India")</f>
        <v>No I would not be pursuing Higher Education outside of India</v>
      </c>
      <c r="G1663" s="1" t="str">
        <f ca="1">IFERROR(__xludf.DUMMYFUNCTION("""COMPUTED_VALUE"""),"This will be hard to do, but if it is the right company I would try")</f>
        <v>This will be hard to do, but if it is the right company I would try</v>
      </c>
      <c r="H1663" s="1" t="str">
        <f ca="1">IFERROR(__xludf.DUMMYFUNCTION("""COMPUTED_VALUE"""),"No")</f>
        <v>No</v>
      </c>
      <c r="I1663" s="1" t="str">
        <f ca="1">IFERROR(__xludf.DUMMYFUNCTION("""COMPUTED_VALUE"""),"Will NOT work for them")</f>
        <v>Will NOT work for them</v>
      </c>
      <c r="J1663" s="1">
        <f ca="1">IFERROR(__xludf.DUMMYFUNCTION("""COMPUTED_VALUE"""),5)</f>
        <v>5</v>
      </c>
      <c r="K1663" s="1" t="str">
        <f ca="1">IFERROR(__xludf.DUMMYFUNCTION("""COMPUTED_VALUE"""),"Hybrid Working Environment with more than 15 days a month at office")</f>
        <v>Hybrid Working Environment with more than 15 days a month at office</v>
      </c>
      <c r="L16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6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663" s="1" t="str">
        <f ca="1">IFERROR(__xludf.DUMMYFUNCTION("""COMPUTED_VALUE"""),"Teaching in any of the institutes/colleges/online or offline, Manage and drive End-to-End Projects or Products, Build and develop a Team, Entrepreneur or Start Up")</f>
        <v>Teaching in any of the institutes/colleges/online or offline, Manage and drive End-to-End Projects or Products, Build and develop a Team, Entrepreneur or Start Up</v>
      </c>
      <c r="O1663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3" s="1" t="str">
        <f ca="1">IFERROR(__xludf.DUMMYFUNCTION("""COMPUTED_VALUE"""),"Work with 2 to 3 people in my team")</f>
        <v>Work with 2 to 3 people in my team</v>
      </c>
      <c r="Q1663" s="1" t="str">
        <f ca="1">IFERROR(__xludf.DUMMYFUNCTION("""COMPUTED_VALUE"""),"I have NO other choice")</f>
        <v>I have NO other choice</v>
      </c>
      <c r="R1663" s="1" t="str">
        <f ca="1">IFERROR(__xludf.DUMMYFUNCTION("""COMPUTED_VALUE"""),"No way")</f>
        <v>No way</v>
      </c>
      <c r="S1663" s="1"/>
    </row>
    <row r="1664" spans="1:19" ht="12.5" x14ac:dyDescent="0.25">
      <c r="A1664" s="2">
        <f ca="1">IFERROR(__xludf.DUMMYFUNCTION("""COMPUTED_VALUE"""),45046.6425139467)</f>
        <v>45046.642513946703</v>
      </c>
      <c r="B1664" s="1" t="str">
        <f ca="1">IFERROR(__xludf.DUMMYFUNCTION("""COMPUTED_VALUE"""),"India")</f>
        <v>India</v>
      </c>
      <c r="C1664" s="1">
        <f ca="1">IFERROR(__xludf.DUMMYFUNCTION("""COMPUTED_VALUE"""),395004)</f>
        <v>395004</v>
      </c>
      <c r="D1664" s="1" t="str">
        <f ca="1">IFERROR(__xludf.DUMMYFUNCTION("""COMPUTED_VALUE"""),"Male")</f>
        <v>Male</v>
      </c>
      <c r="E1664" s="1" t="str">
        <f ca="1">IFERROR(__xludf.DUMMYFUNCTION("""COMPUTED_VALUE"""),"My Parents")</f>
        <v>My Parents</v>
      </c>
      <c r="F1664" s="1" t="str">
        <f ca="1">IFERROR(__xludf.DUMMYFUNCTION("""COMPUTED_VALUE"""),"No I would not be pursuing Higher Education outside of India")</f>
        <v>No I would not be pursuing Higher Education outside of India</v>
      </c>
      <c r="G1664" s="1" t="str">
        <f ca="1">IFERROR(__xludf.DUMMYFUNCTION("""COMPUTED_VALUE"""),"This will be hard to do, but if it is the right company I would try")</f>
        <v>This will be hard to do, but if it is the right company I would try</v>
      </c>
      <c r="H1664" s="1" t="str">
        <f ca="1">IFERROR(__xludf.DUMMYFUNCTION("""COMPUTED_VALUE"""),"No")</f>
        <v>No</v>
      </c>
      <c r="I1664" s="1" t="str">
        <f ca="1">IFERROR(__xludf.DUMMYFUNCTION("""COMPUTED_VALUE"""),"Will NOT work for them")</f>
        <v>Will NOT work for them</v>
      </c>
      <c r="J1664" s="1">
        <f ca="1">IFERROR(__xludf.DUMMYFUNCTION("""COMPUTED_VALUE"""),4)</f>
        <v>4</v>
      </c>
      <c r="K1664" s="1" t="str">
        <f ca="1">IFERROR(__xludf.DUMMYFUNCTION("""COMPUTED_VALUE"""),"Hybrid Working Environment with more than 15 days a month at office")</f>
        <v>Hybrid Working Environment with more than 15 days a month at office</v>
      </c>
      <c r="L16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64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664" s="1" t="str">
        <f ca="1">IFERROR(__xludf.DUMMYFUNCTION("""COMPUTED_VALUE"""),"Design and Creative strategy in any company, Manage and drive End-to-End Projects or Products, Work as a freelancer and do my thing my way, Entrepreneur or Start Up")</f>
        <v>Design and Creative strategy in any company, Manage and drive End-to-End Projects or Products, Work as a freelancer and do my thing my way, Entrepreneur or Start Up</v>
      </c>
      <c r="O1664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4" s="1" t="str">
        <f ca="1">IFERROR(__xludf.DUMMYFUNCTION("""COMPUTED_VALUE"""),"Work with 5 to 6 people in my team")</f>
        <v>Work with 5 to 6 people in my team</v>
      </c>
      <c r="Q1664" s="1" t="str">
        <f ca="1">IFERROR(__xludf.DUMMYFUNCTION("""COMPUTED_VALUE"""),"Yes, I Understand this is gonna happen everywhere")</f>
        <v>Yes, I Understand this is gonna happen everywhere</v>
      </c>
      <c r="R1664" s="1" t="str">
        <f ca="1">IFERROR(__xludf.DUMMYFUNCTION("""COMPUTED_VALUE"""),"This will be hard to do, but if it is the right company I would try")</f>
        <v>This will be hard to do, but if it is the right company I would try</v>
      </c>
      <c r="S1664" s="1"/>
    </row>
    <row r="1665" spans="1:19" ht="12.5" x14ac:dyDescent="0.25">
      <c r="A1665" s="2">
        <f ca="1">IFERROR(__xludf.DUMMYFUNCTION("""COMPUTED_VALUE"""),45046.6611865509)</f>
        <v>45046.661186550897</v>
      </c>
      <c r="B1665" s="1" t="str">
        <f ca="1">IFERROR(__xludf.DUMMYFUNCTION("""COMPUTED_VALUE"""),"India")</f>
        <v>India</v>
      </c>
      <c r="C1665" s="1">
        <f ca="1">IFERROR(__xludf.DUMMYFUNCTION("""COMPUTED_VALUE"""),605009)</f>
        <v>605009</v>
      </c>
      <c r="D1665" s="1" t="str">
        <f ca="1">IFERROR(__xludf.DUMMYFUNCTION("""COMPUTED_VALUE"""),"Male")</f>
        <v>Male</v>
      </c>
      <c r="E1665" s="1" t="str">
        <f ca="1">IFERROR(__xludf.DUMMYFUNCTION("""COMPUTED_VALUE"""),"Social Media like LinkedIn")</f>
        <v>Social Media like LinkedIn</v>
      </c>
      <c r="F1665" s="1" t="str">
        <f ca="1">IFERROR(__xludf.DUMMYFUNCTION("""COMPUTED_VALUE"""),"Yes, I will earn and do that")</f>
        <v>Yes, I will earn and do that</v>
      </c>
      <c r="G1665" s="1" t="str">
        <f ca="1">IFERROR(__xludf.DUMMYFUNCTION("""COMPUTED_VALUE"""),"This will be hard to do, but if it is the right company I would try")</f>
        <v>This will be hard to do, but if it is the right company I would try</v>
      </c>
      <c r="H1665" s="1" t="str">
        <f ca="1">IFERROR(__xludf.DUMMYFUNCTION("""COMPUTED_VALUE"""),"No")</f>
        <v>No</v>
      </c>
      <c r="I1665" s="1" t="str">
        <f ca="1">IFERROR(__xludf.DUMMYFUNCTION("""COMPUTED_VALUE"""),"Will NOT work for them")</f>
        <v>Will NOT work for them</v>
      </c>
      <c r="J1665" s="1">
        <f ca="1">IFERROR(__xludf.DUMMYFUNCTION("""COMPUTED_VALUE"""),4)</f>
        <v>4</v>
      </c>
      <c r="K1665" s="1" t="str">
        <f ca="1">IFERROR(__xludf.DUMMYFUNCTION("""COMPUTED_VALUE"""),"Fully Remote with Options to travel as and when needed")</f>
        <v>Fully Remote with Options to travel as and when needed</v>
      </c>
      <c r="L16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6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65" s="1" t="str">
        <f ca="1">IFERROR(__xludf.DUMMYFUNCTION("""COMPUTED_VALUE"""),"Design and Creative strategy in any company, Business Operations in any organization, Manage and drive End-to-End Projects or Products, Work as a freelancer and do my thing my way")</f>
        <v>Design and Creative strategy in any company, Business Operations in any organization, Manage and drive End-to-End Projects or Products, Work as a freelancer and do my thing my way</v>
      </c>
      <c r="O1665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5" s="1" t="str">
        <f ca="1">IFERROR(__xludf.DUMMYFUNCTION("""COMPUTED_VALUE"""),"Work with 5 to 6 people in my team")</f>
        <v>Work with 5 to 6 people in my team</v>
      </c>
      <c r="Q1665" s="1" t="str">
        <f ca="1">IFERROR(__xludf.DUMMYFUNCTION("""COMPUTED_VALUE"""),"No")</f>
        <v>No</v>
      </c>
      <c r="R1665" s="1" t="str">
        <f ca="1">IFERROR(__xludf.DUMMYFUNCTION("""COMPUTED_VALUE"""),"This will be hard to do, but if it is the right company I would try")</f>
        <v>This will be hard to do, but if it is the right company I would try</v>
      </c>
      <c r="S1665" s="1"/>
    </row>
    <row r="1666" spans="1:19" ht="12.5" x14ac:dyDescent="0.25">
      <c r="A1666" s="2">
        <f ca="1">IFERROR(__xludf.DUMMYFUNCTION("""COMPUTED_VALUE"""),45046.6668118749)</f>
        <v>45046.6668118749</v>
      </c>
      <c r="B1666" s="1" t="str">
        <f ca="1">IFERROR(__xludf.DUMMYFUNCTION("""COMPUTED_VALUE"""),"India")</f>
        <v>India</v>
      </c>
      <c r="C1666" s="1">
        <f ca="1">IFERROR(__xludf.DUMMYFUNCTION("""COMPUTED_VALUE"""),302020)</f>
        <v>302020</v>
      </c>
      <c r="D1666" s="1" t="str">
        <f ca="1">IFERROR(__xludf.DUMMYFUNCTION("""COMPUTED_VALUE"""),"Female")</f>
        <v>Female</v>
      </c>
      <c r="E1666" s="1" t="str">
        <f ca="1">IFERROR(__xludf.DUMMYFUNCTION("""COMPUTED_VALUE"""),"Influencers who had successful careers")</f>
        <v>Influencers who had successful careers</v>
      </c>
      <c r="F1666" s="1" t="str">
        <f ca="1">IFERROR(__xludf.DUMMYFUNCTION("""COMPUTED_VALUE"""),"Yes, I will earn and do that")</f>
        <v>Yes, I will earn and do that</v>
      </c>
      <c r="G1666" s="1" t="str">
        <f ca="1">IFERROR(__xludf.DUMMYFUNCTION("""COMPUTED_VALUE"""),"This will be hard to do, but if it is the right company I would try")</f>
        <v>This will be hard to do, but if it is the right company I would try</v>
      </c>
      <c r="H1666" s="1" t="str">
        <f ca="1">IFERROR(__xludf.DUMMYFUNCTION("""COMPUTED_VALUE"""),"Yes")</f>
        <v>Yes</v>
      </c>
      <c r="I1666" s="1" t="str">
        <f ca="1">IFERROR(__xludf.DUMMYFUNCTION("""COMPUTED_VALUE"""),"Will NOT work for them")</f>
        <v>Will NOT work for them</v>
      </c>
      <c r="J1666" s="1">
        <f ca="1">IFERROR(__xludf.DUMMYFUNCTION("""COMPUTED_VALUE"""),7)</f>
        <v>7</v>
      </c>
      <c r="K1666" s="1" t="str">
        <f ca="1">IFERROR(__xludf.DUMMYFUNCTION("""COMPUTED_VALUE"""),"Fully Remote with Options to travel as and when needed")</f>
        <v>Fully Remote with Options to travel as and when needed</v>
      </c>
      <c r="L16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6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666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1666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6" s="1" t="str">
        <f ca="1">IFERROR(__xludf.DUMMYFUNCTION("""COMPUTED_VALUE"""),"Work with 2 to 3 people in my team")</f>
        <v>Work with 2 to 3 people in my team</v>
      </c>
      <c r="Q1666" s="1" t="str">
        <f ca="1">IFERROR(__xludf.DUMMYFUNCTION("""COMPUTED_VALUE"""),"Yes, I Understand this is gonna happen everywhere")</f>
        <v>Yes, I Understand this is gonna happen everywhere</v>
      </c>
      <c r="R1666" s="1" t="str">
        <f ca="1">IFERROR(__xludf.DUMMYFUNCTION("""COMPUTED_VALUE"""),"This will be hard to do, but if it is the right company I would try")</f>
        <v>This will be hard to do, but if it is the right company I would try</v>
      </c>
      <c r="S1666" s="1"/>
    </row>
    <row r="1667" spans="1:19" ht="12.5" x14ac:dyDescent="0.25">
      <c r="A1667" s="2">
        <f ca="1">IFERROR(__xludf.DUMMYFUNCTION("""COMPUTED_VALUE"""),45046.6700377662)</f>
        <v>45046.670037766198</v>
      </c>
      <c r="B1667" s="1" t="str">
        <f ca="1">IFERROR(__xludf.DUMMYFUNCTION("""COMPUTED_VALUE"""),"India")</f>
        <v>India</v>
      </c>
      <c r="C1667" s="1">
        <f ca="1">IFERROR(__xludf.DUMMYFUNCTION("""COMPUTED_VALUE"""),410206)</f>
        <v>410206</v>
      </c>
      <c r="D1667" s="1" t="str">
        <f ca="1">IFERROR(__xludf.DUMMYFUNCTION("""COMPUTED_VALUE"""),"Male")</f>
        <v>Male</v>
      </c>
      <c r="E1667" s="1" t="str">
        <f ca="1">IFERROR(__xludf.DUMMYFUNCTION("""COMPUTED_VALUE"""),"Influencers who had successful careers")</f>
        <v>Influencers who had successful careers</v>
      </c>
      <c r="F1667" s="1" t="str">
        <f ca="1">IFERROR(__xludf.DUMMYFUNCTION("""COMPUTED_VALUE"""),"Yes, I will earn and do that")</f>
        <v>Yes, I will earn and do that</v>
      </c>
      <c r="G1667" s="1" t="str">
        <f ca="1">IFERROR(__xludf.DUMMYFUNCTION("""COMPUTED_VALUE"""),"This will be hard to do, but if it is the right company I would try")</f>
        <v>This will be hard to do, but if it is the right company I would try</v>
      </c>
      <c r="H1667" s="1" t="str">
        <f ca="1">IFERROR(__xludf.DUMMYFUNCTION("""COMPUTED_VALUE"""),"No")</f>
        <v>No</v>
      </c>
      <c r="I1667" s="1" t="str">
        <f ca="1">IFERROR(__xludf.DUMMYFUNCTION("""COMPUTED_VALUE"""),"Will NOT work for them")</f>
        <v>Will NOT work for them</v>
      </c>
      <c r="J1667" s="1">
        <f ca="1">IFERROR(__xludf.DUMMYFUNCTION("""COMPUTED_VALUE"""),2)</f>
        <v>2</v>
      </c>
      <c r="K1667" s="1" t="str">
        <f ca="1">IFERROR(__xludf.DUMMYFUNCTION("""COMPUTED_VALUE"""),"Hybrid Working Environment with more than 15 days a month at office")</f>
        <v>Hybrid Working Environment with more than 15 days a month at office</v>
      </c>
      <c r="L16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6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67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1667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7" s="1" t="str">
        <f ca="1">IFERROR(__xludf.DUMMYFUNCTION("""COMPUTED_VALUE"""),"Work with 5 to 6 people in my team")</f>
        <v>Work with 5 to 6 people in my team</v>
      </c>
      <c r="Q1667" s="1" t="str">
        <f ca="1">IFERROR(__xludf.DUMMYFUNCTION("""COMPUTED_VALUE"""),"Yes, I Understand this is gonna happen everywhere")</f>
        <v>Yes, I Understand this is gonna happen everywhere</v>
      </c>
      <c r="R1667" s="1" t="str">
        <f ca="1">IFERROR(__xludf.DUMMYFUNCTION("""COMPUTED_VALUE"""),"This will be hard to do, but if it is the right company I would try")</f>
        <v>This will be hard to do, but if it is the right company I would try</v>
      </c>
      <c r="S1667" s="1"/>
    </row>
    <row r="1668" spans="1:19" ht="12.5" x14ac:dyDescent="0.25">
      <c r="A1668" s="2">
        <f ca="1">IFERROR(__xludf.DUMMYFUNCTION("""COMPUTED_VALUE"""),45046.742538449)</f>
        <v>45046.742538448998</v>
      </c>
      <c r="B1668" s="1" t="str">
        <f ca="1">IFERROR(__xludf.DUMMYFUNCTION("""COMPUTED_VALUE"""),"India")</f>
        <v>India</v>
      </c>
      <c r="C1668" s="1">
        <f ca="1">IFERROR(__xludf.DUMMYFUNCTION("""COMPUTED_VALUE"""),110025)</f>
        <v>110025</v>
      </c>
      <c r="D1668" s="1" t="str">
        <f ca="1">IFERROR(__xludf.DUMMYFUNCTION("""COMPUTED_VALUE"""),"Male")</f>
        <v>Male</v>
      </c>
      <c r="E1668" s="1" t="str">
        <f ca="1">IFERROR(__xludf.DUMMYFUNCTION("""COMPUTED_VALUE"""),"Social Media like LinkedIn")</f>
        <v>Social Media like LinkedIn</v>
      </c>
      <c r="F1668" s="1" t="str">
        <f ca="1">IFERROR(__xludf.DUMMYFUNCTION("""COMPUTED_VALUE"""),"Yes, I will earn and do that")</f>
        <v>Yes, I will earn and do that</v>
      </c>
      <c r="G1668" s="1" t="str">
        <f ca="1">IFERROR(__xludf.DUMMYFUNCTION("""COMPUTED_VALUE"""),"Will work for 3 years or more")</f>
        <v>Will work for 3 years or more</v>
      </c>
      <c r="H1668" s="1" t="str">
        <f ca="1">IFERROR(__xludf.DUMMYFUNCTION("""COMPUTED_VALUE"""),"Yes")</f>
        <v>Yes</v>
      </c>
      <c r="I1668" s="1" t="str">
        <f ca="1">IFERROR(__xludf.DUMMYFUNCTION("""COMPUTED_VALUE"""),"Will work for them")</f>
        <v>Will work for them</v>
      </c>
      <c r="J1668" s="1">
        <f ca="1">IFERROR(__xludf.DUMMYFUNCTION("""COMPUTED_VALUE"""),3)</f>
        <v>3</v>
      </c>
      <c r="K1668" s="1" t="str">
        <f ca="1">IFERROR(__xludf.DUMMYFUNCTION("""COMPUTED_VALUE"""),"Every Day Office Environment")</f>
        <v>Every Day Office Environment</v>
      </c>
      <c r="L16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6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668" s="1" t="str">
        <f ca="1">IFERROR(__xludf.DUMMYFUNCTION("""COMPUTED_VALUE"""),"Teaching in any of the institutes/colleges/online or offline, Business Operations in any organization, Build and develop a Team, An Artificial Intelligence Specialist / Talking to Robots")</f>
        <v>Teaching in any of the institutes/colleges/online or offline, Business Operations in any organization, Build and develop a Team, An Artificial Intelligence Specialist / Talking to Robots</v>
      </c>
      <c r="O1668" s="1" t="str">
        <f ca="1">IFERROR(__xludf.DUMMYFUNCTION("""COMPUTED_VALUE"""),"Manager who explains what is expected, sets a goal and helps achieve it")</f>
        <v>Manager who explains what is expected, sets a goal and helps achieve it</v>
      </c>
      <c r="P1668" s="1" t="str">
        <f ca="1">IFERROR(__xludf.DUMMYFUNCTION("""COMPUTED_VALUE"""),"Work with 2 to 3 people in my team, Work with 5 to 6 people in my team")</f>
        <v>Work with 2 to 3 people in my team, Work with 5 to 6 people in my team</v>
      </c>
      <c r="Q1668" s="1" t="str">
        <f ca="1">IFERROR(__xludf.DUMMYFUNCTION("""COMPUTED_VALUE"""),"Yes, I Understand this is gonna happen everywhere")</f>
        <v>Yes, I Understand this is gonna happen everywhere</v>
      </c>
      <c r="R1668" s="1" t="str">
        <f ca="1">IFERROR(__xludf.DUMMYFUNCTION("""COMPUTED_VALUE"""),"This will be hard to do, but if it is the right company I would try")</f>
        <v>This will be hard to do, but if it is the right company I would try</v>
      </c>
      <c r="S1668" s="1"/>
    </row>
    <row r="1669" spans="1:19" ht="12.5" x14ac:dyDescent="0.25">
      <c r="A1669" s="2">
        <f ca="1">IFERROR(__xludf.DUMMYFUNCTION("""COMPUTED_VALUE"""),45046.754666493)</f>
        <v>45046.754666492998</v>
      </c>
      <c r="B1669" s="1" t="str">
        <f ca="1">IFERROR(__xludf.DUMMYFUNCTION("""COMPUTED_VALUE"""),"India")</f>
        <v>India</v>
      </c>
      <c r="C1669" s="1">
        <f ca="1">IFERROR(__xludf.DUMMYFUNCTION("""COMPUTED_VALUE"""),201301)</f>
        <v>201301</v>
      </c>
      <c r="D1669" s="1" t="str">
        <f ca="1">IFERROR(__xludf.DUMMYFUNCTION("""COMPUTED_VALUE"""),"Male")</f>
        <v>Male</v>
      </c>
      <c r="E1669" s="1" t="str">
        <f ca="1">IFERROR(__xludf.DUMMYFUNCTION("""COMPUTED_VALUE"""),"Influencers who had successful careers")</f>
        <v>Influencers who had successful careers</v>
      </c>
      <c r="F1669" s="1" t="str">
        <f ca="1">IFERROR(__xludf.DUMMYFUNCTION("""COMPUTED_VALUE"""),"No I would not be pursuing Higher Education outside of India")</f>
        <v>No I would not be pursuing Higher Education outside of India</v>
      </c>
      <c r="G1669" s="1" t="str">
        <f ca="1">IFERROR(__xludf.DUMMYFUNCTION("""COMPUTED_VALUE"""),"No way")</f>
        <v>No way</v>
      </c>
      <c r="H1669" s="1" t="str">
        <f ca="1">IFERROR(__xludf.DUMMYFUNCTION("""COMPUTED_VALUE"""),"Yes")</f>
        <v>Yes</v>
      </c>
      <c r="I1669" s="1" t="str">
        <f ca="1">IFERROR(__xludf.DUMMYFUNCTION("""COMPUTED_VALUE"""),"Will NOT work for them")</f>
        <v>Will NOT work for them</v>
      </c>
      <c r="J1669" s="1">
        <f ca="1">IFERROR(__xludf.DUMMYFUNCTION("""COMPUTED_VALUE"""),10)</f>
        <v>10</v>
      </c>
      <c r="K1669" s="1" t="str">
        <f ca="1">IFERROR(__xludf.DUMMYFUNCTION("""COMPUTED_VALUE"""),"Every Day Office Environment")</f>
        <v>Every Day Office Environment</v>
      </c>
      <c r="L1669" s="1" t="str">
        <f ca="1">IFERROR(__xludf.DUMMYFUNCTION("""COMPUTED_VALUE"""),"Employer who appreciates learning and enables that environment")</f>
        <v>Employer who appreciates learning and enables that environment</v>
      </c>
      <c r="M166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669" s="1" t="str">
        <f ca="1">IFERROR(__xludf.DUMMYFUNCTION("""COMPUTED_VALUE"""),"Design and Creative strategy in any company, Build and develop a Team, Entrepreneur or Start Up, An Artificial Intelligence Specialist / Talking to Robots")</f>
        <v>Design and Creative strategy in any company, Build and develop a Team, Entrepreneur or Start Up, An Artificial Intelligence Specialist / Talking to Robots</v>
      </c>
      <c r="O1669" s="1" t="str">
        <f ca="1">IFERROR(__xludf.DUMMYFUNCTION("""COMPUTED_VALUE"""),"Manager who clearly describes what she/he needs")</f>
        <v>Manager who clearly describes what she/he needs</v>
      </c>
      <c r="P1669" s="1" t="str">
        <f ca="1">IFERROR(__xludf.DUMMYFUNCTION("""COMPUTED_VALUE"""),"Work with more than 10 people in my team")</f>
        <v>Work with more than 10 people in my team</v>
      </c>
      <c r="Q1669" s="1" t="str">
        <f ca="1">IFERROR(__xludf.DUMMYFUNCTION("""COMPUTED_VALUE"""),"No")</f>
        <v>No</v>
      </c>
      <c r="R1669" s="1" t="str">
        <f ca="1">IFERROR(__xludf.DUMMYFUNCTION("""COMPUTED_VALUE"""),"No way")</f>
        <v>No way</v>
      </c>
      <c r="S1669" s="1"/>
    </row>
    <row r="1670" spans="1:19" ht="12.5" x14ac:dyDescent="0.25">
      <c r="A1670" s="2">
        <f ca="1">IFERROR(__xludf.DUMMYFUNCTION("""COMPUTED_VALUE"""),45046.7640990625)</f>
        <v>45046.7640990625</v>
      </c>
      <c r="B1670" s="1" t="str">
        <f ca="1">IFERROR(__xludf.DUMMYFUNCTION("""COMPUTED_VALUE"""),"India")</f>
        <v>India</v>
      </c>
      <c r="C1670" s="1">
        <f ca="1">IFERROR(__xludf.DUMMYFUNCTION("""COMPUTED_VALUE"""),501301)</f>
        <v>501301</v>
      </c>
      <c r="D1670" s="1" t="str">
        <f ca="1">IFERROR(__xludf.DUMMYFUNCTION("""COMPUTED_VALUE"""),"Male")</f>
        <v>Male</v>
      </c>
      <c r="E1670" s="1" t="str">
        <f ca="1">IFERROR(__xludf.DUMMYFUNCTION("""COMPUTED_VALUE"""),"People who have changed the world for better")</f>
        <v>People who have changed the world for better</v>
      </c>
      <c r="F1670" s="1" t="str">
        <f ca="1">IFERROR(__xludf.DUMMYFUNCTION("""COMPUTED_VALUE"""),"No I would not be pursuing Higher Education outside of India")</f>
        <v>No I would not be pursuing Higher Education outside of India</v>
      </c>
      <c r="G1670" s="1" t="str">
        <f ca="1">IFERROR(__xludf.DUMMYFUNCTION("""COMPUTED_VALUE"""),"This will be hard to do, but if it is the right company I would try")</f>
        <v>This will be hard to do, but if it is the right company I would try</v>
      </c>
      <c r="H1670" s="1" t="str">
        <f ca="1">IFERROR(__xludf.DUMMYFUNCTION("""COMPUTED_VALUE"""),"No")</f>
        <v>No</v>
      </c>
      <c r="I1670" s="1" t="str">
        <f ca="1">IFERROR(__xludf.DUMMYFUNCTION("""COMPUTED_VALUE"""),"Will NOT work for them")</f>
        <v>Will NOT work for them</v>
      </c>
      <c r="J1670" s="1">
        <f ca="1">IFERROR(__xludf.DUMMYFUNCTION("""COMPUTED_VALUE"""),2)</f>
        <v>2</v>
      </c>
      <c r="K1670" s="1" t="str">
        <f ca="1">IFERROR(__xludf.DUMMYFUNCTION("""COMPUTED_VALUE"""),"Every Day Office Environment")</f>
        <v>Every Day Office Environment</v>
      </c>
      <c r="L16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7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70" s="1" t="str">
        <f ca="1">IFERROR(__xludf.DUMMYFUNCTION("""COMPUTED_VALUE"""),"Design and Creative strategy in any company, Teaching in any of the institutes/colleges/online or offline, Design and Develop amazing software, Become a content Creator in some platform")</f>
        <v>Design and Creative strategy in any company, Teaching in any of the institutes/colleges/online or offline, Design and Develop amazing software, Become a content Creator in some platform</v>
      </c>
      <c r="O1670" s="1" t="str">
        <f ca="1">IFERROR(__xludf.DUMMYFUNCTION("""COMPUTED_VALUE"""),"Manager who clearly describes what she/he needs")</f>
        <v>Manager who clearly describes what she/he needs</v>
      </c>
      <c r="P1670" s="1" t="str">
        <f ca="1">IFERROR(__xludf.DUMMYFUNCTION("""COMPUTED_VALUE"""),"Work with 2 to 3 people in my team")</f>
        <v>Work with 2 to 3 people in my team</v>
      </c>
      <c r="Q1670" s="1" t="str">
        <f ca="1">IFERROR(__xludf.DUMMYFUNCTION("""COMPUTED_VALUE"""),"Yes, I Understand this is gonna happen everywhere")</f>
        <v>Yes, I Understand this is gonna happen everywhere</v>
      </c>
      <c r="R1670" s="1" t="str">
        <f ca="1">IFERROR(__xludf.DUMMYFUNCTION("""COMPUTED_VALUE"""),"This will be hard to do, but if it is the right company I would try")</f>
        <v>This will be hard to do, but if it is the right company I would try</v>
      </c>
      <c r="S1670" s="1"/>
    </row>
    <row r="1671" spans="1:19" ht="12.5" x14ac:dyDescent="0.25">
      <c r="A1671" s="2">
        <f ca="1">IFERROR(__xludf.DUMMYFUNCTION("""COMPUTED_VALUE"""),45046.8024966203)</f>
        <v>45046.802496620301</v>
      </c>
      <c r="B1671" s="1" t="str">
        <f ca="1">IFERROR(__xludf.DUMMYFUNCTION("""COMPUTED_VALUE"""),"Canada")</f>
        <v>Canada</v>
      </c>
      <c r="C1671" s="1" t="str">
        <f ca="1">IFERROR(__xludf.DUMMYFUNCTION("""COMPUTED_VALUE"""),"N9b2l3")</f>
        <v>N9b2l3</v>
      </c>
      <c r="D1671" s="1" t="str">
        <f ca="1">IFERROR(__xludf.DUMMYFUNCTION("""COMPUTED_VALUE"""),"Male")</f>
        <v>Male</v>
      </c>
      <c r="E1671" s="1" t="str">
        <f ca="1">IFERROR(__xludf.DUMMYFUNCTION("""COMPUTED_VALUE"""),"My Parents")</f>
        <v>My Parents</v>
      </c>
      <c r="F1671" s="1" t="str">
        <f ca="1">IFERROR(__xludf.DUMMYFUNCTION("""COMPUTED_VALUE"""),"Yes, I will earn and do that")</f>
        <v>Yes, I will earn and do that</v>
      </c>
      <c r="G1671" s="1" t="str">
        <f ca="1">IFERROR(__xludf.DUMMYFUNCTION("""COMPUTED_VALUE"""),"Will work for 3 years or more")</f>
        <v>Will work for 3 years or more</v>
      </c>
      <c r="H1671" s="1" t="str">
        <f ca="1">IFERROR(__xludf.DUMMYFUNCTION("""COMPUTED_VALUE"""),"No")</f>
        <v>No</v>
      </c>
      <c r="I1671" s="1" t="str">
        <f ca="1">IFERROR(__xludf.DUMMYFUNCTION("""COMPUTED_VALUE"""),"Will NOT work for them")</f>
        <v>Will NOT work for them</v>
      </c>
      <c r="J1671" s="1">
        <f ca="1">IFERROR(__xludf.DUMMYFUNCTION("""COMPUTED_VALUE"""),5)</f>
        <v>5</v>
      </c>
      <c r="K1671" s="1" t="str">
        <f ca="1">IFERROR(__xludf.DUMMYFUNCTION("""COMPUTED_VALUE"""),"Fully Remote with Options to travel as and when needed")</f>
        <v>Fully Remote with Options to travel as and when needed</v>
      </c>
      <c r="L16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7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71" s="1" t="str">
        <f ca="1">IFERROR(__xludf.DUMMYFUNCTION("""COMPUTED_VALUE"""),"Design and Creative strategy in any company, Teaching in any of the institutes/colleges/online or offline, Build and develop a Team, Work as a freelancer and do my thing my way")</f>
        <v>Design and Creative strategy in any company, Teaching in any of the institutes/colleges/online or offline, Build and develop a Team, Work as a freelancer and do my thing my way</v>
      </c>
      <c r="O1671" s="1" t="str">
        <f ca="1">IFERROR(__xludf.DUMMYFUNCTION("""COMPUTED_VALUE"""),"Manager who sets goal and helps me achieve it")</f>
        <v>Manager who sets goal and helps me achieve it</v>
      </c>
      <c r="P1671" s="1" t="str">
        <f ca="1">IFERROR(__xludf.DUMMYFUNCTION("""COMPUTED_VALUE"""),"Work with 2 to 3 people in my team")</f>
        <v>Work with 2 to 3 people in my team</v>
      </c>
      <c r="Q1671" s="1" t="str">
        <f ca="1">IFERROR(__xludf.DUMMYFUNCTION("""COMPUTED_VALUE"""),"Yes, I Understand this is gonna happen everywhere")</f>
        <v>Yes, I Understand this is gonna happen everywhere</v>
      </c>
      <c r="R1671" s="1" t="str">
        <f ca="1">IFERROR(__xludf.DUMMYFUNCTION("""COMPUTED_VALUE"""),"This will be hard to do, but if it is the right company I would try")</f>
        <v>This will be hard to do, but if it is the right company I would try</v>
      </c>
      <c r="S1671" s="1"/>
    </row>
    <row r="1672" spans="1:19" ht="12.5" x14ac:dyDescent="0.25">
      <c r="A1672" s="2">
        <f ca="1">IFERROR(__xludf.DUMMYFUNCTION("""COMPUTED_VALUE"""),45046.8274273379)</f>
        <v>45046.827427337899</v>
      </c>
      <c r="B1672" s="1" t="str">
        <f ca="1">IFERROR(__xludf.DUMMYFUNCTION("""COMPUTED_VALUE"""),"India")</f>
        <v>India</v>
      </c>
      <c r="C1672" s="1">
        <f ca="1">IFERROR(__xludf.DUMMYFUNCTION("""COMPUTED_VALUE"""),201010)</f>
        <v>201010</v>
      </c>
      <c r="D1672" s="1" t="str">
        <f ca="1">IFERROR(__xludf.DUMMYFUNCTION("""COMPUTED_VALUE"""),"Female")</f>
        <v>Female</v>
      </c>
      <c r="E1672" s="1" t="str">
        <f ca="1">IFERROR(__xludf.DUMMYFUNCTION("""COMPUTED_VALUE"""),"My Parents")</f>
        <v>My Parents</v>
      </c>
      <c r="F1672" s="1" t="str">
        <f ca="1">IFERROR(__xludf.DUMMYFUNCTION("""COMPUTED_VALUE"""),"No, But if someone could bare the cost I will")</f>
        <v>No, But if someone could bare the cost I will</v>
      </c>
      <c r="G1672" s="1" t="str">
        <f ca="1">IFERROR(__xludf.DUMMYFUNCTION("""COMPUTED_VALUE"""),"This will be hard to do, but if it is the right company I would try")</f>
        <v>This will be hard to do, but if it is the right company I would try</v>
      </c>
      <c r="H1672" s="1" t="str">
        <f ca="1">IFERROR(__xludf.DUMMYFUNCTION("""COMPUTED_VALUE"""),"No")</f>
        <v>No</v>
      </c>
      <c r="I1672" s="1" t="str">
        <f ca="1">IFERROR(__xludf.DUMMYFUNCTION("""COMPUTED_VALUE"""),"Will NOT work for them")</f>
        <v>Will NOT work for them</v>
      </c>
      <c r="J1672" s="1">
        <f ca="1">IFERROR(__xludf.DUMMYFUNCTION("""COMPUTED_VALUE"""),7)</f>
        <v>7</v>
      </c>
      <c r="K1672" s="1" t="str">
        <f ca="1">IFERROR(__xludf.DUMMYFUNCTION("""COMPUTED_VALUE"""),"Hybrid Working Environment with more than 15 days a month at office")</f>
        <v>Hybrid Working Environment with more than 15 days a month at office</v>
      </c>
      <c r="L1672" s="1" t="str">
        <f ca="1">IFERROR(__xludf.DUMMYFUNCTION("""COMPUTED_VALUE"""),"Employer who rewards learning and enables that environment")</f>
        <v>Employer who rewards learning and enables that environment</v>
      </c>
      <c r="M167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672" s="1" t="str">
        <f ca="1">IFERROR(__xludf.DUMMYFUNCTION("""COMPUTED_VALUE"""),"Teaching in any of the institutes/colleges/online or offline, Manage and drive End-to-End Projects or Products, Build and develop a Team, Look deeply into Data and generate insights")</f>
        <v>Teaching in any of the institutes/colleges/online or offline, Manage and drive End-to-End Projects or Products, Build and develop a Team, Look deeply into Data and generate insights</v>
      </c>
      <c r="O1672" s="1" t="str">
        <f ca="1">IFERROR(__xludf.DUMMYFUNCTION("""COMPUTED_VALUE"""),"Manager who explains what is expected, sets a goal and helps achieve it")</f>
        <v>Manager who explains what is expected, sets a goal and helps achieve it</v>
      </c>
      <c r="P1672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672" s="1" t="str">
        <f ca="1">IFERROR(__xludf.DUMMYFUNCTION("""COMPUTED_VALUE"""),"No")</f>
        <v>No</v>
      </c>
      <c r="R1672" s="1" t="str">
        <f ca="1">IFERROR(__xludf.DUMMYFUNCTION("""COMPUTED_VALUE"""),"No way")</f>
        <v>No way</v>
      </c>
      <c r="S1672" s="1"/>
    </row>
    <row r="1673" spans="1:19" ht="12.5" x14ac:dyDescent="0.25">
      <c r="A1673" s="2">
        <f ca="1">IFERROR(__xludf.DUMMYFUNCTION("""COMPUTED_VALUE"""),45046.8611895254)</f>
        <v>45046.8611895254</v>
      </c>
      <c r="B1673" s="1" t="str">
        <f ca="1">IFERROR(__xludf.DUMMYFUNCTION("""COMPUTED_VALUE"""),"India")</f>
        <v>India</v>
      </c>
      <c r="C1673" s="1">
        <f ca="1">IFERROR(__xludf.DUMMYFUNCTION("""COMPUTED_VALUE"""),231001)</f>
        <v>231001</v>
      </c>
      <c r="D1673" s="1" t="str">
        <f ca="1">IFERROR(__xludf.DUMMYFUNCTION("""COMPUTED_VALUE"""),"Male")</f>
        <v>Male</v>
      </c>
      <c r="E1673" s="1" t="str">
        <f ca="1">IFERROR(__xludf.DUMMYFUNCTION("""COMPUTED_VALUE"""),"People from my circle, but not family members")</f>
        <v>People from my circle, but not family members</v>
      </c>
      <c r="F1673" s="1" t="str">
        <f ca="1">IFERROR(__xludf.DUMMYFUNCTION("""COMPUTED_VALUE"""),"No, But if someone could bare the cost I will")</f>
        <v>No, But if someone could bare the cost I will</v>
      </c>
      <c r="G1673" s="1" t="str">
        <f ca="1">IFERROR(__xludf.DUMMYFUNCTION("""COMPUTED_VALUE"""),"No way")</f>
        <v>No way</v>
      </c>
      <c r="H1673" s="1" t="str">
        <f ca="1">IFERROR(__xludf.DUMMYFUNCTION("""COMPUTED_VALUE"""),"No")</f>
        <v>No</v>
      </c>
      <c r="I1673" s="1" t="str">
        <f ca="1">IFERROR(__xludf.DUMMYFUNCTION("""COMPUTED_VALUE"""),"Will work for them")</f>
        <v>Will work for them</v>
      </c>
      <c r="J1673" s="1">
        <f ca="1">IFERROR(__xludf.DUMMYFUNCTION("""COMPUTED_VALUE"""),7)</f>
        <v>7</v>
      </c>
      <c r="K1673" s="1" t="str">
        <f ca="1">IFERROR(__xludf.DUMMYFUNCTION("""COMPUTED_VALUE"""),"Hybrid Working Environment with less than 3 days a month at office")</f>
        <v>Hybrid Working Environment with less than 3 days a month at office</v>
      </c>
      <c r="L1673" s="1" t="str">
        <f ca="1">IFERROR(__xludf.DUMMYFUNCTION("""COMPUTED_VALUE"""),"Employer who appreciates learning and enables that environment")</f>
        <v>Employer who appreciates learning and enables that environment</v>
      </c>
      <c r="M167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73" s="1" t="str">
        <f ca="1">IFERROR(__xludf.DUMMYFUNCTION("""COMPUTED_VALUE"""),"Business Operations in any organization, Manage and drive End-to-End Projects or Products, Look deeply into Data and generate insights, Work in a BPO setup for some well known client")</f>
        <v>Business Operations in any organization, Manage and drive End-to-End Projects or Products, Look deeply into Data and generate insights, Work in a BPO setup for some well known client</v>
      </c>
      <c r="O1673" s="1" t="str">
        <f ca="1">IFERROR(__xludf.DUMMYFUNCTION("""COMPUTED_VALUE"""),"Manager who explains what is expected, sets a goal and helps achieve it")</f>
        <v>Manager who explains what is expected, sets a goal and helps achieve it</v>
      </c>
      <c r="P1673" s="1" t="str">
        <f ca="1">IFERROR(__xludf.DUMMYFUNCTION("""COMPUTED_VALUE"""),"Work with 5 to 6 people in my team")</f>
        <v>Work with 5 to 6 people in my team</v>
      </c>
      <c r="Q1673" s="1" t="str">
        <f ca="1">IFERROR(__xludf.DUMMYFUNCTION("""COMPUTED_VALUE"""),"I have NO other choice")</f>
        <v>I have NO other choice</v>
      </c>
      <c r="R1673" s="1" t="str">
        <f ca="1">IFERROR(__xludf.DUMMYFUNCTION("""COMPUTED_VALUE"""),"Will work for 7 years or more")</f>
        <v>Will work for 7 years or more</v>
      </c>
      <c r="S1673" s="1"/>
    </row>
    <row r="1674" spans="1:19" ht="12.5" x14ac:dyDescent="0.25">
      <c r="A1674" s="2">
        <f ca="1">IFERROR(__xludf.DUMMYFUNCTION("""COMPUTED_VALUE"""),45046.8641874421)</f>
        <v>45046.864187442101</v>
      </c>
      <c r="B1674" s="1" t="str">
        <f ca="1">IFERROR(__xludf.DUMMYFUNCTION("""COMPUTED_VALUE"""),"India")</f>
        <v>India</v>
      </c>
      <c r="C1674" s="1">
        <f ca="1">IFERROR(__xludf.DUMMYFUNCTION("""COMPUTED_VALUE"""),605001)</f>
        <v>605001</v>
      </c>
      <c r="D1674" s="1" t="str">
        <f ca="1">IFERROR(__xludf.DUMMYFUNCTION("""COMPUTED_VALUE"""),"Male")</f>
        <v>Male</v>
      </c>
      <c r="E1674" s="1" t="str">
        <f ca="1">IFERROR(__xludf.DUMMYFUNCTION("""COMPUTED_VALUE"""),"My Parents")</f>
        <v>My Parents</v>
      </c>
      <c r="F1674" s="1" t="str">
        <f ca="1">IFERROR(__xludf.DUMMYFUNCTION("""COMPUTED_VALUE"""),"Yes, I will earn and do that")</f>
        <v>Yes, I will earn and do that</v>
      </c>
      <c r="G1674" s="1" t="str">
        <f ca="1">IFERROR(__xludf.DUMMYFUNCTION("""COMPUTED_VALUE"""),"This will be hard to do, but if it is the right company I would try")</f>
        <v>This will be hard to do, but if it is the right company I would try</v>
      </c>
      <c r="H1674" s="1" t="str">
        <f ca="1">IFERROR(__xludf.DUMMYFUNCTION("""COMPUTED_VALUE"""),"No")</f>
        <v>No</v>
      </c>
      <c r="I1674" s="1" t="str">
        <f ca="1">IFERROR(__xludf.DUMMYFUNCTION("""COMPUTED_VALUE"""),"Will NOT work for them")</f>
        <v>Will NOT work for them</v>
      </c>
      <c r="J1674" s="1">
        <f ca="1">IFERROR(__xludf.DUMMYFUNCTION("""COMPUTED_VALUE"""),1)</f>
        <v>1</v>
      </c>
      <c r="K1674" s="1" t="str">
        <f ca="1">IFERROR(__xludf.DUMMYFUNCTION("""COMPUTED_VALUE"""),"Fully Remote with Options to travel as and when needed")</f>
        <v>Fully Remote with Options to travel as and when needed</v>
      </c>
      <c r="L1674" s="1" t="str">
        <f ca="1">IFERROR(__xludf.DUMMYFUNCTION("""COMPUTED_VALUE"""),"Employer who appreciates learning and enables that environment")</f>
        <v>Employer who appreciates learning and enables that environment</v>
      </c>
      <c r="M167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74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1674" s="1" t="str">
        <f ca="1">IFERROR(__xludf.DUMMYFUNCTION("""COMPUTED_VALUE"""),"Manager who explains what is expected, sets a goal and helps achieve it")</f>
        <v>Manager who explains what is expected, sets a goal and helps achieve it</v>
      </c>
      <c r="P1674" s="1" t="str">
        <f ca="1">IFERROR(__xludf.DUMMYFUNCTION("""COMPUTED_VALUE"""),"Work with 2 to 3 people in my team")</f>
        <v>Work with 2 to 3 people in my team</v>
      </c>
      <c r="Q1674" s="1" t="str">
        <f ca="1">IFERROR(__xludf.DUMMYFUNCTION("""COMPUTED_VALUE"""),"Yes, I Understand this is gonna happen everywhere")</f>
        <v>Yes, I Understand this is gonna happen everywhere</v>
      </c>
      <c r="R1674" s="1" t="str">
        <f ca="1">IFERROR(__xludf.DUMMYFUNCTION("""COMPUTED_VALUE"""),"No way")</f>
        <v>No way</v>
      </c>
      <c r="S1674" s="1"/>
    </row>
    <row r="1675" spans="1:19" ht="12.5" x14ac:dyDescent="0.25">
      <c r="A1675" s="2">
        <f ca="1">IFERROR(__xludf.DUMMYFUNCTION("""COMPUTED_VALUE"""),45046.8763102546)</f>
        <v>45046.8763102546</v>
      </c>
      <c r="B1675" s="1" t="str">
        <f ca="1">IFERROR(__xludf.DUMMYFUNCTION("""COMPUTED_VALUE"""),"India")</f>
        <v>India</v>
      </c>
      <c r="C1675" s="1">
        <f ca="1">IFERROR(__xludf.DUMMYFUNCTION("""COMPUTED_VALUE"""),250002)</f>
        <v>250002</v>
      </c>
      <c r="D1675" s="1" t="str">
        <f ca="1">IFERROR(__xludf.DUMMYFUNCTION("""COMPUTED_VALUE"""),"Female")</f>
        <v>Female</v>
      </c>
      <c r="E1675" s="1" t="str">
        <f ca="1">IFERROR(__xludf.DUMMYFUNCTION("""COMPUTED_VALUE"""),"My Parents")</f>
        <v>My Parents</v>
      </c>
      <c r="F1675" s="1" t="str">
        <f ca="1">IFERROR(__xludf.DUMMYFUNCTION("""COMPUTED_VALUE"""),"No I would not be pursuing Higher Education outside of India")</f>
        <v>No I would not be pursuing Higher Education outside of India</v>
      </c>
      <c r="G1675" s="1" t="str">
        <f ca="1">IFERROR(__xludf.DUMMYFUNCTION("""COMPUTED_VALUE"""),"Will work for 3 years or more")</f>
        <v>Will work for 3 years or more</v>
      </c>
      <c r="H1675" s="1" t="str">
        <f ca="1">IFERROR(__xludf.DUMMYFUNCTION("""COMPUTED_VALUE"""),"No")</f>
        <v>No</v>
      </c>
      <c r="I1675" s="1" t="str">
        <f ca="1">IFERROR(__xludf.DUMMYFUNCTION("""COMPUTED_VALUE"""),"Will NOT work for them")</f>
        <v>Will NOT work for them</v>
      </c>
      <c r="J1675" s="1">
        <f ca="1">IFERROR(__xludf.DUMMYFUNCTION("""COMPUTED_VALUE"""),8)</f>
        <v>8</v>
      </c>
      <c r="K1675" s="1" t="str">
        <f ca="1">IFERROR(__xludf.DUMMYFUNCTION("""COMPUTED_VALUE"""),"Hybrid Working Environment with more than 15 days a month at office")</f>
        <v>Hybrid Working Environment with more than 15 days a month at office</v>
      </c>
      <c r="L16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7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675" s="1" t="str">
        <f ca="1">IFERROR(__xludf.DUMMYFUNCTION("""COMPUTED_VALUE"""),"Business Operations in any organization, Look deeply into Data and generate insights, Work in a BPO setup for some well known client, An Artificial Intelligence Specialist / Talking to Robots")</f>
        <v>Business Operations in any organization, Look deeply into Data and generate insights, Work in a BPO setup for some well known client, An Artificial Intelligence Specialist / Talking to Robots</v>
      </c>
      <c r="O1675" s="1" t="str">
        <f ca="1">IFERROR(__xludf.DUMMYFUNCTION("""COMPUTED_VALUE"""),"Manager who explains what is expected, sets a goal and helps achieve it")</f>
        <v>Manager who explains what is expected, sets a goal and helps achieve it</v>
      </c>
      <c r="P1675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675" s="1" t="str">
        <f ca="1">IFERROR(__xludf.DUMMYFUNCTION("""COMPUTED_VALUE"""),"Yes, I Understand this is gonna happen everywhere")</f>
        <v>Yes, I Understand this is gonna happen everywhere</v>
      </c>
      <c r="R1675" s="1" t="str">
        <f ca="1">IFERROR(__xludf.DUMMYFUNCTION("""COMPUTED_VALUE"""),"This will be hard to do, but if it is the right company I would try")</f>
        <v>This will be hard to do, but if it is the right company I would try</v>
      </c>
      <c r="S1675" s="1"/>
    </row>
    <row r="1676" spans="1:19" ht="12.5" x14ac:dyDescent="0.25">
      <c r="A1676" s="2">
        <f ca="1">IFERROR(__xludf.DUMMYFUNCTION("""COMPUTED_VALUE"""),45046.8849753935)</f>
        <v>45046.884975393499</v>
      </c>
      <c r="B1676" s="1" t="str">
        <f ca="1">IFERROR(__xludf.DUMMYFUNCTION("""COMPUTED_VALUE"""),"India")</f>
        <v>India</v>
      </c>
      <c r="C1676" s="1">
        <f ca="1">IFERROR(__xludf.DUMMYFUNCTION("""COMPUTED_VALUE"""),500094)</f>
        <v>500094</v>
      </c>
      <c r="D1676" s="1" t="str">
        <f ca="1">IFERROR(__xludf.DUMMYFUNCTION("""COMPUTED_VALUE"""),"Female")</f>
        <v>Female</v>
      </c>
      <c r="E1676" s="1" t="str">
        <f ca="1">IFERROR(__xludf.DUMMYFUNCTION("""COMPUTED_VALUE"""),"My Parents")</f>
        <v>My Parents</v>
      </c>
      <c r="F1676" s="1" t="str">
        <f ca="1">IFERROR(__xludf.DUMMYFUNCTION("""COMPUTED_VALUE"""),"No I would not be pursuing Higher Education outside of India")</f>
        <v>No I would not be pursuing Higher Education outside of India</v>
      </c>
      <c r="G1676" s="1" t="str">
        <f ca="1">IFERROR(__xludf.DUMMYFUNCTION("""COMPUTED_VALUE"""),"Will work for 3 years or more")</f>
        <v>Will work for 3 years or more</v>
      </c>
      <c r="H1676" s="1" t="str">
        <f ca="1">IFERROR(__xludf.DUMMYFUNCTION("""COMPUTED_VALUE"""),"No")</f>
        <v>No</v>
      </c>
      <c r="I1676" s="1" t="str">
        <f ca="1">IFERROR(__xludf.DUMMYFUNCTION("""COMPUTED_VALUE"""),"Will NOT work for them")</f>
        <v>Will NOT work for them</v>
      </c>
      <c r="J1676" s="1">
        <f ca="1">IFERROR(__xludf.DUMMYFUNCTION("""COMPUTED_VALUE"""),2)</f>
        <v>2</v>
      </c>
      <c r="K1676" s="1" t="str">
        <f ca="1">IFERROR(__xludf.DUMMYFUNCTION("""COMPUTED_VALUE"""),"Every Day Office Environment")</f>
        <v>Every Day Office Environment</v>
      </c>
      <c r="L1676" s="1" t="str">
        <f ca="1">IFERROR(__xludf.DUMMYFUNCTION("""COMPUTED_VALUE"""),"Employer who appreciates learning and enables that environment")</f>
        <v>Employer who appreciates learning and enables that environment</v>
      </c>
      <c r="M16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76" s="1" t="str">
        <f ca="1">IFERROR(__xludf.DUMMYFUNCTION("""COMPUTED_VALUE"""),"Design and Creative strategy in any company, Teaching in any of the institutes/colleges/online or offline, Work as a freelancer and do my thing my way, An Artificial Intelligence Specialist / Talking to Robots")</f>
        <v>Design and Creative strategy in any company, Teaching in any of the institutes/colleges/online or offline, Work as a freelancer and do my thing my way, An Artificial Intelligence Specialist / Talking to Robots</v>
      </c>
      <c r="O1676" s="1" t="str">
        <f ca="1">IFERROR(__xludf.DUMMYFUNCTION("""COMPUTED_VALUE"""),"Manager who sets goal and helps me achieve it")</f>
        <v>Manager who sets goal and helps me achieve it</v>
      </c>
      <c r="P1676" s="1" t="str">
        <f ca="1">IFERROR(__xludf.DUMMYFUNCTION("""COMPUTED_VALUE"""),"Work with 5 to 6 people in my team")</f>
        <v>Work with 5 to 6 people in my team</v>
      </c>
      <c r="Q1676" s="1" t="str">
        <f ca="1">IFERROR(__xludf.DUMMYFUNCTION("""COMPUTED_VALUE"""),"No")</f>
        <v>No</v>
      </c>
      <c r="R1676" s="1" t="str">
        <f ca="1">IFERROR(__xludf.DUMMYFUNCTION("""COMPUTED_VALUE"""),"This will be hard to do, but if it is the right company I would try")</f>
        <v>This will be hard to do, but if it is the right company I would try</v>
      </c>
      <c r="S1676" s="1"/>
    </row>
    <row r="1677" spans="1:19" ht="12.5" x14ac:dyDescent="0.25">
      <c r="A1677" s="2">
        <f ca="1">IFERROR(__xludf.DUMMYFUNCTION("""COMPUTED_VALUE"""),45046.8979110648)</f>
        <v>45046.8979110648</v>
      </c>
      <c r="B1677" s="1" t="str">
        <f ca="1">IFERROR(__xludf.DUMMYFUNCTION("""COMPUTED_VALUE"""),"India")</f>
        <v>India</v>
      </c>
      <c r="C1677" s="1">
        <f ca="1">IFERROR(__xludf.DUMMYFUNCTION("""COMPUTED_VALUE"""),501510)</f>
        <v>501510</v>
      </c>
      <c r="D1677" s="1" t="str">
        <f ca="1">IFERROR(__xludf.DUMMYFUNCTION("""COMPUTED_VALUE"""),"Male")</f>
        <v>Male</v>
      </c>
      <c r="E1677" s="1" t="str">
        <f ca="1">IFERROR(__xludf.DUMMYFUNCTION("""COMPUTED_VALUE"""),"My Parents")</f>
        <v>My Parents</v>
      </c>
      <c r="F1677" s="1" t="str">
        <f ca="1">IFERROR(__xludf.DUMMYFUNCTION("""COMPUTED_VALUE"""),"No, But if someone could bare the cost I will")</f>
        <v>No, But if someone could bare the cost I will</v>
      </c>
      <c r="G1677" s="1" t="str">
        <f ca="1">IFERROR(__xludf.DUMMYFUNCTION("""COMPUTED_VALUE"""),"Will work for 3 years or more")</f>
        <v>Will work for 3 years or more</v>
      </c>
      <c r="H1677" s="1" t="str">
        <f ca="1">IFERROR(__xludf.DUMMYFUNCTION("""COMPUTED_VALUE"""),"No")</f>
        <v>No</v>
      </c>
      <c r="I1677" s="1" t="str">
        <f ca="1">IFERROR(__xludf.DUMMYFUNCTION("""COMPUTED_VALUE"""),"Will NOT work for them")</f>
        <v>Will NOT work for them</v>
      </c>
      <c r="J1677" s="1">
        <f ca="1">IFERROR(__xludf.DUMMYFUNCTION("""COMPUTED_VALUE"""),6)</f>
        <v>6</v>
      </c>
      <c r="K1677" s="1" t="str">
        <f ca="1">IFERROR(__xludf.DUMMYFUNCTION("""COMPUTED_VALUE"""),"Hybrid Working Environment with less than 3 days a month at office")</f>
        <v>Hybrid Working Environment with less than 3 days a month at office</v>
      </c>
      <c r="L16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7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77" s="1" t="str">
        <f ca="1">IFERROR(__xludf.DUMMYFUNCTION("""COMPUTED_VALUE"""),"Build and develop a Team, Design and Develop amazing software, Look deeply into Data and generate insights, An Artificial Intelligence Specialist / Talking to Robots")</f>
        <v>Build and develop a Team, Design and Develop amazing software, Look deeply into Data and generate insights, An Artificial Intelligence Specialist / Talking to Robots</v>
      </c>
      <c r="O1677" s="1" t="str">
        <f ca="1">IFERROR(__xludf.DUMMYFUNCTION("""COMPUTED_VALUE"""),"Manager who explains what is expected, sets a goal and helps achieve it")</f>
        <v>Manager who explains what is expected, sets a goal and helps achieve it</v>
      </c>
      <c r="P167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677" s="1" t="str">
        <f ca="1">IFERROR(__xludf.DUMMYFUNCTION("""COMPUTED_VALUE"""),"Yes, I Understand this is gonna happen everywhere")</f>
        <v>Yes, I Understand this is gonna happen everywhere</v>
      </c>
      <c r="R1677" s="1" t="str">
        <f ca="1">IFERROR(__xludf.DUMMYFUNCTION("""COMPUTED_VALUE"""),"Will work for 7 years or more")</f>
        <v>Will work for 7 years or more</v>
      </c>
      <c r="S1677" s="1"/>
    </row>
    <row r="1678" spans="1:19" ht="12.5" x14ac:dyDescent="0.25">
      <c r="A1678" s="2">
        <f ca="1">IFERROR(__xludf.DUMMYFUNCTION("""COMPUTED_VALUE"""),45046.9069368055)</f>
        <v>45046.906936805499</v>
      </c>
      <c r="B1678" s="1" t="str">
        <f ca="1">IFERROR(__xludf.DUMMYFUNCTION("""COMPUTED_VALUE"""),"India")</f>
        <v>India</v>
      </c>
      <c r="C1678" s="1">
        <f ca="1">IFERROR(__xludf.DUMMYFUNCTION("""COMPUTED_VALUE"""),110072)</f>
        <v>110072</v>
      </c>
      <c r="D1678" s="1" t="str">
        <f ca="1">IFERROR(__xludf.DUMMYFUNCTION("""COMPUTED_VALUE"""),"Male")</f>
        <v>Male</v>
      </c>
      <c r="E1678" s="1" t="str">
        <f ca="1">IFERROR(__xludf.DUMMYFUNCTION("""COMPUTED_VALUE"""),"People from my circle, but not family members")</f>
        <v>People from my circle, but not family members</v>
      </c>
      <c r="F1678" s="1" t="str">
        <f ca="1">IFERROR(__xludf.DUMMYFUNCTION("""COMPUTED_VALUE"""),"No, But if someone could bare the cost I will")</f>
        <v>No, But if someone could bare the cost I will</v>
      </c>
      <c r="G1678" s="1" t="str">
        <f ca="1">IFERROR(__xludf.DUMMYFUNCTION("""COMPUTED_VALUE"""),"This will be hard to do, but if it is the right company I would try")</f>
        <v>This will be hard to do, but if it is the right company I would try</v>
      </c>
      <c r="H1678" s="1" t="str">
        <f ca="1">IFERROR(__xludf.DUMMYFUNCTION("""COMPUTED_VALUE"""),"Yes")</f>
        <v>Yes</v>
      </c>
      <c r="I1678" s="1" t="str">
        <f ca="1">IFERROR(__xludf.DUMMYFUNCTION("""COMPUTED_VALUE"""),"Will work for them")</f>
        <v>Will work for them</v>
      </c>
      <c r="J1678" s="1">
        <f ca="1">IFERROR(__xludf.DUMMYFUNCTION("""COMPUTED_VALUE"""),8)</f>
        <v>8</v>
      </c>
      <c r="K1678" s="1" t="str">
        <f ca="1">IFERROR(__xludf.DUMMYFUNCTION("""COMPUTED_VALUE"""),"Hybrid Working Environment with more than 15 days a month at office")</f>
        <v>Hybrid Working Environment with more than 15 days a month at office</v>
      </c>
      <c r="L1678" s="1" t="str">
        <f ca="1">IFERROR(__xludf.DUMMYFUNCTION("""COMPUTED_VALUE"""),"Employer who appreciates learning and enables that environment")</f>
        <v>Employer who appreciates learning and enables that environment</v>
      </c>
      <c r="M167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7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678" s="1" t="str">
        <f ca="1">IFERROR(__xludf.DUMMYFUNCTION("""COMPUTED_VALUE"""),"Manager who clearly describes what she/he needs")</f>
        <v>Manager who clearly describes what she/he needs</v>
      </c>
      <c r="P167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678" s="1" t="str">
        <f ca="1">IFERROR(__xludf.DUMMYFUNCTION("""COMPUTED_VALUE"""),"Yes, I Understand this is gonna happen everywhere")</f>
        <v>Yes, I Understand this is gonna happen everywhere</v>
      </c>
      <c r="R1678" s="1" t="str">
        <f ca="1">IFERROR(__xludf.DUMMYFUNCTION("""COMPUTED_VALUE"""),"This will be hard to do, but if it is the right company I would try")</f>
        <v>This will be hard to do, but if it is the right company I would try</v>
      </c>
      <c r="S1678" s="1"/>
    </row>
    <row r="1679" spans="1:19" ht="12.5" x14ac:dyDescent="0.25">
      <c r="A1679" s="2">
        <f ca="1">IFERROR(__xludf.DUMMYFUNCTION("""COMPUTED_VALUE"""),45046.9121014236)</f>
        <v>45046.912101423601</v>
      </c>
      <c r="B1679" s="1" t="str">
        <f ca="1">IFERROR(__xludf.DUMMYFUNCTION("""COMPUTED_VALUE"""),"India")</f>
        <v>India</v>
      </c>
      <c r="C1679" s="1">
        <f ca="1">IFERROR(__xludf.DUMMYFUNCTION("""COMPUTED_VALUE"""),482001)</f>
        <v>482001</v>
      </c>
      <c r="D1679" s="1" t="str">
        <f ca="1">IFERROR(__xludf.DUMMYFUNCTION("""COMPUTED_VALUE"""),"Male")</f>
        <v>Male</v>
      </c>
      <c r="E1679" s="1" t="str">
        <f ca="1">IFERROR(__xludf.DUMMYFUNCTION("""COMPUTED_VALUE"""),"Social Media like LinkedIn")</f>
        <v>Social Media like LinkedIn</v>
      </c>
      <c r="F1679" s="1" t="str">
        <f ca="1">IFERROR(__xludf.DUMMYFUNCTION("""COMPUTED_VALUE"""),"Yes, I will earn and do that")</f>
        <v>Yes, I will earn and do that</v>
      </c>
      <c r="G1679" s="1" t="str">
        <f ca="1">IFERROR(__xludf.DUMMYFUNCTION("""COMPUTED_VALUE"""),"Will work for 3 years or more")</f>
        <v>Will work for 3 years or more</v>
      </c>
      <c r="H1679" s="1" t="str">
        <f ca="1">IFERROR(__xludf.DUMMYFUNCTION("""COMPUTED_VALUE"""),"No")</f>
        <v>No</v>
      </c>
      <c r="I1679" s="1" t="str">
        <f ca="1">IFERROR(__xludf.DUMMYFUNCTION("""COMPUTED_VALUE"""),"Will work for them")</f>
        <v>Will work for them</v>
      </c>
      <c r="J1679" s="1">
        <f ca="1">IFERROR(__xludf.DUMMYFUNCTION("""COMPUTED_VALUE"""),3)</f>
        <v>3</v>
      </c>
      <c r="K1679" s="1" t="str">
        <f ca="1">IFERROR(__xludf.DUMMYFUNCTION("""COMPUTED_VALUE"""),"Hybrid Working Environment with more than 15 days a month at office")</f>
        <v>Hybrid Working Environment with more than 15 days a month at office</v>
      </c>
      <c r="L1679" s="1" t="str">
        <f ca="1">IFERROR(__xludf.DUMMYFUNCTION("""COMPUTED_VALUE"""),"Employer who appreciates learning and enables that environment")</f>
        <v>Employer who appreciates learning and enables that environment</v>
      </c>
      <c r="M167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79" s="1" t="str">
        <f ca="1">IFERROR(__xludf.DUMMYFUNCTION("""COMPUTED_VALUE"""),"Teaching in any of the institutes/colleges/online or offline, Manage and drive End-to-End Projects or Products, Look deeply into Data and generate insights, Manufacturing / Oil and Gas/ Construction / Hard Physical Work related")</f>
        <v>Teaching in any of the institutes/colleges/online or offline, Manage and drive End-to-End Projects or Products, Look deeply into Data and generate insights, Manufacturing / Oil and Gas/ Construction / Hard Physical Work related</v>
      </c>
      <c r="O1679" s="1" t="str">
        <f ca="1">IFERROR(__xludf.DUMMYFUNCTION("""COMPUTED_VALUE"""),"Manager who sets goal and helps me achieve it")</f>
        <v>Manager who sets goal and helps me achieve it</v>
      </c>
      <c r="P1679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1679" s="1" t="str">
        <f ca="1">IFERROR(__xludf.DUMMYFUNCTION("""COMPUTED_VALUE"""),"Yes")</f>
        <v>Yes</v>
      </c>
      <c r="R1679" s="1" t="str">
        <f ca="1">IFERROR(__xludf.DUMMYFUNCTION("""COMPUTED_VALUE"""),"This will be hard to do, but if it is the right company I would try")</f>
        <v>This will be hard to do, but if it is the right company I would try</v>
      </c>
      <c r="S1679" s="1"/>
    </row>
    <row r="1680" spans="1:19" ht="12.5" x14ac:dyDescent="0.25">
      <c r="A1680" s="2">
        <f ca="1">IFERROR(__xludf.DUMMYFUNCTION("""COMPUTED_VALUE"""),45046.9198481365)</f>
        <v>45046.919848136502</v>
      </c>
      <c r="B1680" s="1" t="str">
        <f ca="1">IFERROR(__xludf.DUMMYFUNCTION("""COMPUTED_VALUE"""),"United States of America")</f>
        <v>United States of America</v>
      </c>
      <c r="C1680" s="1" t="str">
        <f ca="1">IFERROR(__xludf.DUMMYFUNCTION("""COMPUTED_VALUE"""),"06511")</f>
        <v>06511</v>
      </c>
      <c r="D1680" s="1" t="str">
        <f ca="1">IFERROR(__xludf.DUMMYFUNCTION("""COMPUTED_VALUE"""),"Male")</f>
        <v>Male</v>
      </c>
      <c r="E1680" s="1" t="str">
        <f ca="1">IFERROR(__xludf.DUMMYFUNCTION("""COMPUTED_VALUE"""),"People who have changed the world for better")</f>
        <v>People who have changed the world for better</v>
      </c>
      <c r="F1680" s="1" t="str">
        <f ca="1">IFERROR(__xludf.DUMMYFUNCTION("""COMPUTED_VALUE"""),"No, But if someone could bare the cost I will")</f>
        <v>No, But if someone could bare the cost I will</v>
      </c>
      <c r="G1680" s="1" t="str">
        <f ca="1">IFERROR(__xludf.DUMMYFUNCTION("""COMPUTED_VALUE"""),"Will work for 3 years or more")</f>
        <v>Will work for 3 years or more</v>
      </c>
      <c r="H1680" s="1" t="str">
        <f ca="1">IFERROR(__xludf.DUMMYFUNCTION("""COMPUTED_VALUE"""),"No")</f>
        <v>No</v>
      </c>
      <c r="I1680" s="1" t="str">
        <f ca="1">IFERROR(__xludf.DUMMYFUNCTION("""COMPUTED_VALUE"""),"Will NOT work for them")</f>
        <v>Will NOT work for them</v>
      </c>
      <c r="J1680" s="1">
        <f ca="1">IFERROR(__xludf.DUMMYFUNCTION("""COMPUTED_VALUE"""),10)</f>
        <v>10</v>
      </c>
      <c r="K1680" s="1" t="str">
        <f ca="1">IFERROR(__xludf.DUMMYFUNCTION("""COMPUTED_VALUE"""),"Every Day Office Environment")</f>
        <v>Every Day Office Environment</v>
      </c>
      <c r="L1680" s="1" t="str">
        <f ca="1">IFERROR(__xludf.DUMMYFUNCTION("""COMPUTED_VALUE"""),"Employer who rewards learning and enables that environment")</f>
        <v>Employer who rewards learning and enables that environment</v>
      </c>
      <c r="M168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680" s="1" t="str">
        <f ca="1">IFERROR(__xludf.DUMMYFUNCTION("""COMPUTED_VALUE"""),"Design and Creative strategy in any company, Business Operations in any organization, Look deeply into Data and generate insights, Manufacturing / Oil and Gas/ Construction / Hard Physical Work related")</f>
        <v>Design and Creative strategy in any company, Business Operations in any organization, Look deeply into Data and generate insights, Manufacturing / Oil and Gas/ Construction / Hard Physical Work related</v>
      </c>
      <c r="O1680" s="1" t="str">
        <f ca="1">IFERROR(__xludf.DUMMYFUNCTION("""COMPUTED_VALUE"""),"Manager who explains what is expected, sets a goal and helps achieve it")</f>
        <v>Manager who explains what is expected, sets a goal and helps achieve it</v>
      </c>
      <c r="P1680" s="1" t="str">
        <f ca="1">IFERROR(__xludf.DUMMYFUNCTION("""COMPUTED_VALUE"""),"Work with 5 to 6 people in my team")</f>
        <v>Work with 5 to 6 people in my team</v>
      </c>
      <c r="Q1680" s="1" t="str">
        <f ca="1">IFERROR(__xludf.DUMMYFUNCTION("""COMPUTED_VALUE"""),"Yes, I Understand this is gonna happen everywhere")</f>
        <v>Yes, I Understand this is gonna happen everywhere</v>
      </c>
      <c r="R1680" s="1" t="str">
        <f ca="1">IFERROR(__xludf.DUMMYFUNCTION("""COMPUTED_VALUE"""),"No way")</f>
        <v>No way</v>
      </c>
      <c r="S1680" s="1"/>
    </row>
    <row r="1681" spans="1:19" ht="12.5" x14ac:dyDescent="0.25">
      <c r="A1681" s="2">
        <f ca="1">IFERROR(__xludf.DUMMYFUNCTION("""COMPUTED_VALUE"""),45046.9317352083)</f>
        <v>45046.931735208302</v>
      </c>
      <c r="B1681" s="1" t="str">
        <f ca="1">IFERROR(__xludf.DUMMYFUNCTION("""COMPUTED_VALUE"""),"India")</f>
        <v>India</v>
      </c>
      <c r="C1681" s="1">
        <f ca="1">IFERROR(__xludf.DUMMYFUNCTION("""COMPUTED_VALUE"""),500094)</f>
        <v>500094</v>
      </c>
      <c r="D1681" s="1" t="str">
        <f ca="1">IFERROR(__xludf.DUMMYFUNCTION("""COMPUTED_VALUE"""),"Male")</f>
        <v>Male</v>
      </c>
      <c r="E1681" s="1" t="str">
        <f ca="1">IFERROR(__xludf.DUMMYFUNCTION("""COMPUTED_VALUE"""),"My Parents")</f>
        <v>My Parents</v>
      </c>
      <c r="F1681" s="1" t="str">
        <f ca="1">IFERROR(__xludf.DUMMYFUNCTION("""COMPUTED_VALUE"""),"No, But if someone could bare the cost I will")</f>
        <v>No, But if someone could bare the cost I will</v>
      </c>
      <c r="G1681" s="1" t="str">
        <f ca="1">IFERROR(__xludf.DUMMYFUNCTION("""COMPUTED_VALUE"""),"Will work for 3 years or more")</f>
        <v>Will work for 3 years or more</v>
      </c>
      <c r="H1681" s="1" t="str">
        <f ca="1">IFERROR(__xludf.DUMMYFUNCTION("""COMPUTED_VALUE"""),"Yes")</f>
        <v>Yes</v>
      </c>
      <c r="I1681" s="1" t="str">
        <f ca="1">IFERROR(__xludf.DUMMYFUNCTION("""COMPUTED_VALUE"""),"Will work for them")</f>
        <v>Will work for them</v>
      </c>
      <c r="J1681" s="1">
        <f ca="1">IFERROR(__xludf.DUMMYFUNCTION("""COMPUTED_VALUE"""),5)</f>
        <v>5</v>
      </c>
      <c r="K1681" s="1" t="str">
        <f ca="1">IFERROR(__xludf.DUMMYFUNCTION("""COMPUTED_VALUE"""),"Every Day Office Environment")</f>
        <v>Every Day Office Environment</v>
      </c>
      <c r="L1681" s="1" t="str">
        <f ca="1">IFERROR(__xludf.DUMMYFUNCTION("""COMPUTED_VALUE"""),"Employer who appreciates learning and enables that environment")</f>
        <v>Employer who appreciates learning and enables that environment</v>
      </c>
      <c r="M168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81" s="1" t="str">
        <f ca="1">IFERROR(__xludf.DUMMYFUNCTION("""COMPUTED_VALUE"""),"Design and Creative strategy in any company, Business Operations in any organization, Entrepreneur or Start Up, An Artificial Intelligence Specialist / Talking to Robots")</f>
        <v>Design and Creative strategy in any company, Business Operations in any organization, Entrepreneur or Start Up, An Artificial Intelligence Specialist / Talking to Robots</v>
      </c>
      <c r="O1681" s="1" t="str">
        <f ca="1">IFERROR(__xludf.DUMMYFUNCTION("""COMPUTED_VALUE"""),"Manager who explains what is expected, sets a goal and helps achieve it")</f>
        <v>Manager who explains what is expected, sets a goal and helps achieve it</v>
      </c>
      <c r="P1681" s="1" t="str">
        <f ca="1">IFERROR(__xludf.DUMMYFUNCTION("""COMPUTED_VALUE"""),"Work with 5 to 6 people in my team")</f>
        <v>Work with 5 to 6 people in my team</v>
      </c>
      <c r="Q1681" s="1" t="str">
        <f ca="1">IFERROR(__xludf.DUMMYFUNCTION("""COMPUTED_VALUE"""),"No")</f>
        <v>No</v>
      </c>
      <c r="R1681" s="1" t="str">
        <f ca="1">IFERROR(__xludf.DUMMYFUNCTION("""COMPUTED_VALUE"""),"This will be hard to do, but if it is the right company I would try")</f>
        <v>This will be hard to do, but if it is the right company I would try</v>
      </c>
      <c r="S1681" s="1"/>
    </row>
    <row r="1682" spans="1:19" ht="12.5" x14ac:dyDescent="0.25">
      <c r="A1682" s="2">
        <f ca="1">IFERROR(__xludf.DUMMYFUNCTION("""COMPUTED_VALUE"""),45046.9529843518)</f>
        <v>45046.952984351803</v>
      </c>
      <c r="B1682" s="1" t="str">
        <f ca="1">IFERROR(__xludf.DUMMYFUNCTION("""COMPUTED_VALUE"""),"India")</f>
        <v>India</v>
      </c>
      <c r="C1682" s="1">
        <f ca="1">IFERROR(__xludf.DUMMYFUNCTION("""COMPUTED_VALUE"""),454001)</f>
        <v>454001</v>
      </c>
      <c r="D1682" s="1" t="str">
        <f ca="1">IFERROR(__xludf.DUMMYFUNCTION("""COMPUTED_VALUE"""),"Male")</f>
        <v>Male</v>
      </c>
      <c r="E1682" s="1" t="str">
        <f ca="1">IFERROR(__xludf.DUMMYFUNCTION("""COMPUTED_VALUE"""),"My Parents")</f>
        <v>My Parents</v>
      </c>
      <c r="F1682" s="1" t="str">
        <f ca="1">IFERROR(__xludf.DUMMYFUNCTION("""COMPUTED_VALUE"""),"No, But if someone could bare the cost I will")</f>
        <v>No, But if someone could bare the cost I will</v>
      </c>
      <c r="G1682" s="1" t="str">
        <f ca="1">IFERROR(__xludf.DUMMYFUNCTION("""COMPUTED_VALUE"""),"Will work for 3 years or more")</f>
        <v>Will work for 3 years or more</v>
      </c>
      <c r="H1682" s="1" t="str">
        <f ca="1">IFERROR(__xludf.DUMMYFUNCTION("""COMPUTED_VALUE"""),"No")</f>
        <v>No</v>
      </c>
      <c r="I1682" s="1" t="str">
        <f ca="1">IFERROR(__xludf.DUMMYFUNCTION("""COMPUTED_VALUE"""),"Will NOT work for them")</f>
        <v>Will NOT work for them</v>
      </c>
      <c r="J1682" s="1">
        <f ca="1">IFERROR(__xludf.DUMMYFUNCTION("""COMPUTED_VALUE"""),7)</f>
        <v>7</v>
      </c>
      <c r="K1682" s="1" t="str">
        <f ca="1">IFERROR(__xludf.DUMMYFUNCTION("""COMPUTED_VALUE"""),"Hybrid Working Environment with more than 15 days a month at office")</f>
        <v>Hybrid Working Environment with more than 15 days a month at office</v>
      </c>
      <c r="L16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8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82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1682" s="1" t="str">
        <f ca="1">IFERROR(__xludf.DUMMYFUNCTION("""COMPUTED_VALUE"""),"Manager who explains what is expected, sets a goal and helps achieve it")</f>
        <v>Manager who explains what is expected, sets a goal and helps achieve it</v>
      </c>
      <c r="P1682" s="1" t="str">
        <f ca="1">IFERROR(__xludf.DUMMYFUNCTION("""COMPUTED_VALUE"""),"Work with 5 to 6 people in my team")</f>
        <v>Work with 5 to 6 people in my team</v>
      </c>
      <c r="Q1682" s="1" t="str">
        <f ca="1">IFERROR(__xludf.DUMMYFUNCTION("""COMPUTED_VALUE"""),"Yes, I Understand this is gonna happen everywhere")</f>
        <v>Yes, I Understand this is gonna happen everywhere</v>
      </c>
      <c r="R1682" s="1" t="str">
        <f ca="1">IFERROR(__xludf.DUMMYFUNCTION("""COMPUTED_VALUE"""),"No way")</f>
        <v>No way</v>
      </c>
      <c r="S1682" s="1"/>
    </row>
    <row r="1683" spans="1:19" ht="12.5" x14ac:dyDescent="0.25">
      <c r="A1683" s="2">
        <f ca="1">IFERROR(__xludf.DUMMYFUNCTION("""COMPUTED_VALUE"""),45046.9943983449)</f>
        <v>45046.994398344897</v>
      </c>
      <c r="B1683" s="1" t="str">
        <f ca="1">IFERROR(__xludf.DUMMYFUNCTION("""COMPUTED_VALUE"""),"India")</f>
        <v>India</v>
      </c>
      <c r="C1683" s="1">
        <f ca="1">IFERROR(__xludf.DUMMYFUNCTION("""COMPUTED_VALUE"""),607001)</f>
        <v>607001</v>
      </c>
      <c r="D1683" s="1" t="str">
        <f ca="1">IFERROR(__xludf.DUMMYFUNCTION("""COMPUTED_VALUE"""),"Male")</f>
        <v>Male</v>
      </c>
      <c r="E1683" s="1" t="str">
        <f ca="1">IFERROR(__xludf.DUMMYFUNCTION("""COMPUTED_VALUE"""),"Influencers who had successful careers")</f>
        <v>Influencers who had successful careers</v>
      </c>
      <c r="F1683" s="1" t="str">
        <f ca="1">IFERROR(__xludf.DUMMYFUNCTION("""COMPUTED_VALUE"""),"Yes, I will earn and do that")</f>
        <v>Yes, I will earn and do that</v>
      </c>
      <c r="G1683" s="1" t="str">
        <f ca="1">IFERROR(__xludf.DUMMYFUNCTION("""COMPUTED_VALUE"""),"Will work for 3 years or more")</f>
        <v>Will work for 3 years or more</v>
      </c>
      <c r="H1683" s="1" t="str">
        <f ca="1">IFERROR(__xludf.DUMMYFUNCTION("""COMPUTED_VALUE"""),"No")</f>
        <v>No</v>
      </c>
      <c r="I1683" s="1" t="str">
        <f ca="1">IFERROR(__xludf.DUMMYFUNCTION("""COMPUTED_VALUE"""),"Will NOT work for them")</f>
        <v>Will NOT work for them</v>
      </c>
      <c r="J1683" s="1">
        <f ca="1">IFERROR(__xludf.DUMMYFUNCTION("""COMPUTED_VALUE"""),6)</f>
        <v>6</v>
      </c>
      <c r="K1683" s="1" t="str">
        <f ca="1">IFERROR(__xludf.DUMMYFUNCTION("""COMPUTED_VALUE"""),"Hybrid Working Environment with more than 15 days a month at office")</f>
        <v>Hybrid Working Environment with more than 15 days a month at office</v>
      </c>
      <c r="L1683" s="1" t="str">
        <f ca="1">IFERROR(__xludf.DUMMYFUNCTION("""COMPUTED_VALUE"""),"Employer who rewards learning and enables that environment")</f>
        <v>Employer who rewards learning and enables that environment</v>
      </c>
      <c r="M168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83" s="1" t="str">
        <f ca="1">IFERROR(__xludf.DUMMYFUNCTION("""COMPUTED_VALUE"""),"Design and Creative strategy in any company, Work as a freelancer and do my thing my way, Entrepreneur or Start Up, I Want to sell things/Sales")</f>
        <v>Design and Creative strategy in any company, Work as a freelancer and do my thing my way, Entrepreneur or Start Up, I Want to sell things/Sales</v>
      </c>
      <c r="O16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683" s="1" t="str">
        <f ca="1">IFERROR(__xludf.DUMMYFUNCTION("""COMPUTED_VALUE"""),"Work with 5 to 6 people in my team")</f>
        <v>Work with 5 to 6 people in my team</v>
      </c>
      <c r="Q1683" s="1" t="str">
        <f ca="1">IFERROR(__xludf.DUMMYFUNCTION("""COMPUTED_VALUE"""),"Yes, I Understand this is gonna happen everywhere")</f>
        <v>Yes, I Understand this is gonna happen everywhere</v>
      </c>
      <c r="R1683" s="1" t="str">
        <f ca="1">IFERROR(__xludf.DUMMYFUNCTION("""COMPUTED_VALUE"""),"This will be hard to do, but if it is the right company I would try")</f>
        <v>This will be hard to do, but if it is the right company I would try</v>
      </c>
      <c r="S1683" s="1"/>
    </row>
    <row r="1684" spans="1:19" ht="12.5" x14ac:dyDescent="0.25">
      <c r="A1684" s="2">
        <f ca="1">IFERROR(__xludf.DUMMYFUNCTION("""COMPUTED_VALUE"""),45046.9973956712)</f>
        <v>45046.997395671198</v>
      </c>
      <c r="B1684" s="1" t="str">
        <f ca="1">IFERROR(__xludf.DUMMYFUNCTION("""COMPUTED_VALUE"""),"India")</f>
        <v>India</v>
      </c>
      <c r="C1684" s="1">
        <f ca="1">IFERROR(__xludf.DUMMYFUNCTION("""COMPUTED_VALUE"""),621211)</f>
        <v>621211</v>
      </c>
      <c r="D1684" s="1" t="str">
        <f ca="1">IFERROR(__xludf.DUMMYFUNCTION("""COMPUTED_VALUE"""),"Male")</f>
        <v>Male</v>
      </c>
      <c r="E1684" s="1" t="str">
        <f ca="1">IFERROR(__xludf.DUMMYFUNCTION("""COMPUTED_VALUE"""),"Influencers who had successful careers")</f>
        <v>Influencers who had successful careers</v>
      </c>
      <c r="F1684" s="1" t="str">
        <f ca="1">IFERROR(__xludf.DUMMYFUNCTION("""COMPUTED_VALUE"""),"Yes, I will earn and do that")</f>
        <v>Yes, I will earn and do that</v>
      </c>
      <c r="G1684" s="1" t="str">
        <f ca="1">IFERROR(__xludf.DUMMYFUNCTION("""COMPUTED_VALUE"""),"This will be hard to do, but if it is the right company I would try")</f>
        <v>This will be hard to do, but if it is the right company I would try</v>
      </c>
      <c r="H1684" s="1" t="str">
        <f ca="1">IFERROR(__xludf.DUMMYFUNCTION("""COMPUTED_VALUE"""),"Yes")</f>
        <v>Yes</v>
      </c>
      <c r="I1684" s="1" t="str">
        <f ca="1">IFERROR(__xludf.DUMMYFUNCTION("""COMPUTED_VALUE"""),"Will work for them")</f>
        <v>Will work for them</v>
      </c>
      <c r="J1684" s="1">
        <f ca="1">IFERROR(__xludf.DUMMYFUNCTION("""COMPUTED_VALUE"""),5)</f>
        <v>5</v>
      </c>
      <c r="K1684" s="1" t="str">
        <f ca="1">IFERROR(__xludf.DUMMYFUNCTION("""COMPUTED_VALUE"""),"Every Day Office Environment")</f>
        <v>Every Day Office Environment</v>
      </c>
      <c r="L1684" s="1" t="str">
        <f ca="1">IFERROR(__xludf.DUMMYFUNCTION("""COMPUTED_VALUE"""),"Employer who appreciates learning and enables that environment")</f>
        <v>Employer who appreciates learning and enables that environment</v>
      </c>
      <c r="M1684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1684" s="1" t="str">
        <f ca="1">IFERROR(__xludf.DUMMYFUNCTION("""COMPUTED_VALUE"""),"Design and Creative strategy in any company, Become a content Creator in some platform, Entrepreneur or Start Up, An Artificial Intelligence Specialist / Talking to Robots")</f>
        <v>Design and Creative strategy in any company, Become a content Creator in some platform, Entrepreneur or Start Up, An Artificial Intelligence Specialist / Talking to Robots</v>
      </c>
      <c r="O1684" s="1" t="str">
        <f ca="1">IFERROR(__xludf.DUMMYFUNCTION("""COMPUTED_VALUE"""),"Manager who sets targets and expects me to achieve it")</f>
        <v>Manager who sets targets and expects me to achieve it</v>
      </c>
      <c r="P1684" s="1" t="str">
        <f ca="1">IFERROR(__xludf.DUMMYFUNCTION("""COMPUTED_VALUE"""),"Work alone")</f>
        <v>Work alone</v>
      </c>
      <c r="Q1684" s="1" t="str">
        <f ca="1">IFERROR(__xludf.DUMMYFUNCTION("""COMPUTED_VALUE"""),"Yes, I Understand this is gonna happen everywhere")</f>
        <v>Yes, I Understand this is gonna happen everywhere</v>
      </c>
      <c r="R1684" s="1" t="str">
        <f ca="1">IFERROR(__xludf.DUMMYFUNCTION("""COMPUTED_VALUE"""),"This will be hard to do, but if it is the right company I would try")</f>
        <v>This will be hard to do, but if it is the right company I would try</v>
      </c>
      <c r="S1684" s="1"/>
    </row>
    <row r="1685" spans="1:19" ht="12.5" x14ac:dyDescent="0.25">
      <c r="A1685" s="2">
        <f ca="1">IFERROR(__xludf.DUMMYFUNCTION("""COMPUTED_VALUE"""),45047.0024111111)</f>
        <v>45047.002411111098</v>
      </c>
      <c r="B1685" s="1" t="str">
        <f ca="1">IFERROR(__xludf.DUMMYFUNCTION("""COMPUTED_VALUE"""),"India")</f>
        <v>India</v>
      </c>
      <c r="C1685" s="1">
        <f ca="1">IFERROR(__xludf.DUMMYFUNCTION("""COMPUTED_VALUE"""),395006)</f>
        <v>395006</v>
      </c>
      <c r="D1685" s="1" t="str">
        <f ca="1">IFERROR(__xludf.DUMMYFUNCTION("""COMPUTED_VALUE"""),"Male")</f>
        <v>Male</v>
      </c>
      <c r="E1685" s="1" t="str">
        <f ca="1">IFERROR(__xludf.DUMMYFUNCTION("""COMPUTED_VALUE"""),"People who have changed the world for better")</f>
        <v>People who have changed the world for better</v>
      </c>
      <c r="F1685" s="1" t="str">
        <f ca="1">IFERROR(__xludf.DUMMYFUNCTION("""COMPUTED_VALUE"""),"No I would not be pursuing Higher Education outside of India")</f>
        <v>No I would not be pursuing Higher Education outside of India</v>
      </c>
      <c r="G1685" s="1" t="str">
        <f ca="1">IFERROR(__xludf.DUMMYFUNCTION("""COMPUTED_VALUE"""),"This will be hard to do, but if it is the right company I would try")</f>
        <v>This will be hard to do, but if it is the right company I would try</v>
      </c>
      <c r="H1685" s="1" t="str">
        <f ca="1">IFERROR(__xludf.DUMMYFUNCTION("""COMPUTED_VALUE"""),"No")</f>
        <v>No</v>
      </c>
      <c r="I1685" s="1" t="str">
        <f ca="1">IFERROR(__xludf.DUMMYFUNCTION("""COMPUTED_VALUE"""),"Will NOT work for them")</f>
        <v>Will NOT work for them</v>
      </c>
      <c r="J1685" s="1">
        <f ca="1">IFERROR(__xludf.DUMMYFUNCTION("""COMPUTED_VALUE"""),5)</f>
        <v>5</v>
      </c>
      <c r="K1685" s="1" t="str">
        <f ca="1">IFERROR(__xludf.DUMMYFUNCTION("""COMPUTED_VALUE"""),"Hybrid Working Environment with more than 15 days a month at office")</f>
        <v>Hybrid Working Environment with more than 15 days a month at office</v>
      </c>
      <c r="L1685" s="1" t="str">
        <f ca="1">IFERROR(__xludf.DUMMYFUNCTION("""COMPUTED_VALUE"""),"Employer who appreciates learning and enables that environment")</f>
        <v>Employer who appreciates learning and enables that environment</v>
      </c>
      <c r="M1685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685" s="1" t="str">
        <f ca="1">IFERROR(__xludf.DUMMYFUNCTION("""COMPUTED_VALUE"""),"Business Operations in any organization, Design and Develop amazing software, Entrepreneur or Start Up, An Artificial Intelligence Specialist / Talking to Robots")</f>
        <v>Business Operations in any organization, Design and Develop amazing software, Entrepreneur or Start Up, An Artificial Intelligence Specialist / Talking to Robots</v>
      </c>
      <c r="O1685" s="1" t="str">
        <f ca="1">IFERROR(__xludf.DUMMYFUNCTION("""COMPUTED_VALUE"""),"Manager who clearly describes what she/he needs")</f>
        <v>Manager who clearly describes what she/he needs</v>
      </c>
      <c r="P1685" s="1" t="str">
        <f ca="1">IFERROR(__xludf.DUMMYFUNCTION("""COMPUTED_VALUE"""),"Work with 5 to 6 people in my team")</f>
        <v>Work with 5 to 6 people in my team</v>
      </c>
      <c r="Q1685" s="1" t="str">
        <f ca="1">IFERROR(__xludf.DUMMYFUNCTION("""COMPUTED_VALUE"""),"Yes, I Understand this is gonna happen everywhere")</f>
        <v>Yes, I Understand this is gonna happen everywhere</v>
      </c>
      <c r="R1685" s="1" t="str">
        <f ca="1">IFERROR(__xludf.DUMMYFUNCTION("""COMPUTED_VALUE"""),"This will be hard to do, but if it is the right company I would try")</f>
        <v>This will be hard to do, but if it is the right company I would try</v>
      </c>
      <c r="S1685" s="1"/>
    </row>
    <row r="1686" spans="1:19" ht="12.5" x14ac:dyDescent="0.25">
      <c r="A1686" s="2">
        <f ca="1">IFERROR(__xludf.DUMMYFUNCTION("""COMPUTED_VALUE"""),45047.0057332638)</f>
        <v>45047.005733263803</v>
      </c>
      <c r="B1686" s="1" t="str">
        <f ca="1">IFERROR(__xludf.DUMMYFUNCTION("""COMPUTED_VALUE"""),"India")</f>
        <v>India</v>
      </c>
      <c r="C1686" s="1">
        <f ca="1">IFERROR(__xludf.DUMMYFUNCTION("""COMPUTED_VALUE"""),576213)</f>
        <v>576213</v>
      </c>
      <c r="D1686" s="1" t="str">
        <f ca="1">IFERROR(__xludf.DUMMYFUNCTION("""COMPUTED_VALUE"""),"Female")</f>
        <v>Female</v>
      </c>
      <c r="E1686" s="1" t="str">
        <f ca="1">IFERROR(__xludf.DUMMYFUNCTION("""COMPUTED_VALUE"""),"My Parents")</f>
        <v>My Parents</v>
      </c>
      <c r="F1686" s="1" t="str">
        <f ca="1">IFERROR(__xludf.DUMMYFUNCTION("""COMPUTED_VALUE"""),"Yes, I will earn and do that")</f>
        <v>Yes, I will earn and do that</v>
      </c>
      <c r="G1686" s="1" t="str">
        <f ca="1">IFERROR(__xludf.DUMMYFUNCTION("""COMPUTED_VALUE"""),"This will be hard to do, but if it is the right company I would try")</f>
        <v>This will be hard to do, but if it is the right company I would try</v>
      </c>
      <c r="H1686" s="1" t="str">
        <f ca="1">IFERROR(__xludf.DUMMYFUNCTION("""COMPUTED_VALUE"""),"Yes")</f>
        <v>Yes</v>
      </c>
      <c r="I1686" s="1" t="str">
        <f ca="1">IFERROR(__xludf.DUMMYFUNCTION("""COMPUTED_VALUE"""),"Will work for them")</f>
        <v>Will work for them</v>
      </c>
      <c r="J1686" s="1">
        <f ca="1">IFERROR(__xludf.DUMMYFUNCTION("""COMPUTED_VALUE"""),9)</f>
        <v>9</v>
      </c>
      <c r="K1686" s="1" t="str">
        <f ca="1">IFERROR(__xludf.DUMMYFUNCTION("""COMPUTED_VALUE"""),"Fully Remote with No option to visit offices")</f>
        <v>Fully Remote with No option to visit offices</v>
      </c>
      <c r="L16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8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86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686" s="1" t="str">
        <f ca="1">IFERROR(__xludf.DUMMYFUNCTION("""COMPUTED_VALUE"""),"Manager who explains what is expected, sets a goal and helps achieve it")</f>
        <v>Manager who explains what is expected, sets a goal and helps achieve it</v>
      </c>
      <c r="P1686" s="1" t="str">
        <f ca="1">IFERROR(__xludf.DUMMYFUNCTION("""COMPUTED_VALUE"""),"Work with 2 to 3 people in my team, Work with 5 to 6 people in my team")</f>
        <v>Work with 2 to 3 people in my team, Work with 5 to 6 people in my team</v>
      </c>
      <c r="Q1686" s="1" t="str">
        <f ca="1">IFERROR(__xludf.DUMMYFUNCTION("""COMPUTED_VALUE"""),"Yes, I Understand this is gonna happen everywhere")</f>
        <v>Yes, I Understand this is gonna happen everywhere</v>
      </c>
      <c r="R1686" s="1" t="str">
        <f ca="1">IFERROR(__xludf.DUMMYFUNCTION("""COMPUTED_VALUE"""),"No way")</f>
        <v>No way</v>
      </c>
      <c r="S1686" s="1"/>
    </row>
    <row r="1687" spans="1:19" ht="12.5" x14ac:dyDescent="0.25">
      <c r="A1687" s="2">
        <f ca="1">IFERROR(__xludf.DUMMYFUNCTION("""COMPUTED_VALUE"""),45047.0214135879)</f>
        <v>45047.0214135879</v>
      </c>
      <c r="B1687" s="1" t="str">
        <f ca="1">IFERROR(__xludf.DUMMYFUNCTION("""COMPUTED_VALUE"""),"India")</f>
        <v>India</v>
      </c>
      <c r="C1687" s="1">
        <f ca="1">IFERROR(__xludf.DUMMYFUNCTION("""COMPUTED_VALUE"""),456010)</f>
        <v>456010</v>
      </c>
      <c r="D1687" s="1" t="str">
        <f ca="1">IFERROR(__xludf.DUMMYFUNCTION("""COMPUTED_VALUE"""),"Male")</f>
        <v>Male</v>
      </c>
      <c r="E1687" s="1" t="str">
        <f ca="1">IFERROR(__xludf.DUMMYFUNCTION("""COMPUTED_VALUE"""),"People who have changed the world for better")</f>
        <v>People who have changed the world for better</v>
      </c>
      <c r="F1687" s="1" t="str">
        <f ca="1">IFERROR(__xludf.DUMMYFUNCTION("""COMPUTED_VALUE"""),"No I would not be pursuing Higher Education outside of India")</f>
        <v>No I would not be pursuing Higher Education outside of India</v>
      </c>
      <c r="G1687" s="1" t="str">
        <f ca="1">IFERROR(__xludf.DUMMYFUNCTION("""COMPUTED_VALUE"""),"Will work for 3 years or more")</f>
        <v>Will work for 3 years or more</v>
      </c>
      <c r="H1687" s="1" t="str">
        <f ca="1">IFERROR(__xludf.DUMMYFUNCTION("""COMPUTED_VALUE"""),"No")</f>
        <v>No</v>
      </c>
      <c r="I1687" s="1" t="str">
        <f ca="1">IFERROR(__xludf.DUMMYFUNCTION("""COMPUTED_VALUE"""),"Will NOT work for them")</f>
        <v>Will NOT work for them</v>
      </c>
      <c r="J1687" s="1">
        <f ca="1">IFERROR(__xludf.DUMMYFUNCTION("""COMPUTED_VALUE"""),6)</f>
        <v>6</v>
      </c>
      <c r="K1687" s="1" t="str">
        <f ca="1">IFERROR(__xludf.DUMMYFUNCTION("""COMPUTED_VALUE"""),"Hybrid Working Environment with more than 15 days a month at office")</f>
        <v>Hybrid Working Environment with more than 15 days a month at office</v>
      </c>
      <c r="L1687" s="1" t="str">
        <f ca="1">IFERROR(__xludf.DUMMYFUNCTION("""COMPUTED_VALUE"""),"Employer who rewards learning and enables that environment")</f>
        <v>Employer who rewards learning and enables that environment</v>
      </c>
      <c r="M168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687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1687" s="1" t="str">
        <f ca="1">IFERROR(__xludf.DUMMYFUNCTION("""COMPUTED_VALUE"""),"Manager who explains what is expected, sets a goal and helps achieve it")</f>
        <v>Manager who explains what is expected, sets a goal and helps achieve it</v>
      </c>
      <c r="P1687" s="1" t="str">
        <f ca="1">IFERROR(__xludf.DUMMYFUNCTION("""COMPUTED_VALUE"""),"Work with 5 to 6 people in my team")</f>
        <v>Work with 5 to 6 people in my team</v>
      </c>
      <c r="Q1687" s="1" t="str">
        <f ca="1">IFERROR(__xludf.DUMMYFUNCTION("""COMPUTED_VALUE"""),"Yes, I Understand this is gonna happen everywhere")</f>
        <v>Yes, I Understand this is gonna happen everywhere</v>
      </c>
      <c r="R1687" s="1" t="str">
        <f ca="1">IFERROR(__xludf.DUMMYFUNCTION("""COMPUTED_VALUE"""),"Will work for 7 years or more")</f>
        <v>Will work for 7 years or more</v>
      </c>
      <c r="S1687" s="1"/>
    </row>
    <row r="1688" spans="1:19" ht="12.5" x14ac:dyDescent="0.25">
      <c r="A1688" s="2">
        <f ca="1">IFERROR(__xludf.DUMMYFUNCTION("""COMPUTED_VALUE"""),45047.0459471527)</f>
        <v>45047.045947152699</v>
      </c>
      <c r="B1688" s="1" t="str">
        <f ca="1">IFERROR(__xludf.DUMMYFUNCTION("""COMPUTED_VALUE"""),"India")</f>
        <v>India</v>
      </c>
      <c r="C1688" s="1">
        <f ca="1">IFERROR(__xludf.DUMMYFUNCTION("""COMPUTED_VALUE"""),500019)</f>
        <v>500019</v>
      </c>
      <c r="D1688" s="1" t="str">
        <f ca="1">IFERROR(__xludf.DUMMYFUNCTION("""COMPUTED_VALUE"""),"Male")</f>
        <v>Male</v>
      </c>
      <c r="E1688" s="1" t="str">
        <f ca="1">IFERROR(__xludf.DUMMYFUNCTION("""COMPUTED_VALUE"""),"My Parents")</f>
        <v>My Parents</v>
      </c>
      <c r="F1688" s="1" t="str">
        <f ca="1">IFERROR(__xludf.DUMMYFUNCTION("""COMPUTED_VALUE"""),"Yes, I will earn and do that")</f>
        <v>Yes, I will earn and do that</v>
      </c>
      <c r="G1688" s="1" t="str">
        <f ca="1">IFERROR(__xludf.DUMMYFUNCTION("""COMPUTED_VALUE"""),"This will be hard to do, but if it is the right company I would try")</f>
        <v>This will be hard to do, but if it is the right company I would try</v>
      </c>
      <c r="H1688" s="1" t="str">
        <f ca="1">IFERROR(__xludf.DUMMYFUNCTION("""COMPUTED_VALUE"""),"No")</f>
        <v>No</v>
      </c>
      <c r="I1688" s="1" t="str">
        <f ca="1">IFERROR(__xludf.DUMMYFUNCTION("""COMPUTED_VALUE"""),"Will NOT work for them")</f>
        <v>Will NOT work for them</v>
      </c>
      <c r="J1688" s="1">
        <f ca="1">IFERROR(__xludf.DUMMYFUNCTION("""COMPUTED_VALUE"""),1)</f>
        <v>1</v>
      </c>
      <c r="K1688" s="1" t="str">
        <f ca="1">IFERROR(__xludf.DUMMYFUNCTION("""COMPUTED_VALUE"""),"Hybrid Working Environment with more than 15 days a month at office")</f>
        <v>Hybrid Working Environment with more than 15 days a month at office</v>
      </c>
      <c r="L16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88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1688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688" s="1" t="str">
        <f ca="1">IFERROR(__xludf.DUMMYFUNCTION("""COMPUTED_VALUE"""),"Manager who clearly describes what she/he needs")</f>
        <v>Manager who clearly describes what she/he needs</v>
      </c>
      <c r="P1688" s="1" t="str">
        <f ca="1">IFERROR(__xludf.DUMMYFUNCTION("""COMPUTED_VALUE"""),"Work with 2 to 3 people in my team")</f>
        <v>Work with 2 to 3 people in my team</v>
      </c>
      <c r="Q1688" s="1" t="str">
        <f ca="1">IFERROR(__xludf.DUMMYFUNCTION("""COMPUTED_VALUE"""),"Yes, I Understand this is gonna happen everywhere")</f>
        <v>Yes, I Understand this is gonna happen everywhere</v>
      </c>
      <c r="R1688" s="1" t="str">
        <f ca="1">IFERROR(__xludf.DUMMYFUNCTION("""COMPUTED_VALUE"""),"Will work for 7 years or more")</f>
        <v>Will work for 7 years or more</v>
      </c>
      <c r="S1688" s="1"/>
    </row>
    <row r="1689" spans="1:19" ht="12.5" x14ac:dyDescent="0.25">
      <c r="A1689" s="2">
        <f ca="1">IFERROR(__xludf.DUMMYFUNCTION("""COMPUTED_VALUE"""),45047.075836956)</f>
        <v>45047.075836955999</v>
      </c>
      <c r="B1689" s="1" t="str">
        <f ca="1">IFERROR(__xludf.DUMMYFUNCTION("""COMPUTED_VALUE"""),"India")</f>
        <v>India</v>
      </c>
      <c r="C1689" s="1">
        <f ca="1">IFERROR(__xludf.DUMMYFUNCTION("""COMPUTED_VALUE"""),452001)</f>
        <v>452001</v>
      </c>
      <c r="D1689" s="1" t="str">
        <f ca="1">IFERROR(__xludf.DUMMYFUNCTION("""COMPUTED_VALUE"""),"Male")</f>
        <v>Male</v>
      </c>
      <c r="E1689" s="1" t="str">
        <f ca="1">IFERROR(__xludf.DUMMYFUNCTION("""COMPUTED_VALUE"""),"Social Media like LinkedIn")</f>
        <v>Social Media like LinkedIn</v>
      </c>
      <c r="F1689" s="1" t="str">
        <f ca="1">IFERROR(__xludf.DUMMYFUNCTION("""COMPUTED_VALUE"""),"Yes, I will earn and do that")</f>
        <v>Yes, I will earn and do that</v>
      </c>
      <c r="G1689" s="1" t="str">
        <f ca="1">IFERROR(__xludf.DUMMYFUNCTION("""COMPUTED_VALUE"""),"Will work for 3 years or more")</f>
        <v>Will work for 3 years or more</v>
      </c>
      <c r="H1689" s="1" t="str">
        <f ca="1">IFERROR(__xludf.DUMMYFUNCTION("""COMPUTED_VALUE"""),"Yes")</f>
        <v>Yes</v>
      </c>
      <c r="I1689" s="1" t="str">
        <f ca="1">IFERROR(__xludf.DUMMYFUNCTION("""COMPUTED_VALUE"""),"Will NOT work for them")</f>
        <v>Will NOT work for them</v>
      </c>
      <c r="J1689" s="1">
        <f ca="1">IFERROR(__xludf.DUMMYFUNCTION("""COMPUTED_VALUE"""),10)</f>
        <v>10</v>
      </c>
      <c r="K1689" s="1" t="str">
        <f ca="1">IFERROR(__xludf.DUMMYFUNCTION("""COMPUTED_VALUE"""),"Hybrid Working Environment with more than 15 days a month at office")</f>
        <v>Hybrid Working Environment with more than 15 days a month at office</v>
      </c>
      <c r="L1689" s="1" t="str">
        <f ca="1">IFERROR(__xludf.DUMMYFUNCTION("""COMPUTED_VALUE"""),"Employer who appreciates learning and enables that environment")</f>
        <v>Employer who appreciates learning and enables that environment</v>
      </c>
      <c r="M168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689" s="1" t="str">
        <f ca="1">IFERROR(__xludf.DUMMYFUNCTION("""COMPUTED_VALUE"""),"Teaching in any of the institutes/colleges/online or offline, Build and develop a Team, Design and Develop amazing software, Entrepreneur or Start Up")</f>
        <v>Teaching in any of the institutes/colleges/online or offline, Build and develop a Team, Design and Develop amazing software, Entrepreneur or Start Up</v>
      </c>
      <c r="O1689" s="1" t="str">
        <f ca="1">IFERROR(__xludf.DUMMYFUNCTION("""COMPUTED_VALUE"""),"Manager who explains what is expected, sets a goal and helps achieve it")</f>
        <v>Manager who explains what is expected, sets a goal and helps achieve it</v>
      </c>
      <c r="P1689" s="1" t="str">
        <f ca="1">IFERROR(__xludf.DUMMYFUNCTION("""COMPUTED_VALUE"""),"Work with 2 to 3 people in my team")</f>
        <v>Work with 2 to 3 people in my team</v>
      </c>
      <c r="Q1689" s="1" t="str">
        <f ca="1">IFERROR(__xludf.DUMMYFUNCTION("""COMPUTED_VALUE"""),"Yes, I Understand this is gonna happen everywhere")</f>
        <v>Yes, I Understand this is gonna happen everywhere</v>
      </c>
      <c r="R1689" s="1" t="str">
        <f ca="1">IFERROR(__xludf.DUMMYFUNCTION("""COMPUTED_VALUE"""),"No way")</f>
        <v>No way</v>
      </c>
      <c r="S1689" s="1"/>
    </row>
    <row r="1690" spans="1:19" ht="12.5" x14ac:dyDescent="0.25">
      <c r="A1690" s="2">
        <f ca="1">IFERROR(__xludf.DUMMYFUNCTION("""COMPUTED_VALUE"""),45047.0772063078)</f>
        <v>45047.077206307797</v>
      </c>
      <c r="B1690" s="1" t="str">
        <f ca="1">IFERROR(__xludf.DUMMYFUNCTION("""COMPUTED_VALUE"""),"India")</f>
        <v>India</v>
      </c>
      <c r="C1690" s="1">
        <f ca="1">IFERROR(__xludf.DUMMYFUNCTION("""COMPUTED_VALUE"""),452001)</f>
        <v>452001</v>
      </c>
      <c r="D1690" s="1" t="str">
        <f ca="1">IFERROR(__xludf.DUMMYFUNCTION("""COMPUTED_VALUE"""),"Female")</f>
        <v>Female</v>
      </c>
      <c r="E1690" s="1" t="str">
        <f ca="1">IFERROR(__xludf.DUMMYFUNCTION("""COMPUTED_VALUE"""),"My Parents")</f>
        <v>My Parents</v>
      </c>
      <c r="F1690" s="1" t="str">
        <f ca="1">IFERROR(__xludf.DUMMYFUNCTION("""COMPUTED_VALUE"""),"No, But if someone could bare the cost I will")</f>
        <v>No, But if someone could bare the cost I will</v>
      </c>
      <c r="G1690" s="1" t="str">
        <f ca="1">IFERROR(__xludf.DUMMYFUNCTION("""COMPUTED_VALUE"""),"This will be hard to do, but if it is the right company I would try")</f>
        <v>This will be hard to do, but if it is the right company I would try</v>
      </c>
      <c r="H1690" s="1" t="str">
        <f ca="1">IFERROR(__xludf.DUMMYFUNCTION("""COMPUTED_VALUE"""),"No")</f>
        <v>No</v>
      </c>
      <c r="I1690" s="1" t="str">
        <f ca="1">IFERROR(__xludf.DUMMYFUNCTION("""COMPUTED_VALUE"""),"Will NOT work for them")</f>
        <v>Will NOT work for them</v>
      </c>
      <c r="J1690" s="1">
        <f ca="1">IFERROR(__xludf.DUMMYFUNCTION("""COMPUTED_VALUE"""),3)</f>
        <v>3</v>
      </c>
      <c r="K1690" s="1" t="str">
        <f ca="1">IFERROR(__xludf.DUMMYFUNCTION("""COMPUTED_VALUE"""),"Fully Remote with Options to travel as and when needed")</f>
        <v>Fully Remote with Options to travel as and when needed</v>
      </c>
      <c r="L169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69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90" s="1" t="str">
        <f ca="1">IFERROR(__xludf.DUMMYFUNCTION("""COMPUTED_VALUE"""),"Design and Creative strategy in any company, Work as a freelancer and do my thing my way, Become a content Creator in some platform, An Artificial Intelligence Specialist / Talking to Robots")</f>
        <v>Design and Creative strategy in any company, Work as a freelancer and do my thing my way, Become a content Creator in some platform, An Artificial Intelligence Specialist / Talking to Robots</v>
      </c>
      <c r="O1690" s="1" t="str">
        <f ca="1">IFERROR(__xludf.DUMMYFUNCTION("""COMPUTED_VALUE"""),"Manager who sets goal and helps me achieve it")</f>
        <v>Manager who sets goal and helps me achieve it</v>
      </c>
      <c r="P1690" s="1" t="str">
        <f ca="1">IFERROR(__xludf.DUMMYFUNCTION("""COMPUTED_VALUE"""),"Work with 2 to 3 people in my team")</f>
        <v>Work with 2 to 3 people in my team</v>
      </c>
      <c r="Q1690" s="1" t="str">
        <f ca="1">IFERROR(__xludf.DUMMYFUNCTION("""COMPUTED_VALUE"""),"I have NO other choice")</f>
        <v>I have NO other choice</v>
      </c>
      <c r="R1690" s="1" t="str">
        <f ca="1">IFERROR(__xludf.DUMMYFUNCTION("""COMPUTED_VALUE"""),"This will be hard to do, but if it is the right company I would try")</f>
        <v>This will be hard to do, but if it is the right company I would try</v>
      </c>
      <c r="S1690" s="1"/>
    </row>
    <row r="1691" spans="1:19" ht="12.5" x14ac:dyDescent="0.25">
      <c r="A1691" s="2">
        <f ca="1">IFERROR(__xludf.DUMMYFUNCTION("""COMPUTED_VALUE"""),45047.07927)</f>
        <v>45047.079270000002</v>
      </c>
      <c r="B1691" s="1" t="str">
        <f ca="1">IFERROR(__xludf.DUMMYFUNCTION("""COMPUTED_VALUE"""),"India")</f>
        <v>India</v>
      </c>
      <c r="C1691" s="1">
        <f ca="1">IFERROR(__xludf.DUMMYFUNCTION("""COMPUTED_VALUE"""),452010)</f>
        <v>452010</v>
      </c>
      <c r="D1691" s="1" t="str">
        <f ca="1">IFERROR(__xludf.DUMMYFUNCTION("""COMPUTED_VALUE"""),"Female")</f>
        <v>Female</v>
      </c>
      <c r="E1691" s="1" t="str">
        <f ca="1">IFERROR(__xludf.DUMMYFUNCTION("""COMPUTED_VALUE"""),"People who have changed the world for better")</f>
        <v>People who have changed the world for better</v>
      </c>
      <c r="F1691" s="1" t="str">
        <f ca="1">IFERROR(__xludf.DUMMYFUNCTION("""COMPUTED_VALUE"""),"No I would not be pursuing Higher Education outside of India")</f>
        <v>No I would not be pursuing Higher Education outside of India</v>
      </c>
      <c r="G1691" s="1" t="str">
        <f ca="1">IFERROR(__xludf.DUMMYFUNCTION("""COMPUTED_VALUE"""),"This will be hard to do, but if it is the right company I would try")</f>
        <v>This will be hard to do, but if it is the right company I would try</v>
      </c>
      <c r="H1691" s="1" t="str">
        <f ca="1">IFERROR(__xludf.DUMMYFUNCTION("""COMPUTED_VALUE"""),"Yes")</f>
        <v>Yes</v>
      </c>
      <c r="I1691" s="1" t="str">
        <f ca="1">IFERROR(__xludf.DUMMYFUNCTION("""COMPUTED_VALUE"""),"Will NOT work for them")</f>
        <v>Will NOT work for them</v>
      </c>
      <c r="J1691" s="1">
        <f ca="1">IFERROR(__xludf.DUMMYFUNCTION("""COMPUTED_VALUE"""),6)</f>
        <v>6</v>
      </c>
      <c r="K1691" s="1" t="str">
        <f ca="1">IFERROR(__xludf.DUMMYFUNCTION("""COMPUTED_VALUE"""),"Fully Remote with No option to visit offices")</f>
        <v>Fully Remote with No option to visit offices</v>
      </c>
      <c r="L16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9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91" s="1" t="str">
        <f ca="1">IFERROR(__xludf.DUMMYFUNCTION("""COMPUTED_VALUE"""),"Business Operations in any organization, Manage and drive End-to-End Projects or Products, Build and develop a Team, I Want to sell things/Sales")</f>
        <v>Business Operations in any organization, Manage and drive End-to-End Projects or Products, Build and develop a Team, I Want to sell things/Sales</v>
      </c>
      <c r="O16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691" s="1" t="str">
        <f ca="1">IFERROR(__xludf.DUMMYFUNCTION("""COMPUTED_VALUE"""),"Work with more than 10 people in my team")</f>
        <v>Work with more than 10 people in my team</v>
      </c>
      <c r="Q1691" s="1" t="str">
        <f ca="1">IFERROR(__xludf.DUMMYFUNCTION("""COMPUTED_VALUE"""),"No")</f>
        <v>No</v>
      </c>
      <c r="R1691" s="1" t="str">
        <f ca="1">IFERROR(__xludf.DUMMYFUNCTION("""COMPUTED_VALUE"""),"This will be hard to do, but if it is the right company I would try")</f>
        <v>This will be hard to do, but if it is the right company I would try</v>
      </c>
      <c r="S1691" s="1"/>
    </row>
    <row r="1692" spans="1:19" ht="12.5" x14ac:dyDescent="0.25">
      <c r="A1692" s="2">
        <f ca="1">IFERROR(__xludf.DUMMYFUNCTION("""COMPUTED_VALUE"""),45047.3014310185)</f>
        <v>45047.301431018503</v>
      </c>
      <c r="B1692" s="1" t="str">
        <f ca="1">IFERROR(__xludf.DUMMYFUNCTION("""COMPUTED_VALUE"""),"India")</f>
        <v>India</v>
      </c>
      <c r="C1692" s="1">
        <f ca="1">IFERROR(__xludf.DUMMYFUNCTION("""COMPUTED_VALUE"""),201014)</f>
        <v>201014</v>
      </c>
      <c r="D1692" s="1" t="str">
        <f ca="1">IFERROR(__xludf.DUMMYFUNCTION("""COMPUTED_VALUE"""),"Female")</f>
        <v>Female</v>
      </c>
      <c r="E1692" s="1" t="str">
        <f ca="1">IFERROR(__xludf.DUMMYFUNCTION("""COMPUTED_VALUE"""),"Influencers who had successful careers")</f>
        <v>Influencers who had successful careers</v>
      </c>
      <c r="F1692" s="1" t="str">
        <f ca="1">IFERROR(__xludf.DUMMYFUNCTION("""COMPUTED_VALUE"""),"Yes, I will earn and do that")</f>
        <v>Yes, I will earn and do that</v>
      </c>
      <c r="G1692" s="1" t="str">
        <f ca="1">IFERROR(__xludf.DUMMYFUNCTION("""COMPUTED_VALUE"""),"This will be hard to do, but if it is the right company I would try")</f>
        <v>This will be hard to do, but if it is the right company I would try</v>
      </c>
      <c r="H1692" s="1" t="str">
        <f ca="1">IFERROR(__xludf.DUMMYFUNCTION("""COMPUTED_VALUE"""),"No")</f>
        <v>No</v>
      </c>
      <c r="I1692" s="1" t="str">
        <f ca="1">IFERROR(__xludf.DUMMYFUNCTION("""COMPUTED_VALUE"""),"Will NOT work for them")</f>
        <v>Will NOT work for them</v>
      </c>
      <c r="J1692" s="1">
        <f ca="1">IFERROR(__xludf.DUMMYFUNCTION("""COMPUTED_VALUE"""),3)</f>
        <v>3</v>
      </c>
      <c r="K1692" s="1" t="str">
        <f ca="1">IFERROR(__xludf.DUMMYFUNCTION("""COMPUTED_VALUE"""),"Hybrid Working Environment with more than 15 days a month at office")</f>
        <v>Hybrid Working Environment with more than 15 days a month at office</v>
      </c>
      <c r="L16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92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692" s="1" t="str">
        <f ca="1">IFERROR(__xludf.DUMMYFUNCTION("""COMPUTED_VALUE"""),"Design and Develop amazing software, Look deeply into Data and generate insights, Work in a BPO setup for some well known client, Work as a freelancer and do my thing my way")</f>
        <v>Design and Develop amazing software, Look deeply into Data and generate insights, Work in a BPO setup for some well known client, Work as a freelancer and do my thing my way</v>
      </c>
      <c r="O1692" s="1" t="str">
        <f ca="1">IFERROR(__xludf.DUMMYFUNCTION("""COMPUTED_VALUE"""),"Manager who explains what is expected, sets a goal and helps achieve it")</f>
        <v>Manager who explains what is expected, sets a goal and helps achieve it</v>
      </c>
      <c r="P1692" s="1" t="str">
        <f ca="1">IFERROR(__xludf.DUMMYFUNCTION("""COMPUTED_VALUE"""),"Work with 5 to 6 people in my team")</f>
        <v>Work with 5 to 6 people in my team</v>
      </c>
      <c r="Q1692" s="1" t="str">
        <f ca="1">IFERROR(__xludf.DUMMYFUNCTION("""COMPUTED_VALUE"""),"Yes, I Understand this is gonna happen everywhere")</f>
        <v>Yes, I Understand this is gonna happen everywhere</v>
      </c>
      <c r="R1692" s="1" t="str">
        <f ca="1">IFERROR(__xludf.DUMMYFUNCTION("""COMPUTED_VALUE"""),"This will be hard to do, but if it is the right company I would try")</f>
        <v>This will be hard to do, but if it is the right company I would try</v>
      </c>
      <c r="S1692" s="1"/>
    </row>
    <row r="1693" spans="1:19" ht="12.5" x14ac:dyDescent="0.25">
      <c r="A1693" s="2">
        <f ca="1">IFERROR(__xludf.DUMMYFUNCTION("""COMPUTED_VALUE"""),45047.3243079166)</f>
        <v>45047.324307916599</v>
      </c>
      <c r="B1693" s="1" t="str">
        <f ca="1">IFERROR(__xludf.DUMMYFUNCTION("""COMPUTED_VALUE"""),"India")</f>
        <v>India</v>
      </c>
      <c r="C1693" s="1">
        <f ca="1">IFERROR(__xludf.DUMMYFUNCTION("""COMPUTED_VALUE"""),587102)</f>
        <v>587102</v>
      </c>
      <c r="D1693" s="1" t="str">
        <f ca="1">IFERROR(__xludf.DUMMYFUNCTION("""COMPUTED_VALUE"""),"Male")</f>
        <v>Male</v>
      </c>
      <c r="E1693" s="1" t="str">
        <f ca="1">IFERROR(__xludf.DUMMYFUNCTION("""COMPUTED_VALUE"""),"Social Media like LinkedIn")</f>
        <v>Social Media like LinkedIn</v>
      </c>
      <c r="F1693" s="1" t="str">
        <f ca="1">IFERROR(__xludf.DUMMYFUNCTION("""COMPUTED_VALUE"""),"No I would not be pursuing Higher Education outside of India")</f>
        <v>No I would not be pursuing Higher Education outside of India</v>
      </c>
      <c r="G1693" s="1" t="str">
        <f ca="1">IFERROR(__xludf.DUMMYFUNCTION("""COMPUTED_VALUE"""),"Will work for 3 years or more")</f>
        <v>Will work for 3 years or more</v>
      </c>
      <c r="H1693" s="1" t="str">
        <f ca="1">IFERROR(__xludf.DUMMYFUNCTION("""COMPUTED_VALUE"""),"No")</f>
        <v>No</v>
      </c>
      <c r="I1693" s="1" t="str">
        <f ca="1">IFERROR(__xludf.DUMMYFUNCTION("""COMPUTED_VALUE"""),"Will NOT work for them")</f>
        <v>Will NOT work for them</v>
      </c>
      <c r="J1693" s="1">
        <f ca="1">IFERROR(__xludf.DUMMYFUNCTION("""COMPUTED_VALUE"""),5)</f>
        <v>5</v>
      </c>
      <c r="K1693" s="1" t="str">
        <f ca="1">IFERROR(__xludf.DUMMYFUNCTION("""COMPUTED_VALUE"""),"Fully Remote with No option to visit offices")</f>
        <v>Fully Remote with No option to visit offices</v>
      </c>
      <c r="L16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93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693" s="1" t="str">
        <f ca="1">IFERROR(__xludf.DUMMYFUNCTION("""COMPUTED_VALUE"""),"Teaching in any of the institutes/colleges/online or offline, Work as a freelancer and do my thing my way, Entrepreneur or Start Up, An Artificial Intelligence Specialist / Talking to Robots")</f>
        <v>Teaching in any of the institutes/colleges/online or offline, Work as a freelancer and do my thing my way, Entrepreneur or Start Up, An Artificial Intelligence Specialist / Talking to Robots</v>
      </c>
      <c r="O1693" s="1" t="str">
        <f ca="1">IFERROR(__xludf.DUMMYFUNCTION("""COMPUTED_VALUE"""),"Manager who sets goal and helps me achieve it")</f>
        <v>Manager who sets goal and helps me achieve it</v>
      </c>
      <c r="P1693" s="1" t="str">
        <f ca="1">IFERROR(__xludf.DUMMYFUNCTION("""COMPUTED_VALUE"""),"Work alone, Work with more than 10 people in my team")</f>
        <v>Work alone, Work with more than 10 people in my team</v>
      </c>
      <c r="Q1693" s="1" t="str">
        <f ca="1">IFERROR(__xludf.DUMMYFUNCTION("""COMPUTED_VALUE"""),"No")</f>
        <v>No</v>
      </c>
      <c r="R1693" s="1" t="str">
        <f ca="1">IFERROR(__xludf.DUMMYFUNCTION("""COMPUTED_VALUE"""),"No way")</f>
        <v>No way</v>
      </c>
      <c r="S1693" s="1"/>
    </row>
    <row r="1694" spans="1:19" ht="12.5" x14ac:dyDescent="0.25">
      <c r="A1694" s="2">
        <f ca="1">IFERROR(__xludf.DUMMYFUNCTION("""COMPUTED_VALUE"""),45047.3627345601)</f>
        <v>45047.362734560098</v>
      </c>
      <c r="B1694" s="1" t="str">
        <f ca="1">IFERROR(__xludf.DUMMYFUNCTION("""COMPUTED_VALUE"""),"India")</f>
        <v>India</v>
      </c>
      <c r="C1694" s="1">
        <f ca="1">IFERROR(__xludf.DUMMYFUNCTION("""COMPUTED_VALUE"""),530068)</f>
        <v>530068</v>
      </c>
      <c r="D1694" s="1" t="str">
        <f ca="1">IFERROR(__xludf.DUMMYFUNCTION("""COMPUTED_VALUE"""),"Male")</f>
        <v>Male</v>
      </c>
      <c r="E1694" s="1" t="str">
        <f ca="1">IFERROR(__xludf.DUMMYFUNCTION("""COMPUTED_VALUE"""),"People who have changed the world for better")</f>
        <v>People who have changed the world for better</v>
      </c>
      <c r="F1694" s="1" t="str">
        <f ca="1">IFERROR(__xludf.DUMMYFUNCTION("""COMPUTED_VALUE"""),"No I would not be pursuing Higher Education outside of India")</f>
        <v>No I would not be pursuing Higher Education outside of India</v>
      </c>
      <c r="G1694" s="1" t="str">
        <f ca="1">IFERROR(__xludf.DUMMYFUNCTION("""COMPUTED_VALUE"""),"This will be hard to do, but if it is the right company I would try")</f>
        <v>This will be hard to do, but if it is the right company I would try</v>
      </c>
      <c r="H1694" s="1" t="str">
        <f ca="1">IFERROR(__xludf.DUMMYFUNCTION("""COMPUTED_VALUE"""),"Yes")</f>
        <v>Yes</v>
      </c>
      <c r="I1694" s="1" t="str">
        <f ca="1">IFERROR(__xludf.DUMMYFUNCTION("""COMPUTED_VALUE"""),"Will NOT work for them")</f>
        <v>Will NOT work for them</v>
      </c>
      <c r="J1694" s="1">
        <f ca="1">IFERROR(__xludf.DUMMYFUNCTION("""COMPUTED_VALUE"""),5)</f>
        <v>5</v>
      </c>
      <c r="K1694" s="1" t="str">
        <f ca="1">IFERROR(__xludf.DUMMYFUNCTION("""COMPUTED_VALUE"""),"Fully Remote with Options to travel as and when needed")</f>
        <v>Fully Remote with Options to travel as and when needed</v>
      </c>
      <c r="L1694" s="1" t="str">
        <f ca="1">IFERROR(__xludf.DUMMYFUNCTION("""COMPUTED_VALUE"""),"Employer who appreciates learning and enables that environment")</f>
        <v>Employer who appreciates learning and enables that environment</v>
      </c>
      <c r="M169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694" s="1" t="str">
        <f ca="1">IFERROR(__xludf.DUMMYFUNCTION("""COMPUTED_VALUE"""),"Design and Develop amazing software, Look deeply into Data and generate insights, Entrepreneur or Start Up, An Artificial Intelligence Specialist / Talking to Robots")</f>
        <v>Design and Develop amazing software, Look deeply into Data and generate insights, Entrepreneur or Start Up, An Artificial Intelligence Specialist / Talking to Robots</v>
      </c>
      <c r="O1694" s="1" t="str">
        <f ca="1">IFERROR(__xludf.DUMMYFUNCTION("""COMPUTED_VALUE"""),"Manager who sets goal and helps me achieve it")</f>
        <v>Manager who sets goal and helps me achieve it</v>
      </c>
      <c r="P1694" s="1" t="str">
        <f ca="1">IFERROR(__xludf.DUMMYFUNCTION("""COMPUTED_VALUE"""),"Work with 2 to 3 people in my team, Work with 5 to 6 people in my team")</f>
        <v>Work with 2 to 3 people in my team, Work with 5 to 6 people in my team</v>
      </c>
      <c r="Q1694" s="1" t="str">
        <f ca="1">IFERROR(__xludf.DUMMYFUNCTION("""COMPUTED_VALUE"""),"No")</f>
        <v>No</v>
      </c>
      <c r="R1694" s="1" t="str">
        <f ca="1">IFERROR(__xludf.DUMMYFUNCTION("""COMPUTED_VALUE"""),"No way")</f>
        <v>No way</v>
      </c>
      <c r="S1694" s="1"/>
    </row>
    <row r="1695" spans="1:19" ht="12.5" x14ac:dyDescent="0.25">
      <c r="A1695" s="2">
        <f ca="1">IFERROR(__xludf.DUMMYFUNCTION("""COMPUTED_VALUE"""),45047.3815643055)</f>
        <v>45047.381564305499</v>
      </c>
      <c r="B1695" s="1" t="str">
        <f ca="1">IFERROR(__xludf.DUMMYFUNCTION("""COMPUTED_VALUE"""),"India")</f>
        <v>India</v>
      </c>
      <c r="C1695" s="1">
        <f ca="1">IFERROR(__xludf.DUMMYFUNCTION("""COMPUTED_VALUE"""),456010)</f>
        <v>456010</v>
      </c>
      <c r="D1695" s="1" t="str">
        <f ca="1">IFERROR(__xludf.DUMMYFUNCTION("""COMPUTED_VALUE"""),"Male")</f>
        <v>Male</v>
      </c>
      <c r="E1695" s="1" t="str">
        <f ca="1">IFERROR(__xludf.DUMMYFUNCTION("""COMPUTED_VALUE"""),"People who have changed the world for better")</f>
        <v>People who have changed the world for better</v>
      </c>
      <c r="F1695" s="1" t="str">
        <f ca="1">IFERROR(__xludf.DUMMYFUNCTION("""COMPUTED_VALUE"""),"Yes, I will earn and do that")</f>
        <v>Yes, I will earn and do that</v>
      </c>
      <c r="G1695" s="1" t="str">
        <f ca="1">IFERROR(__xludf.DUMMYFUNCTION("""COMPUTED_VALUE"""),"Will work for 3 years or more")</f>
        <v>Will work for 3 years or more</v>
      </c>
      <c r="H1695" s="1" t="str">
        <f ca="1">IFERROR(__xludf.DUMMYFUNCTION("""COMPUTED_VALUE"""),"Yes")</f>
        <v>Yes</v>
      </c>
      <c r="I1695" s="1" t="str">
        <f ca="1">IFERROR(__xludf.DUMMYFUNCTION("""COMPUTED_VALUE"""),"Will work for them")</f>
        <v>Will work for them</v>
      </c>
      <c r="J1695" s="1">
        <f ca="1">IFERROR(__xludf.DUMMYFUNCTION("""COMPUTED_VALUE"""),6)</f>
        <v>6</v>
      </c>
      <c r="K1695" s="1" t="str">
        <f ca="1">IFERROR(__xludf.DUMMYFUNCTION("""COMPUTED_VALUE"""),"Every Day Office Environment")</f>
        <v>Every Day Office Environment</v>
      </c>
      <c r="L16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9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95" s="1" t="str">
        <f ca="1">IFERROR(__xludf.DUMMYFUNCTION("""COMPUTED_VALUE"""),"Build and develop a Team, Work as a freelancer and do my thing my way, Entrepreneur or Start Up, An Artificial Intelligence Specialist / Talking to Robots")</f>
        <v>Build and develop a Team, Work as a freelancer and do my thing my way, Entrepreneur or Start Up, An Artificial Intelligence Specialist / Talking to Robots</v>
      </c>
      <c r="O1695" s="1" t="str">
        <f ca="1">IFERROR(__xludf.DUMMYFUNCTION("""COMPUTED_VALUE"""),"Manager who sets targets and expects me to achieve it")</f>
        <v>Manager who sets targets and expects me to achieve it</v>
      </c>
      <c r="P1695" s="1" t="str">
        <f ca="1">IFERROR(__xludf.DUMMYFUNCTION("""COMPUTED_VALUE"""),"Work with more than 10 people in my team")</f>
        <v>Work with more than 10 people in my team</v>
      </c>
      <c r="Q1695" s="1" t="str">
        <f ca="1">IFERROR(__xludf.DUMMYFUNCTION("""COMPUTED_VALUE"""),"Yes")</f>
        <v>Yes</v>
      </c>
      <c r="R1695" s="1" t="str">
        <f ca="1">IFERROR(__xludf.DUMMYFUNCTION("""COMPUTED_VALUE"""),"This will be hard to do, but if it is the right company I would try")</f>
        <v>This will be hard to do, but if it is the right company I would try</v>
      </c>
      <c r="S1695" s="1"/>
    </row>
    <row r="1696" spans="1:19" ht="12.5" x14ac:dyDescent="0.25">
      <c r="A1696" s="2">
        <f ca="1">IFERROR(__xludf.DUMMYFUNCTION("""COMPUTED_VALUE"""),45047.4022306133)</f>
        <v>45047.402230613399</v>
      </c>
      <c r="B1696" s="1" t="str">
        <f ca="1">IFERROR(__xludf.DUMMYFUNCTION("""COMPUTED_VALUE"""),"India")</f>
        <v>India</v>
      </c>
      <c r="C1696" s="1">
        <f ca="1">IFERROR(__xludf.DUMMYFUNCTION("""COMPUTED_VALUE"""),560045)</f>
        <v>560045</v>
      </c>
      <c r="D1696" s="1" t="str">
        <f ca="1">IFERROR(__xludf.DUMMYFUNCTION("""COMPUTED_VALUE"""),"Female")</f>
        <v>Female</v>
      </c>
      <c r="E1696" s="1" t="str">
        <f ca="1">IFERROR(__xludf.DUMMYFUNCTION("""COMPUTED_VALUE"""),"People from my circle, but not family members")</f>
        <v>People from my circle, but not family members</v>
      </c>
      <c r="F1696" s="1" t="str">
        <f ca="1">IFERROR(__xludf.DUMMYFUNCTION("""COMPUTED_VALUE"""),"Yes, I will earn and do that")</f>
        <v>Yes, I will earn and do that</v>
      </c>
      <c r="G1696" s="1" t="str">
        <f ca="1">IFERROR(__xludf.DUMMYFUNCTION("""COMPUTED_VALUE"""),"This will be hard to do, but if it is the right company I would try")</f>
        <v>This will be hard to do, but if it is the right company I would try</v>
      </c>
      <c r="H1696" s="1" t="str">
        <f ca="1">IFERROR(__xludf.DUMMYFUNCTION("""COMPUTED_VALUE"""),"No")</f>
        <v>No</v>
      </c>
      <c r="I1696" s="1" t="str">
        <f ca="1">IFERROR(__xludf.DUMMYFUNCTION("""COMPUTED_VALUE"""),"Will work for them")</f>
        <v>Will work for them</v>
      </c>
      <c r="J1696" s="1">
        <f ca="1">IFERROR(__xludf.DUMMYFUNCTION("""COMPUTED_VALUE"""),6)</f>
        <v>6</v>
      </c>
      <c r="K1696" s="1" t="str">
        <f ca="1">IFERROR(__xludf.DUMMYFUNCTION("""COMPUTED_VALUE"""),"Hybrid Working Environment with more than 15 days a month at office")</f>
        <v>Hybrid Working Environment with more than 15 days a month at office</v>
      </c>
      <c r="L16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9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696" s="1" t="str">
        <f ca="1">IFERROR(__xludf.DUMMYFUNCTION("""COMPUTED_VALUE"""),"Teaching in any of the institutes/colleges/online or offline, Manage and drive End-to-End Projects or Products, Look deeply into Data and generate insights, Become a content Creator in some platform")</f>
        <v>Teaching in any of the institutes/colleges/online or offline, Manage and drive End-to-End Projects or Products, Look deeply into Data and generate insights, Become a content Creator in some platform</v>
      </c>
      <c r="O1696" s="1" t="str">
        <f ca="1">IFERROR(__xludf.DUMMYFUNCTION("""COMPUTED_VALUE"""),"Manager who explains what is expected, sets a goal and helps achieve it")</f>
        <v>Manager who explains what is expected, sets a goal and helps achieve it</v>
      </c>
      <c r="P1696" s="1" t="str">
        <f ca="1">IFERROR(__xludf.DUMMYFUNCTION("""COMPUTED_VALUE"""),"Work with 5 to 6 people in my team")</f>
        <v>Work with 5 to 6 people in my team</v>
      </c>
      <c r="Q1696" s="1" t="str">
        <f ca="1">IFERROR(__xludf.DUMMYFUNCTION("""COMPUTED_VALUE"""),"Yes, I Understand this is gonna happen everywhere")</f>
        <v>Yes, I Understand this is gonna happen everywhere</v>
      </c>
      <c r="R1696" s="1" t="str">
        <f ca="1">IFERROR(__xludf.DUMMYFUNCTION("""COMPUTED_VALUE"""),"No way")</f>
        <v>No way</v>
      </c>
      <c r="S1696" s="1"/>
    </row>
    <row r="1697" spans="1:19" ht="12.5" x14ac:dyDescent="0.25">
      <c r="A1697" s="2">
        <f ca="1">IFERROR(__xludf.DUMMYFUNCTION("""COMPUTED_VALUE"""),45047.4425448263)</f>
        <v>45047.442544826299</v>
      </c>
      <c r="B1697" s="1" t="str">
        <f ca="1">IFERROR(__xludf.DUMMYFUNCTION("""COMPUTED_VALUE"""),"India")</f>
        <v>India</v>
      </c>
      <c r="C1697" s="1">
        <f ca="1">IFERROR(__xludf.DUMMYFUNCTION("""COMPUTED_VALUE"""),605007)</f>
        <v>605007</v>
      </c>
      <c r="D1697" s="1" t="str">
        <f ca="1">IFERROR(__xludf.DUMMYFUNCTION("""COMPUTED_VALUE"""),"Female")</f>
        <v>Female</v>
      </c>
      <c r="E1697" s="1" t="str">
        <f ca="1">IFERROR(__xludf.DUMMYFUNCTION("""COMPUTED_VALUE"""),"People from my circle, but not family members")</f>
        <v>People from my circle, but not family members</v>
      </c>
      <c r="F1697" s="1" t="str">
        <f ca="1">IFERROR(__xludf.DUMMYFUNCTION("""COMPUTED_VALUE"""),"No, But if someone could bare the cost I will")</f>
        <v>No, But if someone could bare the cost I will</v>
      </c>
      <c r="G1697" s="1" t="str">
        <f ca="1">IFERROR(__xludf.DUMMYFUNCTION("""COMPUTED_VALUE"""),"This will be hard to do, but if it is the right company I would try")</f>
        <v>This will be hard to do, but if it is the right company I would try</v>
      </c>
      <c r="H1697" s="1" t="str">
        <f ca="1">IFERROR(__xludf.DUMMYFUNCTION("""COMPUTED_VALUE"""),"No")</f>
        <v>No</v>
      </c>
      <c r="I1697" s="1" t="str">
        <f ca="1">IFERROR(__xludf.DUMMYFUNCTION("""COMPUTED_VALUE"""),"Will NOT work for them")</f>
        <v>Will NOT work for them</v>
      </c>
      <c r="J1697" s="1">
        <f ca="1">IFERROR(__xludf.DUMMYFUNCTION("""COMPUTED_VALUE"""),5)</f>
        <v>5</v>
      </c>
      <c r="K1697" s="1" t="str">
        <f ca="1">IFERROR(__xludf.DUMMYFUNCTION("""COMPUTED_VALUE"""),"Hybrid Working Environment with less than 3 days a month at office")</f>
        <v>Hybrid Working Environment with less than 3 days a month at office</v>
      </c>
      <c r="L1697" s="1" t="str">
        <f ca="1">IFERROR(__xludf.DUMMYFUNCTION("""COMPUTED_VALUE"""),"Employer who rewards learning and enables that environment")</f>
        <v>Employer who rewards learning and enables that environment</v>
      </c>
      <c r="M169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697" s="1" t="str">
        <f ca="1">IFERROR(__xludf.DUMMYFUNCTION("""COMPUTED_VALUE"""),"Teaching in any of the institutes/colleges/online or offline, Business Operations in any organization, Build and develop a Team, Work as a freelancer and do my thing my way")</f>
        <v>Teaching in any of the institutes/colleges/online or offline, Business Operations in any organization, Build and develop a Team, Work as a freelancer and do my thing my way</v>
      </c>
      <c r="O1697" s="1" t="str">
        <f ca="1">IFERROR(__xludf.DUMMYFUNCTION("""COMPUTED_VALUE"""),"Manager who explains what is expected, sets a goal and helps achieve it")</f>
        <v>Manager who explains what is expected, sets a goal and helps achieve it</v>
      </c>
      <c r="P1697" s="1" t="str">
        <f ca="1">IFERROR(__xludf.DUMMYFUNCTION("""COMPUTED_VALUE"""),"Work with 5 to 6 people in my team")</f>
        <v>Work with 5 to 6 people in my team</v>
      </c>
      <c r="Q1697" s="1" t="str">
        <f ca="1">IFERROR(__xludf.DUMMYFUNCTION("""COMPUTED_VALUE"""),"Yes, I Understand this is gonna happen everywhere")</f>
        <v>Yes, I Understand this is gonna happen everywhere</v>
      </c>
      <c r="R1697" s="1" t="str">
        <f ca="1">IFERROR(__xludf.DUMMYFUNCTION("""COMPUTED_VALUE"""),"This will be hard to do, but if it is the right company I would try")</f>
        <v>This will be hard to do, but if it is the right company I would try</v>
      </c>
      <c r="S1697" s="1"/>
    </row>
    <row r="1698" spans="1:19" ht="12.5" x14ac:dyDescent="0.25">
      <c r="A1698" s="2">
        <f ca="1">IFERROR(__xludf.DUMMYFUNCTION("""COMPUTED_VALUE"""),45047.4549181597)</f>
        <v>45047.454918159703</v>
      </c>
      <c r="B1698" s="1" t="str">
        <f ca="1">IFERROR(__xludf.DUMMYFUNCTION("""COMPUTED_VALUE"""),"India")</f>
        <v>India</v>
      </c>
      <c r="C1698" s="1">
        <f ca="1">IFERROR(__xludf.DUMMYFUNCTION("""COMPUTED_VALUE"""),201002)</f>
        <v>201002</v>
      </c>
      <c r="D1698" s="1" t="str">
        <f ca="1">IFERROR(__xludf.DUMMYFUNCTION("""COMPUTED_VALUE"""),"Female")</f>
        <v>Female</v>
      </c>
      <c r="E1698" s="1" t="str">
        <f ca="1">IFERROR(__xludf.DUMMYFUNCTION("""COMPUTED_VALUE"""),"People from my circle, but not family members")</f>
        <v>People from my circle, but not family members</v>
      </c>
      <c r="F1698" s="1" t="str">
        <f ca="1">IFERROR(__xludf.DUMMYFUNCTION("""COMPUTED_VALUE"""),"No, But if someone could bare the cost I will")</f>
        <v>No, But if someone could bare the cost I will</v>
      </c>
      <c r="G1698" s="1" t="str">
        <f ca="1">IFERROR(__xludf.DUMMYFUNCTION("""COMPUTED_VALUE"""),"This will be hard to do, but if it is the right company I would try")</f>
        <v>This will be hard to do, but if it is the right company I would try</v>
      </c>
      <c r="H1698" s="1" t="str">
        <f ca="1">IFERROR(__xludf.DUMMYFUNCTION("""COMPUTED_VALUE"""),"No")</f>
        <v>No</v>
      </c>
      <c r="I1698" s="1" t="str">
        <f ca="1">IFERROR(__xludf.DUMMYFUNCTION("""COMPUTED_VALUE"""),"Will NOT work for them")</f>
        <v>Will NOT work for them</v>
      </c>
      <c r="J1698" s="1">
        <f ca="1">IFERROR(__xludf.DUMMYFUNCTION("""COMPUTED_VALUE"""),6)</f>
        <v>6</v>
      </c>
      <c r="K1698" s="1" t="str">
        <f ca="1">IFERROR(__xludf.DUMMYFUNCTION("""COMPUTED_VALUE"""),"Hybrid Working Environment with more than 15 days a month at office")</f>
        <v>Hybrid Working Environment with more than 15 days a month at office</v>
      </c>
      <c r="L16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69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69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6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698" s="1" t="str">
        <f ca="1">IFERROR(__xludf.DUMMYFUNCTION("""COMPUTED_VALUE"""),"Work with 5 to 6 people in my team")</f>
        <v>Work with 5 to 6 people in my team</v>
      </c>
      <c r="Q1698" s="1" t="str">
        <f ca="1">IFERROR(__xludf.DUMMYFUNCTION("""COMPUTED_VALUE"""),"Yes, I Understand this is gonna happen everywhere")</f>
        <v>Yes, I Understand this is gonna happen everywhere</v>
      </c>
      <c r="R1698" s="1" t="str">
        <f ca="1">IFERROR(__xludf.DUMMYFUNCTION("""COMPUTED_VALUE"""),"No way")</f>
        <v>No way</v>
      </c>
      <c r="S1698" s="1"/>
    </row>
    <row r="1699" spans="1:19" ht="12.5" x14ac:dyDescent="0.25">
      <c r="A1699" s="2">
        <f ca="1">IFERROR(__xludf.DUMMYFUNCTION("""COMPUTED_VALUE"""),45047.4897973726)</f>
        <v>45047.489797372597</v>
      </c>
      <c r="B1699" s="1" t="str">
        <f ca="1">IFERROR(__xludf.DUMMYFUNCTION("""COMPUTED_VALUE"""),"India")</f>
        <v>India</v>
      </c>
      <c r="C1699" s="1">
        <f ca="1">IFERROR(__xludf.DUMMYFUNCTION("""COMPUTED_VALUE"""),530002)</f>
        <v>530002</v>
      </c>
      <c r="D1699" s="1" t="str">
        <f ca="1">IFERROR(__xludf.DUMMYFUNCTION("""COMPUTED_VALUE"""),"Male")</f>
        <v>Male</v>
      </c>
      <c r="E1699" s="1" t="str">
        <f ca="1">IFERROR(__xludf.DUMMYFUNCTION("""COMPUTED_VALUE"""),"People from my circle, but not family members")</f>
        <v>People from my circle, but not family members</v>
      </c>
      <c r="F1699" s="1" t="str">
        <f ca="1">IFERROR(__xludf.DUMMYFUNCTION("""COMPUTED_VALUE"""),"No, But if someone could bare the cost I will")</f>
        <v>No, But if someone could bare the cost I will</v>
      </c>
      <c r="G1699" s="1" t="str">
        <f ca="1">IFERROR(__xludf.DUMMYFUNCTION("""COMPUTED_VALUE"""),"Will work for 3 years or more")</f>
        <v>Will work for 3 years or more</v>
      </c>
      <c r="H1699" s="1" t="str">
        <f ca="1">IFERROR(__xludf.DUMMYFUNCTION("""COMPUTED_VALUE"""),"No")</f>
        <v>No</v>
      </c>
      <c r="I1699" s="1" t="str">
        <f ca="1">IFERROR(__xludf.DUMMYFUNCTION("""COMPUTED_VALUE"""),"Will NOT work for them")</f>
        <v>Will NOT work for them</v>
      </c>
      <c r="J1699" s="1">
        <f ca="1">IFERROR(__xludf.DUMMYFUNCTION("""COMPUTED_VALUE"""),2)</f>
        <v>2</v>
      </c>
      <c r="K1699" s="1" t="str">
        <f ca="1">IFERROR(__xludf.DUMMYFUNCTION("""COMPUTED_VALUE"""),"Fully Remote with Options to travel as and when needed")</f>
        <v>Fully Remote with Options to travel as and when needed</v>
      </c>
      <c r="L1699" s="1" t="str">
        <f ca="1">IFERROR(__xludf.DUMMYFUNCTION("""COMPUTED_VALUE"""),"Employer who rewards learning and enables that environment")</f>
        <v>Employer who rewards learning and enables that environment</v>
      </c>
      <c r="M169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699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1699" s="1" t="str">
        <f ca="1">IFERROR(__xludf.DUMMYFUNCTION("""COMPUTED_VALUE"""),"Manager who sets goal and helps me achieve it")</f>
        <v>Manager who sets goal and helps me achieve it</v>
      </c>
      <c r="P1699" s="1" t="str">
        <f ca="1">IFERROR(__xludf.DUMMYFUNCTION("""COMPUTED_VALUE"""),"Work with 5 to 6 people in my team")</f>
        <v>Work with 5 to 6 people in my team</v>
      </c>
      <c r="Q1699" s="1" t="str">
        <f ca="1">IFERROR(__xludf.DUMMYFUNCTION("""COMPUTED_VALUE"""),"Yes, I Understand this is gonna happen everywhere")</f>
        <v>Yes, I Understand this is gonna happen everywhere</v>
      </c>
      <c r="R1699" s="1" t="str">
        <f ca="1">IFERROR(__xludf.DUMMYFUNCTION("""COMPUTED_VALUE"""),"Will work for 7 years or more")</f>
        <v>Will work for 7 years or more</v>
      </c>
      <c r="S1699" s="1"/>
    </row>
    <row r="1700" spans="1:19" ht="12.5" x14ac:dyDescent="0.25">
      <c r="A1700" s="2">
        <f ca="1">IFERROR(__xludf.DUMMYFUNCTION("""COMPUTED_VALUE"""),45047.5106112963)</f>
        <v>45047.510611296297</v>
      </c>
      <c r="B1700" s="1" t="str">
        <f ca="1">IFERROR(__xludf.DUMMYFUNCTION("""COMPUTED_VALUE"""),"India")</f>
        <v>India</v>
      </c>
      <c r="C1700" s="1">
        <f ca="1">IFERROR(__xludf.DUMMYFUNCTION("""COMPUTED_VALUE"""),388001)</f>
        <v>388001</v>
      </c>
      <c r="D1700" s="1" t="str">
        <f ca="1">IFERROR(__xludf.DUMMYFUNCTION("""COMPUTED_VALUE"""),"Female")</f>
        <v>Female</v>
      </c>
      <c r="E1700" s="1" t="str">
        <f ca="1">IFERROR(__xludf.DUMMYFUNCTION("""COMPUTED_VALUE"""),"People from my circle, but not family members")</f>
        <v>People from my circle, but not family members</v>
      </c>
      <c r="F1700" s="1" t="str">
        <f ca="1">IFERROR(__xludf.DUMMYFUNCTION("""COMPUTED_VALUE"""),"No I would not be pursuing Higher Education outside of India")</f>
        <v>No I would not be pursuing Higher Education outside of India</v>
      </c>
      <c r="G1700" s="1" t="str">
        <f ca="1">IFERROR(__xludf.DUMMYFUNCTION("""COMPUTED_VALUE"""),"This will be hard to do, but if it is the right company I would try")</f>
        <v>This will be hard to do, but if it is the right company I would try</v>
      </c>
      <c r="H1700" s="1" t="str">
        <f ca="1">IFERROR(__xludf.DUMMYFUNCTION("""COMPUTED_VALUE"""),"No")</f>
        <v>No</v>
      </c>
      <c r="I1700" s="1" t="str">
        <f ca="1">IFERROR(__xludf.DUMMYFUNCTION("""COMPUTED_VALUE"""),"Will NOT work for them")</f>
        <v>Will NOT work for them</v>
      </c>
      <c r="J1700" s="1">
        <f ca="1">IFERROR(__xludf.DUMMYFUNCTION("""COMPUTED_VALUE"""),6)</f>
        <v>6</v>
      </c>
      <c r="K1700" s="1" t="str">
        <f ca="1">IFERROR(__xludf.DUMMYFUNCTION("""COMPUTED_VALUE"""),"Fully Remote with No option to visit offices")</f>
        <v>Fully Remote with No option to visit offices</v>
      </c>
      <c r="L17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0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700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700" s="1" t="str">
        <f ca="1">IFERROR(__xludf.DUMMYFUNCTION("""COMPUTED_VALUE"""),"Manager who explains what is expected, sets a goal and helps achieve it")</f>
        <v>Manager who explains what is expected, sets a goal and helps achieve it</v>
      </c>
      <c r="P1700" s="1" t="str">
        <f ca="1">IFERROR(__xludf.DUMMYFUNCTION("""COMPUTED_VALUE"""),"Work with 5 to 6 people in my team")</f>
        <v>Work with 5 to 6 people in my team</v>
      </c>
      <c r="Q1700" s="1" t="str">
        <f ca="1">IFERROR(__xludf.DUMMYFUNCTION("""COMPUTED_VALUE"""),"Yes, I Understand this is gonna happen everywhere")</f>
        <v>Yes, I Understand this is gonna happen everywhere</v>
      </c>
      <c r="R1700" s="1" t="str">
        <f ca="1">IFERROR(__xludf.DUMMYFUNCTION("""COMPUTED_VALUE"""),"No way")</f>
        <v>No way</v>
      </c>
      <c r="S1700" s="1"/>
    </row>
    <row r="1701" spans="1:19" ht="12.5" x14ac:dyDescent="0.25">
      <c r="A1701" s="2">
        <f ca="1">IFERROR(__xludf.DUMMYFUNCTION("""COMPUTED_VALUE"""),45047.5191983217)</f>
        <v>45047.519198321701</v>
      </c>
      <c r="B1701" s="1" t="str">
        <f ca="1">IFERROR(__xludf.DUMMYFUNCTION("""COMPUTED_VALUE"""),"India")</f>
        <v>India</v>
      </c>
      <c r="C1701" s="1">
        <f ca="1">IFERROR(__xludf.DUMMYFUNCTION("""COMPUTED_VALUE"""),679103)</f>
        <v>679103</v>
      </c>
      <c r="D1701" s="1" t="str">
        <f ca="1">IFERROR(__xludf.DUMMYFUNCTION("""COMPUTED_VALUE"""),"Male")</f>
        <v>Male</v>
      </c>
      <c r="E1701" s="1" t="str">
        <f ca="1">IFERROR(__xludf.DUMMYFUNCTION("""COMPUTED_VALUE"""),"My Parents")</f>
        <v>My Parents</v>
      </c>
      <c r="F1701" s="1" t="str">
        <f ca="1">IFERROR(__xludf.DUMMYFUNCTION("""COMPUTED_VALUE"""),"No I would not be pursuing Higher Education outside of India")</f>
        <v>No I would not be pursuing Higher Education outside of India</v>
      </c>
      <c r="G1701" s="1" t="str">
        <f ca="1">IFERROR(__xludf.DUMMYFUNCTION("""COMPUTED_VALUE"""),"No way")</f>
        <v>No way</v>
      </c>
      <c r="H1701" s="1" t="str">
        <f ca="1">IFERROR(__xludf.DUMMYFUNCTION("""COMPUTED_VALUE"""),"No")</f>
        <v>No</v>
      </c>
      <c r="I1701" s="1" t="str">
        <f ca="1">IFERROR(__xludf.DUMMYFUNCTION("""COMPUTED_VALUE"""),"Will NOT work for them")</f>
        <v>Will NOT work for them</v>
      </c>
      <c r="J1701" s="1">
        <f ca="1">IFERROR(__xludf.DUMMYFUNCTION("""COMPUTED_VALUE"""),6)</f>
        <v>6</v>
      </c>
      <c r="K1701" s="1" t="str">
        <f ca="1">IFERROR(__xludf.DUMMYFUNCTION("""COMPUTED_VALUE"""),"Fully Remote with Options to travel as and when needed")</f>
        <v>Fully Remote with Options to travel as and when needed</v>
      </c>
      <c r="L1701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701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1701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1701" s="1" t="str">
        <f ca="1">IFERROR(__xludf.DUMMYFUNCTION("""COMPUTED_VALUE"""),"Manager who sets unrealistic targets")</f>
        <v>Manager who sets unrealistic targets</v>
      </c>
      <c r="P1701" s="1" t="str">
        <f ca="1">IFERROR(__xludf.DUMMYFUNCTION("""COMPUTED_VALUE"""),"Work with more than 10 people in my team")</f>
        <v>Work with more than 10 people in my team</v>
      </c>
      <c r="Q1701" s="1" t="str">
        <f ca="1">IFERROR(__xludf.DUMMYFUNCTION("""COMPUTED_VALUE"""),"Yes, I Understand this is gonna happen everywhere")</f>
        <v>Yes, I Understand this is gonna happen everywhere</v>
      </c>
      <c r="R1701" s="1" t="str">
        <f ca="1">IFERROR(__xludf.DUMMYFUNCTION("""COMPUTED_VALUE"""),"No way")</f>
        <v>No way</v>
      </c>
      <c r="S1701" s="1"/>
    </row>
    <row r="1702" spans="1:19" ht="12.5" x14ac:dyDescent="0.25">
      <c r="A1702" s="2">
        <f ca="1">IFERROR(__xludf.DUMMYFUNCTION("""COMPUTED_VALUE"""),45047.5199075578)</f>
        <v>45047.519907557798</v>
      </c>
      <c r="B1702" s="1" t="str">
        <f ca="1">IFERROR(__xludf.DUMMYFUNCTION("""COMPUTED_VALUE"""),"India")</f>
        <v>India</v>
      </c>
      <c r="C1702" s="1">
        <f ca="1">IFERROR(__xludf.DUMMYFUNCTION("""COMPUTED_VALUE"""),678008)</f>
        <v>678008</v>
      </c>
      <c r="D1702" s="1" t="str">
        <f ca="1">IFERROR(__xludf.DUMMYFUNCTION("""COMPUTED_VALUE"""),"Male")</f>
        <v>Male</v>
      </c>
      <c r="E1702" s="1" t="str">
        <f ca="1">IFERROR(__xludf.DUMMYFUNCTION("""COMPUTED_VALUE"""),"Social Media like LinkedIn")</f>
        <v>Social Media like LinkedIn</v>
      </c>
      <c r="F1702" s="1" t="str">
        <f ca="1">IFERROR(__xludf.DUMMYFUNCTION("""COMPUTED_VALUE"""),"Yes, I will earn and do that")</f>
        <v>Yes, I will earn and do that</v>
      </c>
      <c r="G1702" s="1" t="str">
        <f ca="1">IFERROR(__xludf.DUMMYFUNCTION("""COMPUTED_VALUE"""),"Will work for 3 years or more")</f>
        <v>Will work for 3 years or more</v>
      </c>
      <c r="H1702" s="1" t="str">
        <f ca="1">IFERROR(__xludf.DUMMYFUNCTION("""COMPUTED_VALUE"""),"No")</f>
        <v>No</v>
      </c>
      <c r="I1702" s="1" t="str">
        <f ca="1">IFERROR(__xludf.DUMMYFUNCTION("""COMPUTED_VALUE"""),"Will NOT work for them")</f>
        <v>Will NOT work for them</v>
      </c>
      <c r="J1702" s="1">
        <f ca="1">IFERROR(__xludf.DUMMYFUNCTION("""COMPUTED_VALUE"""),9)</f>
        <v>9</v>
      </c>
      <c r="K1702" s="1" t="str">
        <f ca="1">IFERROR(__xludf.DUMMYFUNCTION("""COMPUTED_VALUE"""),"Hybrid Working Environment with less than 3 days a month at office")</f>
        <v>Hybrid Working Environment with less than 3 days a month at office</v>
      </c>
      <c r="L1702" s="1" t="str">
        <f ca="1">IFERROR(__xludf.DUMMYFUNCTION("""COMPUTED_VALUE"""),"Employer who appreciates learning and enables that environment")</f>
        <v>Employer who appreciates learning and enables that environment</v>
      </c>
      <c r="M1702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702" s="1" t="str">
        <f ca="1">IFERROR(__xludf.DUMMYFUNCTION("""COMPUTED_VALUE"""),"Manage and drive End-to-End Projects or Products, Build and develop a Team, Design and Develop amazing software, Work as a freelancer and do my thing my way")</f>
        <v>Manage and drive End-to-End Projects or Products, Build and develop a Team, Design and Develop amazing software, Work as a freelancer and do my thing my way</v>
      </c>
      <c r="O17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702" s="1" t="str">
        <f ca="1">IFERROR(__xludf.DUMMYFUNCTION("""COMPUTED_VALUE"""),"Work with 5 to 6 people in my team")</f>
        <v>Work with 5 to 6 people in my team</v>
      </c>
      <c r="Q1702" s="1" t="str">
        <f ca="1">IFERROR(__xludf.DUMMYFUNCTION("""COMPUTED_VALUE"""),"No")</f>
        <v>No</v>
      </c>
      <c r="R1702" s="1" t="str">
        <f ca="1">IFERROR(__xludf.DUMMYFUNCTION("""COMPUTED_VALUE"""),"Will work for 7 years or more")</f>
        <v>Will work for 7 years or more</v>
      </c>
      <c r="S1702" s="1"/>
    </row>
    <row r="1703" spans="1:19" ht="12.5" x14ac:dyDescent="0.25">
      <c r="A1703" s="2">
        <f ca="1">IFERROR(__xludf.DUMMYFUNCTION("""COMPUTED_VALUE"""),45047.52076603)</f>
        <v>45047.52076603</v>
      </c>
      <c r="B1703" s="1" t="str">
        <f ca="1">IFERROR(__xludf.DUMMYFUNCTION("""COMPUTED_VALUE"""),"India")</f>
        <v>India</v>
      </c>
      <c r="C1703" s="1">
        <f ca="1">IFERROR(__xludf.DUMMYFUNCTION("""COMPUTED_VALUE"""),560016)</f>
        <v>560016</v>
      </c>
      <c r="D1703" s="1" t="str">
        <f ca="1">IFERROR(__xludf.DUMMYFUNCTION("""COMPUTED_VALUE"""),"Female")</f>
        <v>Female</v>
      </c>
      <c r="E1703" s="1" t="str">
        <f ca="1">IFERROR(__xludf.DUMMYFUNCTION("""COMPUTED_VALUE"""),"Influencers who had successful careers")</f>
        <v>Influencers who had successful careers</v>
      </c>
      <c r="F1703" s="1" t="str">
        <f ca="1">IFERROR(__xludf.DUMMYFUNCTION("""COMPUTED_VALUE"""),"No I would not be pursuing Higher Education outside of India")</f>
        <v>No I would not be pursuing Higher Education outside of India</v>
      </c>
      <c r="G1703" s="1" t="str">
        <f ca="1">IFERROR(__xludf.DUMMYFUNCTION("""COMPUTED_VALUE"""),"Will work for 3 years or more")</f>
        <v>Will work for 3 years or more</v>
      </c>
      <c r="H1703" s="1" t="str">
        <f ca="1">IFERROR(__xludf.DUMMYFUNCTION("""COMPUTED_VALUE"""),"No")</f>
        <v>No</v>
      </c>
      <c r="I1703" s="1" t="str">
        <f ca="1">IFERROR(__xludf.DUMMYFUNCTION("""COMPUTED_VALUE"""),"Will NOT work for them")</f>
        <v>Will NOT work for them</v>
      </c>
      <c r="J1703" s="1">
        <f ca="1">IFERROR(__xludf.DUMMYFUNCTION("""COMPUTED_VALUE"""),5)</f>
        <v>5</v>
      </c>
      <c r="K1703" s="1" t="str">
        <f ca="1">IFERROR(__xludf.DUMMYFUNCTION("""COMPUTED_VALUE"""),"Fully Remote with Options to travel as and when needed")</f>
        <v>Fully Remote with Options to travel as and when needed</v>
      </c>
      <c r="L1703" s="1" t="str">
        <f ca="1">IFERROR(__xludf.DUMMYFUNCTION("""COMPUTED_VALUE"""),"Employer who appreciates learning and enables that environment")</f>
        <v>Employer who appreciates learning and enables that environment</v>
      </c>
      <c r="M1703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703" s="1" t="str">
        <f ca="1">IFERROR(__xludf.DUMMYFUNCTION("""COMPUTED_VALUE"""),"Business Operations in any organization, Manage and drive End-to-End Projects or Products, Design and Develop amazing software, Look deeply into Data and generate insights")</f>
        <v>Business Operations in any organization, Manage and drive End-to-End Projects or Products, Design and Develop amazing software, Look deeply into Data and generate insights</v>
      </c>
      <c r="O1703" s="1" t="str">
        <f ca="1">IFERROR(__xludf.DUMMYFUNCTION("""COMPUTED_VALUE"""),"Manager who explains what is expected, sets a goal and helps achieve it")</f>
        <v>Manager who explains what is expected, sets a goal and helps achieve it</v>
      </c>
      <c r="P1703" s="1" t="str">
        <f ca="1">IFERROR(__xludf.DUMMYFUNCTION("""COMPUTED_VALUE"""),"Work with 2 to 3 people in my team, Work with 5 to 6 people in my team")</f>
        <v>Work with 2 to 3 people in my team, Work with 5 to 6 people in my team</v>
      </c>
      <c r="Q1703" s="1" t="str">
        <f ca="1">IFERROR(__xludf.DUMMYFUNCTION("""COMPUTED_VALUE"""),"Yes, I Understand this is gonna happen everywhere")</f>
        <v>Yes, I Understand this is gonna happen everywhere</v>
      </c>
      <c r="R1703" s="1" t="str">
        <f ca="1">IFERROR(__xludf.DUMMYFUNCTION("""COMPUTED_VALUE"""),"This will be hard to do, but if it is the right company I would try")</f>
        <v>This will be hard to do, but if it is the right company I would try</v>
      </c>
      <c r="S1703" s="1"/>
    </row>
    <row r="1704" spans="1:19" ht="12.5" x14ac:dyDescent="0.25">
      <c r="A1704" s="2">
        <f ca="1">IFERROR(__xludf.DUMMYFUNCTION("""COMPUTED_VALUE"""),45047.5449521064)</f>
        <v>45047.5449521064</v>
      </c>
      <c r="B1704" s="1" t="str">
        <f ca="1">IFERROR(__xludf.DUMMYFUNCTION("""COMPUTED_VALUE"""),"India")</f>
        <v>India</v>
      </c>
      <c r="C1704" s="1">
        <f ca="1">IFERROR(__xludf.DUMMYFUNCTION("""COMPUTED_VALUE"""),572120)</f>
        <v>572120</v>
      </c>
      <c r="D1704" s="1" t="str">
        <f ca="1">IFERROR(__xludf.DUMMYFUNCTION("""COMPUTED_VALUE"""),"Male")</f>
        <v>Male</v>
      </c>
      <c r="E1704" s="1" t="str">
        <f ca="1">IFERROR(__xludf.DUMMYFUNCTION("""COMPUTED_VALUE"""),"Social Media like LinkedIn")</f>
        <v>Social Media like LinkedIn</v>
      </c>
      <c r="F1704" s="1" t="str">
        <f ca="1">IFERROR(__xludf.DUMMYFUNCTION("""COMPUTED_VALUE"""),"Yes, I will earn and do that")</f>
        <v>Yes, I will earn and do that</v>
      </c>
      <c r="G1704" s="1" t="str">
        <f ca="1">IFERROR(__xludf.DUMMYFUNCTION("""COMPUTED_VALUE"""),"This will be hard to do, but if it is the right company I would try")</f>
        <v>This will be hard to do, but if it is the right company I would try</v>
      </c>
      <c r="H1704" s="1" t="str">
        <f ca="1">IFERROR(__xludf.DUMMYFUNCTION("""COMPUTED_VALUE"""),"No")</f>
        <v>No</v>
      </c>
      <c r="I1704" s="1" t="str">
        <f ca="1">IFERROR(__xludf.DUMMYFUNCTION("""COMPUTED_VALUE"""),"Will NOT work for them")</f>
        <v>Will NOT work for them</v>
      </c>
      <c r="J1704" s="1">
        <f ca="1">IFERROR(__xludf.DUMMYFUNCTION("""COMPUTED_VALUE"""),8)</f>
        <v>8</v>
      </c>
      <c r="K1704" s="1" t="str">
        <f ca="1">IFERROR(__xludf.DUMMYFUNCTION("""COMPUTED_VALUE"""),"Hybrid Working Environment with more than 15 days a month at office")</f>
        <v>Hybrid Working Environment with more than 15 days a month at office</v>
      </c>
      <c r="L1704" s="1" t="str">
        <f ca="1">IFERROR(__xludf.DUMMYFUNCTION("""COMPUTED_VALUE"""),"Employer who rewards learning and enables that environment")</f>
        <v>Employer who rewards learning and enables that environment</v>
      </c>
      <c r="M170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04" s="1" t="str">
        <f ca="1">IFERROR(__xludf.DUMMYFUNCTION("""COMPUTED_VALUE"""),"Build and develop a Team, Look deeply into Data and generate insights, An Artificial Intelligence Specialist / Talking to Robots, Manufacturing / Oil and Gas/ Construction / Hard Physical Work related")</f>
        <v>Build and develop a Team, Look deeply into Data and generate insights, An Artificial Intelligence Specialist / Talking to Robots, Manufacturing / Oil and Gas/ Construction / Hard Physical Work related</v>
      </c>
      <c r="O1704" s="1" t="str">
        <f ca="1">IFERROR(__xludf.DUMMYFUNCTION("""COMPUTED_VALUE"""),"Manager who sets goal and helps me achieve it")</f>
        <v>Manager who sets goal and helps me achieve it</v>
      </c>
      <c r="P1704" s="1" t="str">
        <f ca="1">IFERROR(__xludf.DUMMYFUNCTION("""COMPUTED_VALUE"""),"Work with 2 to 3 people in my team")</f>
        <v>Work with 2 to 3 people in my team</v>
      </c>
      <c r="Q1704" s="1" t="str">
        <f ca="1">IFERROR(__xludf.DUMMYFUNCTION("""COMPUTED_VALUE"""),"No")</f>
        <v>No</v>
      </c>
      <c r="R1704" s="1" t="str">
        <f ca="1">IFERROR(__xludf.DUMMYFUNCTION("""COMPUTED_VALUE"""),"No way")</f>
        <v>No way</v>
      </c>
      <c r="S1704" s="1"/>
    </row>
    <row r="1705" spans="1:19" ht="12.5" x14ac:dyDescent="0.25">
      <c r="A1705" s="2">
        <f ca="1">IFERROR(__xludf.DUMMYFUNCTION("""COMPUTED_VALUE"""),45047.6028984953)</f>
        <v>45047.602898495301</v>
      </c>
      <c r="B1705" s="1" t="str">
        <f ca="1">IFERROR(__xludf.DUMMYFUNCTION("""COMPUTED_VALUE"""),"India")</f>
        <v>India</v>
      </c>
      <c r="C1705" s="1">
        <f ca="1">IFERROR(__xludf.DUMMYFUNCTION("""COMPUTED_VALUE"""),679101)</f>
        <v>679101</v>
      </c>
      <c r="D1705" s="1" t="str">
        <f ca="1">IFERROR(__xludf.DUMMYFUNCTION("""COMPUTED_VALUE"""),"Female")</f>
        <v>Female</v>
      </c>
      <c r="E1705" s="1" t="str">
        <f ca="1">IFERROR(__xludf.DUMMYFUNCTION("""COMPUTED_VALUE"""),"My Parents")</f>
        <v>My Parents</v>
      </c>
      <c r="F1705" s="1" t="str">
        <f ca="1">IFERROR(__xludf.DUMMYFUNCTION("""COMPUTED_VALUE"""),"Yes, I will earn and do that")</f>
        <v>Yes, I will earn and do that</v>
      </c>
      <c r="G1705" s="1" t="str">
        <f ca="1">IFERROR(__xludf.DUMMYFUNCTION("""COMPUTED_VALUE"""),"Will work for 3 years or more")</f>
        <v>Will work for 3 years or more</v>
      </c>
      <c r="H1705" s="1" t="str">
        <f ca="1">IFERROR(__xludf.DUMMYFUNCTION("""COMPUTED_VALUE"""),"Yes")</f>
        <v>Yes</v>
      </c>
      <c r="I1705" s="1" t="str">
        <f ca="1">IFERROR(__xludf.DUMMYFUNCTION("""COMPUTED_VALUE"""),"Will NOT work for them")</f>
        <v>Will NOT work for them</v>
      </c>
      <c r="J1705" s="1">
        <f ca="1">IFERROR(__xludf.DUMMYFUNCTION("""COMPUTED_VALUE"""),1)</f>
        <v>1</v>
      </c>
      <c r="K1705" s="1" t="str">
        <f ca="1">IFERROR(__xludf.DUMMYFUNCTION("""COMPUTED_VALUE"""),"Every Day Office Environment")</f>
        <v>Every Day Office Environment</v>
      </c>
      <c r="L1705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705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705" s="1" t="str">
        <f ca="1">IFERROR(__xludf.DUMMYFUNCTION("""COMPUTED_VALUE"""),"Design and Creative strategy in any company, Business Operations in any organization, Work as a freelancer and do my thing my way, Become a content Creator in some platform")</f>
        <v>Design and Creative strategy in any company, Business Operations in any organization, Work as a freelancer and do my thing my way, Become a content Creator in some platform</v>
      </c>
      <c r="O1705" s="1" t="str">
        <f ca="1">IFERROR(__xludf.DUMMYFUNCTION("""COMPUTED_VALUE"""),"Manager who sets goal and helps me achieve it")</f>
        <v>Manager who sets goal and helps me achieve it</v>
      </c>
      <c r="P1705" s="1" t="str">
        <f ca="1">IFERROR(__xludf.DUMMYFUNCTION("""COMPUTED_VALUE"""),"Work with 5 to 6 people in my team")</f>
        <v>Work with 5 to 6 people in my team</v>
      </c>
      <c r="Q1705" s="1" t="str">
        <f ca="1">IFERROR(__xludf.DUMMYFUNCTION("""COMPUTED_VALUE"""),"Yes, I Understand this is gonna happen everywhere")</f>
        <v>Yes, I Understand this is gonna happen everywhere</v>
      </c>
      <c r="R1705" s="1" t="str">
        <f ca="1">IFERROR(__xludf.DUMMYFUNCTION("""COMPUTED_VALUE"""),"This will be hard to do, but if it is the right company I would try")</f>
        <v>This will be hard to do, but if it is the right company I would try</v>
      </c>
      <c r="S1705" s="1"/>
    </row>
    <row r="1706" spans="1:19" ht="12.5" x14ac:dyDescent="0.25">
      <c r="A1706" s="2">
        <f ca="1">IFERROR(__xludf.DUMMYFUNCTION("""COMPUTED_VALUE"""),45047.6218276157)</f>
        <v>45047.621827615701</v>
      </c>
      <c r="B1706" s="1" t="str">
        <f ca="1">IFERROR(__xludf.DUMMYFUNCTION("""COMPUTED_VALUE"""),"India")</f>
        <v>India</v>
      </c>
      <c r="C1706" s="1">
        <f ca="1">IFERROR(__xludf.DUMMYFUNCTION("""COMPUTED_VALUE"""),827012)</f>
        <v>827012</v>
      </c>
      <c r="D1706" s="1" t="str">
        <f ca="1">IFERROR(__xludf.DUMMYFUNCTION("""COMPUTED_VALUE"""),"Male")</f>
        <v>Male</v>
      </c>
      <c r="E1706" s="1" t="str">
        <f ca="1">IFERROR(__xludf.DUMMYFUNCTION("""COMPUTED_VALUE"""),"Social Media like LinkedIn")</f>
        <v>Social Media like LinkedIn</v>
      </c>
      <c r="F1706" s="1" t="str">
        <f ca="1">IFERROR(__xludf.DUMMYFUNCTION("""COMPUTED_VALUE"""),"Yes, I will earn and do that")</f>
        <v>Yes, I will earn and do that</v>
      </c>
      <c r="G1706" s="1" t="str">
        <f ca="1">IFERROR(__xludf.DUMMYFUNCTION("""COMPUTED_VALUE"""),"This will be hard to do, but if it is the right company I would try")</f>
        <v>This will be hard to do, but if it is the right company I would try</v>
      </c>
      <c r="H1706" s="1" t="str">
        <f ca="1">IFERROR(__xludf.DUMMYFUNCTION("""COMPUTED_VALUE"""),"No")</f>
        <v>No</v>
      </c>
      <c r="I1706" s="1" t="str">
        <f ca="1">IFERROR(__xludf.DUMMYFUNCTION("""COMPUTED_VALUE"""),"Will work for them")</f>
        <v>Will work for them</v>
      </c>
      <c r="J1706" s="1">
        <f ca="1">IFERROR(__xludf.DUMMYFUNCTION("""COMPUTED_VALUE"""),6)</f>
        <v>6</v>
      </c>
      <c r="K1706" s="1" t="str">
        <f ca="1">IFERROR(__xludf.DUMMYFUNCTION("""COMPUTED_VALUE"""),"Hybrid Working Environment with less than 3 days a month at office")</f>
        <v>Hybrid Working Environment with less than 3 days a month at office</v>
      </c>
      <c r="L17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0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06" s="1" t="str">
        <f ca="1">IFERROR(__xludf.DUMMYFUNCTION("""COMPUTED_VALUE"""),"Teaching in any of the institutes/colleges/online or offline, Business Operations in any organization, Build and develop a Team, An Artificial Intelligence Specialist / Talking to Robots")</f>
        <v>Teaching in any of the institutes/colleges/online or offline, Business Operations in any organization, Build and develop a Team, An Artificial Intelligence Specialist / Talking to Robots</v>
      </c>
      <c r="O1706" s="1" t="str">
        <f ca="1">IFERROR(__xludf.DUMMYFUNCTION("""COMPUTED_VALUE"""),"Manager who explains what is expected, sets a goal and helps achieve it")</f>
        <v>Manager who explains what is expected, sets a goal and helps achieve it</v>
      </c>
      <c r="P1706" s="1" t="str">
        <f ca="1">IFERROR(__xludf.DUMMYFUNCTION("""COMPUTED_VALUE"""),"Work with 7 to 10 or more people in my team")</f>
        <v>Work with 7 to 10 or more people in my team</v>
      </c>
      <c r="Q1706" s="1" t="str">
        <f ca="1">IFERROR(__xludf.DUMMYFUNCTION("""COMPUTED_VALUE"""),"Yes, I Understand this is gonna happen everywhere")</f>
        <v>Yes, I Understand this is gonna happen everywhere</v>
      </c>
      <c r="R1706" s="1" t="str">
        <f ca="1">IFERROR(__xludf.DUMMYFUNCTION("""COMPUTED_VALUE"""),"This will be hard to do, but if it is the right company I would try")</f>
        <v>This will be hard to do, but if it is the right company I would try</v>
      </c>
      <c r="S1706" s="1"/>
    </row>
    <row r="1707" spans="1:19" ht="12.5" x14ac:dyDescent="0.25">
      <c r="A1707" s="2">
        <f ca="1">IFERROR(__xludf.DUMMYFUNCTION("""COMPUTED_VALUE"""),45047.6227852199)</f>
        <v>45047.622785219901</v>
      </c>
      <c r="B1707" s="1" t="str">
        <f ca="1">IFERROR(__xludf.DUMMYFUNCTION("""COMPUTED_VALUE"""),"India")</f>
        <v>India</v>
      </c>
      <c r="C1707" s="1">
        <f ca="1">IFERROR(__xludf.DUMMYFUNCTION("""COMPUTED_VALUE"""),827004)</f>
        <v>827004</v>
      </c>
      <c r="D1707" s="1" t="str">
        <f ca="1">IFERROR(__xludf.DUMMYFUNCTION("""COMPUTED_VALUE"""),"Male")</f>
        <v>Male</v>
      </c>
      <c r="E1707" s="1" t="str">
        <f ca="1">IFERROR(__xludf.DUMMYFUNCTION("""COMPUTED_VALUE"""),"My Parents")</f>
        <v>My Parents</v>
      </c>
      <c r="F1707" s="1" t="str">
        <f ca="1">IFERROR(__xludf.DUMMYFUNCTION("""COMPUTED_VALUE"""),"Yes, I will earn and do that")</f>
        <v>Yes, I will earn and do that</v>
      </c>
      <c r="G1707" s="1" t="str">
        <f ca="1">IFERROR(__xludf.DUMMYFUNCTION("""COMPUTED_VALUE"""),"This will be hard to do, but if it is the right company I would try")</f>
        <v>This will be hard to do, but if it is the right company I would try</v>
      </c>
      <c r="H1707" s="1" t="str">
        <f ca="1">IFERROR(__xludf.DUMMYFUNCTION("""COMPUTED_VALUE"""),"Yes")</f>
        <v>Yes</v>
      </c>
      <c r="I1707" s="1" t="str">
        <f ca="1">IFERROR(__xludf.DUMMYFUNCTION("""COMPUTED_VALUE"""),"Will work for them")</f>
        <v>Will work for them</v>
      </c>
      <c r="J1707" s="1">
        <f ca="1">IFERROR(__xludf.DUMMYFUNCTION("""COMPUTED_VALUE"""),1)</f>
        <v>1</v>
      </c>
      <c r="K1707" s="1" t="str">
        <f ca="1">IFERROR(__xludf.DUMMYFUNCTION("""COMPUTED_VALUE"""),"Every Day Office Environment")</f>
        <v>Every Day Office Environment</v>
      </c>
      <c r="L1707" s="1" t="str">
        <f ca="1">IFERROR(__xludf.DUMMYFUNCTION("""COMPUTED_VALUE"""),"Employer who appreciates learning and enables that environment")</f>
        <v>Employer who appreciates learning and enables that environment</v>
      </c>
      <c r="M170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707" s="1" t="str">
        <f ca="1">IFERROR(__xludf.DUMMYFUNCTION("""COMPUTED_VALUE"""),"Design and Creative strategy in any company, Teaching in any of the institutes/colleges/online or offline, Become a content Creator in some platform, I Want to sell things/Sales")</f>
        <v>Design and Creative strategy in any company, Teaching in any of the institutes/colleges/online or offline, Become a content Creator in some platform, I Want to sell things/Sales</v>
      </c>
      <c r="O1707" s="1" t="str">
        <f ca="1">IFERROR(__xludf.DUMMYFUNCTION("""COMPUTED_VALUE"""),"Manager who clearly describes what she/he needs")</f>
        <v>Manager who clearly describes what she/he needs</v>
      </c>
      <c r="P1707" s="1" t="str">
        <f ca="1">IFERROR(__xludf.DUMMYFUNCTION("""COMPUTED_VALUE"""),"Work with more than 10 people in my team")</f>
        <v>Work with more than 10 people in my team</v>
      </c>
      <c r="Q1707" s="1" t="str">
        <f ca="1">IFERROR(__xludf.DUMMYFUNCTION("""COMPUTED_VALUE"""),"No")</f>
        <v>No</v>
      </c>
      <c r="R1707" s="1" t="str">
        <f ca="1">IFERROR(__xludf.DUMMYFUNCTION("""COMPUTED_VALUE"""),"This will be hard to do, but if it is the right company I would try")</f>
        <v>This will be hard to do, but if it is the right company I would try</v>
      </c>
      <c r="S1707" s="1"/>
    </row>
    <row r="1708" spans="1:19" ht="12.5" x14ac:dyDescent="0.25">
      <c r="A1708" s="2">
        <f ca="1">IFERROR(__xludf.DUMMYFUNCTION("""COMPUTED_VALUE"""),45047.6240149537)</f>
        <v>45047.624014953697</v>
      </c>
      <c r="B1708" s="1" t="str">
        <f ca="1">IFERROR(__xludf.DUMMYFUNCTION("""COMPUTED_VALUE"""),"India")</f>
        <v>India</v>
      </c>
      <c r="C1708" s="1">
        <f ca="1">IFERROR(__xludf.DUMMYFUNCTION("""COMPUTED_VALUE"""),827013)</f>
        <v>827013</v>
      </c>
      <c r="D1708" s="1" t="str">
        <f ca="1">IFERROR(__xludf.DUMMYFUNCTION("""COMPUTED_VALUE"""),"Male")</f>
        <v>Male</v>
      </c>
      <c r="E1708" s="1" t="str">
        <f ca="1">IFERROR(__xludf.DUMMYFUNCTION("""COMPUTED_VALUE"""),"My Parents")</f>
        <v>My Parents</v>
      </c>
      <c r="F1708" s="1" t="str">
        <f ca="1">IFERROR(__xludf.DUMMYFUNCTION("""COMPUTED_VALUE"""),"Yes, I will earn and do that")</f>
        <v>Yes, I will earn and do that</v>
      </c>
      <c r="G1708" s="1" t="str">
        <f ca="1">IFERROR(__xludf.DUMMYFUNCTION("""COMPUTED_VALUE"""),"This will be hard to do, but if it is the right company I would try")</f>
        <v>This will be hard to do, but if it is the right company I would try</v>
      </c>
      <c r="H1708" s="1" t="str">
        <f ca="1">IFERROR(__xludf.DUMMYFUNCTION("""COMPUTED_VALUE"""),"No")</f>
        <v>No</v>
      </c>
      <c r="I1708" s="1" t="str">
        <f ca="1">IFERROR(__xludf.DUMMYFUNCTION("""COMPUTED_VALUE"""),"Will NOT work for them")</f>
        <v>Will NOT work for them</v>
      </c>
      <c r="J1708" s="1">
        <f ca="1">IFERROR(__xludf.DUMMYFUNCTION("""COMPUTED_VALUE"""),8)</f>
        <v>8</v>
      </c>
      <c r="K1708" s="1" t="str">
        <f ca="1">IFERROR(__xludf.DUMMYFUNCTION("""COMPUTED_VALUE"""),"Every Day Office Environment")</f>
        <v>Every Day Office Environment</v>
      </c>
      <c r="L1708" s="1" t="str">
        <f ca="1">IFERROR(__xludf.DUMMYFUNCTION("""COMPUTED_VALUE"""),"Employer who appreciates learning and enables that environment")</f>
        <v>Employer who appreciates learning and enables that environment</v>
      </c>
      <c r="M170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08" s="1" t="str">
        <f ca="1">IFERROR(__xludf.DUMMYFUNCTION("""COMPUTED_VALUE"""),"Design and Creative strategy in any company, Build and develop a Team, Design and Develop amazing software, Work as a freelancer and do my thing my way")</f>
        <v>Design and Creative strategy in any company, Build and develop a Team, Design and Develop amazing software, Work as a freelancer and do my thing my way</v>
      </c>
      <c r="O1708" s="1" t="str">
        <f ca="1">IFERROR(__xludf.DUMMYFUNCTION("""COMPUTED_VALUE"""),"Manager who clearly describes what she/he needs")</f>
        <v>Manager who clearly describes what she/he needs</v>
      </c>
      <c r="P1708" s="1" t="str">
        <f ca="1">IFERROR(__xludf.DUMMYFUNCTION("""COMPUTED_VALUE"""),"Work with 5 to 6 people in my team")</f>
        <v>Work with 5 to 6 people in my team</v>
      </c>
      <c r="Q1708" s="1" t="str">
        <f ca="1">IFERROR(__xludf.DUMMYFUNCTION("""COMPUTED_VALUE"""),"No")</f>
        <v>No</v>
      </c>
      <c r="R1708" s="1" t="str">
        <f ca="1">IFERROR(__xludf.DUMMYFUNCTION("""COMPUTED_VALUE"""),"No way")</f>
        <v>No way</v>
      </c>
      <c r="S1708" s="1"/>
    </row>
    <row r="1709" spans="1:19" ht="12.5" x14ac:dyDescent="0.25">
      <c r="A1709" s="2">
        <f ca="1">IFERROR(__xludf.DUMMYFUNCTION("""COMPUTED_VALUE"""),45047.626820949)</f>
        <v>45047.626820949001</v>
      </c>
      <c r="B1709" s="1" t="str">
        <f ca="1">IFERROR(__xludf.DUMMYFUNCTION("""COMPUTED_VALUE"""),"India")</f>
        <v>India</v>
      </c>
      <c r="C1709" s="1">
        <f ca="1">IFERROR(__xludf.DUMMYFUNCTION("""COMPUTED_VALUE"""),160030)</f>
        <v>160030</v>
      </c>
      <c r="D1709" s="1" t="str">
        <f ca="1">IFERROR(__xludf.DUMMYFUNCTION("""COMPUTED_VALUE"""),"Female")</f>
        <v>Female</v>
      </c>
      <c r="E1709" s="1" t="str">
        <f ca="1">IFERROR(__xludf.DUMMYFUNCTION("""COMPUTED_VALUE"""),"My Parents")</f>
        <v>My Parents</v>
      </c>
      <c r="F1709" s="1" t="str">
        <f ca="1">IFERROR(__xludf.DUMMYFUNCTION("""COMPUTED_VALUE"""),"No, But if someone could bare the cost I will")</f>
        <v>No, But if someone could bare the cost I will</v>
      </c>
      <c r="G1709" s="1" t="str">
        <f ca="1">IFERROR(__xludf.DUMMYFUNCTION("""COMPUTED_VALUE"""),"This will be hard to do, but if it is the right company I would try")</f>
        <v>This will be hard to do, but if it is the right company I would try</v>
      </c>
      <c r="H1709" s="1" t="str">
        <f ca="1">IFERROR(__xludf.DUMMYFUNCTION("""COMPUTED_VALUE"""),"No")</f>
        <v>No</v>
      </c>
      <c r="I1709" s="1" t="str">
        <f ca="1">IFERROR(__xludf.DUMMYFUNCTION("""COMPUTED_VALUE"""),"Will NOT work for them")</f>
        <v>Will NOT work for them</v>
      </c>
      <c r="J1709" s="1">
        <f ca="1">IFERROR(__xludf.DUMMYFUNCTION("""COMPUTED_VALUE"""),7)</f>
        <v>7</v>
      </c>
      <c r="K1709" s="1" t="str">
        <f ca="1">IFERROR(__xludf.DUMMYFUNCTION("""COMPUTED_VALUE"""),"Hybrid Working Environment with more than 15 days a month at office")</f>
        <v>Hybrid Working Environment with more than 15 days a month at office</v>
      </c>
      <c r="L17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0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709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1709" s="1" t="str">
        <f ca="1">IFERROR(__xludf.DUMMYFUNCTION("""COMPUTED_VALUE"""),"Manager who explains what is expected, sets a goal and helps achieve it")</f>
        <v>Manager who explains what is expected, sets a goal and helps achieve it</v>
      </c>
      <c r="P1709" s="1" t="str">
        <f ca="1">IFERROR(__xludf.DUMMYFUNCTION("""COMPUTED_VALUE"""),"Work with 5 to 6 people in my team")</f>
        <v>Work with 5 to 6 people in my team</v>
      </c>
      <c r="Q1709" s="1" t="str">
        <f ca="1">IFERROR(__xludf.DUMMYFUNCTION("""COMPUTED_VALUE"""),"Yes, I Understand this is gonna happen everywhere")</f>
        <v>Yes, I Understand this is gonna happen everywhere</v>
      </c>
      <c r="R1709" s="1" t="str">
        <f ca="1">IFERROR(__xludf.DUMMYFUNCTION("""COMPUTED_VALUE"""),"No way")</f>
        <v>No way</v>
      </c>
      <c r="S1709" s="1"/>
    </row>
    <row r="1710" spans="1:19" ht="12.5" x14ac:dyDescent="0.25">
      <c r="A1710" s="2">
        <f ca="1">IFERROR(__xludf.DUMMYFUNCTION("""COMPUTED_VALUE"""),45047.6277729861)</f>
        <v>45047.627772986103</v>
      </c>
      <c r="B1710" s="1" t="str">
        <f ca="1">IFERROR(__xludf.DUMMYFUNCTION("""COMPUTED_VALUE"""),"India")</f>
        <v>India</v>
      </c>
      <c r="C1710" s="1">
        <f ca="1">IFERROR(__xludf.DUMMYFUNCTION("""COMPUTED_VALUE"""),678001)</f>
        <v>678001</v>
      </c>
      <c r="D1710" s="1" t="str">
        <f ca="1">IFERROR(__xludf.DUMMYFUNCTION("""COMPUTED_VALUE"""),"Male")</f>
        <v>Male</v>
      </c>
      <c r="E1710" s="1" t="str">
        <f ca="1">IFERROR(__xludf.DUMMYFUNCTION("""COMPUTED_VALUE"""),"Influencers who had successful careers")</f>
        <v>Influencers who had successful careers</v>
      </c>
      <c r="F1710" s="1" t="str">
        <f ca="1">IFERROR(__xludf.DUMMYFUNCTION("""COMPUTED_VALUE"""),"No I would not be pursuing Higher Education outside of India")</f>
        <v>No I would not be pursuing Higher Education outside of India</v>
      </c>
      <c r="G1710" s="1" t="str">
        <f ca="1">IFERROR(__xludf.DUMMYFUNCTION("""COMPUTED_VALUE"""),"This will be hard to do, but if it is the right company I would try")</f>
        <v>This will be hard to do, but if it is the right company I would try</v>
      </c>
      <c r="H1710" s="1" t="str">
        <f ca="1">IFERROR(__xludf.DUMMYFUNCTION("""COMPUTED_VALUE"""),"No")</f>
        <v>No</v>
      </c>
      <c r="I1710" s="1" t="str">
        <f ca="1">IFERROR(__xludf.DUMMYFUNCTION("""COMPUTED_VALUE"""),"Will NOT work for them")</f>
        <v>Will NOT work for them</v>
      </c>
      <c r="J1710" s="1">
        <f ca="1">IFERROR(__xludf.DUMMYFUNCTION("""COMPUTED_VALUE"""),3)</f>
        <v>3</v>
      </c>
      <c r="K1710" s="1" t="str">
        <f ca="1">IFERROR(__xludf.DUMMYFUNCTION("""COMPUTED_VALUE"""),"Fully Remote with Options to travel as and when needed")</f>
        <v>Fully Remote with Options to travel as and when needed</v>
      </c>
      <c r="L17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10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10" s="1" t="str">
        <f ca="1">IFERROR(__xludf.DUMMYFUNCTION("""COMPUTED_VALUE"""),"Look deeply into Data and generate insights, Work as a freelancer and do my thing my way, Become a content Creator in some platform, Entrepreneur or Start Up")</f>
        <v>Look deeply into Data and generate insights, Work as a freelancer and do my thing my way, Become a content Creator in some platform, Entrepreneur or Start Up</v>
      </c>
      <c r="O1710" s="1" t="str">
        <f ca="1">IFERROR(__xludf.DUMMYFUNCTION("""COMPUTED_VALUE"""),"Manager who sets goal and helps me achieve it")</f>
        <v>Manager who sets goal and helps me achieve it</v>
      </c>
      <c r="P1710" s="1" t="str">
        <f ca="1">IFERROR(__xludf.DUMMYFUNCTION("""COMPUTED_VALUE"""),"Work with 7 to 10 or more people in my team")</f>
        <v>Work with 7 to 10 or more people in my team</v>
      </c>
      <c r="Q1710" s="1" t="str">
        <f ca="1">IFERROR(__xludf.DUMMYFUNCTION("""COMPUTED_VALUE"""),"Yes, I Understand this is gonna happen everywhere")</f>
        <v>Yes, I Understand this is gonna happen everywhere</v>
      </c>
      <c r="R1710" s="1" t="str">
        <f ca="1">IFERROR(__xludf.DUMMYFUNCTION("""COMPUTED_VALUE"""),"This will be hard to do, but if it is the right company I would try")</f>
        <v>This will be hard to do, but if it is the right company I would try</v>
      </c>
      <c r="S1710" s="1"/>
    </row>
    <row r="1711" spans="1:19" ht="12.5" x14ac:dyDescent="0.25">
      <c r="A1711" s="2">
        <f ca="1">IFERROR(__xludf.DUMMYFUNCTION("""COMPUTED_VALUE"""),45047.6383055787)</f>
        <v>45047.638305578701</v>
      </c>
      <c r="B1711" s="1" t="str">
        <f ca="1">IFERROR(__xludf.DUMMYFUNCTION("""COMPUTED_VALUE"""),"India")</f>
        <v>India</v>
      </c>
      <c r="C1711" s="1">
        <f ca="1">IFERROR(__xludf.DUMMYFUNCTION("""COMPUTED_VALUE"""),422003)</f>
        <v>422003</v>
      </c>
      <c r="D1711" s="1" t="str">
        <f ca="1">IFERROR(__xludf.DUMMYFUNCTION("""COMPUTED_VALUE"""),"Female")</f>
        <v>Female</v>
      </c>
      <c r="E1711" s="1" t="str">
        <f ca="1">IFERROR(__xludf.DUMMYFUNCTION("""COMPUTED_VALUE"""),"My Parents")</f>
        <v>My Parents</v>
      </c>
      <c r="F1711" s="1" t="str">
        <f ca="1">IFERROR(__xludf.DUMMYFUNCTION("""COMPUTED_VALUE"""),"No, But if someone could bare the cost I will")</f>
        <v>No, But if someone could bare the cost I will</v>
      </c>
      <c r="G1711" s="1" t="str">
        <f ca="1">IFERROR(__xludf.DUMMYFUNCTION("""COMPUTED_VALUE"""),"This will be hard to do, but if it is the right company I would try")</f>
        <v>This will be hard to do, but if it is the right company I would try</v>
      </c>
      <c r="H1711" s="1" t="str">
        <f ca="1">IFERROR(__xludf.DUMMYFUNCTION("""COMPUTED_VALUE"""),"No")</f>
        <v>No</v>
      </c>
      <c r="I1711" s="1" t="str">
        <f ca="1">IFERROR(__xludf.DUMMYFUNCTION("""COMPUTED_VALUE"""),"Will NOT work for them")</f>
        <v>Will NOT work for them</v>
      </c>
      <c r="J1711" s="1">
        <f ca="1">IFERROR(__xludf.DUMMYFUNCTION("""COMPUTED_VALUE"""),4)</f>
        <v>4</v>
      </c>
      <c r="K1711" s="1" t="str">
        <f ca="1">IFERROR(__xludf.DUMMYFUNCTION("""COMPUTED_VALUE"""),"Hybrid Working Environment with less than 3 days a month at office")</f>
        <v>Hybrid Working Environment with less than 3 days a month at office</v>
      </c>
      <c r="L1711" s="1" t="str">
        <f ca="1">IFERROR(__xludf.DUMMYFUNCTION("""COMPUTED_VALUE"""),"Employer who rewards learning and enables that environment")</f>
        <v>Employer who rewards learning and enables that environment</v>
      </c>
      <c r="M171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11" s="1" t="str">
        <f ca="1">IFERROR(__xludf.DUMMYFUNCTION("""COMPUTED_VALUE"""),"Build and develop a Team, Design and Develop amazing software, Become a content Creator in some platform, I Want to sell things/Sales")</f>
        <v>Build and develop a Team, Design and Develop amazing software, Become a content Creator in some platform, I Want to sell things/Sales</v>
      </c>
      <c r="O1711" s="1" t="str">
        <f ca="1">IFERROR(__xludf.DUMMYFUNCTION("""COMPUTED_VALUE"""),"Manager who clearly describes what she/he needs")</f>
        <v>Manager who clearly describes what she/he needs</v>
      </c>
      <c r="P1711" s="1" t="str">
        <f ca="1">IFERROR(__xludf.DUMMYFUNCTION("""COMPUTED_VALUE"""),"Work with 2 to 3 people in my team")</f>
        <v>Work with 2 to 3 people in my team</v>
      </c>
      <c r="Q1711" s="1" t="str">
        <f ca="1">IFERROR(__xludf.DUMMYFUNCTION("""COMPUTED_VALUE"""),"Yes, I Understand this is gonna happen everywhere")</f>
        <v>Yes, I Understand this is gonna happen everywhere</v>
      </c>
      <c r="R1711" s="1" t="str">
        <f ca="1">IFERROR(__xludf.DUMMYFUNCTION("""COMPUTED_VALUE"""),"No way")</f>
        <v>No way</v>
      </c>
      <c r="S1711" s="1"/>
    </row>
    <row r="1712" spans="1:19" ht="12.5" x14ac:dyDescent="0.25">
      <c r="A1712" s="2">
        <f ca="1">IFERROR(__xludf.DUMMYFUNCTION("""COMPUTED_VALUE"""),45047.646368368)</f>
        <v>45047.646368367998</v>
      </c>
      <c r="B1712" s="1" t="str">
        <f ca="1">IFERROR(__xludf.DUMMYFUNCTION("""COMPUTED_VALUE"""),"India")</f>
        <v>India</v>
      </c>
      <c r="C1712" s="1">
        <f ca="1">IFERROR(__xludf.DUMMYFUNCTION("""COMPUTED_VALUE"""),827012)</f>
        <v>827012</v>
      </c>
      <c r="D1712" s="1" t="str">
        <f ca="1">IFERROR(__xludf.DUMMYFUNCTION("""COMPUTED_VALUE"""),"Male")</f>
        <v>Male</v>
      </c>
      <c r="E1712" s="1" t="str">
        <f ca="1">IFERROR(__xludf.DUMMYFUNCTION("""COMPUTED_VALUE"""),"Social Media like LinkedIn")</f>
        <v>Social Media like LinkedIn</v>
      </c>
      <c r="F1712" s="1" t="str">
        <f ca="1">IFERROR(__xludf.DUMMYFUNCTION("""COMPUTED_VALUE"""),"Yes, I will earn and do that")</f>
        <v>Yes, I will earn and do that</v>
      </c>
      <c r="G1712" s="1" t="str">
        <f ca="1">IFERROR(__xludf.DUMMYFUNCTION("""COMPUTED_VALUE"""),"This will be hard to do, but if it is the right company I would try")</f>
        <v>This will be hard to do, but if it is the right company I would try</v>
      </c>
      <c r="H1712" s="1" t="str">
        <f ca="1">IFERROR(__xludf.DUMMYFUNCTION("""COMPUTED_VALUE"""),"No")</f>
        <v>No</v>
      </c>
      <c r="I1712" s="1" t="str">
        <f ca="1">IFERROR(__xludf.DUMMYFUNCTION("""COMPUTED_VALUE"""),"Will NOT work for them")</f>
        <v>Will NOT work for them</v>
      </c>
      <c r="J1712" s="1">
        <f ca="1">IFERROR(__xludf.DUMMYFUNCTION("""COMPUTED_VALUE"""),7)</f>
        <v>7</v>
      </c>
      <c r="K1712" s="1" t="str">
        <f ca="1">IFERROR(__xludf.DUMMYFUNCTION("""COMPUTED_VALUE"""),"Hybrid Working Environment with more than 15 days a month at office")</f>
        <v>Hybrid Working Environment with more than 15 days a month at office</v>
      </c>
      <c r="L17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1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712" s="1" t="str">
        <f ca="1">IFERROR(__xludf.DUMMYFUNCTION("""COMPUTED_VALUE"""),"Design and Creative strategy in any company, Business Operations in any organization, Manage and drive End-to-End Projects or Products, Manufacturing / Oil and Gas/ Construction / Hard Physical Work related")</f>
        <v>Design and Creative strategy in any company, Business Operations in any organization, Manage and drive End-to-End Projects or Products, Manufacturing / Oil and Gas/ Construction / Hard Physical Work related</v>
      </c>
      <c r="O17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712" s="1" t="str">
        <f ca="1">IFERROR(__xludf.DUMMYFUNCTION("""COMPUTED_VALUE"""),"Work with 2 to 3 people in my team")</f>
        <v>Work with 2 to 3 people in my team</v>
      </c>
      <c r="Q1712" s="1" t="str">
        <f ca="1">IFERROR(__xludf.DUMMYFUNCTION("""COMPUTED_VALUE"""),"No")</f>
        <v>No</v>
      </c>
      <c r="R1712" s="1" t="str">
        <f ca="1">IFERROR(__xludf.DUMMYFUNCTION("""COMPUTED_VALUE"""),"No way")</f>
        <v>No way</v>
      </c>
      <c r="S1712" s="1"/>
    </row>
    <row r="1713" spans="1:19" ht="12.5" x14ac:dyDescent="0.25">
      <c r="A1713" s="2">
        <f ca="1">IFERROR(__xludf.DUMMYFUNCTION("""COMPUTED_VALUE"""),45047.6676305555)</f>
        <v>45047.667630555501</v>
      </c>
      <c r="B1713" s="1" t="str">
        <f ca="1">IFERROR(__xludf.DUMMYFUNCTION("""COMPUTED_VALUE"""),"India")</f>
        <v>India</v>
      </c>
      <c r="C1713" s="1">
        <f ca="1">IFERROR(__xludf.DUMMYFUNCTION("""COMPUTED_VALUE"""),700023)</f>
        <v>700023</v>
      </c>
      <c r="D1713" s="1" t="str">
        <f ca="1">IFERROR(__xludf.DUMMYFUNCTION("""COMPUTED_VALUE"""),"Female")</f>
        <v>Female</v>
      </c>
      <c r="E1713" s="1" t="str">
        <f ca="1">IFERROR(__xludf.DUMMYFUNCTION("""COMPUTED_VALUE"""),"People from my circle, but not family members")</f>
        <v>People from my circle, but not family members</v>
      </c>
      <c r="F1713" s="1" t="str">
        <f ca="1">IFERROR(__xludf.DUMMYFUNCTION("""COMPUTED_VALUE"""),"Yes, I will earn and do that")</f>
        <v>Yes, I will earn and do that</v>
      </c>
      <c r="G1713" s="1" t="str">
        <f ca="1">IFERROR(__xludf.DUMMYFUNCTION("""COMPUTED_VALUE"""),"Will work for 3 years or more")</f>
        <v>Will work for 3 years or more</v>
      </c>
      <c r="H1713" s="1" t="str">
        <f ca="1">IFERROR(__xludf.DUMMYFUNCTION("""COMPUTED_VALUE"""),"No")</f>
        <v>No</v>
      </c>
      <c r="I1713" s="1" t="str">
        <f ca="1">IFERROR(__xludf.DUMMYFUNCTION("""COMPUTED_VALUE"""),"Will NOT work for them")</f>
        <v>Will NOT work for them</v>
      </c>
      <c r="J1713" s="1">
        <f ca="1">IFERROR(__xludf.DUMMYFUNCTION("""COMPUTED_VALUE"""),9)</f>
        <v>9</v>
      </c>
      <c r="K1713" s="1" t="str">
        <f ca="1">IFERROR(__xludf.DUMMYFUNCTION("""COMPUTED_VALUE"""),"Hybrid Working Environment with less than 3 days a month at office")</f>
        <v>Hybrid Working Environment with less than 3 days a month at office</v>
      </c>
      <c r="L17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13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713" s="1" t="str">
        <f ca="1">IFERROR(__xludf.DUMMYFUNCTION("""COMPUTED_VALUE"""),"Teaching in any of the institutes/colleges/online or offline, Business Operations in any organization, Manage and drive End-to-End Projects or Products, Become a content Creator in some platform")</f>
        <v>Teaching in any of the institutes/colleges/online or offline, Business Operations in any organization, Manage and drive End-to-End Projects or Products, Become a content Creator in some platform</v>
      </c>
      <c r="O1713" s="1" t="str">
        <f ca="1">IFERROR(__xludf.DUMMYFUNCTION("""COMPUTED_VALUE"""),"Manager who sets goal and helps me achieve it")</f>
        <v>Manager who sets goal and helps me achieve it</v>
      </c>
      <c r="P1713" s="1" t="str">
        <f ca="1">IFERROR(__xludf.DUMMYFUNCTION("""COMPUTED_VALUE"""),"Work with 5 to 6 people in my team")</f>
        <v>Work with 5 to 6 people in my team</v>
      </c>
      <c r="Q1713" s="1" t="str">
        <f ca="1">IFERROR(__xludf.DUMMYFUNCTION("""COMPUTED_VALUE"""),"I have NO other choice")</f>
        <v>I have NO other choice</v>
      </c>
      <c r="R1713" s="1" t="str">
        <f ca="1">IFERROR(__xludf.DUMMYFUNCTION("""COMPUTED_VALUE"""),"This will be hard to do, but if it is the right company I would try")</f>
        <v>This will be hard to do, but if it is the right company I would try</v>
      </c>
      <c r="S1713" s="1"/>
    </row>
    <row r="1714" spans="1:19" ht="12.5" x14ac:dyDescent="0.25">
      <c r="A1714" s="2">
        <f ca="1">IFERROR(__xludf.DUMMYFUNCTION("""COMPUTED_VALUE"""),45047.6686354398)</f>
        <v>45047.668635439797</v>
      </c>
      <c r="B1714" s="1" t="str">
        <f ca="1">IFERROR(__xludf.DUMMYFUNCTION("""COMPUTED_VALUE"""),"India")</f>
        <v>India</v>
      </c>
      <c r="C1714" s="1">
        <f ca="1">IFERROR(__xludf.DUMMYFUNCTION("""COMPUTED_VALUE"""),605010)</f>
        <v>605010</v>
      </c>
      <c r="D1714" s="1" t="str">
        <f ca="1">IFERROR(__xludf.DUMMYFUNCTION("""COMPUTED_VALUE"""),"Male")</f>
        <v>Male</v>
      </c>
      <c r="E1714" s="1" t="str">
        <f ca="1">IFERROR(__xludf.DUMMYFUNCTION("""COMPUTED_VALUE"""),"My Parents")</f>
        <v>My Parents</v>
      </c>
      <c r="F1714" s="1" t="str">
        <f ca="1">IFERROR(__xludf.DUMMYFUNCTION("""COMPUTED_VALUE"""),"No I would not be pursuing Higher Education outside of India")</f>
        <v>No I would not be pursuing Higher Education outside of India</v>
      </c>
      <c r="G1714" s="1" t="str">
        <f ca="1">IFERROR(__xludf.DUMMYFUNCTION("""COMPUTED_VALUE"""),"Will work for 3 years or more")</f>
        <v>Will work for 3 years or more</v>
      </c>
      <c r="H1714" s="1" t="str">
        <f ca="1">IFERROR(__xludf.DUMMYFUNCTION("""COMPUTED_VALUE"""),"No")</f>
        <v>No</v>
      </c>
      <c r="I1714" s="1" t="str">
        <f ca="1">IFERROR(__xludf.DUMMYFUNCTION("""COMPUTED_VALUE"""),"Will NOT work for them")</f>
        <v>Will NOT work for them</v>
      </c>
      <c r="J1714" s="1">
        <f ca="1">IFERROR(__xludf.DUMMYFUNCTION("""COMPUTED_VALUE"""),5)</f>
        <v>5</v>
      </c>
      <c r="K1714" s="1" t="str">
        <f ca="1">IFERROR(__xludf.DUMMYFUNCTION("""COMPUTED_VALUE"""),"Hybrid Working Environment with more than 15 days a month at office")</f>
        <v>Hybrid Working Environment with more than 15 days a month at office</v>
      </c>
      <c r="L1714" s="1" t="str">
        <f ca="1">IFERROR(__xludf.DUMMYFUNCTION("""COMPUTED_VALUE"""),"Employer who appreciates learning and enables that environment")</f>
        <v>Employer who appreciates learning and enables that environment</v>
      </c>
      <c r="M171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714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1714" s="1" t="str">
        <f ca="1">IFERROR(__xludf.DUMMYFUNCTION("""COMPUTED_VALUE"""),"Manager who sets goal and helps me achieve it")</f>
        <v>Manager who sets goal and helps me achieve it</v>
      </c>
      <c r="P1714" s="1" t="str">
        <f ca="1">IFERROR(__xludf.DUMMYFUNCTION("""COMPUTED_VALUE"""),"Work with more than 10 people in my team")</f>
        <v>Work with more than 10 people in my team</v>
      </c>
      <c r="Q1714" s="1" t="str">
        <f ca="1">IFERROR(__xludf.DUMMYFUNCTION("""COMPUTED_VALUE"""),"Yes, I Understand this is gonna happen everywhere")</f>
        <v>Yes, I Understand this is gonna happen everywhere</v>
      </c>
      <c r="R1714" s="1" t="str">
        <f ca="1">IFERROR(__xludf.DUMMYFUNCTION("""COMPUTED_VALUE"""),"This will be hard to do, but if it is the right company I would try")</f>
        <v>This will be hard to do, but if it is the right company I would try</v>
      </c>
      <c r="S1714" s="1"/>
    </row>
    <row r="1715" spans="1:19" ht="12.5" x14ac:dyDescent="0.25">
      <c r="A1715" s="2">
        <f ca="1">IFERROR(__xludf.DUMMYFUNCTION("""COMPUTED_VALUE"""),45047.7061130787)</f>
        <v>45047.706113078697</v>
      </c>
      <c r="B1715" s="1" t="str">
        <f ca="1">IFERROR(__xludf.DUMMYFUNCTION("""COMPUTED_VALUE"""),"India")</f>
        <v>India</v>
      </c>
      <c r="C1715" s="1">
        <f ca="1">IFERROR(__xludf.DUMMYFUNCTION("""COMPUTED_VALUE"""),7)</f>
        <v>7</v>
      </c>
      <c r="D1715" s="1" t="str">
        <f ca="1">IFERROR(__xludf.DUMMYFUNCTION("""COMPUTED_VALUE"""),"Female")</f>
        <v>Female</v>
      </c>
      <c r="E1715" s="1" t="str">
        <f ca="1">IFERROR(__xludf.DUMMYFUNCTION("""COMPUTED_VALUE"""),"People who have changed the world for better")</f>
        <v>People who have changed the world for better</v>
      </c>
      <c r="F1715" s="1" t="str">
        <f ca="1">IFERROR(__xludf.DUMMYFUNCTION("""COMPUTED_VALUE"""),"No, But if someone could bare the cost I will")</f>
        <v>No, But if someone could bare the cost I will</v>
      </c>
      <c r="G1715" s="1" t="str">
        <f ca="1">IFERROR(__xludf.DUMMYFUNCTION("""COMPUTED_VALUE"""),"This will be hard to do, but if it is the right company I would try")</f>
        <v>This will be hard to do, but if it is the right company I would try</v>
      </c>
      <c r="H1715" s="1" t="str">
        <f ca="1">IFERROR(__xludf.DUMMYFUNCTION("""COMPUTED_VALUE"""),"Yes")</f>
        <v>Yes</v>
      </c>
      <c r="I1715" s="1" t="str">
        <f ca="1">IFERROR(__xludf.DUMMYFUNCTION("""COMPUTED_VALUE"""),"Will NOT work for them")</f>
        <v>Will NOT work for them</v>
      </c>
      <c r="J1715" s="1">
        <f ca="1">IFERROR(__xludf.DUMMYFUNCTION("""COMPUTED_VALUE"""),4)</f>
        <v>4</v>
      </c>
      <c r="K1715" s="1" t="str">
        <f ca="1">IFERROR(__xludf.DUMMYFUNCTION("""COMPUTED_VALUE"""),"Hybrid Working Environment with less than 3 days a month at office")</f>
        <v>Hybrid Working Environment with less than 3 days a month at office</v>
      </c>
      <c r="L17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15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1715" s="1" t="str">
        <f ca="1">IFERROR(__xludf.DUMMYFUNCTION("""COMPUTED_VALUE"""),"Design and Creative strategy in any company, Teaching in any of the institutes/colleges/online or offline, Business Operations in any organization, Work as a freelancer and do my thing my way")</f>
        <v>Design and Creative strategy in any company, Teaching in any of the institutes/colleges/online or offline, Business Operations in any organization, Work as a freelancer and do my thing my way</v>
      </c>
      <c r="O1715" s="1" t="str">
        <f ca="1">IFERROR(__xludf.DUMMYFUNCTION("""COMPUTED_VALUE"""),"Manager who explains what is expected, sets a goal and helps achieve it")</f>
        <v>Manager who explains what is expected, sets a goal and helps achieve it</v>
      </c>
      <c r="P1715" s="1" t="str">
        <f ca="1">IFERROR(__xludf.DUMMYFUNCTION("""COMPUTED_VALUE"""),"Work with 5 to 6 people in my team")</f>
        <v>Work with 5 to 6 people in my team</v>
      </c>
      <c r="Q1715" s="1" t="str">
        <f ca="1">IFERROR(__xludf.DUMMYFUNCTION("""COMPUTED_VALUE"""),"I have NO other choice")</f>
        <v>I have NO other choice</v>
      </c>
      <c r="R1715" s="1" t="str">
        <f ca="1">IFERROR(__xludf.DUMMYFUNCTION("""COMPUTED_VALUE"""),"This will be hard to do, but if it is the right company I would try")</f>
        <v>This will be hard to do, but if it is the right company I would try</v>
      </c>
      <c r="S1715" s="1"/>
    </row>
    <row r="1716" spans="1:19" ht="12.5" x14ac:dyDescent="0.25">
      <c r="A1716" s="2">
        <f ca="1">IFERROR(__xludf.DUMMYFUNCTION("""COMPUTED_VALUE"""),45047.729737824)</f>
        <v>45047.729737823996</v>
      </c>
      <c r="B1716" s="1" t="str">
        <f ca="1">IFERROR(__xludf.DUMMYFUNCTION("""COMPUTED_VALUE"""),"India")</f>
        <v>India</v>
      </c>
      <c r="C1716" s="1">
        <f ca="1">IFERROR(__xludf.DUMMYFUNCTION("""COMPUTED_VALUE"""),700000)</f>
        <v>700000</v>
      </c>
      <c r="D1716" s="1" t="str">
        <f ca="1">IFERROR(__xludf.DUMMYFUNCTION("""COMPUTED_VALUE"""),"Female")</f>
        <v>Female</v>
      </c>
      <c r="E1716" s="1" t="str">
        <f ca="1">IFERROR(__xludf.DUMMYFUNCTION("""COMPUTED_VALUE"""),"People who have changed the world for better")</f>
        <v>People who have changed the world for better</v>
      </c>
      <c r="F1716" s="1" t="str">
        <f ca="1">IFERROR(__xludf.DUMMYFUNCTION("""COMPUTED_VALUE"""),"No, But if someone could bare the cost I will")</f>
        <v>No, But if someone could bare the cost I will</v>
      </c>
      <c r="G1716" s="1" t="str">
        <f ca="1">IFERROR(__xludf.DUMMYFUNCTION("""COMPUTED_VALUE"""),"This will be hard to do, but if it is the right company I would try")</f>
        <v>This will be hard to do, but if it is the right company I would try</v>
      </c>
      <c r="H1716" s="1" t="str">
        <f ca="1">IFERROR(__xludf.DUMMYFUNCTION("""COMPUTED_VALUE"""),"Yes")</f>
        <v>Yes</v>
      </c>
      <c r="I1716" s="1" t="str">
        <f ca="1">IFERROR(__xludf.DUMMYFUNCTION("""COMPUTED_VALUE"""),"Will NOT work for them")</f>
        <v>Will NOT work for them</v>
      </c>
      <c r="J1716" s="1">
        <f ca="1">IFERROR(__xludf.DUMMYFUNCTION("""COMPUTED_VALUE"""),4)</f>
        <v>4</v>
      </c>
      <c r="K1716" s="1" t="str">
        <f ca="1">IFERROR(__xludf.DUMMYFUNCTION("""COMPUTED_VALUE"""),"Fully Remote with Options to travel as and when needed")</f>
        <v>Fully Remote with Options to travel as and when needed</v>
      </c>
      <c r="L1716" s="1" t="str">
        <f ca="1">IFERROR(__xludf.DUMMYFUNCTION("""COMPUTED_VALUE"""),"Employer who rewards learning and enables that environment")</f>
        <v>Employer who rewards learning and enables that environment</v>
      </c>
      <c r="M171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716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716" s="1" t="str">
        <f ca="1">IFERROR(__xludf.DUMMYFUNCTION("""COMPUTED_VALUE"""),"Manager who clearly describes what she/he needs")</f>
        <v>Manager who clearly describes what she/he needs</v>
      </c>
      <c r="P1716" s="1" t="str">
        <f ca="1">IFERROR(__xludf.DUMMYFUNCTION("""COMPUTED_VALUE"""),"Work with 2 to 3 people in my team")</f>
        <v>Work with 2 to 3 people in my team</v>
      </c>
      <c r="Q1716" s="1" t="str">
        <f ca="1">IFERROR(__xludf.DUMMYFUNCTION("""COMPUTED_VALUE"""),"Yes, I Understand this is gonna happen everywhere")</f>
        <v>Yes, I Understand this is gonna happen everywhere</v>
      </c>
      <c r="R1716" s="1" t="str">
        <f ca="1">IFERROR(__xludf.DUMMYFUNCTION("""COMPUTED_VALUE"""),"No way")</f>
        <v>No way</v>
      </c>
      <c r="S1716" s="1"/>
    </row>
    <row r="1717" spans="1:19" ht="12.5" x14ac:dyDescent="0.25">
      <c r="A1717" s="2">
        <f ca="1">IFERROR(__xludf.DUMMYFUNCTION("""COMPUTED_VALUE"""),45047.7772984143)</f>
        <v>45047.777298414301</v>
      </c>
      <c r="B1717" s="1" t="str">
        <f ca="1">IFERROR(__xludf.DUMMYFUNCTION("""COMPUTED_VALUE"""),"India")</f>
        <v>India</v>
      </c>
      <c r="C1717" s="1">
        <f ca="1">IFERROR(__xludf.DUMMYFUNCTION("""COMPUTED_VALUE"""),474006)</f>
        <v>474006</v>
      </c>
      <c r="D1717" s="1" t="str">
        <f ca="1">IFERROR(__xludf.DUMMYFUNCTION("""COMPUTED_VALUE"""),"Male")</f>
        <v>Male</v>
      </c>
      <c r="E1717" s="1" t="str">
        <f ca="1">IFERROR(__xludf.DUMMYFUNCTION("""COMPUTED_VALUE"""),"Influencers who had successful careers")</f>
        <v>Influencers who had successful careers</v>
      </c>
      <c r="F1717" s="1" t="str">
        <f ca="1">IFERROR(__xludf.DUMMYFUNCTION("""COMPUTED_VALUE"""),"Yes, I will earn and do that")</f>
        <v>Yes, I will earn and do that</v>
      </c>
      <c r="G1717" s="1" t="str">
        <f ca="1">IFERROR(__xludf.DUMMYFUNCTION("""COMPUTED_VALUE"""),"This will be hard to do, but if it is the right company I would try")</f>
        <v>This will be hard to do, but if it is the right company I would try</v>
      </c>
      <c r="H1717" s="1" t="str">
        <f ca="1">IFERROR(__xludf.DUMMYFUNCTION("""COMPUTED_VALUE"""),"No")</f>
        <v>No</v>
      </c>
      <c r="I1717" s="1" t="str">
        <f ca="1">IFERROR(__xludf.DUMMYFUNCTION("""COMPUTED_VALUE"""),"Will NOT work for them")</f>
        <v>Will NOT work for them</v>
      </c>
      <c r="J1717" s="1">
        <f ca="1">IFERROR(__xludf.DUMMYFUNCTION("""COMPUTED_VALUE"""),3)</f>
        <v>3</v>
      </c>
      <c r="K1717" s="1" t="str">
        <f ca="1">IFERROR(__xludf.DUMMYFUNCTION("""COMPUTED_VALUE"""),"Hybrid Working Environment with more than 15 days a month at office")</f>
        <v>Hybrid Working Environment with more than 15 days a month at office</v>
      </c>
      <c r="L17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17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717" s="1" t="str">
        <f ca="1">IFERROR(__xludf.DUMMYFUNCTION("""COMPUTED_VALUE"""),"Design and Creative strategy in any company, Teaching in any of the institutes/colleges/online or offline, Business Operations in any organization, Become a content Creator in some platform")</f>
        <v>Design and Creative strategy in any company, Teaching in any of the institutes/colleges/online or offline, Business Operations in any organization, Become a content Creator in some platform</v>
      </c>
      <c r="O17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717" s="1" t="str">
        <f ca="1">IFERROR(__xludf.DUMMYFUNCTION("""COMPUTED_VALUE"""),"Work with 2 to 3 people in my team")</f>
        <v>Work with 2 to 3 people in my team</v>
      </c>
      <c r="Q1717" s="1" t="str">
        <f ca="1">IFERROR(__xludf.DUMMYFUNCTION("""COMPUTED_VALUE"""),"Yes, I Understand this is gonna happen everywhere")</f>
        <v>Yes, I Understand this is gonna happen everywhere</v>
      </c>
      <c r="R1717" s="1" t="str">
        <f ca="1">IFERROR(__xludf.DUMMYFUNCTION("""COMPUTED_VALUE"""),"No way")</f>
        <v>No way</v>
      </c>
      <c r="S1717" s="1"/>
    </row>
    <row r="1718" spans="1:19" ht="12.5" x14ac:dyDescent="0.25">
      <c r="A1718" s="2">
        <f ca="1">IFERROR(__xludf.DUMMYFUNCTION("""COMPUTED_VALUE"""),45047.8053951388)</f>
        <v>45047.805395138799</v>
      </c>
      <c r="B1718" s="1" t="str">
        <f ca="1">IFERROR(__xludf.DUMMYFUNCTION("""COMPUTED_VALUE"""),"India")</f>
        <v>India</v>
      </c>
      <c r="C1718" s="1">
        <f ca="1">IFERROR(__xludf.DUMMYFUNCTION("""COMPUTED_VALUE"""),700032)</f>
        <v>700032</v>
      </c>
      <c r="D1718" s="1" t="str">
        <f ca="1">IFERROR(__xludf.DUMMYFUNCTION("""COMPUTED_VALUE"""),"Male")</f>
        <v>Male</v>
      </c>
      <c r="E1718" s="1" t="str">
        <f ca="1">IFERROR(__xludf.DUMMYFUNCTION("""COMPUTED_VALUE"""),"Influencers who had successful careers")</f>
        <v>Influencers who had successful careers</v>
      </c>
      <c r="F1718" s="1" t="str">
        <f ca="1">IFERROR(__xludf.DUMMYFUNCTION("""COMPUTED_VALUE"""),"Yes, I will earn and do that")</f>
        <v>Yes, I will earn and do that</v>
      </c>
      <c r="G1718" s="1" t="str">
        <f ca="1">IFERROR(__xludf.DUMMYFUNCTION("""COMPUTED_VALUE"""),"Will work for 3 years or more")</f>
        <v>Will work for 3 years or more</v>
      </c>
      <c r="H1718" s="1" t="str">
        <f ca="1">IFERROR(__xludf.DUMMYFUNCTION("""COMPUTED_VALUE"""),"No")</f>
        <v>No</v>
      </c>
      <c r="I1718" s="1" t="str">
        <f ca="1">IFERROR(__xludf.DUMMYFUNCTION("""COMPUTED_VALUE"""),"Will NOT work for them")</f>
        <v>Will NOT work for them</v>
      </c>
      <c r="J1718" s="1">
        <f ca="1">IFERROR(__xludf.DUMMYFUNCTION("""COMPUTED_VALUE"""),1)</f>
        <v>1</v>
      </c>
      <c r="K1718" s="1" t="str">
        <f ca="1">IFERROR(__xludf.DUMMYFUNCTION("""COMPUTED_VALUE"""),"Hybrid Working Environment with more than 15 days a month at office")</f>
        <v>Hybrid Working Environment with more than 15 days a month at office</v>
      </c>
      <c r="L17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18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718" s="1" t="str">
        <f ca="1">IFERROR(__xludf.DUMMYFUNCTION("""COMPUTED_VALUE"""),"Design and Creative strategy in any company, Business Operations in any organization, Design and Develop amazing software, An Artificial Intelligence Specialist / Talking to Robots")</f>
        <v>Design and Creative strategy in any company, Business Operations in any organization, Design and Develop amazing software, An Artificial Intelligence Specialist / Talking to Robots</v>
      </c>
      <c r="O17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718" s="1" t="str">
        <f ca="1">IFERROR(__xludf.DUMMYFUNCTION("""COMPUTED_VALUE"""),"Work with 5 to 6 people in my team")</f>
        <v>Work with 5 to 6 people in my team</v>
      </c>
      <c r="Q1718" s="1" t="str">
        <f ca="1">IFERROR(__xludf.DUMMYFUNCTION("""COMPUTED_VALUE"""),"Yes, I Understand this is gonna happen everywhere")</f>
        <v>Yes, I Understand this is gonna happen everywhere</v>
      </c>
      <c r="R1718" s="1" t="str">
        <f ca="1">IFERROR(__xludf.DUMMYFUNCTION("""COMPUTED_VALUE"""),"No way")</f>
        <v>No way</v>
      </c>
      <c r="S1718" s="1"/>
    </row>
    <row r="1719" spans="1:19" ht="12.5" x14ac:dyDescent="0.25">
      <c r="A1719" s="2">
        <f ca="1">IFERROR(__xludf.DUMMYFUNCTION("""COMPUTED_VALUE"""),45047.8368315972)</f>
        <v>45047.836831597197</v>
      </c>
      <c r="B1719" s="1" t="str">
        <f ca="1">IFERROR(__xludf.DUMMYFUNCTION("""COMPUTED_VALUE"""),"India")</f>
        <v>India</v>
      </c>
      <c r="C1719" s="1">
        <f ca="1">IFERROR(__xludf.DUMMYFUNCTION("""COMPUTED_VALUE"""),829111)</f>
        <v>829111</v>
      </c>
      <c r="D1719" s="1" t="str">
        <f ca="1">IFERROR(__xludf.DUMMYFUNCTION("""COMPUTED_VALUE"""),"Male")</f>
        <v>Male</v>
      </c>
      <c r="E1719" s="1" t="str">
        <f ca="1">IFERROR(__xludf.DUMMYFUNCTION("""COMPUTED_VALUE"""),"Social Media like LinkedIn")</f>
        <v>Social Media like LinkedIn</v>
      </c>
      <c r="F1719" s="1" t="str">
        <f ca="1">IFERROR(__xludf.DUMMYFUNCTION("""COMPUTED_VALUE"""),"No, But if someone could bare the cost I will")</f>
        <v>No, But if someone could bare the cost I will</v>
      </c>
      <c r="G1719" s="1" t="str">
        <f ca="1">IFERROR(__xludf.DUMMYFUNCTION("""COMPUTED_VALUE"""),"Will work for 3 years or more")</f>
        <v>Will work for 3 years or more</v>
      </c>
      <c r="H1719" s="1" t="str">
        <f ca="1">IFERROR(__xludf.DUMMYFUNCTION("""COMPUTED_VALUE"""),"Yes")</f>
        <v>Yes</v>
      </c>
      <c r="I1719" s="1" t="str">
        <f ca="1">IFERROR(__xludf.DUMMYFUNCTION("""COMPUTED_VALUE"""),"Will work for them")</f>
        <v>Will work for them</v>
      </c>
      <c r="J1719" s="1">
        <f ca="1">IFERROR(__xludf.DUMMYFUNCTION("""COMPUTED_VALUE"""),8)</f>
        <v>8</v>
      </c>
      <c r="K1719" s="1" t="str">
        <f ca="1">IFERROR(__xludf.DUMMYFUNCTION("""COMPUTED_VALUE"""),"Every Day Office Environment")</f>
        <v>Every Day Office Environment</v>
      </c>
      <c r="L1719" s="1" t="str">
        <f ca="1">IFERROR(__xludf.DUMMYFUNCTION("""COMPUTED_VALUE"""),"Employer who appreciates learning and enables that environment")</f>
        <v>Employer who appreciates learning and enables that environment</v>
      </c>
      <c r="M171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19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1719" s="1" t="str">
        <f ca="1">IFERROR(__xludf.DUMMYFUNCTION("""COMPUTED_VALUE"""),"Manager who sets goal and helps me achieve it")</f>
        <v>Manager who sets goal and helps me achieve it</v>
      </c>
      <c r="P1719" s="1" t="str">
        <f ca="1">IFERROR(__xludf.DUMMYFUNCTION("""COMPUTED_VALUE"""),"Work with more than 10 people in my team")</f>
        <v>Work with more than 10 people in my team</v>
      </c>
      <c r="Q1719" s="1" t="str">
        <f ca="1">IFERROR(__xludf.DUMMYFUNCTION("""COMPUTED_VALUE"""),"Yes, I Understand this is gonna happen everywhere")</f>
        <v>Yes, I Understand this is gonna happen everywhere</v>
      </c>
      <c r="R1719" s="1" t="str">
        <f ca="1">IFERROR(__xludf.DUMMYFUNCTION("""COMPUTED_VALUE"""),"No way")</f>
        <v>No way</v>
      </c>
      <c r="S1719" s="1"/>
    </row>
    <row r="1720" spans="1:19" ht="12.5" x14ac:dyDescent="0.25">
      <c r="A1720" s="2">
        <f ca="1">IFERROR(__xludf.DUMMYFUNCTION("""COMPUTED_VALUE"""),45047.9071817824)</f>
        <v>45047.907181782401</v>
      </c>
      <c r="B1720" s="1" t="str">
        <f ca="1">IFERROR(__xludf.DUMMYFUNCTION("""COMPUTED_VALUE"""),"India")</f>
        <v>India</v>
      </c>
      <c r="C1720" s="1">
        <f ca="1">IFERROR(__xludf.DUMMYFUNCTION("""COMPUTED_VALUE"""),110019)</f>
        <v>110019</v>
      </c>
      <c r="D1720" s="1" t="str">
        <f ca="1">IFERROR(__xludf.DUMMYFUNCTION("""COMPUTED_VALUE"""),"Male")</f>
        <v>Male</v>
      </c>
      <c r="E1720" s="1" t="str">
        <f ca="1">IFERROR(__xludf.DUMMYFUNCTION("""COMPUTED_VALUE"""),"People who have changed the world for better")</f>
        <v>People who have changed the world for better</v>
      </c>
      <c r="F1720" s="1" t="str">
        <f ca="1">IFERROR(__xludf.DUMMYFUNCTION("""COMPUTED_VALUE"""),"No, But if someone could bare the cost I will")</f>
        <v>No, But if someone could bare the cost I will</v>
      </c>
      <c r="G1720" s="1" t="str">
        <f ca="1">IFERROR(__xludf.DUMMYFUNCTION("""COMPUTED_VALUE"""),"This will be hard to do, but if it is the right company I would try")</f>
        <v>This will be hard to do, but if it is the right company I would try</v>
      </c>
      <c r="H1720" s="1" t="str">
        <f ca="1">IFERROR(__xludf.DUMMYFUNCTION("""COMPUTED_VALUE"""),"Yes")</f>
        <v>Yes</v>
      </c>
      <c r="I1720" s="1" t="str">
        <f ca="1">IFERROR(__xludf.DUMMYFUNCTION("""COMPUTED_VALUE"""),"Will NOT work for them")</f>
        <v>Will NOT work for them</v>
      </c>
      <c r="J1720" s="1">
        <f ca="1">IFERROR(__xludf.DUMMYFUNCTION("""COMPUTED_VALUE"""),5)</f>
        <v>5</v>
      </c>
      <c r="K1720" s="1" t="str">
        <f ca="1">IFERROR(__xludf.DUMMYFUNCTION("""COMPUTED_VALUE"""),"Hybrid Working Environment with more than 15 days a month at office")</f>
        <v>Hybrid Working Environment with more than 15 days a month at office</v>
      </c>
      <c r="L17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2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720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1720" s="1" t="str">
        <f ca="1">IFERROR(__xludf.DUMMYFUNCTION("""COMPUTED_VALUE"""),"Manager who explains what is expected, sets a goal and helps achieve it")</f>
        <v>Manager who explains what is expected, sets a goal and helps achieve it</v>
      </c>
      <c r="P1720" s="1" t="str">
        <f ca="1">IFERROR(__xludf.DUMMYFUNCTION("""COMPUTED_VALUE"""),"Work with 5 to 6 people in my team")</f>
        <v>Work with 5 to 6 people in my team</v>
      </c>
      <c r="Q1720" s="1" t="str">
        <f ca="1">IFERROR(__xludf.DUMMYFUNCTION("""COMPUTED_VALUE"""),"Yes, I Understand this is gonna happen everywhere")</f>
        <v>Yes, I Understand this is gonna happen everywhere</v>
      </c>
      <c r="R1720" s="1" t="str">
        <f ca="1">IFERROR(__xludf.DUMMYFUNCTION("""COMPUTED_VALUE"""),"This will be hard to do, but if it is the right company I would try")</f>
        <v>This will be hard to do, but if it is the right company I would try</v>
      </c>
      <c r="S1720" s="1"/>
    </row>
    <row r="1721" spans="1:19" ht="12.5" x14ac:dyDescent="0.25">
      <c r="A1721" s="2">
        <f ca="1">IFERROR(__xludf.DUMMYFUNCTION("""COMPUTED_VALUE"""),45047.9081729976)</f>
        <v>45047.908172997602</v>
      </c>
      <c r="B1721" s="1" t="str">
        <f ca="1">IFERROR(__xludf.DUMMYFUNCTION("""COMPUTED_VALUE"""),"India")</f>
        <v>India</v>
      </c>
      <c r="C1721" s="1">
        <f ca="1">IFERROR(__xludf.DUMMYFUNCTION("""COMPUTED_VALUE"""),382421)</f>
        <v>382421</v>
      </c>
      <c r="D1721" s="1" t="str">
        <f ca="1">IFERROR(__xludf.DUMMYFUNCTION("""COMPUTED_VALUE"""),"Male")</f>
        <v>Male</v>
      </c>
      <c r="E1721" s="1" t="str">
        <f ca="1">IFERROR(__xludf.DUMMYFUNCTION("""COMPUTED_VALUE"""),"My Parents")</f>
        <v>My Parents</v>
      </c>
      <c r="F1721" s="1" t="str">
        <f ca="1">IFERROR(__xludf.DUMMYFUNCTION("""COMPUTED_VALUE"""),"Yes, I will earn and do that")</f>
        <v>Yes, I will earn and do that</v>
      </c>
      <c r="G1721" s="1" t="str">
        <f ca="1">IFERROR(__xludf.DUMMYFUNCTION("""COMPUTED_VALUE"""),"Will work for 3 years or more")</f>
        <v>Will work for 3 years or more</v>
      </c>
      <c r="H1721" s="1" t="str">
        <f ca="1">IFERROR(__xludf.DUMMYFUNCTION("""COMPUTED_VALUE"""),"No")</f>
        <v>No</v>
      </c>
      <c r="I1721" s="1" t="str">
        <f ca="1">IFERROR(__xludf.DUMMYFUNCTION("""COMPUTED_VALUE"""),"Will NOT work for them")</f>
        <v>Will NOT work for them</v>
      </c>
      <c r="J1721" s="1">
        <f ca="1">IFERROR(__xludf.DUMMYFUNCTION("""COMPUTED_VALUE"""),3)</f>
        <v>3</v>
      </c>
      <c r="K1721" s="1" t="str">
        <f ca="1">IFERROR(__xludf.DUMMYFUNCTION("""COMPUTED_VALUE"""),"Every Day Office Environment")</f>
        <v>Every Day Office Environment</v>
      </c>
      <c r="L17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2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21" s="1" t="str">
        <f ca="1">IFERROR(__xludf.DUMMYFUNCTION("""COMPUTED_VALUE"""),"Design and Creative strategy in any company, Teaching in any of the institutes/colleges/online or offline, Business Operations in any organization, Design and Develop amazing software")</f>
        <v>Design and Creative strategy in any company, Teaching in any of the institutes/colleges/online or offline, Business Operations in any organization, Design and Develop amazing software</v>
      </c>
      <c r="O1721" s="1" t="str">
        <f ca="1">IFERROR(__xludf.DUMMYFUNCTION("""COMPUTED_VALUE"""),"Manager who clearly describes what she/he needs")</f>
        <v>Manager who clearly describes what she/he needs</v>
      </c>
      <c r="P1721" s="1" t="str">
        <f ca="1">IFERROR(__xludf.DUMMYFUNCTION("""COMPUTED_VALUE"""),"Work with 7 to 10 or more people in my team")</f>
        <v>Work with 7 to 10 or more people in my team</v>
      </c>
      <c r="Q1721" s="1" t="str">
        <f ca="1">IFERROR(__xludf.DUMMYFUNCTION("""COMPUTED_VALUE"""),"No")</f>
        <v>No</v>
      </c>
      <c r="R1721" s="1" t="str">
        <f ca="1">IFERROR(__xludf.DUMMYFUNCTION("""COMPUTED_VALUE"""),"Will work for 7 years or more")</f>
        <v>Will work for 7 years or more</v>
      </c>
      <c r="S1721" s="1"/>
    </row>
    <row r="1722" spans="1:19" ht="12.5" x14ac:dyDescent="0.25">
      <c r="A1722" s="2">
        <f ca="1">IFERROR(__xludf.DUMMYFUNCTION("""COMPUTED_VALUE"""),45047.91073875)</f>
        <v>45047.910738749997</v>
      </c>
      <c r="B1722" s="1" t="str">
        <f ca="1">IFERROR(__xludf.DUMMYFUNCTION("""COMPUTED_VALUE"""),"India")</f>
        <v>India</v>
      </c>
      <c r="C1722" s="1">
        <f ca="1">IFERROR(__xludf.DUMMYFUNCTION("""COMPUTED_VALUE"""),382470)</f>
        <v>382470</v>
      </c>
      <c r="D1722" s="1" t="str">
        <f ca="1">IFERROR(__xludf.DUMMYFUNCTION("""COMPUTED_VALUE"""),"Male")</f>
        <v>Male</v>
      </c>
      <c r="E1722" s="1" t="str">
        <f ca="1">IFERROR(__xludf.DUMMYFUNCTION("""COMPUTED_VALUE"""),"People from my circle, but not family members")</f>
        <v>People from my circle, but not family members</v>
      </c>
      <c r="F1722" s="1" t="str">
        <f ca="1">IFERROR(__xludf.DUMMYFUNCTION("""COMPUTED_VALUE"""),"No I would not be pursuing Higher Education outside of India")</f>
        <v>No I would not be pursuing Higher Education outside of India</v>
      </c>
      <c r="G1722" s="1" t="str">
        <f ca="1">IFERROR(__xludf.DUMMYFUNCTION("""COMPUTED_VALUE"""),"Will work for 3 years or more")</f>
        <v>Will work for 3 years or more</v>
      </c>
      <c r="H1722" s="1" t="str">
        <f ca="1">IFERROR(__xludf.DUMMYFUNCTION("""COMPUTED_VALUE"""),"No")</f>
        <v>No</v>
      </c>
      <c r="I1722" s="1" t="str">
        <f ca="1">IFERROR(__xludf.DUMMYFUNCTION("""COMPUTED_VALUE"""),"Will NOT work for them")</f>
        <v>Will NOT work for them</v>
      </c>
      <c r="J1722" s="1">
        <f ca="1">IFERROR(__xludf.DUMMYFUNCTION("""COMPUTED_VALUE"""),5)</f>
        <v>5</v>
      </c>
      <c r="K1722" s="1" t="str">
        <f ca="1">IFERROR(__xludf.DUMMYFUNCTION("""COMPUTED_VALUE"""),"Every Day Office Environment")</f>
        <v>Every Day Office Environment</v>
      </c>
      <c r="L1722" s="1" t="str">
        <f ca="1">IFERROR(__xludf.DUMMYFUNCTION("""COMPUTED_VALUE"""),"Employer who appreciates learning and enables that environment")</f>
        <v>Employer who appreciates learning and enables that environment</v>
      </c>
      <c r="M172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722" s="1" t="str">
        <f ca="1">IFERROR(__xludf.DUMMYFUNCTION("""COMPUTED_VALUE"""),"Teaching in any of the institutes/colleges/online or offline, Manage and drive End-to-End Projects or Products, Look deeply into Data and generate insights, An Artificial Intelligence Specialist / Talking to Robots")</f>
        <v>Teaching in any of the institutes/colleges/online or offline, Manage and drive End-to-End Projects or Products, Look deeply into Data and generate insights, An Artificial Intelligence Specialist / Talking to Robots</v>
      </c>
      <c r="O1722" s="1" t="str">
        <f ca="1">IFERROR(__xludf.DUMMYFUNCTION("""COMPUTED_VALUE"""),"Manager who sets goal and helps me achieve it")</f>
        <v>Manager who sets goal and helps me achieve it</v>
      </c>
      <c r="P1722" s="1" t="str">
        <f ca="1">IFERROR(__xludf.DUMMYFUNCTION("""COMPUTED_VALUE"""),"Work with more than 10 people in my team")</f>
        <v>Work with more than 10 people in my team</v>
      </c>
      <c r="Q1722" s="1" t="str">
        <f ca="1">IFERROR(__xludf.DUMMYFUNCTION("""COMPUTED_VALUE"""),"Yes")</f>
        <v>Yes</v>
      </c>
      <c r="R1722" s="1" t="str">
        <f ca="1">IFERROR(__xludf.DUMMYFUNCTION("""COMPUTED_VALUE"""),"This will be hard to do, but if it is the right company I would try")</f>
        <v>This will be hard to do, but if it is the right company I would try</v>
      </c>
      <c r="S1722" s="1"/>
    </row>
    <row r="1723" spans="1:19" ht="12.5" x14ac:dyDescent="0.25">
      <c r="A1723" s="2">
        <f ca="1">IFERROR(__xludf.DUMMYFUNCTION("""COMPUTED_VALUE"""),45047.9135722685)</f>
        <v>45047.913572268502</v>
      </c>
      <c r="B1723" s="1" t="str">
        <f ca="1">IFERROR(__xludf.DUMMYFUNCTION("""COMPUTED_VALUE"""),"India")</f>
        <v>India</v>
      </c>
      <c r="C1723" s="1">
        <f ca="1">IFERROR(__xludf.DUMMYFUNCTION("""COMPUTED_VALUE"""),380005)</f>
        <v>380005</v>
      </c>
      <c r="D1723" s="1" t="str">
        <f ca="1">IFERROR(__xludf.DUMMYFUNCTION("""COMPUTED_VALUE"""),"Male")</f>
        <v>Male</v>
      </c>
      <c r="E1723" s="1" t="str">
        <f ca="1">IFERROR(__xludf.DUMMYFUNCTION("""COMPUTED_VALUE"""),"People who have changed the world for better")</f>
        <v>People who have changed the world for better</v>
      </c>
      <c r="F1723" s="1" t="str">
        <f ca="1">IFERROR(__xludf.DUMMYFUNCTION("""COMPUTED_VALUE"""),"No I would not be pursuing Higher Education outside of India")</f>
        <v>No I would not be pursuing Higher Education outside of India</v>
      </c>
      <c r="G1723" s="1" t="str">
        <f ca="1">IFERROR(__xludf.DUMMYFUNCTION("""COMPUTED_VALUE"""),"Will work for 3 years or more")</f>
        <v>Will work for 3 years or more</v>
      </c>
      <c r="H1723" s="1" t="str">
        <f ca="1">IFERROR(__xludf.DUMMYFUNCTION("""COMPUTED_VALUE"""),"No")</f>
        <v>No</v>
      </c>
      <c r="I1723" s="1" t="str">
        <f ca="1">IFERROR(__xludf.DUMMYFUNCTION("""COMPUTED_VALUE"""),"Will NOT work for them")</f>
        <v>Will NOT work for them</v>
      </c>
      <c r="J1723" s="1">
        <f ca="1">IFERROR(__xludf.DUMMYFUNCTION("""COMPUTED_VALUE"""),2)</f>
        <v>2</v>
      </c>
      <c r="K1723" s="1" t="str">
        <f ca="1">IFERROR(__xludf.DUMMYFUNCTION("""COMPUTED_VALUE"""),"Hybrid Working Environment with less than 3 days a month at office")</f>
        <v>Hybrid Working Environment with less than 3 days a month at office</v>
      </c>
      <c r="L17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2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23" s="1" t="str">
        <f ca="1">IFERROR(__xludf.DUMMYFUNCTION("""COMPUTED_VALUE"""),"Design and Creative strategy in any company, Business Operations in any organization, Manage and drive End-to-End Projects or Products, I Want to sell things/Sales")</f>
        <v>Design and Creative strategy in any company, Business Operations in any organization, Manage and drive End-to-End Projects or Products, I Want to sell things/Sales</v>
      </c>
      <c r="O1723" s="1" t="str">
        <f ca="1">IFERROR(__xludf.DUMMYFUNCTION("""COMPUTED_VALUE"""),"Manager who explains what is expected, sets a goal and helps achieve it")</f>
        <v>Manager who explains what is expected, sets a goal and helps achieve it</v>
      </c>
      <c r="P1723" s="1" t="str">
        <f ca="1">IFERROR(__xludf.DUMMYFUNCTION("""COMPUTED_VALUE"""),"Work with 7 to 10 or more people in my team")</f>
        <v>Work with 7 to 10 or more people in my team</v>
      </c>
      <c r="Q1723" s="1" t="str">
        <f ca="1">IFERROR(__xludf.DUMMYFUNCTION("""COMPUTED_VALUE"""),"Yes, I Understand this is gonna happen everywhere")</f>
        <v>Yes, I Understand this is gonna happen everywhere</v>
      </c>
      <c r="R1723" s="1" t="str">
        <f ca="1">IFERROR(__xludf.DUMMYFUNCTION("""COMPUTED_VALUE"""),"This will be hard to do, but if it is the right company I would try")</f>
        <v>This will be hard to do, but if it is the right company I would try</v>
      </c>
      <c r="S1723" s="1"/>
    </row>
    <row r="1724" spans="1:19" ht="12.5" x14ac:dyDescent="0.25">
      <c r="A1724" s="2">
        <f ca="1">IFERROR(__xludf.DUMMYFUNCTION("""COMPUTED_VALUE"""),45047.9185322222)</f>
        <v>45047.918532222197</v>
      </c>
      <c r="B1724" s="1" t="str">
        <f ca="1">IFERROR(__xludf.DUMMYFUNCTION("""COMPUTED_VALUE"""),"India")</f>
        <v>India</v>
      </c>
      <c r="C1724" s="1">
        <f ca="1">IFERROR(__xludf.DUMMYFUNCTION("""COMPUTED_VALUE"""),382424)</f>
        <v>382424</v>
      </c>
      <c r="D1724" s="1" t="str">
        <f ca="1">IFERROR(__xludf.DUMMYFUNCTION("""COMPUTED_VALUE"""),"Male")</f>
        <v>Male</v>
      </c>
      <c r="E1724" s="1" t="str">
        <f ca="1">IFERROR(__xludf.DUMMYFUNCTION("""COMPUTED_VALUE"""),"My Parents")</f>
        <v>My Parents</v>
      </c>
      <c r="F1724" s="1" t="str">
        <f ca="1">IFERROR(__xludf.DUMMYFUNCTION("""COMPUTED_VALUE"""),"No, But if someone could bare the cost I will")</f>
        <v>No, But if someone could bare the cost I will</v>
      </c>
      <c r="G1724" s="1" t="str">
        <f ca="1">IFERROR(__xludf.DUMMYFUNCTION("""COMPUTED_VALUE"""),"This will be hard to do, but if it is the right company I would try")</f>
        <v>This will be hard to do, but if it is the right company I would try</v>
      </c>
      <c r="H1724" s="1" t="str">
        <f ca="1">IFERROR(__xludf.DUMMYFUNCTION("""COMPUTED_VALUE"""),"No")</f>
        <v>No</v>
      </c>
      <c r="I1724" s="1" t="str">
        <f ca="1">IFERROR(__xludf.DUMMYFUNCTION("""COMPUTED_VALUE"""),"Will NOT work for them")</f>
        <v>Will NOT work for them</v>
      </c>
      <c r="J1724" s="1">
        <f ca="1">IFERROR(__xludf.DUMMYFUNCTION("""COMPUTED_VALUE"""),8)</f>
        <v>8</v>
      </c>
      <c r="K1724" s="1" t="str">
        <f ca="1">IFERROR(__xludf.DUMMYFUNCTION("""COMPUTED_VALUE"""),"Hybrid Working Environment with less than 3 days a month at office")</f>
        <v>Hybrid Working Environment with less than 3 days a month at office</v>
      </c>
      <c r="L1724" s="1" t="str">
        <f ca="1">IFERROR(__xludf.DUMMYFUNCTION("""COMPUTED_VALUE"""),"Employer who rewards learning and enables that environment")</f>
        <v>Employer who rewards learning and enables that environment</v>
      </c>
      <c r="M172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24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1724" s="1" t="str">
        <f ca="1">IFERROR(__xludf.DUMMYFUNCTION("""COMPUTED_VALUE"""),"Manager who explains what is expected, sets a goal and helps achieve it")</f>
        <v>Manager who explains what is expected, sets a goal and helps achieve it</v>
      </c>
      <c r="P1724" s="1" t="str">
        <f ca="1">IFERROR(__xludf.DUMMYFUNCTION("""COMPUTED_VALUE"""),"Work with 5 to 6 people in my team")</f>
        <v>Work with 5 to 6 people in my team</v>
      </c>
      <c r="Q1724" s="1" t="str">
        <f ca="1">IFERROR(__xludf.DUMMYFUNCTION("""COMPUTED_VALUE"""),"Yes, I Understand this is gonna happen everywhere")</f>
        <v>Yes, I Understand this is gonna happen everywhere</v>
      </c>
      <c r="R1724" s="1" t="str">
        <f ca="1">IFERROR(__xludf.DUMMYFUNCTION("""COMPUTED_VALUE"""),"This will be hard to do, but if it is the right company I would try")</f>
        <v>This will be hard to do, but if it is the right company I would try</v>
      </c>
      <c r="S1724" s="1"/>
    </row>
    <row r="1725" spans="1:19" ht="12.5" x14ac:dyDescent="0.25">
      <c r="A1725" s="2">
        <f ca="1">IFERROR(__xludf.DUMMYFUNCTION("""COMPUTED_VALUE"""),45047.9193210879)</f>
        <v>45047.919321087902</v>
      </c>
      <c r="B1725" s="1" t="str">
        <f ca="1">IFERROR(__xludf.DUMMYFUNCTION("""COMPUTED_VALUE"""),"India")</f>
        <v>India</v>
      </c>
      <c r="C1725" s="1">
        <f ca="1">IFERROR(__xludf.DUMMYFUNCTION("""COMPUTED_VALUE"""),382424)</f>
        <v>382424</v>
      </c>
      <c r="D1725" s="1" t="str">
        <f ca="1">IFERROR(__xludf.DUMMYFUNCTION("""COMPUTED_VALUE"""),"Male")</f>
        <v>Male</v>
      </c>
      <c r="E1725" s="1" t="str">
        <f ca="1">IFERROR(__xludf.DUMMYFUNCTION("""COMPUTED_VALUE"""),"My Parents")</f>
        <v>My Parents</v>
      </c>
      <c r="F1725" s="1" t="str">
        <f ca="1">IFERROR(__xludf.DUMMYFUNCTION("""COMPUTED_VALUE"""),"No, But if someone could bare the cost I will")</f>
        <v>No, But if someone could bare the cost I will</v>
      </c>
      <c r="G1725" s="1" t="str">
        <f ca="1">IFERROR(__xludf.DUMMYFUNCTION("""COMPUTED_VALUE"""),"Will work for 3 years or more")</f>
        <v>Will work for 3 years or more</v>
      </c>
      <c r="H1725" s="1" t="str">
        <f ca="1">IFERROR(__xludf.DUMMYFUNCTION("""COMPUTED_VALUE"""),"No")</f>
        <v>No</v>
      </c>
      <c r="I1725" s="1" t="str">
        <f ca="1">IFERROR(__xludf.DUMMYFUNCTION("""COMPUTED_VALUE"""),"Will NOT work for them")</f>
        <v>Will NOT work for them</v>
      </c>
      <c r="J1725" s="1">
        <f ca="1">IFERROR(__xludf.DUMMYFUNCTION("""COMPUTED_VALUE"""),10)</f>
        <v>10</v>
      </c>
      <c r="K1725" s="1" t="str">
        <f ca="1">IFERROR(__xludf.DUMMYFUNCTION("""COMPUTED_VALUE"""),"Hybrid Working Environment with more than 15 days a month at office")</f>
        <v>Hybrid Working Environment with more than 15 days a month at office</v>
      </c>
      <c r="L17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2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725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1725" s="1" t="str">
        <f ca="1">IFERROR(__xludf.DUMMYFUNCTION("""COMPUTED_VALUE"""),"Manager who sets goal and helps me achieve it")</f>
        <v>Manager who sets goal and helps me achieve it</v>
      </c>
      <c r="P1725" s="1" t="str">
        <f ca="1">IFERROR(__xludf.DUMMYFUNCTION("""COMPUTED_VALUE"""),"Work with more than 10 people in my team")</f>
        <v>Work with more than 10 people in my team</v>
      </c>
      <c r="Q1725" s="1" t="str">
        <f ca="1">IFERROR(__xludf.DUMMYFUNCTION("""COMPUTED_VALUE"""),"No")</f>
        <v>No</v>
      </c>
      <c r="R1725" s="1" t="str">
        <f ca="1">IFERROR(__xludf.DUMMYFUNCTION("""COMPUTED_VALUE"""),"Will work for 7 years or more")</f>
        <v>Will work for 7 years or more</v>
      </c>
      <c r="S1725" s="1"/>
    </row>
    <row r="1726" spans="1:19" ht="12.5" x14ac:dyDescent="0.25">
      <c r="A1726" s="2">
        <f ca="1">IFERROR(__xludf.DUMMYFUNCTION("""COMPUTED_VALUE"""),45047.9219332291)</f>
        <v>45047.921933229103</v>
      </c>
      <c r="B1726" s="1" t="str">
        <f ca="1">IFERROR(__xludf.DUMMYFUNCTION("""COMPUTED_VALUE"""),"India")</f>
        <v>India</v>
      </c>
      <c r="C1726" s="1">
        <f ca="1">IFERROR(__xludf.DUMMYFUNCTION("""COMPUTED_VALUE"""),382421)</f>
        <v>382421</v>
      </c>
      <c r="D1726" s="1" t="str">
        <f ca="1">IFERROR(__xludf.DUMMYFUNCTION("""COMPUTED_VALUE"""),"Male")</f>
        <v>Male</v>
      </c>
      <c r="E1726" s="1" t="str">
        <f ca="1">IFERROR(__xludf.DUMMYFUNCTION("""COMPUTED_VALUE"""),"People from my circle, but not family members")</f>
        <v>People from my circle, but not family members</v>
      </c>
      <c r="F1726" s="1" t="str">
        <f ca="1">IFERROR(__xludf.DUMMYFUNCTION("""COMPUTED_VALUE"""),"Yes, I will earn and do that")</f>
        <v>Yes, I will earn and do that</v>
      </c>
      <c r="G1726" s="1" t="str">
        <f ca="1">IFERROR(__xludf.DUMMYFUNCTION("""COMPUTED_VALUE"""),"No way")</f>
        <v>No way</v>
      </c>
      <c r="H1726" s="1" t="str">
        <f ca="1">IFERROR(__xludf.DUMMYFUNCTION("""COMPUTED_VALUE"""),"Yes")</f>
        <v>Yes</v>
      </c>
      <c r="I1726" s="1" t="str">
        <f ca="1">IFERROR(__xludf.DUMMYFUNCTION("""COMPUTED_VALUE"""),"Will NOT work for them")</f>
        <v>Will NOT work for them</v>
      </c>
      <c r="J1726" s="1">
        <f ca="1">IFERROR(__xludf.DUMMYFUNCTION("""COMPUTED_VALUE"""),3)</f>
        <v>3</v>
      </c>
      <c r="K1726" s="1" t="str">
        <f ca="1">IFERROR(__xludf.DUMMYFUNCTION("""COMPUTED_VALUE"""),"Fully Remote with Options to travel as and when needed")</f>
        <v>Fully Remote with Options to travel as and when needed</v>
      </c>
      <c r="L1726" s="1" t="str">
        <f ca="1">IFERROR(__xludf.DUMMYFUNCTION("""COMPUTED_VALUE"""),"Employer who appreciates learning and enables that environment")</f>
        <v>Employer who appreciates learning and enables that environment</v>
      </c>
      <c r="M172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26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7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726" s="1" t="str">
        <f ca="1">IFERROR(__xludf.DUMMYFUNCTION("""COMPUTED_VALUE"""),"Work with 2 to 3 people in my team")</f>
        <v>Work with 2 to 3 people in my team</v>
      </c>
      <c r="Q1726" s="1" t="str">
        <f ca="1">IFERROR(__xludf.DUMMYFUNCTION("""COMPUTED_VALUE"""),"Yes, I Understand this is gonna happen everywhere")</f>
        <v>Yes, I Understand this is gonna happen everywhere</v>
      </c>
      <c r="R1726" s="1" t="str">
        <f ca="1">IFERROR(__xludf.DUMMYFUNCTION("""COMPUTED_VALUE"""),"This will be hard to do, but if it is the right company I would try")</f>
        <v>This will be hard to do, but if it is the right company I would try</v>
      </c>
      <c r="S1726" s="1"/>
    </row>
    <row r="1727" spans="1:19" ht="12.5" x14ac:dyDescent="0.25">
      <c r="A1727" s="2">
        <f ca="1">IFERROR(__xludf.DUMMYFUNCTION("""COMPUTED_VALUE"""),45047.9250033912)</f>
        <v>45047.925003391203</v>
      </c>
      <c r="B1727" s="1" t="str">
        <f ca="1">IFERROR(__xludf.DUMMYFUNCTION("""COMPUTED_VALUE"""),"India")</f>
        <v>India</v>
      </c>
      <c r="C1727" s="1">
        <f ca="1">IFERROR(__xludf.DUMMYFUNCTION("""COMPUTED_VALUE"""),380019)</f>
        <v>380019</v>
      </c>
      <c r="D1727" s="1" t="str">
        <f ca="1">IFERROR(__xludf.DUMMYFUNCTION("""COMPUTED_VALUE"""),"Male")</f>
        <v>Male</v>
      </c>
      <c r="E1727" s="1" t="str">
        <f ca="1">IFERROR(__xludf.DUMMYFUNCTION("""COMPUTED_VALUE"""),"People from my circle, but not family members")</f>
        <v>People from my circle, but not family members</v>
      </c>
      <c r="F1727" s="1" t="str">
        <f ca="1">IFERROR(__xludf.DUMMYFUNCTION("""COMPUTED_VALUE"""),"Yes, I will earn and do that")</f>
        <v>Yes, I will earn and do that</v>
      </c>
      <c r="G1727" s="1" t="str">
        <f ca="1">IFERROR(__xludf.DUMMYFUNCTION("""COMPUTED_VALUE"""),"Will work for 3 years or more")</f>
        <v>Will work for 3 years or more</v>
      </c>
      <c r="H1727" s="1" t="str">
        <f ca="1">IFERROR(__xludf.DUMMYFUNCTION("""COMPUTED_VALUE"""),"No")</f>
        <v>No</v>
      </c>
      <c r="I1727" s="1" t="str">
        <f ca="1">IFERROR(__xludf.DUMMYFUNCTION("""COMPUTED_VALUE"""),"Will work for them")</f>
        <v>Will work for them</v>
      </c>
      <c r="J1727" s="1">
        <f ca="1">IFERROR(__xludf.DUMMYFUNCTION("""COMPUTED_VALUE"""),5)</f>
        <v>5</v>
      </c>
      <c r="K1727" s="1" t="str">
        <f ca="1">IFERROR(__xludf.DUMMYFUNCTION("""COMPUTED_VALUE"""),"Hybrid Working Environment with less than 3 days a month at office")</f>
        <v>Hybrid Working Environment with less than 3 days a month at office</v>
      </c>
      <c r="L17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2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27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1727" s="1" t="str">
        <f ca="1">IFERROR(__xludf.DUMMYFUNCTION("""COMPUTED_VALUE"""),"Manager who sets goal and helps me achieve it")</f>
        <v>Manager who sets goal and helps me achieve it</v>
      </c>
      <c r="P172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727" s="1" t="str">
        <f ca="1">IFERROR(__xludf.DUMMYFUNCTION("""COMPUTED_VALUE"""),"Yes, I Understand this is gonna happen everywhere")</f>
        <v>Yes, I Understand this is gonna happen everywhere</v>
      </c>
      <c r="R1727" s="1" t="str">
        <f ca="1">IFERROR(__xludf.DUMMYFUNCTION("""COMPUTED_VALUE"""),"This will be hard to do, but if it is the right company I would try")</f>
        <v>This will be hard to do, but if it is the right company I would try</v>
      </c>
      <c r="S1727" s="1"/>
    </row>
    <row r="1728" spans="1:19" ht="12.5" x14ac:dyDescent="0.25">
      <c r="A1728" s="2">
        <f ca="1">IFERROR(__xludf.DUMMYFUNCTION("""COMPUTED_VALUE"""),45047.9434096296)</f>
        <v>45047.943409629603</v>
      </c>
      <c r="B1728" s="1" t="str">
        <f ca="1">IFERROR(__xludf.DUMMYFUNCTION("""COMPUTED_VALUE"""),"India")</f>
        <v>India</v>
      </c>
      <c r="C1728" s="1">
        <f ca="1">IFERROR(__xludf.DUMMYFUNCTION("""COMPUTED_VALUE"""),382421)</f>
        <v>382421</v>
      </c>
      <c r="D1728" s="1" t="str">
        <f ca="1">IFERROR(__xludf.DUMMYFUNCTION("""COMPUTED_VALUE"""),"Male")</f>
        <v>Male</v>
      </c>
      <c r="E1728" s="1" t="str">
        <f ca="1">IFERROR(__xludf.DUMMYFUNCTION("""COMPUTED_VALUE"""),"My Parents")</f>
        <v>My Parents</v>
      </c>
      <c r="F1728" s="1" t="str">
        <f ca="1">IFERROR(__xludf.DUMMYFUNCTION("""COMPUTED_VALUE"""),"No I would not be pursuing Higher Education outside of India")</f>
        <v>No I would not be pursuing Higher Education outside of India</v>
      </c>
      <c r="G1728" s="1" t="str">
        <f ca="1">IFERROR(__xludf.DUMMYFUNCTION("""COMPUTED_VALUE"""),"This will be hard to do, but if it is the right company I would try")</f>
        <v>This will be hard to do, but if it is the right company I would try</v>
      </c>
      <c r="H1728" s="1" t="str">
        <f ca="1">IFERROR(__xludf.DUMMYFUNCTION("""COMPUTED_VALUE"""),"No")</f>
        <v>No</v>
      </c>
      <c r="I1728" s="1" t="str">
        <f ca="1">IFERROR(__xludf.DUMMYFUNCTION("""COMPUTED_VALUE"""),"Will NOT work for them")</f>
        <v>Will NOT work for them</v>
      </c>
      <c r="J1728" s="1">
        <f ca="1">IFERROR(__xludf.DUMMYFUNCTION("""COMPUTED_VALUE"""),1)</f>
        <v>1</v>
      </c>
      <c r="K1728" s="1" t="str">
        <f ca="1">IFERROR(__xludf.DUMMYFUNCTION("""COMPUTED_VALUE"""),"Every Day Office Environment")</f>
        <v>Every Day Office Environment</v>
      </c>
      <c r="L1728" s="1" t="str">
        <f ca="1">IFERROR(__xludf.DUMMYFUNCTION("""COMPUTED_VALUE"""),"Employer who rewards learning and enables that environment")</f>
        <v>Employer who rewards learning and enables that environment</v>
      </c>
      <c r="M172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728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1728" s="1" t="str">
        <f ca="1">IFERROR(__xludf.DUMMYFUNCTION("""COMPUTED_VALUE"""),"Manager who clearly describes what she/he needs")</f>
        <v>Manager who clearly describes what she/he needs</v>
      </c>
      <c r="P1728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728" s="1" t="str">
        <f ca="1">IFERROR(__xludf.DUMMYFUNCTION("""COMPUTED_VALUE"""),"No")</f>
        <v>No</v>
      </c>
      <c r="R1728" s="1" t="str">
        <f ca="1">IFERROR(__xludf.DUMMYFUNCTION("""COMPUTED_VALUE"""),"This will be hard to do, but if it is the right company I would try")</f>
        <v>This will be hard to do, but if it is the right company I would try</v>
      </c>
      <c r="S1728" s="1"/>
    </row>
    <row r="1729" spans="1:19" ht="12.5" x14ac:dyDescent="0.25">
      <c r="A1729" s="2">
        <f ca="1">IFERROR(__xludf.DUMMYFUNCTION("""COMPUTED_VALUE"""),45048.2153501388)</f>
        <v>45048.215350138802</v>
      </c>
      <c r="B1729" s="1" t="str">
        <f ca="1">IFERROR(__xludf.DUMMYFUNCTION("""COMPUTED_VALUE"""),"India")</f>
        <v>India</v>
      </c>
      <c r="C1729" s="1">
        <f ca="1">IFERROR(__xludf.DUMMYFUNCTION("""COMPUTED_VALUE"""),144411)</f>
        <v>144411</v>
      </c>
      <c r="D1729" s="1" t="str">
        <f ca="1">IFERROR(__xludf.DUMMYFUNCTION("""COMPUTED_VALUE"""),"Male")</f>
        <v>Male</v>
      </c>
      <c r="E1729" s="1" t="str">
        <f ca="1">IFERROR(__xludf.DUMMYFUNCTION("""COMPUTED_VALUE"""),"My Parents")</f>
        <v>My Parents</v>
      </c>
      <c r="F1729" s="1" t="str">
        <f ca="1">IFERROR(__xludf.DUMMYFUNCTION("""COMPUTED_VALUE"""),"No, But if someone could bare the cost I will")</f>
        <v>No, But if someone could bare the cost I will</v>
      </c>
      <c r="G1729" s="1" t="str">
        <f ca="1">IFERROR(__xludf.DUMMYFUNCTION("""COMPUTED_VALUE"""),"This will be hard to do, but if it is the right company I would try")</f>
        <v>This will be hard to do, but if it is the right company I would try</v>
      </c>
      <c r="H1729" s="1" t="str">
        <f ca="1">IFERROR(__xludf.DUMMYFUNCTION("""COMPUTED_VALUE"""),"No")</f>
        <v>No</v>
      </c>
      <c r="I1729" s="1" t="str">
        <f ca="1">IFERROR(__xludf.DUMMYFUNCTION("""COMPUTED_VALUE"""),"Will NOT work for them")</f>
        <v>Will NOT work for them</v>
      </c>
      <c r="J1729" s="1">
        <f ca="1">IFERROR(__xludf.DUMMYFUNCTION("""COMPUTED_VALUE"""),1)</f>
        <v>1</v>
      </c>
      <c r="K1729" s="1" t="str">
        <f ca="1">IFERROR(__xludf.DUMMYFUNCTION("""COMPUTED_VALUE"""),"Every Day Office Environment")</f>
        <v>Every Day Office Environment</v>
      </c>
      <c r="L17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2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29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729" s="1" t="str">
        <f ca="1">IFERROR(__xludf.DUMMYFUNCTION("""COMPUTED_VALUE"""),"Manager who explains what is expected, sets a goal and helps achieve it")</f>
        <v>Manager who explains what is expected, sets a goal and helps achieve it</v>
      </c>
      <c r="P1729" s="1" t="str">
        <f ca="1">IFERROR(__xludf.DUMMYFUNCTION("""COMPUTED_VALUE"""),"Work with 5 to 6 people in my team")</f>
        <v>Work with 5 to 6 people in my team</v>
      </c>
      <c r="Q1729" s="1" t="str">
        <f ca="1">IFERROR(__xludf.DUMMYFUNCTION("""COMPUTED_VALUE"""),"No")</f>
        <v>No</v>
      </c>
      <c r="R1729" s="1" t="str">
        <f ca="1">IFERROR(__xludf.DUMMYFUNCTION("""COMPUTED_VALUE"""),"This will be hard to do, but if it is the right company I would try")</f>
        <v>This will be hard to do, but if it is the right company I would try</v>
      </c>
      <c r="S1729" s="1"/>
    </row>
    <row r="1730" spans="1:19" ht="12.5" x14ac:dyDescent="0.25">
      <c r="A1730" s="2">
        <f ca="1">IFERROR(__xludf.DUMMYFUNCTION("""COMPUTED_VALUE"""),45048.2312286921)</f>
        <v>45048.231228692101</v>
      </c>
      <c r="B1730" s="1" t="str">
        <f ca="1">IFERROR(__xludf.DUMMYFUNCTION("""COMPUTED_VALUE"""),"India")</f>
        <v>India</v>
      </c>
      <c r="C1730" s="1">
        <f ca="1">IFERROR(__xludf.DUMMYFUNCTION("""COMPUTED_VALUE"""),600122)</f>
        <v>600122</v>
      </c>
      <c r="D1730" s="1" t="str">
        <f ca="1">IFERROR(__xludf.DUMMYFUNCTION("""COMPUTED_VALUE"""),"Male")</f>
        <v>Male</v>
      </c>
      <c r="E1730" s="1" t="str">
        <f ca="1">IFERROR(__xludf.DUMMYFUNCTION("""COMPUTED_VALUE"""),"People from my circle, but not family members")</f>
        <v>People from my circle, but not family members</v>
      </c>
      <c r="F1730" s="1" t="str">
        <f ca="1">IFERROR(__xludf.DUMMYFUNCTION("""COMPUTED_VALUE"""),"No, But if someone could bare the cost I will")</f>
        <v>No, But if someone could bare the cost I will</v>
      </c>
      <c r="G1730" s="1" t="str">
        <f ca="1">IFERROR(__xludf.DUMMYFUNCTION("""COMPUTED_VALUE"""),"This will be hard to do, but if it is the right company I would try")</f>
        <v>This will be hard to do, but if it is the right company I would try</v>
      </c>
      <c r="H1730" s="1" t="str">
        <f ca="1">IFERROR(__xludf.DUMMYFUNCTION("""COMPUTED_VALUE"""),"No")</f>
        <v>No</v>
      </c>
      <c r="I1730" s="1" t="str">
        <f ca="1">IFERROR(__xludf.DUMMYFUNCTION("""COMPUTED_VALUE"""),"Will NOT work for them")</f>
        <v>Will NOT work for them</v>
      </c>
      <c r="J1730" s="1">
        <f ca="1">IFERROR(__xludf.DUMMYFUNCTION("""COMPUTED_VALUE"""),4)</f>
        <v>4</v>
      </c>
      <c r="K1730" s="1" t="str">
        <f ca="1">IFERROR(__xludf.DUMMYFUNCTION("""COMPUTED_VALUE"""),"Hybrid Working Environment with more than 15 days a month at office")</f>
        <v>Hybrid Working Environment with more than 15 days a month at office</v>
      </c>
      <c r="L1730" s="1" t="str">
        <f ca="1">IFERROR(__xludf.DUMMYFUNCTION("""COMPUTED_VALUE"""),"Employer who appreciates learning and enables that environment")</f>
        <v>Employer who appreciates learning and enables that environment</v>
      </c>
      <c r="M173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30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730" s="1" t="str">
        <f ca="1">IFERROR(__xludf.DUMMYFUNCTION("""COMPUTED_VALUE"""),"Manager who clearly describes what she/he needs")</f>
        <v>Manager who clearly describes what she/he needs</v>
      </c>
      <c r="P1730" s="1" t="str">
        <f ca="1">IFERROR(__xludf.DUMMYFUNCTION("""COMPUTED_VALUE"""),"Work with 5 to 6 people in my team")</f>
        <v>Work with 5 to 6 people in my team</v>
      </c>
      <c r="Q1730" s="1" t="str">
        <f ca="1">IFERROR(__xludf.DUMMYFUNCTION("""COMPUTED_VALUE"""),"Yes, I Understand this is gonna happen everywhere")</f>
        <v>Yes, I Understand this is gonna happen everywhere</v>
      </c>
      <c r="R1730" s="1" t="str">
        <f ca="1">IFERROR(__xludf.DUMMYFUNCTION("""COMPUTED_VALUE"""),"This will be hard to do, but if it is the right company I would try")</f>
        <v>This will be hard to do, but if it is the right company I would try</v>
      </c>
      <c r="S1730" s="1"/>
    </row>
    <row r="1731" spans="1:19" ht="12.5" x14ac:dyDescent="0.25">
      <c r="A1731" s="2">
        <f ca="1">IFERROR(__xludf.DUMMYFUNCTION("""COMPUTED_VALUE"""),45048.2640454745)</f>
        <v>45048.264045474498</v>
      </c>
      <c r="B1731" s="1" t="str">
        <f ca="1">IFERROR(__xludf.DUMMYFUNCTION("""COMPUTED_VALUE"""),"India")</f>
        <v>India</v>
      </c>
      <c r="C1731" s="1">
        <f ca="1">IFERROR(__xludf.DUMMYFUNCTION("""COMPUTED_VALUE"""),380005)</f>
        <v>380005</v>
      </c>
      <c r="D1731" s="1" t="str">
        <f ca="1">IFERROR(__xludf.DUMMYFUNCTION("""COMPUTED_VALUE"""),"Male")</f>
        <v>Male</v>
      </c>
      <c r="E1731" s="1" t="str">
        <f ca="1">IFERROR(__xludf.DUMMYFUNCTION("""COMPUTED_VALUE"""),"Influencers who had successful careers")</f>
        <v>Influencers who had successful careers</v>
      </c>
      <c r="F1731" s="1" t="str">
        <f ca="1">IFERROR(__xludf.DUMMYFUNCTION("""COMPUTED_VALUE"""),"No, But if someone could bare the cost I will")</f>
        <v>No, But if someone could bare the cost I will</v>
      </c>
      <c r="G1731" s="1" t="str">
        <f ca="1">IFERROR(__xludf.DUMMYFUNCTION("""COMPUTED_VALUE"""),"Will work for 3 years or more")</f>
        <v>Will work for 3 years or more</v>
      </c>
      <c r="H1731" s="1" t="str">
        <f ca="1">IFERROR(__xludf.DUMMYFUNCTION("""COMPUTED_VALUE"""),"No")</f>
        <v>No</v>
      </c>
      <c r="I1731" s="1" t="str">
        <f ca="1">IFERROR(__xludf.DUMMYFUNCTION("""COMPUTED_VALUE"""),"Will work for them")</f>
        <v>Will work for them</v>
      </c>
      <c r="J1731" s="1">
        <f ca="1">IFERROR(__xludf.DUMMYFUNCTION("""COMPUTED_VALUE"""),8)</f>
        <v>8</v>
      </c>
      <c r="K1731" s="1" t="str">
        <f ca="1">IFERROR(__xludf.DUMMYFUNCTION("""COMPUTED_VALUE"""),"Hybrid Working Environment with more than 15 days a month at office")</f>
        <v>Hybrid Working Environment with more than 15 days a month at office</v>
      </c>
      <c r="L1731" s="1" t="str">
        <f ca="1">IFERROR(__xludf.DUMMYFUNCTION("""COMPUTED_VALUE"""),"Employer who appreciates learning and enables that environment")</f>
        <v>Employer who appreciates learning and enables that environment</v>
      </c>
      <c r="M1731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731" s="1" t="str">
        <f ca="1">IFERROR(__xludf.DUMMYFUNCTION("""COMPUTED_VALUE"""),"Business Operations in any organization, Manage and drive End-to-End Projects or Products, Work in a BPO setup for some well known client, Entrepreneur or Start Up")</f>
        <v>Business Operations in any organization, Manage and drive End-to-End Projects or Products, Work in a BPO setup for some well known client, Entrepreneur or Start Up</v>
      </c>
      <c r="O1731" s="1" t="str">
        <f ca="1">IFERROR(__xludf.DUMMYFUNCTION("""COMPUTED_VALUE"""),"Manager who clearly describes what she/he needs")</f>
        <v>Manager who clearly describes what she/he needs</v>
      </c>
      <c r="P1731" s="1" t="str">
        <f ca="1">IFERROR(__xludf.DUMMYFUNCTION("""COMPUTED_VALUE"""),"Work with 5 to 6 people in my team")</f>
        <v>Work with 5 to 6 people in my team</v>
      </c>
      <c r="Q1731" s="1" t="str">
        <f ca="1">IFERROR(__xludf.DUMMYFUNCTION("""COMPUTED_VALUE"""),"Yes, I Understand this is gonna happen everywhere")</f>
        <v>Yes, I Understand this is gonna happen everywhere</v>
      </c>
      <c r="R1731" s="1" t="str">
        <f ca="1">IFERROR(__xludf.DUMMYFUNCTION("""COMPUTED_VALUE"""),"This will be hard to do, but if it is the right company I would try")</f>
        <v>This will be hard to do, but if it is the right company I would try</v>
      </c>
      <c r="S1731" s="1"/>
    </row>
    <row r="1732" spans="1:19" ht="12.5" x14ac:dyDescent="0.25">
      <c r="A1732" s="2">
        <f ca="1">IFERROR(__xludf.DUMMYFUNCTION("""COMPUTED_VALUE"""),45048.3342632638)</f>
        <v>45048.334263263801</v>
      </c>
      <c r="B1732" s="1" t="str">
        <f ca="1">IFERROR(__xludf.DUMMYFUNCTION("""COMPUTED_VALUE"""),"India")</f>
        <v>India</v>
      </c>
      <c r="C1732" s="1">
        <f ca="1">IFERROR(__xludf.DUMMYFUNCTION("""COMPUTED_VALUE"""),515870)</f>
        <v>515870</v>
      </c>
      <c r="D1732" s="1" t="str">
        <f ca="1">IFERROR(__xludf.DUMMYFUNCTION("""COMPUTED_VALUE"""),"Male")</f>
        <v>Male</v>
      </c>
      <c r="E1732" s="1" t="str">
        <f ca="1">IFERROR(__xludf.DUMMYFUNCTION("""COMPUTED_VALUE"""),"Influencers who had successful careers")</f>
        <v>Influencers who had successful careers</v>
      </c>
      <c r="F1732" s="1" t="str">
        <f ca="1">IFERROR(__xludf.DUMMYFUNCTION("""COMPUTED_VALUE"""),"No I would not be pursuing Higher Education outside of India")</f>
        <v>No I would not be pursuing Higher Education outside of India</v>
      </c>
      <c r="G1732" s="1" t="str">
        <f ca="1">IFERROR(__xludf.DUMMYFUNCTION("""COMPUTED_VALUE"""),"This will be hard to do, but if it is the right company I would try")</f>
        <v>This will be hard to do, but if it is the right company I would try</v>
      </c>
      <c r="H1732" s="1" t="str">
        <f ca="1">IFERROR(__xludf.DUMMYFUNCTION("""COMPUTED_VALUE"""),"No")</f>
        <v>No</v>
      </c>
      <c r="I1732" s="1" t="str">
        <f ca="1">IFERROR(__xludf.DUMMYFUNCTION("""COMPUTED_VALUE"""),"Will NOT work for them")</f>
        <v>Will NOT work for them</v>
      </c>
      <c r="J1732" s="1">
        <f ca="1">IFERROR(__xludf.DUMMYFUNCTION("""COMPUTED_VALUE"""),4)</f>
        <v>4</v>
      </c>
      <c r="K1732" s="1" t="str">
        <f ca="1">IFERROR(__xludf.DUMMYFUNCTION("""COMPUTED_VALUE"""),"Fully Remote with Options to travel as and when needed")</f>
        <v>Fully Remote with Options to travel as and when needed</v>
      </c>
      <c r="L1732" s="1" t="str">
        <f ca="1">IFERROR(__xludf.DUMMYFUNCTION("""COMPUTED_VALUE"""),"Employer who rewards learning and enables that environment")</f>
        <v>Employer who rewards learning and enables that environment</v>
      </c>
      <c r="M173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732" s="1" t="str">
        <f ca="1">IFERROR(__xludf.DUMMYFUNCTION("""COMPUTED_VALUE"""),"Business Operations in any organization, Look deeply into Data and generate insights, Work in a BPO setup for some well known client, Become a content Creator in some platform")</f>
        <v>Business Operations in any organization, Look deeply into Data and generate insights, Work in a BPO setup for some well known client, Become a content Creator in some platform</v>
      </c>
      <c r="O1732" s="1" t="str">
        <f ca="1">IFERROR(__xludf.DUMMYFUNCTION("""COMPUTED_VALUE"""),"Manager who explains what is expected, sets a goal and helps achieve it")</f>
        <v>Manager who explains what is expected, sets a goal and helps achieve it</v>
      </c>
      <c r="P1732" s="1" t="str">
        <f ca="1">IFERROR(__xludf.DUMMYFUNCTION("""COMPUTED_VALUE"""),"Work with more than 10 people in my team")</f>
        <v>Work with more than 10 people in my team</v>
      </c>
      <c r="Q1732" s="1" t="str">
        <f ca="1">IFERROR(__xludf.DUMMYFUNCTION("""COMPUTED_VALUE"""),"Yes, I Understand this is gonna happen everywhere")</f>
        <v>Yes, I Understand this is gonna happen everywhere</v>
      </c>
      <c r="R1732" s="1" t="str">
        <f ca="1">IFERROR(__xludf.DUMMYFUNCTION("""COMPUTED_VALUE"""),"No way")</f>
        <v>No way</v>
      </c>
      <c r="S1732" s="1"/>
    </row>
    <row r="1733" spans="1:19" ht="12.5" x14ac:dyDescent="0.25">
      <c r="A1733" s="2">
        <f ca="1">IFERROR(__xludf.DUMMYFUNCTION("""COMPUTED_VALUE"""),45048.412455405)</f>
        <v>45048.412455404999</v>
      </c>
      <c r="B1733" s="1" t="str">
        <f ca="1">IFERROR(__xludf.DUMMYFUNCTION("""COMPUTED_VALUE"""),"India")</f>
        <v>India</v>
      </c>
      <c r="C1733" s="1">
        <f ca="1">IFERROR(__xludf.DUMMYFUNCTION("""COMPUTED_VALUE"""),515870)</f>
        <v>515870</v>
      </c>
      <c r="D1733" s="1" t="str">
        <f ca="1">IFERROR(__xludf.DUMMYFUNCTION("""COMPUTED_VALUE"""),"Male")</f>
        <v>Male</v>
      </c>
      <c r="E1733" s="1" t="str">
        <f ca="1">IFERROR(__xludf.DUMMYFUNCTION("""COMPUTED_VALUE"""),"My Parents")</f>
        <v>My Parents</v>
      </c>
      <c r="F1733" s="1" t="str">
        <f ca="1">IFERROR(__xludf.DUMMYFUNCTION("""COMPUTED_VALUE"""),"No, But if someone could bare the cost I will")</f>
        <v>No, But if someone could bare the cost I will</v>
      </c>
      <c r="G1733" s="1" t="str">
        <f ca="1">IFERROR(__xludf.DUMMYFUNCTION("""COMPUTED_VALUE"""),"Will work for 3 years or more")</f>
        <v>Will work for 3 years or more</v>
      </c>
      <c r="H1733" s="1" t="str">
        <f ca="1">IFERROR(__xludf.DUMMYFUNCTION("""COMPUTED_VALUE"""),"Yes")</f>
        <v>Yes</v>
      </c>
      <c r="I1733" s="1" t="str">
        <f ca="1">IFERROR(__xludf.DUMMYFUNCTION("""COMPUTED_VALUE"""),"Will NOT work for them")</f>
        <v>Will NOT work for them</v>
      </c>
      <c r="J1733" s="1">
        <f ca="1">IFERROR(__xludf.DUMMYFUNCTION("""COMPUTED_VALUE"""),8)</f>
        <v>8</v>
      </c>
      <c r="K1733" s="1" t="str">
        <f ca="1">IFERROR(__xludf.DUMMYFUNCTION("""COMPUTED_VALUE"""),"Hybrid Working Environment with less than 3 days a month at office")</f>
        <v>Hybrid Working Environment with less than 3 days a month at office</v>
      </c>
      <c r="L17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3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733" s="1" t="str">
        <f ca="1">IFERROR(__xludf.DUMMYFUNCTION("""COMPUTED_VALUE"""),"Design and Creative strategy in any company, Business Operations in any organization, Build and develop a Team, Manufacturing / Oil and Gas/ Construction / Hard Physical Work related")</f>
        <v>Design and Creative strategy in any company, Business Operations in any organization, Build and develop a Team, Manufacturing / Oil and Gas/ Construction / Hard Physical Work related</v>
      </c>
      <c r="O1733" s="1" t="str">
        <f ca="1">IFERROR(__xludf.DUMMYFUNCTION("""COMPUTED_VALUE"""),"Manager who explains what is expected, sets a goal and helps achieve it")</f>
        <v>Manager who explains what is expected, sets a goal and helps achieve it</v>
      </c>
      <c r="P1733" s="1" t="str">
        <f ca="1">IFERROR(__xludf.DUMMYFUNCTION("""COMPUTED_VALUE"""),"Work with more than 10 people in my team")</f>
        <v>Work with more than 10 people in my team</v>
      </c>
      <c r="Q1733" s="1" t="str">
        <f ca="1">IFERROR(__xludf.DUMMYFUNCTION("""COMPUTED_VALUE"""),"Yes, I Understand this is gonna happen everywhere")</f>
        <v>Yes, I Understand this is gonna happen everywhere</v>
      </c>
      <c r="R1733" s="1" t="str">
        <f ca="1">IFERROR(__xludf.DUMMYFUNCTION("""COMPUTED_VALUE"""),"This will be hard to do, but if it is the right company I would try")</f>
        <v>This will be hard to do, but if it is the right company I would try</v>
      </c>
      <c r="S1733" s="1"/>
    </row>
    <row r="1734" spans="1:19" ht="12.5" x14ac:dyDescent="0.25">
      <c r="A1734" s="2">
        <f ca="1">IFERROR(__xludf.DUMMYFUNCTION("""COMPUTED_VALUE"""),45048.5657092592)</f>
        <v>45048.565709259201</v>
      </c>
      <c r="B1734" s="1" t="str">
        <f ca="1">IFERROR(__xludf.DUMMYFUNCTION("""COMPUTED_VALUE"""),"India")</f>
        <v>India</v>
      </c>
      <c r="C1734" s="1">
        <f ca="1">IFERROR(__xludf.DUMMYFUNCTION("""COMPUTED_VALUE"""),560098)</f>
        <v>560098</v>
      </c>
      <c r="D1734" s="1" t="str">
        <f ca="1">IFERROR(__xludf.DUMMYFUNCTION("""COMPUTED_VALUE"""),"Male")</f>
        <v>Male</v>
      </c>
      <c r="E1734" s="1" t="str">
        <f ca="1">IFERROR(__xludf.DUMMYFUNCTION("""COMPUTED_VALUE"""),"My Parents")</f>
        <v>My Parents</v>
      </c>
      <c r="F1734" s="1" t="str">
        <f ca="1">IFERROR(__xludf.DUMMYFUNCTION("""COMPUTED_VALUE"""),"Yes, I will earn and do that")</f>
        <v>Yes, I will earn and do that</v>
      </c>
      <c r="G1734" s="1" t="str">
        <f ca="1">IFERROR(__xludf.DUMMYFUNCTION("""COMPUTED_VALUE"""),"This will be hard to do, but if it is the right company I would try")</f>
        <v>This will be hard to do, but if it is the right company I would try</v>
      </c>
      <c r="H1734" s="1" t="str">
        <f ca="1">IFERROR(__xludf.DUMMYFUNCTION("""COMPUTED_VALUE"""),"No")</f>
        <v>No</v>
      </c>
      <c r="I1734" s="1" t="str">
        <f ca="1">IFERROR(__xludf.DUMMYFUNCTION("""COMPUTED_VALUE"""),"Will NOT work for them")</f>
        <v>Will NOT work for them</v>
      </c>
      <c r="J1734" s="1">
        <f ca="1">IFERROR(__xludf.DUMMYFUNCTION("""COMPUTED_VALUE"""),2)</f>
        <v>2</v>
      </c>
      <c r="K1734" s="1" t="str">
        <f ca="1">IFERROR(__xludf.DUMMYFUNCTION("""COMPUTED_VALUE"""),"Fully Remote with Options to travel as and when needed")</f>
        <v>Fully Remote with Options to travel as and when needed</v>
      </c>
      <c r="L1734" s="1" t="str">
        <f ca="1">IFERROR(__xludf.DUMMYFUNCTION("""COMPUTED_VALUE"""),"Employer who rewards learning and enables that environment")</f>
        <v>Employer who rewards learning and enables that environment</v>
      </c>
      <c r="M173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734" s="1" t="str">
        <f ca="1">IFERROR(__xludf.DUMMYFUNCTION("""COMPUTED_VALUE"""),"Manage and drive End-to-End Projects or Products, Build and develop a Team, Look deeply into Data and generate insights, Entrepreneur or Start Up")</f>
        <v>Manage and drive End-to-End Projects or Products, Build and develop a Team, Look deeply into Data and generate insights, Entrepreneur or Start Up</v>
      </c>
      <c r="O1734" s="1" t="str">
        <f ca="1">IFERROR(__xludf.DUMMYFUNCTION("""COMPUTED_VALUE"""),"Manager who explains what is expected, sets a goal and helps achieve it")</f>
        <v>Manager who explains what is expected, sets a goal and helps achieve it</v>
      </c>
      <c r="P1734" s="1" t="str">
        <f ca="1">IFERROR(__xludf.DUMMYFUNCTION("""COMPUTED_VALUE"""),"Work with 2 to 3 people in my team")</f>
        <v>Work with 2 to 3 people in my team</v>
      </c>
      <c r="Q1734" s="1" t="str">
        <f ca="1">IFERROR(__xludf.DUMMYFUNCTION("""COMPUTED_VALUE"""),"Yes, I Understand this is gonna happen everywhere")</f>
        <v>Yes, I Understand this is gonna happen everywhere</v>
      </c>
      <c r="R1734" s="1" t="str">
        <f ca="1">IFERROR(__xludf.DUMMYFUNCTION("""COMPUTED_VALUE"""),"No way")</f>
        <v>No way</v>
      </c>
      <c r="S1734" s="1"/>
    </row>
    <row r="1735" spans="1:19" ht="12.5" x14ac:dyDescent="0.25">
      <c r="A1735" s="2">
        <f ca="1">IFERROR(__xludf.DUMMYFUNCTION("""COMPUTED_VALUE"""),45048.5770787151)</f>
        <v>45048.5770787152</v>
      </c>
      <c r="B1735" s="1" t="str">
        <f ca="1">IFERROR(__xludf.DUMMYFUNCTION("""COMPUTED_VALUE"""),"India")</f>
        <v>India</v>
      </c>
      <c r="C1735" s="1">
        <f ca="1">IFERROR(__xludf.DUMMYFUNCTION("""COMPUTED_VALUE"""),793007)</f>
        <v>793007</v>
      </c>
      <c r="D1735" s="1" t="str">
        <f ca="1">IFERROR(__xludf.DUMMYFUNCTION("""COMPUTED_VALUE"""),"Male")</f>
        <v>Male</v>
      </c>
      <c r="E1735" s="1" t="str">
        <f ca="1">IFERROR(__xludf.DUMMYFUNCTION("""COMPUTED_VALUE"""),"People who have changed the world for better")</f>
        <v>People who have changed the world for better</v>
      </c>
      <c r="F1735" s="1" t="str">
        <f ca="1">IFERROR(__xludf.DUMMYFUNCTION("""COMPUTED_VALUE"""),"No I would not be pursuing Higher Education outside of India")</f>
        <v>No I would not be pursuing Higher Education outside of India</v>
      </c>
      <c r="G1735" s="1" t="str">
        <f ca="1">IFERROR(__xludf.DUMMYFUNCTION("""COMPUTED_VALUE"""),"Will work for 3 years or more")</f>
        <v>Will work for 3 years or more</v>
      </c>
      <c r="H1735" s="1" t="str">
        <f ca="1">IFERROR(__xludf.DUMMYFUNCTION("""COMPUTED_VALUE"""),"Yes")</f>
        <v>Yes</v>
      </c>
      <c r="I1735" s="1" t="str">
        <f ca="1">IFERROR(__xludf.DUMMYFUNCTION("""COMPUTED_VALUE"""),"Will work for them")</f>
        <v>Will work for them</v>
      </c>
      <c r="J1735" s="1">
        <f ca="1">IFERROR(__xludf.DUMMYFUNCTION("""COMPUTED_VALUE"""),5)</f>
        <v>5</v>
      </c>
      <c r="K1735" s="1" t="str">
        <f ca="1">IFERROR(__xludf.DUMMYFUNCTION("""COMPUTED_VALUE"""),"Fully Remote with Options to travel as and when needed")</f>
        <v>Fully Remote with Options to travel as and when needed</v>
      </c>
      <c r="L173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3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35" s="1" t="str">
        <f ca="1">IFERROR(__xludf.DUMMYFUNCTION("""COMPUTED_VALUE"""),"Design and Creative strategy in any company, Business Operations in any organization, Become a content Creator in some platform, Entrepreneur or Start Up")</f>
        <v>Design and Creative strategy in any company, Business Operations in any organization, Become a content Creator in some platform, Entrepreneur or Start Up</v>
      </c>
      <c r="O1735" s="1" t="str">
        <f ca="1">IFERROR(__xludf.DUMMYFUNCTION("""COMPUTED_VALUE"""),"Manager who clearly describes what she/he needs")</f>
        <v>Manager who clearly describes what she/he needs</v>
      </c>
      <c r="P1735" s="1" t="str">
        <f ca="1">IFERROR(__xludf.DUMMYFUNCTION("""COMPUTED_VALUE"""),"Work with 2 to 3 people in my team")</f>
        <v>Work with 2 to 3 people in my team</v>
      </c>
      <c r="Q1735" s="1" t="str">
        <f ca="1">IFERROR(__xludf.DUMMYFUNCTION("""COMPUTED_VALUE"""),"No")</f>
        <v>No</v>
      </c>
      <c r="R1735" s="1" t="str">
        <f ca="1">IFERROR(__xludf.DUMMYFUNCTION("""COMPUTED_VALUE"""),"No way")</f>
        <v>No way</v>
      </c>
      <c r="S1735" s="1"/>
    </row>
    <row r="1736" spans="1:19" ht="12.5" x14ac:dyDescent="0.25">
      <c r="A1736" s="2">
        <f ca="1">IFERROR(__xludf.DUMMYFUNCTION("""COMPUTED_VALUE"""),45048.5917379398)</f>
        <v>45048.591737939802</v>
      </c>
      <c r="B1736" s="1" t="str">
        <f ca="1">IFERROR(__xludf.DUMMYFUNCTION("""COMPUTED_VALUE"""),"India")</f>
        <v>India</v>
      </c>
      <c r="C1736" s="1">
        <f ca="1">IFERROR(__xludf.DUMMYFUNCTION("""COMPUTED_VALUE"""),793006)</f>
        <v>793006</v>
      </c>
      <c r="D1736" s="1" t="str">
        <f ca="1">IFERROR(__xludf.DUMMYFUNCTION("""COMPUTED_VALUE"""),"Female")</f>
        <v>Female</v>
      </c>
      <c r="E1736" s="1" t="str">
        <f ca="1">IFERROR(__xludf.DUMMYFUNCTION("""COMPUTED_VALUE"""),"Influencers who had successful careers")</f>
        <v>Influencers who had successful careers</v>
      </c>
      <c r="F1736" s="1" t="str">
        <f ca="1">IFERROR(__xludf.DUMMYFUNCTION("""COMPUTED_VALUE"""),"Yes, I will earn and do that")</f>
        <v>Yes, I will earn and do that</v>
      </c>
      <c r="G1736" s="1" t="str">
        <f ca="1">IFERROR(__xludf.DUMMYFUNCTION("""COMPUTED_VALUE"""),"This will be hard to do, but if it is the right company I would try")</f>
        <v>This will be hard to do, but if it is the right company I would try</v>
      </c>
      <c r="H1736" s="1" t="str">
        <f ca="1">IFERROR(__xludf.DUMMYFUNCTION("""COMPUTED_VALUE"""),"No")</f>
        <v>No</v>
      </c>
      <c r="I1736" s="1" t="str">
        <f ca="1">IFERROR(__xludf.DUMMYFUNCTION("""COMPUTED_VALUE"""),"Will NOT work for them")</f>
        <v>Will NOT work for them</v>
      </c>
      <c r="J1736" s="1">
        <f ca="1">IFERROR(__xludf.DUMMYFUNCTION("""COMPUTED_VALUE"""),2)</f>
        <v>2</v>
      </c>
      <c r="K1736" s="1" t="str">
        <f ca="1">IFERROR(__xludf.DUMMYFUNCTION("""COMPUTED_VALUE"""),"Hybrid Working Environment with more than 15 days a month at office")</f>
        <v>Hybrid Working Environment with more than 15 days a month at office</v>
      </c>
      <c r="L17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3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36" s="1" t="str">
        <f ca="1">IFERROR(__xludf.DUMMYFUNCTION("""COMPUTED_VALUE"""),"Business Operations in any organization, Work as a freelancer and do my thing my way, Become a content Creator in some platform, Entrepreneur or Start Up")</f>
        <v>Business Operations in any organization, Work as a freelancer and do my thing my way, Become a content Creator in some platform, Entrepreneur or Start Up</v>
      </c>
      <c r="O1736" s="1" t="str">
        <f ca="1">IFERROR(__xludf.DUMMYFUNCTION("""COMPUTED_VALUE"""),"Manager who explains what is expected, sets a goal and helps achieve it")</f>
        <v>Manager who explains what is expected, sets a goal and helps achieve it</v>
      </c>
      <c r="P1736" s="1" t="str">
        <f ca="1">IFERROR(__xludf.DUMMYFUNCTION("""COMPUTED_VALUE"""),"Work with 2 to 3 people in my team")</f>
        <v>Work with 2 to 3 people in my team</v>
      </c>
      <c r="Q1736" s="1" t="str">
        <f ca="1">IFERROR(__xludf.DUMMYFUNCTION("""COMPUTED_VALUE"""),"Yes, I Understand this is gonna happen everywhere")</f>
        <v>Yes, I Understand this is gonna happen everywhere</v>
      </c>
      <c r="R1736" s="1" t="str">
        <f ca="1">IFERROR(__xludf.DUMMYFUNCTION("""COMPUTED_VALUE"""),"This will be hard to do, but if it is the right company I would try")</f>
        <v>This will be hard to do, but if it is the right company I would try</v>
      </c>
      <c r="S1736" s="1"/>
    </row>
    <row r="1737" spans="1:19" ht="12.5" x14ac:dyDescent="0.25">
      <c r="A1737" s="2">
        <f ca="1">IFERROR(__xludf.DUMMYFUNCTION("""COMPUTED_VALUE"""),45048.5935423726)</f>
        <v>45048.593542372597</v>
      </c>
      <c r="B1737" s="1" t="str">
        <f ca="1">IFERROR(__xludf.DUMMYFUNCTION("""COMPUTED_VALUE"""),"India")</f>
        <v>India</v>
      </c>
      <c r="C1737" s="1">
        <f ca="1">IFERROR(__xludf.DUMMYFUNCTION("""COMPUTED_VALUE"""),793002)</f>
        <v>793002</v>
      </c>
      <c r="D1737" s="1" t="str">
        <f ca="1">IFERROR(__xludf.DUMMYFUNCTION("""COMPUTED_VALUE"""),"Male")</f>
        <v>Male</v>
      </c>
      <c r="E1737" s="1" t="str">
        <f ca="1">IFERROR(__xludf.DUMMYFUNCTION("""COMPUTED_VALUE"""),"My Parents")</f>
        <v>My Parents</v>
      </c>
      <c r="F1737" s="1" t="str">
        <f ca="1">IFERROR(__xludf.DUMMYFUNCTION("""COMPUTED_VALUE"""),"Yes, I will earn and do that")</f>
        <v>Yes, I will earn and do that</v>
      </c>
      <c r="G1737" s="1" t="str">
        <f ca="1">IFERROR(__xludf.DUMMYFUNCTION("""COMPUTED_VALUE"""),"This will be hard to do, but if it is the right company I would try")</f>
        <v>This will be hard to do, but if it is the right company I would try</v>
      </c>
      <c r="H1737" s="1" t="str">
        <f ca="1">IFERROR(__xludf.DUMMYFUNCTION("""COMPUTED_VALUE"""),"Yes")</f>
        <v>Yes</v>
      </c>
      <c r="I1737" s="1" t="str">
        <f ca="1">IFERROR(__xludf.DUMMYFUNCTION("""COMPUTED_VALUE"""),"Will work for them")</f>
        <v>Will work for them</v>
      </c>
      <c r="J1737" s="1">
        <f ca="1">IFERROR(__xludf.DUMMYFUNCTION("""COMPUTED_VALUE"""),4)</f>
        <v>4</v>
      </c>
      <c r="K1737" s="1" t="str">
        <f ca="1">IFERROR(__xludf.DUMMYFUNCTION("""COMPUTED_VALUE"""),"Hybrid Working Environment with less than 3 days a month at office")</f>
        <v>Hybrid Working Environment with less than 3 days a month at office</v>
      </c>
      <c r="L17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3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37" s="1" t="str">
        <f ca="1">IFERROR(__xludf.DUMMYFUNCTION("""COMPUTED_VALUE"""),"Design and Creative strategy in any company, Entrepreneur or Start Up, I Want to sell things/Sales, Manufacturing / Oil and Gas/ Construction / Hard Physical Work related")</f>
        <v>Design and Creative strategy in any company, Entrepreneur or Start Up, I Want to sell things/Sales, Manufacturing / Oil and Gas/ Construction / Hard Physical Work related</v>
      </c>
      <c r="O1737" s="1" t="str">
        <f ca="1">IFERROR(__xludf.DUMMYFUNCTION("""COMPUTED_VALUE"""),"Manager who explains what is expected, sets a goal and helps achieve it")</f>
        <v>Manager who explains what is expected, sets a goal and helps achieve it</v>
      </c>
      <c r="P1737" s="1" t="str">
        <f ca="1">IFERROR(__xludf.DUMMYFUNCTION("""COMPUTED_VALUE"""),"Work with 5 to 6 people in my team")</f>
        <v>Work with 5 to 6 people in my team</v>
      </c>
      <c r="Q1737" s="1" t="str">
        <f ca="1">IFERROR(__xludf.DUMMYFUNCTION("""COMPUTED_VALUE"""),"Yes")</f>
        <v>Yes</v>
      </c>
      <c r="R1737" s="1" t="str">
        <f ca="1">IFERROR(__xludf.DUMMYFUNCTION("""COMPUTED_VALUE"""),"This will be hard to do, but if it is the right company I would try")</f>
        <v>This will be hard to do, but if it is the right company I would try</v>
      </c>
      <c r="S1737" s="1"/>
    </row>
    <row r="1738" spans="1:19" ht="12.5" x14ac:dyDescent="0.25">
      <c r="A1738" s="2">
        <f ca="1">IFERROR(__xludf.DUMMYFUNCTION("""COMPUTED_VALUE"""),45048.6025830555)</f>
        <v>45048.602583055501</v>
      </c>
      <c r="B1738" s="1" t="str">
        <f ca="1">IFERROR(__xludf.DUMMYFUNCTION("""COMPUTED_VALUE"""),"India")</f>
        <v>India</v>
      </c>
      <c r="C1738" s="1">
        <f ca="1">IFERROR(__xludf.DUMMYFUNCTION("""COMPUTED_VALUE"""),793009)</f>
        <v>793009</v>
      </c>
      <c r="D1738" s="1" t="str">
        <f ca="1">IFERROR(__xludf.DUMMYFUNCTION("""COMPUTED_VALUE"""),"Female")</f>
        <v>Female</v>
      </c>
      <c r="E1738" s="1" t="str">
        <f ca="1">IFERROR(__xludf.DUMMYFUNCTION("""COMPUTED_VALUE"""),"People who have changed the world for better")</f>
        <v>People who have changed the world for better</v>
      </c>
      <c r="F1738" s="1" t="str">
        <f ca="1">IFERROR(__xludf.DUMMYFUNCTION("""COMPUTED_VALUE"""),"Yes, I will earn and do that")</f>
        <v>Yes, I will earn and do that</v>
      </c>
      <c r="G1738" s="1" t="str">
        <f ca="1">IFERROR(__xludf.DUMMYFUNCTION("""COMPUTED_VALUE"""),"Will work for 3 years or more")</f>
        <v>Will work for 3 years or more</v>
      </c>
      <c r="H1738" s="1" t="str">
        <f ca="1">IFERROR(__xludf.DUMMYFUNCTION("""COMPUTED_VALUE"""),"No")</f>
        <v>No</v>
      </c>
      <c r="I1738" s="1" t="str">
        <f ca="1">IFERROR(__xludf.DUMMYFUNCTION("""COMPUTED_VALUE"""),"Will NOT work for them")</f>
        <v>Will NOT work for them</v>
      </c>
      <c r="J1738" s="1">
        <f ca="1">IFERROR(__xludf.DUMMYFUNCTION("""COMPUTED_VALUE"""),1)</f>
        <v>1</v>
      </c>
      <c r="K1738" s="1" t="str">
        <f ca="1">IFERROR(__xludf.DUMMYFUNCTION("""COMPUTED_VALUE"""),"Fully Remote with Options to travel as and when needed")</f>
        <v>Fully Remote with Options to travel as and when needed</v>
      </c>
      <c r="L17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3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38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1738" s="1" t="str">
        <f ca="1">IFERROR(__xludf.DUMMYFUNCTION("""COMPUTED_VALUE"""),"Manager who explains what is expected, sets a goal and helps achieve it")</f>
        <v>Manager who explains what is expected, sets a goal and helps achieve it</v>
      </c>
      <c r="P1738" s="1" t="str">
        <f ca="1">IFERROR(__xludf.DUMMYFUNCTION("""COMPUTED_VALUE"""),"Work alone, Work with 2 to 3 people in my team")</f>
        <v>Work alone, Work with 2 to 3 people in my team</v>
      </c>
      <c r="Q1738" s="1" t="str">
        <f ca="1">IFERROR(__xludf.DUMMYFUNCTION("""COMPUTED_VALUE"""),"No")</f>
        <v>No</v>
      </c>
      <c r="R1738" s="1" t="str">
        <f ca="1">IFERROR(__xludf.DUMMYFUNCTION("""COMPUTED_VALUE"""),"This will be hard to do, but if it is the right company I would try")</f>
        <v>This will be hard to do, but if it is the right company I would try</v>
      </c>
      <c r="S1738" s="1"/>
    </row>
    <row r="1739" spans="1:19" ht="12.5" x14ac:dyDescent="0.25">
      <c r="A1739" s="2">
        <f ca="1">IFERROR(__xludf.DUMMYFUNCTION("""COMPUTED_VALUE"""),45048.6031778125)</f>
        <v>45048.603177812503</v>
      </c>
      <c r="B1739" s="1" t="str">
        <f ca="1">IFERROR(__xludf.DUMMYFUNCTION("""COMPUTED_VALUE"""),"India")</f>
        <v>India</v>
      </c>
      <c r="C1739" s="1">
        <f ca="1">IFERROR(__xludf.DUMMYFUNCTION("""COMPUTED_VALUE"""),793021)</f>
        <v>793021</v>
      </c>
      <c r="D1739" s="1" t="str">
        <f ca="1">IFERROR(__xludf.DUMMYFUNCTION("""COMPUTED_VALUE"""),"Female")</f>
        <v>Female</v>
      </c>
      <c r="E1739" s="1" t="str">
        <f ca="1">IFERROR(__xludf.DUMMYFUNCTION("""COMPUTED_VALUE"""),"My Parents")</f>
        <v>My Parents</v>
      </c>
      <c r="F1739" s="1" t="str">
        <f ca="1">IFERROR(__xludf.DUMMYFUNCTION("""COMPUTED_VALUE"""),"No I would not be pursuing Higher Education outside of India")</f>
        <v>No I would not be pursuing Higher Education outside of India</v>
      </c>
      <c r="G1739" s="1" t="str">
        <f ca="1">IFERROR(__xludf.DUMMYFUNCTION("""COMPUTED_VALUE"""),"This will be hard to do, but if it is the right company I would try")</f>
        <v>This will be hard to do, but if it is the right company I would try</v>
      </c>
      <c r="H1739" s="1" t="str">
        <f ca="1">IFERROR(__xludf.DUMMYFUNCTION("""COMPUTED_VALUE"""),"Yes")</f>
        <v>Yes</v>
      </c>
      <c r="I1739" s="1" t="str">
        <f ca="1">IFERROR(__xludf.DUMMYFUNCTION("""COMPUTED_VALUE"""),"Will NOT work for them")</f>
        <v>Will NOT work for them</v>
      </c>
      <c r="J1739" s="1">
        <f ca="1">IFERROR(__xludf.DUMMYFUNCTION("""COMPUTED_VALUE"""),3)</f>
        <v>3</v>
      </c>
      <c r="K1739" s="1" t="str">
        <f ca="1">IFERROR(__xludf.DUMMYFUNCTION("""COMPUTED_VALUE"""),"Fully Remote with No option to visit offices")</f>
        <v>Fully Remote with No option to visit offices</v>
      </c>
      <c r="L1739" s="1" t="str">
        <f ca="1">IFERROR(__xludf.DUMMYFUNCTION("""COMPUTED_VALUE"""),"Employer who rewards learning and enables that environment")</f>
        <v>Employer who rewards learning and enables that environment</v>
      </c>
      <c r="M173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739" s="1" t="str">
        <f ca="1">IFERROR(__xludf.DUMMYFUNCTION("""COMPUTED_VALUE"""),"Build and develop a Team, Look deeply into Data and generate insights, Become a content Creator in some platform, Manufacturing / Oil and Gas/ Construction / Hard Physical Work related")</f>
        <v>Build and develop a Team, Look deeply into Data and generate insights, Become a content Creator in some platform, Manufacturing / Oil and Gas/ Construction / Hard Physical Work related</v>
      </c>
      <c r="O1739" s="1" t="str">
        <f ca="1">IFERROR(__xludf.DUMMYFUNCTION("""COMPUTED_VALUE"""),"Manager who explains what is expected, sets a goal and helps achieve it")</f>
        <v>Manager who explains what is expected, sets a goal and helps achieve it</v>
      </c>
      <c r="P1739" s="1" t="str">
        <f ca="1">IFERROR(__xludf.DUMMYFUNCTION("""COMPUTED_VALUE"""),"Work with 5 to 6 people in my team")</f>
        <v>Work with 5 to 6 people in my team</v>
      </c>
      <c r="Q1739" s="1" t="str">
        <f ca="1">IFERROR(__xludf.DUMMYFUNCTION("""COMPUTED_VALUE"""),"Yes, I Understand this is gonna happen everywhere")</f>
        <v>Yes, I Understand this is gonna happen everywhere</v>
      </c>
      <c r="R1739" s="1" t="str">
        <f ca="1">IFERROR(__xludf.DUMMYFUNCTION("""COMPUTED_VALUE"""),"No way")</f>
        <v>No way</v>
      </c>
      <c r="S1739" s="1"/>
    </row>
    <row r="1740" spans="1:19" ht="12.5" x14ac:dyDescent="0.25">
      <c r="A1740" s="2">
        <f ca="1">IFERROR(__xludf.DUMMYFUNCTION("""COMPUTED_VALUE"""),45048.6108131713)</f>
        <v>45048.610813171297</v>
      </c>
      <c r="B1740" s="1" t="str">
        <f ca="1">IFERROR(__xludf.DUMMYFUNCTION("""COMPUTED_VALUE"""),"India")</f>
        <v>India</v>
      </c>
      <c r="C1740" s="1">
        <f ca="1">IFERROR(__xludf.DUMMYFUNCTION("""COMPUTED_VALUE"""),411004)</f>
        <v>411004</v>
      </c>
      <c r="D1740" s="1" t="str">
        <f ca="1">IFERROR(__xludf.DUMMYFUNCTION("""COMPUTED_VALUE"""),"Female")</f>
        <v>Female</v>
      </c>
      <c r="E1740" s="1" t="str">
        <f ca="1">IFERROR(__xludf.DUMMYFUNCTION("""COMPUTED_VALUE"""),"People who have changed the world for better")</f>
        <v>People who have changed the world for better</v>
      </c>
      <c r="F1740" s="1" t="str">
        <f ca="1">IFERROR(__xludf.DUMMYFUNCTION("""COMPUTED_VALUE"""),"No, But if someone could bare the cost I will")</f>
        <v>No, But if someone could bare the cost I will</v>
      </c>
      <c r="G1740" s="1" t="str">
        <f ca="1">IFERROR(__xludf.DUMMYFUNCTION("""COMPUTED_VALUE"""),"This will be hard to do, but if it is the right company I would try")</f>
        <v>This will be hard to do, but if it is the right company I would try</v>
      </c>
      <c r="H1740" s="1" t="str">
        <f ca="1">IFERROR(__xludf.DUMMYFUNCTION("""COMPUTED_VALUE"""),"No")</f>
        <v>No</v>
      </c>
      <c r="I1740" s="1" t="str">
        <f ca="1">IFERROR(__xludf.DUMMYFUNCTION("""COMPUTED_VALUE"""),"Will NOT work for them")</f>
        <v>Will NOT work for them</v>
      </c>
      <c r="J1740" s="1">
        <f ca="1">IFERROR(__xludf.DUMMYFUNCTION("""COMPUTED_VALUE"""),8)</f>
        <v>8</v>
      </c>
      <c r="K1740" s="1" t="str">
        <f ca="1">IFERROR(__xludf.DUMMYFUNCTION("""COMPUTED_VALUE"""),"Fully Remote with Options to travel as and when needed")</f>
        <v>Fully Remote with Options to travel as and when needed</v>
      </c>
      <c r="L17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40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740" s="1" t="str">
        <f ca="1">IFERROR(__xludf.DUMMYFUNCTION("""COMPUTED_VALUE"""),"Design and Creative strategy in any company, Teaching in any of the institutes/colleges/online or offline, Manage and drive End-to-End Projects or Products, Become a content Creator in some platform")</f>
        <v>Design and Creative strategy in any company, Teaching in any of the institutes/colleges/online or offline, Manage and drive End-to-End Projects or Products, Become a content Creator in some platform</v>
      </c>
      <c r="O1740" s="1" t="str">
        <f ca="1">IFERROR(__xludf.DUMMYFUNCTION("""COMPUTED_VALUE"""),"Manager who sets targets and expects me to achieve it")</f>
        <v>Manager who sets targets and expects me to achieve it</v>
      </c>
      <c r="P1740" s="1" t="str">
        <f ca="1">IFERROR(__xludf.DUMMYFUNCTION("""COMPUTED_VALUE"""),"Work with 5 to 6 people in my team")</f>
        <v>Work with 5 to 6 people in my team</v>
      </c>
      <c r="Q1740" s="1" t="str">
        <f ca="1">IFERROR(__xludf.DUMMYFUNCTION("""COMPUTED_VALUE"""),"Yes, I Understand this is gonna happen everywhere")</f>
        <v>Yes, I Understand this is gonna happen everywhere</v>
      </c>
      <c r="R1740" s="1" t="str">
        <f ca="1">IFERROR(__xludf.DUMMYFUNCTION("""COMPUTED_VALUE"""),"No way")</f>
        <v>No way</v>
      </c>
      <c r="S1740" s="1"/>
    </row>
    <row r="1741" spans="1:19" ht="12.5" x14ac:dyDescent="0.25">
      <c r="A1741" s="2">
        <f ca="1">IFERROR(__xludf.DUMMYFUNCTION("""COMPUTED_VALUE"""),45048.6146675578)</f>
        <v>45048.614667557798</v>
      </c>
      <c r="B1741" s="1" t="str">
        <f ca="1">IFERROR(__xludf.DUMMYFUNCTION("""COMPUTED_VALUE"""),"India")</f>
        <v>India</v>
      </c>
      <c r="C1741" s="1">
        <f ca="1">IFERROR(__xludf.DUMMYFUNCTION("""COMPUTED_VALUE"""),793001)</f>
        <v>793001</v>
      </c>
      <c r="D1741" s="1" t="str">
        <f ca="1">IFERROR(__xludf.DUMMYFUNCTION("""COMPUTED_VALUE"""),"Male")</f>
        <v>Male</v>
      </c>
      <c r="E1741" s="1" t="str">
        <f ca="1">IFERROR(__xludf.DUMMYFUNCTION("""COMPUTED_VALUE"""),"Influencers who had successful careers")</f>
        <v>Influencers who had successful careers</v>
      </c>
      <c r="F1741" s="1" t="str">
        <f ca="1">IFERROR(__xludf.DUMMYFUNCTION("""COMPUTED_VALUE"""),"Yes, I will earn and do that")</f>
        <v>Yes, I will earn and do that</v>
      </c>
      <c r="G1741" s="1" t="str">
        <f ca="1">IFERROR(__xludf.DUMMYFUNCTION("""COMPUTED_VALUE"""),"This will be hard to do, but if it is the right company I would try")</f>
        <v>This will be hard to do, but if it is the right company I would try</v>
      </c>
      <c r="H1741" s="1" t="str">
        <f ca="1">IFERROR(__xludf.DUMMYFUNCTION("""COMPUTED_VALUE"""),"No")</f>
        <v>No</v>
      </c>
      <c r="I1741" s="1" t="str">
        <f ca="1">IFERROR(__xludf.DUMMYFUNCTION("""COMPUTED_VALUE"""),"Will NOT work for them")</f>
        <v>Will NOT work for them</v>
      </c>
      <c r="J1741" s="1">
        <f ca="1">IFERROR(__xludf.DUMMYFUNCTION("""COMPUTED_VALUE"""),2)</f>
        <v>2</v>
      </c>
      <c r="K1741" s="1" t="str">
        <f ca="1">IFERROR(__xludf.DUMMYFUNCTION("""COMPUTED_VALUE"""),"Fully Remote with Options to travel as and when needed")</f>
        <v>Fully Remote with Options to travel as and when needed</v>
      </c>
      <c r="L1741" s="1" t="str">
        <f ca="1">IFERROR(__xludf.DUMMYFUNCTION("""COMPUTED_VALUE"""),"Employer who appreciates learning and enables that environment")</f>
        <v>Employer who appreciates learning and enables that environment</v>
      </c>
      <c r="M174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41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741" s="1" t="str">
        <f ca="1">IFERROR(__xludf.DUMMYFUNCTION("""COMPUTED_VALUE"""),"Manager who explains what is expected, sets a goal and helps achieve it")</f>
        <v>Manager who explains what is expected, sets a goal and helps achieve it</v>
      </c>
      <c r="P1741" s="1" t="str">
        <f ca="1">IFERROR(__xludf.DUMMYFUNCTION("""COMPUTED_VALUE"""),"Work with 5 to 6 people in my team")</f>
        <v>Work with 5 to 6 people in my team</v>
      </c>
      <c r="Q1741" s="1" t="str">
        <f ca="1">IFERROR(__xludf.DUMMYFUNCTION("""COMPUTED_VALUE"""),"Yes, I Understand this is gonna happen everywhere")</f>
        <v>Yes, I Understand this is gonna happen everywhere</v>
      </c>
      <c r="R1741" s="1" t="str">
        <f ca="1">IFERROR(__xludf.DUMMYFUNCTION("""COMPUTED_VALUE"""),"No way")</f>
        <v>No way</v>
      </c>
      <c r="S1741" s="1"/>
    </row>
    <row r="1742" spans="1:19" ht="12.5" x14ac:dyDescent="0.25">
      <c r="A1742" s="2">
        <f ca="1">IFERROR(__xludf.DUMMYFUNCTION("""COMPUTED_VALUE"""),45048.6178744675)</f>
        <v>45048.617874467498</v>
      </c>
      <c r="B1742" s="1" t="str">
        <f ca="1">IFERROR(__xludf.DUMMYFUNCTION("""COMPUTED_VALUE"""),"India")</f>
        <v>India</v>
      </c>
      <c r="C1742" s="1">
        <f ca="1">IFERROR(__xludf.DUMMYFUNCTION("""COMPUTED_VALUE"""),793006)</f>
        <v>793006</v>
      </c>
      <c r="D1742" s="1" t="str">
        <f ca="1">IFERROR(__xludf.DUMMYFUNCTION("""COMPUTED_VALUE"""),"Female")</f>
        <v>Female</v>
      </c>
      <c r="E1742" s="1" t="str">
        <f ca="1">IFERROR(__xludf.DUMMYFUNCTION("""COMPUTED_VALUE"""),"My Parents")</f>
        <v>My Parents</v>
      </c>
      <c r="F1742" s="1" t="str">
        <f ca="1">IFERROR(__xludf.DUMMYFUNCTION("""COMPUTED_VALUE"""),"Yes, I will earn and do that")</f>
        <v>Yes, I will earn and do that</v>
      </c>
      <c r="G1742" s="1" t="str">
        <f ca="1">IFERROR(__xludf.DUMMYFUNCTION("""COMPUTED_VALUE"""),"This will be hard to do, but if it is the right company I would try")</f>
        <v>This will be hard to do, but if it is the right company I would try</v>
      </c>
      <c r="H1742" s="1" t="str">
        <f ca="1">IFERROR(__xludf.DUMMYFUNCTION("""COMPUTED_VALUE"""),"Yes")</f>
        <v>Yes</v>
      </c>
      <c r="I1742" s="1" t="str">
        <f ca="1">IFERROR(__xludf.DUMMYFUNCTION("""COMPUTED_VALUE"""),"Will NOT work for them")</f>
        <v>Will NOT work for them</v>
      </c>
      <c r="J1742" s="1">
        <f ca="1">IFERROR(__xludf.DUMMYFUNCTION("""COMPUTED_VALUE"""),1)</f>
        <v>1</v>
      </c>
      <c r="K1742" s="1" t="str">
        <f ca="1">IFERROR(__xludf.DUMMYFUNCTION("""COMPUTED_VALUE"""),"Fully Remote with Options to travel as and when needed")</f>
        <v>Fully Remote with Options to travel as and when needed</v>
      </c>
      <c r="L17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42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742" s="1" t="str">
        <f ca="1">IFERROR(__xludf.DUMMYFUNCTION("""COMPUTED_VALUE"""),"Design and Creative strategy in any company, Teaching in any of the institutes/colleges/online or offline, Business Operations in any organization, I Want to sell things/Sales")</f>
        <v>Design and Creative strategy in any company, Teaching in any of the institutes/colleges/online or offline, Business Operations in any organization, I Want to sell things/Sales</v>
      </c>
      <c r="O1742" s="1" t="str">
        <f ca="1">IFERROR(__xludf.DUMMYFUNCTION("""COMPUTED_VALUE"""),"Manager who explains what is expected, sets a goal and helps achieve it")</f>
        <v>Manager who explains what is expected, sets a goal and helps achieve it</v>
      </c>
      <c r="P1742" s="1" t="str">
        <f ca="1">IFERROR(__xludf.DUMMYFUNCTION("""COMPUTED_VALUE"""),"Work with 2 to 3 people in my team")</f>
        <v>Work with 2 to 3 people in my team</v>
      </c>
      <c r="Q1742" s="1" t="str">
        <f ca="1">IFERROR(__xludf.DUMMYFUNCTION("""COMPUTED_VALUE"""),"No")</f>
        <v>No</v>
      </c>
      <c r="R1742" s="1" t="str">
        <f ca="1">IFERROR(__xludf.DUMMYFUNCTION("""COMPUTED_VALUE"""),"No way")</f>
        <v>No way</v>
      </c>
      <c r="S1742" s="1"/>
    </row>
    <row r="1743" spans="1:19" ht="12.5" x14ac:dyDescent="0.25">
      <c r="A1743" s="2">
        <f ca="1">IFERROR(__xludf.DUMMYFUNCTION("""COMPUTED_VALUE"""),45048.6188695023)</f>
        <v>45048.618869502301</v>
      </c>
      <c r="B1743" s="1" t="str">
        <f ca="1">IFERROR(__xludf.DUMMYFUNCTION("""COMPUTED_VALUE"""),"India")</f>
        <v>India</v>
      </c>
      <c r="C1743" s="1">
        <f ca="1">IFERROR(__xludf.DUMMYFUNCTION("""COMPUTED_VALUE"""),737136)</f>
        <v>737136</v>
      </c>
      <c r="D1743" s="1" t="str">
        <f ca="1">IFERROR(__xludf.DUMMYFUNCTION("""COMPUTED_VALUE"""),"Female")</f>
        <v>Female</v>
      </c>
      <c r="E1743" s="1" t="str">
        <f ca="1">IFERROR(__xludf.DUMMYFUNCTION("""COMPUTED_VALUE"""),"People who have changed the world for better")</f>
        <v>People who have changed the world for better</v>
      </c>
      <c r="F1743" s="1" t="str">
        <f ca="1">IFERROR(__xludf.DUMMYFUNCTION("""COMPUTED_VALUE"""),"Yes, I will earn and do that")</f>
        <v>Yes, I will earn and do that</v>
      </c>
      <c r="G1743" s="1" t="str">
        <f ca="1">IFERROR(__xludf.DUMMYFUNCTION("""COMPUTED_VALUE"""),"This will be hard to do, but if it is the right company I would try")</f>
        <v>This will be hard to do, but if it is the right company I would try</v>
      </c>
      <c r="H1743" s="1" t="str">
        <f ca="1">IFERROR(__xludf.DUMMYFUNCTION("""COMPUTED_VALUE"""),"No")</f>
        <v>No</v>
      </c>
      <c r="I1743" s="1" t="str">
        <f ca="1">IFERROR(__xludf.DUMMYFUNCTION("""COMPUTED_VALUE"""),"Will NOT work for them")</f>
        <v>Will NOT work for them</v>
      </c>
      <c r="J1743" s="1">
        <f ca="1">IFERROR(__xludf.DUMMYFUNCTION("""COMPUTED_VALUE"""),4)</f>
        <v>4</v>
      </c>
      <c r="K1743" s="1" t="str">
        <f ca="1">IFERROR(__xludf.DUMMYFUNCTION("""COMPUTED_VALUE"""),"Hybrid Working Environment with less than 3 days a month at office")</f>
        <v>Hybrid Working Environment with less than 3 days a month at office</v>
      </c>
      <c r="L1743" s="1" t="str">
        <f ca="1">IFERROR(__xludf.DUMMYFUNCTION("""COMPUTED_VALUE"""),"Employer who appreciates learning and enables that environment")</f>
        <v>Employer who appreciates learning and enables that environment</v>
      </c>
      <c r="M174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743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1743" s="1" t="str">
        <f ca="1">IFERROR(__xludf.DUMMYFUNCTION("""COMPUTED_VALUE"""),"Manager who explains what is expected, sets a goal and helps achieve it")</f>
        <v>Manager who explains what is expected, sets a goal and helps achieve it</v>
      </c>
      <c r="P1743" s="1" t="str">
        <f ca="1">IFERROR(__xludf.DUMMYFUNCTION("""COMPUTED_VALUE"""),"Work with 2 to 3 people in my team")</f>
        <v>Work with 2 to 3 people in my team</v>
      </c>
      <c r="Q1743" s="1" t="str">
        <f ca="1">IFERROR(__xludf.DUMMYFUNCTION("""COMPUTED_VALUE"""),"Yes, I Understand this is gonna happen everywhere")</f>
        <v>Yes, I Understand this is gonna happen everywhere</v>
      </c>
      <c r="R1743" s="1" t="str">
        <f ca="1">IFERROR(__xludf.DUMMYFUNCTION("""COMPUTED_VALUE"""),"This will be hard to do, but if it is the right company I would try")</f>
        <v>This will be hard to do, but if it is the right company I would try</v>
      </c>
      <c r="S1743" s="1"/>
    </row>
    <row r="1744" spans="1:19" ht="12.5" x14ac:dyDescent="0.25">
      <c r="A1744" s="2">
        <f ca="1">IFERROR(__xludf.DUMMYFUNCTION("""COMPUTED_VALUE"""),45048.626502199)</f>
        <v>45048.626502198997</v>
      </c>
      <c r="B1744" s="1" t="str">
        <f ca="1">IFERROR(__xludf.DUMMYFUNCTION("""COMPUTED_VALUE"""),"India")</f>
        <v>India</v>
      </c>
      <c r="C1744" s="1">
        <f ca="1">IFERROR(__xludf.DUMMYFUNCTION("""COMPUTED_VALUE"""),793006)</f>
        <v>793006</v>
      </c>
      <c r="D1744" s="1" t="str">
        <f ca="1">IFERROR(__xludf.DUMMYFUNCTION("""COMPUTED_VALUE"""),"Male")</f>
        <v>Male</v>
      </c>
      <c r="E1744" s="1" t="str">
        <f ca="1">IFERROR(__xludf.DUMMYFUNCTION("""COMPUTED_VALUE"""),"People who have changed the world for better")</f>
        <v>People who have changed the world for better</v>
      </c>
      <c r="F1744" s="1" t="str">
        <f ca="1">IFERROR(__xludf.DUMMYFUNCTION("""COMPUTED_VALUE"""),"No I would not be pursuing Higher Education outside of India")</f>
        <v>No I would not be pursuing Higher Education outside of India</v>
      </c>
      <c r="G1744" s="1" t="str">
        <f ca="1">IFERROR(__xludf.DUMMYFUNCTION("""COMPUTED_VALUE"""),"This will be hard to do, but if it is the right company I would try")</f>
        <v>This will be hard to do, but if it is the right company I would try</v>
      </c>
      <c r="H1744" s="1" t="str">
        <f ca="1">IFERROR(__xludf.DUMMYFUNCTION("""COMPUTED_VALUE"""),"Yes")</f>
        <v>Yes</v>
      </c>
      <c r="I1744" s="1" t="str">
        <f ca="1">IFERROR(__xludf.DUMMYFUNCTION("""COMPUTED_VALUE"""),"Will work for them")</f>
        <v>Will work for them</v>
      </c>
      <c r="J1744" s="1">
        <f ca="1">IFERROR(__xludf.DUMMYFUNCTION("""COMPUTED_VALUE"""),10)</f>
        <v>10</v>
      </c>
      <c r="K1744" s="1" t="str">
        <f ca="1">IFERROR(__xludf.DUMMYFUNCTION("""COMPUTED_VALUE"""),"Hybrid Working Environment with more than 15 days a month at office")</f>
        <v>Hybrid Working Environment with more than 15 days a month at office</v>
      </c>
      <c r="L17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4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744" s="1" t="str">
        <f ca="1">IFERROR(__xludf.DUMMYFUNCTION("""COMPUTED_VALUE"""),"Teaching in any of the institutes/colleges/online or offline, Manage and drive End-to-End Projects or Products, Look deeply into Data and generate insights, Become a content Creator in some platform")</f>
        <v>Teaching in any of the institutes/colleges/online or offline, Manage and drive End-to-End Projects or Products, Look deeply into Data and generate insights, Become a content Creator in some platform</v>
      </c>
      <c r="O1744" s="1" t="str">
        <f ca="1">IFERROR(__xludf.DUMMYFUNCTION("""COMPUTED_VALUE"""),"Manager who sets targets and expects me to achieve it")</f>
        <v>Manager who sets targets and expects me to achieve it</v>
      </c>
      <c r="P1744" s="1" t="str">
        <f ca="1">IFERROR(__xludf.DUMMYFUNCTION("""COMPUTED_VALUE"""),"Work with 5 to 6 people in my team")</f>
        <v>Work with 5 to 6 people in my team</v>
      </c>
      <c r="Q1744" s="1" t="str">
        <f ca="1">IFERROR(__xludf.DUMMYFUNCTION("""COMPUTED_VALUE"""),"No")</f>
        <v>No</v>
      </c>
      <c r="R1744" s="1" t="str">
        <f ca="1">IFERROR(__xludf.DUMMYFUNCTION("""COMPUTED_VALUE"""),"This will be hard to do, but if it is the right company I would try")</f>
        <v>This will be hard to do, but if it is the right company I would try</v>
      </c>
      <c r="S1744" s="1"/>
    </row>
    <row r="1745" spans="1:19" ht="12.5" x14ac:dyDescent="0.25">
      <c r="A1745" s="2">
        <f ca="1">IFERROR(__xludf.DUMMYFUNCTION("""COMPUTED_VALUE"""),45048.6277116666)</f>
        <v>45048.627711666602</v>
      </c>
      <c r="B1745" s="1" t="str">
        <f ca="1">IFERROR(__xludf.DUMMYFUNCTION("""COMPUTED_VALUE"""),"India")</f>
        <v>India</v>
      </c>
      <c r="C1745" s="1">
        <f ca="1">IFERROR(__xludf.DUMMYFUNCTION("""COMPUTED_VALUE"""),111018)</f>
        <v>111018</v>
      </c>
      <c r="D1745" s="1" t="str">
        <f ca="1">IFERROR(__xludf.DUMMYFUNCTION("""COMPUTED_VALUE"""),"Male")</f>
        <v>Male</v>
      </c>
      <c r="E1745" s="1" t="str">
        <f ca="1">IFERROR(__xludf.DUMMYFUNCTION("""COMPUTED_VALUE"""),"My Parents")</f>
        <v>My Parents</v>
      </c>
      <c r="F1745" s="1" t="str">
        <f ca="1">IFERROR(__xludf.DUMMYFUNCTION("""COMPUTED_VALUE"""),"No I would not be pursuing Higher Education outside of India")</f>
        <v>No I would not be pursuing Higher Education outside of India</v>
      </c>
      <c r="G1745" s="1" t="str">
        <f ca="1">IFERROR(__xludf.DUMMYFUNCTION("""COMPUTED_VALUE"""),"This will be hard to do, but if it is the right company I would try")</f>
        <v>This will be hard to do, but if it is the right company I would try</v>
      </c>
      <c r="H1745" s="1" t="str">
        <f ca="1">IFERROR(__xludf.DUMMYFUNCTION("""COMPUTED_VALUE"""),"Yes")</f>
        <v>Yes</v>
      </c>
      <c r="I1745" s="1" t="str">
        <f ca="1">IFERROR(__xludf.DUMMYFUNCTION("""COMPUTED_VALUE"""),"Will NOT work for them")</f>
        <v>Will NOT work for them</v>
      </c>
      <c r="J1745" s="1">
        <f ca="1">IFERROR(__xludf.DUMMYFUNCTION("""COMPUTED_VALUE"""),4)</f>
        <v>4</v>
      </c>
      <c r="K1745" s="1" t="str">
        <f ca="1">IFERROR(__xludf.DUMMYFUNCTION("""COMPUTED_VALUE"""),"Hybrid Working Environment with less than 3 days a month at office")</f>
        <v>Hybrid Working Environment with less than 3 days a month at office</v>
      </c>
      <c r="L17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4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45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1745" s="1" t="str">
        <f ca="1">IFERROR(__xludf.DUMMYFUNCTION("""COMPUTED_VALUE"""),"Manager who sets goal and helps me achieve it")</f>
        <v>Manager who sets goal and helps me achieve it</v>
      </c>
      <c r="P1745" s="1" t="str">
        <f ca="1">IFERROR(__xludf.DUMMYFUNCTION("""COMPUTED_VALUE"""),"Work with 5 to 6 people in my team")</f>
        <v>Work with 5 to 6 people in my team</v>
      </c>
      <c r="Q1745" s="1" t="str">
        <f ca="1">IFERROR(__xludf.DUMMYFUNCTION("""COMPUTED_VALUE"""),"Yes, I Understand this is gonna happen everywhere")</f>
        <v>Yes, I Understand this is gonna happen everywhere</v>
      </c>
      <c r="R1745" s="1" t="str">
        <f ca="1">IFERROR(__xludf.DUMMYFUNCTION("""COMPUTED_VALUE"""),"This will be hard to do, but if it is the right company I would try")</f>
        <v>This will be hard to do, but if it is the right company I would try</v>
      </c>
      <c r="S1745" s="1"/>
    </row>
    <row r="1746" spans="1:19" ht="12.5" x14ac:dyDescent="0.25">
      <c r="A1746" s="2">
        <f ca="1">IFERROR(__xludf.DUMMYFUNCTION("""COMPUTED_VALUE"""),45048.6290957523)</f>
        <v>45048.629095752302</v>
      </c>
      <c r="B1746" s="1" t="str">
        <f ca="1">IFERROR(__xludf.DUMMYFUNCTION("""COMPUTED_VALUE"""),"India")</f>
        <v>India</v>
      </c>
      <c r="C1746" s="1">
        <f ca="1">IFERROR(__xludf.DUMMYFUNCTION("""COMPUTED_VALUE"""),794001)</f>
        <v>794001</v>
      </c>
      <c r="D1746" s="1" t="str">
        <f ca="1">IFERROR(__xludf.DUMMYFUNCTION("""COMPUTED_VALUE"""),"Male")</f>
        <v>Male</v>
      </c>
      <c r="E1746" s="1" t="str">
        <f ca="1">IFERROR(__xludf.DUMMYFUNCTION("""COMPUTED_VALUE"""),"My Parents")</f>
        <v>My Parents</v>
      </c>
      <c r="F1746" s="1" t="str">
        <f ca="1">IFERROR(__xludf.DUMMYFUNCTION("""COMPUTED_VALUE"""),"No, But if someone could bare the cost I will")</f>
        <v>No, But if someone could bare the cost I will</v>
      </c>
      <c r="G1746" s="1" t="str">
        <f ca="1">IFERROR(__xludf.DUMMYFUNCTION("""COMPUTED_VALUE"""),"Will work for 3 years or more")</f>
        <v>Will work for 3 years or more</v>
      </c>
      <c r="H1746" s="1" t="str">
        <f ca="1">IFERROR(__xludf.DUMMYFUNCTION("""COMPUTED_VALUE"""),"No")</f>
        <v>No</v>
      </c>
      <c r="I1746" s="1" t="str">
        <f ca="1">IFERROR(__xludf.DUMMYFUNCTION("""COMPUTED_VALUE"""),"Will NOT work for them")</f>
        <v>Will NOT work for them</v>
      </c>
      <c r="J1746" s="1">
        <f ca="1">IFERROR(__xludf.DUMMYFUNCTION("""COMPUTED_VALUE"""),3)</f>
        <v>3</v>
      </c>
      <c r="K1746" s="1" t="str">
        <f ca="1">IFERROR(__xludf.DUMMYFUNCTION("""COMPUTED_VALUE"""),"Fully Remote with No option to visit offices")</f>
        <v>Fully Remote with No option to visit offices</v>
      </c>
      <c r="L1746" s="1" t="str">
        <f ca="1">IFERROR(__xludf.DUMMYFUNCTION("""COMPUTED_VALUE"""),"Employer who appreciates learning and enables that environment")</f>
        <v>Employer who appreciates learning and enables that environment</v>
      </c>
      <c r="M174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746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1746" s="1" t="str">
        <f ca="1">IFERROR(__xludf.DUMMYFUNCTION("""COMPUTED_VALUE"""),"Manager who sets unrealistic targets")</f>
        <v>Manager who sets unrealistic targets</v>
      </c>
      <c r="P1746" s="1" t="str">
        <f ca="1">IFERROR(__xludf.DUMMYFUNCTION("""COMPUTED_VALUE"""),"Work alone, Work with 2 to 3 people in my team")</f>
        <v>Work alone, Work with 2 to 3 people in my team</v>
      </c>
      <c r="Q1746" s="1" t="str">
        <f ca="1">IFERROR(__xludf.DUMMYFUNCTION("""COMPUTED_VALUE"""),"Yes, I Understand this is gonna happen everywhere")</f>
        <v>Yes, I Understand this is gonna happen everywhere</v>
      </c>
      <c r="R1746" s="1" t="str">
        <f ca="1">IFERROR(__xludf.DUMMYFUNCTION("""COMPUTED_VALUE"""),"This will be hard to do, but if it is the right company I would try")</f>
        <v>This will be hard to do, but if it is the right company I would try</v>
      </c>
      <c r="S1746" s="1"/>
    </row>
    <row r="1747" spans="1:19" ht="12.5" x14ac:dyDescent="0.25">
      <c r="A1747" s="2">
        <f ca="1">IFERROR(__xludf.DUMMYFUNCTION("""COMPUTED_VALUE"""),45048.6721538425)</f>
        <v>45048.672153842497</v>
      </c>
      <c r="B1747" s="1" t="str">
        <f ca="1">IFERROR(__xludf.DUMMYFUNCTION("""COMPUTED_VALUE"""),"India")</f>
        <v>India</v>
      </c>
      <c r="C1747" s="1">
        <f ca="1">IFERROR(__xludf.DUMMYFUNCTION("""COMPUTED_VALUE"""),110070)</f>
        <v>110070</v>
      </c>
      <c r="D1747" s="1" t="str">
        <f ca="1">IFERROR(__xludf.DUMMYFUNCTION("""COMPUTED_VALUE"""),"Male")</f>
        <v>Male</v>
      </c>
      <c r="E1747" s="1" t="str">
        <f ca="1">IFERROR(__xludf.DUMMYFUNCTION("""COMPUTED_VALUE"""),"People who have changed the world for better")</f>
        <v>People who have changed the world for better</v>
      </c>
      <c r="F1747" s="1" t="str">
        <f ca="1">IFERROR(__xludf.DUMMYFUNCTION("""COMPUTED_VALUE"""),"No I would not be pursuing Higher Education outside of India")</f>
        <v>No I would not be pursuing Higher Education outside of India</v>
      </c>
      <c r="G1747" s="1" t="str">
        <f ca="1">IFERROR(__xludf.DUMMYFUNCTION("""COMPUTED_VALUE"""),"This will be hard to do, but if it is the right company I would try")</f>
        <v>This will be hard to do, but if it is the right company I would try</v>
      </c>
      <c r="H1747" s="1" t="str">
        <f ca="1">IFERROR(__xludf.DUMMYFUNCTION("""COMPUTED_VALUE"""),"No")</f>
        <v>No</v>
      </c>
      <c r="I1747" s="1" t="str">
        <f ca="1">IFERROR(__xludf.DUMMYFUNCTION("""COMPUTED_VALUE"""),"Will NOT work for them")</f>
        <v>Will NOT work for them</v>
      </c>
      <c r="J1747" s="1">
        <f ca="1">IFERROR(__xludf.DUMMYFUNCTION("""COMPUTED_VALUE"""),4)</f>
        <v>4</v>
      </c>
      <c r="K1747" s="1" t="str">
        <f ca="1">IFERROR(__xludf.DUMMYFUNCTION("""COMPUTED_VALUE"""),"Fully Remote with Options to travel as and when needed")</f>
        <v>Fully Remote with Options to travel as and when needed</v>
      </c>
      <c r="L17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4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47" s="1" t="str">
        <f ca="1">IFERROR(__xludf.DUMMYFUNCTION("""COMPUTED_VALUE"""),"Design and Creative strategy in any company, Work in a BPO setup for some well known client, Work as a freelancer and do my thing my way, Entrepreneur or Start Up")</f>
        <v>Design and Creative strategy in any company, Work in a BPO setup for some well known client, Work as a freelancer and do my thing my way, Entrepreneur or Start Up</v>
      </c>
      <c r="O1747" s="1" t="str">
        <f ca="1">IFERROR(__xludf.DUMMYFUNCTION("""COMPUTED_VALUE"""),"Manager who sets goal and helps me achieve it")</f>
        <v>Manager who sets goal and helps me achieve it</v>
      </c>
      <c r="P1747" s="1" t="str">
        <f ca="1">IFERROR(__xludf.DUMMYFUNCTION("""COMPUTED_VALUE"""),"Work with 5 to 6 people in my team")</f>
        <v>Work with 5 to 6 people in my team</v>
      </c>
      <c r="Q1747" s="1" t="str">
        <f ca="1">IFERROR(__xludf.DUMMYFUNCTION("""COMPUTED_VALUE"""),"Yes, I Understand this is gonna happen everywhere")</f>
        <v>Yes, I Understand this is gonna happen everywhere</v>
      </c>
      <c r="R1747" s="1" t="str">
        <f ca="1">IFERROR(__xludf.DUMMYFUNCTION("""COMPUTED_VALUE"""),"This will be hard to do, but if it is the right company I would try")</f>
        <v>This will be hard to do, but if it is the right company I would try</v>
      </c>
      <c r="S1747" s="1"/>
    </row>
    <row r="1748" spans="1:19" ht="12.5" x14ac:dyDescent="0.25">
      <c r="A1748" s="2">
        <f ca="1">IFERROR(__xludf.DUMMYFUNCTION("""COMPUTED_VALUE"""),45048.6817630324)</f>
        <v>45048.6817630324</v>
      </c>
      <c r="B1748" s="1" t="str">
        <f ca="1">IFERROR(__xludf.DUMMYFUNCTION("""COMPUTED_VALUE"""),"India")</f>
        <v>India</v>
      </c>
      <c r="C1748" s="1">
        <f ca="1">IFERROR(__xludf.DUMMYFUNCTION("""COMPUTED_VALUE"""),560029)</f>
        <v>560029</v>
      </c>
      <c r="D1748" s="1" t="str">
        <f ca="1">IFERROR(__xludf.DUMMYFUNCTION("""COMPUTED_VALUE"""),"Female")</f>
        <v>Female</v>
      </c>
      <c r="E1748" s="1" t="str">
        <f ca="1">IFERROR(__xludf.DUMMYFUNCTION("""COMPUTED_VALUE"""),"My Parents")</f>
        <v>My Parents</v>
      </c>
      <c r="F1748" s="1" t="str">
        <f ca="1">IFERROR(__xludf.DUMMYFUNCTION("""COMPUTED_VALUE"""),"No I would not be pursuing Higher Education outside of India")</f>
        <v>No I would not be pursuing Higher Education outside of India</v>
      </c>
      <c r="G1748" s="1" t="str">
        <f ca="1">IFERROR(__xludf.DUMMYFUNCTION("""COMPUTED_VALUE"""),"This will be hard to do, but if it is the right company I would try")</f>
        <v>This will be hard to do, but if it is the right company I would try</v>
      </c>
      <c r="H1748" s="1" t="str">
        <f ca="1">IFERROR(__xludf.DUMMYFUNCTION("""COMPUTED_VALUE"""),"No")</f>
        <v>No</v>
      </c>
      <c r="I1748" s="1" t="str">
        <f ca="1">IFERROR(__xludf.DUMMYFUNCTION("""COMPUTED_VALUE"""),"Will NOT work for them")</f>
        <v>Will NOT work for them</v>
      </c>
      <c r="J1748" s="1">
        <f ca="1">IFERROR(__xludf.DUMMYFUNCTION("""COMPUTED_VALUE"""),3)</f>
        <v>3</v>
      </c>
      <c r="K1748" s="1" t="str">
        <f ca="1">IFERROR(__xludf.DUMMYFUNCTION("""COMPUTED_VALUE"""),"Fully Remote with No option to visit offices")</f>
        <v>Fully Remote with No option to visit offices</v>
      </c>
      <c r="L17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4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748" s="1" t="str">
        <f ca="1">IFERROR(__xludf.DUMMYFUNCTION("""COMPUTED_VALUE"""),"Business Operations in any organization, Build and develop a Team, Work in a BPO setup for some well known client, Entrepreneur or Start Up")</f>
        <v>Business Operations in any organization, Build and develop a Team, Work in a BPO setup for some well known client, Entrepreneur or Start Up</v>
      </c>
      <c r="O1748" s="1" t="str">
        <f ca="1">IFERROR(__xludf.DUMMYFUNCTION("""COMPUTED_VALUE"""),"Manager who sets goal and helps me achieve it")</f>
        <v>Manager who sets goal and helps me achieve it</v>
      </c>
      <c r="P1748" s="1" t="str">
        <f ca="1">IFERROR(__xludf.DUMMYFUNCTION("""COMPUTED_VALUE"""),"Work with 5 to 6 people in my team")</f>
        <v>Work with 5 to 6 people in my team</v>
      </c>
      <c r="Q1748" s="1" t="str">
        <f ca="1">IFERROR(__xludf.DUMMYFUNCTION("""COMPUTED_VALUE"""),"No")</f>
        <v>No</v>
      </c>
      <c r="R1748" s="1" t="str">
        <f ca="1">IFERROR(__xludf.DUMMYFUNCTION("""COMPUTED_VALUE"""),"This will be hard to do, but if it is the right company I would try")</f>
        <v>This will be hard to do, but if it is the right company I would try</v>
      </c>
      <c r="S1748" s="1"/>
    </row>
    <row r="1749" spans="1:19" ht="12.5" x14ac:dyDescent="0.25">
      <c r="A1749" s="2">
        <f ca="1">IFERROR(__xludf.DUMMYFUNCTION("""COMPUTED_VALUE"""),45048.6870161226)</f>
        <v>45048.687016122603</v>
      </c>
      <c r="B1749" s="1" t="str">
        <f ca="1">IFERROR(__xludf.DUMMYFUNCTION("""COMPUTED_VALUE"""),"India")</f>
        <v>India</v>
      </c>
      <c r="C1749" s="1">
        <f ca="1">IFERROR(__xludf.DUMMYFUNCTION("""COMPUTED_VALUE"""),787001)</f>
        <v>787001</v>
      </c>
      <c r="D1749" s="1" t="str">
        <f ca="1">IFERROR(__xludf.DUMMYFUNCTION("""COMPUTED_VALUE"""),"Male")</f>
        <v>Male</v>
      </c>
      <c r="E1749" s="1" t="str">
        <f ca="1">IFERROR(__xludf.DUMMYFUNCTION("""COMPUTED_VALUE"""),"People from my circle, but not family members")</f>
        <v>People from my circle, but not family members</v>
      </c>
      <c r="F1749" s="1" t="str">
        <f ca="1">IFERROR(__xludf.DUMMYFUNCTION("""COMPUTED_VALUE"""),"No I would not be pursuing Higher Education outside of India")</f>
        <v>No I would not be pursuing Higher Education outside of India</v>
      </c>
      <c r="G1749" s="1" t="str">
        <f ca="1">IFERROR(__xludf.DUMMYFUNCTION("""COMPUTED_VALUE"""),"This will be hard to do, but if it is the right company I would try")</f>
        <v>This will be hard to do, but if it is the right company I would try</v>
      </c>
      <c r="H1749" s="1" t="str">
        <f ca="1">IFERROR(__xludf.DUMMYFUNCTION("""COMPUTED_VALUE"""),"No")</f>
        <v>No</v>
      </c>
      <c r="I1749" s="1" t="str">
        <f ca="1">IFERROR(__xludf.DUMMYFUNCTION("""COMPUTED_VALUE"""),"Will NOT work for them")</f>
        <v>Will NOT work for them</v>
      </c>
      <c r="J1749" s="1">
        <f ca="1">IFERROR(__xludf.DUMMYFUNCTION("""COMPUTED_VALUE"""),3)</f>
        <v>3</v>
      </c>
      <c r="K1749" s="1" t="str">
        <f ca="1">IFERROR(__xludf.DUMMYFUNCTION("""COMPUTED_VALUE"""),"Hybrid Working Environment with less than 3 days a month at office")</f>
        <v>Hybrid Working Environment with less than 3 days a month at office</v>
      </c>
      <c r="L17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4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49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1749" s="1" t="str">
        <f ca="1">IFERROR(__xludf.DUMMYFUNCTION("""COMPUTED_VALUE"""),"Manager who sets goal and helps me achieve it")</f>
        <v>Manager who sets goal and helps me achieve it</v>
      </c>
      <c r="P1749" s="1" t="str">
        <f ca="1">IFERROR(__xludf.DUMMYFUNCTION("""COMPUTED_VALUE"""),"Work with 2 to 3 people in my team")</f>
        <v>Work with 2 to 3 people in my team</v>
      </c>
      <c r="Q1749" s="1" t="str">
        <f ca="1">IFERROR(__xludf.DUMMYFUNCTION("""COMPUTED_VALUE"""),"No")</f>
        <v>No</v>
      </c>
      <c r="R1749" s="1" t="str">
        <f ca="1">IFERROR(__xludf.DUMMYFUNCTION("""COMPUTED_VALUE"""),"No way")</f>
        <v>No way</v>
      </c>
      <c r="S1749" s="1"/>
    </row>
    <row r="1750" spans="1:19" ht="12.5" x14ac:dyDescent="0.25">
      <c r="A1750" s="2">
        <f ca="1">IFERROR(__xludf.DUMMYFUNCTION("""COMPUTED_VALUE"""),45048.6895349884)</f>
        <v>45048.6895349884</v>
      </c>
      <c r="B1750" s="1" t="str">
        <f ca="1">IFERROR(__xludf.DUMMYFUNCTION("""COMPUTED_VALUE"""),"India")</f>
        <v>India</v>
      </c>
      <c r="C1750" s="1">
        <f ca="1">IFERROR(__xludf.DUMMYFUNCTION("""COMPUTED_VALUE"""),793006)</f>
        <v>793006</v>
      </c>
      <c r="D1750" s="1" t="str">
        <f ca="1">IFERROR(__xludf.DUMMYFUNCTION("""COMPUTED_VALUE"""),"Female")</f>
        <v>Female</v>
      </c>
      <c r="E1750" s="1" t="str">
        <f ca="1">IFERROR(__xludf.DUMMYFUNCTION("""COMPUTED_VALUE"""),"Influencers who had successful careers")</f>
        <v>Influencers who had successful careers</v>
      </c>
      <c r="F1750" s="1" t="str">
        <f ca="1">IFERROR(__xludf.DUMMYFUNCTION("""COMPUTED_VALUE"""),"Yes, I will earn and do that")</f>
        <v>Yes, I will earn and do that</v>
      </c>
      <c r="G1750" s="1" t="str">
        <f ca="1">IFERROR(__xludf.DUMMYFUNCTION("""COMPUTED_VALUE"""),"This will be hard to do, but if it is the right company I would try")</f>
        <v>This will be hard to do, but if it is the right company I would try</v>
      </c>
      <c r="H1750" s="1" t="str">
        <f ca="1">IFERROR(__xludf.DUMMYFUNCTION("""COMPUTED_VALUE"""),"No")</f>
        <v>No</v>
      </c>
      <c r="I1750" s="1" t="str">
        <f ca="1">IFERROR(__xludf.DUMMYFUNCTION("""COMPUTED_VALUE"""),"Will work for them")</f>
        <v>Will work for them</v>
      </c>
      <c r="J1750" s="1">
        <f ca="1">IFERROR(__xludf.DUMMYFUNCTION("""COMPUTED_VALUE"""),5)</f>
        <v>5</v>
      </c>
      <c r="K1750" s="1" t="str">
        <f ca="1">IFERROR(__xludf.DUMMYFUNCTION("""COMPUTED_VALUE"""),"Fully Remote with Options to travel as and when needed")</f>
        <v>Fully Remote with Options to travel as and when needed</v>
      </c>
      <c r="L17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5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750" s="1" t="str">
        <f ca="1">IFERROR(__xludf.DUMMYFUNCTION("""COMPUTED_VALUE"""),"Design and Creative strategy in any company, Business Operations in any organization, Entrepreneur or Start Up, I Want to sell things/Sales")</f>
        <v>Design and Creative strategy in any company, Business Operations in any organization, Entrepreneur or Start Up, I Want to sell things/Sales</v>
      </c>
      <c r="O1750" s="1" t="str">
        <f ca="1">IFERROR(__xludf.DUMMYFUNCTION("""COMPUTED_VALUE"""),"Manager who sets goal and helps me achieve it")</f>
        <v>Manager who sets goal and helps me achieve it</v>
      </c>
      <c r="P1750" s="1" t="str">
        <f ca="1">IFERROR(__xludf.DUMMYFUNCTION("""COMPUTED_VALUE"""),"Work with 2 to 3 people in my team")</f>
        <v>Work with 2 to 3 people in my team</v>
      </c>
      <c r="Q1750" s="1" t="str">
        <f ca="1">IFERROR(__xludf.DUMMYFUNCTION("""COMPUTED_VALUE"""),"Yes, I Understand this is gonna happen everywhere")</f>
        <v>Yes, I Understand this is gonna happen everywhere</v>
      </c>
      <c r="R1750" s="1" t="str">
        <f ca="1">IFERROR(__xludf.DUMMYFUNCTION("""COMPUTED_VALUE"""),"This will be hard to do, but if it is the right company I would try")</f>
        <v>This will be hard to do, but if it is the right company I would try</v>
      </c>
      <c r="S1750" s="1"/>
    </row>
    <row r="1751" spans="1:19" ht="12.5" x14ac:dyDescent="0.25">
      <c r="A1751" s="2">
        <f ca="1">IFERROR(__xludf.DUMMYFUNCTION("""COMPUTED_VALUE"""),45048.6943014467)</f>
        <v>45048.694301446703</v>
      </c>
      <c r="B1751" s="1" t="str">
        <f ca="1">IFERROR(__xludf.DUMMYFUNCTION("""COMPUTED_VALUE"""),"India")</f>
        <v>India</v>
      </c>
      <c r="C1751" s="1">
        <f ca="1">IFERROR(__xludf.DUMMYFUNCTION("""COMPUTED_VALUE"""),793102)</f>
        <v>793102</v>
      </c>
      <c r="D1751" s="1" t="str">
        <f ca="1">IFERROR(__xludf.DUMMYFUNCTION("""COMPUTED_VALUE"""),"Female")</f>
        <v>Female</v>
      </c>
      <c r="E1751" s="1" t="str">
        <f ca="1">IFERROR(__xludf.DUMMYFUNCTION("""COMPUTED_VALUE"""),"People from my circle, but not family members")</f>
        <v>People from my circle, but not family members</v>
      </c>
      <c r="F1751" s="1" t="str">
        <f ca="1">IFERROR(__xludf.DUMMYFUNCTION("""COMPUTED_VALUE"""),"No, But if someone could bare the cost I will")</f>
        <v>No, But if someone could bare the cost I will</v>
      </c>
      <c r="G1751" s="1" t="str">
        <f ca="1">IFERROR(__xludf.DUMMYFUNCTION("""COMPUTED_VALUE"""),"This will be hard to do, but if it is the right company I would try")</f>
        <v>This will be hard to do, but if it is the right company I would try</v>
      </c>
      <c r="H1751" s="1" t="str">
        <f ca="1">IFERROR(__xludf.DUMMYFUNCTION("""COMPUTED_VALUE"""),"No")</f>
        <v>No</v>
      </c>
      <c r="I1751" s="1" t="str">
        <f ca="1">IFERROR(__xludf.DUMMYFUNCTION("""COMPUTED_VALUE"""),"Will NOT work for them")</f>
        <v>Will NOT work for them</v>
      </c>
      <c r="J1751" s="1">
        <f ca="1">IFERROR(__xludf.DUMMYFUNCTION("""COMPUTED_VALUE"""),5)</f>
        <v>5</v>
      </c>
      <c r="K1751" s="1" t="str">
        <f ca="1">IFERROR(__xludf.DUMMYFUNCTION("""COMPUTED_VALUE"""),"Hybrid Working Environment with more than 15 days a month at office")</f>
        <v>Hybrid Working Environment with more than 15 days a month at office</v>
      </c>
      <c r="L17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5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51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1751" s="1" t="str">
        <f ca="1">IFERROR(__xludf.DUMMYFUNCTION("""COMPUTED_VALUE"""),"Manager who explains what is expected, sets a goal and helps achieve it")</f>
        <v>Manager who explains what is expected, sets a goal and helps achieve it</v>
      </c>
      <c r="P1751" s="1" t="str">
        <f ca="1">IFERROR(__xludf.DUMMYFUNCTION("""COMPUTED_VALUE"""),"Work with 5 to 6 people in my team")</f>
        <v>Work with 5 to 6 people in my team</v>
      </c>
      <c r="Q1751" s="1" t="str">
        <f ca="1">IFERROR(__xludf.DUMMYFUNCTION("""COMPUTED_VALUE"""),"Yes, I Understand this is gonna happen everywhere")</f>
        <v>Yes, I Understand this is gonna happen everywhere</v>
      </c>
      <c r="R1751" s="1" t="str">
        <f ca="1">IFERROR(__xludf.DUMMYFUNCTION("""COMPUTED_VALUE"""),"This will be hard to do, but if it is the right company I would try")</f>
        <v>This will be hard to do, but if it is the right company I would try</v>
      </c>
      <c r="S1751" s="1"/>
    </row>
    <row r="1752" spans="1:19" ht="12.5" x14ac:dyDescent="0.25">
      <c r="A1752" s="2">
        <f ca="1">IFERROR(__xludf.DUMMYFUNCTION("""COMPUTED_VALUE"""),45048.705125)</f>
        <v>45048.705125</v>
      </c>
      <c r="B1752" s="1" t="str">
        <f ca="1">IFERROR(__xludf.DUMMYFUNCTION("""COMPUTED_VALUE"""),"United Arab Emirates")</f>
        <v>United Arab Emirates</v>
      </c>
      <c r="C1752" s="1">
        <f ca="1">IFERROR(__xludf.DUMMYFUNCTION("""COMPUTED_VALUE"""),307501)</f>
        <v>307501</v>
      </c>
      <c r="D1752" s="1" t="str">
        <f ca="1">IFERROR(__xludf.DUMMYFUNCTION("""COMPUTED_VALUE"""),"Male")</f>
        <v>Male</v>
      </c>
      <c r="E1752" s="1" t="str">
        <f ca="1">IFERROR(__xludf.DUMMYFUNCTION("""COMPUTED_VALUE"""),"People who have changed the world for better")</f>
        <v>People who have changed the world for better</v>
      </c>
      <c r="F1752" s="1" t="str">
        <f ca="1">IFERROR(__xludf.DUMMYFUNCTION("""COMPUTED_VALUE"""),"No I would not be pursuing Higher Education outside of India")</f>
        <v>No I would not be pursuing Higher Education outside of India</v>
      </c>
      <c r="G1752" s="1" t="str">
        <f ca="1">IFERROR(__xludf.DUMMYFUNCTION("""COMPUTED_VALUE"""),"This will be hard to do, but if it is the right company I would try")</f>
        <v>This will be hard to do, but if it is the right company I would try</v>
      </c>
      <c r="H1752" s="1" t="str">
        <f ca="1">IFERROR(__xludf.DUMMYFUNCTION("""COMPUTED_VALUE"""),"No")</f>
        <v>No</v>
      </c>
      <c r="I1752" s="1" t="str">
        <f ca="1">IFERROR(__xludf.DUMMYFUNCTION("""COMPUTED_VALUE"""),"Will NOT work for them")</f>
        <v>Will NOT work for them</v>
      </c>
      <c r="J1752" s="1">
        <f ca="1">IFERROR(__xludf.DUMMYFUNCTION("""COMPUTED_VALUE"""),1)</f>
        <v>1</v>
      </c>
      <c r="K1752" s="1" t="str">
        <f ca="1">IFERROR(__xludf.DUMMYFUNCTION("""COMPUTED_VALUE"""),"Every Day Office Environment")</f>
        <v>Every Day Office Environment</v>
      </c>
      <c r="L1752" s="1" t="str">
        <f ca="1">IFERROR(__xludf.DUMMYFUNCTION("""COMPUTED_VALUE"""),"Employer who appreciates learning and enables that environment")</f>
        <v>Employer who appreciates learning and enables that environment</v>
      </c>
      <c r="M175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52" s="1" t="str">
        <f ca="1">IFERROR(__xludf.DUMMYFUNCTION("""COMPUTED_VALUE"""),"Design and Creative strategy in any company, Business Operations in any organization, Build and develop a Team, Become a content Creator in some platform")</f>
        <v>Design and Creative strategy in any company, Business Operations in any organization, Build and develop a Team, Become a content Creator in some platform</v>
      </c>
      <c r="O1752" s="1" t="str">
        <f ca="1">IFERROR(__xludf.DUMMYFUNCTION("""COMPUTED_VALUE"""),"Manager who sets goal and helps me achieve it")</f>
        <v>Manager who sets goal and helps me achieve it</v>
      </c>
      <c r="P1752" s="1" t="str">
        <f ca="1">IFERROR(__xludf.DUMMYFUNCTION("""COMPUTED_VALUE"""),"Work with more than 10 people in my team")</f>
        <v>Work with more than 10 people in my team</v>
      </c>
      <c r="Q1752" s="1" t="str">
        <f ca="1">IFERROR(__xludf.DUMMYFUNCTION("""COMPUTED_VALUE"""),"No")</f>
        <v>No</v>
      </c>
      <c r="R1752" s="1" t="str">
        <f ca="1">IFERROR(__xludf.DUMMYFUNCTION("""COMPUTED_VALUE"""),"No way")</f>
        <v>No way</v>
      </c>
      <c r="S1752" s="1"/>
    </row>
    <row r="1753" spans="1:19" ht="12.5" x14ac:dyDescent="0.25">
      <c r="A1753" s="2">
        <f ca="1">IFERROR(__xludf.DUMMYFUNCTION("""COMPUTED_VALUE"""),45048.7235053935)</f>
        <v>45048.7235053935</v>
      </c>
      <c r="B1753" s="1" t="str">
        <f ca="1">IFERROR(__xludf.DUMMYFUNCTION("""COMPUTED_VALUE"""),"India")</f>
        <v>India</v>
      </c>
      <c r="C1753" s="1">
        <f ca="1">IFERROR(__xludf.DUMMYFUNCTION("""COMPUTED_VALUE"""),793006)</f>
        <v>793006</v>
      </c>
      <c r="D1753" s="1" t="str">
        <f ca="1">IFERROR(__xludf.DUMMYFUNCTION("""COMPUTED_VALUE"""),"Female")</f>
        <v>Female</v>
      </c>
      <c r="E1753" s="1" t="str">
        <f ca="1">IFERROR(__xludf.DUMMYFUNCTION("""COMPUTED_VALUE"""),"People who have changed the world for better")</f>
        <v>People who have changed the world for better</v>
      </c>
      <c r="F1753" s="1" t="str">
        <f ca="1">IFERROR(__xludf.DUMMYFUNCTION("""COMPUTED_VALUE"""),"No I would not be pursuing Higher Education outside of India")</f>
        <v>No I would not be pursuing Higher Education outside of India</v>
      </c>
      <c r="G1753" s="1" t="str">
        <f ca="1">IFERROR(__xludf.DUMMYFUNCTION("""COMPUTED_VALUE"""),"This will be hard to do, but if it is the right company I would try")</f>
        <v>This will be hard to do, but if it is the right company I would try</v>
      </c>
      <c r="H1753" s="1" t="str">
        <f ca="1">IFERROR(__xludf.DUMMYFUNCTION("""COMPUTED_VALUE"""),"Yes")</f>
        <v>Yes</v>
      </c>
      <c r="I1753" s="1" t="str">
        <f ca="1">IFERROR(__xludf.DUMMYFUNCTION("""COMPUTED_VALUE"""),"Will NOT work for them")</f>
        <v>Will NOT work for them</v>
      </c>
      <c r="J1753" s="1">
        <f ca="1">IFERROR(__xludf.DUMMYFUNCTION("""COMPUTED_VALUE"""),4)</f>
        <v>4</v>
      </c>
      <c r="K1753" s="1" t="str">
        <f ca="1">IFERROR(__xludf.DUMMYFUNCTION("""COMPUTED_VALUE"""),"Fully Remote with Options to travel as and when needed")</f>
        <v>Fully Remote with Options to travel as and when needed</v>
      </c>
      <c r="L1753" s="1" t="str">
        <f ca="1">IFERROR(__xludf.DUMMYFUNCTION("""COMPUTED_VALUE"""),"Employer who rewards learning and enables that environment")</f>
        <v>Employer who rewards learning and enables that environment</v>
      </c>
      <c r="M175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753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753" s="1" t="str">
        <f ca="1">IFERROR(__xludf.DUMMYFUNCTION("""COMPUTED_VALUE"""),"Manager who explains what is expected, sets a goal and helps achieve it")</f>
        <v>Manager who explains what is expected, sets a goal and helps achieve it</v>
      </c>
      <c r="P1753" s="1" t="str">
        <f ca="1">IFERROR(__xludf.DUMMYFUNCTION("""COMPUTED_VALUE"""),"Work with 2 to 3 people in my team")</f>
        <v>Work with 2 to 3 people in my team</v>
      </c>
      <c r="Q1753" s="1" t="str">
        <f ca="1">IFERROR(__xludf.DUMMYFUNCTION("""COMPUTED_VALUE"""),"Yes, I Understand this is gonna happen everywhere")</f>
        <v>Yes, I Understand this is gonna happen everywhere</v>
      </c>
      <c r="R1753" s="1" t="str">
        <f ca="1">IFERROR(__xludf.DUMMYFUNCTION("""COMPUTED_VALUE"""),"This will be hard to do, but if it is the right company I would try")</f>
        <v>This will be hard to do, but if it is the right company I would try</v>
      </c>
      <c r="S1753" s="1"/>
    </row>
    <row r="1754" spans="1:19" ht="12.5" x14ac:dyDescent="0.25">
      <c r="A1754" s="2">
        <f ca="1">IFERROR(__xludf.DUMMYFUNCTION("""COMPUTED_VALUE"""),45048.7529429861)</f>
        <v>45048.752942986102</v>
      </c>
      <c r="B1754" s="1" t="str">
        <f ca="1">IFERROR(__xludf.DUMMYFUNCTION("""COMPUTED_VALUE"""),"India")</f>
        <v>India</v>
      </c>
      <c r="C1754" s="1">
        <f ca="1">IFERROR(__xludf.DUMMYFUNCTION("""COMPUTED_VALUE"""),793021)</f>
        <v>793021</v>
      </c>
      <c r="D1754" s="1" t="str">
        <f ca="1">IFERROR(__xludf.DUMMYFUNCTION("""COMPUTED_VALUE"""),"Male")</f>
        <v>Male</v>
      </c>
      <c r="E1754" s="1" t="str">
        <f ca="1">IFERROR(__xludf.DUMMYFUNCTION("""COMPUTED_VALUE"""),"Influencers who had successful careers")</f>
        <v>Influencers who had successful careers</v>
      </c>
      <c r="F1754" s="1" t="str">
        <f ca="1">IFERROR(__xludf.DUMMYFUNCTION("""COMPUTED_VALUE"""),"No, But if someone could bare the cost I will")</f>
        <v>No, But if someone could bare the cost I will</v>
      </c>
      <c r="G1754" s="1" t="str">
        <f ca="1">IFERROR(__xludf.DUMMYFUNCTION("""COMPUTED_VALUE"""),"This will be hard to do, but if it is the right company I would try")</f>
        <v>This will be hard to do, but if it is the right company I would try</v>
      </c>
      <c r="H1754" s="1" t="str">
        <f ca="1">IFERROR(__xludf.DUMMYFUNCTION("""COMPUTED_VALUE"""),"Yes")</f>
        <v>Yes</v>
      </c>
      <c r="I1754" s="1" t="str">
        <f ca="1">IFERROR(__xludf.DUMMYFUNCTION("""COMPUTED_VALUE"""),"Will work for them")</f>
        <v>Will work for them</v>
      </c>
      <c r="J1754" s="1">
        <f ca="1">IFERROR(__xludf.DUMMYFUNCTION("""COMPUTED_VALUE"""),8)</f>
        <v>8</v>
      </c>
      <c r="K1754" s="1" t="str">
        <f ca="1">IFERROR(__xludf.DUMMYFUNCTION("""COMPUTED_VALUE"""),"Fully Remote with Options to travel as and when needed")</f>
        <v>Fully Remote with Options to travel as and when needed</v>
      </c>
      <c r="L1754" s="1" t="str">
        <f ca="1">IFERROR(__xludf.DUMMYFUNCTION("""COMPUTED_VALUE"""),"Employer who rewards learning and enables that environment")</f>
        <v>Employer who rewards learning and enables that environment</v>
      </c>
      <c r="M175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754" s="1" t="str">
        <f ca="1">IFERROR(__xludf.DUMMYFUNCTION("""COMPUTED_VALUE"""),"Design and Creative strategy in any company, Become a content Creator in some platform, Entrepreneur or Start Up, Manufacturing / Oil and Gas/ Construction / Hard Physical Work related")</f>
        <v>Design and Creative strategy in any company, Become a content Creator in some platform, Entrepreneur or Start Up, Manufacturing / Oil and Gas/ Construction / Hard Physical Work related</v>
      </c>
      <c r="O1754" s="1" t="str">
        <f ca="1">IFERROR(__xludf.DUMMYFUNCTION("""COMPUTED_VALUE"""),"Manager who explains what is expected, sets a goal and helps achieve it")</f>
        <v>Manager who explains what is expected, sets a goal and helps achieve it</v>
      </c>
      <c r="P1754" s="1" t="str">
        <f ca="1">IFERROR(__xludf.DUMMYFUNCTION("""COMPUTED_VALUE"""),"Work with 2 to 3 people in my team")</f>
        <v>Work with 2 to 3 people in my team</v>
      </c>
      <c r="Q1754" s="1" t="str">
        <f ca="1">IFERROR(__xludf.DUMMYFUNCTION("""COMPUTED_VALUE"""),"No")</f>
        <v>No</v>
      </c>
      <c r="R1754" s="1" t="str">
        <f ca="1">IFERROR(__xludf.DUMMYFUNCTION("""COMPUTED_VALUE"""),"This will be hard to do, but if it is the right company I would try")</f>
        <v>This will be hard to do, but if it is the right company I would try</v>
      </c>
      <c r="S1754" s="1"/>
    </row>
    <row r="1755" spans="1:19" ht="12.5" x14ac:dyDescent="0.25">
      <c r="A1755" s="2">
        <f ca="1">IFERROR(__xludf.DUMMYFUNCTION("""COMPUTED_VALUE"""),45048.7580371412)</f>
        <v>45048.758037141197</v>
      </c>
      <c r="B1755" s="1" t="str">
        <f ca="1">IFERROR(__xludf.DUMMYFUNCTION("""COMPUTED_VALUE"""),"India")</f>
        <v>India</v>
      </c>
      <c r="C1755" s="1">
        <f ca="1">IFERROR(__xludf.DUMMYFUNCTION("""COMPUTED_VALUE"""),793001)</f>
        <v>793001</v>
      </c>
      <c r="D1755" s="1" t="str">
        <f ca="1">IFERROR(__xludf.DUMMYFUNCTION("""COMPUTED_VALUE"""),"Male")</f>
        <v>Male</v>
      </c>
      <c r="E1755" s="1" t="str">
        <f ca="1">IFERROR(__xludf.DUMMYFUNCTION("""COMPUTED_VALUE"""),"My Parents")</f>
        <v>My Parents</v>
      </c>
      <c r="F1755" s="1" t="str">
        <f ca="1">IFERROR(__xludf.DUMMYFUNCTION("""COMPUTED_VALUE"""),"No I would not be pursuing Higher Education outside of India")</f>
        <v>No I would not be pursuing Higher Education outside of India</v>
      </c>
      <c r="G1755" s="1" t="str">
        <f ca="1">IFERROR(__xludf.DUMMYFUNCTION("""COMPUTED_VALUE"""),"This will be hard to do, but if it is the right company I would try")</f>
        <v>This will be hard to do, but if it is the right company I would try</v>
      </c>
      <c r="H1755" s="1" t="str">
        <f ca="1">IFERROR(__xludf.DUMMYFUNCTION("""COMPUTED_VALUE"""),"Yes")</f>
        <v>Yes</v>
      </c>
      <c r="I1755" s="1" t="str">
        <f ca="1">IFERROR(__xludf.DUMMYFUNCTION("""COMPUTED_VALUE"""),"Will work for them")</f>
        <v>Will work for them</v>
      </c>
      <c r="J1755" s="1">
        <f ca="1">IFERROR(__xludf.DUMMYFUNCTION("""COMPUTED_VALUE"""),10)</f>
        <v>10</v>
      </c>
      <c r="K1755" s="1" t="str">
        <f ca="1">IFERROR(__xludf.DUMMYFUNCTION("""COMPUTED_VALUE"""),"Hybrid Working Environment with less than 3 days a month at office")</f>
        <v>Hybrid Working Environment with less than 3 days a month at office</v>
      </c>
      <c r="L1755" s="1" t="str">
        <f ca="1">IFERROR(__xludf.DUMMYFUNCTION("""COMPUTED_VALUE"""),"Employer who appreciates learning and enables that environment")</f>
        <v>Employer who appreciates learning and enables that environment</v>
      </c>
      <c r="M175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755" s="1" t="str">
        <f ca="1">IFERROR(__xludf.DUMMYFUNCTION("""COMPUTED_VALUE"""),"Build and develop a Team, Work as a freelancer and do my thing my way, Become a content Creator in some platform, Entrepreneur or Start Up")</f>
        <v>Build and develop a Team, Work as a freelancer and do my thing my way, Become a content Creator in some platform, Entrepreneur or Start Up</v>
      </c>
      <c r="O1755" s="1" t="str">
        <f ca="1">IFERROR(__xludf.DUMMYFUNCTION("""COMPUTED_VALUE"""),"Manager who clearly describes what she/he needs")</f>
        <v>Manager who clearly describes what she/he needs</v>
      </c>
      <c r="P1755" s="1" t="str">
        <f ca="1">IFERROR(__xludf.DUMMYFUNCTION("""COMPUTED_VALUE"""),"Work with more than 10 people in my team")</f>
        <v>Work with more than 10 people in my team</v>
      </c>
      <c r="Q1755" s="1" t="str">
        <f ca="1">IFERROR(__xludf.DUMMYFUNCTION("""COMPUTED_VALUE"""),"Yes, I Understand this is gonna happen everywhere")</f>
        <v>Yes, I Understand this is gonna happen everywhere</v>
      </c>
      <c r="R1755" s="1" t="str">
        <f ca="1">IFERROR(__xludf.DUMMYFUNCTION("""COMPUTED_VALUE"""),"No way")</f>
        <v>No way</v>
      </c>
      <c r="S1755" s="1"/>
    </row>
    <row r="1756" spans="1:19" ht="12.5" x14ac:dyDescent="0.25">
      <c r="A1756" s="2">
        <f ca="1">IFERROR(__xludf.DUMMYFUNCTION("""COMPUTED_VALUE"""),45048.7657160532)</f>
        <v>45048.765716053204</v>
      </c>
      <c r="B1756" s="1" t="str">
        <f ca="1">IFERROR(__xludf.DUMMYFUNCTION("""COMPUTED_VALUE"""),"India")</f>
        <v>India</v>
      </c>
      <c r="C1756" s="1">
        <f ca="1">IFERROR(__xludf.DUMMYFUNCTION("""COMPUTED_VALUE"""),793001)</f>
        <v>793001</v>
      </c>
      <c r="D1756" s="1" t="str">
        <f ca="1">IFERROR(__xludf.DUMMYFUNCTION("""COMPUTED_VALUE"""),"Female")</f>
        <v>Female</v>
      </c>
      <c r="E1756" s="1" t="str">
        <f ca="1">IFERROR(__xludf.DUMMYFUNCTION("""COMPUTED_VALUE"""),"My Parents")</f>
        <v>My Parents</v>
      </c>
      <c r="F1756" s="1" t="str">
        <f ca="1">IFERROR(__xludf.DUMMYFUNCTION("""COMPUTED_VALUE"""),"Yes, I will earn and do that")</f>
        <v>Yes, I will earn and do that</v>
      </c>
      <c r="G1756" s="1" t="str">
        <f ca="1">IFERROR(__xludf.DUMMYFUNCTION("""COMPUTED_VALUE"""),"This will be hard to do, but if it is the right company I would try")</f>
        <v>This will be hard to do, but if it is the right company I would try</v>
      </c>
      <c r="H1756" s="1" t="str">
        <f ca="1">IFERROR(__xludf.DUMMYFUNCTION("""COMPUTED_VALUE"""),"Yes")</f>
        <v>Yes</v>
      </c>
      <c r="I1756" s="1" t="str">
        <f ca="1">IFERROR(__xludf.DUMMYFUNCTION("""COMPUTED_VALUE"""),"Will NOT work for them")</f>
        <v>Will NOT work for them</v>
      </c>
      <c r="J1756" s="1">
        <f ca="1">IFERROR(__xludf.DUMMYFUNCTION("""COMPUTED_VALUE"""),1)</f>
        <v>1</v>
      </c>
      <c r="K1756" s="1" t="str">
        <f ca="1">IFERROR(__xludf.DUMMYFUNCTION("""COMPUTED_VALUE"""),"Every Day Office Environment")</f>
        <v>Every Day Office Environment</v>
      </c>
      <c r="L1756" s="1" t="str">
        <f ca="1">IFERROR(__xludf.DUMMYFUNCTION("""COMPUTED_VALUE"""),"Employer who appreciates learning and enables that environment")</f>
        <v>Employer who appreciates learning and enables that environment</v>
      </c>
      <c r="M175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56" s="1" t="str">
        <f ca="1">IFERROR(__xludf.DUMMYFUNCTION("""COMPUTED_VALUE"""),"Look deeply into Data and generate insights, Work as a freelancer and do my thing my way, Entrepreneur or Start Up, I Want to sell things/Sales")</f>
        <v>Look deeply into Data and generate insights, Work as a freelancer and do my thing my way, Entrepreneur or Start Up, I Want to sell things/Sales</v>
      </c>
      <c r="O1756" s="1" t="str">
        <f ca="1">IFERROR(__xludf.DUMMYFUNCTION("""COMPUTED_VALUE"""),"Manager who sets targets and expects me to achieve it")</f>
        <v>Manager who sets targets and expects me to achieve it</v>
      </c>
      <c r="P175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756" s="1" t="str">
        <f ca="1">IFERROR(__xludf.DUMMYFUNCTION("""COMPUTED_VALUE"""),"I have NO other choice")</f>
        <v>I have NO other choice</v>
      </c>
      <c r="R1756" s="1" t="str">
        <f ca="1">IFERROR(__xludf.DUMMYFUNCTION("""COMPUTED_VALUE"""),"This will be hard to do, but if it is the right company I would try")</f>
        <v>This will be hard to do, but if it is the right company I would try</v>
      </c>
      <c r="S1756" s="1"/>
    </row>
    <row r="1757" spans="1:19" ht="12.5" x14ac:dyDescent="0.25">
      <c r="A1757" s="2">
        <f ca="1">IFERROR(__xludf.DUMMYFUNCTION("""COMPUTED_VALUE"""),45048.777709456)</f>
        <v>45048.777709456001</v>
      </c>
      <c r="B1757" s="1" t="str">
        <f ca="1">IFERROR(__xludf.DUMMYFUNCTION("""COMPUTED_VALUE"""),"India")</f>
        <v>India</v>
      </c>
      <c r="C1757" s="1">
        <f ca="1">IFERROR(__xludf.DUMMYFUNCTION("""COMPUTED_VALUE"""),793006)</f>
        <v>793006</v>
      </c>
      <c r="D1757" s="1" t="str">
        <f ca="1">IFERROR(__xludf.DUMMYFUNCTION("""COMPUTED_VALUE"""),"Female")</f>
        <v>Female</v>
      </c>
      <c r="E1757" s="1" t="str">
        <f ca="1">IFERROR(__xludf.DUMMYFUNCTION("""COMPUTED_VALUE"""),"My Parents")</f>
        <v>My Parents</v>
      </c>
      <c r="F1757" s="1" t="str">
        <f ca="1">IFERROR(__xludf.DUMMYFUNCTION("""COMPUTED_VALUE"""),"No, But if someone could bare the cost I will")</f>
        <v>No, But if someone could bare the cost I will</v>
      </c>
      <c r="G1757" s="1" t="str">
        <f ca="1">IFERROR(__xludf.DUMMYFUNCTION("""COMPUTED_VALUE"""),"Will work for 3 years or more")</f>
        <v>Will work for 3 years or more</v>
      </c>
      <c r="H1757" s="1" t="str">
        <f ca="1">IFERROR(__xludf.DUMMYFUNCTION("""COMPUTED_VALUE"""),"No")</f>
        <v>No</v>
      </c>
      <c r="I1757" s="1" t="str">
        <f ca="1">IFERROR(__xludf.DUMMYFUNCTION("""COMPUTED_VALUE"""),"Will NOT work for them")</f>
        <v>Will NOT work for them</v>
      </c>
      <c r="J1757" s="1">
        <f ca="1">IFERROR(__xludf.DUMMYFUNCTION("""COMPUTED_VALUE"""),2)</f>
        <v>2</v>
      </c>
      <c r="K1757" s="1" t="str">
        <f ca="1">IFERROR(__xludf.DUMMYFUNCTION("""COMPUTED_VALUE"""),"Hybrid Working Environment with more than 15 days a month at office")</f>
        <v>Hybrid Working Environment with more than 15 days a month at office</v>
      </c>
      <c r="L17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5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757" s="1" t="str">
        <f ca="1">IFERROR(__xludf.DUMMYFUNCTION("""COMPUTED_VALUE"""),"Business Operations in any organization, Design and Develop amazing software, Look deeply into Data and generate insights, Work in a BPO setup for some well known client")</f>
        <v>Business Operations in any organization, Design and Develop amazing software, Look deeply into Data and generate insights, Work in a BPO setup for some well known client</v>
      </c>
      <c r="O1757" s="1" t="str">
        <f ca="1">IFERROR(__xludf.DUMMYFUNCTION("""COMPUTED_VALUE"""),"Manager who explains what is expected, sets a goal and helps achieve it")</f>
        <v>Manager who explains what is expected, sets a goal and helps achieve it</v>
      </c>
      <c r="P1757" s="1" t="str">
        <f ca="1">IFERROR(__xludf.DUMMYFUNCTION("""COMPUTED_VALUE"""),"Work with 5 to 6 people in my team")</f>
        <v>Work with 5 to 6 people in my team</v>
      </c>
      <c r="Q1757" s="1" t="str">
        <f ca="1">IFERROR(__xludf.DUMMYFUNCTION("""COMPUTED_VALUE"""),"I have NO other choice")</f>
        <v>I have NO other choice</v>
      </c>
      <c r="R1757" s="1" t="str">
        <f ca="1">IFERROR(__xludf.DUMMYFUNCTION("""COMPUTED_VALUE"""),"This will be hard to do, but if it is the right company I would try")</f>
        <v>This will be hard to do, but if it is the right company I would try</v>
      </c>
      <c r="S1757" s="1"/>
    </row>
    <row r="1758" spans="1:19" ht="12.5" x14ac:dyDescent="0.25">
      <c r="A1758" s="2">
        <f ca="1">IFERROR(__xludf.DUMMYFUNCTION("""COMPUTED_VALUE"""),45048.7903205092)</f>
        <v>45048.790320509201</v>
      </c>
      <c r="B1758" s="1" t="str">
        <f ca="1">IFERROR(__xludf.DUMMYFUNCTION("""COMPUTED_VALUE"""),"India")</f>
        <v>India</v>
      </c>
      <c r="C1758" s="1">
        <f ca="1">IFERROR(__xludf.DUMMYFUNCTION("""COMPUTED_VALUE"""),793005)</f>
        <v>793005</v>
      </c>
      <c r="D1758" s="1" t="str">
        <f ca="1">IFERROR(__xludf.DUMMYFUNCTION("""COMPUTED_VALUE"""),"Male")</f>
        <v>Male</v>
      </c>
      <c r="E1758" s="1" t="str">
        <f ca="1">IFERROR(__xludf.DUMMYFUNCTION("""COMPUTED_VALUE"""),"People who have changed the world for better")</f>
        <v>People who have changed the world for better</v>
      </c>
      <c r="F1758" s="1" t="str">
        <f ca="1">IFERROR(__xludf.DUMMYFUNCTION("""COMPUTED_VALUE"""),"No, But if someone could bare the cost I will")</f>
        <v>No, But if someone could bare the cost I will</v>
      </c>
      <c r="G1758" s="1" t="str">
        <f ca="1">IFERROR(__xludf.DUMMYFUNCTION("""COMPUTED_VALUE"""),"This will be hard to do, but if it is the right company I would try")</f>
        <v>This will be hard to do, but if it is the right company I would try</v>
      </c>
      <c r="H1758" s="1" t="str">
        <f ca="1">IFERROR(__xludf.DUMMYFUNCTION("""COMPUTED_VALUE"""),"No")</f>
        <v>No</v>
      </c>
      <c r="I1758" s="1" t="str">
        <f ca="1">IFERROR(__xludf.DUMMYFUNCTION("""COMPUTED_VALUE"""),"Will NOT work for them")</f>
        <v>Will NOT work for them</v>
      </c>
      <c r="J1758" s="1">
        <f ca="1">IFERROR(__xludf.DUMMYFUNCTION("""COMPUTED_VALUE"""),5)</f>
        <v>5</v>
      </c>
      <c r="K1758" s="1" t="str">
        <f ca="1">IFERROR(__xludf.DUMMYFUNCTION("""COMPUTED_VALUE"""),"Hybrid Working Environment with less than 3 days a month at office")</f>
        <v>Hybrid Working Environment with less than 3 days a month at office</v>
      </c>
      <c r="L17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5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58" s="1" t="str">
        <f ca="1">IFERROR(__xludf.DUMMYFUNCTION("""COMPUTED_VALUE"""),"Teaching in any of the institutes/colleges/online or offline, Build and develop a Team, Design and Develop amazing software, An Artificial Intelligence Specialist / Talking to Robots")</f>
        <v>Teaching in any of the institutes/colleges/online or offline, Build and develop a Team, Design and Develop amazing software, An Artificial Intelligence Specialist / Talking to Robots</v>
      </c>
      <c r="O1758" s="1" t="str">
        <f ca="1">IFERROR(__xludf.DUMMYFUNCTION("""COMPUTED_VALUE"""),"Manager who sets goal and helps me achieve it")</f>
        <v>Manager who sets goal and helps me achieve it</v>
      </c>
      <c r="P1758" s="1" t="str">
        <f ca="1">IFERROR(__xludf.DUMMYFUNCTION("""COMPUTED_VALUE"""),"Work with 2 to 3 people in my team")</f>
        <v>Work with 2 to 3 people in my team</v>
      </c>
      <c r="Q1758" s="1" t="str">
        <f ca="1">IFERROR(__xludf.DUMMYFUNCTION("""COMPUTED_VALUE"""),"No")</f>
        <v>No</v>
      </c>
      <c r="R1758" s="1" t="str">
        <f ca="1">IFERROR(__xludf.DUMMYFUNCTION("""COMPUTED_VALUE"""),"This will be hard to do, but if it is the right company I would try")</f>
        <v>This will be hard to do, but if it is the right company I would try</v>
      </c>
      <c r="S1758" s="1"/>
    </row>
    <row r="1759" spans="1:19" ht="12.5" x14ac:dyDescent="0.25">
      <c r="A1759" s="2">
        <f ca="1">IFERROR(__xludf.DUMMYFUNCTION("""COMPUTED_VALUE"""),45048.8340079398)</f>
        <v>45048.834007939797</v>
      </c>
      <c r="B1759" s="1" t="str">
        <f ca="1">IFERROR(__xludf.DUMMYFUNCTION("""COMPUTED_VALUE"""),"India")</f>
        <v>India</v>
      </c>
      <c r="C1759" s="1">
        <f ca="1">IFERROR(__xludf.DUMMYFUNCTION("""COMPUTED_VALUE"""),793014)</f>
        <v>793014</v>
      </c>
      <c r="D1759" s="1" t="str">
        <f ca="1">IFERROR(__xludf.DUMMYFUNCTION("""COMPUTED_VALUE"""),"Male")</f>
        <v>Male</v>
      </c>
      <c r="E1759" s="1" t="str">
        <f ca="1">IFERROR(__xludf.DUMMYFUNCTION("""COMPUTED_VALUE"""),"My Parents")</f>
        <v>My Parents</v>
      </c>
      <c r="F1759" s="1" t="str">
        <f ca="1">IFERROR(__xludf.DUMMYFUNCTION("""COMPUTED_VALUE"""),"No I would not be pursuing Higher Education outside of India")</f>
        <v>No I would not be pursuing Higher Education outside of India</v>
      </c>
      <c r="G1759" s="1" t="str">
        <f ca="1">IFERROR(__xludf.DUMMYFUNCTION("""COMPUTED_VALUE"""),"No way")</f>
        <v>No way</v>
      </c>
      <c r="H1759" s="1" t="str">
        <f ca="1">IFERROR(__xludf.DUMMYFUNCTION("""COMPUTED_VALUE"""),"No")</f>
        <v>No</v>
      </c>
      <c r="I1759" s="1" t="str">
        <f ca="1">IFERROR(__xludf.DUMMYFUNCTION("""COMPUTED_VALUE"""),"Will NOT work for them")</f>
        <v>Will NOT work for them</v>
      </c>
      <c r="J1759" s="1">
        <f ca="1">IFERROR(__xludf.DUMMYFUNCTION("""COMPUTED_VALUE"""),1)</f>
        <v>1</v>
      </c>
      <c r="K1759" s="1" t="str">
        <f ca="1">IFERROR(__xludf.DUMMYFUNCTION("""COMPUTED_VALUE"""),"Fully Remote with Options to travel as and when needed")</f>
        <v>Fully Remote with Options to travel as and when needed</v>
      </c>
      <c r="L17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5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59" s="1" t="str">
        <f ca="1">IFERROR(__xludf.DUMMYFUNCTION("""COMPUTED_VALUE"""),"Work as a freelancer and do my thing my way, Become a content Creator in some platform, Entrepreneur or Start Up, I Want to sell things/Sales")</f>
        <v>Work as a freelancer and do my thing my way, Become a content Creator in some platform, Entrepreneur or Start Up, I Want to sell things/Sales</v>
      </c>
      <c r="O1759" s="1" t="str">
        <f ca="1">IFERROR(__xludf.DUMMYFUNCTION("""COMPUTED_VALUE"""),"Manager who clearly describes what she/he needs")</f>
        <v>Manager who clearly describes what she/he needs</v>
      </c>
      <c r="P1759" s="1" t="str">
        <f ca="1">IFERROR(__xludf.DUMMYFUNCTION("""COMPUTED_VALUE"""),"Work alone, Work with 2 to 3 people in my team")</f>
        <v>Work alone, Work with 2 to 3 people in my team</v>
      </c>
      <c r="Q1759" s="1" t="str">
        <f ca="1">IFERROR(__xludf.DUMMYFUNCTION("""COMPUTED_VALUE"""),"No")</f>
        <v>No</v>
      </c>
      <c r="R1759" s="1" t="str">
        <f ca="1">IFERROR(__xludf.DUMMYFUNCTION("""COMPUTED_VALUE"""),"No way")</f>
        <v>No way</v>
      </c>
      <c r="S1759" s="1"/>
    </row>
    <row r="1760" spans="1:19" ht="12.5" x14ac:dyDescent="0.25">
      <c r="A1760" s="2">
        <f ca="1">IFERROR(__xludf.DUMMYFUNCTION("""COMPUTED_VALUE"""),45048.8349875231)</f>
        <v>45048.8349875231</v>
      </c>
      <c r="B1760" s="1" t="str">
        <f ca="1">IFERROR(__xludf.DUMMYFUNCTION("""COMPUTED_VALUE"""),"India")</f>
        <v>India</v>
      </c>
      <c r="C1760" s="1">
        <f ca="1">IFERROR(__xludf.DUMMYFUNCTION("""COMPUTED_VALUE"""),793021)</f>
        <v>793021</v>
      </c>
      <c r="D1760" s="1" t="str">
        <f ca="1">IFERROR(__xludf.DUMMYFUNCTION("""COMPUTED_VALUE"""),"Female")</f>
        <v>Female</v>
      </c>
      <c r="E1760" s="1" t="str">
        <f ca="1">IFERROR(__xludf.DUMMYFUNCTION("""COMPUTED_VALUE"""),"Influencers who had successful careers")</f>
        <v>Influencers who had successful careers</v>
      </c>
      <c r="F1760" s="1" t="str">
        <f ca="1">IFERROR(__xludf.DUMMYFUNCTION("""COMPUTED_VALUE"""),"No I would not be pursuing Higher Education outside of India")</f>
        <v>No I would not be pursuing Higher Education outside of India</v>
      </c>
      <c r="G1760" s="1" t="str">
        <f ca="1">IFERROR(__xludf.DUMMYFUNCTION("""COMPUTED_VALUE"""),"This will be hard to do, but if it is the right company I would try")</f>
        <v>This will be hard to do, but if it is the right company I would try</v>
      </c>
      <c r="H1760" s="1" t="str">
        <f ca="1">IFERROR(__xludf.DUMMYFUNCTION("""COMPUTED_VALUE"""),"Yes")</f>
        <v>Yes</v>
      </c>
      <c r="I1760" s="1" t="str">
        <f ca="1">IFERROR(__xludf.DUMMYFUNCTION("""COMPUTED_VALUE"""),"Will work for them")</f>
        <v>Will work for them</v>
      </c>
      <c r="J1760" s="1">
        <f ca="1">IFERROR(__xludf.DUMMYFUNCTION("""COMPUTED_VALUE"""),3)</f>
        <v>3</v>
      </c>
      <c r="K1760" s="1" t="str">
        <f ca="1">IFERROR(__xludf.DUMMYFUNCTION("""COMPUTED_VALUE"""),"Every Day Office Environment")</f>
        <v>Every Day Office Environment</v>
      </c>
      <c r="L1760" s="1" t="str">
        <f ca="1">IFERROR(__xludf.DUMMYFUNCTION("""COMPUTED_VALUE"""),"Employer who appreciates learning and enables that environment")</f>
        <v>Employer who appreciates learning and enables that environment</v>
      </c>
      <c r="M1760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60" s="1" t="str">
        <f ca="1">IFERROR(__xludf.DUMMYFUNCTION("""COMPUTED_VALUE"""),"Design and Creative strategy in any company, Teaching in any of the institutes/colleges/online or offline, Build and develop a Team, Entrepreneur or Start Up")</f>
        <v>Design and Creative strategy in any company, Teaching in any of the institutes/colleges/online or offline, Build and develop a Team, Entrepreneur or Start Up</v>
      </c>
      <c r="O1760" s="1" t="str">
        <f ca="1">IFERROR(__xludf.DUMMYFUNCTION("""COMPUTED_VALUE"""),"Manager who sets unrealistic targets")</f>
        <v>Manager who sets unrealistic targets</v>
      </c>
      <c r="P1760" s="1" t="str">
        <f ca="1">IFERROR(__xludf.DUMMYFUNCTION("""COMPUTED_VALUE"""),"Work with more than 10 people in my team")</f>
        <v>Work with more than 10 people in my team</v>
      </c>
      <c r="Q1760" s="1" t="str">
        <f ca="1">IFERROR(__xludf.DUMMYFUNCTION("""COMPUTED_VALUE"""),"I have NO other choice")</f>
        <v>I have NO other choice</v>
      </c>
      <c r="R1760" s="1" t="str">
        <f ca="1">IFERROR(__xludf.DUMMYFUNCTION("""COMPUTED_VALUE"""),"This will be hard to do, but if it is the right company I would try")</f>
        <v>This will be hard to do, but if it is the right company I would try</v>
      </c>
      <c r="S1760" s="1"/>
    </row>
    <row r="1761" spans="1:19" ht="12.5" x14ac:dyDescent="0.25">
      <c r="A1761" s="2">
        <f ca="1">IFERROR(__xludf.DUMMYFUNCTION("""COMPUTED_VALUE"""),45048.8637270949)</f>
        <v>45048.863727094897</v>
      </c>
      <c r="B1761" s="1" t="str">
        <f ca="1">IFERROR(__xludf.DUMMYFUNCTION("""COMPUTED_VALUE"""),"India")</f>
        <v>India</v>
      </c>
      <c r="C1761" s="1">
        <f ca="1">IFERROR(__xludf.DUMMYFUNCTION("""COMPUTED_VALUE"""),781011)</f>
        <v>781011</v>
      </c>
      <c r="D1761" s="1" t="str">
        <f ca="1">IFERROR(__xludf.DUMMYFUNCTION("""COMPUTED_VALUE"""),"Male")</f>
        <v>Male</v>
      </c>
      <c r="E1761" s="1" t="str">
        <f ca="1">IFERROR(__xludf.DUMMYFUNCTION("""COMPUTED_VALUE"""),"People who have changed the world for better")</f>
        <v>People who have changed the world for better</v>
      </c>
      <c r="F1761" s="1" t="str">
        <f ca="1">IFERROR(__xludf.DUMMYFUNCTION("""COMPUTED_VALUE"""),"Yes, I will earn and do that")</f>
        <v>Yes, I will earn and do that</v>
      </c>
      <c r="G1761" s="1" t="str">
        <f ca="1">IFERROR(__xludf.DUMMYFUNCTION("""COMPUTED_VALUE"""),"This will be hard to do, but if it is the right company I would try")</f>
        <v>This will be hard to do, but if it is the right company I would try</v>
      </c>
      <c r="H1761" s="1" t="str">
        <f ca="1">IFERROR(__xludf.DUMMYFUNCTION("""COMPUTED_VALUE"""),"No")</f>
        <v>No</v>
      </c>
      <c r="I1761" s="1" t="str">
        <f ca="1">IFERROR(__xludf.DUMMYFUNCTION("""COMPUTED_VALUE"""),"Will NOT work for them")</f>
        <v>Will NOT work for them</v>
      </c>
      <c r="J1761" s="1">
        <f ca="1">IFERROR(__xludf.DUMMYFUNCTION("""COMPUTED_VALUE"""),2)</f>
        <v>2</v>
      </c>
      <c r="K1761" s="1" t="str">
        <f ca="1">IFERROR(__xludf.DUMMYFUNCTION("""COMPUTED_VALUE"""),"Fully Remote with Options to travel as and when needed")</f>
        <v>Fully Remote with Options to travel as and when needed</v>
      </c>
      <c r="L1761" s="1" t="str">
        <f ca="1">IFERROR(__xludf.DUMMYFUNCTION("""COMPUTED_VALUE"""),"Employer who rewards learning and enables that environment")</f>
        <v>Employer who rewards learning and enables that environment</v>
      </c>
      <c r="M176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61" s="1" t="str">
        <f ca="1">IFERROR(__xludf.DUMMYFUNCTION("""COMPUTED_VALUE"""),"Design and Creative strategy in any company, Business Operations in any organization, Become a content Creator in some platform, Entrepreneur or Start Up")</f>
        <v>Design and Creative strategy in any company, Business Operations in any organization, Become a content Creator in some platform, Entrepreneur or Start Up</v>
      </c>
      <c r="O1761" s="1" t="str">
        <f ca="1">IFERROR(__xludf.DUMMYFUNCTION("""COMPUTED_VALUE"""),"Manager who sets goal and helps me achieve it")</f>
        <v>Manager who sets goal and helps me achieve it</v>
      </c>
      <c r="P1761" s="1" t="str">
        <f ca="1">IFERROR(__xludf.DUMMYFUNCTION("""COMPUTED_VALUE"""),"Work with 5 to 6 people in my team")</f>
        <v>Work with 5 to 6 people in my team</v>
      </c>
      <c r="Q1761" s="1" t="str">
        <f ca="1">IFERROR(__xludf.DUMMYFUNCTION("""COMPUTED_VALUE"""),"Yes, I Understand this is gonna happen everywhere")</f>
        <v>Yes, I Understand this is gonna happen everywhere</v>
      </c>
      <c r="R1761" s="1" t="str">
        <f ca="1">IFERROR(__xludf.DUMMYFUNCTION("""COMPUTED_VALUE"""),"No way")</f>
        <v>No way</v>
      </c>
      <c r="S1761" s="1"/>
    </row>
    <row r="1762" spans="1:19" ht="12.5" x14ac:dyDescent="0.25">
      <c r="A1762" s="2">
        <f ca="1">IFERROR(__xludf.DUMMYFUNCTION("""COMPUTED_VALUE"""),45048.8665772338)</f>
        <v>45048.866577233799</v>
      </c>
      <c r="B1762" s="1" t="str">
        <f ca="1">IFERROR(__xludf.DUMMYFUNCTION("""COMPUTED_VALUE"""),"India")</f>
        <v>India</v>
      </c>
      <c r="C1762" s="1">
        <f ca="1">IFERROR(__xludf.DUMMYFUNCTION("""COMPUTED_VALUE"""),560036)</f>
        <v>560036</v>
      </c>
      <c r="D1762" s="1" t="str">
        <f ca="1">IFERROR(__xludf.DUMMYFUNCTION("""COMPUTED_VALUE"""),"Male")</f>
        <v>Male</v>
      </c>
      <c r="E1762" s="1" t="str">
        <f ca="1">IFERROR(__xludf.DUMMYFUNCTION("""COMPUTED_VALUE"""),"My Parents")</f>
        <v>My Parents</v>
      </c>
      <c r="F1762" s="1" t="str">
        <f ca="1">IFERROR(__xludf.DUMMYFUNCTION("""COMPUTED_VALUE"""),"Yes, I will earn and do that")</f>
        <v>Yes, I will earn and do that</v>
      </c>
      <c r="G1762" s="1" t="str">
        <f ca="1">IFERROR(__xludf.DUMMYFUNCTION("""COMPUTED_VALUE"""),"Will work for 3 years or more")</f>
        <v>Will work for 3 years or more</v>
      </c>
      <c r="H1762" s="1" t="str">
        <f ca="1">IFERROR(__xludf.DUMMYFUNCTION("""COMPUTED_VALUE"""),"Yes")</f>
        <v>Yes</v>
      </c>
      <c r="I1762" s="1" t="str">
        <f ca="1">IFERROR(__xludf.DUMMYFUNCTION("""COMPUTED_VALUE"""),"Will work for them")</f>
        <v>Will work for them</v>
      </c>
      <c r="J1762" s="1">
        <f ca="1">IFERROR(__xludf.DUMMYFUNCTION("""COMPUTED_VALUE"""),7)</f>
        <v>7</v>
      </c>
      <c r="K1762" s="1" t="str">
        <f ca="1">IFERROR(__xludf.DUMMYFUNCTION("""COMPUTED_VALUE"""),"Fully Remote with Options to travel as and when needed")</f>
        <v>Fully Remote with Options to travel as and when needed</v>
      </c>
      <c r="L1762" s="1" t="str">
        <f ca="1">IFERROR(__xludf.DUMMYFUNCTION("""COMPUTED_VALUE"""),"Employer who appreciates learning and enables that environment")</f>
        <v>Employer who appreciates learning and enables that environment</v>
      </c>
      <c r="M176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762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1762" s="1" t="str">
        <f ca="1">IFERROR(__xludf.DUMMYFUNCTION("""COMPUTED_VALUE"""),"Manager who clearly describes what she/he needs")</f>
        <v>Manager who clearly describes what she/he needs</v>
      </c>
      <c r="P1762" s="1" t="str">
        <f ca="1">IFERROR(__xludf.DUMMYFUNCTION("""COMPUTED_VALUE"""),"Work with more than 10 people in my team")</f>
        <v>Work with more than 10 people in my team</v>
      </c>
      <c r="Q1762" s="1" t="str">
        <f ca="1">IFERROR(__xludf.DUMMYFUNCTION("""COMPUTED_VALUE"""),"Yes")</f>
        <v>Yes</v>
      </c>
      <c r="R1762" s="1" t="str">
        <f ca="1">IFERROR(__xludf.DUMMYFUNCTION("""COMPUTED_VALUE"""),"This will be hard to do, but if it is the right company I would try")</f>
        <v>This will be hard to do, but if it is the right company I would try</v>
      </c>
      <c r="S1762" s="1"/>
    </row>
    <row r="1763" spans="1:19" ht="12.5" x14ac:dyDescent="0.25">
      <c r="A1763" s="2">
        <f ca="1">IFERROR(__xludf.DUMMYFUNCTION("""COMPUTED_VALUE"""),45048.8767274189)</f>
        <v>45048.876727418901</v>
      </c>
      <c r="B1763" s="1" t="str">
        <f ca="1">IFERROR(__xludf.DUMMYFUNCTION("""COMPUTED_VALUE"""),"India")</f>
        <v>India</v>
      </c>
      <c r="C1763" s="1">
        <f ca="1">IFERROR(__xludf.DUMMYFUNCTION("""COMPUTED_VALUE"""),560011)</f>
        <v>560011</v>
      </c>
      <c r="D1763" s="1" t="str">
        <f ca="1">IFERROR(__xludf.DUMMYFUNCTION("""COMPUTED_VALUE"""),"Male")</f>
        <v>Male</v>
      </c>
      <c r="E1763" s="1" t="str">
        <f ca="1">IFERROR(__xludf.DUMMYFUNCTION("""COMPUTED_VALUE"""),"My Parents")</f>
        <v>My Parents</v>
      </c>
      <c r="F1763" s="1" t="str">
        <f ca="1">IFERROR(__xludf.DUMMYFUNCTION("""COMPUTED_VALUE"""),"No, But if someone could bare the cost I will")</f>
        <v>No, But if someone could bare the cost I will</v>
      </c>
      <c r="G1763" s="1" t="str">
        <f ca="1">IFERROR(__xludf.DUMMYFUNCTION("""COMPUTED_VALUE"""),"This will be hard to do, but if it is the right company I would try")</f>
        <v>This will be hard to do, but if it is the right company I would try</v>
      </c>
      <c r="H1763" s="1" t="str">
        <f ca="1">IFERROR(__xludf.DUMMYFUNCTION("""COMPUTED_VALUE"""),"Yes")</f>
        <v>Yes</v>
      </c>
      <c r="I1763" s="1" t="str">
        <f ca="1">IFERROR(__xludf.DUMMYFUNCTION("""COMPUTED_VALUE"""),"Will work for them")</f>
        <v>Will work for them</v>
      </c>
      <c r="J1763" s="1">
        <f ca="1">IFERROR(__xludf.DUMMYFUNCTION("""COMPUTED_VALUE"""),6)</f>
        <v>6</v>
      </c>
      <c r="K1763" s="1" t="str">
        <f ca="1">IFERROR(__xludf.DUMMYFUNCTION("""COMPUTED_VALUE"""),"Hybrid Working Environment with more than 15 days a month at office")</f>
        <v>Hybrid Working Environment with more than 15 days a month at office</v>
      </c>
      <c r="L1763" s="1" t="str">
        <f ca="1">IFERROR(__xludf.DUMMYFUNCTION("""COMPUTED_VALUE"""),"Employer who rewards learning and enables that environment")</f>
        <v>Employer who rewards learning and enables that environment</v>
      </c>
      <c r="M176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763" s="1" t="str">
        <f ca="1">IFERROR(__xludf.DUMMYFUNCTION("""COMPUTED_VALUE"""),"Design and Creative strategy in any company, Business Operations in any organization, Manage and drive End-to-End Projects or Products, I Want to sell things/Sales")</f>
        <v>Design and Creative strategy in any company, Business Operations in any organization, Manage and drive End-to-End Projects or Products, I Want to sell things/Sales</v>
      </c>
      <c r="O1763" s="1" t="str">
        <f ca="1">IFERROR(__xludf.DUMMYFUNCTION("""COMPUTED_VALUE"""),"Manager who explains what is expected, sets a goal and helps achieve it")</f>
        <v>Manager who explains what is expected, sets a goal and helps achieve it</v>
      </c>
      <c r="P1763" s="1" t="str">
        <f ca="1">IFERROR(__xludf.DUMMYFUNCTION("""COMPUTED_VALUE"""),"Work with 7 to 10 or more people in my team")</f>
        <v>Work with 7 to 10 or more people in my team</v>
      </c>
      <c r="Q1763" s="1" t="str">
        <f ca="1">IFERROR(__xludf.DUMMYFUNCTION("""COMPUTED_VALUE"""),"I have NO other choice")</f>
        <v>I have NO other choice</v>
      </c>
      <c r="R1763" s="1" t="str">
        <f ca="1">IFERROR(__xludf.DUMMYFUNCTION("""COMPUTED_VALUE"""),"No way")</f>
        <v>No way</v>
      </c>
      <c r="S1763" s="1"/>
    </row>
    <row r="1764" spans="1:19" ht="12.5" x14ac:dyDescent="0.25">
      <c r="A1764" s="2">
        <f ca="1">IFERROR(__xludf.DUMMYFUNCTION("""COMPUTED_VALUE"""),45048.8781081597)</f>
        <v>45048.878108159697</v>
      </c>
      <c r="B1764" s="1" t="str">
        <f ca="1">IFERROR(__xludf.DUMMYFUNCTION("""COMPUTED_VALUE"""),"India")</f>
        <v>India</v>
      </c>
      <c r="C1764" s="1">
        <f ca="1">IFERROR(__xludf.DUMMYFUNCTION("""COMPUTED_VALUE"""),560078)</f>
        <v>560078</v>
      </c>
      <c r="D1764" s="1" t="str">
        <f ca="1">IFERROR(__xludf.DUMMYFUNCTION("""COMPUTED_VALUE"""),"Male")</f>
        <v>Male</v>
      </c>
      <c r="E1764" s="1" t="str">
        <f ca="1">IFERROR(__xludf.DUMMYFUNCTION("""COMPUTED_VALUE"""),"Influencers who had successful careers")</f>
        <v>Influencers who had successful careers</v>
      </c>
      <c r="F1764" s="1" t="str">
        <f ca="1">IFERROR(__xludf.DUMMYFUNCTION("""COMPUTED_VALUE"""),"Yes, I will earn and do that")</f>
        <v>Yes, I will earn and do that</v>
      </c>
      <c r="G1764" s="1" t="str">
        <f ca="1">IFERROR(__xludf.DUMMYFUNCTION("""COMPUTED_VALUE"""),"This will be hard to do, but if it is the right company I would try")</f>
        <v>This will be hard to do, but if it is the right company I would try</v>
      </c>
      <c r="H1764" s="1" t="str">
        <f ca="1">IFERROR(__xludf.DUMMYFUNCTION("""COMPUTED_VALUE"""),"Yes")</f>
        <v>Yes</v>
      </c>
      <c r="I1764" s="1" t="str">
        <f ca="1">IFERROR(__xludf.DUMMYFUNCTION("""COMPUTED_VALUE"""),"Will NOT work for them")</f>
        <v>Will NOT work for them</v>
      </c>
      <c r="J1764" s="1">
        <f ca="1">IFERROR(__xludf.DUMMYFUNCTION("""COMPUTED_VALUE"""),4)</f>
        <v>4</v>
      </c>
      <c r="K1764" s="1" t="str">
        <f ca="1">IFERROR(__xludf.DUMMYFUNCTION("""COMPUTED_VALUE"""),"Hybrid Working Environment with more than 15 days a month at office")</f>
        <v>Hybrid Working Environment with more than 15 days a month at office</v>
      </c>
      <c r="L17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64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64" s="1" t="str">
        <f ca="1">IFERROR(__xludf.DUMMYFUNCTION("""COMPUTED_VALUE"""),"Business Operations in any organization, Build and develop a Team, Work as a freelancer and do my thing my way, Manufacturing / Oil and Gas/ Construction / Hard Physical Work related")</f>
        <v>Business Operations in any organization, Build and develop a Team, Work as a freelancer and do my thing my way, Manufacturing / Oil and Gas/ Construction / Hard Physical Work related</v>
      </c>
      <c r="O1764" s="1" t="str">
        <f ca="1">IFERROR(__xludf.DUMMYFUNCTION("""COMPUTED_VALUE"""),"Manager who explains what is expected, sets a goal and helps achieve it")</f>
        <v>Manager who explains what is expected, sets a goal and helps achieve it</v>
      </c>
      <c r="P1764" s="1" t="str">
        <f ca="1">IFERROR(__xludf.DUMMYFUNCTION("""COMPUTED_VALUE"""),"Work with 2 to 3 people in my team, Work with 5 to 6 people in my team")</f>
        <v>Work with 2 to 3 people in my team, Work with 5 to 6 people in my team</v>
      </c>
      <c r="Q1764" s="1" t="str">
        <f ca="1">IFERROR(__xludf.DUMMYFUNCTION("""COMPUTED_VALUE"""),"Yes, I Understand this is gonna happen everywhere")</f>
        <v>Yes, I Understand this is gonna happen everywhere</v>
      </c>
      <c r="R1764" s="1" t="str">
        <f ca="1">IFERROR(__xludf.DUMMYFUNCTION("""COMPUTED_VALUE"""),"No way")</f>
        <v>No way</v>
      </c>
      <c r="S1764" s="1"/>
    </row>
    <row r="1765" spans="1:19" ht="12.5" x14ac:dyDescent="0.25">
      <c r="A1765" s="2">
        <f ca="1">IFERROR(__xludf.DUMMYFUNCTION("""COMPUTED_VALUE"""),45048.8792580671)</f>
        <v>45048.8792580671</v>
      </c>
      <c r="B1765" s="1" t="str">
        <f ca="1">IFERROR(__xludf.DUMMYFUNCTION("""COMPUTED_VALUE"""),"India")</f>
        <v>India</v>
      </c>
      <c r="C1765" s="1">
        <f ca="1">IFERROR(__xludf.DUMMYFUNCTION("""COMPUTED_VALUE"""),793017)</f>
        <v>793017</v>
      </c>
      <c r="D1765" s="1" t="str">
        <f ca="1">IFERROR(__xludf.DUMMYFUNCTION("""COMPUTED_VALUE"""),"Female")</f>
        <v>Female</v>
      </c>
      <c r="E1765" s="1" t="str">
        <f ca="1">IFERROR(__xludf.DUMMYFUNCTION("""COMPUTED_VALUE"""),"People who have changed the world for better")</f>
        <v>People who have changed the world for better</v>
      </c>
      <c r="F1765" s="1" t="str">
        <f ca="1">IFERROR(__xludf.DUMMYFUNCTION("""COMPUTED_VALUE"""),"Yes, I will earn and do that")</f>
        <v>Yes, I will earn and do that</v>
      </c>
      <c r="G1765" s="1" t="str">
        <f ca="1">IFERROR(__xludf.DUMMYFUNCTION("""COMPUTED_VALUE"""),"This will be hard to do, but if it is the right company I would try")</f>
        <v>This will be hard to do, but if it is the right company I would try</v>
      </c>
      <c r="H1765" s="1" t="str">
        <f ca="1">IFERROR(__xludf.DUMMYFUNCTION("""COMPUTED_VALUE"""),"No")</f>
        <v>No</v>
      </c>
      <c r="I1765" s="1" t="str">
        <f ca="1">IFERROR(__xludf.DUMMYFUNCTION("""COMPUTED_VALUE"""),"Will NOT work for them")</f>
        <v>Will NOT work for them</v>
      </c>
      <c r="J1765" s="1">
        <f ca="1">IFERROR(__xludf.DUMMYFUNCTION("""COMPUTED_VALUE"""),2)</f>
        <v>2</v>
      </c>
      <c r="K1765" s="1" t="str">
        <f ca="1">IFERROR(__xludf.DUMMYFUNCTION("""COMPUTED_VALUE"""),"Every Day Office Environment")</f>
        <v>Every Day Office Environment</v>
      </c>
      <c r="L1765" s="1" t="str">
        <f ca="1">IFERROR(__xludf.DUMMYFUNCTION("""COMPUTED_VALUE"""),"Employer who appreciates learning and enables that environment")</f>
        <v>Employer who appreciates learning and enables that environment</v>
      </c>
      <c r="M176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765" s="1" t="str">
        <f ca="1">IFERROR(__xludf.DUMMYFUNCTION("""COMPUTED_VALUE"""),"Teaching in any of the institutes/colleges/online or offline, Build and develop a Team, Entrepreneur or Start Up, I Want to sell things/Sales")</f>
        <v>Teaching in any of the institutes/colleges/online or offline, Build and develop a Team, Entrepreneur or Start Up, I Want to sell things/Sales</v>
      </c>
      <c r="O1765" s="1" t="str">
        <f ca="1">IFERROR(__xludf.DUMMYFUNCTION("""COMPUTED_VALUE"""),"Manager who explains what is expected, sets a goal and helps achieve it")</f>
        <v>Manager who explains what is expected, sets a goal and helps achieve it</v>
      </c>
      <c r="P1765" s="1" t="str">
        <f ca="1">IFERROR(__xludf.DUMMYFUNCTION("""COMPUTED_VALUE"""),"Work with more than 10 people in my team")</f>
        <v>Work with more than 10 people in my team</v>
      </c>
      <c r="Q1765" s="1" t="str">
        <f ca="1">IFERROR(__xludf.DUMMYFUNCTION("""COMPUTED_VALUE"""),"Yes, I Understand this is gonna happen everywhere")</f>
        <v>Yes, I Understand this is gonna happen everywhere</v>
      </c>
      <c r="R1765" s="1" t="str">
        <f ca="1">IFERROR(__xludf.DUMMYFUNCTION("""COMPUTED_VALUE"""),"This will be hard to do, but if it is the right company I would try")</f>
        <v>This will be hard to do, but if it is the right company I would try</v>
      </c>
      <c r="S1765" s="1"/>
    </row>
    <row r="1766" spans="1:19" ht="12.5" x14ac:dyDescent="0.25">
      <c r="A1766" s="2">
        <f ca="1">IFERROR(__xludf.DUMMYFUNCTION("""COMPUTED_VALUE"""),45048.8899826851)</f>
        <v>45048.889982685097</v>
      </c>
      <c r="B1766" s="1" t="str">
        <f ca="1">IFERROR(__xludf.DUMMYFUNCTION("""COMPUTED_VALUE"""),"India")</f>
        <v>India</v>
      </c>
      <c r="C1766" s="1">
        <f ca="1">IFERROR(__xludf.DUMMYFUNCTION("""COMPUTED_VALUE"""),560049)</f>
        <v>560049</v>
      </c>
      <c r="D1766" s="1" t="str">
        <f ca="1">IFERROR(__xludf.DUMMYFUNCTION("""COMPUTED_VALUE"""),"Male")</f>
        <v>Male</v>
      </c>
      <c r="E1766" s="1" t="str">
        <f ca="1">IFERROR(__xludf.DUMMYFUNCTION("""COMPUTED_VALUE"""),"Influencers who had successful careers")</f>
        <v>Influencers who had successful careers</v>
      </c>
      <c r="F1766" s="1" t="str">
        <f ca="1">IFERROR(__xludf.DUMMYFUNCTION("""COMPUTED_VALUE"""),"Yes, I will earn and do that")</f>
        <v>Yes, I will earn and do that</v>
      </c>
      <c r="G1766" s="1" t="str">
        <f ca="1">IFERROR(__xludf.DUMMYFUNCTION("""COMPUTED_VALUE"""),"Will work for 3 years or more")</f>
        <v>Will work for 3 years or more</v>
      </c>
      <c r="H1766" s="1" t="str">
        <f ca="1">IFERROR(__xludf.DUMMYFUNCTION("""COMPUTED_VALUE"""),"No")</f>
        <v>No</v>
      </c>
      <c r="I1766" s="1" t="str">
        <f ca="1">IFERROR(__xludf.DUMMYFUNCTION("""COMPUTED_VALUE"""),"Will NOT work for them")</f>
        <v>Will NOT work for them</v>
      </c>
      <c r="J1766" s="1">
        <f ca="1">IFERROR(__xludf.DUMMYFUNCTION("""COMPUTED_VALUE"""),1)</f>
        <v>1</v>
      </c>
      <c r="K1766" s="1" t="str">
        <f ca="1">IFERROR(__xludf.DUMMYFUNCTION("""COMPUTED_VALUE"""),"Fully Remote with Options to travel as and when needed")</f>
        <v>Fully Remote with Options to travel as and when needed</v>
      </c>
      <c r="L1766" s="1" t="str">
        <f ca="1">IFERROR(__xludf.DUMMYFUNCTION("""COMPUTED_VALUE"""),"Employer who appreciates learning and enables that environment")</f>
        <v>Employer who appreciates learning and enables that environment</v>
      </c>
      <c r="M176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766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1766" s="1" t="str">
        <f ca="1">IFERROR(__xludf.DUMMYFUNCTION("""COMPUTED_VALUE"""),"Manager who explains what is expected, sets a goal and helps achieve it")</f>
        <v>Manager who explains what is expected, sets a goal and helps achieve it</v>
      </c>
      <c r="P1766" s="1" t="str">
        <f ca="1">IFERROR(__xludf.DUMMYFUNCTION("""COMPUTED_VALUE"""),"Work with more than 10 people in my team")</f>
        <v>Work with more than 10 people in my team</v>
      </c>
      <c r="Q1766" s="1" t="str">
        <f ca="1">IFERROR(__xludf.DUMMYFUNCTION("""COMPUTED_VALUE"""),"No")</f>
        <v>No</v>
      </c>
      <c r="R1766" s="1" t="str">
        <f ca="1">IFERROR(__xludf.DUMMYFUNCTION("""COMPUTED_VALUE"""),"Will work for 7 years or more")</f>
        <v>Will work for 7 years or more</v>
      </c>
      <c r="S1766" s="1"/>
    </row>
    <row r="1767" spans="1:19" ht="12.5" x14ac:dyDescent="0.25">
      <c r="A1767" s="2">
        <f ca="1">IFERROR(__xludf.DUMMYFUNCTION("""COMPUTED_VALUE"""),45048.892508125)</f>
        <v>45048.892508124998</v>
      </c>
      <c r="B1767" s="1" t="str">
        <f ca="1">IFERROR(__xludf.DUMMYFUNCTION("""COMPUTED_VALUE"""),"India")</f>
        <v>India</v>
      </c>
      <c r="C1767" s="1">
        <f ca="1">IFERROR(__xludf.DUMMYFUNCTION("""COMPUTED_VALUE"""),560027)</f>
        <v>560027</v>
      </c>
      <c r="D1767" s="1" t="str">
        <f ca="1">IFERROR(__xludf.DUMMYFUNCTION("""COMPUTED_VALUE"""),"Female")</f>
        <v>Female</v>
      </c>
      <c r="E1767" s="1" t="str">
        <f ca="1">IFERROR(__xludf.DUMMYFUNCTION("""COMPUTED_VALUE"""),"People who have changed the world for better")</f>
        <v>People who have changed the world for better</v>
      </c>
      <c r="F1767" s="1" t="str">
        <f ca="1">IFERROR(__xludf.DUMMYFUNCTION("""COMPUTED_VALUE"""),"Yes, I will earn and do that")</f>
        <v>Yes, I will earn and do that</v>
      </c>
      <c r="G1767" s="1" t="str">
        <f ca="1">IFERROR(__xludf.DUMMYFUNCTION("""COMPUTED_VALUE"""),"This will be hard to do, but if it is the right company I would try")</f>
        <v>This will be hard to do, but if it is the right company I would try</v>
      </c>
      <c r="H1767" s="1" t="str">
        <f ca="1">IFERROR(__xludf.DUMMYFUNCTION("""COMPUTED_VALUE"""),"Yes")</f>
        <v>Yes</v>
      </c>
      <c r="I1767" s="1" t="str">
        <f ca="1">IFERROR(__xludf.DUMMYFUNCTION("""COMPUTED_VALUE"""),"Will NOT work for them")</f>
        <v>Will NOT work for them</v>
      </c>
      <c r="J1767" s="1">
        <f ca="1">IFERROR(__xludf.DUMMYFUNCTION("""COMPUTED_VALUE"""),5)</f>
        <v>5</v>
      </c>
      <c r="K1767" s="1" t="str">
        <f ca="1">IFERROR(__xludf.DUMMYFUNCTION("""COMPUTED_VALUE"""),"Hybrid Working Environment with less than 3 days a month at office")</f>
        <v>Hybrid Working Environment with less than 3 days a month at office</v>
      </c>
      <c r="L17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6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67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767" s="1" t="str">
        <f ca="1">IFERROR(__xludf.DUMMYFUNCTION("""COMPUTED_VALUE"""),"Manager who sets goal and helps me achieve it")</f>
        <v>Manager who sets goal and helps me achieve it</v>
      </c>
      <c r="P1767" s="1" t="str">
        <f ca="1">IFERROR(__xludf.DUMMYFUNCTION("""COMPUTED_VALUE"""),"Work with 2 to 3 people in my team")</f>
        <v>Work with 2 to 3 people in my team</v>
      </c>
      <c r="Q1767" s="1" t="str">
        <f ca="1">IFERROR(__xludf.DUMMYFUNCTION("""COMPUTED_VALUE"""),"Yes, I Understand this is gonna happen everywhere")</f>
        <v>Yes, I Understand this is gonna happen everywhere</v>
      </c>
      <c r="R1767" s="1" t="str">
        <f ca="1">IFERROR(__xludf.DUMMYFUNCTION("""COMPUTED_VALUE"""),"This will be hard to do, but if it is the right company I would try")</f>
        <v>This will be hard to do, but if it is the right company I would try</v>
      </c>
      <c r="S1767" s="1"/>
    </row>
    <row r="1768" spans="1:19" ht="12.5" x14ac:dyDescent="0.25">
      <c r="A1768" s="2">
        <f ca="1">IFERROR(__xludf.DUMMYFUNCTION("""COMPUTED_VALUE"""),45048.8934179166)</f>
        <v>45048.893417916603</v>
      </c>
      <c r="B1768" s="1" t="str">
        <f ca="1">IFERROR(__xludf.DUMMYFUNCTION("""COMPUTED_VALUE"""),"India")</f>
        <v>India</v>
      </c>
      <c r="C1768" s="1">
        <f ca="1">IFERROR(__xludf.DUMMYFUNCTION("""COMPUTED_VALUE"""),560036)</f>
        <v>560036</v>
      </c>
      <c r="D1768" s="1" t="str">
        <f ca="1">IFERROR(__xludf.DUMMYFUNCTION("""COMPUTED_VALUE"""),"Female")</f>
        <v>Female</v>
      </c>
      <c r="E1768" s="1" t="str">
        <f ca="1">IFERROR(__xludf.DUMMYFUNCTION("""COMPUTED_VALUE"""),"People who have changed the world for better")</f>
        <v>People who have changed the world for better</v>
      </c>
      <c r="F1768" s="1" t="str">
        <f ca="1">IFERROR(__xludf.DUMMYFUNCTION("""COMPUTED_VALUE"""),"Yes, I will earn and do that")</f>
        <v>Yes, I will earn and do that</v>
      </c>
      <c r="G1768" s="1" t="str">
        <f ca="1">IFERROR(__xludf.DUMMYFUNCTION("""COMPUTED_VALUE"""),"This will be hard to do, but if it is the right company I would try")</f>
        <v>This will be hard to do, but if it is the right company I would try</v>
      </c>
      <c r="H1768" s="1" t="str">
        <f ca="1">IFERROR(__xludf.DUMMYFUNCTION("""COMPUTED_VALUE"""),"No")</f>
        <v>No</v>
      </c>
      <c r="I1768" s="1" t="str">
        <f ca="1">IFERROR(__xludf.DUMMYFUNCTION("""COMPUTED_VALUE"""),"Will NOT work for them")</f>
        <v>Will NOT work for them</v>
      </c>
      <c r="J1768" s="1">
        <f ca="1">IFERROR(__xludf.DUMMYFUNCTION("""COMPUTED_VALUE"""),7)</f>
        <v>7</v>
      </c>
      <c r="K1768" s="1" t="str">
        <f ca="1">IFERROR(__xludf.DUMMYFUNCTION("""COMPUTED_VALUE"""),"Fully Remote with Options to travel as and when needed")</f>
        <v>Fully Remote with Options to travel as and when needed</v>
      </c>
      <c r="L17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6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68" s="1" t="str">
        <f ca="1">IFERROR(__xludf.DUMMYFUNCTION("""COMPUTED_VALUE"""),"Manage and drive End-to-End Projects or Products, Design and Develop amazing software, Entrepreneur or Start Up, An Artificial Intelligence Specialist / Talking to Robots")</f>
        <v>Manage and drive End-to-End Projects or Products, Design and Develop amazing software, Entrepreneur or Start Up, An Artificial Intelligence Specialist / Talking to Robots</v>
      </c>
      <c r="O1768" s="1" t="str">
        <f ca="1">IFERROR(__xludf.DUMMYFUNCTION("""COMPUTED_VALUE"""),"Manager who explains what is expected, sets a goal and helps achieve it")</f>
        <v>Manager who explains what is expected, sets a goal and helps achieve it</v>
      </c>
      <c r="P1768" s="1" t="str">
        <f ca="1">IFERROR(__xludf.DUMMYFUNCTION("""COMPUTED_VALUE"""),"Work with 5 to 6 people in my team")</f>
        <v>Work with 5 to 6 people in my team</v>
      </c>
      <c r="Q1768" s="1" t="str">
        <f ca="1">IFERROR(__xludf.DUMMYFUNCTION("""COMPUTED_VALUE"""),"Yes, I Understand this is gonna happen everywhere")</f>
        <v>Yes, I Understand this is gonna happen everywhere</v>
      </c>
      <c r="R1768" s="1" t="str">
        <f ca="1">IFERROR(__xludf.DUMMYFUNCTION("""COMPUTED_VALUE"""),"This will be hard to do, but if it is the right company I would try")</f>
        <v>This will be hard to do, but if it is the right company I would try</v>
      </c>
      <c r="S1768" s="1"/>
    </row>
    <row r="1769" spans="1:19" ht="12.5" x14ac:dyDescent="0.25">
      <c r="A1769" s="2">
        <f ca="1">IFERROR(__xludf.DUMMYFUNCTION("""COMPUTED_VALUE"""),45048.8935598495)</f>
        <v>45048.893559849501</v>
      </c>
      <c r="B1769" s="1" t="str">
        <f ca="1">IFERROR(__xludf.DUMMYFUNCTION("""COMPUTED_VALUE"""),"India")</f>
        <v>India</v>
      </c>
      <c r="C1769" s="1">
        <f ca="1">IFERROR(__xludf.DUMMYFUNCTION("""COMPUTED_VALUE"""),560029)</f>
        <v>560029</v>
      </c>
      <c r="D1769" s="1" t="str">
        <f ca="1">IFERROR(__xludf.DUMMYFUNCTION("""COMPUTED_VALUE"""),"Female")</f>
        <v>Female</v>
      </c>
      <c r="E1769" s="1" t="str">
        <f ca="1">IFERROR(__xludf.DUMMYFUNCTION("""COMPUTED_VALUE"""),"Influencers who had successful careers")</f>
        <v>Influencers who had successful careers</v>
      </c>
      <c r="F1769" s="1" t="str">
        <f ca="1">IFERROR(__xludf.DUMMYFUNCTION("""COMPUTED_VALUE"""),"Yes, I will earn and do that")</f>
        <v>Yes, I will earn and do that</v>
      </c>
      <c r="G1769" s="1" t="str">
        <f ca="1">IFERROR(__xludf.DUMMYFUNCTION("""COMPUTED_VALUE"""),"This will be hard to do, but if it is the right company I would try")</f>
        <v>This will be hard to do, but if it is the right company I would try</v>
      </c>
      <c r="H1769" s="1" t="str">
        <f ca="1">IFERROR(__xludf.DUMMYFUNCTION("""COMPUTED_VALUE"""),"No")</f>
        <v>No</v>
      </c>
      <c r="I1769" s="1" t="str">
        <f ca="1">IFERROR(__xludf.DUMMYFUNCTION("""COMPUTED_VALUE"""),"Will NOT work for them")</f>
        <v>Will NOT work for them</v>
      </c>
      <c r="J1769" s="1">
        <f ca="1">IFERROR(__xludf.DUMMYFUNCTION("""COMPUTED_VALUE"""),5)</f>
        <v>5</v>
      </c>
      <c r="K1769" s="1" t="str">
        <f ca="1">IFERROR(__xludf.DUMMYFUNCTION("""COMPUTED_VALUE"""),"Hybrid Working Environment with more than 15 days a month at office")</f>
        <v>Hybrid Working Environment with more than 15 days a month at office</v>
      </c>
      <c r="L1769" s="1" t="str">
        <f ca="1">IFERROR(__xludf.DUMMYFUNCTION("""COMPUTED_VALUE"""),"Employer who appreciates learning and enables that environment")</f>
        <v>Employer who appreciates learning and enables that environment</v>
      </c>
      <c r="M176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69" s="1" t="str">
        <f ca="1">IFERROR(__xludf.DUMMYFUNCTION("""COMPUTED_VALUE"""),"Design and Creative strategy in any company, Build and develop a Team, Look deeply into Data and generate insights, Work as a freelancer and do my thing my way")</f>
        <v>Design and Creative strategy in any company, Build and develop a Team, Look deeply into Data and generate insights, Work as a freelancer and do my thing my way</v>
      </c>
      <c r="O1769" s="1" t="str">
        <f ca="1">IFERROR(__xludf.DUMMYFUNCTION("""COMPUTED_VALUE"""),"Manager who explains what is expected, sets a goal and helps achieve it")</f>
        <v>Manager who explains what is expected, sets a goal and helps achieve it</v>
      </c>
      <c r="P1769" s="1" t="str">
        <f ca="1">IFERROR(__xludf.DUMMYFUNCTION("""COMPUTED_VALUE"""),"Work alone, Work with 2 to 3 people in my team")</f>
        <v>Work alone, Work with 2 to 3 people in my team</v>
      </c>
      <c r="Q1769" s="1" t="str">
        <f ca="1">IFERROR(__xludf.DUMMYFUNCTION("""COMPUTED_VALUE"""),"Yes, I Understand this is gonna happen everywhere")</f>
        <v>Yes, I Understand this is gonna happen everywhere</v>
      </c>
      <c r="R1769" s="1" t="str">
        <f ca="1">IFERROR(__xludf.DUMMYFUNCTION("""COMPUTED_VALUE"""),"This will be hard to do, but if it is the right company I would try")</f>
        <v>This will be hard to do, but if it is the right company I would try</v>
      </c>
      <c r="S1769" s="1"/>
    </row>
    <row r="1770" spans="1:19" ht="12.5" x14ac:dyDescent="0.25">
      <c r="A1770" s="2">
        <f ca="1">IFERROR(__xludf.DUMMYFUNCTION("""COMPUTED_VALUE"""),45048.8946371412)</f>
        <v>45048.894637141202</v>
      </c>
      <c r="B1770" s="1" t="str">
        <f ca="1">IFERROR(__xludf.DUMMYFUNCTION("""COMPUTED_VALUE"""),"India")</f>
        <v>India</v>
      </c>
      <c r="C1770" s="1">
        <f ca="1">IFERROR(__xludf.DUMMYFUNCTION("""COMPUTED_VALUE"""),795142)</f>
        <v>795142</v>
      </c>
      <c r="D1770" s="1" t="str">
        <f ca="1">IFERROR(__xludf.DUMMYFUNCTION("""COMPUTED_VALUE"""),"Male")</f>
        <v>Male</v>
      </c>
      <c r="E1770" s="1" t="str">
        <f ca="1">IFERROR(__xludf.DUMMYFUNCTION("""COMPUTED_VALUE"""),"My Parents")</f>
        <v>My Parents</v>
      </c>
      <c r="F1770" s="1" t="str">
        <f ca="1">IFERROR(__xludf.DUMMYFUNCTION("""COMPUTED_VALUE"""),"Yes, I will earn and do that")</f>
        <v>Yes, I will earn and do that</v>
      </c>
      <c r="G1770" s="1" t="str">
        <f ca="1">IFERROR(__xludf.DUMMYFUNCTION("""COMPUTED_VALUE"""),"This will be hard to do, but if it is the right company I would try")</f>
        <v>This will be hard to do, but if it is the right company I would try</v>
      </c>
      <c r="H1770" s="1" t="str">
        <f ca="1">IFERROR(__xludf.DUMMYFUNCTION("""COMPUTED_VALUE"""),"No")</f>
        <v>No</v>
      </c>
      <c r="I1770" s="1" t="str">
        <f ca="1">IFERROR(__xludf.DUMMYFUNCTION("""COMPUTED_VALUE"""),"Will work for them")</f>
        <v>Will work for them</v>
      </c>
      <c r="J1770" s="1">
        <f ca="1">IFERROR(__xludf.DUMMYFUNCTION("""COMPUTED_VALUE"""),3)</f>
        <v>3</v>
      </c>
      <c r="K1770" s="1" t="str">
        <f ca="1">IFERROR(__xludf.DUMMYFUNCTION("""COMPUTED_VALUE"""),"Hybrid Working Environment with more than 15 days a month at office")</f>
        <v>Hybrid Working Environment with more than 15 days a month at office</v>
      </c>
      <c r="L1770" s="1" t="str">
        <f ca="1">IFERROR(__xludf.DUMMYFUNCTION("""COMPUTED_VALUE"""),"Employer who appreciates learning and enables that environment")</f>
        <v>Employer who appreciates learning and enables that environment</v>
      </c>
      <c r="M177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70" s="1" t="str">
        <f ca="1">IFERROR(__xludf.DUMMYFUNCTION("""COMPUTED_VALUE"""),"Business Operations in any organization, Build and develop a Team, Work as a freelancer and do my thing my way, An Artificial Intelligence Specialist / Talking to Robots")</f>
        <v>Business Operations in any organization, Build and develop a Team, Work as a freelancer and do my thing my way, An Artificial Intelligence Specialist / Talking to Robots</v>
      </c>
      <c r="O1770" s="1" t="str">
        <f ca="1">IFERROR(__xludf.DUMMYFUNCTION("""COMPUTED_VALUE"""),"Manager who explains what is expected, sets a goal and helps achieve it")</f>
        <v>Manager who explains what is expected, sets a goal and helps achieve it</v>
      </c>
      <c r="P1770" s="1" t="str">
        <f ca="1">IFERROR(__xludf.DUMMYFUNCTION("""COMPUTED_VALUE"""),"Work with 5 to 6 people in my team, Work with more than 10 people in my team")</f>
        <v>Work with 5 to 6 people in my team, Work with more than 10 people in my team</v>
      </c>
      <c r="Q1770" s="1" t="str">
        <f ca="1">IFERROR(__xludf.DUMMYFUNCTION("""COMPUTED_VALUE"""),"No")</f>
        <v>No</v>
      </c>
      <c r="R1770" s="1" t="str">
        <f ca="1">IFERROR(__xludf.DUMMYFUNCTION("""COMPUTED_VALUE"""),"This will be hard to do, but if it is the right company I would try")</f>
        <v>This will be hard to do, but if it is the right company I would try</v>
      </c>
      <c r="S1770" s="1"/>
    </row>
    <row r="1771" spans="1:19" ht="12.5" x14ac:dyDescent="0.25">
      <c r="A1771" s="2">
        <f ca="1">IFERROR(__xludf.DUMMYFUNCTION("""COMPUTED_VALUE"""),45048.898641875)</f>
        <v>45048.898641874999</v>
      </c>
      <c r="B1771" s="1" t="str">
        <f ca="1">IFERROR(__xludf.DUMMYFUNCTION("""COMPUTED_VALUE"""),"India")</f>
        <v>India</v>
      </c>
      <c r="C1771" s="1" t="str">
        <f ca="1">IFERROR(__xludf.DUMMYFUNCTION("""COMPUTED_VALUE"""),"+91")</f>
        <v>+91</v>
      </c>
      <c r="D1771" s="1" t="str">
        <f ca="1">IFERROR(__xludf.DUMMYFUNCTION("""COMPUTED_VALUE"""),"Male")</f>
        <v>Male</v>
      </c>
      <c r="E1771" s="1" t="str">
        <f ca="1">IFERROR(__xludf.DUMMYFUNCTION("""COMPUTED_VALUE"""),"My Parents")</f>
        <v>My Parents</v>
      </c>
      <c r="F1771" s="1" t="str">
        <f ca="1">IFERROR(__xludf.DUMMYFUNCTION("""COMPUTED_VALUE"""),"Yes, I will earn and do that")</f>
        <v>Yes, I will earn and do that</v>
      </c>
      <c r="G1771" s="1" t="str">
        <f ca="1">IFERROR(__xludf.DUMMYFUNCTION("""COMPUTED_VALUE"""),"Will work for 3 years or more")</f>
        <v>Will work for 3 years or more</v>
      </c>
      <c r="H1771" s="1" t="str">
        <f ca="1">IFERROR(__xludf.DUMMYFUNCTION("""COMPUTED_VALUE"""),"No")</f>
        <v>No</v>
      </c>
      <c r="I1771" s="1" t="str">
        <f ca="1">IFERROR(__xludf.DUMMYFUNCTION("""COMPUTED_VALUE"""),"Will NOT work for them")</f>
        <v>Will NOT work for them</v>
      </c>
      <c r="J1771" s="1">
        <f ca="1">IFERROR(__xludf.DUMMYFUNCTION("""COMPUTED_VALUE"""),8)</f>
        <v>8</v>
      </c>
      <c r="K1771" s="1" t="str">
        <f ca="1">IFERROR(__xludf.DUMMYFUNCTION("""COMPUTED_VALUE"""),"Fully Remote with Options to travel as and when needed")</f>
        <v>Fully Remote with Options to travel as and when needed</v>
      </c>
      <c r="L17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7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71" s="1" t="str">
        <f ca="1">IFERROR(__xludf.DUMMYFUNCTION("""COMPUTED_VALUE"""),"Design and Creative strategy in any company, Business Operations in any organization, Manage and drive End-to-End Projects or Products, An Artificial Intelligence Specialist / Talking to Robots")</f>
        <v>Design and Creative strategy in any company, Business Operations in any organization, Manage and drive End-to-End Projects or Products, An Artificial Intelligence Specialist / Talking to Robots</v>
      </c>
      <c r="O1771" s="1" t="str">
        <f ca="1">IFERROR(__xludf.DUMMYFUNCTION("""COMPUTED_VALUE"""),"Manager who explains what is expected, sets a goal and helps achieve it")</f>
        <v>Manager who explains what is expected, sets a goal and helps achieve it</v>
      </c>
      <c r="P1771" s="1" t="str">
        <f ca="1">IFERROR(__xludf.DUMMYFUNCTION("""COMPUTED_VALUE"""),"Work with 5 to 6 people in my team")</f>
        <v>Work with 5 to 6 people in my team</v>
      </c>
      <c r="Q1771" s="1" t="str">
        <f ca="1">IFERROR(__xludf.DUMMYFUNCTION("""COMPUTED_VALUE"""),"Yes, I Understand this is gonna happen everywhere")</f>
        <v>Yes, I Understand this is gonna happen everywhere</v>
      </c>
      <c r="R1771" s="1" t="str">
        <f ca="1">IFERROR(__xludf.DUMMYFUNCTION("""COMPUTED_VALUE"""),"This will be hard to do, but if it is the right company I would try")</f>
        <v>This will be hard to do, but if it is the right company I would try</v>
      </c>
      <c r="S1771" s="1"/>
    </row>
    <row r="1772" spans="1:19" ht="12.5" x14ac:dyDescent="0.25">
      <c r="A1772" s="2">
        <f ca="1">IFERROR(__xludf.DUMMYFUNCTION("""COMPUTED_VALUE"""),45048.9106602083)</f>
        <v>45048.910660208297</v>
      </c>
      <c r="B1772" s="1" t="str">
        <f ca="1">IFERROR(__xludf.DUMMYFUNCTION("""COMPUTED_VALUE"""),"India")</f>
        <v>India</v>
      </c>
      <c r="C1772" s="1">
        <f ca="1">IFERROR(__xludf.DUMMYFUNCTION("""COMPUTED_VALUE"""),571434)</f>
        <v>571434</v>
      </c>
      <c r="D1772" s="1" t="str">
        <f ca="1">IFERROR(__xludf.DUMMYFUNCTION("""COMPUTED_VALUE"""),"Male")</f>
        <v>Male</v>
      </c>
      <c r="E1772" s="1" t="str">
        <f ca="1">IFERROR(__xludf.DUMMYFUNCTION("""COMPUTED_VALUE"""),"My Parents")</f>
        <v>My Parents</v>
      </c>
      <c r="F1772" s="1" t="str">
        <f ca="1">IFERROR(__xludf.DUMMYFUNCTION("""COMPUTED_VALUE"""),"No, But if someone could bare the cost I will")</f>
        <v>No, But if someone could bare the cost I will</v>
      </c>
      <c r="G1772" s="1" t="str">
        <f ca="1">IFERROR(__xludf.DUMMYFUNCTION("""COMPUTED_VALUE"""),"This will be hard to do, but if it is the right company I would try")</f>
        <v>This will be hard to do, but if it is the right company I would try</v>
      </c>
      <c r="H1772" s="1" t="str">
        <f ca="1">IFERROR(__xludf.DUMMYFUNCTION("""COMPUTED_VALUE"""),"Yes")</f>
        <v>Yes</v>
      </c>
      <c r="I1772" s="1" t="str">
        <f ca="1">IFERROR(__xludf.DUMMYFUNCTION("""COMPUTED_VALUE"""),"Will NOT work for them")</f>
        <v>Will NOT work for them</v>
      </c>
      <c r="J1772" s="1">
        <f ca="1">IFERROR(__xludf.DUMMYFUNCTION("""COMPUTED_VALUE"""),3)</f>
        <v>3</v>
      </c>
      <c r="K1772" s="1" t="str">
        <f ca="1">IFERROR(__xludf.DUMMYFUNCTION("""COMPUTED_VALUE"""),"Fully Remote with No option to visit offices")</f>
        <v>Fully Remote with No option to visit offices</v>
      </c>
      <c r="L17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7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772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1772" s="1" t="str">
        <f ca="1">IFERROR(__xludf.DUMMYFUNCTION("""COMPUTED_VALUE"""),"Manager who explains what is expected, sets a goal and helps achieve it")</f>
        <v>Manager who explains what is expected, sets a goal and helps achieve it</v>
      </c>
      <c r="P1772" s="1" t="str">
        <f ca="1">IFERROR(__xludf.DUMMYFUNCTION("""COMPUTED_VALUE"""),"Work with 2 to 3 people in my team, Work with more than 10 people in my team")</f>
        <v>Work with 2 to 3 people in my team, Work with more than 10 people in my team</v>
      </c>
      <c r="Q1772" s="1" t="str">
        <f ca="1">IFERROR(__xludf.DUMMYFUNCTION("""COMPUTED_VALUE"""),"Yes, I Understand this is gonna happen everywhere")</f>
        <v>Yes, I Understand this is gonna happen everywhere</v>
      </c>
      <c r="R1772" s="1" t="str">
        <f ca="1">IFERROR(__xludf.DUMMYFUNCTION("""COMPUTED_VALUE"""),"This will be hard to do, but if it is the right company I would try")</f>
        <v>This will be hard to do, but if it is the right company I would try</v>
      </c>
      <c r="S1772" s="1"/>
    </row>
    <row r="1773" spans="1:19" ht="12.5" x14ac:dyDescent="0.25">
      <c r="A1773" s="2">
        <f ca="1">IFERROR(__xludf.DUMMYFUNCTION("""COMPUTED_VALUE"""),45048.9430903587)</f>
        <v>45048.943090358698</v>
      </c>
      <c r="B1773" s="1" t="str">
        <f ca="1">IFERROR(__xludf.DUMMYFUNCTION("""COMPUTED_VALUE"""),"India")</f>
        <v>India</v>
      </c>
      <c r="C1773" s="1">
        <f ca="1">IFERROR(__xludf.DUMMYFUNCTION("""COMPUTED_VALUE"""),560078)</f>
        <v>560078</v>
      </c>
      <c r="D1773" s="1" t="str">
        <f ca="1">IFERROR(__xludf.DUMMYFUNCTION("""COMPUTED_VALUE"""),"Female")</f>
        <v>Female</v>
      </c>
      <c r="E1773" s="1" t="str">
        <f ca="1">IFERROR(__xludf.DUMMYFUNCTION("""COMPUTED_VALUE"""),"People who have changed the world for better")</f>
        <v>People who have changed the world for better</v>
      </c>
      <c r="F1773" s="1" t="str">
        <f ca="1">IFERROR(__xludf.DUMMYFUNCTION("""COMPUTED_VALUE"""),"No I would not be pursuing Higher Education outside of India")</f>
        <v>No I would not be pursuing Higher Education outside of India</v>
      </c>
      <c r="G1773" s="1" t="str">
        <f ca="1">IFERROR(__xludf.DUMMYFUNCTION("""COMPUTED_VALUE"""),"Will work for 3 years or more")</f>
        <v>Will work for 3 years or more</v>
      </c>
      <c r="H1773" s="1" t="str">
        <f ca="1">IFERROR(__xludf.DUMMYFUNCTION("""COMPUTED_VALUE"""),"No")</f>
        <v>No</v>
      </c>
      <c r="I1773" s="1" t="str">
        <f ca="1">IFERROR(__xludf.DUMMYFUNCTION("""COMPUTED_VALUE"""),"Will work for them")</f>
        <v>Will work for them</v>
      </c>
      <c r="J1773" s="1">
        <f ca="1">IFERROR(__xludf.DUMMYFUNCTION("""COMPUTED_VALUE"""),4)</f>
        <v>4</v>
      </c>
      <c r="K1773" s="1" t="str">
        <f ca="1">IFERROR(__xludf.DUMMYFUNCTION("""COMPUTED_VALUE"""),"Hybrid Working Environment with more than 15 days a month at office")</f>
        <v>Hybrid Working Environment with more than 15 days a month at office</v>
      </c>
      <c r="L17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7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773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773" s="1" t="str">
        <f ca="1">IFERROR(__xludf.DUMMYFUNCTION("""COMPUTED_VALUE"""),"Manager who clearly describes what she/he needs")</f>
        <v>Manager who clearly describes what she/he needs</v>
      </c>
      <c r="P1773" s="1" t="str">
        <f ca="1">IFERROR(__xludf.DUMMYFUNCTION("""COMPUTED_VALUE"""),"Work with 7 to 10 or more people in my team")</f>
        <v>Work with 7 to 10 or more people in my team</v>
      </c>
      <c r="Q1773" s="1" t="str">
        <f ca="1">IFERROR(__xludf.DUMMYFUNCTION("""COMPUTED_VALUE"""),"Yes, I Understand this is gonna happen everywhere")</f>
        <v>Yes, I Understand this is gonna happen everywhere</v>
      </c>
      <c r="R1773" s="1" t="str">
        <f ca="1">IFERROR(__xludf.DUMMYFUNCTION("""COMPUTED_VALUE"""),"This will be hard to do, but if it is the right company I would try")</f>
        <v>This will be hard to do, but if it is the right company I would try</v>
      </c>
      <c r="S1773" s="1"/>
    </row>
    <row r="1774" spans="1:19" ht="12.5" x14ac:dyDescent="0.25">
      <c r="A1774" s="2">
        <f ca="1">IFERROR(__xludf.DUMMYFUNCTION("""COMPUTED_VALUE"""),45048.9447072106)</f>
        <v>45048.944707210598</v>
      </c>
      <c r="B1774" s="1" t="str">
        <f ca="1">IFERROR(__xludf.DUMMYFUNCTION("""COMPUTED_VALUE"""),"India")</f>
        <v>India</v>
      </c>
      <c r="C1774" s="1">
        <f ca="1">IFERROR(__xludf.DUMMYFUNCTION("""COMPUTED_VALUE"""),560036)</f>
        <v>560036</v>
      </c>
      <c r="D1774" s="1" t="str">
        <f ca="1">IFERROR(__xludf.DUMMYFUNCTION("""COMPUTED_VALUE"""),"Female")</f>
        <v>Female</v>
      </c>
      <c r="E1774" s="1" t="str">
        <f ca="1">IFERROR(__xludf.DUMMYFUNCTION("""COMPUTED_VALUE"""),"People from my circle, but not family members")</f>
        <v>People from my circle, but not family members</v>
      </c>
      <c r="F1774" s="1" t="str">
        <f ca="1">IFERROR(__xludf.DUMMYFUNCTION("""COMPUTED_VALUE"""),"No I would not be pursuing Higher Education outside of India")</f>
        <v>No I would not be pursuing Higher Education outside of India</v>
      </c>
      <c r="G1774" s="1" t="str">
        <f ca="1">IFERROR(__xludf.DUMMYFUNCTION("""COMPUTED_VALUE"""),"Will work for 3 years or more")</f>
        <v>Will work for 3 years or more</v>
      </c>
      <c r="H1774" s="1" t="str">
        <f ca="1">IFERROR(__xludf.DUMMYFUNCTION("""COMPUTED_VALUE"""),"No")</f>
        <v>No</v>
      </c>
      <c r="I1774" s="1" t="str">
        <f ca="1">IFERROR(__xludf.DUMMYFUNCTION("""COMPUTED_VALUE"""),"Will NOT work for them")</f>
        <v>Will NOT work for them</v>
      </c>
      <c r="J1774" s="1">
        <f ca="1">IFERROR(__xludf.DUMMYFUNCTION("""COMPUTED_VALUE"""),4)</f>
        <v>4</v>
      </c>
      <c r="K1774" s="1" t="str">
        <f ca="1">IFERROR(__xludf.DUMMYFUNCTION("""COMPUTED_VALUE"""),"Fully Remote with Options to travel as and when needed")</f>
        <v>Fully Remote with Options to travel as and when needed</v>
      </c>
      <c r="L1774" s="1" t="str">
        <f ca="1">IFERROR(__xludf.DUMMYFUNCTION("""COMPUTED_VALUE"""),"Employer who rewards learning and enables that environment")</f>
        <v>Employer who rewards learning and enables that environment</v>
      </c>
      <c r="M177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774" s="1" t="str">
        <f ca="1">IFERROR(__xludf.DUMMYFUNCTION("""COMPUTED_VALUE"""),"Teaching in any of the institutes/colleges/online or offline, Business Operations in any organization, Manage and drive End-to-End Projects or Products, Work in a BPO setup for some well known client")</f>
        <v>Teaching in any of the institutes/colleges/online or offline, Business Operations in any organization, Manage and drive End-to-End Projects or Products, Work in a BPO setup for some well known client</v>
      </c>
      <c r="O1774" s="1" t="str">
        <f ca="1">IFERROR(__xludf.DUMMYFUNCTION("""COMPUTED_VALUE"""),"Manager who explains what is expected, sets a goal and helps achieve it")</f>
        <v>Manager who explains what is expected, sets a goal and helps achieve it</v>
      </c>
      <c r="P1774" s="1" t="str">
        <f ca="1">IFERROR(__xludf.DUMMYFUNCTION("""COMPUTED_VALUE"""),"Work alone, Work with more than 10 people in my team")</f>
        <v>Work alone, Work with more than 10 people in my team</v>
      </c>
      <c r="Q1774" s="1" t="str">
        <f ca="1">IFERROR(__xludf.DUMMYFUNCTION("""COMPUTED_VALUE"""),"Yes, I Understand this is gonna happen everywhere")</f>
        <v>Yes, I Understand this is gonna happen everywhere</v>
      </c>
      <c r="R1774" s="1" t="str">
        <f ca="1">IFERROR(__xludf.DUMMYFUNCTION("""COMPUTED_VALUE"""),"This will be hard to do, but if it is the right company I would try")</f>
        <v>This will be hard to do, but if it is the right company I would try</v>
      </c>
      <c r="S1774" s="1"/>
    </row>
    <row r="1775" spans="1:19" ht="12.5" x14ac:dyDescent="0.25">
      <c r="A1775" s="2">
        <f ca="1">IFERROR(__xludf.DUMMYFUNCTION("""COMPUTED_VALUE"""),45048.95980978)</f>
        <v>45048.959809779997</v>
      </c>
      <c r="B1775" s="1" t="str">
        <f ca="1">IFERROR(__xludf.DUMMYFUNCTION("""COMPUTED_VALUE"""),"India")</f>
        <v>India</v>
      </c>
      <c r="C1775" s="1">
        <f ca="1">IFERROR(__xludf.DUMMYFUNCTION("""COMPUTED_VALUE"""),793006)</f>
        <v>793006</v>
      </c>
      <c r="D1775" s="1" t="str">
        <f ca="1">IFERROR(__xludf.DUMMYFUNCTION("""COMPUTED_VALUE"""),"Female")</f>
        <v>Female</v>
      </c>
      <c r="E1775" s="1" t="str">
        <f ca="1">IFERROR(__xludf.DUMMYFUNCTION("""COMPUTED_VALUE"""),"My Parents")</f>
        <v>My Parents</v>
      </c>
      <c r="F1775" s="1" t="str">
        <f ca="1">IFERROR(__xludf.DUMMYFUNCTION("""COMPUTED_VALUE"""),"No, But if someone could bare the cost I will")</f>
        <v>No, But if someone could bare the cost I will</v>
      </c>
      <c r="G1775" s="1" t="str">
        <f ca="1">IFERROR(__xludf.DUMMYFUNCTION("""COMPUTED_VALUE"""),"This will be hard to do, but if it is the right company I would try")</f>
        <v>This will be hard to do, but if it is the right company I would try</v>
      </c>
      <c r="H1775" s="1" t="str">
        <f ca="1">IFERROR(__xludf.DUMMYFUNCTION("""COMPUTED_VALUE"""),"No")</f>
        <v>No</v>
      </c>
      <c r="I1775" s="1" t="str">
        <f ca="1">IFERROR(__xludf.DUMMYFUNCTION("""COMPUTED_VALUE"""),"Will NOT work for them")</f>
        <v>Will NOT work for them</v>
      </c>
      <c r="J1775" s="1">
        <f ca="1">IFERROR(__xludf.DUMMYFUNCTION("""COMPUTED_VALUE"""),8)</f>
        <v>8</v>
      </c>
      <c r="K1775" s="1" t="str">
        <f ca="1">IFERROR(__xludf.DUMMYFUNCTION("""COMPUTED_VALUE"""),"Fully Remote with Options to travel as and when needed")</f>
        <v>Fully Remote with Options to travel as and when needed</v>
      </c>
      <c r="L17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7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775" s="1" t="str">
        <f ca="1">IFERROR(__xludf.DUMMYFUNCTION("""COMPUTED_VALUE"""),"Business Operations in any organization, Work in a BPO setup for some well known client, Entrepreneur or Start Up, Manufacturing / Oil and Gas/ Construction / Hard Physical Work related")</f>
        <v>Business Operations in any organization, Work in a BPO setup for some well known client, Entrepreneur or Start Up, Manufacturing / Oil and Gas/ Construction / Hard Physical Work related</v>
      </c>
      <c r="O1775" s="1" t="str">
        <f ca="1">IFERROR(__xludf.DUMMYFUNCTION("""COMPUTED_VALUE"""),"Manager who clearly describes what she/he needs")</f>
        <v>Manager who clearly describes what she/he needs</v>
      </c>
      <c r="P1775" s="1" t="str">
        <f ca="1">IFERROR(__xludf.DUMMYFUNCTION("""COMPUTED_VALUE"""),"Work alone, Work with 2 to 3 people in my team")</f>
        <v>Work alone, Work with 2 to 3 people in my team</v>
      </c>
      <c r="Q1775" s="1" t="str">
        <f ca="1">IFERROR(__xludf.DUMMYFUNCTION("""COMPUTED_VALUE"""),"Yes, I Understand this is gonna happen everywhere")</f>
        <v>Yes, I Understand this is gonna happen everywhere</v>
      </c>
      <c r="R1775" s="1" t="str">
        <f ca="1">IFERROR(__xludf.DUMMYFUNCTION("""COMPUTED_VALUE"""),"This will be hard to do, but if it is the right company I would try")</f>
        <v>This will be hard to do, but if it is the right company I would try</v>
      </c>
      <c r="S1775" s="1"/>
    </row>
    <row r="1776" spans="1:19" ht="12.5" x14ac:dyDescent="0.25">
      <c r="A1776" s="2">
        <f ca="1">IFERROR(__xludf.DUMMYFUNCTION("""COMPUTED_VALUE"""),45048.9712058449)</f>
        <v>45048.9712058449</v>
      </c>
      <c r="B1776" s="1" t="str">
        <f ca="1">IFERROR(__xludf.DUMMYFUNCTION("""COMPUTED_VALUE"""),"India")</f>
        <v>India</v>
      </c>
      <c r="C1776" s="1">
        <f ca="1">IFERROR(__xludf.DUMMYFUNCTION("""COMPUTED_VALUE"""),560008)</f>
        <v>560008</v>
      </c>
      <c r="D1776" s="1" t="str">
        <f ca="1">IFERROR(__xludf.DUMMYFUNCTION("""COMPUTED_VALUE"""),"Male")</f>
        <v>Male</v>
      </c>
      <c r="E1776" s="1" t="str">
        <f ca="1">IFERROR(__xludf.DUMMYFUNCTION("""COMPUTED_VALUE"""),"My Parents")</f>
        <v>My Parents</v>
      </c>
      <c r="F1776" s="1" t="str">
        <f ca="1">IFERROR(__xludf.DUMMYFUNCTION("""COMPUTED_VALUE"""),"No I would not be pursuing Higher Education outside of India")</f>
        <v>No I would not be pursuing Higher Education outside of India</v>
      </c>
      <c r="G1776" s="1" t="str">
        <f ca="1">IFERROR(__xludf.DUMMYFUNCTION("""COMPUTED_VALUE"""),"This will be hard to do, but if it is the right company I would try")</f>
        <v>This will be hard to do, but if it is the right company I would try</v>
      </c>
      <c r="H1776" s="1" t="str">
        <f ca="1">IFERROR(__xludf.DUMMYFUNCTION("""COMPUTED_VALUE"""),"No")</f>
        <v>No</v>
      </c>
      <c r="I1776" s="1" t="str">
        <f ca="1">IFERROR(__xludf.DUMMYFUNCTION("""COMPUTED_VALUE"""),"Will NOT work for them")</f>
        <v>Will NOT work for them</v>
      </c>
      <c r="J1776" s="1">
        <f ca="1">IFERROR(__xludf.DUMMYFUNCTION("""COMPUTED_VALUE"""),5)</f>
        <v>5</v>
      </c>
      <c r="K1776" s="1" t="str">
        <f ca="1">IFERROR(__xludf.DUMMYFUNCTION("""COMPUTED_VALUE"""),"Hybrid Working Environment with more than 15 days a month at office")</f>
        <v>Hybrid Working Environment with more than 15 days a month at office</v>
      </c>
      <c r="L1776" s="1" t="str">
        <f ca="1">IFERROR(__xludf.DUMMYFUNCTION("""COMPUTED_VALUE"""),"Employer who appreciates learning and enables that environment")</f>
        <v>Employer who appreciates learning and enables that environment</v>
      </c>
      <c r="M177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76" s="1" t="str">
        <f ca="1">IFERROR(__xludf.DUMMYFUNCTION("""COMPUTED_VALUE"""),"Manage and drive End-to-End Projects or Products, Design and Develop amazing software, Work as a freelancer and do my thing my way, Entrepreneur or Start Up")</f>
        <v>Manage and drive End-to-End Projects or Products, Design and Develop amazing software, Work as a freelancer and do my thing my way, Entrepreneur or Start Up</v>
      </c>
      <c r="O1776" s="1" t="str">
        <f ca="1">IFERROR(__xludf.DUMMYFUNCTION("""COMPUTED_VALUE"""),"Manager who explains what is expected, sets a goal and helps achieve it")</f>
        <v>Manager who explains what is expected, sets a goal and helps achieve it</v>
      </c>
      <c r="P1776" s="1" t="str">
        <f ca="1">IFERROR(__xludf.DUMMYFUNCTION("""COMPUTED_VALUE"""),"Work with more than 10 people in my team")</f>
        <v>Work with more than 10 people in my team</v>
      </c>
      <c r="Q1776" s="1" t="str">
        <f ca="1">IFERROR(__xludf.DUMMYFUNCTION("""COMPUTED_VALUE"""),"Yes, I Understand this is gonna happen everywhere")</f>
        <v>Yes, I Understand this is gonna happen everywhere</v>
      </c>
      <c r="R1776" s="1" t="str">
        <f ca="1">IFERROR(__xludf.DUMMYFUNCTION("""COMPUTED_VALUE"""),"No way")</f>
        <v>No way</v>
      </c>
      <c r="S1776" s="1"/>
    </row>
    <row r="1777" spans="1:19" ht="12.5" x14ac:dyDescent="0.25">
      <c r="A1777" s="2">
        <f ca="1">IFERROR(__xludf.DUMMYFUNCTION("""COMPUTED_VALUE"""),45048.9728698842)</f>
        <v>45048.972869884201</v>
      </c>
      <c r="B1777" s="1" t="str">
        <f ca="1">IFERROR(__xludf.DUMMYFUNCTION("""COMPUTED_VALUE"""),"India")</f>
        <v>India</v>
      </c>
      <c r="C1777" s="1">
        <f ca="1">IFERROR(__xludf.DUMMYFUNCTION("""COMPUTED_VALUE"""),560036)</f>
        <v>560036</v>
      </c>
      <c r="D1777" s="1" t="str">
        <f ca="1">IFERROR(__xludf.DUMMYFUNCTION("""COMPUTED_VALUE"""),"Male")</f>
        <v>Male</v>
      </c>
      <c r="E1777" s="1" t="str">
        <f ca="1">IFERROR(__xludf.DUMMYFUNCTION("""COMPUTED_VALUE"""),"People from my circle, but not family members")</f>
        <v>People from my circle, but not family members</v>
      </c>
      <c r="F1777" s="1" t="str">
        <f ca="1">IFERROR(__xludf.DUMMYFUNCTION("""COMPUTED_VALUE"""),"No, But if someone could bare the cost I will")</f>
        <v>No, But if someone could bare the cost I will</v>
      </c>
      <c r="G1777" s="1" t="str">
        <f ca="1">IFERROR(__xludf.DUMMYFUNCTION("""COMPUTED_VALUE"""),"Will work for 3 years or more")</f>
        <v>Will work for 3 years or more</v>
      </c>
      <c r="H1777" s="1" t="str">
        <f ca="1">IFERROR(__xludf.DUMMYFUNCTION("""COMPUTED_VALUE"""),"No")</f>
        <v>No</v>
      </c>
      <c r="I1777" s="1" t="str">
        <f ca="1">IFERROR(__xludf.DUMMYFUNCTION("""COMPUTED_VALUE"""),"Will NOT work for them")</f>
        <v>Will NOT work for them</v>
      </c>
      <c r="J1777" s="1">
        <f ca="1">IFERROR(__xludf.DUMMYFUNCTION("""COMPUTED_VALUE"""),7)</f>
        <v>7</v>
      </c>
      <c r="K1777" s="1" t="str">
        <f ca="1">IFERROR(__xludf.DUMMYFUNCTION("""COMPUTED_VALUE"""),"Hybrid Working Environment with more than 15 days a month at office")</f>
        <v>Hybrid Working Environment with more than 15 days a month at office</v>
      </c>
      <c r="L1777" s="1" t="str">
        <f ca="1">IFERROR(__xludf.DUMMYFUNCTION("""COMPUTED_VALUE"""),"Employer who appreciates learning and enables that environment")</f>
        <v>Employer who appreciates learning and enables that environment</v>
      </c>
      <c r="M1777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777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1777" s="1" t="str">
        <f ca="1">IFERROR(__xludf.DUMMYFUNCTION("""COMPUTED_VALUE"""),"Manager who explains what is expected, sets a goal and helps achieve it")</f>
        <v>Manager who explains what is expected, sets a goal and helps achieve it</v>
      </c>
      <c r="P1777" s="1" t="str">
        <f ca="1">IFERROR(__xludf.DUMMYFUNCTION("""COMPUTED_VALUE"""),"Work with 2 to 3 people in my team")</f>
        <v>Work with 2 to 3 people in my team</v>
      </c>
      <c r="Q1777" s="1" t="str">
        <f ca="1">IFERROR(__xludf.DUMMYFUNCTION("""COMPUTED_VALUE"""),"Yes, I Understand this is gonna happen everywhere")</f>
        <v>Yes, I Understand this is gonna happen everywhere</v>
      </c>
      <c r="R1777" s="1" t="str">
        <f ca="1">IFERROR(__xludf.DUMMYFUNCTION("""COMPUTED_VALUE"""),"This will be hard to do, but if it is the right company I would try")</f>
        <v>This will be hard to do, but if it is the right company I would try</v>
      </c>
      <c r="S1777" s="1"/>
    </row>
    <row r="1778" spans="1:19" ht="12.5" x14ac:dyDescent="0.25">
      <c r="A1778" s="2">
        <f ca="1">IFERROR(__xludf.DUMMYFUNCTION("""COMPUTED_VALUE"""),45048.9735739004)</f>
        <v>45048.973573900403</v>
      </c>
      <c r="B1778" s="1" t="str">
        <f ca="1">IFERROR(__xludf.DUMMYFUNCTION("""COMPUTED_VALUE"""),"India")</f>
        <v>India</v>
      </c>
      <c r="C1778" s="1">
        <f ca="1">IFERROR(__xludf.DUMMYFUNCTION("""COMPUTED_VALUE"""),560100)</f>
        <v>560100</v>
      </c>
      <c r="D1778" s="1" t="str">
        <f ca="1">IFERROR(__xludf.DUMMYFUNCTION("""COMPUTED_VALUE"""),"Female")</f>
        <v>Female</v>
      </c>
      <c r="E1778" s="1" t="str">
        <f ca="1">IFERROR(__xludf.DUMMYFUNCTION("""COMPUTED_VALUE"""),"People from my circle, but not family members")</f>
        <v>People from my circle, but not family members</v>
      </c>
      <c r="F1778" s="1" t="str">
        <f ca="1">IFERROR(__xludf.DUMMYFUNCTION("""COMPUTED_VALUE"""),"No I would not be pursuing Higher Education outside of India")</f>
        <v>No I would not be pursuing Higher Education outside of India</v>
      </c>
      <c r="G1778" s="1" t="str">
        <f ca="1">IFERROR(__xludf.DUMMYFUNCTION("""COMPUTED_VALUE"""),"This will be hard to do, but if it is the right company I would try")</f>
        <v>This will be hard to do, but if it is the right company I would try</v>
      </c>
      <c r="H1778" s="1" t="str">
        <f ca="1">IFERROR(__xludf.DUMMYFUNCTION("""COMPUTED_VALUE"""),"No")</f>
        <v>No</v>
      </c>
      <c r="I1778" s="1" t="str">
        <f ca="1">IFERROR(__xludf.DUMMYFUNCTION("""COMPUTED_VALUE"""),"Will work for them")</f>
        <v>Will work for them</v>
      </c>
      <c r="J1778" s="1">
        <f ca="1">IFERROR(__xludf.DUMMYFUNCTION("""COMPUTED_VALUE"""),7)</f>
        <v>7</v>
      </c>
      <c r="K1778" s="1" t="str">
        <f ca="1">IFERROR(__xludf.DUMMYFUNCTION("""COMPUTED_VALUE"""),"Fully Remote with Options to travel as and when needed")</f>
        <v>Fully Remote with Options to travel as and when needed</v>
      </c>
      <c r="L17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7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78" s="1" t="str">
        <f ca="1">IFERROR(__xludf.DUMMYFUNCTION("""COMPUTED_VALUE"""),"Manage and drive End-to-End Projects or Products, Build and develop a Team, Look deeply into Data and generate insights, Work in a BPO setup for some well known client")</f>
        <v>Manage and drive End-to-End Projects or Products, Build and develop a Team, Look deeply into Data and generate insights, Work in a BPO setup for some well known client</v>
      </c>
      <c r="O1778" s="1" t="str">
        <f ca="1">IFERROR(__xludf.DUMMYFUNCTION("""COMPUTED_VALUE"""),"Manager who explains what is expected, sets a goal and helps achieve it")</f>
        <v>Manager who explains what is expected, sets a goal and helps achieve it</v>
      </c>
      <c r="P1778" s="1" t="str">
        <f ca="1">IFERROR(__xludf.DUMMYFUNCTION("""COMPUTED_VALUE"""),"Work with 5 to 6 people in my team")</f>
        <v>Work with 5 to 6 people in my team</v>
      </c>
      <c r="Q1778" s="1" t="str">
        <f ca="1">IFERROR(__xludf.DUMMYFUNCTION("""COMPUTED_VALUE"""),"No")</f>
        <v>No</v>
      </c>
      <c r="R1778" s="1" t="str">
        <f ca="1">IFERROR(__xludf.DUMMYFUNCTION("""COMPUTED_VALUE"""),"This will be hard to do, but if it is the right company I would try")</f>
        <v>This will be hard to do, but if it is the right company I would try</v>
      </c>
      <c r="S1778" s="1"/>
    </row>
    <row r="1779" spans="1:19" ht="12.5" x14ac:dyDescent="0.25">
      <c r="A1779" s="2">
        <f ca="1">IFERROR(__xludf.DUMMYFUNCTION("""COMPUTED_VALUE"""),45048.9809280092)</f>
        <v>45048.980928009201</v>
      </c>
      <c r="B1779" s="1" t="str">
        <f ca="1">IFERROR(__xludf.DUMMYFUNCTION("""COMPUTED_VALUE"""),"India")</f>
        <v>India</v>
      </c>
      <c r="C1779" s="1">
        <f ca="1">IFERROR(__xludf.DUMMYFUNCTION("""COMPUTED_VALUE"""),793007)</f>
        <v>793007</v>
      </c>
      <c r="D1779" s="1" t="str">
        <f ca="1">IFERROR(__xludf.DUMMYFUNCTION("""COMPUTED_VALUE"""),"Male")</f>
        <v>Male</v>
      </c>
      <c r="E1779" s="1" t="str">
        <f ca="1">IFERROR(__xludf.DUMMYFUNCTION("""COMPUTED_VALUE"""),"My Parents")</f>
        <v>My Parents</v>
      </c>
      <c r="F1779" s="1" t="str">
        <f ca="1">IFERROR(__xludf.DUMMYFUNCTION("""COMPUTED_VALUE"""),"No I would not be pursuing Higher Education outside of India")</f>
        <v>No I would not be pursuing Higher Education outside of India</v>
      </c>
      <c r="G1779" s="1" t="str">
        <f ca="1">IFERROR(__xludf.DUMMYFUNCTION("""COMPUTED_VALUE"""),"Will work for 3 years or more")</f>
        <v>Will work for 3 years or more</v>
      </c>
      <c r="H1779" s="1" t="str">
        <f ca="1">IFERROR(__xludf.DUMMYFUNCTION("""COMPUTED_VALUE"""),"Yes")</f>
        <v>Yes</v>
      </c>
      <c r="I1779" s="1" t="str">
        <f ca="1">IFERROR(__xludf.DUMMYFUNCTION("""COMPUTED_VALUE"""),"Will work for them")</f>
        <v>Will work for them</v>
      </c>
      <c r="J1779" s="1">
        <f ca="1">IFERROR(__xludf.DUMMYFUNCTION("""COMPUTED_VALUE"""),5)</f>
        <v>5</v>
      </c>
      <c r="K1779" s="1" t="str">
        <f ca="1">IFERROR(__xludf.DUMMYFUNCTION("""COMPUTED_VALUE"""),"Fully Remote with Options to travel as and when needed")</f>
        <v>Fully Remote with Options to travel as and when needed</v>
      </c>
      <c r="L17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7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779" s="1" t="str">
        <f ca="1">IFERROR(__xludf.DUMMYFUNCTION("""COMPUTED_VALUE"""),"Business Operations in any organization, Build and develop a Team, Entrepreneur or Start Up, Manufacturing / Oil and Gas/ Construction / Hard Physical Work related")</f>
        <v>Business Operations in any organization, Build and develop a Team, Entrepreneur or Start Up, Manufacturing / Oil and Gas/ Construction / Hard Physical Work related</v>
      </c>
      <c r="O1779" s="1" t="str">
        <f ca="1">IFERROR(__xludf.DUMMYFUNCTION("""COMPUTED_VALUE"""),"Manager who sets goal and helps me achieve it")</f>
        <v>Manager who sets goal and helps me achieve it</v>
      </c>
      <c r="P1779" s="1" t="str">
        <f ca="1">IFERROR(__xludf.DUMMYFUNCTION("""COMPUTED_VALUE"""),"Work alone")</f>
        <v>Work alone</v>
      </c>
      <c r="Q1779" s="1" t="str">
        <f ca="1">IFERROR(__xludf.DUMMYFUNCTION("""COMPUTED_VALUE"""),"I have NO other choice")</f>
        <v>I have NO other choice</v>
      </c>
      <c r="R1779" s="1" t="str">
        <f ca="1">IFERROR(__xludf.DUMMYFUNCTION("""COMPUTED_VALUE"""),"This will be hard to do, but if it is the right company I would try")</f>
        <v>This will be hard to do, but if it is the right company I would try</v>
      </c>
      <c r="S1779" s="1"/>
    </row>
    <row r="1780" spans="1:19" ht="12.5" x14ac:dyDescent="0.25">
      <c r="A1780" s="2">
        <f ca="1">IFERROR(__xludf.DUMMYFUNCTION("""COMPUTED_VALUE"""),45048.9819142592)</f>
        <v>45048.981914259202</v>
      </c>
      <c r="B1780" s="1" t="str">
        <f ca="1">IFERROR(__xludf.DUMMYFUNCTION("""COMPUTED_VALUE"""),"India")</f>
        <v>India</v>
      </c>
      <c r="C1780" s="1">
        <f ca="1">IFERROR(__xludf.DUMMYFUNCTION("""COMPUTED_VALUE"""),500080)</f>
        <v>500080</v>
      </c>
      <c r="D1780" s="1" t="str">
        <f ca="1">IFERROR(__xludf.DUMMYFUNCTION("""COMPUTED_VALUE"""),"Female")</f>
        <v>Female</v>
      </c>
      <c r="E1780" s="1" t="str">
        <f ca="1">IFERROR(__xludf.DUMMYFUNCTION("""COMPUTED_VALUE"""),"My Parents")</f>
        <v>My Parents</v>
      </c>
      <c r="F1780" s="1" t="str">
        <f ca="1">IFERROR(__xludf.DUMMYFUNCTION("""COMPUTED_VALUE"""),"No, But if someone could bare the cost I will")</f>
        <v>No, But if someone could bare the cost I will</v>
      </c>
      <c r="G1780" s="1" t="str">
        <f ca="1">IFERROR(__xludf.DUMMYFUNCTION("""COMPUTED_VALUE"""),"Will work for 3 years or more")</f>
        <v>Will work for 3 years or more</v>
      </c>
      <c r="H1780" s="1" t="str">
        <f ca="1">IFERROR(__xludf.DUMMYFUNCTION("""COMPUTED_VALUE"""),"No")</f>
        <v>No</v>
      </c>
      <c r="I1780" s="1" t="str">
        <f ca="1">IFERROR(__xludf.DUMMYFUNCTION("""COMPUTED_VALUE"""),"Will NOT work for them")</f>
        <v>Will NOT work for them</v>
      </c>
      <c r="J1780" s="1">
        <f ca="1">IFERROR(__xludf.DUMMYFUNCTION("""COMPUTED_VALUE"""),6)</f>
        <v>6</v>
      </c>
      <c r="K1780" s="1" t="str">
        <f ca="1">IFERROR(__xludf.DUMMYFUNCTION("""COMPUTED_VALUE"""),"Fully Remote with No option to visit offices")</f>
        <v>Fully Remote with No option to visit offices</v>
      </c>
      <c r="L1780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78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780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1780" s="1" t="str">
        <f ca="1">IFERROR(__xludf.DUMMYFUNCTION("""COMPUTED_VALUE"""),"Manager who explains what is expected, sets a goal and helps achieve it")</f>
        <v>Manager who explains what is expected, sets a goal and helps achieve it</v>
      </c>
      <c r="P1780" s="1" t="str">
        <f ca="1">IFERROR(__xludf.DUMMYFUNCTION("""COMPUTED_VALUE"""),"Work with 7 to 10 or more people in my team")</f>
        <v>Work with 7 to 10 or more people in my team</v>
      </c>
      <c r="Q1780" s="1" t="str">
        <f ca="1">IFERROR(__xludf.DUMMYFUNCTION("""COMPUTED_VALUE"""),"Yes, I Understand this is gonna happen everywhere")</f>
        <v>Yes, I Understand this is gonna happen everywhere</v>
      </c>
      <c r="R1780" s="1" t="str">
        <f ca="1">IFERROR(__xludf.DUMMYFUNCTION("""COMPUTED_VALUE"""),"This will be hard to do, but if it is the right company I would try")</f>
        <v>This will be hard to do, but if it is the right company I would try</v>
      </c>
      <c r="S1780" s="1"/>
    </row>
    <row r="1781" spans="1:19" ht="12.5" x14ac:dyDescent="0.25">
      <c r="A1781" s="2">
        <f ca="1">IFERROR(__xludf.DUMMYFUNCTION("""COMPUTED_VALUE"""),45048.989776493)</f>
        <v>45048.989776492999</v>
      </c>
      <c r="B1781" s="1" t="str">
        <f ca="1">IFERROR(__xludf.DUMMYFUNCTION("""COMPUTED_VALUE"""),"India")</f>
        <v>India</v>
      </c>
      <c r="C1781" s="1">
        <f ca="1">IFERROR(__xludf.DUMMYFUNCTION("""COMPUTED_VALUE"""),560036)</f>
        <v>560036</v>
      </c>
      <c r="D1781" s="1" t="str">
        <f ca="1">IFERROR(__xludf.DUMMYFUNCTION("""COMPUTED_VALUE"""),"Female")</f>
        <v>Female</v>
      </c>
      <c r="E1781" s="1" t="str">
        <f ca="1">IFERROR(__xludf.DUMMYFUNCTION("""COMPUTED_VALUE"""),"Social Media like LinkedIn")</f>
        <v>Social Media like LinkedIn</v>
      </c>
      <c r="F1781" s="1" t="str">
        <f ca="1">IFERROR(__xludf.DUMMYFUNCTION("""COMPUTED_VALUE"""),"No, But if someone could bare the cost I will")</f>
        <v>No, But if someone could bare the cost I will</v>
      </c>
      <c r="G1781" s="1" t="str">
        <f ca="1">IFERROR(__xludf.DUMMYFUNCTION("""COMPUTED_VALUE"""),"Will work for 3 years or more")</f>
        <v>Will work for 3 years or more</v>
      </c>
      <c r="H1781" s="1" t="str">
        <f ca="1">IFERROR(__xludf.DUMMYFUNCTION("""COMPUTED_VALUE"""),"No")</f>
        <v>No</v>
      </c>
      <c r="I1781" s="1" t="str">
        <f ca="1">IFERROR(__xludf.DUMMYFUNCTION("""COMPUTED_VALUE"""),"Will NOT work for them")</f>
        <v>Will NOT work for them</v>
      </c>
      <c r="J1781" s="1">
        <f ca="1">IFERROR(__xludf.DUMMYFUNCTION("""COMPUTED_VALUE"""),10)</f>
        <v>10</v>
      </c>
      <c r="K1781" s="1" t="str">
        <f ca="1">IFERROR(__xludf.DUMMYFUNCTION("""COMPUTED_VALUE"""),"Fully Remote with Options to travel as and when needed")</f>
        <v>Fully Remote with Options to travel as and when needed</v>
      </c>
      <c r="L1781" s="1" t="str">
        <f ca="1">IFERROR(__xludf.DUMMYFUNCTION("""COMPUTED_VALUE"""),"Employer who appreciates learning and enables that environment")</f>
        <v>Employer who appreciates learning and enables that environment</v>
      </c>
      <c r="M178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81" s="1" t="str">
        <f ca="1">IFERROR(__xludf.DUMMYFUNCTION("""COMPUTED_VALUE"""),"Teaching in any of the institutes/colleges/online or offline, Build and develop a Team, Work in a BPO setup for some well known client, Become a content Creator in some platform")</f>
        <v>Teaching in any of the institutes/colleges/online or offline, Build and develop a Team, Work in a BPO setup for some well known client, Become a content Creator in some platform</v>
      </c>
      <c r="O1781" s="1" t="str">
        <f ca="1">IFERROR(__xludf.DUMMYFUNCTION("""COMPUTED_VALUE"""),"Manager who explains what is expected, sets a goal and helps achieve it")</f>
        <v>Manager who explains what is expected, sets a goal and helps achieve it</v>
      </c>
      <c r="P1781" s="1" t="str">
        <f ca="1">IFERROR(__xludf.DUMMYFUNCTION("""COMPUTED_VALUE"""),"Work with 5 to 6 people in my team")</f>
        <v>Work with 5 to 6 people in my team</v>
      </c>
      <c r="Q1781" s="1" t="str">
        <f ca="1">IFERROR(__xludf.DUMMYFUNCTION("""COMPUTED_VALUE"""),"No")</f>
        <v>No</v>
      </c>
      <c r="R1781" s="1" t="str">
        <f ca="1">IFERROR(__xludf.DUMMYFUNCTION("""COMPUTED_VALUE"""),"This will be hard to do, but if it is the right company I would try")</f>
        <v>This will be hard to do, but if it is the right company I would try</v>
      </c>
      <c r="S1781" s="1"/>
    </row>
    <row r="1782" spans="1:19" ht="12.5" x14ac:dyDescent="0.25">
      <c r="A1782" s="2">
        <f ca="1">IFERROR(__xludf.DUMMYFUNCTION("""COMPUTED_VALUE"""),45049.0161807175)</f>
        <v>45049.016180717503</v>
      </c>
      <c r="B1782" s="1" t="str">
        <f ca="1">IFERROR(__xludf.DUMMYFUNCTION("""COMPUTED_VALUE"""),"United Arab Emirates")</f>
        <v>United Arab Emirates</v>
      </c>
      <c r="C1782" s="1">
        <f ca="1">IFERROR(__xludf.DUMMYFUNCTION("""COMPUTED_VALUE"""),574327)</f>
        <v>574327</v>
      </c>
      <c r="D1782" s="1" t="str">
        <f ca="1">IFERROR(__xludf.DUMMYFUNCTION("""COMPUTED_VALUE"""),"Male")</f>
        <v>Male</v>
      </c>
      <c r="E1782" s="1" t="str">
        <f ca="1">IFERROR(__xludf.DUMMYFUNCTION("""COMPUTED_VALUE"""),"My Parents")</f>
        <v>My Parents</v>
      </c>
      <c r="F1782" s="1" t="str">
        <f ca="1">IFERROR(__xludf.DUMMYFUNCTION("""COMPUTED_VALUE"""),"No I would not be pursuing Higher Education outside of India")</f>
        <v>No I would not be pursuing Higher Education outside of India</v>
      </c>
      <c r="G1782" s="1" t="str">
        <f ca="1">IFERROR(__xludf.DUMMYFUNCTION("""COMPUTED_VALUE"""),"No way")</f>
        <v>No way</v>
      </c>
      <c r="H1782" s="1" t="str">
        <f ca="1">IFERROR(__xludf.DUMMYFUNCTION("""COMPUTED_VALUE"""),"No")</f>
        <v>No</v>
      </c>
      <c r="I1782" s="1" t="str">
        <f ca="1">IFERROR(__xludf.DUMMYFUNCTION("""COMPUTED_VALUE"""),"Will work for them")</f>
        <v>Will work for them</v>
      </c>
      <c r="J1782" s="1">
        <f ca="1">IFERROR(__xludf.DUMMYFUNCTION("""COMPUTED_VALUE"""),4)</f>
        <v>4</v>
      </c>
      <c r="K1782" s="1" t="str">
        <f ca="1">IFERROR(__xludf.DUMMYFUNCTION("""COMPUTED_VALUE"""),"Fully Remote with No option to visit offices")</f>
        <v>Fully Remote with No option to visit offices</v>
      </c>
      <c r="L1782" s="1" t="str">
        <f ca="1">IFERROR(__xludf.DUMMYFUNCTION("""COMPUTED_VALUE"""),"Employer who appreciates learning and enables that environment")</f>
        <v>Employer who appreciates learning and enables that environment</v>
      </c>
      <c r="M178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782" s="1" t="str">
        <f ca="1">IFERROR(__xludf.DUMMYFUNCTION("""COMPUTED_VALUE"""),"Business Operations in any organization, Become a content Creator in some platform, Entrepreneur or Start Up, An Artificial Intelligence Specialist / Talking to Robots")</f>
        <v>Business Operations in any organization, Become a content Creator in some platform, Entrepreneur or Start Up, An Artificial Intelligence Specialist / Talking to Robots</v>
      </c>
      <c r="O1782" s="1" t="str">
        <f ca="1">IFERROR(__xludf.DUMMYFUNCTION("""COMPUTED_VALUE"""),"Manager who sets goal and helps me achieve it")</f>
        <v>Manager who sets goal and helps me achieve it</v>
      </c>
      <c r="P1782" s="1" t="str">
        <f ca="1">IFERROR(__xludf.DUMMYFUNCTION("""COMPUTED_VALUE"""),"Work with more than 10 people in my team")</f>
        <v>Work with more than 10 people in my team</v>
      </c>
      <c r="Q1782" s="1" t="str">
        <f ca="1">IFERROR(__xludf.DUMMYFUNCTION("""COMPUTED_VALUE"""),"Yes")</f>
        <v>Yes</v>
      </c>
      <c r="R1782" s="1" t="str">
        <f ca="1">IFERROR(__xludf.DUMMYFUNCTION("""COMPUTED_VALUE"""),"No way")</f>
        <v>No way</v>
      </c>
      <c r="S1782" s="1"/>
    </row>
    <row r="1783" spans="1:19" ht="12.5" x14ac:dyDescent="0.25">
      <c r="A1783" s="2">
        <f ca="1">IFERROR(__xludf.DUMMYFUNCTION("""COMPUTED_VALUE"""),45049.0579307291)</f>
        <v>45049.057930729097</v>
      </c>
      <c r="B1783" s="1" t="str">
        <f ca="1">IFERROR(__xludf.DUMMYFUNCTION("""COMPUTED_VALUE"""),"India")</f>
        <v>India</v>
      </c>
      <c r="C1783" s="1">
        <f ca="1">IFERROR(__xludf.DUMMYFUNCTION("""COMPUTED_VALUE"""),247667)</f>
        <v>247667</v>
      </c>
      <c r="D1783" s="1" t="str">
        <f ca="1">IFERROR(__xludf.DUMMYFUNCTION("""COMPUTED_VALUE"""),"Female")</f>
        <v>Female</v>
      </c>
      <c r="E1783" s="1" t="str">
        <f ca="1">IFERROR(__xludf.DUMMYFUNCTION("""COMPUTED_VALUE"""),"People who have changed the world for better")</f>
        <v>People who have changed the world for better</v>
      </c>
      <c r="F1783" s="1" t="str">
        <f ca="1">IFERROR(__xludf.DUMMYFUNCTION("""COMPUTED_VALUE"""),"No, But if someone could bare the cost I will")</f>
        <v>No, But if someone could bare the cost I will</v>
      </c>
      <c r="G1783" s="1" t="str">
        <f ca="1">IFERROR(__xludf.DUMMYFUNCTION("""COMPUTED_VALUE"""),"Will work for 3 years or more")</f>
        <v>Will work for 3 years or more</v>
      </c>
      <c r="H1783" s="1" t="str">
        <f ca="1">IFERROR(__xludf.DUMMYFUNCTION("""COMPUTED_VALUE"""),"No")</f>
        <v>No</v>
      </c>
      <c r="I1783" s="1" t="str">
        <f ca="1">IFERROR(__xludf.DUMMYFUNCTION("""COMPUTED_VALUE"""),"Will NOT work for them")</f>
        <v>Will NOT work for them</v>
      </c>
      <c r="J1783" s="1">
        <f ca="1">IFERROR(__xludf.DUMMYFUNCTION("""COMPUTED_VALUE"""),5)</f>
        <v>5</v>
      </c>
      <c r="K1783" s="1" t="str">
        <f ca="1">IFERROR(__xludf.DUMMYFUNCTION("""COMPUTED_VALUE"""),"Hybrid Working Environment with more than 15 days a month at office")</f>
        <v>Hybrid Working Environment with more than 15 days a month at office</v>
      </c>
      <c r="L17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8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783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783" s="1" t="str">
        <f ca="1">IFERROR(__xludf.DUMMYFUNCTION("""COMPUTED_VALUE"""),"Manager who sets goal and helps me achieve it")</f>
        <v>Manager who sets goal and helps me achieve it</v>
      </c>
      <c r="P1783" s="1" t="str">
        <f ca="1">IFERROR(__xludf.DUMMYFUNCTION("""COMPUTED_VALUE"""),"Work with 5 to 6 people in my team")</f>
        <v>Work with 5 to 6 people in my team</v>
      </c>
      <c r="Q1783" s="1" t="str">
        <f ca="1">IFERROR(__xludf.DUMMYFUNCTION("""COMPUTED_VALUE"""),"Yes, I Understand this is gonna happen everywhere")</f>
        <v>Yes, I Understand this is gonna happen everywhere</v>
      </c>
      <c r="R1783" s="1" t="str">
        <f ca="1">IFERROR(__xludf.DUMMYFUNCTION("""COMPUTED_VALUE"""),"Will work for 7 years or more")</f>
        <v>Will work for 7 years or more</v>
      </c>
      <c r="S1783" s="1"/>
    </row>
    <row r="1784" spans="1:19" ht="12.5" x14ac:dyDescent="0.25">
      <c r="A1784" s="2">
        <f ca="1">IFERROR(__xludf.DUMMYFUNCTION("""COMPUTED_VALUE"""),45049.0906228588)</f>
        <v>45049.090622858799</v>
      </c>
      <c r="B1784" s="1" t="str">
        <f ca="1">IFERROR(__xludf.DUMMYFUNCTION("""COMPUTED_VALUE"""),"India")</f>
        <v>India</v>
      </c>
      <c r="C1784" s="1">
        <f ca="1">IFERROR(__xludf.DUMMYFUNCTION("""COMPUTED_VALUE"""),560070)</f>
        <v>560070</v>
      </c>
      <c r="D1784" s="1" t="str">
        <f ca="1">IFERROR(__xludf.DUMMYFUNCTION("""COMPUTED_VALUE"""),"Female")</f>
        <v>Female</v>
      </c>
      <c r="E1784" s="1" t="str">
        <f ca="1">IFERROR(__xludf.DUMMYFUNCTION("""COMPUTED_VALUE"""),"People from my circle, but not family members")</f>
        <v>People from my circle, but not family members</v>
      </c>
      <c r="F1784" s="1" t="str">
        <f ca="1">IFERROR(__xludf.DUMMYFUNCTION("""COMPUTED_VALUE"""),"No, But if someone could bare the cost I will")</f>
        <v>No, But if someone could bare the cost I will</v>
      </c>
      <c r="G1784" s="1" t="str">
        <f ca="1">IFERROR(__xludf.DUMMYFUNCTION("""COMPUTED_VALUE"""),"This will be hard to do, but if it is the right company I would try")</f>
        <v>This will be hard to do, but if it is the right company I would try</v>
      </c>
      <c r="H1784" s="1" t="str">
        <f ca="1">IFERROR(__xludf.DUMMYFUNCTION("""COMPUTED_VALUE"""),"No")</f>
        <v>No</v>
      </c>
      <c r="I1784" s="1" t="str">
        <f ca="1">IFERROR(__xludf.DUMMYFUNCTION("""COMPUTED_VALUE"""),"Will NOT work for them")</f>
        <v>Will NOT work for them</v>
      </c>
      <c r="J1784" s="1">
        <f ca="1">IFERROR(__xludf.DUMMYFUNCTION("""COMPUTED_VALUE"""),7)</f>
        <v>7</v>
      </c>
      <c r="K1784" s="1" t="str">
        <f ca="1">IFERROR(__xludf.DUMMYFUNCTION("""COMPUTED_VALUE"""),"Fully Remote with Options to travel as and when needed")</f>
        <v>Fully Remote with Options to travel as and when needed</v>
      </c>
      <c r="L17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84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784" s="1" t="str">
        <f ca="1">IFERROR(__xludf.DUMMYFUNCTION("""COMPUTED_VALUE"""),"Teaching in any of the institutes/colleges/online or offline, Build and develop a Team, Entrepreneur or Start Up, I Want to sell things/Sales")</f>
        <v>Teaching in any of the institutes/colleges/online or offline, Build and develop a Team, Entrepreneur or Start Up, I Want to sell things/Sales</v>
      </c>
      <c r="O1784" s="1" t="str">
        <f ca="1">IFERROR(__xludf.DUMMYFUNCTION("""COMPUTED_VALUE"""),"Manager who explains what is expected, sets a goal and helps achieve it")</f>
        <v>Manager who explains what is expected, sets a goal and helps achieve it</v>
      </c>
      <c r="P1784" s="1" t="str">
        <f ca="1">IFERROR(__xludf.DUMMYFUNCTION("""COMPUTED_VALUE"""),"Work with 5 to 6 people in my team")</f>
        <v>Work with 5 to 6 people in my team</v>
      </c>
      <c r="Q1784" s="1" t="str">
        <f ca="1">IFERROR(__xludf.DUMMYFUNCTION("""COMPUTED_VALUE"""),"Yes, I Understand this is gonna happen everywhere")</f>
        <v>Yes, I Understand this is gonna happen everywhere</v>
      </c>
      <c r="R1784" s="1" t="str">
        <f ca="1">IFERROR(__xludf.DUMMYFUNCTION("""COMPUTED_VALUE"""),"No way")</f>
        <v>No way</v>
      </c>
      <c r="S1784" s="1"/>
    </row>
    <row r="1785" spans="1:19" ht="12.5" x14ac:dyDescent="0.25">
      <c r="A1785" s="2">
        <f ca="1">IFERROR(__xludf.DUMMYFUNCTION("""COMPUTED_VALUE"""),45049.2346400694)</f>
        <v>45049.2346400694</v>
      </c>
      <c r="B1785" s="1" t="str">
        <f ca="1">IFERROR(__xludf.DUMMYFUNCTION("""COMPUTED_VALUE"""),"India")</f>
        <v>India</v>
      </c>
      <c r="C1785" s="1">
        <f ca="1">IFERROR(__xludf.DUMMYFUNCTION("""COMPUTED_VALUE"""),500088)</f>
        <v>500088</v>
      </c>
      <c r="D1785" s="1" t="str">
        <f ca="1">IFERROR(__xludf.DUMMYFUNCTION("""COMPUTED_VALUE"""),"Male")</f>
        <v>Male</v>
      </c>
      <c r="E1785" s="1" t="str">
        <f ca="1">IFERROR(__xludf.DUMMYFUNCTION("""COMPUTED_VALUE"""),"My Parents")</f>
        <v>My Parents</v>
      </c>
      <c r="F1785" s="1" t="str">
        <f ca="1">IFERROR(__xludf.DUMMYFUNCTION("""COMPUTED_VALUE"""),"No I would not be pursuing Higher Education outside of India")</f>
        <v>No I would not be pursuing Higher Education outside of India</v>
      </c>
      <c r="G1785" s="1" t="str">
        <f ca="1">IFERROR(__xludf.DUMMYFUNCTION("""COMPUTED_VALUE"""),"Will work for 3 years or more")</f>
        <v>Will work for 3 years or more</v>
      </c>
      <c r="H1785" s="1" t="str">
        <f ca="1">IFERROR(__xludf.DUMMYFUNCTION("""COMPUTED_VALUE"""),"No")</f>
        <v>No</v>
      </c>
      <c r="I1785" s="1" t="str">
        <f ca="1">IFERROR(__xludf.DUMMYFUNCTION("""COMPUTED_VALUE"""),"Will NOT work for them")</f>
        <v>Will NOT work for them</v>
      </c>
      <c r="J1785" s="1">
        <f ca="1">IFERROR(__xludf.DUMMYFUNCTION("""COMPUTED_VALUE"""),3)</f>
        <v>3</v>
      </c>
      <c r="K1785" s="1" t="str">
        <f ca="1">IFERROR(__xludf.DUMMYFUNCTION("""COMPUTED_VALUE"""),"Fully Remote with Options to travel as and when needed")</f>
        <v>Fully Remote with Options to travel as and when needed</v>
      </c>
      <c r="L1785" s="1" t="str">
        <f ca="1">IFERROR(__xludf.DUMMYFUNCTION("""COMPUTED_VALUE"""),"Employer who appreciates learning and enables that environment")</f>
        <v>Employer who appreciates learning and enables that environment</v>
      </c>
      <c r="M178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85" s="1" t="str">
        <f ca="1">IFERROR(__xludf.DUMMYFUNCTION("""COMPUTED_VALUE"""),"Design and Creative strategy in any company, Manage and drive End-to-End Projects or Products, Entrepreneur or Start Up, An Artificial Intelligence Specialist / Talking to Robots")</f>
        <v>Design and Creative strategy in any company, Manage and drive End-to-End Projects or Products, Entrepreneur or Start Up, An Artificial Intelligence Specialist / Talking to Robots</v>
      </c>
      <c r="O1785" s="1" t="str">
        <f ca="1">IFERROR(__xludf.DUMMYFUNCTION("""COMPUTED_VALUE"""),"Manager who explains what is expected, sets a goal and helps achieve it")</f>
        <v>Manager who explains what is expected, sets a goal and helps achieve it</v>
      </c>
      <c r="P1785" s="1" t="str">
        <f ca="1">IFERROR(__xludf.DUMMYFUNCTION("""COMPUTED_VALUE"""),"Work with 5 to 6 people in my team")</f>
        <v>Work with 5 to 6 people in my team</v>
      </c>
      <c r="Q1785" s="1" t="str">
        <f ca="1">IFERROR(__xludf.DUMMYFUNCTION("""COMPUTED_VALUE"""),"No")</f>
        <v>No</v>
      </c>
      <c r="R1785" s="1" t="str">
        <f ca="1">IFERROR(__xludf.DUMMYFUNCTION("""COMPUTED_VALUE"""),"No way")</f>
        <v>No way</v>
      </c>
      <c r="S1785" s="1"/>
    </row>
    <row r="1786" spans="1:19" ht="12.5" x14ac:dyDescent="0.25">
      <c r="A1786" s="2">
        <f ca="1">IFERROR(__xludf.DUMMYFUNCTION("""COMPUTED_VALUE"""),45049.2643144907)</f>
        <v>45049.264314490698</v>
      </c>
      <c r="B1786" s="1" t="str">
        <f ca="1">IFERROR(__xludf.DUMMYFUNCTION("""COMPUTED_VALUE"""),"India")</f>
        <v>India</v>
      </c>
      <c r="C1786" s="1">
        <f ca="1">IFERROR(__xludf.DUMMYFUNCTION("""COMPUTED_VALUE"""),560036)</f>
        <v>560036</v>
      </c>
      <c r="D1786" s="1" t="str">
        <f ca="1">IFERROR(__xludf.DUMMYFUNCTION("""COMPUTED_VALUE"""),"Male")</f>
        <v>Male</v>
      </c>
      <c r="E1786" s="1" t="str">
        <f ca="1">IFERROR(__xludf.DUMMYFUNCTION("""COMPUTED_VALUE"""),"Influencers who had successful careers")</f>
        <v>Influencers who had successful careers</v>
      </c>
      <c r="F1786" s="1" t="str">
        <f ca="1">IFERROR(__xludf.DUMMYFUNCTION("""COMPUTED_VALUE"""),"No I would not be pursuing Higher Education outside of India")</f>
        <v>No I would not be pursuing Higher Education outside of India</v>
      </c>
      <c r="G1786" s="1" t="str">
        <f ca="1">IFERROR(__xludf.DUMMYFUNCTION("""COMPUTED_VALUE"""),"This will be hard to do, but if it is the right company I would try")</f>
        <v>This will be hard to do, but if it is the right company I would try</v>
      </c>
      <c r="H1786" s="1" t="str">
        <f ca="1">IFERROR(__xludf.DUMMYFUNCTION("""COMPUTED_VALUE"""),"No")</f>
        <v>No</v>
      </c>
      <c r="I1786" s="1" t="str">
        <f ca="1">IFERROR(__xludf.DUMMYFUNCTION("""COMPUTED_VALUE"""),"Will NOT work for them")</f>
        <v>Will NOT work for them</v>
      </c>
      <c r="J1786" s="1">
        <f ca="1">IFERROR(__xludf.DUMMYFUNCTION("""COMPUTED_VALUE"""),5)</f>
        <v>5</v>
      </c>
      <c r="K1786" s="1" t="str">
        <f ca="1">IFERROR(__xludf.DUMMYFUNCTION("""COMPUTED_VALUE"""),"Hybrid Working Environment with less than 3 days a month at office")</f>
        <v>Hybrid Working Environment with less than 3 days a month at office</v>
      </c>
      <c r="L17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8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86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1786" s="1" t="str">
        <f ca="1">IFERROR(__xludf.DUMMYFUNCTION("""COMPUTED_VALUE"""),"Manager who explains what is expected, sets a goal and helps achieve it")</f>
        <v>Manager who explains what is expected, sets a goal and helps achieve it</v>
      </c>
      <c r="P1786" s="1" t="str">
        <f ca="1">IFERROR(__xludf.DUMMYFUNCTION("""COMPUTED_VALUE"""),"Work with more than 10 people in my team")</f>
        <v>Work with more than 10 people in my team</v>
      </c>
      <c r="Q1786" s="1" t="str">
        <f ca="1">IFERROR(__xludf.DUMMYFUNCTION("""COMPUTED_VALUE"""),"No")</f>
        <v>No</v>
      </c>
      <c r="R1786" s="1" t="str">
        <f ca="1">IFERROR(__xludf.DUMMYFUNCTION("""COMPUTED_VALUE"""),"This will be hard to do, but if it is the right company I would try")</f>
        <v>This will be hard to do, but if it is the right company I would try</v>
      </c>
      <c r="S1786" s="1"/>
    </row>
    <row r="1787" spans="1:19" ht="12.5" x14ac:dyDescent="0.25">
      <c r="A1787" s="2">
        <f ca="1">IFERROR(__xludf.DUMMYFUNCTION("""COMPUTED_VALUE"""),45049.2765578588)</f>
        <v>45049.276557858801</v>
      </c>
      <c r="B1787" s="1" t="str">
        <f ca="1">IFERROR(__xludf.DUMMYFUNCTION("""COMPUTED_VALUE"""),"India")</f>
        <v>India</v>
      </c>
      <c r="C1787" s="1">
        <f ca="1">IFERROR(__xludf.DUMMYFUNCTION("""COMPUTED_VALUE"""),793006)</f>
        <v>793006</v>
      </c>
      <c r="D1787" s="1" t="str">
        <f ca="1">IFERROR(__xludf.DUMMYFUNCTION("""COMPUTED_VALUE"""),"Female")</f>
        <v>Female</v>
      </c>
      <c r="E1787" s="1" t="str">
        <f ca="1">IFERROR(__xludf.DUMMYFUNCTION("""COMPUTED_VALUE"""),"People who have changed the world for better")</f>
        <v>People who have changed the world for better</v>
      </c>
      <c r="F1787" s="1" t="str">
        <f ca="1">IFERROR(__xludf.DUMMYFUNCTION("""COMPUTED_VALUE"""),"No I would not be pursuing Higher Education outside of India")</f>
        <v>No I would not be pursuing Higher Education outside of India</v>
      </c>
      <c r="G1787" s="1" t="str">
        <f ca="1">IFERROR(__xludf.DUMMYFUNCTION("""COMPUTED_VALUE"""),"This will be hard to do, but if it is the right company I would try")</f>
        <v>This will be hard to do, but if it is the right company I would try</v>
      </c>
      <c r="H1787" s="1" t="str">
        <f ca="1">IFERROR(__xludf.DUMMYFUNCTION("""COMPUTED_VALUE"""),"No")</f>
        <v>No</v>
      </c>
      <c r="I1787" s="1" t="str">
        <f ca="1">IFERROR(__xludf.DUMMYFUNCTION("""COMPUTED_VALUE"""),"Will NOT work for them")</f>
        <v>Will NOT work for them</v>
      </c>
      <c r="J1787" s="1">
        <f ca="1">IFERROR(__xludf.DUMMYFUNCTION("""COMPUTED_VALUE"""),5)</f>
        <v>5</v>
      </c>
      <c r="K1787" s="1" t="str">
        <f ca="1">IFERROR(__xludf.DUMMYFUNCTION("""COMPUTED_VALUE"""),"Fully Remote with Options to travel as and when needed")</f>
        <v>Fully Remote with Options to travel as and when needed</v>
      </c>
      <c r="L1787" s="1" t="str">
        <f ca="1">IFERROR(__xludf.DUMMYFUNCTION("""COMPUTED_VALUE"""),"Employer who appreciates learning and enables that environment")</f>
        <v>Employer who appreciates learning and enables that environment</v>
      </c>
      <c r="M178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787" s="1" t="str">
        <f ca="1">IFERROR(__xludf.DUMMYFUNCTION("""COMPUTED_VALUE"""),"Teaching in any of the institutes/colleges/online or offline, Work as a freelancer and do my thing my way, Entrepreneur or Start Up, I Want to sell things/Sales")</f>
        <v>Teaching in any of the institutes/colleges/online or offline, Work as a freelancer and do my thing my way, Entrepreneur or Start Up, I Want to sell things/Sales</v>
      </c>
      <c r="O1787" s="1" t="str">
        <f ca="1">IFERROR(__xludf.DUMMYFUNCTION("""COMPUTED_VALUE"""),"Manager who clearly describes what she/he needs")</f>
        <v>Manager who clearly describes what she/he needs</v>
      </c>
      <c r="P1787" s="1" t="str">
        <f ca="1">IFERROR(__xludf.DUMMYFUNCTION("""COMPUTED_VALUE"""),"Work with 5 to 6 people in my team")</f>
        <v>Work with 5 to 6 people in my team</v>
      </c>
      <c r="Q1787" s="1" t="str">
        <f ca="1">IFERROR(__xludf.DUMMYFUNCTION("""COMPUTED_VALUE"""),"Yes, I Understand this is gonna happen everywhere")</f>
        <v>Yes, I Understand this is gonna happen everywhere</v>
      </c>
      <c r="R1787" s="1" t="str">
        <f ca="1">IFERROR(__xludf.DUMMYFUNCTION("""COMPUTED_VALUE"""),"This will be hard to do, but if it is the right company I would try")</f>
        <v>This will be hard to do, but if it is the right company I would try</v>
      </c>
      <c r="S1787" s="1"/>
    </row>
    <row r="1788" spans="1:19" ht="12.5" x14ac:dyDescent="0.25">
      <c r="A1788" s="2">
        <f ca="1">IFERROR(__xludf.DUMMYFUNCTION("""COMPUTED_VALUE"""),45049.4181555208)</f>
        <v>45049.418155520798</v>
      </c>
      <c r="B1788" s="1" t="str">
        <f ca="1">IFERROR(__xludf.DUMMYFUNCTION("""COMPUTED_VALUE"""),"Germany")</f>
        <v>Germany</v>
      </c>
      <c r="C1788" s="1">
        <f ca="1">IFERROR(__xludf.DUMMYFUNCTION("""COMPUTED_VALUE"""),411033)</f>
        <v>411033</v>
      </c>
      <c r="D1788" s="1" t="str">
        <f ca="1">IFERROR(__xludf.DUMMYFUNCTION("""COMPUTED_VALUE"""),"Male")</f>
        <v>Male</v>
      </c>
      <c r="E1788" s="1" t="str">
        <f ca="1">IFERROR(__xludf.DUMMYFUNCTION("""COMPUTED_VALUE"""),"People who have changed the world for better")</f>
        <v>People who have changed the world for better</v>
      </c>
      <c r="F1788" s="1" t="str">
        <f ca="1">IFERROR(__xludf.DUMMYFUNCTION("""COMPUTED_VALUE"""),"No, But if someone could bare the cost I will")</f>
        <v>No, But if someone could bare the cost I will</v>
      </c>
      <c r="G1788" s="1" t="str">
        <f ca="1">IFERROR(__xludf.DUMMYFUNCTION("""COMPUTED_VALUE"""),"Will work for 3 years or more")</f>
        <v>Will work for 3 years or more</v>
      </c>
      <c r="H1788" s="1" t="str">
        <f ca="1">IFERROR(__xludf.DUMMYFUNCTION("""COMPUTED_VALUE"""),"No")</f>
        <v>No</v>
      </c>
      <c r="I1788" s="1" t="str">
        <f ca="1">IFERROR(__xludf.DUMMYFUNCTION("""COMPUTED_VALUE"""),"Will NOT work for them")</f>
        <v>Will NOT work for them</v>
      </c>
      <c r="J1788" s="1">
        <f ca="1">IFERROR(__xludf.DUMMYFUNCTION("""COMPUTED_VALUE"""),8)</f>
        <v>8</v>
      </c>
      <c r="K1788" s="1" t="str">
        <f ca="1">IFERROR(__xludf.DUMMYFUNCTION("""COMPUTED_VALUE"""),"Hybrid Working Environment with less than 3 days a month at office")</f>
        <v>Hybrid Working Environment with less than 3 days a month at office</v>
      </c>
      <c r="L17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8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788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1788" s="1" t="str">
        <f ca="1">IFERROR(__xludf.DUMMYFUNCTION("""COMPUTED_VALUE"""),"Manager who explains what is expected, sets a goal and helps achieve it")</f>
        <v>Manager who explains what is expected, sets a goal and helps achieve it</v>
      </c>
      <c r="P1788" s="1" t="str">
        <f ca="1">IFERROR(__xludf.DUMMYFUNCTION("""COMPUTED_VALUE"""),"Work with 2 to 3 people in my team")</f>
        <v>Work with 2 to 3 people in my team</v>
      </c>
      <c r="Q1788" s="1" t="str">
        <f ca="1">IFERROR(__xludf.DUMMYFUNCTION("""COMPUTED_VALUE"""),"Yes, I Understand this is gonna happen everywhere")</f>
        <v>Yes, I Understand this is gonna happen everywhere</v>
      </c>
      <c r="R1788" s="1" t="str">
        <f ca="1">IFERROR(__xludf.DUMMYFUNCTION("""COMPUTED_VALUE"""),"This will be hard to do, but if it is the right company I would try")</f>
        <v>This will be hard to do, but if it is the right company I would try</v>
      </c>
      <c r="S1788" s="1"/>
    </row>
    <row r="1789" spans="1:19" ht="12.5" x14ac:dyDescent="0.25">
      <c r="A1789" s="2">
        <f ca="1">IFERROR(__xludf.DUMMYFUNCTION("""COMPUTED_VALUE"""),45049.4433158564)</f>
        <v>45049.443315856399</v>
      </c>
      <c r="B1789" s="1" t="str">
        <f ca="1">IFERROR(__xludf.DUMMYFUNCTION("""COMPUTED_VALUE"""),"India")</f>
        <v>India</v>
      </c>
      <c r="C1789" s="1">
        <f ca="1">IFERROR(__xludf.DUMMYFUNCTION("""COMPUTED_VALUE"""),560056)</f>
        <v>560056</v>
      </c>
      <c r="D1789" s="1" t="str">
        <f ca="1">IFERROR(__xludf.DUMMYFUNCTION("""COMPUTED_VALUE"""),"Male")</f>
        <v>Male</v>
      </c>
      <c r="E1789" s="1" t="str">
        <f ca="1">IFERROR(__xludf.DUMMYFUNCTION("""COMPUTED_VALUE"""),"My Parents")</f>
        <v>My Parents</v>
      </c>
      <c r="F1789" s="1" t="str">
        <f ca="1">IFERROR(__xludf.DUMMYFUNCTION("""COMPUTED_VALUE"""),"No I would not be pursuing Higher Education outside of India")</f>
        <v>No I would not be pursuing Higher Education outside of India</v>
      </c>
      <c r="G1789" s="1" t="str">
        <f ca="1">IFERROR(__xludf.DUMMYFUNCTION("""COMPUTED_VALUE"""),"This will be hard to do, but if it is the right company I would try")</f>
        <v>This will be hard to do, but if it is the right company I would try</v>
      </c>
      <c r="H1789" s="1" t="str">
        <f ca="1">IFERROR(__xludf.DUMMYFUNCTION("""COMPUTED_VALUE"""),"Yes")</f>
        <v>Yes</v>
      </c>
      <c r="I1789" s="1" t="str">
        <f ca="1">IFERROR(__xludf.DUMMYFUNCTION("""COMPUTED_VALUE"""),"Will NOT work for them")</f>
        <v>Will NOT work for them</v>
      </c>
      <c r="J1789" s="1">
        <f ca="1">IFERROR(__xludf.DUMMYFUNCTION("""COMPUTED_VALUE"""),5)</f>
        <v>5</v>
      </c>
      <c r="K1789" s="1" t="str">
        <f ca="1">IFERROR(__xludf.DUMMYFUNCTION("""COMPUTED_VALUE"""),"Fully Remote with Options to travel as and when needed")</f>
        <v>Fully Remote with Options to travel as and when needed</v>
      </c>
      <c r="L1789" s="1" t="str">
        <f ca="1">IFERROR(__xludf.DUMMYFUNCTION("""COMPUTED_VALUE"""),"Employer who rewards learning and enables that environment")</f>
        <v>Employer who rewards learning and enables that environment</v>
      </c>
      <c r="M178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89" s="1" t="str">
        <f ca="1">IFERROR(__xludf.DUMMYFUNCTION("""COMPUTED_VALUE"""),"Design and Creative strategy in any company, Design and Develop amazing software, Work as a freelancer and do my thing my way, An Artificial Intelligence Specialist / Talking to Robots")</f>
        <v>Design and Creative strategy in any company, Design and Develop amazing software, Work as a freelancer and do my thing my way, An Artificial Intelligence Specialist / Talking to Robots</v>
      </c>
      <c r="O1789" s="1" t="str">
        <f ca="1">IFERROR(__xludf.DUMMYFUNCTION("""COMPUTED_VALUE"""),"Manager who sets goal and helps me achieve it")</f>
        <v>Manager who sets goal and helps me achieve it</v>
      </c>
      <c r="P1789" s="1" t="str">
        <f ca="1">IFERROR(__xludf.DUMMYFUNCTION("""COMPUTED_VALUE"""),"Work with 5 to 6 people in my team")</f>
        <v>Work with 5 to 6 people in my team</v>
      </c>
      <c r="Q1789" s="1" t="str">
        <f ca="1">IFERROR(__xludf.DUMMYFUNCTION("""COMPUTED_VALUE"""),"Yes, I Understand this is gonna happen everywhere")</f>
        <v>Yes, I Understand this is gonna happen everywhere</v>
      </c>
      <c r="R1789" s="1" t="str">
        <f ca="1">IFERROR(__xludf.DUMMYFUNCTION("""COMPUTED_VALUE"""),"This will be hard to do, but if it is the right company I would try")</f>
        <v>This will be hard to do, but if it is the right company I would try</v>
      </c>
      <c r="S1789" s="1"/>
    </row>
    <row r="1790" spans="1:19" ht="12.5" x14ac:dyDescent="0.25">
      <c r="A1790" s="2">
        <f ca="1">IFERROR(__xludf.DUMMYFUNCTION("""COMPUTED_VALUE"""),45049.5249345486)</f>
        <v>45049.524934548601</v>
      </c>
      <c r="B1790" s="1" t="str">
        <f ca="1">IFERROR(__xludf.DUMMYFUNCTION("""COMPUTED_VALUE"""),"India")</f>
        <v>India</v>
      </c>
      <c r="C1790" s="1">
        <f ca="1">IFERROR(__xludf.DUMMYFUNCTION("""COMPUTED_VALUE"""),793001)</f>
        <v>793001</v>
      </c>
      <c r="D1790" s="1" t="str">
        <f ca="1">IFERROR(__xludf.DUMMYFUNCTION("""COMPUTED_VALUE"""),"Female")</f>
        <v>Female</v>
      </c>
      <c r="E1790" s="1" t="str">
        <f ca="1">IFERROR(__xludf.DUMMYFUNCTION("""COMPUTED_VALUE"""),"My Parents")</f>
        <v>My Parents</v>
      </c>
      <c r="F1790" s="1" t="str">
        <f ca="1">IFERROR(__xludf.DUMMYFUNCTION("""COMPUTED_VALUE"""),"No I would not be pursuing Higher Education outside of India")</f>
        <v>No I would not be pursuing Higher Education outside of India</v>
      </c>
      <c r="G1790" s="1" t="str">
        <f ca="1">IFERROR(__xludf.DUMMYFUNCTION("""COMPUTED_VALUE"""),"This will be hard to do, but if it is the right company I would try")</f>
        <v>This will be hard to do, but if it is the right company I would try</v>
      </c>
      <c r="H1790" s="1" t="str">
        <f ca="1">IFERROR(__xludf.DUMMYFUNCTION("""COMPUTED_VALUE"""),"Yes")</f>
        <v>Yes</v>
      </c>
      <c r="I1790" s="1" t="str">
        <f ca="1">IFERROR(__xludf.DUMMYFUNCTION("""COMPUTED_VALUE"""),"Will NOT work for them")</f>
        <v>Will NOT work for them</v>
      </c>
      <c r="J1790" s="1">
        <f ca="1">IFERROR(__xludf.DUMMYFUNCTION("""COMPUTED_VALUE"""),7)</f>
        <v>7</v>
      </c>
      <c r="K1790" s="1" t="str">
        <f ca="1">IFERROR(__xludf.DUMMYFUNCTION("""COMPUTED_VALUE"""),"Fully Remote with Options to travel as and when needed")</f>
        <v>Fully Remote with Options to travel as and when needed</v>
      </c>
      <c r="L17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9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790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1790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0" s="1" t="str">
        <f ca="1">IFERROR(__xludf.DUMMYFUNCTION("""COMPUTED_VALUE"""),"Work with 5 to 6 people in my team")</f>
        <v>Work with 5 to 6 people in my team</v>
      </c>
      <c r="Q1790" s="1" t="str">
        <f ca="1">IFERROR(__xludf.DUMMYFUNCTION("""COMPUTED_VALUE"""),"Yes, I Understand this is gonna happen everywhere")</f>
        <v>Yes, I Understand this is gonna happen everywhere</v>
      </c>
      <c r="R1790" s="1" t="str">
        <f ca="1">IFERROR(__xludf.DUMMYFUNCTION("""COMPUTED_VALUE"""),"This will be hard to do, but if it is the right company I would try")</f>
        <v>This will be hard to do, but if it is the right company I would try</v>
      </c>
      <c r="S1790" s="1"/>
    </row>
    <row r="1791" spans="1:19" ht="12.5" x14ac:dyDescent="0.25">
      <c r="A1791" s="2">
        <f ca="1">IFERROR(__xludf.DUMMYFUNCTION("""COMPUTED_VALUE"""),45049.5989855787)</f>
        <v>45049.598985578697</v>
      </c>
      <c r="B1791" s="1" t="str">
        <f ca="1">IFERROR(__xludf.DUMMYFUNCTION("""COMPUTED_VALUE"""),"India")</f>
        <v>India</v>
      </c>
      <c r="C1791" s="1">
        <f ca="1">IFERROR(__xludf.DUMMYFUNCTION("""COMPUTED_VALUE"""),793012)</f>
        <v>793012</v>
      </c>
      <c r="D1791" s="1" t="str">
        <f ca="1">IFERROR(__xludf.DUMMYFUNCTION("""COMPUTED_VALUE"""),"Male")</f>
        <v>Male</v>
      </c>
      <c r="E1791" s="1" t="str">
        <f ca="1">IFERROR(__xludf.DUMMYFUNCTION("""COMPUTED_VALUE"""),"People from my circle, but not family members")</f>
        <v>People from my circle, but not family members</v>
      </c>
      <c r="F1791" s="1" t="str">
        <f ca="1">IFERROR(__xludf.DUMMYFUNCTION("""COMPUTED_VALUE"""),"No, But if someone could bare the cost I will")</f>
        <v>No, But if someone could bare the cost I will</v>
      </c>
      <c r="G1791" s="1" t="str">
        <f ca="1">IFERROR(__xludf.DUMMYFUNCTION("""COMPUTED_VALUE"""),"This will be hard to do, but if it is the right company I would try")</f>
        <v>This will be hard to do, but if it is the right company I would try</v>
      </c>
      <c r="H1791" s="1" t="str">
        <f ca="1">IFERROR(__xludf.DUMMYFUNCTION("""COMPUTED_VALUE"""),"No")</f>
        <v>No</v>
      </c>
      <c r="I1791" s="1" t="str">
        <f ca="1">IFERROR(__xludf.DUMMYFUNCTION("""COMPUTED_VALUE"""),"Will NOT work for them")</f>
        <v>Will NOT work for them</v>
      </c>
      <c r="J1791" s="1">
        <f ca="1">IFERROR(__xludf.DUMMYFUNCTION("""COMPUTED_VALUE"""),4)</f>
        <v>4</v>
      </c>
      <c r="K1791" s="1" t="str">
        <f ca="1">IFERROR(__xludf.DUMMYFUNCTION("""COMPUTED_VALUE"""),"Fully Remote with Options to travel as and when needed")</f>
        <v>Fully Remote with Options to travel as and when needed</v>
      </c>
      <c r="L17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9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91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7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1" s="1" t="str">
        <f ca="1">IFERROR(__xludf.DUMMYFUNCTION("""COMPUTED_VALUE"""),"Work with 5 to 6 people in my team")</f>
        <v>Work with 5 to 6 people in my team</v>
      </c>
      <c r="Q1791" s="1" t="str">
        <f ca="1">IFERROR(__xludf.DUMMYFUNCTION("""COMPUTED_VALUE"""),"No")</f>
        <v>No</v>
      </c>
      <c r="R1791" s="1" t="str">
        <f ca="1">IFERROR(__xludf.DUMMYFUNCTION("""COMPUTED_VALUE"""),"This will be hard to do, but if it is the right company I would try")</f>
        <v>This will be hard to do, but if it is the right company I would try</v>
      </c>
      <c r="S1791" s="1"/>
    </row>
    <row r="1792" spans="1:19" ht="12.5" x14ac:dyDescent="0.25">
      <c r="A1792" s="2">
        <f ca="1">IFERROR(__xludf.DUMMYFUNCTION("""COMPUTED_VALUE"""),45049.7988944907)</f>
        <v>45049.798894490697</v>
      </c>
      <c r="B1792" s="1" t="str">
        <f ca="1">IFERROR(__xludf.DUMMYFUNCTION("""COMPUTED_VALUE"""),"India")</f>
        <v>India</v>
      </c>
      <c r="C1792" s="1">
        <f ca="1">IFERROR(__xludf.DUMMYFUNCTION("""COMPUTED_VALUE"""),570017)</f>
        <v>570017</v>
      </c>
      <c r="D1792" s="1" t="str">
        <f ca="1">IFERROR(__xludf.DUMMYFUNCTION("""COMPUTED_VALUE"""),"Female")</f>
        <v>Female</v>
      </c>
      <c r="E1792" s="1" t="str">
        <f ca="1">IFERROR(__xludf.DUMMYFUNCTION("""COMPUTED_VALUE"""),"Influencers who had successful careers")</f>
        <v>Influencers who had successful careers</v>
      </c>
      <c r="F1792" s="1" t="str">
        <f ca="1">IFERROR(__xludf.DUMMYFUNCTION("""COMPUTED_VALUE"""),"No, But if someone could bare the cost I will")</f>
        <v>No, But if someone could bare the cost I will</v>
      </c>
      <c r="G1792" s="1" t="str">
        <f ca="1">IFERROR(__xludf.DUMMYFUNCTION("""COMPUTED_VALUE"""),"This will be hard to do, but if it is the right company I would try")</f>
        <v>This will be hard to do, but if it is the right company I would try</v>
      </c>
      <c r="H1792" s="1" t="str">
        <f ca="1">IFERROR(__xludf.DUMMYFUNCTION("""COMPUTED_VALUE"""),"No")</f>
        <v>No</v>
      </c>
      <c r="I1792" s="1" t="str">
        <f ca="1">IFERROR(__xludf.DUMMYFUNCTION("""COMPUTED_VALUE"""),"Will NOT work for them")</f>
        <v>Will NOT work for them</v>
      </c>
      <c r="J1792" s="1">
        <f ca="1">IFERROR(__xludf.DUMMYFUNCTION("""COMPUTED_VALUE"""),6)</f>
        <v>6</v>
      </c>
      <c r="K1792" s="1" t="str">
        <f ca="1">IFERROR(__xludf.DUMMYFUNCTION("""COMPUTED_VALUE"""),"Fully Remote with Options to travel as and when needed")</f>
        <v>Fully Remote with Options to travel as and when needed</v>
      </c>
      <c r="L1792" s="1" t="str">
        <f ca="1">IFERROR(__xludf.DUMMYFUNCTION("""COMPUTED_VALUE"""),"Employer who rewards learning and enables that environment")</f>
        <v>Employer who rewards learning and enables that environment</v>
      </c>
      <c r="M179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792" s="1" t="str">
        <f ca="1">IFERROR(__xludf.DUMMYFUNCTION("""COMPUTED_VALUE"""),"Design and Creative strategy in any company, Build and develop a Team, Look deeply into Data and generate insights, Entrepreneur or Start Up")</f>
        <v>Design and Creative strategy in any company, Build and develop a Team, Look deeply into Data and generate insights, Entrepreneur or Start Up</v>
      </c>
      <c r="O1792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2" s="1" t="str">
        <f ca="1">IFERROR(__xludf.DUMMYFUNCTION("""COMPUTED_VALUE"""),"Work with 5 to 6 people in my team")</f>
        <v>Work with 5 to 6 people in my team</v>
      </c>
      <c r="Q1792" s="1" t="str">
        <f ca="1">IFERROR(__xludf.DUMMYFUNCTION("""COMPUTED_VALUE"""),"I have NO other choice")</f>
        <v>I have NO other choice</v>
      </c>
      <c r="R1792" s="1" t="str">
        <f ca="1">IFERROR(__xludf.DUMMYFUNCTION("""COMPUTED_VALUE"""),"No way")</f>
        <v>No way</v>
      </c>
      <c r="S1792" s="1"/>
    </row>
    <row r="1793" spans="1:19" ht="12.5" x14ac:dyDescent="0.25">
      <c r="A1793" s="2">
        <f ca="1">IFERROR(__xludf.DUMMYFUNCTION("""COMPUTED_VALUE"""),45049.9011463194)</f>
        <v>45049.901146319397</v>
      </c>
      <c r="B1793" s="1" t="str">
        <f ca="1">IFERROR(__xludf.DUMMYFUNCTION("""COMPUTED_VALUE"""),"India")</f>
        <v>India</v>
      </c>
      <c r="C1793" s="1">
        <f ca="1">IFERROR(__xludf.DUMMYFUNCTION("""COMPUTED_VALUE"""),424201)</f>
        <v>424201</v>
      </c>
      <c r="D1793" s="1" t="str">
        <f ca="1">IFERROR(__xludf.DUMMYFUNCTION("""COMPUTED_VALUE"""),"Female")</f>
        <v>Female</v>
      </c>
      <c r="E1793" s="1" t="str">
        <f ca="1">IFERROR(__xludf.DUMMYFUNCTION("""COMPUTED_VALUE"""),"People from my circle, but not family members")</f>
        <v>People from my circle, but not family members</v>
      </c>
      <c r="F1793" s="1" t="str">
        <f ca="1">IFERROR(__xludf.DUMMYFUNCTION("""COMPUTED_VALUE"""),"Yes, I will earn and do that")</f>
        <v>Yes, I will earn and do that</v>
      </c>
      <c r="G1793" s="1" t="str">
        <f ca="1">IFERROR(__xludf.DUMMYFUNCTION("""COMPUTED_VALUE"""),"This will be hard to do, but if it is the right company I would try")</f>
        <v>This will be hard to do, but if it is the right company I would try</v>
      </c>
      <c r="H1793" s="1" t="str">
        <f ca="1">IFERROR(__xludf.DUMMYFUNCTION("""COMPUTED_VALUE"""),"No")</f>
        <v>No</v>
      </c>
      <c r="I1793" s="1" t="str">
        <f ca="1">IFERROR(__xludf.DUMMYFUNCTION("""COMPUTED_VALUE"""),"Will NOT work for them")</f>
        <v>Will NOT work for them</v>
      </c>
      <c r="J1793" s="1">
        <f ca="1">IFERROR(__xludf.DUMMYFUNCTION("""COMPUTED_VALUE"""),7)</f>
        <v>7</v>
      </c>
      <c r="K1793" s="1" t="str">
        <f ca="1">IFERROR(__xludf.DUMMYFUNCTION("""COMPUTED_VALUE"""),"Fully Remote with No option to visit offices")</f>
        <v>Fully Remote with No option to visit offices</v>
      </c>
      <c r="L17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93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793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793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3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793" s="1" t="str">
        <f ca="1">IFERROR(__xludf.DUMMYFUNCTION("""COMPUTED_VALUE"""),"I have NO other choice")</f>
        <v>I have NO other choice</v>
      </c>
      <c r="R1793" s="1" t="str">
        <f ca="1">IFERROR(__xludf.DUMMYFUNCTION("""COMPUTED_VALUE"""),"This will be hard to do, but if it is the right company I would try")</f>
        <v>This will be hard to do, but if it is the right company I would try</v>
      </c>
      <c r="S1793" s="1"/>
    </row>
    <row r="1794" spans="1:19" ht="12.5" x14ac:dyDescent="0.25">
      <c r="A1794" s="2">
        <f ca="1">IFERROR(__xludf.DUMMYFUNCTION("""COMPUTED_VALUE"""),45049.923602743)</f>
        <v>45049.923602743002</v>
      </c>
      <c r="B1794" s="1" t="str">
        <f ca="1">IFERROR(__xludf.DUMMYFUNCTION("""COMPUTED_VALUE"""),"India")</f>
        <v>India</v>
      </c>
      <c r="C1794" s="1">
        <f ca="1">IFERROR(__xludf.DUMMYFUNCTION("""COMPUTED_VALUE"""),700156)</f>
        <v>700156</v>
      </c>
      <c r="D1794" s="1" t="str">
        <f ca="1">IFERROR(__xludf.DUMMYFUNCTION("""COMPUTED_VALUE"""),"Female")</f>
        <v>Female</v>
      </c>
      <c r="E1794" s="1" t="str">
        <f ca="1">IFERROR(__xludf.DUMMYFUNCTION("""COMPUTED_VALUE"""),"People who have changed the world for better")</f>
        <v>People who have changed the world for better</v>
      </c>
      <c r="F1794" s="1" t="str">
        <f ca="1">IFERROR(__xludf.DUMMYFUNCTION("""COMPUTED_VALUE"""),"Yes, I will earn and do that")</f>
        <v>Yes, I will earn and do that</v>
      </c>
      <c r="G1794" s="1" t="str">
        <f ca="1">IFERROR(__xludf.DUMMYFUNCTION("""COMPUTED_VALUE"""),"This will be hard to do, but if it is the right company I would try")</f>
        <v>This will be hard to do, but if it is the right company I would try</v>
      </c>
      <c r="H1794" s="1" t="str">
        <f ca="1">IFERROR(__xludf.DUMMYFUNCTION("""COMPUTED_VALUE"""),"No")</f>
        <v>No</v>
      </c>
      <c r="I1794" s="1" t="str">
        <f ca="1">IFERROR(__xludf.DUMMYFUNCTION("""COMPUTED_VALUE"""),"Will NOT work for them")</f>
        <v>Will NOT work for them</v>
      </c>
      <c r="J1794" s="1">
        <f ca="1">IFERROR(__xludf.DUMMYFUNCTION("""COMPUTED_VALUE"""),1)</f>
        <v>1</v>
      </c>
      <c r="K1794" s="1" t="str">
        <f ca="1">IFERROR(__xludf.DUMMYFUNCTION("""COMPUTED_VALUE"""),"Hybrid Working Environment with more than 15 days a month at office")</f>
        <v>Hybrid Working Environment with more than 15 days a month at office</v>
      </c>
      <c r="L17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9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94" s="1" t="str">
        <f ca="1">IFERROR(__xludf.DUMMYFUNCTION("""COMPUTED_VALUE"""),"Design and Creative strategy in any company, Teaching in any of the institutes/colleges/online or offline, Manage and drive End-to-End Projects or Products, I Want to sell things/Sales")</f>
        <v>Design and Creative strategy in any company, Teaching in any of the institutes/colleges/online or offline, Manage and drive End-to-End Projects or Products, I Want to sell things/Sales</v>
      </c>
      <c r="O1794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4" s="1" t="str">
        <f ca="1">IFERROR(__xludf.DUMMYFUNCTION("""COMPUTED_VALUE"""),"Work alone, Work with 2 to 3 people in my team")</f>
        <v>Work alone, Work with 2 to 3 people in my team</v>
      </c>
      <c r="Q1794" s="1" t="str">
        <f ca="1">IFERROR(__xludf.DUMMYFUNCTION("""COMPUTED_VALUE"""),"No")</f>
        <v>No</v>
      </c>
      <c r="R1794" s="1" t="str">
        <f ca="1">IFERROR(__xludf.DUMMYFUNCTION("""COMPUTED_VALUE"""),"This will be hard to do, but if it is the right company I would try")</f>
        <v>This will be hard to do, but if it is the right company I would try</v>
      </c>
      <c r="S1794" s="1"/>
    </row>
    <row r="1795" spans="1:19" ht="12.5" x14ac:dyDescent="0.25">
      <c r="A1795" s="2">
        <f ca="1">IFERROR(__xludf.DUMMYFUNCTION("""COMPUTED_VALUE"""),45049.9452530324)</f>
        <v>45049.945253032398</v>
      </c>
      <c r="B1795" s="1" t="str">
        <f ca="1">IFERROR(__xludf.DUMMYFUNCTION("""COMPUTED_VALUE"""),"India")</f>
        <v>India</v>
      </c>
      <c r="C1795" s="1">
        <f ca="1">IFERROR(__xludf.DUMMYFUNCTION("""COMPUTED_VALUE"""),500054)</f>
        <v>500054</v>
      </c>
      <c r="D1795" s="1" t="str">
        <f ca="1">IFERROR(__xludf.DUMMYFUNCTION("""COMPUTED_VALUE"""),"Male")</f>
        <v>Male</v>
      </c>
      <c r="E1795" s="1" t="str">
        <f ca="1">IFERROR(__xludf.DUMMYFUNCTION("""COMPUTED_VALUE"""),"Social Media like LinkedIn")</f>
        <v>Social Media like LinkedIn</v>
      </c>
      <c r="F1795" s="1" t="str">
        <f ca="1">IFERROR(__xludf.DUMMYFUNCTION("""COMPUTED_VALUE"""),"Yes, I will earn and do that")</f>
        <v>Yes, I will earn and do that</v>
      </c>
      <c r="G1795" s="1" t="str">
        <f ca="1">IFERROR(__xludf.DUMMYFUNCTION("""COMPUTED_VALUE"""),"Will work for 3 years or more")</f>
        <v>Will work for 3 years or more</v>
      </c>
      <c r="H1795" s="1" t="str">
        <f ca="1">IFERROR(__xludf.DUMMYFUNCTION("""COMPUTED_VALUE"""),"No")</f>
        <v>No</v>
      </c>
      <c r="I1795" s="1" t="str">
        <f ca="1">IFERROR(__xludf.DUMMYFUNCTION("""COMPUTED_VALUE"""),"Will NOT work for them")</f>
        <v>Will NOT work for them</v>
      </c>
      <c r="J1795" s="1">
        <f ca="1">IFERROR(__xludf.DUMMYFUNCTION("""COMPUTED_VALUE"""),1)</f>
        <v>1</v>
      </c>
      <c r="K1795" s="1" t="str">
        <f ca="1">IFERROR(__xludf.DUMMYFUNCTION("""COMPUTED_VALUE"""),"Fully Remote with Options to travel as and when needed")</f>
        <v>Fully Remote with Options to travel as and when needed</v>
      </c>
      <c r="L1795" s="1" t="str">
        <f ca="1">IFERROR(__xludf.DUMMYFUNCTION("""COMPUTED_VALUE"""),"Employer who rewards learning and enables that environment")</f>
        <v>Employer who rewards learning and enables that environment</v>
      </c>
      <c r="M179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795" s="1" t="str">
        <f ca="1">IFERROR(__xludf.DUMMYFUNCTION("""COMPUTED_VALUE"""),"Design and Creative strategy in any company, Business Operations in any organization, Build and develop a Team, Become a content Creator in some platform")</f>
        <v>Design and Creative strategy in any company, Business Operations in any organization, Build and develop a Team, Become a content Creator in some platform</v>
      </c>
      <c r="O1795" s="1" t="str">
        <f ca="1">IFERROR(__xludf.DUMMYFUNCTION("""COMPUTED_VALUE"""),"Manager who clearly describes what she/he needs")</f>
        <v>Manager who clearly describes what she/he needs</v>
      </c>
      <c r="P1795" s="1" t="str">
        <f ca="1">IFERROR(__xludf.DUMMYFUNCTION("""COMPUTED_VALUE"""),"Work with 5 to 6 people in my team")</f>
        <v>Work with 5 to 6 people in my team</v>
      </c>
      <c r="Q1795" s="1" t="str">
        <f ca="1">IFERROR(__xludf.DUMMYFUNCTION("""COMPUTED_VALUE"""),"No")</f>
        <v>No</v>
      </c>
      <c r="R1795" s="1" t="str">
        <f ca="1">IFERROR(__xludf.DUMMYFUNCTION("""COMPUTED_VALUE"""),"This will be hard to do, but if it is the right company I would try")</f>
        <v>This will be hard to do, but if it is the right company I would try</v>
      </c>
      <c r="S1795" s="1"/>
    </row>
    <row r="1796" spans="1:19" ht="12.5" x14ac:dyDescent="0.25">
      <c r="A1796" s="2">
        <f ca="1">IFERROR(__xludf.DUMMYFUNCTION("""COMPUTED_VALUE"""),45049.9926668518)</f>
        <v>45049.992666851802</v>
      </c>
      <c r="B1796" s="1" t="str">
        <f ca="1">IFERROR(__xludf.DUMMYFUNCTION("""COMPUTED_VALUE"""),"India")</f>
        <v>India</v>
      </c>
      <c r="C1796" s="1">
        <f ca="1">IFERROR(__xludf.DUMMYFUNCTION("""COMPUTED_VALUE"""),600092)</f>
        <v>600092</v>
      </c>
      <c r="D1796" s="1" t="str">
        <f ca="1">IFERROR(__xludf.DUMMYFUNCTION("""COMPUTED_VALUE"""),"Female")</f>
        <v>Female</v>
      </c>
      <c r="E1796" s="1" t="str">
        <f ca="1">IFERROR(__xludf.DUMMYFUNCTION("""COMPUTED_VALUE"""),"My Parents")</f>
        <v>My Parents</v>
      </c>
      <c r="F1796" s="1" t="str">
        <f ca="1">IFERROR(__xludf.DUMMYFUNCTION("""COMPUTED_VALUE"""),"No I would not be pursuing Higher Education outside of India")</f>
        <v>No I would not be pursuing Higher Education outside of India</v>
      </c>
      <c r="G1796" s="1" t="str">
        <f ca="1">IFERROR(__xludf.DUMMYFUNCTION("""COMPUTED_VALUE"""),"This will be hard to do, but if it is the right company I would try")</f>
        <v>This will be hard to do, but if it is the right company I would try</v>
      </c>
      <c r="H1796" s="1" t="str">
        <f ca="1">IFERROR(__xludf.DUMMYFUNCTION("""COMPUTED_VALUE"""),"No")</f>
        <v>No</v>
      </c>
      <c r="I1796" s="1" t="str">
        <f ca="1">IFERROR(__xludf.DUMMYFUNCTION("""COMPUTED_VALUE"""),"Will NOT work for them")</f>
        <v>Will NOT work for them</v>
      </c>
      <c r="J1796" s="1">
        <f ca="1">IFERROR(__xludf.DUMMYFUNCTION("""COMPUTED_VALUE"""),4)</f>
        <v>4</v>
      </c>
      <c r="K1796" s="1" t="str">
        <f ca="1">IFERROR(__xludf.DUMMYFUNCTION("""COMPUTED_VALUE"""),"Hybrid Working Environment with more than 15 days a month at office")</f>
        <v>Hybrid Working Environment with more than 15 days a month at office</v>
      </c>
      <c r="L17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9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796" s="1" t="str">
        <f ca="1">IFERROR(__xludf.DUMMYFUNCTION("""COMPUTED_VALUE"""),"Manage and drive End-to-End Projects or Products, Build and develop a Team, Look deeply into Data and generate insights, Work as a freelancer and do my thing my way")</f>
        <v>Manage and drive End-to-End Projects or Products, Build and develop a Team, Look deeply into Data and generate insights, Work as a freelancer and do my thing my way</v>
      </c>
      <c r="O1796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6" s="1" t="str">
        <f ca="1">IFERROR(__xludf.DUMMYFUNCTION("""COMPUTED_VALUE"""),"Work with 5 to 6 people in my team")</f>
        <v>Work with 5 to 6 people in my team</v>
      </c>
      <c r="Q1796" s="1" t="str">
        <f ca="1">IFERROR(__xludf.DUMMYFUNCTION("""COMPUTED_VALUE"""),"No")</f>
        <v>No</v>
      </c>
      <c r="R1796" s="1" t="str">
        <f ca="1">IFERROR(__xludf.DUMMYFUNCTION("""COMPUTED_VALUE"""),"No way")</f>
        <v>No way</v>
      </c>
      <c r="S1796" s="1"/>
    </row>
    <row r="1797" spans="1:19" ht="12.5" x14ac:dyDescent="0.25">
      <c r="A1797" s="2">
        <f ca="1">IFERROR(__xludf.DUMMYFUNCTION("""COMPUTED_VALUE"""),45050.4136728935)</f>
        <v>45050.413672893497</v>
      </c>
      <c r="B1797" s="1" t="str">
        <f ca="1">IFERROR(__xludf.DUMMYFUNCTION("""COMPUTED_VALUE"""),"India")</f>
        <v>India</v>
      </c>
      <c r="C1797" s="1">
        <f ca="1">IFERROR(__xludf.DUMMYFUNCTION("""COMPUTED_VALUE"""),641604)</f>
        <v>641604</v>
      </c>
      <c r="D1797" s="1" t="str">
        <f ca="1">IFERROR(__xludf.DUMMYFUNCTION("""COMPUTED_VALUE"""),"Female")</f>
        <v>Female</v>
      </c>
      <c r="E1797" s="1" t="str">
        <f ca="1">IFERROR(__xludf.DUMMYFUNCTION("""COMPUTED_VALUE"""),"Social Media like LinkedIn")</f>
        <v>Social Media like LinkedIn</v>
      </c>
      <c r="F1797" s="1" t="str">
        <f ca="1">IFERROR(__xludf.DUMMYFUNCTION("""COMPUTED_VALUE"""),"No I would not be pursuing Higher Education outside of India")</f>
        <v>No I would not be pursuing Higher Education outside of India</v>
      </c>
      <c r="G1797" s="1" t="str">
        <f ca="1">IFERROR(__xludf.DUMMYFUNCTION("""COMPUTED_VALUE"""),"This will be hard to do, but if it is the right company I would try")</f>
        <v>This will be hard to do, but if it is the right company I would try</v>
      </c>
      <c r="H1797" s="1" t="str">
        <f ca="1">IFERROR(__xludf.DUMMYFUNCTION("""COMPUTED_VALUE"""),"No")</f>
        <v>No</v>
      </c>
      <c r="I1797" s="1" t="str">
        <f ca="1">IFERROR(__xludf.DUMMYFUNCTION("""COMPUTED_VALUE"""),"Will NOT work for them")</f>
        <v>Will NOT work for them</v>
      </c>
      <c r="J1797" s="1">
        <f ca="1">IFERROR(__xludf.DUMMYFUNCTION("""COMPUTED_VALUE"""),6)</f>
        <v>6</v>
      </c>
      <c r="K1797" s="1" t="str">
        <f ca="1">IFERROR(__xludf.DUMMYFUNCTION("""COMPUTED_VALUE"""),"Hybrid Working Environment with more than 15 days a month at office")</f>
        <v>Hybrid Working Environment with more than 15 days a month at office</v>
      </c>
      <c r="L17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79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797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797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7" s="1" t="str">
        <f ca="1">IFERROR(__xludf.DUMMYFUNCTION("""COMPUTED_VALUE"""),"Work with 2 to 3 people in my team, Work with 5 to 6 people in my team")</f>
        <v>Work with 2 to 3 people in my team, Work with 5 to 6 people in my team</v>
      </c>
      <c r="Q1797" s="1" t="str">
        <f ca="1">IFERROR(__xludf.DUMMYFUNCTION("""COMPUTED_VALUE"""),"Yes, I Understand this is gonna happen everywhere")</f>
        <v>Yes, I Understand this is gonna happen everywhere</v>
      </c>
      <c r="R1797" s="1" t="str">
        <f ca="1">IFERROR(__xludf.DUMMYFUNCTION("""COMPUTED_VALUE"""),"No way")</f>
        <v>No way</v>
      </c>
      <c r="S1797" s="1"/>
    </row>
    <row r="1798" spans="1:19" ht="12.5" x14ac:dyDescent="0.25">
      <c r="A1798" s="2">
        <f ca="1">IFERROR(__xludf.DUMMYFUNCTION("""COMPUTED_VALUE"""),45050.5473637152)</f>
        <v>45050.547363715203</v>
      </c>
      <c r="B1798" s="1" t="str">
        <f ca="1">IFERROR(__xludf.DUMMYFUNCTION("""COMPUTED_VALUE"""),"India")</f>
        <v>India</v>
      </c>
      <c r="C1798" s="1">
        <f ca="1">IFERROR(__xludf.DUMMYFUNCTION("""COMPUTED_VALUE"""),793001)</f>
        <v>793001</v>
      </c>
      <c r="D1798" s="1" t="str">
        <f ca="1">IFERROR(__xludf.DUMMYFUNCTION("""COMPUTED_VALUE"""),"Female")</f>
        <v>Female</v>
      </c>
      <c r="E1798" s="1" t="str">
        <f ca="1">IFERROR(__xludf.DUMMYFUNCTION("""COMPUTED_VALUE"""),"My Parents")</f>
        <v>My Parents</v>
      </c>
      <c r="F1798" s="1" t="str">
        <f ca="1">IFERROR(__xludf.DUMMYFUNCTION("""COMPUTED_VALUE"""),"No, But if someone could bare the cost I will")</f>
        <v>No, But if someone could bare the cost I will</v>
      </c>
      <c r="G1798" s="1" t="str">
        <f ca="1">IFERROR(__xludf.DUMMYFUNCTION("""COMPUTED_VALUE"""),"Will work for 3 years or more")</f>
        <v>Will work for 3 years or more</v>
      </c>
      <c r="H1798" s="1" t="str">
        <f ca="1">IFERROR(__xludf.DUMMYFUNCTION("""COMPUTED_VALUE"""),"No")</f>
        <v>No</v>
      </c>
      <c r="I1798" s="1" t="str">
        <f ca="1">IFERROR(__xludf.DUMMYFUNCTION("""COMPUTED_VALUE"""),"Will NOT work for them")</f>
        <v>Will NOT work for them</v>
      </c>
      <c r="J1798" s="1">
        <f ca="1">IFERROR(__xludf.DUMMYFUNCTION("""COMPUTED_VALUE"""),10)</f>
        <v>10</v>
      </c>
      <c r="K1798" s="1" t="str">
        <f ca="1">IFERROR(__xludf.DUMMYFUNCTION("""COMPUTED_VALUE"""),"Fully Remote with Options to travel as and when needed")</f>
        <v>Fully Remote with Options to travel as and when needed</v>
      </c>
      <c r="L1798" s="1" t="str">
        <f ca="1">IFERROR(__xludf.DUMMYFUNCTION("""COMPUTED_VALUE"""),"Employer who appreciates learning and enables that environment")</f>
        <v>Employer who appreciates learning and enables that environment</v>
      </c>
      <c r="M179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798" s="1" t="str">
        <f ca="1">IFERROR(__xludf.DUMMYFUNCTION("""COMPUTED_VALUE"""),"Business Operations in any organization, Build and develop a Team, Become a content Creator in some platform, Entrepreneur or Start Up")</f>
        <v>Business Operations in any organization, Build and develop a Team, Become a content Creator in some platform, Entrepreneur or Start Up</v>
      </c>
      <c r="O17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8" s="1" t="str">
        <f ca="1">IFERROR(__xludf.DUMMYFUNCTION("""COMPUTED_VALUE"""),"Work with more than 10 people in my team")</f>
        <v>Work with more than 10 people in my team</v>
      </c>
      <c r="Q1798" s="1" t="str">
        <f ca="1">IFERROR(__xludf.DUMMYFUNCTION("""COMPUTED_VALUE"""),"Yes, I Understand this is gonna happen everywhere")</f>
        <v>Yes, I Understand this is gonna happen everywhere</v>
      </c>
      <c r="R1798" s="1" t="str">
        <f ca="1">IFERROR(__xludf.DUMMYFUNCTION("""COMPUTED_VALUE"""),"Will work for 7 years or more")</f>
        <v>Will work for 7 years or more</v>
      </c>
      <c r="S1798" s="1"/>
    </row>
    <row r="1799" spans="1:19" ht="12.5" x14ac:dyDescent="0.25">
      <c r="A1799" s="2">
        <f ca="1">IFERROR(__xludf.DUMMYFUNCTION("""COMPUTED_VALUE"""),45050.6305447453)</f>
        <v>45050.630544745298</v>
      </c>
      <c r="B1799" s="1" t="str">
        <f ca="1">IFERROR(__xludf.DUMMYFUNCTION("""COMPUTED_VALUE"""),"India")</f>
        <v>India</v>
      </c>
      <c r="C1799" s="1">
        <f ca="1">IFERROR(__xludf.DUMMYFUNCTION("""COMPUTED_VALUE"""),412201)</f>
        <v>412201</v>
      </c>
      <c r="D1799" s="1" t="str">
        <f ca="1">IFERROR(__xludf.DUMMYFUNCTION("""COMPUTED_VALUE"""),"Female")</f>
        <v>Female</v>
      </c>
      <c r="E1799" s="1" t="str">
        <f ca="1">IFERROR(__xludf.DUMMYFUNCTION("""COMPUTED_VALUE"""),"Social Media like LinkedIn")</f>
        <v>Social Media like LinkedIn</v>
      </c>
      <c r="F1799" s="1" t="str">
        <f ca="1">IFERROR(__xludf.DUMMYFUNCTION("""COMPUTED_VALUE"""),"Yes, I will earn and do that")</f>
        <v>Yes, I will earn and do that</v>
      </c>
      <c r="G1799" s="1" t="str">
        <f ca="1">IFERROR(__xludf.DUMMYFUNCTION("""COMPUTED_VALUE"""),"This will be hard to do, but if it is the right company I would try")</f>
        <v>This will be hard to do, but if it is the right company I would try</v>
      </c>
      <c r="H1799" s="1" t="str">
        <f ca="1">IFERROR(__xludf.DUMMYFUNCTION("""COMPUTED_VALUE"""),"No")</f>
        <v>No</v>
      </c>
      <c r="I1799" s="1" t="str">
        <f ca="1">IFERROR(__xludf.DUMMYFUNCTION("""COMPUTED_VALUE"""),"Will NOT work for them")</f>
        <v>Will NOT work for them</v>
      </c>
      <c r="J1799" s="1">
        <f ca="1">IFERROR(__xludf.DUMMYFUNCTION("""COMPUTED_VALUE"""),8)</f>
        <v>8</v>
      </c>
      <c r="K1799" s="1" t="str">
        <f ca="1">IFERROR(__xludf.DUMMYFUNCTION("""COMPUTED_VALUE"""),"Hybrid Working Environment with more than 15 days a month at office")</f>
        <v>Hybrid Working Environment with more than 15 days a month at office</v>
      </c>
      <c r="L1799" s="1" t="str">
        <f ca="1">IFERROR(__xludf.DUMMYFUNCTION("""COMPUTED_VALUE"""),"Employer who rewards learning and enables that environment")</f>
        <v>Employer who rewards learning and enables that environment</v>
      </c>
      <c r="M179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799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1799" s="1" t="str">
        <f ca="1">IFERROR(__xludf.DUMMYFUNCTION("""COMPUTED_VALUE"""),"Manager who explains what is expected, sets a goal and helps achieve it")</f>
        <v>Manager who explains what is expected, sets a goal and helps achieve it</v>
      </c>
      <c r="P1799" s="1" t="str">
        <f ca="1">IFERROR(__xludf.DUMMYFUNCTION("""COMPUTED_VALUE"""),"Work with 7 to 10 or more people in my team")</f>
        <v>Work with 7 to 10 or more people in my team</v>
      </c>
      <c r="Q1799" s="1" t="str">
        <f ca="1">IFERROR(__xludf.DUMMYFUNCTION("""COMPUTED_VALUE"""),"Yes, I Understand this is gonna happen everywhere")</f>
        <v>Yes, I Understand this is gonna happen everywhere</v>
      </c>
      <c r="R1799" s="1" t="str">
        <f ca="1">IFERROR(__xludf.DUMMYFUNCTION("""COMPUTED_VALUE"""),"This will be hard to do, but if it is the right company I would try")</f>
        <v>This will be hard to do, but if it is the right company I would try</v>
      </c>
      <c r="S1799" s="1"/>
    </row>
    <row r="1800" spans="1:19" ht="12.5" x14ac:dyDescent="0.25">
      <c r="A1800" s="2">
        <f ca="1">IFERROR(__xludf.DUMMYFUNCTION("""COMPUTED_VALUE"""),45050.6325794444)</f>
        <v>45050.632579444398</v>
      </c>
      <c r="B1800" s="1" t="str">
        <f ca="1">IFERROR(__xludf.DUMMYFUNCTION("""COMPUTED_VALUE"""),"India")</f>
        <v>India</v>
      </c>
      <c r="C1800" s="1">
        <f ca="1">IFERROR(__xludf.DUMMYFUNCTION("""COMPUTED_VALUE"""),500032)</f>
        <v>500032</v>
      </c>
      <c r="D1800" s="1" t="str">
        <f ca="1">IFERROR(__xludf.DUMMYFUNCTION("""COMPUTED_VALUE"""),"Female")</f>
        <v>Female</v>
      </c>
      <c r="E1800" s="1" t="str">
        <f ca="1">IFERROR(__xludf.DUMMYFUNCTION("""COMPUTED_VALUE"""),"Social Media like LinkedIn")</f>
        <v>Social Media like LinkedIn</v>
      </c>
      <c r="F1800" s="1" t="str">
        <f ca="1">IFERROR(__xludf.DUMMYFUNCTION("""COMPUTED_VALUE"""),"Yes, I will earn and do that")</f>
        <v>Yes, I will earn and do that</v>
      </c>
      <c r="G1800" s="1" t="str">
        <f ca="1">IFERROR(__xludf.DUMMYFUNCTION("""COMPUTED_VALUE"""),"Will work for 3 years or more")</f>
        <v>Will work for 3 years or more</v>
      </c>
      <c r="H1800" s="1" t="str">
        <f ca="1">IFERROR(__xludf.DUMMYFUNCTION("""COMPUTED_VALUE"""),"Yes")</f>
        <v>Yes</v>
      </c>
      <c r="I1800" s="1" t="str">
        <f ca="1">IFERROR(__xludf.DUMMYFUNCTION("""COMPUTED_VALUE"""),"Will NOT work for them")</f>
        <v>Will NOT work for them</v>
      </c>
      <c r="J1800" s="1">
        <f ca="1">IFERROR(__xludf.DUMMYFUNCTION("""COMPUTED_VALUE"""),7)</f>
        <v>7</v>
      </c>
      <c r="K1800" s="1" t="str">
        <f ca="1">IFERROR(__xludf.DUMMYFUNCTION("""COMPUTED_VALUE"""),"Every Day Office Environment")</f>
        <v>Every Day Office Environment</v>
      </c>
      <c r="L1800" s="1" t="str">
        <f ca="1">IFERROR(__xludf.DUMMYFUNCTION("""COMPUTED_VALUE"""),"Employer who appreciates learning and enables that environment")</f>
        <v>Employer who appreciates learning and enables that environment</v>
      </c>
      <c r="M1800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800" s="1" t="str">
        <f ca="1">IFERROR(__xludf.DUMMYFUNCTION("""COMPUTED_VALUE"""),"Teaching in any of the institutes/colleges/online or offline, Business Operations in any organization, Work as a freelancer and do my thing my way, An Artificial Intelligence Specialist / Talking to Robots")</f>
        <v>Teaching in any of the institutes/colleges/online or offline, Business Operations in any organization, Work as a freelancer and do my thing my way, An Artificial Intelligence Specialist / Talking to Robots</v>
      </c>
      <c r="O1800" s="1" t="str">
        <f ca="1">IFERROR(__xludf.DUMMYFUNCTION("""COMPUTED_VALUE"""),"Manager who clearly describes what she/he needs")</f>
        <v>Manager who clearly describes what she/he needs</v>
      </c>
      <c r="P1800" s="1" t="str">
        <f ca="1">IFERROR(__xludf.DUMMYFUNCTION("""COMPUTED_VALUE"""),"Work with 2 to 3 people in my team")</f>
        <v>Work with 2 to 3 people in my team</v>
      </c>
      <c r="Q1800" s="1" t="str">
        <f ca="1">IFERROR(__xludf.DUMMYFUNCTION("""COMPUTED_VALUE"""),"Yes, I Understand this is gonna happen everywhere")</f>
        <v>Yes, I Understand this is gonna happen everywhere</v>
      </c>
      <c r="R1800" s="1" t="str">
        <f ca="1">IFERROR(__xludf.DUMMYFUNCTION("""COMPUTED_VALUE"""),"Will work for 7 years or more")</f>
        <v>Will work for 7 years or more</v>
      </c>
      <c r="S1800" s="1"/>
    </row>
    <row r="1801" spans="1:19" ht="12.5" x14ac:dyDescent="0.25">
      <c r="A1801" s="2">
        <f ca="1">IFERROR(__xludf.DUMMYFUNCTION("""COMPUTED_VALUE"""),45050.6390964583)</f>
        <v>45050.639096458297</v>
      </c>
      <c r="B1801" s="1" t="str">
        <f ca="1">IFERROR(__xludf.DUMMYFUNCTION("""COMPUTED_VALUE"""),"India")</f>
        <v>India</v>
      </c>
      <c r="C1801" s="1">
        <f ca="1">IFERROR(__xludf.DUMMYFUNCTION("""COMPUTED_VALUE"""),244236)</f>
        <v>244236</v>
      </c>
      <c r="D1801" s="1" t="str">
        <f ca="1">IFERROR(__xludf.DUMMYFUNCTION("""COMPUTED_VALUE"""),"Female")</f>
        <v>Female</v>
      </c>
      <c r="E1801" s="1" t="str">
        <f ca="1">IFERROR(__xludf.DUMMYFUNCTION("""COMPUTED_VALUE"""),"Influencers who had successful careers")</f>
        <v>Influencers who had successful careers</v>
      </c>
      <c r="F1801" s="1" t="str">
        <f ca="1">IFERROR(__xludf.DUMMYFUNCTION("""COMPUTED_VALUE"""),"No, But if someone could bare the cost I will")</f>
        <v>No, But if someone could bare the cost I will</v>
      </c>
      <c r="G1801" s="1" t="str">
        <f ca="1">IFERROR(__xludf.DUMMYFUNCTION("""COMPUTED_VALUE"""),"This will be hard to do, but if it is the right company I would try")</f>
        <v>This will be hard to do, but if it is the right company I would try</v>
      </c>
      <c r="H1801" s="1" t="str">
        <f ca="1">IFERROR(__xludf.DUMMYFUNCTION("""COMPUTED_VALUE"""),"No")</f>
        <v>No</v>
      </c>
      <c r="I1801" s="1" t="str">
        <f ca="1">IFERROR(__xludf.DUMMYFUNCTION("""COMPUTED_VALUE"""),"Will NOT work for them")</f>
        <v>Will NOT work for them</v>
      </c>
      <c r="J1801" s="1">
        <f ca="1">IFERROR(__xludf.DUMMYFUNCTION("""COMPUTED_VALUE"""),8)</f>
        <v>8</v>
      </c>
      <c r="K1801" s="1" t="str">
        <f ca="1">IFERROR(__xludf.DUMMYFUNCTION("""COMPUTED_VALUE"""),"Hybrid Working Environment with less than 3 days a month at office")</f>
        <v>Hybrid Working Environment with less than 3 days a month at office</v>
      </c>
      <c r="L1801" s="1" t="str">
        <f ca="1">IFERROR(__xludf.DUMMYFUNCTION("""COMPUTED_VALUE"""),"Employer who rewards learning and enables that environment")</f>
        <v>Employer who rewards learning and enables that environment</v>
      </c>
      <c r="M180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01" s="1" t="str">
        <f ca="1">IFERROR(__xludf.DUMMYFUNCTION("""COMPUTED_VALUE"""),"Teaching in any of the institutes/colleges/online or offline, Look deeply into Data and generate insights, Work in a BPO setup for some well known client, Work as a freelancer and do my thing my way")</f>
        <v>Teaching in any of the institutes/colleges/online or offline, Look deeply into Data and generate insights, Work in a BPO setup for some well known client, Work as a freelancer and do my thing my way</v>
      </c>
      <c r="O1801" s="1" t="str">
        <f ca="1">IFERROR(__xludf.DUMMYFUNCTION("""COMPUTED_VALUE"""),"Manager who explains what is expected, sets a goal and helps achieve it")</f>
        <v>Manager who explains what is expected, sets a goal and helps achieve it</v>
      </c>
      <c r="P1801" s="1" t="str">
        <f ca="1">IFERROR(__xludf.DUMMYFUNCTION("""COMPUTED_VALUE"""),"Work with 2 to 3 people in my team, Work with 5 to 6 people in my team")</f>
        <v>Work with 2 to 3 people in my team, Work with 5 to 6 people in my team</v>
      </c>
      <c r="Q1801" s="1" t="str">
        <f ca="1">IFERROR(__xludf.DUMMYFUNCTION("""COMPUTED_VALUE"""),"No")</f>
        <v>No</v>
      </c>
      <c r="R1801" s="1" t="str">
        <f ca="1">IFERROR(__xludf.DUMMYFUNCTION("""COMPUTED_VALUE"""),"This will be hard to do, but if it is the right company I would try")</f>
        <v>This will be hard to do, but if it is the right company I would try</v>
      </c>
      <c r="S1801" s="1"/>
    </row>
    <row r="1802" spans="1:19" ht="12.5" x14ac:dyDescent="0.25">
      <c r="A1802" s="2">
        <f ca="1">IFERROR(__xludf.DUMMYFUNCTION("""COMPUTED_VALUE"""),45050.6458523032)</f>
        <v>45050.645852303198</v>
      </c>
      <c r="B1802" s="1" t="str">
        <f ca="1">IFERROR(__xludf.DUMMYFUNCTION("""COMPUTED_VALUE"""),"India")</f>
        <v>India</v>
      </c>
      <c r="C1802" s="1">
        <f ca="1">IFERROR(__xludf.DUMMYFUNCTION("""COMPUTED_VALUE"""),411014)</f>
        <v>411014</v>
      </c>
      <c r="D1802" s="1" t="str">
        <f ca="1">IFERROR(__xludf.DUMMYFUNCTION("""COMPUTED_VALUE"""),"Male")</f>
        <v>Male</v>
      </c>
      <c r="E1802" s="1" t="str">
        <f ca="1">IFERROR(__xludf.DUMMYFUNCTION("""COMPUTED_VALUE"""),"People who have changed the world for better")</f>
        <v>People who have changed the world for better</v>
      </c>
      <c r="F1802" s="1" t="str">
        <f ca="1">IFERROR(__xludf.DUMMYFUNCTION("""COMPUTED_VALUE"""),"Yes, I will earn and do that")</f>
        <v>Yes, I will earn and do that</v>
      </c>
      <c r="G1802" s="1" t="str">
        <f ca="1">IFERROR(__xludf.DUMMYFUNCTION("""COMPUTED_VALUE"""),"This will be hard to do, but if it is the right company I would try")</f>
        <v>This will be hard to do, but if it is the right company I would try</v>
      </c>
      <c r="H1802" s="1" t="str">
        <f ca="1">IFERROR(__xludf.DUMMYFUNCTION("""COMPUTED_VALUE"""),"Yes")</f>
        <v>Yes</v>
      </c>
      <c r="I1802" s="1" t="str">
        <f ca="1">IFERROR(__xludf.DUMMYFUNCTION("""COMPUTED_VALUE"""),"Will NOT work for them")</f>
        <v>Will NOT work for them</v>
      </c>
      <c r="J1802" s="1">
        <f ca="1">IFERROR(__xludf.DUMMYFUNCTION("""COMPUTED_VALUE"""),6)</f>
        <v>6</v>
      </c>
      <c r="K1802" s="1" t="str">
        <f ca="1">IFERROR(__xludf.DUMMYFUNCTION("""COMPUTED_VALUE"""),"Hybrid Working Environment with less than 3 days a month at office")</f>
        <v>Hybrid Working Environment with less than 3 days a month at office</v>
      </c>
      <c r="L18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0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02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1802" s="1" t="str">
        <f ca="1">IFERROR(__xludf.DUMMYFUNCTION("""COMPUTED_VALUE"""),"Manager who explains what is expected, sets a goal and helps achieve it")</f>
        <v>Manager who explains what is expected, sets a goal and helps achieve it</v>
      </c>
      <c r="P1802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802" s="1" t="str">
        <f ca="1">IFERROR(__xludf.DUMMYFUNCTION("""COMPUTED_VALUE"""),"Yes, I Understand this is gonna happen everywhere")</f>
        <v>Yes, I Understand this is gonna happen everywhere</v>
      </c>
      <c r="R1802" s="1" t="str">
        <f ca="1">IFERROR(__xludf.DUMMYFUNCTION("""COMPUTED_VALUE"""),"This will be hard to do, but if it is the right company I would try")</f>
        <v>This will be hard to do, but if it is the right company I would try</v>
      </c>
      <c r="S1802" s="1"/>
    </row>
    <row r="1803" spans="1:19" ht="12.5" x14ac:dyDescent="0.25">
      <c r="A1803" s="2">
        <f ca="1">IFERROR(__xludf.DUMMYFUNCTION("""COMPUTED_VALUE"""),45050.6466790856)</f>
        <v>45050.646679085599</v>
      </c>
      <c r="B1803" s="1" t="str">
        <f ca="1">IFERROR(__xludf.DUMMYFUNCTION("""COMPUTED_VALUE"""),"India")</f>
        <v>India</v>
      </c>
      <c r="C1803" s="1">
        <f ca="1">IFERROR(__xludf.DUMMYFUNCTION("""COMPUTED_VALUE"""),500050)</f>
        <v>500050</v>
      </c>
      <c r="D1803" s="1" t="str">
        <f ca="1">IFERROR(__xludf.DUMMYFUNCTION("""COMPUTED_VALUE"""),"Male")</f>
        <v>Male</v>
      </c>
      <c r="E1803" s="1" t="str">
        <f ca="1">IFERROR(__xludf.DUMMYFUNCTION("""COMPUTED_VALUE"""),"My Parents")</f>
        <v>My Parents</v>
      </c>
      <c r="F1803" s="1" t="str">
        <f ca="1">IFERROR(__xludf.DUMMYFUNCTION("""COMPUTED_VALUE"""),"No I would not be pursuing Higher Education outside of India")</f>
        <v>No I would not be pursuing Higher Education outside of India</v>
      </c>
      <c r="G1803" s="1" t="str">
        <f ca="1">IFERROR(__xludf.DUMMYFUNCTION("""COMPUTED_VALUE"""),"Will work for 3 years or more")</f>
        <v>Will work for 3 years or more</v>
      </c>
      <c r="H1803" s="1" t="str">
        <f ca="1">IFERROR(__xludf.DUMMYFUNCTION("""COMPUTED_VALUE"""),"No")</f>
        <v>No</v>
      </c>
      <c r="I1803" s="1" t="str">
        <f ca="1">IFERROR(__xludf.DUMMYFUNCTION("""COMPUTED_VALUE"""),"Will NOT work for them")</f>
        <v>Will NOT work for them</v>
      </c>
      <c r="J1803" s="1">
        <f ca="1">IFERROR(__xludf.DUMMYFUNCTION("""COMPUTED_VALUE"""),7)</f>
        <v>7</v>
      </c>
      <c r="K1803" s="1" t="str">
        <f ca="1">IFERROR(__xludf.DUMMYFUNCTION("""COMPUTED_VALUE"""),"Every Day Office Environment")</f>
        <v>Every Day Office Environment</v>
      </c>
      <c r="L1803" s="1" t="str">
        <f ca="1">IFERROR(__xludf.DUMMYFUNCTION("""COMPUTED_VALUE"""),"Employer who appreciates learning and enables that environment")</f>
        <v>Employer who appreciates learning and enables that environment</v>
      </c>
      <c r="M1803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803" s="1" t="str">
        <f ca="1">IFERROR(__xludf.DUMMYFUNCTION("""COMPUTED_VALUE"""),"Teaching in any of the institutes/colleges/online or offline, Design and Develop amazing software, Look deeply into Data and generate insights, Become a content Creator in some platform")</f>
        <v>Teaching in any of the institutes/colleges/online or offline, Design and Develop amazing software, Look deeply into Data and generate insights, Become a content Creator in some platform</v>
      </c>
      <c r="O1803" s="1" t="str">
        <f ca="1">IFERROR(__xludf.DUMMYFUNCTION("""COMPUTED_VALUE"""),"Manager who sets goal and helps me achieve it")</f>
        <v>Manager who sets goal and helps me achieve it</v>
      </c>
      <c r="P1803" s="1" t="str">
        <f ca="1">IFERROR(__xludf.DUMMYFUNCTION("""COMPUTED_VALUE"""),"Work with more than 10 people in my team")</f>
        <v>Work with more than 10 people in my team</v>
      </c>
      <c r="Q1803" s="1" t="str">
        <f ca="1">IFERROR(__xludf.DUMMYFUNCTION("""COMPUTED_VALUE"""),"No")</f>
        <v>No</v>
      </c>
      <c r="R1803" s="1" t="str">
        <f ca="1">IFERROR(__xludf.DUMMYFUNCTION("""COMPUTED_VALUE"""),"Will work for 7 years or more")</f>
        <v>Will work for 7 years or more</v>
      </c>
      <c r="S1803" s="1"/>
    </row>
    <row r="1804" spans="1:19" ht="12.5" x14ac:dyDescent="0.25">
      <c r="A1804" s="2">
        <f ca="1">IFERROR(__xludf.DUMMYFUNCTION("""COMPUTED_VALUE"""),45050.6522670833)</f>
        <v>45050.6522670833</v>
      </c>
      <c r="B1804" s="1" t="str">
        <f ca="1">IFERROR(__xludf.DUMMYFUNCTION("""COMPUTED_VALUE"""),"India")</f>
        <v>India</v>
      </c>
      <c r="C1804" s="1">
        <f ca="1">IFERROR(__xludf.DUMMYFUNCTION("""COMPUTED_VALUE"""),500085)</f>
        <v>500085</v>
      </c>
      <c r="D1804" s="1" t="str">
        <f ca="1">IFERROR(__xludf.DUMMYFUNCTION("""COMPUTED_VALUE"""),"Female")</f>
        <v>Female</v>
      </c>
      <c r="E1804" s="1" t="str">
        <f ca="1">IFERROR(__xludf.DUMMYFUNCTION("""COMPUTED_VALUE"""),"My Parents")</f>
        <v>My Parents</v>
      </c>
      <c r="F1804" s="1" t="str">
        <f ca="1">IFERROR(__xludf.DUMMYFUNCTION("""COMPUTED_VALUE"""),"No I would not be pursuing Higher Education outside of India")</f>
        <v>No I would not be pursuing Higher Education outside of India</v>
      </c>
      <c r="G1804" s="1" t="str">
        <f ca="1">IFERROR(__xludf.DUMMYFUNCTION("""COMPUTED_VALUE"""),"Will work for 3 years or more")</f>
        <v>Will work for 3 years or more</v>
      </c>
      <c r="H1804" s="1" t="str">
        <f ca="1">IFERROR(__xludf.DUMMYFUNCTION("""COMPUTED_VALUE"""),"No")</f>
        <v>No</v>
      </c>
      <c r="I1804" s="1" t="str">
        <f ca="1">IFERROR(__xludf.DUMMYFUNCTION("""COMPUTED_VALUE"""),"Will work for them")</f>
        <v>Will work for them</v>
      </c>
      <c r="J1804" s="1">
        <f ca="1">IFERROR(__xludf.DUMMYFUNCTION("""COMPUTED_VALUE"""),9)</f>
        <v>9</v>
      </c>
      <c r="K1804" s="1" t="str">
        <f ca="1">IFERROR(__xludf.DUMMYFUNCTION("""COMPUTED_VALUE"""),"Every Day Office Environment")</f>
        <v>Every Day Office Environment</v>
      </c>
      <c r="L1804" s="1" t="str">
        <f ca="1">IFERROR(__xludf.DUMMYFUNCTION("""COMPUTED_VALUE"""),"Employer who appreciates learning and enables that environment")</f>
        <v>Employer who appreciates learning and enables that environment</v>
      </c>
      <c r="M180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0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804" s="1" t="str">
        <f ca="1">IFERROR(__xludf.DUMMYFUNCTION("""COMPUTED_VALUE"""),"Manager who sets targets and expects me to achieve it")</f>
        <v>Manager who sets targets and expects me to achieve it</v>
      </c>
      <c r="P1804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804" s="1" t="str">
        <f ca="1">IFERROR(__xludf.DUMMYFUNCTION("""COMPUTED_VALUE"""),"Yes, I Understand this is gonna happen everywhere")</f>
        <v>Yes, I Understand this is gonna happen everywhere</v>
      </c>
      <c r="R1804" s="1" t="str">
        <f ca="1">IFERROR(__xludf.DUMMYFUNCTION("""COMPUTED_VALUE"""),"This will be hard to do, but if it is the right company I would try")</f>
        <v>This will be hard to do, but if it is the right company I would try</v>
      </c>
      <c r="S1804" s="1"/>
    </row>
    <row r="1805" spans="1:19" ht="12.5" x14ac:dyDescent="0.25">
      <c r="A1805" s="2">
        <f ca="1">IFERROR(__xludf.DUMMYFUNCTION("""COMPUTED_VALUE"""),45050.6529187384)</f>
        <v>45050.6529187384</v>
      </c>
      <c r="B1805" s="1" t="str">
        <f ca="1">IFERROR(__xludf.DUMMYFUNCTION("""COMPUTED_VALUE"""),"India")</f>
        <v>India</v>
      </c>
      <c r="C1805" s="1">
        <f ca="1">IFERROR(__xludf.DUMMYFUNCTION("""COMPUTED_VALUE"""),412207)</f>
        <v>412207</v>
      </c>
      <c r="D1805" s="1" t="str">
        <f ca="1">IFERROR(__xludf.DUMMYFUNCTION("""COMPUTED_VALUE"""),"Female")</f>
        <v>Female</v>
      </c>
      <c r="E1805" s="1" t="str">
        <f ca="1">IFERROR(__xludf.DUMMYFUNCTION("""COMPUTED_VALUE"""),"Influencers who had successful careers")</f>
        <v>Influencers who had successful careers</v>
      </c>
      <c r="F1805" s="1" t="str">
        <f ca="1">IFERROR(__xludf.DUMMYFUNCTION("""COMPUTED_VALUE"""),"No, But if someone could bare the cost I will")</f>
        <v>No, But if someone could bare the cost I will</v>
      </c>
      <c r="G1805" s="1" t="str">
        <f ca="1">IFERROR(__xludf.DUMMYFUNCTION("""COMPUTED_VALUE"""),"This will be hard to do, but if it is the right company I would try")</f>
        <v>This will be hard to do, but if it is the right company I would try</v>
      </c>
      <c r="H1805" s="1" t="str">
        <f ca="1">IFERROR(__xludf.DUMMYFUNCTION("""COMPUTED_VALUE"""),"No")</f>
        <v>No</v>
      </c>
      <c r="I1805" s="1" t="str">
        <f ca="1">IFERROR(__xludf.DUMMYFUNCTION("""COMPUTED_VALUE"""),"Will NOT work for them")</f>
        <v>Will NOT work for them</v>
      </c>
      <c r="J1805" s="1">
        <f ca="1">IFERROR(__xludf.DUMMYFUNCTION("""COMPUTED_VALUE"""),6)</f>
        <v>6</v>
      </c>
      <c r="K1805" s="1" t="str">
        <f ca="1">IFERROR(__xludf.DUMMYFUNCTION("""COMPUTED_VALUE"""),"Hybrid Working Environment with less than 3 days a month at office")</f>
        <v>Hybrid Working Environment with less than 3 days a month at office</v>
      </c>
      <c r="L18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0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805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1805" s="1" t="str">
        <f ca="1">IFERROR(__xludf.DUMMYFUNCTION("""COMPUTED_VALUE"""),"Manager who clearly describes what she/he needs")</f>
        <v>Manager who clearly describes what she/he needs</v>
      </c>
      <c r="P1805" s="1" t="str">
        <f ca="1">IFERROR(__xludf.DUMMYFUNCTION("""COMPUTED_VALUE"""),"Work with 2 to 3 people in my team, Work with 5 to 6 people in my team")</f>
        <v>Work with 2 to 3 people in my team, Work with 5 to 6 people in my team</v>
      </c>
      <c r="Q1805" s="1" t="str">
        <f ca="1">IFERROR(__xludf.DUMMYFUNCTION("""COMPUTED_VALUE"""),"Yes, I Understand this is gonna happen everywhere")</f>
        <v>Yes, I Understand this is gonna happen everywhere</v>
      </c>
      <c r="R1805" s="1" t="str">
        <f ca="1">IFERROR(__xludf.DUMMYFUNCTION("""COMPUTED_VALUE"""),"No way")</f>
        <v>No way</v>
      </c>
      <c r="S1805" s="1"/>
    </row>
    <row r="1806" spans="1:19" ht="12.5" x14ac:dyDescent="0.25">
      <c r="A1806" s="2">
        <f ca="1">IFERROR(__xludf.DUMMYFUNCTION("""COMPUTED_VALUE"""),45050.6569737731)</f>
        <v>45050.656973773097</v>
      </c>
      <c r="B1806" s="1" t="str">
        <f ca="1">IFERROR(__xludf.DUMMYFUNCTION("""COMPUTED_VALUE"""),"India")</f>
        <v>India</v>
      </c>
      <c r="C1806" s="1">
        <f ca="1">IFERROR(__xludf.DUMMYFUNCTION("""COMPUTED_VALUE"""),202001)</f>
        <v>202001</v>
      </c>
      <c r="D1806" s="1" t="str">
        <f ca="1">IFERROR(__xludf.DUMMYFUNCTION("""COMPUTED_VALUE"""),"Female")</f>
        <v>Female</v>
      </c>
      <c r="E1806" s="1" t="str">
        <f ca="1">IFERROR(__xludf.DUMMYFUNCTION("""COMPUTED_VALUE"""),"People who have changed the world for better")</f>
        <v>People who have changed the world for better</v>
      </c>
      <c r="F1806" s="1" t="str">
        <f ca="1">IFERROR(__xludf.DUMMYFUNCTION("""COMPUTED_VALUE"""),"Yes, I will earn and do that")</f>
        <v>Yes, I will earn and do that</v>
      </c>
      <c r="G1806" s="1" t="str">
        <f ca="1">IFERROR(__xludf.DUMMYFUNCTION("""COMPUTED_VALUE"""),"This will be hard to do, but if it is the right company I would try")</f>
        <v>This will be hard to do, but if it is the right company I would try</v>
      </c>
      <c r="H1806" s="1" t="str">
        <f ca="1">IFERROR(__xludf.DUMMYFUNCTION("""COMPUTED_VALUE"""),"No")</f>
        <v>No</v>
      </c>
      <c r="I1806" s="1" t="str">
        <f ca="1">IFERROR(__xludf.DUMMYFUNCTION("""COMPUTED_VALUE"""),"Will NOT work for them")</f>
        <v>Will NOT work for them</v>
      </c>
      <c r="J1806" s="1">
        <f ca="1">IFERROR(__xludf.DUMMYFUNCTION("""COMPUTED_VALUE"""),3)</f>
        <v>3</v>
      </c>
      <c r="K1806" s="1" t="str">
        <f ca="1">IFERROR(__xludf.DUMMYFUNCTION("""COMPUTED_VALUE"""),"Hybrid Working Environment with more than 15 days a month at office")</f>
        <v>Hybrid Working Environment with more than 15 days a month at office</v>
      </c>
      <c r="L1806" s="1" t="str">
        <f ca="1">IFERROR(__xludf.DUMMYFUNCTION("""COMPUTED_VALUE"""),"Employer who rewards learning and enables that environment")</f>
        <v>Employer who rewards learning and enables that environment</v>
      </c>
      <c r="M180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06" s="1" t="str">
        <f ca="1">IFERROR(__xludf.DUMMYFUNCTION("""COMPUTED_VALUE"""),"Design and Creative strategy in any company, Look deeply into Data and generate insights, Entrepreneur or Start Up, An Artificial Intelligence Specialist / Talking to Robots")</f>
        <v>Design and Creative strategy in any company, Look deeply into Data and generate insights, Entrepreneur or Start Up, An Artificial Intelligence Specialist / Talking to Robots</v>
      </c>
      <c r="O1806" s="1" t="str">
        <f ca="1">IFERROR(__xludf.DUMMYFUNCTION("""COMPUTED_VALUE"""),"Manager who sets targets and expects me to achieve it")</f>
        <v>Manager who sets targets and expects me to achieve it</v>
      </c>
      <c r="P1806" s="1" t="str">
        <f ca="1">IFERROR(__xludf.DUMMYFUNCTION("""COMPUTED_VALUE"""),"Work with 5 to 6 people in my team")</f>
        <v>Work with 5 to 6 people in my team</v>
      </c>
      <c r="Q1806" s="1" t="str">
        <f ca="1">IFERROR(__xludf.DUMMYFUNCTION("""COMPUTED_VALUE"""),"Yes")</f>
        <v>Yes</v>
      </c>
      <c r="R1806" s="1" t="str">
        <f ca="1">IFERROR(__xludf.DUMMYFUNCTION("""COMPUTED_VALUE"""),"No way")</f>
        <v>No way</v>
      </c>
      <c r="S1806" s="1"/>
    </row>
    <row r="1807" spans="1:19" ht="12.5" x14ac:dyDescent="0.25">
      <c r="A1807" s="2">
        <f ca="1">IFERROR(__xludf.DUMMYFUNCTION("""COMPUTED_VALUE"""),45050.664330324)</f>
        <v>45050.664330323998</v>
      </c>
      <c r="B1807" s="1" t="str">
        <f ca="1">IFERROR(__xludf.DUMMYFUNCTION("""COMPUTED_VALUE"""),"India")</f>
        <v>India</v>
      </c>
      <c r="C1807" s="1">
        <f ca="1">IFERROR(__xludf.DUMMYFUNCTION("""COMPUTED_VALUE"""),689595)</f>
        <v>689595</v>
      </c>
      <c r="D1807" s="1" t="str">
        <f ca="1">IFERROR(__xludf.DUMMYFUNCTION("""COMPUTED_VALUE"""),"Male")</f>
        <v>Male</v>
      </c>
      <c r="E1807" s="1" t="str">
        <f ca="1">IFERROR(__xludf.DUMMYFUNCTION("""COMPUTED_VALUE"""),"People who have changed the world for better")</f>
        <v>People who have changed the world for better</v>
      </c>
      <c r="F1807" s="1" t="str">
        <f ca="1">IFERROR(__xludf.DUMMYFUNCTION("""COMPUTED_VALUE"""),"No, But if someone could bare the cost I will")</f>
        <v>No, But if someone could bare the cost I will</v>
      </c>
      <c r="G1807" s="1" t="str">
        <f ca="1">IFERROR(__xludf.DUMMYFUNCTION("""COMPUTED_VALUE"""),"This will be hard to do, but if it is the right company I would try")</f>
        <v>This will be hard to do, but if it is the right company I would try</v>
      </c>
      <c r="H1807" s="1" t="str">
        <f ca="1">IFERROR(__xludf.DUMMYFUNCTION("""COMPUTED_VALUE"""),"No")</f>
        <v>No</v>
      </c>
      <c r="I1807" s="1" t="str">
        <f ca="1">IFERROR(__xludf.DUMMYFUNCTION("""COMPUTED_VALUE"""),"Will NOT work for them")</f>
        <v>Will NOT work for them</v>
      </c>
      <c r="J1807" s="1">
        <f ca="1">IFERROR(__xludf.DUMMYFUNCTION("""COMPUTED_VALUE"""),4)</f>
        <v>4</v>
      </c>
      <c r="K1807" s="1" t="str">
        <f ca="1">IFERROR(__xludf.DUMMYFUNCTION("""COMPUTED_VALUE"""),"Hybrid Working Environment with less than 3 days a month at office")</f>
        <v>Hybrid Working Environment with less than 3 days a month at office</v>
      </c>
      <c r="L18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07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807" s="1" t="str">
        <f ca="1">IFERROR(__xludf.DUMMYFUNCTION("""COMPUTED_VALUE"""),"Teaching in any of the institutes/colleges/online or offline, Manage and drive End-to-End Projects or Products, Build and develop a Team, Work as a freelancer and do my thing my way")</f>
        <v>Teaching in any of the institutes/colleges/online or offline, Manage and drive End-to-End Projects or Products, Build and develop a Team, Work as a freelancer and do my thing my way</v>
      </c>
      <c r="O1807" s="1" t="str">
        <f ca="1">IFERROR(__xludf.DUMMYFUNCTION("""COMPUTED_VALUE"""),"Manager who explains what is expected, sets a goal and helps achieve it")</f>
        <v>Manager who explains what is expected, sets a goal and helps achieve it</v>
      </c>
      <c r="P1807" s="1" t="str">
        <f ca="1">IFERROR(__xludf.DUMMYFUNCTION("""COMPUTED_VALUE"""),"Work alone, Work with 2 to 3 people in my team")</f>
        <v>Work alone, Work with 2 to 3 people in my team</v>
      </c>
      <c r="Q1807" s="1" t="str">
        <f ca="1">IFERROR(__xludf.DUMMYFUNCTION("""COMPUTED_VALUE"""),"Yes, I Understand this is gonna happen everywhere")</f>
        <v>Yes, I Understand this is gonna happen everywhere</v>
      </c>
      <c r="R1807" s="1" t="str">
        <f ca="1">IFERROR(__xludf.DUMMYFUNCTION("""COMPUTED_VALUE"""),"No way")</f>
        <v>No way</v>
      </c>
      <c r="S1807" s="1"/>
    </row>
    <row r="1808" spans="1:19" ht="12.5" x14ac:dyDescent="0.25">
      <c r="A1808" s="2">
        <f ca="1">IFERROR(__xludf.DUMMYFUNCTION("""COMPUTED_VALUE"""),45050.6648068865)</f>
        <v>45050.664806886503</v>
      </c>
      <c r="B1808" s="1" t="str">
        <f ca="1">IFERROR(__xludf.DUMMYFUNCTION("""COMPUTED_VALUE"""),"India")</f>
        <v>India</v>
      </c>
      <c r="C1808" s="1">
        <f ca="1">IFERROR(__xludf.DUMMYFUNCTION("""COMPUTED_VALUE"""),321001)</f>
        <v>321001</v>
      </c>
      <c r="D1808" s="1" t="str">
        <f ca="1">IFERROR(__xludf.DUMMYFUNCTION("""COMPUTED_VALUE"""),"Male")</f>
        <v>Male</v>
      </c>
      <c r="E1808" s="1" t="str">
        <f ca="1">IFERROR(__xludf.DUMMYFUNCTION("""COMPUTED_VALUE"""),"My Parents")</f>
        <v>My Parents</v>
      </c>
      <c r="F1808" s="1" t="str">
        <f ca="1">IFERROR(__xludf.DUMMYFUNCTION("""COMPUTED_VALUE"""),"Yes, I will earn and do that")</f>
        <v>Yes, I will earn and do that</v>
      </c>
      <c r="G1808" s="1" t="str">
        <f ca="1">IFERROR(__xludf.DUMMYFUNCTION("""COMPUTED_VALUE"""),"This will be hard to do, but if it is the right company I would try")</f>
        <v>This will be hard to do, but if it is the right company I would try</v>
      </c>
      <c r="H1808" s="1" t="str">
        <f ca="1">IFERROR(__xludf.DUMMYFUNCTION("""COMPUTED_VALUE"""),"No")</f>
        <v>No</v>
      </c>
      <c r="I1808" s="1" t="str">
        <f ca="1">IFERROR(__xludf.DUMMYFUNCTION("""COMPUTED_VALUE"""),"Will NOT work for them")</f>
        <v>Will NOT work for them</v>
      </c>
      <c r="J1808" s="1">
        <f ca="1">IFERROR(__xludf.DUMMYFUNCTION("""COMPUTED_VALUE"""),7)</f>
        <v>7</v>
      </c>
      <c r="K1808" s="1" t="str">
        <f ca="1">IFERROR(__xludf.DUMMYFUNCTION("""COMPUTED_VALUE"""),"Every Day Office Environment")</f>
        <v>Every Day Office Environment</v>
      </c>
      <c r="L1808" s="1" t="str">
        <f ca="1">IFERROR(__xludf.DUMMYFUNCTION("""COMPUTED_VALUE"""),"Employer who appreciates learning and enables that environment")</f>
        <v>Employer who appreciates learning and enables that environment</v>
      </c>
      <c r="M180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0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808" s="1" t="str">
        <f ca="1">IFERROR(__xludf.DUMMYFUNCTION("""COMPUTED_VALUE"""),"Manager who clearly describes what she/he needs")</f>
        <v>Manager who clearly describes what she/he needs</v>
      </c>
      <c r="P1808" s="1" t="str">
        <f ca="1">IFERROR(__xludf.DUMMYFUNCTION("""COMPUTED_VALUE"""),"Work with more than 10 people in my team")</f>
        <v>Work with more than 10 people in my team</v>
      </c>
      <c r="Q1808" s="1" t="str">
        <f ca="1">IFERROR(__xludf.DUMMYFUNCTION("""COMPUTED_VALUE"""),"Yes, I Understand this is gonna happen everywhere")</f>
        <v>Yes, I Understand this is gonna happen everywhere</v>
      </c>
      <c r="R1808" s="1" t="str">
        <f ca="1">IFERROR(__xludf.DUMMYFUNCTION("""COMPUTED_VALUE"""),"This will be hard to do, but if it is the right company I would try")</f>
        <v>This will be hard to do, but if it is the right company I would try</v>
      </c>
      <c r="S1808" s="1"/>
    </row>
    <row r="1809" spans="1:19" ht="12.5" x14ac:dyDescent="0.25">
      <c r="A1809" s="2">
        <f ca="1">IFERROR(__xludf.DUMMYFUNCTION("""COMPUTED_VALUE"""),45050.6653054166)</f>
        <v>45050.665305416602</v>
      </c>
      <c r="B1809" s="1" t="str">
        <f ca="1">IFERROR(__xludf.DUMMYFUNCTION("""COMPUTED_VALUE"""),"India")</f>
        <v>India</v>
      </c>
      <c r="C1809" s="1">
        <f ca="1">IFERROR(__xludf.DUMMYFUNCTION("""COMPUTED_VALUE"""),500027)</f>
        <v>500027</v>
      </c>
      <c r="D1809" s="1" t="str">
        <f ca="1">IFERROR(__xludf.DUMMYFUNCTION("""COMPUTED_VALUE"""),"Female")</f>
        <v>Female</v>
      </c>
      <c r="E1809" s="1" t="str">
        <f ca="1">IFERROR(__xludf.DUMMYFUNCTION("""COMPUTED_VALUE"""),"People who have changed the world for better")</f>
        <v>People who have changed the world for better</v>
      </c>
      <c r="F1809" s="1" t="str">
        <f ca="1">IFERROR(__xludf.DUMMYFUNCTION("""COMPUTED_VALUE"""),"No I would not be pursuing Higher Education outside of India")</f>
        <v>No I would not be pursuing Higher Education outside of India</v>
      </c>
      <c r="G1809" s="1" t="str">
        <f ca="1">IFERROR(__xludf.DUMMYFUNCTION("""COMPUTED_VALUE"""),"This will be hard to do, but if it is the right company I would try")</f>
        <v>This will be hard to do, but if it is the right company I would try</v>
      </c>
      <c r="H1809" s="1" t="str">
        <f ca="1">IFERROR(__xludf.DUMMYFUNCTION("""COMPUTED_VALUE"""),"No")</f>
        <v>No</v>
      </c>
      <c r="I1809" s="1" t="str">
        <f ca="1">IFERROR(__xludf.DUMMYFUNCTION("""COMPUTED_VALUE"""),"Will NOT work for them")</f>
        <v>Will NOT work for them</v>
      </c>
      <c r="J1809" s="1">
        <f ca="1">IFERROR(__xludf.DUMMYFUNCTION("""COMPUTED_VALUE"""),3)</f>
        <v>3</v>
      </c>
      <c r="K1809" s="1" t="str">
        <f ca="1">IFERROR(__xludf.DUMMYFUNCTION("""COMPUTED_VALUE"""),"Every Day Office Environment")</f>
        <v>Every Day Office Environment</v>
      </c>
      <c r="L1809" s="1" t="str">
        <f ca="1">IFERROR(__xludf.DUMMYFUNCTION("""COMPUTED_VALUE"""),"Employer who appreciates learning and enables that environment")</f>
        <v>Employer who appreciates learning and enables that environment</v>
      </c>
      <c r="M180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09" s="1" t="str">
        <f ca="1">IFERROR(__xludf.DUMMYFUNCTION("""COMPUTED_VALUE"""),"Design and Creative strategy in any company, Teaching in any of the institutes/colleges/online or offline, Build and develop a Team, Work as a freelancer and do my thing my way")</f>
        <v>Design and Creative strategy in any company, Teaching in any of the institutes/colleges/online or offline, Build and develop a Team, Work as a freelancer and do my thing my way</v>
      </c>
      <c r="O1809" s="1" t="str">
        <f ca="1">IFERROR(__xludf.DUMMYFUNCTION("""COMPUTED_VALUE"""),"Manager who sets targets and expects me to achieve it")</f>
        <v>Manager who sets targets and expects me to achieve it</v>
      </c>
      <c r="P1809" s="1" t="str">
        <f ca="1">IFERROR(__xludf.DUMMYFUNCTION("""COMPUTED_VALUE"""),"Work with 5 to 6 people in my team")</f>
        <v>Work with 5 to 6 people in my team</v>
      </c>
      <c r="Q1809" s="1" t="str">
        <f ca="1">IFERROR(__xludf.DUMMYFUNCTION("""COMPUTED_VALUE"""),"Yes")</f>
        <v>Yes</v>
      </c>
      <c r="R1809" s="1" t="str">
        <f ca="1">IFERROR(__xludf.DUMMYFUNCTION("""COMPUTED_VALUE"""),"Will work for 7 years or more")</f>
        <v>Will work for 7 years or more</v>
      </c>
      <c r="S1809" s="1"/>
    </row>
    <row r="1810" spans="1:19" ht="12.5" x14ac:dyDescent="0.25">
      <c r="A1810" s="2">
        <f ca="1">IFERROR(__xludf.DUMMYFUNCTION("""COMPUTED_VALUE"""),45050.6752245138)</f>
        <v>45050.675224513798</v>
      </c>
      <c r="B1810" s="1" t="str">
        <f ca="1">IFERROR(__xludf.DUMMYFUNCTION("""COMPUTED_VALUE"""),"India")</f>
        <v>India</v>
      </c>
      <c r="C1810" s="1">
        <f ca="1">IFERROR(__xludf.DUMMYFUNCTION("""COMPUTED_VALUE"""),411028)</f>
        <v>411028</v>
      </c>
      <c r="D1810" s="1" t="str">
        <f ca="1">IFERROR(__xludf.DUMMYFUNCTION("""COMPUTED_VALUE"""),"Male")</f>
        <v>Male</v>
      </c>
      <c r="E1810" s="1" t="str">
        <f ca="1">IFERROR(__xludf.DUMMYFUNCTION("""COMPUTED_VALUE"""),"Social Media like LinkedIn")</f>
        <v>Social Media like LinkedIn</v>
      </c>
      <c r="F1810" s="1" t="str">
        <f ca="1">IFERROR(__xludf.DUMMYFUNCTION("""COMPUTED_VALUE"""),"Yes, I will earn and do that")</f>
        <v>Yes, I will earn and do that</v>
      </c>
      <c r="G1810" s="1" t="str">
        <f ca="1">IFERROR(__xludf.DUMMYFUNCTION("""COMPUTED_VALUE"""),"No way")</f>
        <v>No way</v>
      </c>
      <c r="H1810" s="1" t="str">
        <f ca="1">IFERROR(__xludf.DUMMYFUNCTION("""COMPUTED_VALUE"""),"Yes")</f>
        <v>Yes</v>
      </c>
      <c r="I1810" s="1" t="str">
        <f ca="1">IFERROR(__xludf.DUMMYFUNCTION("""COMPUTED_VALUE"""),"Will NOT work for them")</f>
        <v>Will NOT work for them</v>
      </c>
      <c r="J1810" s="1">
        <f ca="1">IFERROR(__xludf.DUMMYFUNCTION("""COMPUTED_VALUE"""),8)</f>
        <v>8</v>
      </c>
      <c r="K1810" s="1" t="str">
        <f ca="1">IFERROR(__xludf.DUMMYFUNCTION("""COMPUTED_VALUE"""),"Hybrid Working Environment with more than 15 days a month at office")</f>
        <v>Hybrid Working Environment with more than 15 days a month at office</v>
      </c>
      <c r="L1810" s="1" t="str">
        <f ca="1">IFERROR(__xludf.DUMMYFUNCTION("""COMPUTED_VALUE"""),"Employer who rewards learning and enables that environment")</f>
        <v>Employer who rewards learning and enables that environment</v>
      </c>
      <c r="M1810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810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181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10" s="1" t="str">
        <f ca="1">IFERROR(__xludf.DUMMYFUNCTION("""COMPUTED_VALUE"""),"Work with 5 to 6 people in my team")</f>
        <v>Work with 5 to 6 people in my team</v>
      </c>
      <c r="Q1810" s="1" t="str">
        <f ca="1">IFERROR(__xludf.DUMMYFUNCTION("""COMPUTED_VALUE"""),"Yes, I Understand this is gonna happen everywhere")</f>
        <v>Yes, I Understand this is gonna happen everywhere</v>
      </c>
      <c r="R1810" s="1" t="str">
        <f ca="1">IFERROR(__xludf.DUMMYFUNCTION("""COMPUTED_VALUE"""),"No way")</f>
        <v>No way</v>
      </c>
      <c r="S1810" s="1"/>
    </row>
    <row r="1811" spans="1:19" ht="12.5" x14ac:dyDescent="0.25">
      <c r="A1811" s="2">
        <f ca="1">IFERROR(__xludf.DUMMYFUNCTION("""COMPUTED_VALUE"""),45050.678143125)</f>
        <v>45050.678143124998</v>
      </c>
      <c r="B1811" s="1" t="str">
        <f ca="1">IFERROR(__xludf.DUMMYFUNCTION("""COMPUTED_VALUE"""),"India")</f>
        <v>India</v>
      </c>
      <c r="C1811" s="1">
        <f ca="1">IFERROR(__xludf.DUMMYFUNCTION("""COMPUTED_VALUE"""),421202)</f>
        <v>421202</v>
      </c>
      <c r="D1811" s="1" t="str">
        <f ca="1">IFERROR(__xludf.DUMMYFUNCTION("""COMPUTED_VALUE"""),"Male")</f>
        <v>Male</v>
      </c>
      <c r="E1811" s="1" t="str">
        <f ca="1">IFERROR(__xludf.DUMMYFUNCTION("""COMPUTED_VALUE"""),"My Parents")</f>
        <v>My Parents</v>
      </c>
      <c r="F1811" s="1" t="str">
        <f ca="1">IFERROR(__xludf.DUMMYFUNCTION("""COMPUTED_VALUE"""),"No I would not be pursuing Higher Education outside of India")</f>
        <v>No I would not be pursuing Higher Education outside of India</v>
      </c>
      <c r="G1811" s="1" t="str">
        <f ca="1">IFERROR(__xludf.DUMMYFUNCTION("""COMPUTED_VALUE"""),"This will be hard to do, but if it is the right company I would try")</f>
        <v>This will be hard to do, but if it is the right company I would try</v>
      </c>
      <c r="H1811" s="1" t="str">
        <f ca="1">IFERROR(__xludf.DUMMYFUNCTION("""COMPUTED_VALUE"""),"Yes")</f>
        <v>Yes</v>
      </c>
      <c r="I1811" s="1" t="str">
        <f ca="1">IFERROR(__xludf.DUMMYFUNCTION("""COMPUTED_VALUE"""),"Will work for them")</f>
        <v>Will work for them</v>
      </c>
      <c r="J1811" s="1">
        <f ca="1">IFERROR(__xludf.DUMMYFUNCTION("""COMPUTED_VALUE"""),3)</f>
        <v>3</v>
      </c>
      <c r="K1811" s="1" t="str">
        <f ca="1">IFERROR(__xludf.DUMMYFUNCTION("""COMPUTED_VALUE"""),"Hybrid Working Environment with more than 15 days a month at office")</f>
        <v>Hybrid Working Environment with more than 15 days a month at office</v>
      </c>
      <c r="L18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1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11" s="1" t="str">
        <f ca="1">IFERROR(__xludf.DUMMYFUNCTION("""COMPUTED_VALUE"""),"Teaching in any of the institutes/colleges/online or offline, Work as a freelancer and do my thing my way, Entrepreneur or Start Up, I Want to sell things/Sales")</f>
        <v>Teaching in any of the institutes/colleges/online or offline, Work as a freelancer and do my thing my way, Entrepreneur or Start Up, I Want to sell things/Sales</v>
      </c>
      <c r="O1811" s="1" t="str">
        <f ca="1">IFERROR(__xludf.DUMMYFUNCTION("""COMPUTED_VALUE"""),"Manager who explains what is expected, sets a goal and helps achieve it")</f>
        <v>Manager who explains what is expected, sets a goal and helps achieve it</v>
      </c>
      <c r="P1811" s="1" t="str">
        <f ca="1">IFERROR(__xludf.DUMMYFUNCTION("""COMPUTED_VALUE"""),"Work with 2 to 3 people in my team")</f>
        <v>Work with 2 to 3 people in my team</v>
      </c>
      <c r="Q1811" s="1" t="str">
        <f ca="1">IFERROR(__xludf.DUMMYFUNCTION("""COMPUTED_VALUE"""),"Yes")</f>
        <v>Yes</v>
      </c>
      <c r="R1811" s="1" t="str">
        <f ca="1">IFERROR(__xludf.DUMMYFUNCTION("""COMPUTED_VALUE"""),"This will be hard to do, but if it is the right company I would try")</f>
        <v>This will be hard to do, but if it is the right company I would try</v>
      </c>
      <c r="S1811" s="1"/>
    </row>
    <row r="1812" spans="1:19" ht="12.5" x14ac:dyDescent="0.25">
      <c r="A1812" s="2">
        <f ca="1">IFERROR(__xludf.DUMMYFUNCTION("""COMPUTED_VALUE"""),45050.6873875578)</f>
        <v>45050.687387557802</v>
      </c>
      <c r="B1812" s="1" t="str">
        <f ca="1">IFERROR(__xludf.DUMMYFUNCTION("""COMPUTED_VALUE"""),"India")</f>
        <v>India</v>
      </c>
      <c r="C1812" s="1">
        <f ca="1">IFERROR(__xludf.DUMMYFUNCTION("""COMPUTED_VALUE"""),412201)</f>
        <v>412201</v>
      </c>
      <c r="D1812" s="1" t="str">
        <f ca="1">IFERROR(__xludf.DUMMYFUNCTION("""COMPUTED_VALUE"""),"Male")</f>
        <v>Male</v>
      </c>
      <c r="E1812" s="1" t="str">
        <f ca="1">IFERROR(__xludf.DUMMYFUNCTION("""COMPUTED_VALUE"""),"People who have changed the world for better")</f>
        <v>People who have changed the world for better</v>
      </c>
      <c r="F1812" s="1" t="str">
        <f ca="1">IFERROR(__xludf.DUMMYFUNCTION("""COMPUTED_VALUE"""),"Yes, I will earn and do that")</f>
        <v>Yes, I will earn and do that</v>
      </c>
      <c r="G1812" s="1" t="str">
        <f ca="1">IFERROR(__xludf.DUMMYFUNCTION("""COMPUTED_VALUE"""),"This will be hard to do, but if it is the right company I would try")</f>
        <v>This will be hard to do, but if it is the right company I would try</v>
      </c>
      <c r="H1812" s="1" t="str">
        <f ca="1">IFERROR(__xludf.DUMMYFUNCTION("""COMPUTED_VALUE"""),"Yes")</f>
        <v>Yes</v>
      </c>
      <c r="I1812" s="1" t="str">
        <f ca="1">IFERROR(__xludf.DUMMYFUNCTION("""COMPUTED_VALUE"""),"Will NOT work for them")</f>
        <v>Will NOT work for them</v>
      </c>
      <c r="J1812" s="1">
        <f ca="1">IFERROR(__xludf.DUMMYFUNCTION("""COMPUTED_VALUE"""),8)</f>
        <v>8</v>
      </c>
      <c r="K1812" s="1" t="str">
        <f ca="1">IFERROR(__xludf.DUMMYFUNCTION("""COMPUTED_VALUE"""),"Fully Remote with No option to visit offices")</f>
        <v>Fully Remote with No option to visit offices</v>
      </c>
      <c r="L1812" s="1" t="str">
        <f ca="1">IFERROR(__xludf.DUMMYFUNCTION("""COMPUTED_VALUE"""),"Employer who rewards learning and enables that environment")</f>
        <v>Employer who rewards learning and enables that environment</v>
      </c>
      <c r="M181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812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18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812" s="1" t="str">
        <f ca="1">IFERROR(__xludf.DUMMYFUNCTION("""COMPUTED_VALUE"""),"Work with 5 to 6 people in my team")</f>
        <v>Work with 5 to 6 people in my team</v>
      </c>
      <c r="Q1812" s="1" t="str">
        <f ca="1">IFERROR(__xludf.DUMMYFUNCTION("""COMPUTED_VALUE"""),"Yes, I Understand this is gonna happen everywhere")</f>
        <v>Yes, I Understand this is gonna happen everywhere</v>
      </c>
      <c r="R1812" s="1" t="str">
        <f ca="1">IFERROR(__xludf.DUMMYFUNCTION("""COMPUTED_VALUE"""),"This will be hard to do, but if it is the right company I would try")</f>
        <v>This will be hard to do, but if it is the right company I would try</v>
      </c>
      <c r="S1812" s="1"/>
    </row>
    <row r="1813" spans="1:19" ht="12.5" x14ac:dyDescent="0.25">
      <c r="A1813" s="2">
        <f ca="1">IFERROR(__xludf.DUMMYFUNCTION("""COMPUTED_VALUE"""),45050.6920487384)</f>
        <v>45050.692048738398</v>
      </c>
      <c r="B1813" s="1" t="str">
        <f ca="1">IFERROR(__xludf.DUMMYFUNCTION("""COMPUTED_VALUE"""),"India")</f>
        <v>India</v>
      </c>
      <c r="C1813" s="1">
        <f ca="1">IFERROR(__xludf.DUMMYFUNCTION("""COMPUTED_VALUE"""),457001)</f>
        <v>457001</v>
      </c>
      <c r="D1813" s="1" t="str">
        <f ca="1">IFERROR(__xludf.DUMMYFUNCTION("""COMPUTED_VALUE"""),"Female")</f>
        <v>Female</v>
      </c>
      <c r="E1813" s="1" t="str">
        <f ca="1">IFERROR(__xludf.DUMMYFUNCTION("""COMPUTED_VALUE"""),"People who have changed the world for better")</f>
        <v>People who have changed the world for better</v>
      </c>
      <c r="F1813" s="1" t="str">
        <f ca="1">IFERROR(__xludf.DUMMYFUNCTION("""COMPUTED_VALUE"""),"No, But if someone could bare the cost I will")</f>
        <v>No, But if someone could bare the cost I will</v>
      </c>
      <c r="G1813" s="1" t="str">
        <f ca="1">IFERROR(__xludf.DUMMYFUNCTION("""COMPUTED_VALUE"""),"This will be hard to do, but if it is the right company I would try")</f>
        <v>This will be hard to do, but if it is the right company I would try</v>
      </c>
      <c r="H1813" s="1" t="str">
        <f ca="1">IFERROR(__xludf.DUMMYFUNCTION("""COMPUTED_VALUE"""),"Yes")</f>
        <v>Yes</v>
      </c>
      <c r="I1813" s="1" t="str">
        <f ca="1">IFERROR(__xludf.DUMMYFUNCTION("""COMPUTED_VALUE"""),"Will NOT work for them")</f>
        <v>Will NOT work for them</v>
      </c>
      <c r="J1813" s="1">
        <f ca="1">IFERROR(__xludf.DUMMYFUNCTION("""COMPUTED_VALUE"""),1)</f>
        <v>1</v>
      </c>
      <c r="K1813" s="1" t="str">
        <f ca="1">IFERROR(__xludf.DUMMYFUNCTION("""COMPUTED_VALUE"""),"Hybrid Working Environment with more than 15 days a month at office")</f>
        <v>Hybrid Working Environment with more than 15 days a month at office</v>
      </c>
      <c r="L1813" s="1" t="str">
        <f ca="1">IFERROR(__xludf.DUMMYFUNCTION("""COMPUTED_VALUE"""),"Employer who appreciates learning and enables that environment")</f>
        <v>Employer who appreciates learning and enables that environment</v>
      </c>
      <c r="M181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13" s="1" t="str">
        <f ca="1">IFERROR(__xludf.DUMMYFUNCTION("""COMPUTED_VALUE"""),"Design and Creative strategy in any company, Teaching in any of the institutes/colleges/online or offline, Work as a freelancer and do my thing my way, Entrepreneur or Start Up")</f>
        <v>Design and Creative strategy in any company, Teaching in any of the institutes/colleges/online or offline, Work as a freelancer and do my thing my way, Entrepreneur or Start Up</v>
      </c>
      <c r="O1813" s="1" t="str">
        <f ca="1">IFERROR(__xludf.DUMMYFUNCTION("""COMPUTED_VALUE"""),"Manager who sets goal and helps me achieve it")</f>
        <v>Manager who sets goal and helps me achieve it</v>
      </c>
      <c r="P1813" s="1" t="str">
        <f ca="1">IFERROR(__xludf.DUMMYFUNCTION("""COMPUTED_VALUE"""),"Work with 5 to 6 people in my team")</f>
        <v>Work with 5 to 6 people in my team</v>
      </c>
      <c r="Q1813" s="1" t="str">
        <f ca="1">IFERROR(__xludf.DUMMYFUNCTION("""COMPUTED_VALUE"""),"Yes, I Understand this is gonna happen everywhere")</f>
        <v>Yes, I Understand this is gonna happen everywhere</v>
      </c>
      <c r="R1813" s="1" t="str">
        <f ca="1">IFERROR(__xludf.DUMMYFUNCTION("""COMPUTED_VALUE"""),"This will be hard to do, but if it is the right company I would try")</f>
        <v>This will be hard to do, but if it is the right company I would try</v>
      </c>
      <c r="S1813" s="1"/>
    </row>
    <row r="1814" spans="1:19" ht="12.5" x14ac:dyDescent="0.25">
      <c r="A1814" s="2">
        <f ca="1">IFERROR(__xludf.DUMMYFUNCTION("""COMPUTED_VALUE"""),45050.6942625463)</f>
        <v>45050.694262546298</v>
      </c>
      <c r="B1814" s="1" t="str">
        <f ca="1">IFERROR(__xludf.DUMMYFUNCTION("""COMPUTED_VALUE"""),"India")</f>
        <v>India</v>
      </c>
      <c r="C1814" s="1">
        <f ca="1">IFERROR(__xludf.DUMMYFUNCTION("""COMPUTED_VALUE"""),457001)</f>
        <v>457001</v>
      </c>
      <c r="D1814" s="1" t="str">
        <f ca="1">IFERROR(__xludf.DUMMYFUNCTION("""COMPUTED_VALUE"""),"Male")</f>
        <v>Male</v>
      </c>
      <c r="E1814" s="1" t="str">
        <f ca="1">IFERROR(__xludf.DUMMYFUNCTION("""COMPUTED_VALUE"""),"People from my circle, but not family members")</f>
        <v>People from my circle, but not family members</v>
      </c>
      <c r="F1814" s="1" t="str">
        <f ca="1">IFERROR(__xludf.DUMMYFUNCTION("""COMPUTED_VALUE"""),"No I would not be pursuing Higher Education outside of India")</f>
        <v>No I would not be pursuing Higher Education outside of India</v>
      </c>
      <c r="G1814" s="1" t="str">
        <f ca="1">IFERROR(__xludf.DUMMYFUNCTION("""COMPUTED_VALUE"""),"This will be hard to do, but if it is the right company I would try")</f>
        <v>This will be hard to do, but if it is the right company I would try</v>
      </c>
      <c r="H1814" s="1" t="str">
        <f ca="1">IFERROR(__xludf.DUMMYFUNCTION("""COMPUTED_VALUE"""),"No")</f>
        <v>No</v>
      </c>
      <c r="I1814" s="1" t="str">
        <f ca="1">IFERROR(__xludf.DUMMYFUNCTION("""COMPUTED_VALUE"""),"Will NOT work for them")</f>
        <v>Will NOT work for them</v>
      </c>
      <c r="J1814" s="1">
        <f ca="1">IFERROR(__xludf.DUMMYFUNCTION("""COMPUTED_VALUE"""),4)</f>
        <v>4</v>
      </c>
      <c r="K1814" s="1" t="str">
        <f ca="1">IFERROR(__xludf.DUMMYFUNCTION("""COMPUTED_VALUE"""),"Hybrid Working Environment with less than 3 days a month at office")</f>
        <v>Hybrid Working Environment with less than 3 days a month at office</v>
      </c>
      <c r="L18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1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14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1814" s="1" t="str">
        <f ca="1">IFERROR(__xludf.DUMMYFUNCTION("""COMPUTED_VALUE"""),"Manager who explains what is expected, sets a goal and helps achieve it")</f>
        <v>Manager who explains what is expected, sets a goal and helps achieve it</v>
      </c>
      <c r="P1814" s="1" t="str">
        <f ca="1">IFERROR(__xludf.DUMMYFUNCTION("""COMPUTED_VALUE"""),"Work with 5 to 6 people in my team")</f>
        <v>Work with 5 to 6 people in my team</v>
      </c>
      <c r="Q1814" s="1" t="str">
        <f ca="1">IFERROR(__xludf.DUMMYFUNCTION("""COMPUTED_VALUE"""),"Yes, I Understand this is gonna happen everywhere")</f>
        <v>Yes, I Understand this is gonna happen everywhere</v>
      </c>
      <c r="R1814" s="1" t="str">
        <f ca="1">IFERROR(__xludf.DUMMYFUNCTION("""COMPUTED_VALUE"""),"This will be hard to do, but if it is the right company I would try")</f>
        <v>This will be hard to do, but if it is the right company I would try</v>
      </c>
      <c r="S1814" s="1"/>
    </row>
    <row r="1815" spans="1:19" ht="12.5" x14ac:dyDescent="0.25">
      <c r="A1815" s="2">
        <f ca="1">IFERROR(__xludf.DUMMYFUNCTION("""COMPUTED_VALUE"""),45050.7057763078)</f>
        <v>45050.705776307797</v>
      </c>
      <c r="B1815" s="1" t="str">
        <f ca="1">IFERROR(__xludf.DUMMYFUNCTION("""COMPUTED_VALUE"""),"India")</f>
        <v>India</v>
      </c>
      <c r="C1815" s="1">
        <f ca="1">IFERROR(__xludf.DUMMYFUNCTION("""COMPUTED_VALUE"""),500085)</f>
        <v>500085</v>
      </c>
      <c r="D1815" s="1" t="str">
        <f ca="1">IFERROR(__xludf.DUMMYFUNCTION("""COMPUTED_VALUE"""),"Female")</f>
        <v>Female</v>
      </c>
      <c r="E1815" s="1" t="str">
        <f ca="1">IFERROR(__xludf.DUMMYFUNCTION("""COMPUTED_VALUE"""),"People who have changed the world for better")</f>
        <v>People who have changed the world for better</v>
      </c>
      <c r="F1815" s="1" t="str">
        <f ca="1">IFERROR(__xludf.DUMMYFUNCTION("""COMPUTED_VALUE"""),"Yes, I will earn and do that")</f>
        <v>Yes, I will earn and do that</v>
      </c>
      <c r="G1815" s="1" t="str">
        <f ca="1">IFERROR(__xludf.DUMMYFUNCTION("""COMPUTED_VALUE"""),"Will work for 3 years or more")</f>
        <v>Will work for 3 years or more</v>
      </c>
      <c r="H1815" s="1" t="str">
        <f ca="1">IFERROR(__xludf.DUMMYFUNCTION("""COMPUTED_VALUE"""),"No")</f>
        <v>No</v>
      </c>
      <c r="I1815" s="1" t="str">
        <f ca="1">IFERROR(__xludf.DUMMYFUNCTION("""COMPUTED_VALUE"""),"Will NOT work for them")</f>
        <v>Will NOT work for them</v>
      </c>
      <c r="J1815" s="1">
        <f ca="1">IFERROR(__xludf.DUMMYFUNCTION("""COMPUTED_VALUE"""),10)</f>
        <v>10</v>
      </c>
      <c r="K1815" s="1" t="str">
        <f ca="1">IFERROR(__xludf.DUMMYFUNCTION("""COMPUTED_VALUE"""),"Hybrid Working Environment with more than 15 days a month at office")</f>
        <v>Hybrid Working Environment with more than 15 days a month at office</v>
      </c>
      <c r="L18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1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15" s="1" t="str">
        <f ca="1">IFERROR(__xludf.DUMMYFUNCTION("""COMPUTED_VALUE"""),"Design and Creative strategy in any company, Teaching in any of the institutes/colleges/online or offline, Work as a freelancer and do my thing my way, Become a content Creator in some platform")</f>
        <v>Design and Creative strategy in any company, Teaching in any of the institutes/colleges/online or offline, Work as a freelancer and do my thing my way, Become a content Creator in some platform</v>
      </c>
      <c r="O1815" s="1" t="str">
        <f ca="1">IFERROR(__xludf.DUMMYFUNCTION("""COMPUTED_VALUE"""),"Manager who clearly describes what she/he needs")</f>
        <v>Manager who clearly describes what she/he needs</v>
      </c>
      <c r="P1815" s="1" t="str">
        <f ca="1">IFERROR(__xludf.DUMMYFUNCTION("""COMPUTED_VALUE"""),"Work with 2 to 3 people in my team")</f>
        <v>Work with 2 to 3 people in my team</v>
      </c>
      <c r="Q1815" s="1" t="str">
        <f ca="1">IFERROR(__xludf.DUMMYFUNCTION("""COMPUTED_VALUE"""),"Yes, I Understand this is gonna happen everywhere")</f>
        <v>Yes, I Understand this is gonna happen everywhere</v>
      </c>
      <c r="R1815" s="1" t="str">
        <f ca="1">IFERROR(__xludf.DUMMYFUNCTION("""COMPUTED_VALUE"""),"Will work for 7 years or more")</f>
        <v>Will work for 7 years or more</v>
      </c>
      <c r="S1815" s="1"/>
    </row>
    <row r="1816" spans="1:19" ht="12.5" x14ac:dyDescent="0.25">
      <c r="A1816" s="2">
        <f ca="1">IFERROR(__xludf.DUMMYFUNCTION("""COMPUTED_VALUE"""),45050.7189561226)</f>
        <v>45050.718956122597</v>
      </c>
      <c r="B1816" s="1" t="str">
        <f ca="1">IFERROR(__xludf.DUMMYFUNCTION("""COMPUTED_VALUE"""),"India")</f>
        <v>India</v>
      </c>
      <c r="C1816" s="1">
        <f ca="1">IFERROR(__xludf.DUMMYFUNCTION("""COMPUTED_VALUE"""),700102)</f>
        <v>700102</v>
      </c>
      <c r="D1816" s="1" t="str">
        <f ca="1">IFERROR(__xludf.DUMMYFUNCTION("""COMPUTED_VALUE"""),"Male")</f>
        <v>Male</v>
      </c>
      <c r="E1816" s="1" t="str">
        <f ca="1">IFERROR(__xludf.DUMMYFUNCTION("""COMPUTED_VALUE"""),"People who have changed the world for better")</f>
        <v>People who have changed the world for better</v>
      </c>
      <c r="F1816" s="1" t="str">
        <f ca="1">IFERROR(__xludf.DUMMYFUNCTION("""COMPUTED_VALUE"""),"No I would not be pursuing Higher Education outside of India")</f>
        <v>No I would not be pursuing Higher Education outside of India</v>
      </c>
      <c r="G1816" s="1" t="str">
        <f ca="1">IFERROR(__xludf.DUMMYFUNCTION("""COMPUTED_VALUE"""),"This will be hard to do, but if it is the right company I would try")</f>
        <v>This will be hard to do, but if it is the right company I would try</v>
      </c>
      <c r="H1816" s="1" t="str">
        <f ca="1">IFERROR(__xludf.DUMMYFUNCTION("""COMPUTED_VALUE"""),"No")</f>
        <v>No</v>
      </c>
      <c r="I1816" s="1" t="str">
        <f ca="1">IFERROR(__xludf.DUMMYFUNCTION("""COMPUTED_VALUE"""),"Will NOT work for them")</f>
        <v>Will NOT work for them</v>
      </c>
      <c r="J1816" s="1">
        <f ca="1">IFERROR(__xludf.DUMMYFUNCTION("""COMPUTED_VALUE"""),8)</f>
        <v>8</v>
      </c>
      <c r="K1816" s="1" t="str">
        <f ca="1">IFERROR(__xludf.DUMMYFUNCTION("""COMPUTED_VALUE"""),"Hybrid Working Environment with more than 15 days a month at office")</f>
        <v>Hybrid Working Environment with more than 15 days a month at office</v>
      </c>
      <c r="L18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1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16" s="1" t="str">
        <f ca="1">IFERROR(__xludf.DUMMYFUNCTION("""COMPUTED_VALUE"""),"Business Operations in any organization, Manage and drive End-to-End Projects or Products, Build and develop a Team, Work as a freelancer and do my thing my way")</f>
        <v>Business Operations in any organization, Manage and drive End-to-End Projects or Products, Build and develop a Team, Work as a freelancer and do my thing my way</v>
      </c>
      <c r="O18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816" s="1" t="str">
        <f ca="1">IFERROR(__xludf.DUMMYFUNCTION("""COMPUTED_VALUE"""),"Work alone, Work with 2 to 3 people in my team")</f>
        <v>Work alone, Work with 2 to 3 people in my team</v>
      </c>
      <c r="Q1816" s="1" t="str">
        <f ca="1">IFERROR(__xludf.DUMMYFUNCTION("""COMPUTED_VALUE"""),"Yes, I Understand this is gonna happen everywhere")</f>
        <v>Yes, I Understand this is gonna happen everywhere</v>
      </c>
      <c r="R1816" s="1" t="str">
        <f ca="1">IFERROR(__xludf.DUMMYFUNCTION("""COMPUTED_VALUE"""),"This will be hard to do, but if it is the right company I would try")</f>
        <v>This will be hard to do, but if it is the right company I would try</v>
      </c>
      <c r="S1816" s="1"/>
    </row>
    <row r="1817" spans="1:19" ht="12.5" x14ac:dyDescent="0.25">
      <c r="A1817" s="2">
        <f ca="1">IFERROR(__xludf.DUMMYFUNCTION("""COMPUTED_VALUE"""),45050.7277421527)</f>
        <v>45050.727742152703</v>
      </c>
      <c r="B1817" s="1" t="str">
        <f ca="1">IFERROR(__xludf.DUMMYFUNCTION("""COMPUTED_VALUE"""),"India")</f>
        <v>India</v>
      </c>
      <c r="C1817" s="1">
        <f ca="1">IFERROR(__xludf.DUMMYFUNCTION("""COMPUTED_VALUE"""),530024)</f>
        <v>530024</v>
      </c>
      <c r="D1817" s="1" t="str">
        <f ca="1">IFERROR(__xludf.DUMMYFUNCTION("""COMPUTED_VALUE"""),"Male")</f>
        <v>Male</v>
      </c>
      <c r="E1817" s="1" t="str">
        <f ca="1">IFERROR(__xludf.DUMMYFUNCTION("""COMPUTED_VALUE"""),"My Parents")</f>
        <v>My Parents</v>
      </c>
      <c r="F1817" s="1" t="str">
        <f ca="1">IFERROR(__xludf.DUMMYFUNCTION("""COMPUTED_VALUE"""),"No I would not be pursuing Higher Education outside of India")</f>
        <v>No I would not be pursuing Higher Education outside of India</v>
      </c>
      <c r="G1817" s="1" t="str">
        <f ca="1">IFERROR(__xludf.DUMMYFUNCTION("""COMPUTED_VALUE"""),"Will work for 3 years or more")</f>
        <v>Will work for 3 years or more</v>
      </c>
      <c r="H1817" s="1" t="str">
        <f ca="1">IFERROR(__xludf.DUMMYFUNCTION("""COMPUTED_VALUE"""),"No")</f>
        <v>No</v>
      </c>
      <c r="I1817" s="1" t="str">
        <f ca="1">IFERROR(__xludf.DUMMYFUNCTION("""COMPUTED_VALUE"""),"Will NOT work for them")</f>
        <v>Will NOT work for them</v>
      </c>
      <c r="J1817" s="1">
        <f ca="1">IFERROR(__xludf.DUMMYFUNCTION("""COMPUTED_VALUE"""),6)</f>
        <v>6</v>
      </c>
      <c r="K1817" s="1" t="str">
        <f ca="1">IFERROR(__xludf.DUMMYFUNCTION("""COMPUTED_VALUE"""),"Fully Remote with Options to travel as and when needed")</f>
        <v>Fully Remote with Options to travel as and when needed</v>
      </c>
      <c r="L1817" s="1" t="str">
        <f ca="1">IFERROR(__xludf.DUMMYFUNCTION("""COMPUTED_VALUE"""),"Employer who rewards learning and enables that environment")</f>
        <v>Employer who rewards learning and enables that environment</v>
      </c>
      <c r="M181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17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1817" s="1" t="str">
        <f ca="1">IFERROR(__xludf.DUMMYFUNCTION("""COMPUTED_VALUE"""),"Manager who sets goal and helps me achieve it")</f>
        <v>Manager who sets goal and helps me achieve it</v>
      </c>
      <c r="P1817" s="1" t="str">
        <f ca="1">IFERROR(__xludf.DUMMYFUNCTION("""COMPUTED_VALUE"""),"Work with 7 to 10 or more people in my team")</f>
        <v>Work with 7 to 10 or more people in my team</v>
      </c>
      <c r="Q1817" s="1" t="str">
        <f ca="1">IFERROR(__xludf.DUMMYFUNCTION("""COMPUTED_VALUE"""),"Yes, I Understand this is gonna happen everywhere")</f>
        <v>Yes, I Understand this is gonna happen everywhere</v>
      </c>
      <c r="R1817" s="1" t="str">
        <f ca="1">IFERROR(__xludf.DUMMYFUNCTION("""COMPUTED_VALUE"""),"This will be hard to do, but if it is the right company I would try")</f>
        <v>This will be hard to do, but if it is the right company I would try</v>
      </c>
      <c r="S1817" s="1"/>
    </row>
    <row r="1818" spans="1:19" ht="12.5" x14ac:dyDescent="0.25">
      <c r="A1818" s="2">
        <f ca="1">IFERROR(__xludf.DUMMYFUNCTION("""COMPUTED_VALUE"""),45050.7390075694)</f>
        <v>45050.739007569398</v>
      </c>
      <c r="B1818" s="1" t="str">
        <f ca="1">IFERROR(__xludf.DUMMYFUNCTION("""COMPUTED_VALUE"""),"India")</f>
        <v>India</v>
      </c>
      <c r="C1818" s="1">
        <f ca="1">IFERROR(__xludf.DUMMYFUNCTION("""COMPUTED_VALUE"""),462002)</f>
        <v>462002</v>
      </c>
      <c r="D1818" s="1" t="str">
        <f ca="1">IFERROR(__xludf.DUMMYFUNCTION("""COMPUTED_VALUE"""),"Male")</f>
        <v>Male</v>
      </c>
      <c r="E1818" s="1" t="str">
        <f ca="1">IFERROR(__xludf.DUMMYFUNCTION("""COMPUTED_VALUE"""),"My Parents")</f>
        <v>My Parents</v>
      </c>
      <c r="F1818" s="1" t="str">
        <f ca="1">IFERROR(__xludf.DUMMYFUNCTION("""COMPUTED_VALUE"""),"Yes, I will earn and do that")</f>
        <v>Yes, I will earn and do that</v>
      </c>
      <c r="G1818" s="1" t="str">
        <f ca="1">IFERROR(__xludf.DUMMYFUNCTION("""COMPUTED_VALUE"""),"Will work for 3 years or more")</f>
        <v>Will work for 3 years or more</v>
      </c>
      <c r="H1818" s="1" t="str">
        <f ca="1">IFERROR(__xludf.DUMMYFUNCTION("""COMPUTED_VALUE"""),"No")</f>
        <v>No</v>
      </c>
      <c r="I1818" s="1" t="str">
        <f ca="1">IFERROR(__xludf.DUMMYFUNCTION("""COMPUTED_VALUE"""),"Will NOT work for them")</f>
        <v>Will NOT work for them</v>
      </c>
      <c r="J1818" s="1">
        <f ca="1">IFERROR(__xludf.DUMMYFUNCTION("""COMPUTED_VALUE"""),6)</f>
        <v>6</v>
      </c>
      <c r="K1818" s="1" t="str">
        <f ca="1">IFERROR(__xludf.DUMMYFUNCTION("""COMPUTED_VALUE"""),"Hybrid Working Environment with more than 15 days a month at office")</f>
        <v>Hybrid Working Environment with more than 15 days a month at office</v>
      </c>
      <c r="L18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1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18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18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818" s="1" t="str">
        <f ca="1">IFERROR(__xludf.DUMMYFUNCTION("""COMPUTED_VALUE"""),"Work with 2 to 3 people in my team")</f>
        <v>Work with 2 to 3 people in my team</v>
      </c>
      <c r="Q1818" s="1" t="str">
        <f ca="1">IFERROR(__xludf.DUMMYFUNCTION("""COMPUTED_VALUE"""),"Yes, I Understand this is gonna happen everywhere")</f>
        <v>Yes, I Understand this is gonna happen everywhere</v>
      </c>
      <c r="R1818" s="1" t="str">
        <f ca="1">IFERROR(__xludf.DUMMYFUNCTION("""COMPUTED_VALUE"""),"This will be hard to do, but if it is the right company I would try")</f>
        <v>This will be hard to do, but if it is the right company I would try</v>
      </c>
      <c r="S1818" s="1"/>
    </row>
    <row r="1819" spans="1:19" ht="12.5" x14ac:dyDescent="0.25">
      <c r="A1819" s="2">
        <f ca="1">IFERROR(__xludf.DUMMYFUNCTION("""COMPUTED_VALUE"""),45050.7513421296)</f>
        <v>45050.751342129603</v>
      </c>
      <c r="B1819" s="1" t="str">
        <f ca="1">IFERROR(__xludf.DUMMYFUNCTION("""COMPUTED_VALUE"""),"India")</f>
        <v>India</v>
      </c>
      <c r="C1819" s="1">
        <f ca="1">IFERROR(__xludf.DUMMYFUNCTION("""COMPUTED_VALUE"""),76009)</f>
        <v>76009</v>
      </c>
      <c r="D1819" s="1" t="str">
        <f ca="1">IFERROR(__xludf.DUMMYFUNCTION("""COMPUTED_VALUE"""),"Male")</f>
        <v>Male</v>
      </c>
      <c r="E1819" s="1" t="str">
        <f ca="1">IFERROR(__xludf.DUMMYFUNCTION("""COMPUTED_VALUE"""),"My Parents")</f>
        <v>My Parents</v>
      </c>
      <c r="F1819" s="1" t="str">
        <f ca="1">IFERROR(__xludf.DUMMYFUNCTION("""COMPUTED_VALUE"""),"Yes, I will earn and do that")</f>
        <v>Yes, I will earn and do that</v>
      </c>
      <c r="G1819" s="1" t="str">
        <f ca="1">IFERROR(__xludf.DUMMYFUNCTION("""COMPUTED_VALUE"""),"Will work for 3 years or more")</f>
        <v>Will work for 3 years or more</v>
      </c>
      <c r="H1819" s="1" t="str">
        <f ca="1">IFERROR(__xludf.DUMMYFUNCTION("""COMPUTED_VALUE"""),"Yes")</f>
        <v>Yes</v>
      </c>
      <c r="I1819" s="1" t="str">
        <f ca="1">IFERROR(__xludf.DUMMYFUNCTION("""COMPUTED_VALUE"""),"Will work for them")</f>
        <v>Will work for them</v>
      </c>
      <c r="J1819" s="1">
        <f ca="1">IFERROR(__xludf.DUMMYFUNCTION("""COMPUTED_VALUE"""),8)</f>
        <v>8</v>
      </c>
      <c r="K1819" s="1" t="str">
        <f ca="1">IFERROR(__xludf.DUMMYFUNCTION("""COMPUTED_VALUE"""),"Every Day Office Environment")</f>
        <v>Every Day Office Environment</v>
      </c>
      <c r="L18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1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19" s="1" t="str">
        <f ca="1">IFERROR(__xludf.DUMMYFUNCTION("""COMPUTED_VALUE"""),"Teaching in any of the institutes/colleges/online or offline, Build and develop a Team, Work in a BPO setup for some well known client, Become a content Creator in some platform")</f>
        <v>Teaching in any of the institutes/colleges/online or offline, Build and develop a Team, Work in a BPO setup for some well known client, Become a content Creator in some platform</v>
      </c>
      <c r="O1819" s="1" t="str">
        <f ca="1">IFERROR(__xludf.DUMMYFUNCTION("""COMPUTED_VALUE"""),"Manager who clearly describes what she/he needs")</f>
        <v>Manager who clearly describes what she/he needs</v>
      </c>
      <c r="P1819" s="1" t="str">
        <f ca="1">IFERROR(__xludf.DUMMYFUNCTION("""COMPUTED_VALUE"""),"Work with 7 to 10 or more people in my team")</f>
        <v>Work with 7 to 10 or more people in my team</v>
      </c>
      <c r="Q1819" s="1" t="str">
        <f ca="1">IFERROR(__xludf.DUMMYFUNCTION("""COMPUTED_VALUE"""),"Yes")</f>
        <v>Yes</v>
      </c>
      <c r="R1819" s="1" t="str">
        <f ca="1">IFERROR(__xludf.DUMMYFUNCTION("""COMPUTED_VALUE"""),"Will work for 7 years or more")</f>
        <v>Will work for 7 years or more</v>
      </c>
      <c r="S1819" s="1"/>
    </row>
    <row r="1820" spans="1:19" ht="12.5" x14ac:dyDescent="0.25">
      <c r="A1820" s="2">
        <f ca="1">IFERROR(__xludf.DUMMYFUNCTION("""COMPUTED_VALUE"""),45050.751438287)</f>
        <v>45050.751438286999</v>
      </c>
      <c r="B1820" s="1" t="str">
        <f ca="1">IFERROR(__xludf.DUMMYFUNCTION("""COMPUTED_VALUE"""),"India")</f>
        <v>India</v>
      </c>
      <c r="C1820" s="1">
        <f ca="1">IFERROR(__xludf.DUMMYFUNCTION("""COMPUTED_VALUE"""),412201)</f>
        <v>412201</v>
      </c>
      <c r="D1820" s="1" t="str">
        <f ca="1">IFERROR(__xludf.DUMMYFUNCTION("""COMPUTED_VALUE"""),"Female")</f>
        <v>Female</v>
      </c>
      <c r="E1820" s="1" t="str">
        <f ca="1">IFERROR(__xludf.DUMMYFUNCTION("""COMPUTED_VALUE"""),"My Parents")</f>
        <v>My Parents</v>
      </c>
      <c r="F1820" s="1" t="str">
        <f ca="1">IFERROR(__xludf.DUMMYFUNCTION("""COMPUTED_VALUE"""),"No I would not be pursuing Higher Education outside of India")</f>
        <v>No I would not be pursuing Higher Education outside of India</v>
      </c>
      <c r="G1820" s="1" t="str">
        <f ca="1">IFERROR(__xludf.DUMMYFUNCTION("""COMPUTED_VALUE"""),"This will be hard to do, but if it is the right company I would try")</f>
        <v>This will be hard to do, but if it is the right company I would try</v>
      </c>
      <c r="H1820" s="1" t="str">
        <f ca="1">IFERROR(__xludf.DUMMYFUNCTION("""COMPUTED_VALUE"""),"Yes")</f>
        <v>Yes</v>
      </c>
      <c r="I1820" s="1" t="str">
        <f ca="1">IFERROR(__xludf.DUMMYFUNCTION("""COMPUTED_VALUE"""),"Will NOT work for them")</f>
        <v>Will NOT work for them</v>
      </c>
      <c r="J1820" s="1">
        <f ca="1">IFERROR(__xludf.DUMMYFUNCTION("""COMPUTED_VALUE"""),6)</f>
        <v>6</v>
      </c>
      <c r="K1820" s="1" t="str">
        <f ca="1">IFERROR(__xludf.DUMMYFUNCTION("""COMPUTED_VALUE"""),"Fully Remote with Options to travel as and when needed")</f>
        <v>Fully Remote with Options to travel as and when needed</v>
      </c>
      <c r="L18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2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20" s="1" t="str">
        <f ca="1">IFERROR(__xludf.DUMMYFUNCTION("""COMPUTED_VALUE"""),"Business Operations in any organization, Build and develop a Team, Look deeply into Data and generate insights, Work as a freelancer and do my thing my way")</f>
        <v>Business Operations in any organization, Build and develop a Team, Look deeply into Data and generate insights, Work as a freelancer and do my thing my way</v>
      </c>
      <c r="O182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20" s="1" t="str">
        <f ca="1">IFERROR(__xludf.DUMMYFUNCTION("""COMPUTED_VALUE"""),"Work with 2 to 3 people in my team")</f>
        <v>Work with 2 to 3 people in my team</v>
      </c>
      <c r="Q1820" s="1" t="str">
        <f ca="1">IFERROR(__xludf.DUMMYFUNCTION("""COMPUTED_VALUE"""),"Yes, I Understand this is gonna happen everywhere")</f>
        <v>Yes, I Understand this is gonna happen everywhere</v>
      </c>
      <c r="R1820" s="1" t="str">
        <f ca="1">IFERROR(__xludf.DUMMYFUNCTION("""COMPUTED_VALUE"""),"No way")</f>
        <v>No way</v>
      </c>
      <c r="S1820" s="1"/>
    </row>
    <row r="1821" spans="1:19" ht="12.5" x14ac:dyDescent="0.25">
      <c r="A1821" s="2">
        <f ca="1">IFERROR(__xludf.DUMMYFUNCTION("""COMPUTED_VALUE"""),45050.7540307523)</f>
        <v>45050.754030752301</v>
      </c>
      <c r="B1821" s="1" t="str">
        <f ca="1">IFERROR(__xludf.DUMMYFUNCTION("""COMPUTED_VALUE"""),"India")</f>
        <v>India</v>
      </c>
      <c r="C1821" s="1">
        <f ca="1">IFERROR(__xludf.DUMMYFUNCTION("""COMPUTED_VALUE"""),452001)</f>
        <v>452001</v>
      </c>
      <c r="D1821" s="1" t="str">
        <f ca="1">IFERROR(__xludf.DUMMYFUNCTION("""COMPUTED_VALUE"""),"Male")</f>
        <v>Male</v>
      </c>
      <c r="E1821" s="1" t="str">
        <f ca="1">IFERROR(__xludf.DUMMYFUNCTION("""COMPUTED_VALUE"""),"My Parents")</f>
        <v>My Parents</v>
      </c>
      <c r="F1821" s="1" t="str">
        <f ca="1">IFERROR(__xludf.DUMMYFUNCTION("""COMPUTED_VALUE"""),"No, But if someone could bare the cost I will")</f>
        <v>No, But if someone could bare the cost I will</v>
      </c>
      <c r="G1821" s="1" t="str">
        <f ca="1">IFERROR(__xludf.DUMMYFUNCTION("""COMPUTED_VALUE"""),"No way")</f>
        <v>No way</v>
      </c>
      <c r="H1821" s="1" t="str">
        <f ca="1">IFERROR(__xludf.DUMMYFUNCTION("""COMPUTED_VALUE"""),"Yes")</f>
        <v>Yes</v>
      </c>
      <c r="I1821" s="1" t="str">
        <f ca="1">IFERROR(__xludf.DUMMYFUNCTION("""COMPUTED_VALUE"""),"Will work for them")</f>
        <v>Will work for them</v>
      </c>
      <c r="J1821" s="1">
        <f ca="1">IFERROR(__xludf.DUMMYFUNCTION("""COMPUTED_VALUE"""),5)</f>
        <v>5</v>
      </c>
      <c r="K1821" s="1" t="str">
        <f ca="1">IFERROR(__xludf.DUMMYFUNCTION("""COMPUTED_VALUE"""),"Hybrid Working Environment with less than 3 days a month at office")</f>
        <v>Hybrid Working Environment with less than 3 days a month at office</v>
      </c>
      <c r="L18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2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821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821" s="1" t="str">
        <f ca="1">IFERROR(__xludf.DUMMYFUNCTION("""COMPUTED_VALUE"""),"Manager who sets goal and helps me achieve it")</f>
        <v>Manager who sets goal and helps me achieve it</v>
      </c>
      <c r="P1821" s="1" t="str">
        <f ca="1">IFERROR(__xludf.DUMMYFUNCTION("""COMPUTED_VALUE"""),"Work with 2 to 3 people in my team")</f>
        <v>Work with 2 to 3 people in my team</v>
      </c>
      <c r="Q1821" s="1" t="str">
        <f ca="1">IFERROR(__xludf.DUMMYFUNCTION("""COMPUTED_VALUE"""),"I have NO other choice")</f>
        <v>I have NO other choice</v>
      </c>
      <c r="R1821" s="1" t="str">
        <f ca="1">IFERROR(__xludf.DUMMYFUNCTION("""COMPUTED_VALUE"""),"No way")</f>
        <v>No way</v>
      </c>
      <c r="S1821" s="1"/>
    </row>
    <row r="1822" spans="1:19" ht="12.5" x14ac:dyDescent="0.25">
      <c r="A1822" s="2">
        <f ca="1">IFERROR(__xludf.DUMMYFUNCTION("""COMPUTED_VALUE"""),45050.7795207638)</f>
        <v>45050.779520763797</v>
      </c>
      <c r="B1822" s="1" t="str">
        <f ca="1">IFERROR(__xludf.DUMMYFUNCTION("""COMPUTED_VALUE"""),"India")</f>
        <v>India</v>
      </c>
      <c r="C1822" s="1">
        <f ca="1">IFERROR(__xludf.DUMMYFUNCTION("""COMPUTED_VALUE"""),530047)</f>
        <v>530047</v>
      </c>
      <c r="D1822" s="1" t="str">
        <f ca="1">IFERROR(__xludf.DUMMYFUNCTION("""COMPUTED_VALUE"""),"Male")</f>
        <v>Male</v>
      </c>
      <c r="E1822" s="1" t="str">
        <f ca="1">IFERROR(__xludf.DUMMYFUNCTION("""COMPUTED_VALUE"""),"Influencers who had successful careers")</f>
        <v>Influencers who had successful careers</v>
      </c>
      <c r="F1822" s="1" t="str">
        <f ca="1">IFERROR(__xludf.DUMMYFUNCTION("""COMPUTED_VALUE"""),"Yes, I will earn and do that")</f>
        <v>Yes, I will earn and do that</v>
      </c>
      <c r="G1822" s="1" t="str">
        <f ca="1">IFERROR(__xludf.DUMMYFUNCTION("""COMPUTED_VALUE"""),"This will be hard to do, but if it is the right company I would try")</f>
        <v>This will be hard to do, but if it is the right company I would try</v>
      </c>
      <c r="H1822" s="1" t="str">
        <f ca="1">IFERROR(__xludf.DUMMYFUNCTION("""COMPUTED_VALUE"""),"No")</f>
        <v>No</v>
      </c>
      <c r="I1822" s="1" t="str">
        <f ca="1">IFERROR(__xludf.DUMMYFUNCTION("""COMPUTED_VALUE"""),"Will NOT work for them")</f>
        <v>Will NOT work for them</v>
      </c>
      <c r="J1822" s="1">
        <f ca="1">IFERROR(__xludf.DUMMYFUNCTION("""COMPUTED_VALUE"""),1)</f>
        <v>1</v>
      </c>
      <c r="K1822" s="1" t="str">
        <f ca="1">IFERROR(__xludf.DUMMYFUNCTION("""COMPUTED_VALUE"""),"Fully Remote with Options to travel as and when needed")</f>
        <v>Fully Remote with Options to travel as and when needed</v>
      </c>
      <c r="L18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2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822" s="1" t="str">
        <f ca="1">IFERROR(__xludf.DUMMYFUNCTION("""COMPUTED_VALUE"""),"Design and Creative strategy in any company, Business Operations in any organization, Entrepreneur or Start Up, I Want to sell things/Sales")</f>
        <v>Design and Creative strategy in any company, Business Operations in any organization, Entrepreneur or Start Up, I Want to sell things/Sales</v>
      </c>
      <c r="O1822" s="1" t="str">
        <f ca="1">IFERROR(__xludf.DUMMYFUNCTION("""COMPUTED_VALUE"""),"Manager who sets goal and helps me achieve it")</f>
        <v>Manager who sets goal and helps me achieve it</v>
      </c>
      <c r="P1822" s="1" t="str">
        <f ca="1">IFERROR(__xludf.DUMMYFUNCTION("""COMPUTED_VALUE"""),"Work with 7 to 10 or more people in my team")</f>
        <v>Work with 7 to 10 or more people in my team</v>
      </c>
      <c r="Q1822" s="1" t="str">
        <f ca="1">IFERROR(__xludf.DUMMYFUNCTION("""COMPUTED_VALUE"""),"No")</f>
        <v>No</v>
      </c>
      <c r="R1822" s="1" t="str">
        <f ca="1">IFERROR(__xludf.DUMMYFUNCTION("""COMPUTED_VALUE"""),"This will be hard to do, but if it is the right company I would try")</f>
        <v>This will be hard to do, but if it is the right company I would try</v>
      </c>
      <c r="S1822" s="1"/>
    </row>
    <row r="1823" spans="1:19" ht="12.5" x14ac:dyDescent="0.25">
      <c r="A1823" s="2">
        <f ca="1">IFERROR(__xludf.DUMMYFUNCTION("""COMPUTED_VALUE"""),45050.8605898148)</f>
        <v>45050.860589814802</v>
      </c>
      <c r="B1823" s="1" t="str">
        <f ca="1">IFERROR(__xludf.DUMMYFUNCTION("""COMPUTED_VALUE"""),"India")</f>
        <v>India</v>
      </c>
      <c r="C1823" s="1">
        <f ca="1">IFERROR(__xludf.DUMMYFUNCTION("""COMPUTED_VALUE"""),766001)</f>
        <v>766001</v>
      </c>
      <c r="D1823" s="1" t="str">
        <f ca="1">IFERROR(__xludf.DUMMYFUNCTION("""COMPUTED_VALUE"""),"Male")</f>
        <v>Male</v>
      </c>
      <c r="E1823" s="1" t="str">
        <f ca="1">IFERROR(__xludf.DUMMYFUNCTION("""COMPUTED_VALUE"""),"My Parents")</f>
        <v>My Parents</v>
      </c>
      <c r="F1823" s="1" t="str">
        <f ca="1">IFERROR(__xludf.DUMMYFUNCTION("""COMPUTED_VALUE"""),"No, But if someone could bare the cost I will")</f>
        <v>No, But if someone could bare the cost I will</v>
      </c>
      <c r="G1823" s="1" t="str">
        <f ca="1">IFERROR(__xludf.DUMMYFUNCTION("""COMPUTED_VALUE"""),"This will be hard to do, but if it is the right company I would try")</f>
        <v>This will be hard to do, but if it is the right company I would try</v>
      </c>
      <c r="H1823" s="1" t="str">
        <f ca="1">IFERROR(__xludf.DUMMYFUNCTION("""COMPUTED_VALUE"""),"No")</f>
        <v>No</v>
      </c>
      <c r="I1823" s="1" t="str">
        <f ca="1">IFERROR(__xludf.DUMMYFUNCTION("""COMPUTED_VALUE"""),"Will NOT work for them")</f>
        <v>Will NOT work for them</v>
      </c>
      <c r="J1823" s="1">
        <f ca="1">IFERROR(__xludf.DUMMYFUNCTION("""COMPUTED_VALUE"""),5)</f>
        <v>5</v>
      </c>
      <c r="K1823" s="1" t="str">
        <f ca="1">IFERROR(__xludf.DUMMYFUNCTION("""COMPUTED_VALUE"""),"Fully Remote with Options to travel as and when needed")</f>
        <v>Fully Remote with Options to travel as and when needed</v>
      </c>
      <c r="L1823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82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823" s="1" t="str">
        <f ca="1">IFERROR(__xludf.DUMMYFUNCTION("""COMPUTED_VALUE"""),"Design and Develop amazing software, Look deeply into Data and generate insights, I Want to sell things/Sales, Manufacturing / Oil and Gas/ Construction / Hard Physical Work related")</f>
        <v>Design and Develop amazing software, Look deeply into Data and generate insights, I Want to sell things/Sales, Manufacturing / Oil and Gas/ Construction / Hard Physical Work related</v>
      </c>
      <c r="O1823" s="1" t="str">
        <f ca="1">IFERROR(__xludf.DUMMYFUNCTION("""COMPUTED_VALUE"""),"Manager who clearly describes what she/he needs")</f>
        <v>Manager who clearly describes what she/he needs</v>
      </c>
      <c r="P1823" s="1" t="str">
        <f ca="1">IFERROR(__xludf.DUMMYFUNCTION("""COMPUTED_VALUE"""),"Work alone, Work with 5 to 6 people in my team")</f>
        <v>Work alone, Work with 5 to 6 people in my team</v>
      </c>
      <c r="Q1823" s="1" t="str">
        <f ca="1">IFERROR(__xludf.DUMMYFUNCTION("""COMPUTED_VALUE"""),"I have NO other choice")</f>
        <v>I have NO other choice</v>
      </c>
      <c r="R1823" s="1" t="str">
        <f ca="1">IFERROR(__xludf.DUMMYFUNCTION("""COMPUTED_VALUE"""),"This will be hard to do, but if it is the right company I would try")</f>
        <v>This will be hard to do, but if it is the right company I would try</v>
      </c>
      <c r="S1823" s="1"/>
    </row>
    <row r="1824" spans="1:19" ht="12.5" x14ac:dyDescent="0.25">
      <c r="A1824" s="2">
        <f ca="1">IFERROR(__xludf.DUMMYFUNCTION("""COMPUTED_VALUE"""),45050.8727399189)</f>
        <v>45050.872739918901</v>
      </c>
      <c r="B1824" s="1" t="str">
        <f ca="1">IFERROR(__xludf.DUMMYFUNCTION("""COMPUTED_VALUE"""),"India")</f>
        <v>India</v>
      </c>
      <c r="C1824" s="1">
        <f ca="1">IFERROR(__xludf.DUMMYFUNCTION("""COMPUTED_VALUE"""),201010)</f>
        <v>201010</v>
      </c>
      <c r="D1824" s="1" t="str">
        <f ca="1">IFERROR(__xludf.DUMMYFUNCTION("""COMPUTED_VALUE"""),"Male")</f>
        <v>Male</v>
      </c>
      <c r="E1824" s="1" t="str">
        <f ca="1">IFERROR(__xludf.DUMMYFUNCTION("""COMPUTED_VALUE"""),"People who have changed the world for better")</f>
        <v>People who have changed the world for better</v>
      </c>
      <c r="F1824" s="1" t="str">
        <f ca="1">IFERROR(__xludf.DUMMYFUNCTION("""COMPUTED_VALUE"""),"No, But if someone could bare the cost I will")</f>
        <v>No, But if someone could bare the cost I will</v>
      </c>
      <c r="G1824" s="1" t="str">
        <f ca="1">IFERROR(__xludf.DUMMYFUNCTION("""COMPUTED_VALUE"""),"This will be hard to do, but if it is the right company I would try")</f>
        <v>This will be hard to do, but if it is the right company I would try</v>
      </c>
      <c r="H1824" s="1" t="str">
        <f ca="1">IFERROR(__xludf.DUMMYFUNCTION("""COMPUTED_VALUE"""),"No")</f>
        <v>No</v>
      </c>
      <c r="I1824" s="1" t="str">
        <f ca="1">IFERROR(__xludf.DUMMYFUNCTION("""COMPUTED_VALUE"""),"Will NOT work for them")</f>
        <v>Will NOT work for them</v>
      </c>
      <c r="J1824" s="1">
        <f ca="1">IFERROR(__xludf.DUMMYFUNCTION("""COMPUTED_VALUE"""),8)</f>
        <v>8</v>
      </c>
      <c r="K1824" s="1" t="str">
        <f ca="1">IFERROR(__xludf.DUMMYFUNCTION("""COMPUTED_VALUE"""),"Hybrid Working Environment with more than 15 days a month at office")</f>
        <v>Hybrid Working Environment with more than 15 days a month at office</v>
      </c>
      <c r="L18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2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24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824" s="1" t="str">
        <f ca="1">IFERROR(__xludf.DUMMYFUNCTION("""COMPUTED_VALUE"""),"Manager who clearly describes what she/he needs")</f>
        <v>Manager who clearly describes what she/he needs</v>
      </c>
      <c r="P182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824" s="1" t="str">
        <f ca="1">IFERROR(__xludf.DUMMYFUNCTION("""COMPUTED_VALUE"""),"No")</f>
        <v>No</v>
      </c>
      <c r="R1824" s="1" t="str">
        <f ca="1">IFERROR(__xludf.DUMMYFUNCTION("""COMPUTED_VALUE"""),"This will be hard to do, but if it is the right company I would try")</f>
        <v>This will be hard to do, but if it is the right company I would try</v>
      </c>
      <c r="S1824" s="1"/>
    </row>
    <row r="1825" spans="1:19" ht="12.5" x14ac:dyDescent="0.25">
      <c r="A1825" s="2">
        <f ca="1">IFERROR(__xludf.DUMMYFUNCTION("""COMPUTED_VALUE"""),45050.9021290393)</f>
        <v>45050.902129039299</v>
      </c>
      <c r="B1825" s="1" t="str">
        <f ca="1">IFERROR(__xludf.DUMMYFUNCTION("""COMPUTED_VALUE"""),"India")</f>
        <v>India</v>
      </c>
      <c r="C1825" s="1">
        <f ca="1">IFERROR(__xludf.DUMMYFUNCTION("""COMPUTED_VALUE"""),201301)</f>
        <v>201301</v>
      </c>
      <c r="D1825" s="1" t="str">
        <f ca="1">IFERROR(__xludf.DUMMYFUNCTION("""COMPUTED_VALUE"""),"Female")</f>
        <v>Female</v>
      </c>
      <c r="E1825" s="1" t="str">
        <f ca="1">IFERROR(__xludf.DUMMYFUNCTION("""COMPUTED_VALUE"""),"My Parents")</f>
        <v>My Parents</v>
      </c>
      <c r="F1825" s="1" t="str">
        <f ca="1">IFERROR(__xludf.DUMMYFUNCTION("""COMPUTED_VALUE"""),"No I would not be pursuing Higher Education outside of India")</f>
        <v>No I would not be pursuing Higher Education outside of India</v>
      </c>
      <c r="G1825" s="1" t="str">
        <f ca="1">IFERROR(__xludf.DUMMYFUNCTION("""COMPUTED_VALUE"""),"No way")</f>
        <v>No way</v>
      </c>
      <c r="H1825" s="1" t="str">
        <f ca="1">IFERROR(__xludf.DUMMYFUNCTION("""COMPUTED_VALUE"""),"No")</f>
        <v>No</v>
      </c>
      <c r="I1825" s="1" t="str">
        <f ca="1">IFERROR(__xludf.DUMMYFUNCTION("""COMPUTED_VALUE"""),"Will NOT work for them")</f>
        <v>Will NOT work for them</v>
      </c>
      <c r="J1825" s="1">
        <f ca="1">IFERROR(__xludf.DUMMYFUNCTION("""COMPUTED_VALUE"""),8)</f>
        <v>8</v>
      </c>
      <c r="K1825" s="1" t="str">
        <f ca="1">IFERROR(__xludf.DUMMYFUNCTION("""COMPUTED_VALUE"""),"Every Day Office Environment")</f>
        <v>Every Day Office Environment</v>
      </c>
      <c r="L18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2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25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825" s="1" t="str">
        <f ca="1">IFERROR(__xludf.DUMMYFUNCTION("""COMPUTED_VALUE"""),"Manager who explains what is expected, sets a goal and helps achieve it")</f>
        <v>Manager who explains what is expected, sets a goal and helps achieve it</v>
      </c>
      <c r="P1825" s="1" t="str">
        <f ca="1">IFERROR(__xludf.DUMMYFUNCTION("""COMPUTED_VALUE"""),"Work with 2 to 3 people in my team")</f>
        <v>Work with 2 to 3 people in my team</v>
      </c>
      <c r="Q1825" s="1" t="str">
        <f ca="1">IFERROR(__xludf.DUMMYFUNCTION("""COMPUTED_VALUE"""),"Yes, I Understand this is gonna happen everywhere")</f>
        <v>Yes, I Understand this is gonna happen everywhere</v>
      </c>
      <c r="R1825" s="1" t="str">
        <f ca="1">IFERROR(__xludf.DUMMYFUNCTION("""COMPUTED_VALUE"""),"No way")</f>
        <v>No way</v>
      </c>
      <c r="S1825" s="1"/>
    </row>
    <row r="1826" spans="1:19" ht="12.5" x14ac:dyDescent="0.25">
      <c r="A1826" s="2">
        <f ca="1">IFERROR(__xludf.DUMMYFUNCTION("""COMPUTED_VALUE"""),45050.9363097337)</f>
        <v>45050.936309733697</v>
      </c>
      <c r="B1826" s="1" t="str">
        <f ca="1">IFERROR(__xludf.DUMMYFUNCTION("""COMPUTED_VALUE"""),"India")</f>
        <v>India</v>
      </c>
      <c r="C1826" s="1">
        <f ca="1">IFERROR(__xludf.DUMMYFUNCTION("""COMPUTED_VALUE"""),781024)</f>
        <v>781024</v>
      </c>
      <c r="D1826" s="1" t="str">
        <f ca="1">IFERROR(__xludf.DUMMYFUNCTION("""COMPUTED_VALUE"""),"Male")</f>
        <v>Male</v>
      </c>
      <c r="E1826" s="1" t="str">
        <f ca="1">IFERROR(__xludf.DUMMYFUNCTION("""COMPUTED_VALUE"""),"My Parents")</f>
        <v>My Parents</v>
      </c>
      <c r="F1826" s="1" t="str">
        <f ca="1">IFERROR(__xludf.DUMMYFUNCTION("""COMPUTED_VALUE"""),"No, But if someone could bare the cost I will")</f>
        <v>No, But if someone could bare the cost I will</v>
      </c>
      <c r="G1826" s="1" t="str">
        <f ca="1">IFERROR(__xludf.DUMMYFUNCTION("""COMPUTED_VALUE"""),"This will be hard to do, but if it is the right company I would try")</f>
        <v>This will be hard to do, but if it is the right company I would try</v>
      </c>
      <c r="H1826" s="1" t="str">
        <f ca="1">IFERROR(__xludf.DUMMYFUNCTION("""COMPUTED_VALUE"""),"No")</f>
        <v>No</v>
      </c>
      <c r="I1826" s="1" t="str">
        <f ca="1">IFERROR(__xludf.DUMMYFUNCTION("""COMPUTED_VALUE"""),"Will NOT work for them")</f>
        <v>Will NOT work for them</v>
      </c>
      <c r="J1826" s="1">
        <f ca="1">IFERROR(__xludf.DUMMYFUNCTION("""COMPUTED_VALUE"""),10)</f>
        <v>10</v>
      </c>
      <c r="K1826" s="1" t="str">
        <f ca="1">IFERROR(__xludf.DUMMYFUNCTION("""COMPUTED_VALUE"""),"Fully Remote with No option to visit offices")</f>
        <v>Fully Remote with No option to visit offices</v>
      </c>
      <c r="L1826" s="1" t="str">
        <f ca="1">IFERROR(__xludf.DUMMYFUNCTION("""COMPUTED_VALUE"""),"Employer who rewards learning and enables that environment")</f>
        <v>Employer who rewards learning and enables that environment</v>
      </c>
      <c r="M182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826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1826" s="1" t="str">
        <f ca="1">IFERROR(__xludf.DUMMYFUNCTION("""COMPUTED_VALUE"""),"Manager who explains what is expected, sets a goal and helps achieve it")</f>
        <v>Manager who explains what is expected, sets a goal and helps achieve it</v>
      </c>
      <c r="P1826" s="1" t="str">
        <f ca="1">IFERROR(__xludf.DUMMYFUNCTION("""COMPUTED_VALUE"""),"Work with 2 to 3 people in my team")</f>
        <v>Work with 2 to 3 people in my team</v>
      </c>
      <c r="Q1826" s="1" t="str">
        <f ca="1">IFERROR(__xludf.DUMMYFUNCTION("""COMPUTED_VALUE"""),"No")</f>
        <v>No</v>
      </c>
      <c r="R1826" s="1" t="str">
        <f ca="1">IFERROR(__xludf.DUMMYFUNCTION("""COMPUTED_VALUE"""),"This will be hard to do, but if it is the right company I would try")</f>
        <v>This will be hard to do, but if it is the right company I would try</v>
      </c>
      <c r="S1826" s="1"/>
    </row>
    <row r="1827" spans="1:19" ht="12.5" x14ac:dyDescent="0.25">
      <c r="A1827" s="2">
        <f ca="1">IFERROR(__xludf.DUMMYFUNCTION("""COMPUTED_VALUE"""),45050.9375288888)</f>
        <v>45050.937528888797</v>
      </c>
      <c r="B1827" s="1" t="str">
        <f ca="1">IFERROR(__xludf.DUMMYFUNCTION("""COMPUTED_VALUE"""),"India")</f>
        <v>India</v>
      </c>
      <c r="C1827" s="1">
        <f ca="1">IFERROR(__xludf.DUMMYFUNCTION("""COMPUTED_VALUE"""),501504)</f>
        <v>501504</v>
      </c>
      <c r="D1827" s="1" t="str">
        <f ca="1">IFERROR(__xludf.DUMMYFUNCTION("""COMPUTED_VALUE"""),"Male")</f>
        <v>Male</v>
      </c>
      <c r="E1827" s="1" t="str">
        <f ca="1">IFERROR(__xludf.DUMMYFUNCTION("""COMPUTED_VALUE"""),"People who have changed the world for better")</f>
        <v>People who have changed the world for better</v>
      </c>
      <c r="F1827" s="1" t="str">
        <f ca="1">IFERROR(__xludf.DUMMYFUNCTION("""COMPUTED_VALUE"""),"No I would not be pursuing Higher Education outside of India")</f>
        <v>No I would not be pursuing Higher Education outside of India</v>
      </c>
      <c r="G1827" s="1" t="str">
        <f ca="1">IFERROR(__xludf.DUMMYFUNCTION("""COMPUTED_VALUE"""),"Will work for 3 years or more")</f>
        <v>Will work for 3 years or more</v>
      </c>
      <c r="H1827" s="1" t="str">
        <f ca="1">IFERROR(__xludf.DUMMYFUNCTION("""COMPUTED_VALUE"""),"No")</f>
        <v>No</v>
      </c>
      <c r="I1827" s="1" t="str">
        <f ca="1">IFERROR(__xludf.DUMMYFUNCTION("""COMPUTED_VALUE"""),"Will NOT work for them")</f>
        <v>Will NOT work for them</v>
      </c>
      <c r="J1827" s="1">
        <f ca="1">IFERROR(__xludf.DUMMYFUNCTION("""COMPUTED_VALUE"""),8)</f>
        <v>8</v>
      </c>
      <c r="K1827" s="1" t="str">
        <f ca="1">IFERROR(__xludf.DUMMYFUNCTION("""COMPUTED_VALUE"""),"Every Day Office Environment")</f>
        <v>Every Day Office Environment</v>
      </c>
      <c r="L18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2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27" s="1" t="str">
        <f ca="1">IFERROR(__xludf.DUMMYFUNCTION("""COMPUTED_VALUE"""),"Design and Creative strategy in any company, Business Operations in any organization, Build and develop a Team, Become a content Creator in some platform")</f>
        <v>Design and Creative strategy in any company, Business Operations in any organization, Build and develop a Team, Become a content Creator in some platform</v>
      </c>
      <c r="O1827" s="1" t="str">
        <f ca="1">IFERROR(__xludf.DUMMYFUNCTION("""COMPUTED_VALUE"""),"Manager who sets goal and helps me achieve it")</f>
        <v>Manager who sets goal and helps me achieve it</v>
      </c>
      <c r="P1827" s="1" t="str">
        <f ca="1">IFERROR(__xludf.DUMMYFUNCTION("""COMPUTED_VALUE"""),"Work with 7 to 10 or more people in my team")</f>
        <v>Work with 7 to 10 or more people in my team</v>
      </c>
      <c r="Q1827" s="1" t="str">
        <f ca="1">IFERROR(__xludf.DUMMYFUNCTION("""COMPUTED_VALUE"""),"No")</f>
        <v>No</v>
      </c>
      <c r="R1827" s="1" t="str">
        <f ca="1">IFERROR(__xludf.DUMMYFUNCTION("""COMPUTED_VALUE"""),"This will be hard to do, but if it is the right company I would try")</f>
        <v>This will be hard to do, but if it is the right company I would try</v>
      </c>
      <c r="S1827" s="1"/>
    </row>
    <row r="1828" spans="1:19" ht="12.5" x14ac:dyDescent="0.25">
      <c r="A1828" s="2">
        <f ca="1">IFERROR(__xludf.DUMMYFUNCTION("""COMPUTED_VALUE"""),45051.5024486226)</f>
        <v>45051.502448622603</v>
      </c>
      <c r="B1828" s="1" t="str">
        <f ca="1">IFERROR(__xludf.DUMMYFUNCTION("""COMPUTED_VALUE"""),"India")</f>
        <v>India</v>
      </c>
      <c r="C1828" s="1">
        <f ca="1">IFERROR(__xludf.DUMMYFUNCTION("""COMPUTED_VALUE"""),110049)</f>
        <v>110049</v>
      </c>
      <c r="D1828" s="1" t="str">
        <f ca="1">IFERROR(__xludf.DUMMYFUNCTION("""COMPUTED_VALUE"""),"Female")</f>
        <v>Female</v>
      </c>
      <c r="E1828" s="1" t="str">
        <f ca="1">IFERROR(__xludf.DUMMYFUNCTION("""COMPUTED_VALUE"""),"My Parents")</f>
        <v>My Parents</v>
      </c>
      <c r="F1828" s="1" t="str">
        <f ca="1">IFERROR(__xludf.DUMMYFUNCTION("""COMPUTED_VALUE"""),"Yes, I will earn and do that")</f>
        <v>Yes, I will earn and do that</v>
      </c>
      <c r="G1828" s="1" t="str">
        <f ca="1">IFERROR(__xludf.DUMMYFUNCTION("""COMPUTED_VALUE"""),"This will be hard to do, but if it is the right company I would try")</f>
        <v>This will be hard to do, but if it is the right company I would try</v>
      </c>
      <c r="H1828" s="1" t="str">
        <f ca="1">IFERROR(__xludf.DUMMYFUNCTION("""COMPUTED_VALUE"""),"No")</f>
        <v>No</v>
      </c>
      <c r="I1828" s="1" t="str">
        <f ca="1">IFERROR(__xludf.DUMMYFUNCTION("""COMPUTED_VALUE"""),"Will NOT work for them")</f>
        <v>Will NOT work for them</v>
      </c>
      <c r="J1828" s="1">
        <f ca="1">IFERROR(__xludf.DUMMYFUNCTION("""COMPUTED_VALUE"""),7)</f>
        <v>7</v>
      </c>
      <c r="K1828" s="1" t="str">
        <f ca="1">IFERROR(__xludf.DUMMYFUNCTION("""COMPUTED_VALUE"""),"Hybrid Working Environment with more than 15 days a month at office")</f>
        <v>Hybrid Working Environment with more than 15 days a month at office</v>
      </c>
      <c r="L1828" s="1" t="str">
        <f ca="1">IFERROR(__xludf.DUMMYFUNCTION("""COMPUTED_VALUE"""),"Employer who rewards learning and enables that environment")</f>
        <v>Employer who rewards learning and enables that environment</v>
      </c>
      <c r="M182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28" s="1" t="str">
        <f ca="1">IFERROR(__xludf.DUMMYFUNCTION("""COMPUTED_VALUE"""),"Design and Creative strategy in any company, Teaching in any of the institutes/colleges/online or offline, Manage and drive End-to-End Projects or Products, Work as a freelancer and do my thing my way")</f>
        <v>Design and Creative strategy in any company, Teaching in any of the institutes/colleges/online or offline, Manage and drive End-to-End Projects or Products, Work as a freelancer and do my thing my way</v>
      </c>
      <c r="O1828" s="1" t="str">
        <f ca="1">IFERROR(__xludf.DUMMYFUNCTION("""COMPUTED_VALUE"""),"Manager who explains what is expected, sets a goal and helps achieve it")</f>
        <v>Manager who explains what is expected, sets a goal and helps achieve it</v>
      </c>
      <c r="P1828" s="1" t="str">
        <f ca="1">IFERROR(__xludf.DUMMYFUNCTION("""COMPUTED_VALUE"""),"Work with 5 to 6 people in my team")</f>
        <v>Work with 5 to 6 people in my team</v>
      </c>
      <c r="Q1828" s="1" t="str">
        <f ca="1">IFERROR(__xludf.DUMMYFUNCTION("""COMPUTED_VALUE"""),"No")</f>
        <v>No</v>
      </c>
      <c r="R1828" s="1" t="str">
        <f ca="1">IFERROR(__xludf.DUMMYFUNCTION("""COMPUTED_VALUE"""),"This will be hard to do, but if it is the right company I would try")</f>
        <v>This will be hard to do, but if it is the right company I would try</v>
      </c>
      <c r="S1828" s="1"/>
    </row>
    <row r="1829" spans="1:19" ht="12.5" x14ac:dyDescent="0.25">
      <c r="A1829" s="2">
        <f ca="1">IFERROR(__xludf.DUMMYFUNCTION("""COMPUTED_VALUE"""),45051.5077462962)</f>
        <v>45051.5077462962</v>
      </c>
      <c r="B1829" s="1" t="str">
        <f ca="1">IFERROR(__xludf.DUMMYFUNCTION("""COMPUTED_VALUE"""),"India")</f>
        <v>India</v>
      </c>
      <c r="C1829" s="1">
        <f ca="1">IFERROR(__xludf.DUMMYFUNCTION("""COMPUTED_VALUE"""),431122)</f>
        <v>431122</v>
      </c>
      <c r="D1829" s="1" t="str">
        <f ca="1">IFERROR(__xludf.DUMMYFUNCTION("""COMPUTED_VALUE"""),"Male")</f>
        <v>Male</v>
      </c>
      <c r="E1829" s="1" t="str">
        <f ca="1">IFERROR(__xludf.DUMMYFUNCTION("""COMPUTED_VALUE"""),"People who have changed the world for better")</f>
        <v>People who have changed the world for better</v>
      </c>
      <c r="F1829" s="1" t="str">
        <f ca="1">IFERROR(__xludf.DUMMYFUNCTION("""COMPUTED_VALUE"""),"No, But if someone could bare the cost I will")</f>
        <v>No, But if someone could bare the cost I will</v>
      </c>
      <c r="G1829" s="1" t="str">
        <f ca="1">IFERROR(__xludf.DUMMYFUNCTION("""COMPUTED_VALUE"""),"Will work for 3 years or more")</f>
        <v>Will work for 3 years or more</v>
      </c>
      <c r="H1829" s="1" t="str">
        <f ca="1">IFERROR(__xludf.DUMMYFUNCTION("""COMPUTED_VALUE"""),"No")</f>
        <v>No</v>
      </c>
      <c r="I1829" s="1" t="str">
        <f ca="1">IFERROR(__xludf.DUMMYFUNCTION("""COMPUTED_VALUE"""),"Will NOT work for them")</f>
        <v>Will NOT work for them</v>
      </c>
      <c r="J1829" s="1">
        <f ca="1">IFERROR(__xludf.DUMMYFUNCTION("""COMPUTED_VALUE"""),5)</f>
        <v>5</v>
      </c>
      <c r="K1829" s="1" t="str">
        <f ca="1">IFERROR(__xludf.DUMMYFUNCTION("""COMPUTED_VALUE"""),"Fully Remote with Options to travel as and when needed")</f>
        <v>Fully Remote with Options to travel as and when needed</v>
      </c>
      <c r="L18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2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829" s="1" t="str">
        <f ca="1">IFERROR(__xludf.DUMMYFUNCTION("""COMPUTED_VALUE"""),"Teaching in any of the institutes/colleges/online or offline, Build and develop a Team, Become a content Creator in some platform, Entrepreneur or Start Up")</f>
        <v>Teaching in any of the institutes/colleges/online or offline, Build and develop a Team, Become a content Creator in some platform, Entrepreneur or Start Up</v>
      </c>
      <c r="O1829" s="1" t="str">
        <f ca="1">IFERROR(__xludf.DUMMYFUNCTION("""COMPUTED_VALUE"""),"Manager who sets goal and helps me achieve it")</f>
        <v>Manager who sets goal and helps me achieve it</v>
      </c>
      <c r="P1829" s="1" t="str">
        <f ca="1">IFERROR(__xludf.DUMMYFUNCTION("""COMPUTED_VALUE"""),"Work with 5 to 6 people in my team")</f>
        <v>Work with 5 to 6 people in my team</v>
      </c>
      <c r="Q1829" s="1" t="str">
        <f ca="1">IFERROR(__xludf.DUMMYFUNCTION("""COMPUTED_VALUE"""),"Yes, I Understand this is gonna happen everywhere")</f>
        <v>Yes, I Understand this is gonna happen everywhere</v>
      </c>
      <c r="R1829" s="1" t="str">
        <f ca="1">IFERROR(__xludf.DUMMYFUNCTION("""COMPUTED_VALUE"""),"This will be hard to do, but if it is the right company I would try")</f>
        <v>This will be hard to do, but if it is the right company I would try</v>
      </c>
      <c r="S1829" s="1"/>
    </row>
    <row r="1830" spans="1:19" ht="12.5" x14ac:dyDescent="0.25">
      <c r="A1830" s="2">
        <f ca="1">IFERROR(__xludf.DUMMYFUNCTION("""COMPUTED_VALUE"""),45051.5304120486)</f>
        <v>45051.530412048603</v>
      </c>
      <c r="B1830" s="1" t="str">
        <f ca="1">IFERROR(__xludf.DUMMYFUNCTION("""COMPUTED_VALUE"""),"India")</f>
        <v>India</v>
      </c>
      <c r="C1830" s="1">
        <f ca="1">IFERROR(__xludf.DUMMYFUNCTION("""COMPUTED_VALUE"""),201010)</f>
        <v>201010</v>
      </c>
      <c r="D1830" s="1" t="str">
        <f ca="1">IFERROR(__xludf.DUMMYFUNCTION("""COMPUTED_VALUE"""),"Female")</f>
        <v>Female</v>
      </c>
      <c r="E1830" s="1" t="str">
        <f ca="1">IFERROR(__xludf.DUMMYFUNCTION("""COMPUTED_VALUE"""),"People from my circle, but not family members")</f>
        <v>People from my circle, but not family members</v>
      </c>
      <c r="F1830" s="1" t="str">
        <f ca="1">IFERROR(__xludf.DUMMYFUNCTION("""COMPUTED_VALUE"""),"No I would not be pursuing Higher Education outside of India")</f>
        <v>No I would not be pursuing Higher Education outside of India</v>
      </c>
      <c r="G1830" s="1" t="str">
        <f ca="1">IFERROR(__xludf.DUMMYFUNCTION("""COMPUTED_VALUE"""),"No way")</f>
        <v>No way</v>
      </c>
      <c r="H1830" s="1" t="str">
        <f ca="1">IFERROR(__xludf.DUMMYFUNCTION("""COMPUTED_VALUE"""),"No")</f>
        <v>No</v>
      </c>
      <c r="I1830" s="1" t="str">
        <f ca="1">IFERROR(__xludf.DUMMYFUNCTION("""COMPUTED_VALUE"""),"Will NOT work for them")</f>
        <v>Will NOT work for them</v>
      </c>
      <c r="J1830" s="1">
        <f ca="1">IFERROR(__xludf.DUMMYFUNCTION("""COMPUTED_VALUE"""),5)</f>
        <v>5</v>
      </c>
      <c r="K1830" s="1" t="str">
        <f ca="1">IFERROR(__xludf.DUMMYFUNCTION("""COMPUTED_VALUE"""),"Hybrid Working Environment with more than 15 days a month at office")</f>
        <v>Hybrid Working Environment with more than 15 days a month at office</v>
      </c>
      <c r="L18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3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830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83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30" s="1" t="str">
        <f ca="1">IFERROR(__xludf.DUMMYFUNCTION("""COMPUTED_VALUE"""),"Work with more than 10 people in my team")</f>
        <v>Work with more than 10 people in my team</v>
      </c>
      <c r="Q1830" s="1" t="str">
        <f ca="1">IFERROR(__xludf.DUMMYFUNCTION("""COMPUTED_VALUE"""),"No")</f>
        <v>No</v>
      </c>
      <c r="R1830" s="1" t="str">
        <f ca="1">IFERROR(__xludf.DUMMYFUNCTION("""COMPUTED_VALUE"""),"No way")</f>
        <v>No way</v>
      </c>
      <c r="S1830" s="1"/>
    </row>
    <row r="1831" spans="1:19" ht="12.5" x14ac:dyDescent="0.25">
      <c r="A1831" s="2">
        <f ca="1">IFERROR(__xludf.DUMMYFUNCTION("""COMPUTED_VALUE"""),45051.5337598842)</f>
        <v>45051.533759884202</v>
      </c>
      <c r="B1831" s="1" t="str">
        <f ca="1">IFERROR(__xludf.DUMMYFUNCTION("""COMPUTED_VALUE"""),"India")</f>
        <v>India</v>
      </c>
      <c r="C1831" s="1">
        <f ca="1">IFERROR(__xludf.DUMMYFUNCTION("""COMPUTED_VALUE"""),110060)</f>
        <v>110060</v>
      </c>
      <c r="D1831" s="1" t="str">
        <f ca="1">IFERROR(__xludf.DUMMYFUNCTION("""COMPUTED_VALUE"""),"Male")</f>
        <v>Male</v>
      </c>
      <c r="E1831" s="1" t="str">
        <f ca="1">IFERROR(__xludf.DUMMYFUNCTION("""COMPUTED_VALUE"""),"My Parents")</f>
        <v>My Parents</v>
      </c>
      <c r="F1831" s="1" t="str">
        <f ca="1">IFERROR(__xludf.DUMMYFUNCTION("""COMPUTED_VALUE"""),"No, But if someone could bare the cost I will")</f>
        <v>No, But if someone could bare the cost I will</v>
      </c>
      <c r="G1831" s="1" t="str">
        <f ca="1">IFERROR(__xludf.DUMMYFUNCTION("""COMPUTED_VALUE"""),"No way")</f>
        <v>No way</v>
      </c>
      <c r="H1831" s="1" t="str">
        <f ca="1">IFERROR(__xludf.DUMMYFUNCTION("""COMPUTED_VALUE"""),"No")</f>
        <v>No</v>
      </c>
      <c r="I1831" s="1" t="str">
        <f ca="1">IFERROR(__xludf.DUMMYFUNCTION("""COMPUTED_VALUE"""),"Will NOT work for them")</f>
        <v>Will NOT work for them</v>
      </c>
      <c r="J1831" s="1">
        <f ca="1">IFERROR(__xludf.DUMMYFUNCTION("""COMPUTED_VALUE"""),5)</f>
        <v>5</v>
      </c>
      <c r="K1831" s="1" t="str">
        <f ca="1">IFERROR(__xludf.DUMMYFUNCTION("""COMPUTED_VALUE"""),"Hybrid Working Environment with more than 15 days a month at office")</f>
        <v>Hybrid Working Environment with more than 15 days a month at office</v>
      </c>
      <c r="L1831" s="1" t="str">
        <f ca="1">IFERROR(__xludf.DUMMYFUNCTION("""COMPUTED_VALUE"""),"Employer who appreciates learning and enables that environment")</f>
        <v>Employer who appreciates learning and enables that environment</v>
      </c>
      <c r="M183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31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1831" s="1" t="str">
        <f ca="1">IFERROR(__xludf.DUMMYFUNCTION("""COMPUTED_VALUE"""),"Manager who explains what is expected, sets a goal and helps achieve it")</f>
        <v>Manager who explains what is expected, sets a goal and helps achieve it</v>
      </c>
      <c r="P1831" s="1" t="str">
        <f ca="1">IFERROR(__xludf.DUMMYFUNCTION("""COMPUTED_VALUE"""),"Work with 5 to 6 people in my team")</f>
        <v>Work with 5 to 6 people in my team</v>
      </c>
      <c r="Q1831" s="1" t="str">
        <f ca="1">IFERROR(__xludf.DUMMYFUNCTION("""COMPUTED_VALUE"""),"Yes, I Understand this is gonna happen everywhere")</f>
        <v>Yes, I Understand this is gonna happen everywhere</v>
      </c>
      <c r="R1831" s="1" t="str">
        <f ca="1">IFERROR(__xludf.DUMMYFUNCTION("""COMPUTED_VALUE"""),"No way")</f>
        <v>No way</v>
      </c>
      <c r="S1831" s="1"/>
    </row>
    <row r="1832" spans="1:19" ht="12.5" x14ac:dyDescent="0.25">
      <c r="A1832" s="2">
        <f ca="1">IFERROR(__xludf.DUMMYFUNCTION("""COMPUTED_VALUE"""),45051.616322581)</f>
        <v>45051.616322581001</v>
      </c>
      <c r="B1832" s="1" t="str">
        <f ca="1">IFERROR(__xludf.DUMMYFUNCTION("""COMPUTED_VALUE"""),"India")</f>
        <v>India</v>
      </c>
      <c r="C1832" s="1">
        <f ca="1">IFERROR(__xludf.DUMMYFUNCTION("""COMPUTED_VALUE"""),462039)</f>
        <v>462039</v>
      </c>
      <c r="D1832" s="1" t="str">
        <f ca="1">IFERROR(__xludf.DUMMYFUNCTION("""COMPUTED_VALUE"""),"Male")</f>
        <v>Male</v>
      </c>
      <c r="E1832" s="1" t="str">
        <f ca="1">IFERROR(__xludf.DUMMYFUNCTION("""COMPUTED_VALUE"""),"Influencers who had successful careers")</f>
        <v>Influencers who had successful careers</v>
      </c>
      <c r="F1832" s="1" t="str">
        <f ca="1">IFERROR(__xludf.DUMMYFUNCTION("""COMPUTED_VALUE"""),"Yes, I will earn and do that")</f>
        <v>Yes, I will earn and do that</v>
      </c>
      <c r="G1832" s="1" t="str">
        <f ca="1">IFERROR(__xludf.DUMMYFUNCTION("""COMPUTED_VALUE"""),"This will be hard to do, but if it is the right company I would try")</f>
        <v>This will be hard to do, but if it is the right company I would try</v>
      </c>
      <c r="H1832" s="1" t="str">
        <f ca="1">IFERROR(__xludf.DUMMYFUNCTION("""COMPUTED_VALUE"""),"No")</f>
        <v>No</v>
      </c>
      <c r="I1832" s="1" t="str">
        <f ca="1">IFERROR(__xludf.DUMMYFUNCTION("""COMPUTED_VALUE"""),"Will NOT work for them")</f>
        <v>Will NOT work for them</v>
      </c>
      <c r="J1832" s="1">
        <f ca="1">IFERROR(__xludf.DUMMYFUNCTION("""COMPUTED_VALUE"""),3)</f>
        <v>3</v>
      </c>
      <c r="K1832" s="1" t="str">
        <f ca="1">IFERROR(__xludf.DUMMYFUNCTION("""COMPUTED_VALUE"""),"Fully Remote with Options to travel as and when needed")</f>
        <v>Fully Remote with Options to travel as and when needed</v>
      </c>
      <c r="L18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32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832" s="1" t="str">
        <f ca="1">IFERROR(__xludf.DUMMYFUNCTION("""COMPUTED_VALUE"""),"Design and Creative strategy in any company, Manage and drive End-to-End Projects or Products, Become a content Creator in some platform, An Artificial Intelligence Specialist / Talking to Robots")</f>
        <v>Design and Creative strategy in any company, Manage and drive End-to-End Projects or Products, Become a content Creator in some platform, An Artificial Intelligence Specialist / Talking to Robots</v>
      </c>
      <c r="O1832" s="1" t="str">
        <f ca="1">IFERROR(__xludf.DUMMYFUNCTION("""COMPUTED_VALUE"""),"Manager who sets goal and helps me achieve it")</f>
        <v>Manager who sets goal and helps me achieve it</v>
      </c>
      <c r="P1832" s="1" t="str">
        <f ca="1">IFERROR(__xludf.DUMMYFUNCTION("""COMPUTED_VALUE"""),"Work with 5 to 6 people in my team")</f>
        <v>Work with 5 to 6 people in my team</v>
      </c>
      <c r="Q1832" s="1" t="str">
        <f ca="1">IFERROR(__xludf.DUMMYFUNCTION("""COMPUTED_VALUE"""),"No")</f>
        <v>No</v>
      </c>
      <c r="R1832" s="1" t="str">
        <f ca="1">IFERROR(__xludf.DUMMYFUNCTION("""COMPUTED_VALUE"""),"This will be hard to do, but if it is the right company I would try")</f>
        <v>This will be hard to do, but if it is the right company I would try</v>
      </c>
      <c r="S1832" s="1"/>
    </row>
    <row r="1833" spans="1:19" ht="12.5" x14ac:dyDescent="0.25">
      <c r="A1833" s="2">
        <f ca="1">IFERROR(__xludf.DUMMYFUNCTION("""COMPUTED_VALUE"""),45051.7514229629)</f>
        <v>45051.751422962901</v>
      </c>
      <c r="B1833" s="1" t="str">
        <f ca="1">IFERROR(__xludf.DUMMYFUNCTION("""COMPUTED_VALUE"""),"India")</f>
        <v>India</v>
      </c>
      <c r="C1833" s="1">
        <f ca="1">IFERROR(__xludf.DUMMYFUNCTION("""COMPUTED_VALUE"""),587103)</f>
        <v>587103</v>
      </c>
      <c r="D1833" s="1" t="str">
        <f ca="1">IFERROR(__xludf.DUMMYFUNCTION("""COMPUTED_VALUE"""),"Female")</f>
        <v>Female</v>
      </c>
      <c r="E1833" s="1" t="str">
        <f ca="1">IFERROR(__xludf.DUMMYFUNCTION("""COMPUTED_VALUE"""),"Influencers who had successful careers")</f>
        <v>Influencers who had successful careers</v>
      </c>
      <c r="F1833" s="1" t="str">
        <f ca="1">IFERROR(__xludf.DUMMYFUNCTION("""COMPUTED_VALUE"""),"No I would not be pursuing Higher Education outside of India")</f>
        <v>No I would not be pursuing Higher Education outside of India</v>
      </c>
      <c r="G1833" s="1" t="str">
        <f ca="1">IFERROR(__xludf.DUMMYFUNCTION("""COMPUTED_VALUE"""),"This will be hard to do, but if it is the right company I would try")</f>
        <v>This will be hard to do, but if it is the right company I would try</v>
      </c>
      <c r="H1833" s="1" t="str">
        <f ca="1">IFERROR(__xludf.DUMMYFUNCTION("""COMPUTED_VALUE"""),"No")</f>
        <v>No</v>
      </c>
      <c r="I1833" s="1" t="str">
        <f ca="1">IFERROR(__xludf.DUMMYFUNCTION("""COMPUTED_VALUE"""),"Will NOT work for them")</f>
        <v>Will NOT work for them</v>
      </c>
      <c r="J1833" s="1">
        <f ca="1">IFERROR(__xludf.DUMMYFUNCTION("""COMPUTED_VALUE"""),3)</f>
        <v>3</v>
      </c>
      <c r="K1833" s="1" t="str">
        <f ca="1">IFERROR(__xludf.DUMMYFUNCTION("""COMPUTED_VALUE"""),"Every Day Office Environment")</f>
        <v>Every Day Office Environment</v>
      </c>
      <c r="L18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3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33" s="1" t="str">
        <f ca="1">IFERROR(__xludf.DUMMYFUNCTION("""COMPUTED_VALUE"""),"Design and Creative strategy in any company, Manage and drive End-to-End Projects or Products, Design and Develop amazing software, An Artificial Intelligence Specialist / Talking to Robots")</f>
        <v>Design and Creative strategy in any company, Manage and drive End-to-End Projects or Products, Design and Develop amazing software, An Artificial Intelligence Specialist / Talking to Robots</v>
      </c>
      <c r="O1833" s="1" t="str">
        <f ca="1">IFERROR(__xludf.DUMMYFUNCTION("""COMPUTED_VALUE"""),"Manager who sets goal and helps me achieve it")</f>
        <v>Manager who sets goal and helps me achieve it</v>
      </c>
      <c r="P1833" s="1" t="str">
        <f ca="1">IFERROR(__xludf.DUMMYFUNCTION("""COMPUTED_VALUE"""),"Work with 7 to 10 or more people in my team")</f>
        <v>Work with 7 to 10 or more people in my team</v>
      </c>
      <c r="Q1833" s="1" t="str">
        <f ca="1">IFERROR(__xludf.DUMMYFUNCTION("""COMPUTED_VALUE"""),"Yes, I Understand this is gonna happen everywhere")</f>
        <v>Yes, I Understand this is gonna happen everywhere</v>
      </c>
      <c r="R1833" s="1" t="str">
        <f ca="1">IFERROR(__xludf.DUMMYFUNCTION("""COMPUTED_VALUE"""),"This will be hard to do, but if it is the right company I would try")</f>
        <v>This will be hard to do, but if it is the right company I would try</v>
      </c>
      <c r="S1833" s="1"/>
    </row>
    <row r="1834" spans="1:19" ht="12.5" x14ac:dyDescent="0.25">
      <c r="A1834" s="2">
        <f ca="1">IFERROR(__xludf.DUMMYFUNCTION("""COMPUTED_VALUE"""),45051.9793390972)</f>
        <v>45051.979339097197</v>
      </c>
      <c r="B1834" s="1" t="str">
        <f ca="1">IFERROR(__xludf.DUMMYFUNCTION("""COMPUTED_VALUE"""),"India")</f>
        <v>India</v>
      </c>
      <c r="C1834" s="1">
        <f ca="1">IFERROR(__xludf.DUMMYFUNCTION("""COMPUTED_VALUE"""),600119)</f>
        <v>600119</v>
      </c>
      <c r="D1834" s="1" t="str">
        <f ca="1">IFERROR(__xludf.DUMMYFUNCTION("""COMPUTED_VALUE"""),"Male")</f>
        <v>Male</v>
      </c>
      <c r="E1834" s="1" t="str">
        <f ca="1">IFERROR(__xludf.DUMMYFUNCTION("""COMPUTED_VALUE"""),"Influencers who had successful careers")</f>
        <v>Influencers who had successful careers</v>
      </c>
      <c r="F1834" s="1" t="str">
        <f ca="1">IFERROR(__xludf.DUMMYFUNCTION("""COMPUTED_VALUE"""),"Yes, I will earn and do that")</f>
        <v>Yes, I will earn and do that</v>
      </c>
      <c r="G1834" s="1" t="str">
        <f ca="1">IFERROR(__xludf.DUMMYFUNCTION("""COMPUTED_VALUE"""),"Will work for 3 years or more")</f>
        <v>Will work for 3 years or more</v>
      </c>
      <c r="H1834" s="1" t="str">
        <f ca="1">IFERROR(__xludf.DUMMYFUNCTION("""COMPUTED_VALUE"""),"No")</f>
        <v>No</v>
      </c>
      <c r="I1834" s="1" t="str">
        <f ca="1">IFERROR(__xludf.DUMMYFUNCTION("""COMPUTED_VALUE"""),"Will work for them")</f>
        <v>Will work for them</v>
      </c>
      <c r="J1834" s="1">
        <f ca="1">IFERROR(__xludf.DUMMYFUNCTION("""COMPUTED_VALUE"""),6)</f>
        <v>6</v>
      </c>
      <c r="K1834" s="1" t="str">
        <f ca="1">IFERROR(__xludf.DUMMYFUNCTION("""COMPUTED_VALUE"""),"Fully Remote with Options to travel as and when needed")</f>
        <v>Fully Remote with Options to travel as and when needed</v>
      </c>
      <c r="L1834" s="1" t="str">
        <f ca="1">IFERROR(__xludf.DUMMYFUNCTION("""COMPUTED_VALUE"""),"Employer who appreciates learning and enables that environment")</f>
        <v>Employer who appreciates learning and enables that environment</v>
      </c>
      <c r="M183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34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1834" s="1" t="str">
        <f ca="1">IFERROR(__xludf.DUMMYFUNCTION("""COMPUTED_VALUE"""),"Manager who sets targets and expects me to achieve it")</f>
        <v>Manager who sets targets and expects me to achieve it</v>
      </c>
      <c r="P1834" s="1" t="str">
        <f ca="1">IFERROR(__xludf.DUMMYFUNCTION("""COMPUTED_VALUE"""),"Work with 2 to 3 people in my team")</f>
        <v>Work with 2 to 3 people in my team</v>
      </c>
      <c r="Q1834" s="1" t="str">
        <f ca="1">IFERROR(__xludf.DUMMYFUNCTION("""COMPUTED_VALUE"""),"No")</f>
        <v>No</v>
      </c>
      <c r="R1834" s="1" t="str">
        <f ca="1">IFERROR(__xludf.DUMMYFUNCTION("""COMPUTED_VALUE"""),"Will work for 7 years or more")</f>
        <v>Will work for 7 years or more</v>
      </c>
      <c r="S1834" s="1"/>
    </row>
    <row r="1835" spans="1:19" ht="12.5" x14ac:dyDescent="0.25">
      <c r="A1835" s="2">
        <f ca="1">IFERROR(__xludf.DUMMYFUNCTION("""COMPUTED_VALUE"""),45052.0038293634)</f>
        <v>45052.003829363399</v>
      </c>
      <c r="B1835" s="1" t="str">
        <f ca="1">IFERROR(__xludf.DUMMYFUNCTION("""COMPUTED_VALUE"""),"India")</f>
        <v>India</v>
      </c>
      <c r="C1835" s="1">
        <f ca="1">IFERROR(__xludf.DUMMYFUNCTION("""COMPUTED_VALUE"""),605004)</f>
        <v>605004</v>
      </c>
      <c r="D1835" s="1" t="str">
        <f ca="1">IFERROR(__xludf.DUMMYFUNCTION("""COMPUTED_VALUE"""),"Male")</f>
        <v>Male</v>
      </c>
      <c r="E1835" s="1" t="str">
        <f ca="1">IFERROR(__xludf.DUMMYFUNCTION("""COMPUTED_VALUE"""),"Influencers who had successful careers")</f>
        <v>Influencers who had successful careers</v>
      </c>
      <c r="F1835" s="1" t="str">
        <f ca="1">IFERROR(__xludf.DUMMYFUNCTION("""COMPUTED_VALUE"""),"Yes, I will earn and do that")</f>
        <v>Yes, I will earn and do that</v>
      </c>
      <c r="G1835" s="1" t="str">
        <f ca="1">IFERROR(__xludf.DUMMYFUNCTION("""COMPUTED_VALUE"""),"This will be hard to do, but if it is the right company I would try")</f>
        <v>This will be hard to do, but if it is the right company I would try</v>
      </c>
      <c r="H1835" s="1" t="str">
        <f ca="1">IFERROR(__xludf.DUMMYFUNCTION("""COMPUTED_VALUE"""),"No")</f>
        <v>No</v>
      </c>
      <c r="I1835" s="1" t="str">
        <f ca="1">IFERROR(__xludf.DUMMYFUNCTION("""COMPUTED_VALUE"""),"Will NOT work for them")</f>
        <v>Will NOT work for them</v>
      </c>
      <c r="J1835" s="1">
        <f ca="1">IFERROR(__xludf.DUMMYFUNCTION("""COMPUTED_VALUE"""),6)</f>
        <v>6</v>
      </c>
      <c r="K1835" s="1" t="str">
        <f ca="1">IFERROR(__xludf.DUMMYFUNCTION("""COMPUTED_VALUE"""),"Hybrid Working Environment with more than 15 days a month at office")</f>
        <v>Hybrid Working Environment with more than 15 days a month at office</v>
      </c>
      <c r="L1835" s="1" t="str">
        <f ca="1">IFERROR(__xludf.DUMMYFUNCTION("""COMPUTED_VALUE"""),"Employer who rewards learning and enables that environment")</f>
        <v>Employer who rewards learning and enables that environment</v>
      </c>
      <c r="M183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35" s="1" t="str">
        <f ca="1">IFERROR(__xludf.DUMMYFUNCTION("""COMPUTED_VALUE"""),"Design and Creative strategy in any company, Work as a freelancer and do my thing my way, Entrepreneur or Start Up, Manufacturing / Oil and Gas/ Construction / Hard Physical Work related")</f>
        <v>Design and Creative strategy in any company, Work as a freelancer and do my thing my way, Entrepreneur or Start Up, Manufacturing / Oil and Gas/ Construction / Hard Physical Work related</v>
      </c>
      <c r="O1835" s="1" t="str">
        <f ca="1">IFERROR(__xludf.DUMMYFUNCTION("""COMPUTED_VALUE"""),"Manager who explains what is expected, sets a goal and helps achieve it")</f>
        <v>Manager who explains what is expected, sets a goal and helps achieve it</v>
      </c>
      <c r="P1835" s="1" t="str">
        <f ca="1">IFERROR(__xludf.DUMMYFUNCTION("""COMPUTED_VALUE"""),"Work with 2 to 3 people in my team")</f>
        <v>Work with 2 to 3 people in my team</v>
      </c>
      <c r="Q1835" s="1" t="str">
        <f ca="1">IFERROR(__xludf.DUMMYFUNCTION("""COMPUTED_VALUE"""),"Yes, I Understand this is gonna happen everywhere")</f>
        <v>Yes, I Understand this is gonna happen everywhere</v>
      </c>
      <c r="R1835" s="1" t="str">
        <f ca="1">IFERROR(__xludf.DUMMYFUNCTION("""COMPUTED_VALUE"""),"No way")</f>
        <v>No way</v>
      </c>
      <c r="S1835" s="1"/>
    </row>
    <row r="1836" spans="1:19" ht="12.5" x14ac:dyDescent="0.25">
      <c r="A1836" s="2">
        <f ca="1">IFERROR(__xludf.DUMMYFUNCTION("""COMPUTED_VALUE"""),45052.0076595023)</f>
        <v>45052.007659502298</v>
      </c>
      <c r="B1836" s="1" t="str">
        <f ca="1">IFERROR(__xludf.DUMMYFUNCTION("""COMPUTED_VALUE"""),"Canada")</f>
        <v>Canada</v>
      </c>
      <c r="C1836" s="1" t="str">
        <f ca="1">IFERROR(__xludf.DUMMYFUNCTION("""COMPUTED_VALUE"""),"M1R1K4")</f>
        <v>M1R1K4</v>
      </c>
      <c r="D1836" s="1" t="str">
        <f ca="1">IFERROR(__xludf.DUMMYFUNCTION("""COMPUTED_VALUE"""),"Female")</f>
        <v>Female</v>
      </c>
      <c r="E1836" s="1" t="str">
        <f ca="1">IFERROR(__xludf.DUMMYFUNCTION("""COMPUTED_VALUE"""),"People who have changed the world for better")</f>
        <v>People who have changed the world for better</v>
      </c>
      <c r="F1836" s="1" t="str">
        <f ca="1">IFERROR(__xludf.DUMMYFUNCTION("""COMPUTED_VALUE"""),"Yes, I will earn and do that")</f>
        <v>Yes, I will earn and do that</v>
      </c>
      <c r="G1836" s="1" t="str">
        <f ca="1">IFERROR(__xludf.DUMMYFUNCTION("""COMPUTED_VALUE"""),"This will be hard to do, but if it is the right company I would try")</f>
        <v>This will be hard to do, but if it is the right company I would try</v>
      </c>
      <c r="H1836" s="1" t="str">
        <f ca="1">IFERROR(__xludf.DUMMYFUNCTION("""COMPUTED_VALUE"""),"No")</f>
        <v>No</v>
      </c>
      <c r="I1836" s="1" t="str">
        <f ca="1">IFERROR(__xludf.DUMMYFUNCTION("""COMPUTED_VALUE"""),"Will NOT work for them")</f>
        <v>Will NOT work for them</v>
      </c>
      <c r="J1836" s="1">
        <f ca="1">IFERROR(__xludf.DUMMYFUNCTION("""COMPUTED_VALUE"""),5)</f>
        <v>5</v>
      </c>
      <c r="K1836" s="1" t="str">
        <f ca="1">IFERROR(__xludf.DUMMYFUNCTION("""COMPUTED_VALUE"""),"Fully Remote with Options to travel as and when needed")</f>
        <v>Fully Remote with Options to travel as and when needed</v>
      </c>
      <c r="L18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3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36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836" s="1" t="str">
        <f ca="1">IFERROR(__xludf.DUMMYFUNCTION("""COMPUTED_VALUE"""),"Manager who explains what is expected, sets a goal and helps achieve it")</f>
        <v>Manager who explains what is expected, sets a goal and helps achieve it</v>
      </c>
      <c r="P1836" s="1" t="str">
        <f ca="1">IFERROR(__xludf.DUMMYFUNCTION("""COMPUTED_VALUE"""),"Work with 5 to 6 people in my team")</f>
        <v>Work with 5 to 6 people in my team</v>
      </c>
      <c r="Q1836" s="1" t="str">
        <f ca="1">IFERROR(__xludf.DUMMYFUNCTION("""COMPUTED_VALUE"""),"Yes, I Understand this is gonna happen everywhere")</f>
        <v>Yes, I Understand this is gonna happen everywhere</v>
      </c>
      <c r="R1836" s="1" t="str">
        <f ca="1">IFERROR(__xludf.DUMMYFUNCTION("""COMPUTED_VALUE"""),"No way")</f>
        <v>No way</v>
      </c>
      <c r="S1836" s="1"/>
    </row>
    <row r="1837" spans="1:19" ht="12.5" x14ac:dyDescent="0.25">
      <c r="A1837" s="2">
        <f ca="1">IFERROR(__xludf.DUMMYFUNCTION("""COMPUTED_VALUE"""),45052.0998597916)</f>
        <v>45052.099859791597</v>
      </c>
      <c r="B1837" s="1" t="str">
        <f ca="1">IFERROR(__xludf.DUMMYFUNCTION("""COMPUTED_VALUE"""),"India")</f>
        <v>India</v>
      </c>
      <c r="C1837" s="1">
        <f ca="1">IFERROR(__xludf.DUMMYFUNCTION("""COMPUTED_VALUE"""),444606)</f>
        <v>444606</v>
      </c>
      <c r="D1837" s="1" t="str">
        <f ca="1">IFERROR(__xludf.DUMMYFUNCTION("""COMPUTED_VALUE"""),"Female")</f>
        <v>Female</v>
      </c>
      <c r="E1837" s="1" t="str">
        <f ca="1">IFERROR(__xludf.DUMMYFUNCTION("""COMPUTED_VALUE"""),"Influencers who had successful careers")</f>
        <v>Influencers who had successful careers</v>
      </c>
      <c r="F1837" s="1" t="str">
        <f ca="1">IFERROR(__xludf.DUMMYFUNCTION("""COMPUTED_VALUE"""),"Yes, I will earn and do that")</f>
        <v>Yes, I will earn and do that</v>
      </c>
      <c r="G1837" s="1" t="str">
        <f ca="1">IFERROR(__xludf.DUMMYFUNCTION("""COMPUTED_VALUE"""),"This will be hard to do, but if it is the right company I would try")</f>
        <v>This will be hard to do, but if it is the right company I would try</v>
      </c>
      <c r="H1837" s="1" t="str">
        <f ca="1">IFERROR(__xludf.DUMMYFUNCTION("""COMPUTED_VALUE"""),"No")</f>
        <v>No</v>
      </c>
      <c r="I1837" s="1" t="str">
        <f ca="1">IFERROR(__xludf.DUMMYFUNCTION("""COMPUTED_VALUE"""),"Will NOT work for them")</f>
        <v>Will NOT work for them</v>
      </c>
      <c r="J1837" s="1">
        <f ca="1">IFERROR(__xludf.DUMMYFUNCTION("""COMPUTED_VALUE"""),10)</f>
        <v>10</v>
      </c>
      <c r="K1837" s="1" t="str">
        <f ca="1">IFERROR(__xludf.DUMMYFUNCTION("""COMPUTED_VALUE"""),"Hybrid Working Environment with more than 15 days a month at office")</f>
        <v>Hybrid Working Environment with more than 15 days a month at office</v>
      </c>
      <c r="L1837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83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37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1837" s="1" t="str">
        <f ca="1">IFERROR(__xludf.DUMMYFUNCTION("""COMPUTED_VALUE"""),"Manager who clearly describes what she/he needs")</f>
        <v>Manager who clearly describes what she/he needs</v>
      </c>
      <c r="P1837" s="1" t="str">
        <f ca="1">IFERROR(__xludf.DUMMYFUNCTION("""COMPUTED_VALUE"""),"Work alone, Work with 2 to 3 people in my team")</f>
        <v>Work alone, Work with 2 to 3 people in my team</v>
      </c>
      <c r="Q1837" s="1" t="str">
        <f ca="1">IFERROR(__xludf.DUMMYFUNCTION("""COMPUTED_VALUE"""),"Yes, I Understand this is gonna happen everywhere")</f>
        <v>Yes, I Understand this is gonna happen everywhere</v>
      </c>
      <c r="R1837" s="1" t="str">
        <f ca="1">IFERROR(__xludf.DUMMYFUNCTION("""COMPUTED_VALUE"""),"This will be hard to do, but if it is the right company I would try")</f>
        <v>This will be hard to do, but if it is the right company I would try</v>
      </c>
      <c r="S1837" s="1"/>
    </row>
    <row r="1838" spans="1:19" ht="12.5" x14ac:dyDescent="0.25">
      <c r="A1838" s="2">
        <f ca="1">IFERROR(__xludf.DUMMYFUNCTION("""COMPUTED_VALUE"""),45052.6545548032)</f>
        <v>45052.654554803201</v>
      </c>
      <c r="B1838" s="1" t="str">
        <f ca="1">IFERROR(__xludf.DUMMYFUNCTION("""COMPUTED_VALUE"""),"India")</f>
        <v>India</v>
      </c>
      <c r="C1838" s="1">
        <f ca="1">IFERROR(__xludf.DUMMYFUNCTION("""COMPUTED_VALUE"""),452003)</f>
        <v>452003</v>
      </c>
      <c r="D1838" s="1" t="str">
        <f ca="1">IFERROR(__xludf.DUMMYFUNCTION("""COMPUTED_VALUE"""),"Male")</f>
        <v>Male</v>
      </c>
      <c r="E1838" s="1" t="str">
        <f ca="1">IFERROR(__xludf.DUMMYFUNCTION("""COMPUTED_VALUE"""),"People who have changed the world for better")</f>
        <v>People who have changed the world for better</v>
      </c>
      <c r="F1838" s="1" t="str">
        <f ca="1">IFERROR(__xludf.DUMMYFUNCTION("""COMPUTED_VALUE"""),"No, But if someone could bare the cost I will")</f>
        <v>No, But if someone could bare the cost I will</v>
      </c>
      <c r="G1838" s="1" t="str">
        <f ca="1">IFERROR(__xludf.DUMMYFUNCTION("""COMPUTED_VALUE"""),"Will work for 3 years or more")</f>
        <v>Will work for 3 years or more</v>
      </c>
      <c r="H1838" s="1" t="str">
        <f ca="1">IFERROR(__xludf.DUMMYFUNCTION("""COMPUTED_VALUE"""),"No")</f>
        <v>No</v>
      </c>
      <c r="I1838" s="1" t="str">
        <f ca="1">IFERROR(__xludf.DUMMYFUNCTION("""COMPUTED_VALUE"""),"Will NOT work for them")</f>
        <v>Will NOT work for them</v>
      </c>
      <c r="J1838" s="1">
        <f ca="1">IFERROR(__xludf.DUMMYFUNCTION("""COMPUTED_VALUE"""),5)</f>
        <v>5</v>
      </c>
      <c r="K1838" s="1" t="str">
        <f ca="1">IFERROR(__xludf.DUMMYFUNCTION("""COMPUTED_VALUE"""),"Hybrid Working Environment with less than 3 days a month at office")</f>
        <v>Hybrid Working Environment with less than 3 days a month at office</v>
      </c>
      <c r="L1838" s="1" t="str">
        <f ca="1">IFERROR(__xludf.DUMMYFUNCTION("""COMPUTED_VALUE"""),"Employer who appreciates learning and enables that environment")</f>
        <v>Employer who appreciates learning and enables that environment</v>
      </c>
      <c r="M183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38" s="1" t="str">
        <f ca="1">IFERROR(__xludf.DUMMYFUNCTION("""COMPUTED_VALUE"""),"Manage and drive End-to-End Projects or Products, Design and Develop amazing software, Look deeply into Data and generate insights, Entrepreneur or Start Up")</f>
        <v>Manage and drive End-to-End Projects or Products, Design and Develop amazing software, Look deeply into Data and generate insights, Entrepreneur or Start Up</v>
      </c>
      <c r="O1838" s="1" t="str">
        <f ca="1">IFERROR(__xludf.DUMMYFUNCTION("""COMPUTED_VALUE"""),"Manager who sets goal and helps me achieve it")</f>
        <v>Manager who sets goal and helps me achieve it</v>
      </c>
      <c r="P1838" s="1" t="str">
        <f ca="1">IFERROR(__xludf.DUMMYFUNCTION("""COMPUTED_VALUE"""),"Work with 2 to 3 people in my team, Work with 5 to 6 people in my team")</f>
        <v>Work with 2 to 3 people in my team, Work with 5 to 6 people in my team</v>
      </c>
      <c r="Q1838" s="1" t="str">
        <f ca="1">IFERROR(__xludf.DUMMYFUNCTION("""COMPUTED_VALUE"""),"Yes, I Understand this is gonna happen everywhere")</f>
        <v>Yes, I Understand this is gonna happen everywhere</v>
      </c>
      <c r="R1838" s="1" t="str">
        <f ca="1">IFERROR(__xludf.DUMMYFUNCTION("""COMPUTED_VALUE"""),"Will work for 7 years or more")</f>
        <v>Will work for 7 years or more</v>
      </c>
      <c r="S1838" s="1"/>
    </row>
    <row r="1839" spans="1:19" ht="12.5" x14ac:dyDescent="0.25">
      <c r="A1839" s="2">
        <f ca="1">IFERROR(__xludf.DUMMYFUNCTION("""COMPUTED_VALUE"""),45052.7131636226)</f>
        <v>45052.713163622597</v>
      </c>
      <c r="B1839" s="1" t="str">
        <f ca="1">IFERROR(__xludf.DUMMYFUNCTION("""COMPUTED_VALUE"""),"India")</f>
        <v>India</v>
      </c>
      <c r="C1839" s="1">
        <f ca="1">IFERROR(__xludf.DUMMYFUNCTION("""COMPUTED_VALUE"""),412201)</f>
        <v>412201</v>
      </c>
      <c r="D1839" s="1" t="str">
        <f ca="1">IFERROR(__xludf.DUMMYFUNCTION("""COMPUTED_VALUE"""),"Male")</f>
        <v>Male</v>
      </c>
      <c r="E1839" s="1" t="str">
        <f ca="1">IFERROR(__xludf.DUMMYFUNCTION("""COMPUTED_VALUE"""),"My Parents")</f>
        <v>My Parents</v>
      </c>
      <c r="F1839" s="1" t="str">
        <f ca="1">IFERROR(__xludf.DUMMYFUNCTION("""COMPUTED_VALUE"""),"Yes, I will earn and do that")</f>
        <v>Yes, I will earn and do that</v>
      </c>
      <c r="G1839" s="1" t="str">
        <f ca="1">IFERROR(__xludf.DUMMYFUNCTION("""COMPUTED_VALUE"""),"This will be hard to do, but if it is the right company I would try")</f>
        <v>This will be hard to do, but if it is the right company I would try</v>
      </c>
      <c r="H1839" s="1" t="str">
        <f ca="1">IFERROR(__xludf.DUMMYFUNCTION("""COMPUTED_VALUE"""),"No")</f>
        <v>No</v>
      </c>
      <c r="I1839" s="1" t="str">
        <f ca="1">IFERROR(__xludf.DUMMYFUNCTION("""COMPUTED_VALUE"""),"Will NOT work for them")</f>
        <v>Will NOT work for them</v>
      </c>
      <c r="J1839" s="1">
        <f ca="1">IFERROR(__xludf.DUMMYFUNCTION("""COMPUTED_VALUE"""),9)</f>
        <v>9</v>
      </c>
      <c r="K1839" s="1" t="str">
        <f ca="1">IFERROR(__xludf.DUMMYFUNCTION("""COMPUTED_VALUE"""),"Hybrid Working Environment with more than 15 days a month at office")</f>
        <v>Hybrid Working Environment with more than 15 days a month at office</v>
      </c>
      <c r="L18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3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39" s="1" t="str">
        <f ca="1">IFERROR(__xludf.DUMMYFUNCTION("""COMPUTED_VALUE"""),"Design and Creative strategy in any company, Manage and drive End-to-End Projects or Products, Become a content Creator in some platform, Entrepreneur or Start Up")</f>
        <v>Design and Creative strategy in any company, Manage and drive End-to-End Projects or Products, Become a content Creator in some platform, Entrepreneur or Start Up</v>
      </c>
      <c r="O1839" s="1" t="str">
        <f ca="1">IFERROR(__xludf.DUMMYFUNCTION("""COMPUTED_VALUE"""),"Manager who explains what is expected, sets a goal and helps achieve it")</f>
        <v>Manager who explains what is expected, sets a goal and helps achieve it</v>
      </c>
      <c r="P1839" s="1" t="str">
        <f ca="1">IFERROR(__xludf.DUMMYFUNCTION("""COMPUTED_VALUE"""),"Work with 5 to 6 people in my team")</f>
        <v>Work with 5 to 6 people in my team</v>
      </c>
      <c r="Q1839" s="1" t="str">
        <f ca="1">IFERROR(__xludf.DUMMYFUNCTION("""COMPUTED_VALUE"""),"Yes, I Understand this is gonna happen everywhere")</f>
        <v>Yes, I Understand this is gonna happen everywhere</v>
      </c>
      <c r="R1839" s="1" t="str">
        <f ca="1">IFERROR(__xludf.DUMMYFUNCTION("""COMPUTED_VALUE"""),"This will be hard to do, but if it is the right company I would try")</f>
        <v>This will be hard to do, but if it is the right company I would try</v>
      </c>
      <c r="S1839" s="1"/>
    </row>
    <row r="1840" spans="1:19" ht="12.5" x14ac:dyDescent="0.25">
      <c r="A1840" s="2">
        <f ca="1">IFERROR(__xludf.DUMMYFUNCTION("""COMPUTED_VALUE"""),45052.8000536111)</f>
        <v>45052.800053611099</v>
      </c>
      <c r="B1840" s="1" t="str">
        <f ca="1">IFERROR(__xludf.DUMMYFUNCTION("""COMPUTED_VALUE"""),"India")</f>
        <v>India</v>
      </c>
      <c r="C1840" s="1">
        <f ca="1">IFERROR(__xludf.DUMMYFUNCTION("""COMPUTED_VALUE"""),411046)</f>
        <v>411046</v>
      </c>
      <c r="D1840" s="1" t="str">
        <f ca="1">IFERROR(__xludf.DUMMYFUNCTION("""COMPUTED_VALUE"""),"Female")</f>
        <v>Female</v>
      </c>
      <c r="E1840" s="1" t="str">
        <f ca="1">IFERROR(__xludf.DUMMYFUNCTION("""COMPUTED_VALUE"""),"Influencers who had successful careers")</f>
        <v>Influencers who had successful careers</v>
      </c>
      <c r="F1840" s="1" t="str">
        <f ca="1">IFERROR(__xludf.DUMMYFUNCTION("""COMPUTED_VALUE"""),"No, But if someone could bare the cost I will")</f>
        <v>No, But if someone could bare the cost I will</v>
      </c>
      <c r="G1840" s="1" t="str">
        <f ca="1">IFERROR(__xludf.DUMMYFUNCTION("""COMPUTED_VALUE"""),"This will be hard to do, but if it is the right company I would try")</f>
        <v>This will be hard to do, but if it is the right company I would try</v>
      </c>
      <c r="H1840" s="1" t="str">
        <f ca="1">IFERROR(__xludf.DUMMYFUNCTION("""COMPUTED_VALUE"""),"No")</f>
        <v>No</v>
      </c>
      <c r="I1840" s="1" t="str">
        <f ca="1">IFERROR(__xludf.DUMMYFUNCTION("""COMPUTED_VALUE"""),"Will NOT work for them")</f>
        <v>Will NOT work for them</v>
      </c>
      <c r="J1840" s="1">
        <f ca="1">IFERROR(__xludf.DUMMYFUNCTION("""COMPUTED_VALUE"""),5)</f>
        <v>5</v>
      </c>
      <c r="K1840" s="1" t="str">
        <f ca="1">IFERROR(__xludf.DUMMYFUNCTION("""COMPUTED_VALUE"""),"Fully Remote with Options to travel as and when needed")</f>
        <v>Fully Remote with Options to travel as and when needed</v>
      </c>
      <c r="L18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4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40" s="1" t="str">
        <f ca="1">IFERROR(__xludf.DUMMYFUNCTION("""COMPUTED_VALUE"""),"Business Operations in any organization, Build and develop a Team, Look deeply into Data and generate insights, Become a content Creator in some platform")</f>
        <v>Business Operations in any organization, Build and develop a Team, Look deeply into Data and generate insights, Become a content Creator in some platform</v>
      </c>
      <c r="O184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0" s="1" t="str">
        <f ca="1">IFERROR(__xludf.DUMMYFUNCTION("""COMPUTED_VALUE"""),"Work with 2 to 3 people in my team")</f>
        <v>Work with 2 to 3 people in my team</v>
      </c>
      <c r="Q1840" s="1" t="str">
        <f ca="1">IFERROR(__xludf.DUMMYFUNCTION("""COMPUTED_VALUE"""),"No")</f>
        <v>No</v>
      </c>
      <c r="R1840" s="1" t="str">
        <f ca="1">IFERROR(__xludf.DUMMYFUNCTION("""COMPUTED_VALUE"""),"This will be hard to do, but if it is the right company I would try")</f>
        <v>This will be hard to do, but if it is the right company I would try</v>
      </c>
      <c r="S1840" s="1"/>
    </row>
    <row r="1841" spans="1:19" ht="12.5" x14ac:dyDescent="0.25">
      <c r="A1841" s="2">
        <f ca="1">IFERROR(__xludf.DUMMYFUNCTION("""COMPUTED_VALUE"""),45053.6075050694)</f>
        <v>45053.607505069398</v>
      </c>
      <c r="B1841" s="1" t="str">
        <f ca="1">IFERROR(__xludf.DUMMYFUNCTION("""COMPUTED_VALUE"""),"India")</f>
        <v>India</v>
      </c>
      <c r="C1841" s="1">
        <f ca="1">IFERROR(__xludf.DUMMYFUNCTION("""COMPUTED_VALUE"""),732139)</f>
        <v>732139</v>
      </c>
      <c r="D1841" s="1" t="str">
        <f ca="1">IFERROR(__xludf.DUMMYFUNCTION("""COMPUTED_VALUE"""),"Male")</f>
        <v>Male</v>
      </c>
      <c r="E1841" s="1" t="str">
        <f ca="1">IFERROR(__xludf.DUMMYFUNCTION("""COMPUTED_VALUE"""),"My Parents")</f>
        <v>My Parents</v>
      </c>
      <c r="F1841" s="1" t="str">
        <f ca="1">IFERROR(__xludf.DUMMYFUNCTION("""COMPUTED_VALUE"""),"Yes, I will earn and do that")</f>
        <v>Yes, I will earn and do that</v>
      </c>
      <c r="G1841" s="1" t="str">
        <f ca="1">IFERROR(__xludf.DUMMYFUNCTION("""COMPUTED_VALUE"""),"Will work for 3 years or more")</f>
        <v>Will work for 3 years or more</v>
      </c>
      <c r="H1841" s="1" t="str">
        <f ca="1">IFERROR(__xludf.DUMMYFUNCTION("""COMPUTED_VALUE"""),"Yes")</f>
        <v>Yes</v>
      </c>
      <c r="I1841" s="1" t="str">
        <f ca="1">IFERROR(__xludf.DUMMYFUNCTION("""COMPUTED_VALUE"""),"Will work for them")</f>
        <v>Will work for them</v>
      </c>
      <c r="J1841" s="1">
        <f ca="1">IFERROR(__xludf.DUMMYFUNCTION("""COMPUTED_VALUE"""),9)</f>
        <v>9</v>
      </c>
      <c r="K1841" s="1" t="str">
        <f ca="1">IFERROR(__xludf.DUMMYFUNCTION("""COMPUTED_VALUE"""),"Hybrid Working Environment with more than 15 days a month at office")</f>
        <v>Hybrid Working Environment with more than 15 days a month at office</v>
      </c>
      <c r="L18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4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841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1841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1" s="1" t="str">
        <f ca="1">IFERROR(__xludf.DUMMYFUNCTION("""COMPUTED_VALUE"""),"Work with more than 10 people in my team")</f>
        <v>Work with more than 10 people in my team</v>
      </c>
      <c r="Q1841" s="1" t="str">
        <f ca="1">IFERROR(__xludf.DUMMYFUNCTION("""COMPUTED_VALUE"""),"Yes")</f>
        <v>Yes</v>
      </c>
      <c r="R1841" s="1" t="str">
        <f ca="1">IFERROR(__xludf.DUMMYFUNCTION("""COMPUTED_VALUE"""),"Will work for 7 years or more")</f>
        <v>Will work for 7 years or more</v>
      </c>
      <c r="S1841" s="1"/>
    </row>
    <row r="1842" spans="1:19" ht="12.5" x14ac:dyDescent="0.25">
      <c r="A1842" s="2">
        <f ca="1">IFERROR(__xludf.DUMMYFUNCTION("""COMPUTED_VALUE"""),45054.5394036689)</f>
        <v>45054.539403668903</v>
      </c>
      <c r="B1842" s="1" t="str">
        <f ca="1">IFERROR(__xludf.DUMMYFUNCTION("""COMPUTED_VALUE"""),"India")</f>
        <v>India</v>
      </c>
      <c r="C1842" s="1">
        <f ca="1">IFERROR(__xludf.DUMMYFUNCTION("""COMPUTED_VALUE"""),110019)</f>
        <v>110019</v>
      </c>
      <c r="D1842" s="1" t="str">
        <f ca="1">IFERROR(__xludf.DUMMYFUNCTION("""COMPUTED_VALUE"""),"Male")</f>
        <v>Male</v>
      </c>
      <c r="E1842" s="1" t="str">
        <f ca="1">IFERROR(__xludf.DUMMYFUNCTION("""COMPUTED_VALUE"""),"Influencers who had successful careers")</f>
        <v>Influencers who had successful careers</v>
      </c>
      <c r="F1842" s="1" t="str">
        <f ca="1">IFERROR(__xludf.DUMMYFUNCTION("""COMPUTED_VALUE"""),"No, But if someone could bare the cost I will")</f>
        <v>No, But if someone could bare the cost I will</v>
      </c>
      <c r="G1842" s="1" t="str">
        <f ca="1">IFERROR(__xludf.DUMMYFUNCTION("""COMPUTED_VALUE"""),"This will be hard to do, but if it is the right company I would try")</f>
        <v>This will be hard to do, but if it is the right company I would try</v>
      </c>
      <c r="H1842" s="1" t="str">
        <f ca="1">IFERROR(__xludf.DUMMYFUNCTION("""COMPUTED_VALUE"""),"No")</f>
        <v>No</v>
      </c>
      <c r="I1842" s="1" t="str">
        <f ca="1">IFERROR(__xludf.DUMMYFUNCTION("""COMPUTED_VALUE"""),"Will NOT work for them")</f>
        <v>Will NOT work for them</v>
      </c>
      <c r="J1842" s="1">
        <f ca="1">IFERROR(__xludf.DUMMYFUNCTION("""COMPUTED_VALUE"""),5)</f>
        <v>5</v>
      </c>
      <c r="K1842" s="1" t="str">
        <f ca="1">IFERROR(__xludf.DUMMYFUNCTION("""COMPUTED_VALUE"""),"Fully Remote with Options to travel as and when needed")</f>
        <v>Fully Remote with Options to travel as and when needed</v>
      </c>
      <c r="L18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4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42" s="1" t="str">
        <f ca="1">IFERROR(__xludf.DUMMYFUNCTION("""COMPUTED_VALUE"""),"Business Operations in any organization, Build and develop a Team, Work in a BPO setup for some well known client, Entrepreneur or Start Up")</f>
        <v>Business Operations in any organization, Build and develop a Team, Work in a BPO setup for some well known client, Entrepreneur or Start Up</v>
      </c>
      <c r="O1842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2" s="1" t="str">
        <f ca="1">IFERROR(__xludf.DUMMYFUNCTION("""COMPUTED_VALUE"""),"Work with 5 to 6 people in my team")</f>
        <v>Work with 5 to 6 people in my team</v>
      </c>
      <c r="Q1842" s="1" t="str">
        <f ca="1">IFERROR(__xludf.DUMMYFUNCTION("""COMPUTED_VALUE"""),"Yes, I Understand this is gonna happen everywhere")</f>
        <v>Yes, I Understand this is gonna happen everywhere</v>
      </c>
      <c r="R1842" s="1" t="str">
        <f ca="1">IFERROR(__xludf.DUMMYFUNCTION("""COMPUTED_VALUE"""),"This will be hard to do, but if it is the right company I would try")</f>
        <v>This will be hard to do, but if it is the right company I would try</v>
      </c>
      <c r="S1842" s="1"/>
    </row>
    <row r="1843" spans="1:19" ht="12.5" x14ac:dyDescent="0.25">
      <c r="A1843" s="2">
        <f ca="1">IFERROR(__xludf.DUMMYFUNCTION("""COMPUTED_VALUE"""),45055.3108697222)</f>
        <v>45055.310869722198</v>
      </c>
      <c r="B1843" s="1" t="str">
        <f ca="1">IFERROR(__xludf.DUMMYFUNCTION("""COMPUTED_VALUE"""),"India")</f>
        <v>India</v>
      </c>
      <c r="C1843" s="1">
        <f ca="1">IFERROR(__xludf.DUMMYFUNCTION("""COMPUTED_VALUE"""),637001)</f>
        <v>637001</v>
      </c>
      <c r="D1843" s="1" t="str">
        <f ca="1">IFERROR(__xludf.DUMMYFUNCTION("""COMPUTED_VALUE"""),"Female")</f>
        <v>Female</v>
      </c>
      <c r="E1843" s="1" t="str">
        <f ca="1">IFERROR(__xludf.DUMMYFUNCTION("""COMPUTED_VALUE"""),"Influencers who had successful careers")</f>
        <v>Influencers who had successful careers</v>
      </c>
      <c r="F1843" s="1" t="str">
        <f ca="1">IFERROR(__xludf.DUMMYFUNCTION("""COMPUTED_VALUE"""),"Yes, I will earn and do that")</f>
        <v>Yes, I will earn and do that</v>
      </c>
      <c r="G1843" s="1" t="str">
        <f ca="1">IFERROR(__xludf.DUMMYFUNCTION("""COMPUTED_VALUE"""),"This will be hard to do, but if it is the right company I would try")</f>
        <v>This will be hard to do, but if it is the right company I would try</v>
      </c>
      <c r="H1843" s="1" t="str">
        <f ca="1">IFERROR(__xludf.DUMMYFUNCTION("""COMPUTED_VALUE"""),"No")</f>
        <v>No</v>
      </c>
      <c r="I1843" s="1" t="str">
        <f ca="1">IFERROR(__xludf.DUMMYFUNCTION("""COMPUTED_VALUE"""),"Will NOT work for them")</f>
        <v>Will NOT work for them</v>
      </c>
      <c r="J1843" s="1">
        <f ca="1">IFERROR(__xludf.DUMMYFUNCTION("""COMPUTED_VALUE"""),3)</f>
        <v>3</v>
      </c>
      <c r="K1843" s="1" t="str">
        <f ca="1">IFERROR(__xludf.DUMMYFUNCTION("""COMPUTED_VALUE"""),"Hybrid Working Environment with more than 15 days a month at office")</f>
        <v>Hybrid Working Environment with more than 15 days a month at office</v>
      </c>
      <c r="L18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4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843" s="1" t="str">
        <f ca="1">IFERROR(__xludf.DUMMYFUNCTION("""COMPUTED_VALUE"""),"Teaching in any of the institutes/colleges/online or offline, Business Operations in any organization, Manage and drive End-to-End Projects or Products, Become a content Creator in some platform")</f>
        <v>Teaching in any of the institutes/colleges/online or offline, Business Operations in any organization, Manage and drive End-to-End Projects or Products, Become a content Creator in some platform</v>
      </c>
      <c r="O1843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3" s="1" t="str">
        <f ca="1">IFERROR(__xludf.DUMMYFUNCTION("""COMPUTED_VALUE"""),"Work with 2 to 3 people in my team")</f>
        <v>Work with 2 to 3 people in my team</v>
      </c>
      <c r="Q1843" s="1" t="str">
        <f ca="1">IFERROR(__xludf.DUMMYFUNCTION("""COMPUTED_VALUE"""),"No")</f>
        <v>No</v>
      </c>
      <c r="R1843" s="1" t="str">
        <f ca="1">IFERROR(__xludf.DUMMYFUNCTION("""COMPUTED_VALUE"""),"This will be hard to do, but if it is the right company I would try")</f>
        <v>This will be hard to do, but if it is the right company I would try</v>
      </c>
      <c r="S1843" s="1"/>
    </row>
    <row r="1844" spans="1:19" ht="12.5" x14ac:dyDescent="0.25">
      <c r="A1844" s="2">
        <f ca="1">IFERROR(__xludf.DUMMYFUNCTION("""COMPUTED_VALUE"""),45055.6322105324)</f>
        <v>45055.6322105324</v>
      </c>
      <c r="B1844" s="1" t="str">
        <f ca="1">IFERROR(__xludf.DUMMYFUNCTION("""COMPUTED_VALUE"""),"India")</f>
        <v>India</v>
      </c>
      <c r="C1844" s="1">
        <f ca="1">IFERROR(__xludf.DUMMYFUNCTION("""COMPUTED_VALUE"""),110058)</f>
        <v>110058</v>
      </c>
      <c r="D1844" s="1" t="str">
        <f ca="1">IFERROR(__xludf.DUMMYFUNCTION("""COMPUTED_VALUE"""),"Male")</f>
        <v>Male</v>
      </c>
      <c r="E1844" s="1" t="str">
        <f ca="1">IFERROR(__xludf.DUMMYFUNCTION("""COMPUTED_VALUE"""),"Influencers who had successful careers")</f>
        <v>Influencers who had successful careers</v>
      </c>
      <c r="F1844" s="1" t="str">
        <f ca="1">IFERROR(__xludf.DUMMYFUNCTION("""COMPUTED_VALUE"""),"No, But if someone could bare the cost I will")</f>
        <v>No, But if someone could bare the cost I will</v>
      </c>
      <c r="G1844" s="1" t="str">
        <f ca="1">IFERROR(__xludf.DUMMYFUNCTION("""COMPUTED_VALUE"""),"Will work for 3 years or more")</f>
        <v>Will work for 3 years or more</v>
      </c>
      <c r="H1844" s="1" t="str">
        <f ca="1">IFERROR(__xludf.DUMMYFUNCTION("""COMPUTED_VALUE"""),"No")</f>
        <v>No</v>
      </c>
      <c r="I1844" s="1" t="str">
        <f ca="1">IFERROR(__xludf.DUMMYFUNCTION("""COMPUTED_VALUE"""),"Will NOT work for them")</f>
        <v>Will NOT work for them</v>
      </c>
      <c r="J1844" s="1">
        <f ca="1">IFERROR(__xludf.DUMMYFUNCTION("""COMPUTED_VALUE"""),5)</f>
        <v>5</v>
      </c>
      <c r="K1844" s="1" t="str">
        <f ca="1">IFERROR(__xludf.DUMMYFUNCTION("""COMPUTED_VALUE"""),"Hybrid Working Environment with less than 3 days a month at office")</f>
        <v>Hybrid Working Environment with less than 3 days a month at office</v>
      </c>
      <c r="L18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4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44" s="1" t="str">
        <f ca="1">IFERROR(__xludf.DUMMYFUNCTION("""COMPUTED_VALUE"""),"Build and develop a Team, Look deeply into Data and generate insights, Become a content Creator in some platform, Entrepreneur or Start Up")</f>
        <v>Build and develop a Team, Look deeply into Data and generate insights, Become a content Creator in some platform, Entrepreneur or Start Up</v>
      </c>
      <c r="O1844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4" s="1" t="str">
        <f ca="1">IFERROR(__xludf.DUMMYFUNCTION("""COMPUTED_VALUE"""),"Work with 5 to 6 people in my team")</f>
        <v>Work with 5 to 6 people in my team</v>
      </c>
      <c r="Q1844" s="1" t="str">
        <f ca="1">IFERROR(__xludf.DUMMYFUNCTION("""COMPUTED_VALUE"""),"Yes, I Understand this is gonna happen everywhere")</f>
        <v>Yes, I Understand this is gonna happen everywhere</v>
      </c>
      <c r="R1844" s="1" t="str">
        <f ca="1">IFERROR(__xludf.DUMMYFUNCTION("""COMPUTED_VALUE"""),"This will be hard to do, but if it is the right company I would try")</f>
        <v>This will be hard to do, but if it is the right company I would try</v>
      </c>
      <c r="S1844" s="1"/>
    </row>
    <row r="1845" spans="1:19" ht="12.5" x14ac:dyDescent="0.25">
      <c r="A1845" s="2">
        <f ca="1">IFERROR(__xludf.DUMMYFUNCTION("""COMPUTED_VALUE"""),45056.5579307407)</f>
        <v>45056.557930740702</v>
      </c>
      <c r="B1845" s="1" t="str">
        <f ca="1">IFERROR(__xludf.DUMMYFUNCTION("""COMPUTED_VALUE"""),"India")</f>
        <v>India</v>
      </c>
      <c r="C1845" s="1">
        <f ca="1">IFERROR(__xludf.DUMMYFUNCTION("""COMPUTED_VALUE"""),193502)</f>
        <v>193502</v>
      </c>
      <c r="D1845" s="1" t="str">
        <f ca="1">IFERROR(__xludf.DUMMYFUNCTION("""COMPUTED_VALUE"""),"Female")</f>
        <v>Female</v>
      </c>
      <c r="E1845" s="1" t="str">
        <f ca="1">IFERROR(__xludf.DUMMYFUNCTION("""COMPUTED_VALUE"""),"People who have changed the world for better")</f>
        <v>People who have changed the world for better</v>
      </c>
      <c r="F1845" s="1" t="str">
        <f ca="1">IFERROR(__xludf.DUMMYFUNCTION("""COMPUTED_VALUE"""),"No, But if someone could bare the cost I will")</f>
        <v>No, But if someone could bare the cost I will</v>
      </c>
      <c r="G1845" s="1" t="str">
        <f ca="1">IFERROR(__xludf.DUMMYFUNCTION("""COMPUTED_VALUE"""),"This will be hard to do, but if it is the right company I would try")</f>
        <v>This will be hard to do, but if it is the right company I would try</v>
      </c>
      <c r="H1845" s="1" t="str">
        <f ca="1">IFERROR(__xludf.DUMMYFUNCTION("""COMPUTED_VALUE"""),"No")</f>
        <v>No</v>
      </c>
      <c r="I1845" s="1" t="str">
        <f ca="1">IFERROR(__xludf.DUMMYFUNCTION("""COMPUTED_VALUE"""),"Will NOT work for them")</f>
        <v>Will NOT work for them</v>
      </c>
      <c r="J1845" s="1">
        <f ca="1">IFERROR(__xludf.DUMMYFUNCTION("""COMPUTED_VALUE"""),5)</f>
        <v>5</v>
      </c>
      <c r="K1845" s="1" t="str">
        <f ca="1">IFERROR(__xludf.DUMMYFUNCTION("""COMPUTED_VALUE"""),"Every Day Office Environment")</f>
        <v>Every Day Office Environment</v>
      </c>
      <c r="L1845" s="1" t="str">
        <f ca="1">IFERROR(__xludf.DUMMYFUNCTION("""COMPUTED_VALUE"""),"Employer who appreciates learning and enables that environment")</f>
        <v>Employer who appreciates learning and enables that environment</v>
      </c>
      <c r="M184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45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1845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5" s="1" t="str">
        <f ca="1">IFERROR(__xludf.DUMMYFUNCTION("""COMPUTED_VALUE"""),"Work with 7 to 10 or more people in my team")</f>
        <v>Work with 7 to 10 or more people in my team</v>
      </c>
      <c r="Q1845" s="1" t="str">
        <f ca="1">IFERROR(__xludf.DUMMYFUNCTION("""COMPUTED_VALUE"""),"Yes, I Understand this is gonna happen everywhere")</f>
        <v>Yes, I Understand this is gonna happen everywhere</v>
      </c>
      <c r="R1845" s="1" t="str">
        <f ca="1">IFERROR(__xludf.DUMMYFUNCTION("""COMPUTED_VALUE"""),"This will be hard to do, but if it is the right company I would try")</f>
        <v>This will be hard to do, but if it is the right company I would try</v>
      </c>
      <c r="S1845" s="1"/>
    </row>
    <row r="1846" spans="1:19" ht="12.5" x14ac:dyDescent="0.25">
      <c r="A1846" s="2">
        <f ca="1">IFERROR(__xludf.DUMMYFUNCTION("""COMPUTED_VALUE"""),45057.3854857523)</f>
        <v>45057.385485752297</v>
      </c>
      <c r="B1846" s="1" t="str">
        <f ca="1">IFERROR(__xludf.DUMMYFUNCTION("""COMPUTED_VALUE"""),"India")</f>
        <v>India</v>
      </c>
      <c r="C1846" s="1">
        <f ca="1">IFERROR(__xludf.DUMMYFUNCTION("""COMPUTED_VALUE"""),110051)</f>
        <v>110051</v>
      </c>
      <c r="D1846" s="1" t="str">
        <f ca="1">IFERROR(__xludf.DUMMYFUNCTION("""COMPUTED_VALUE"""),"Male")</f>
        <v>Male</v>
      </c>
      <c r="E1846" s="1" t="str">
        <f ca="1">IFERROR(__xludf.DUMMYFUNCTION("""COMPUTED_VALUE"""),"Influencers who had successful careers")</f>
        <v>Influencers who had successful careers</v>
      </c>
      <c r="F1846" s="1" t="str">
        <f ca="1">IFERROR(__xludf.DUMMYFUNCTION("""COMPUTED_VALUE"""),"Yes, I will earn and do that")</f>
        <v>Yes, I will earn and do that</v>
      </c>
      <c r="G1846" s="1" t="str">
        <f ca="1">IFERROR(__xludf.DUMMYFUNCTION("""COMPUTED_VALUE"""),"This will be hard to do, but if it is the right company I would try")</f>
        <v>This will be hard to do, but if it is the right company I would try</v>
      </c>
      <c r="H1846" s="1" t="str">
        <f ca="1">IFERROR(__xludf.DUMMYFUNCTION("""COMPUTED_VALUE"""),"No")</f>
        <v>No</v>
      </c>
      <c r="I1846" s="1" t="str">
        <f ca="1">IFERROR(__xludf.DUMMYFUNCTION("""COMPUTED_VALUE"""),"Will NOT work for them")</f>
        <v>Will NOT work for them</v>
      </c>
      <c r="J1846" s="1">
        <f ca="1">IFERROR(__xludf.DUMMYFUNCTION("""COMPUTED_VALUE"""),5)</f>
        <v>5</v>
      </c>
      <c r="K1846" s="1" t="str">
        <f ca="1">IFERROR(__xludf.DUMMYFUNCTION("""COMPUTED_VALUE"""),"Hybrid Working Environment with less than 3 days a month at office")</f>
        <v>Hybrid Working Environment with less than 3 days a month at office</v>
      </c>
      <c r="L18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4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846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846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6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846" s="1" t="str">
        <f ca="1">IFERROR(__xludf.DUMMYFUNCTION("""COMPUTED_VALUE"""),"Yes, I Understand this is gonna happen everywhere")</f>
        <v>Yes, I Understand this is gonna happen everywhere</v>
      </c>
      <c r="R1846" s="1" t="str">
        <f ca="1">IFERROR(__xludf.DUMMYFUNCTION("""COMPUTED_VALUE"""),"No way")</f>
        <v>No way</v>
      </c>
      <c r="S1846" s="1"/>
    </row>
    <row r="1847" spans="1:19" ht="12.5" x14ac:dyDescent="0.25">
      <c r="A1847" s="2">
        <f ca="1">IFERROR(__xludf.DUMMYFUNCTION("""COMPUTED_VALUE"""),45058.6145803935)</f>
        <v>45058.6145803935</v>
      </c>
      <c r="B1847" s="1" t="str">
        <f ca="1">IFERROR(__xludf.DUMMYFUNCTION("""COMPUTED_VALUE"""),"India")</f>
        <v>India</v>
      </c>
      <c r="C1847" s="1">
        <f ca="1">IFERROR(__xludf.DUMMYFUNCTION("""COMPUTED_VALUE"""),411041)</f>
        <v>411041</v>
      </c>
      <c r="D1847" s="1" t="str">
        <f ca="1">IFERROR(__xludf.DUMMYFUNCTION("""COMPUTED_VALUE"""),"Male")</f>
        <v>Male</v>
      </c>
      <c r="E1847" s="1" t="str">
        <f ca="1">IFERROR(__xludf.DUMMYFUNCTION("""COMPUTED_VALUE"""),"Influencers who had successful careers")</f>
        <v>Influencers who had successful careers</v>
      </c>
      <c r="F1847" s="1" t="str">
        <f ca="1">IFERROR(__xludf.DUMMYFUNCTION("""COMPUTED_VALUE"""),"No I would not be pursuing Higher Education outside of India")</f>
        <v>No I would not be pursuing Higher Education outside of India</v>
      </c>
      <c r="G1847" s="1" t="str">
        <f ca="1">IFERROR(__xludf.DUMMYFUNCTION("""COMPUTED_VALUE"""),"This will be hard to do, but if it is the right company I would try")</f>
        <v>This will be hard to do, but if it is the right company I would try</v>
      </c>
      <c r="H1847" s="1" t="str">
        <f ca="1">IFERROR(__xludf.DUMMYFUNCTION("""COMPUTED_VALUE"""),"No")</f>
        <v>No</v>
      </c>
      <c r="I1847" s="1" t="str">
        <f ca="1">IFERROR(__xludf.DUMMYFUNCTION("""COMPUTED_VALUE"""),"Will NOT work for them")</f>
        <v>Will NOT work for them</v>
      </c>
      <c r="J1847" s="1">
        <f ca="1">IFERROR(__xludf.DUMMYFUNCTION("""COMPUTED_VALUE"""),7)</f>
        <v>7</v>
      </c>
      <c r="K1847" s="1" t="str">
        <f ca="1">IFERROR(__xludf.DUMMYFUNCTION("""COMPUTED_VALUE"""),"Hybrid Working Environment with more than 15 days a month at office")</f>
        <v>Hybrid Working Environment with more than 15 days a month at office</v>
      </c>
      <c r="L1847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84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47" s="1" t="str">
        <f ca="1">IFERROR(__xludf.DUMMYFUNCTION("""COMPUTED_VALUE"""),"Design and Creative strategy in any company, Manage and drive End-to-End Projects or Products, Entrepreneur or Start Up, An Artificial Intelligence Specialist / Talking to Robots")</f>
        <v>Design and Creative strategy in any company, Manage and drive End-to-End Projects or Products, Entrepreneur or Start Up, An Artificial Intelligence Specialist / Talking to Robots</v>
      </c>
      <c r="O1847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847" s="1" t="str">
        <f ca="1">IFERROR(__xludf.DUMMYFUNCTION("""COMPUTED_VALUE"""),"Yes, I Understand this is gonna happen everywhere")</f>
        <v>Yes, I Understand this is gonna happen everywhere</v>
      </c>
      <c r="R1847" s="1" t="str">
        <f ca="1">IFERROR(__xludf.DUMMYFUNCTION("""COMPUTED_VALUE"""),"This will be hard to do, but if it is the right company I would try")</f>
        <v>This will be hard to do, but if it is the right company I would try</v>
      </c>
      <c r="S1847" s="1"/>
    </row>
    <row r="1848" spans="1:19" ht="12.5" x14ac:dyDescent="0.25">
      <c r="A1848" s="2">
        <f ca="1">IFERROR(__xludf.DUMMYFUNCTION("""COMPUTED_VALUE"""),45058.6208978356)</f>
        <v>45058.620897835601</v>
      </c>
      <c r="B1848" s="1" t="str">
        <f ca="1">IFERROR(__xludf.DUMMYFUNCTION("""COMPUTED_VALUE"""),"India")</f>
        <v>India</v>
      </c>
      <c r="C1848" s="1">
        <f ca="1">IFERROR(__xludf.DUMMYFUNCTION("""COMPUTED_VALUE"""),452016)</f>
        <v>452016</v>
      </c>
      <c r="D1848" s="1" t="str">
        <f ca="1">IFERROR(__xludf.DUMMYFUNCTION("""COMPUTED_VALUE"""),"Male")</f>
        <v>Male</v>
      </c>
      <c r="E1848" s="1" t="str">
        <f ca="1">IFERROR(__xludf.DUMMYFUNCTION("""COMPUTED_VALUE"""),"My Parents")</f>
        <v>My Parents</v>
      </c>
      <c r="F1848" s="1" t="str">
        <f ca="1">IFERROR(__xludf.DUMMYFUNCTION("""COMPUTED_VALUE"""),"No I would not be pursuing Higher Education outside of India")</f>
        <v>No I would not be pursuing Higher Education outside of India</v>
      </c>
      <c r="G1848" s="1" t="str">
        <f ca="1">IFERROR(__xludf.DUMMYFUNCTION("""COMPUTED_VALUE"""),"Will work for 3 years or more")</f>
        <v>Will work for 3 years or more</v>
      </c>
      <c r="H1848" s="1" t="str">
        <f ca="1">IFERROR(__xludf.DUMMYFUNCTION("""COMPUTED_VALUE"""),"Yes")</f>
        <v>Yes</v>
      </c>
      <c r="I1848" s="1" t="str">
        <f ca="1">IFERROR(__xludf.DUMMYFUNCTION("""COMPUTED_VALUE"""),"Will work for them")</f>
        <v>Will work for them</v>
      </c>
      <c r="J1848" s="1">
        <f ca="1">IFERROR(__xludf.DUMMYFUNCTION("""COMPUTED_VALUE"""),7)</f>
        <v>7</v>
      </c>
      <c r="K1848" s="1" t="str">
        <f ca="1">IFERROR(__xludf.DUMMYFUNCTION("""COMPUTED_VALUE"""),"Hybrid Working Environment with more than 15 days a month at office")</f>
        <v>Hybrid Working Environment with more than 15 days a month at office</v>
      </c>
      <c r="L18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4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4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848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8" s="1" t="str">
        <f ca="1">IFERROR(__xludf.DUMMYFUNCTION("""COMPUTED_VALUE"""),"Work with 5 to 6 people in my team")</f>
        <v>Work with 5 to 6 people in my team</v>
      </c>
      <c r="Q1848" s="1" t="str">
        <f ca="1">IFERROR(__xludf.DUMMYFUNCTION("""COMPUTED_VALUE"""),"Yes")</f>
        <v>Yes</v>
      </c>
      <c r="R1848" s="1" t="str">
        <f ca="1">IFERROR(__xludf.DUMMYFUNCTION("""COMPUTED_VALUE"""),"Will work for 7 years or more")</f>
        <v>Will work for 7 years or more</v>
      </c>
      <c r="S1848" s="1"/>
    </row>
    <row r="1849" spans="1:19" ht="12.5" x14ac:dyDescent="0.25">
      <c r="A1849" s="2">
        <f ca="1">IFERROR(__xludf.DUMMYFUNCTION("""COMPUTED_VALUE"""),45059.3774161458)</f>
        <v>45059.377416145799</v>
      </c>
      <c r="B1849" s="1" t="str">
        <f ca="1">IFERROR(__xludf.DUMMYFUNCTION("""COMPUTED_VALUE"""),"India")</f>
        <v>India</v>
      </c>
      <c r="C1849" s="1">
        <f ca="1">IFERROR(__xludf.DUMMYFUNCTION("""COMPUTED_VALUE"""),110010)</f>
        <v>110010</v>
      </c>
      <c r="D1849" s="1" t="str">
        <f ca="1">IFERROR(__xludf.DUMMYFUNCTION("""COMPUTED_VALUE"""),"Female")</f>
        <v>Female</v>
      </c>
      <c r="E1849" s="1" t="str">
        <f ca="1">IFERROR(__xludf.DUMMYFUNCTION("""COMPUTED_VALUE"""),"My Parents")</f>
        <v>My Parents</v>
      </c>
      <c r="F1849" s="1" t="str">
        <f ca="1">IFERROR(__xludf.DUMMYFUNCTION("""COMPUTED_VALUE"""),"No I would not be pursuing Higher Education outside of India")</f>
        <v>No I would not be pursuing Higher Education outside of India</v>
      </c>
      <c r="G1849" s="1" t="str">
        <f ca="1">IFERROR(__xludf.DUMMYFUNCTION("""COMPUTED_VALUE"""),"Will work for 3 years or more")</f>
        <v>Will work for 3 years or more</v>
      </c>
      <c r="H1849" s="1" t="str">
        <f ca="1">IFERROR(__xludf.DUMMYFUNCTION("""COMPUTED_VALUE"""),"No")</f>
        <v>No</v>
      </c>
      <c r="I1849" s="1" t="str">
        <f ca="1">IFERROR(__xludf.DUMMYFUNCTION("""COMPUTED_VALUE"""),"Will NOT work for them")</f>
        <v>Will NOT work for them</v>
      </c>
      <c r="J1849" s="1">
        <f ca="1">IFERROR(__xludf.DUMMYFUNCTION("""COMPUTED_VALUE"""),5)</f>
        <v>5</v>
      </c>
      <c r="K1849" s="1" t="str">
        <f ca="1">IFERROR(__xludf.DUMMYFUNCTION("""COMPUTED_VALUE"""),"Fully Remote with Options to travel as and when needed")</f>
        <v>Fully Remote with Options to travel as and when needed</v>
      </c>
      <c r="L1849" s="1" t="str">
        <f ca="1">IFERROR(__xludf.DUMMYFUNCTION("""COMPUTED_VALUE"""),"Employer who appreciates learning and enables that environment")</f>
        <v>Employer who appreciates learning and enables that environment</v>
      </c>
      <c r="M184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849" s="1" t="str">
        <f ca="1">IFERROR(__xludf.DUMMYFUNCTION("""COMPUTED_VALUE"""),"Business Operations in any organization, Manage and drive End-to-End Projects or Products, Build and develop a Team, Work as a freelancer and do my thing my way")</f>
        <v>Business Operations in any organization, Manage and drive End-to-End Projects or Products, Build and develop a Team, Work as a freelancer and do my thing my way</v>
      </c>
      <c r="O1849" s="1" t="str">
        <f ca="1">IFERROR(__xludf.DUMMYFUNCTION("""COMPUTED_VALUE"""),"Manager who explains what is expected, sets a goal and helps achieve it")</f>
        <v>Manager who explains what is expected, sets a goal and helps achieve it</v>
      </c>
      <c r="P1849" s="1" t="str">
        <f ca="1">IFERROR(__xludf.DUMMYFUNCTION("""COMPUTED_VALUE"""),"Work with 5 to 6 people in my team")</f>
        <v>Work with 5 to 6 people in my team</v>
      </c>
      <c r="Q1849" s="1" t="str">
        <f ca="1">IFERROR(__xludf.DUMMYFUNCTION("""COMPUTED_VALUE"""),"Yes, I Understand this is gonna happen everywhere")</f>
        <v>Yes, I Understand this is gonna happen everywhere</v>
      </c>
      <c r="R1849" s="1" t="str">
        <f ca="1">IFERROR(__xludf.DUMMYFUNCTION("""COMPUTED_VALUE"""),"This will be hard to do, but if it is the right company I would try")</f>
        <v>This will be hard to do, but if it is the right company I would try</v>
      </c>
      <c r="S1849" s="1"/>
    </row>
    <row r="1850" spans="1:19" ht="12.5" x14ac:dyDescent="0.25">
      <c r="A1850" s="2">
        <f ca="1">IFERROR(__xludf.DUMMYFUNCTION("""COMPUTED_VALUE"""),45059.9789484838)</f>
        <v>45059.978948483797</v>
      </c>
      <c r="B1850" s="1" t="str">
        <f ca="1">IFERROR(__xludf.DUMMYFUNCTION("""COMPUTED_VALUE"""),"India")</f>
        <v>India</v>
      </c>
      <c r="C1850" s="1">
        <f ca="1">IFERROR(__xludf.DUMMYFUNCTION("""COMPUTED_VALUE"""),160019)</f>
        <v>160019</v>
      </c>
      <c r="D1850" s="1" t="str">
        <f ca="1">IFERROR(__xludf.DUMMYFUNCTION("""COMPUTED_VALUE"""),"Female")</f>
        <v>Female</v>
      </c>
      <c r="E1850" s="1" t="str">
        <f ca="1">IFERROR(__xludf.DUMMYFUNCTION("""COMPUTED_VALUE"""),"My Parents")</f>
        <v>My Parents</v>
      </c>
      <c r="F1850" s="1" t="str">
        <f ca="1">IFERROR(__xludf.DUMMYFUNCTION("""COMPUTED_VALUE"""),"No, But if someone could bare the cost I will")</f>
        <v>No, But if someone could bare the cost I will</v>
      </c>
      <c r="G1850" s="1" t="str">
        <f ca="1">IFERROR(__xludf.DUMMYFUNCTION("""COMPUTED_VALUE"""),"This will be hard to do, but if it is the right company I would try")</f>
        <v>This will be hard to do, but if it is the right company I would try</v>
      </c>
      <c r="H1850" s="1" t="str">
        <f ca="1">IFERROR(__xludf.DUMMYFUNCTION("""COMPUTED_VALUE"""),"No")</f>
        <v>No</v>
      </c>
      <c r="I1850" s="1" t="str">
        <f ca="1">IFERROR(__xludf.DUMMYFUNCTION("""COMPUTED_VALUE"""),"Will NOT work for them")</f>
        <v>Will NOT work for them</v>
      </c>
      <c r="J1850" s="1">
        <f ca="1">IFERROR(__xludf.DUMMYFUNCTION("""COMPUTED_VALUE"""),5)</f>
        <v>5</v>
      </c>
      <c r="K1850" s="1" t="str">
        <f ca="1">IFERROR(__xludf.DUMMYFUNCTION("""COMPUTED_VALUE"""),"Fully Remote with Options to travel as and when needed")</f>
        <v>Fully Remote with Options to travel as and when needed</v>
      </c>
      <c r="L1850" s="1" t="str">
        <f ca="1">IFERROR(__xludf.DUMMYFUNCTION("""COMPUTED_VALUE"""),"Employer who appreciates learning and enables that environment")</f>
        <v>Employer who appreciates learning and enables that environment</v>
      </c>
      <c r="M185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850" s="1" t="str">
        <f ca="1">IFERROR(__xludf.DUMMYFUNCTION("""COMPUTED_VALUE"""),"Design and Creative strategy in any company, Build and develop a Team, Entrepreneur or Start Up, I Want to sell things/Sales")</f>
        <v>Design and Creative strategy in any company, Build and develop a Team, Entrepreneur or Start Up, I Want to sell things/Sales</v>
      </c>
      <c r="O185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50" s="1" t="str">
        <f ca="1">IFERROR(__xludf.DUMMYFUNCTION("""COMPUTED_VALUE"""),"Work with 2 to 3 people in my team")</f>
        <v>Work with 2 to 3 people in my team</v>
      </c>
      <c r="Q1850" s="1" t="str">
        <f ca="1">IFERROR(__xludf.DUMMYFUNCTION("""COMPUTED_VALUE"""),"I have NO other choice")</f>
        <v>I have NO other choice</v>
      </c>
      <c r="R1850" s="1" t="str">
        <f ca="1">IFERROR(__xludf.DUMMYFUNCTION("""COMPUTED_VALUE"""),"This will be hard to do, but if it is the right company I would try")</f>
        <v>This will be hard to do, but if it is the right company I would try</v>
      </c>
      <c r="S1850" s="1"/>
    </row>
    <row r="1851" spans="1:19" ht="12.5" x14ac:dyDescent="0.25">
      <c r="A1851" s="2">
        <f ca="1">IFERROR(__xludf.DUMMYFUNCTION("""COMPUTED_VALUE"""),45061.7077547685)</f>
        <v>45061.707754768497</v>
      </c>
      <c r="B1851" s="1" t="str">
        <f ca="1">IFERROR(__xludf.DUMMYFUNCTION("""COMPUTED_VALUE"""),"India")</f>
        <v>India</v>
      </c>
      <c r="C1851" s="1">
        <f ca="1">IFERROR(__xludf.DUMMYFUNCTION("""COMPUTED_VALUE"""),414001)</f>
        <v>414001</v>
      </c>
      <c r="D1851" s="1" t="str">
        <f ca="1">IFERROR(__xludf.DUMMYFUNCTION("""COMPUTED_VALUE"""),"Male")</f>
        <v>Male</v>
      </c>
      <c r="E1851" s="1" t="str">
        <f ca="1">IFERROR(__xludf.DUMMYFUNCTION("""COMPUTED_VALUE"""),"My Parents")</f>
        <v>My Parents</v>
      </c>
      <c r="F1851" s="1" t="str">
        <f ca="1">IFERROR(__xludf.DUMMYFUNCTION("""COMPUTED_VALUE"""),"Yes, I will earn and do that")</f>
        <v>Yes, I will earn and do that</v>
      </c>
      <c r="G1851" s="1" t="str">
        <f ca="1">IFERROR(__xludf.DUMMYFUNCTION("""COMPUTED_VALUE"""),"Will work for 3 years or more")</f>
        <v>Will work for 3 years or more</v>
      </c>
      <c r="H1851" s="1" t="str">
        <f ca="1">IFERROR(__xludf.DUMMYFUNCTION("""COMPUTED_VALUE"""),"Yes")</f>
        <v>Yes</v>
      </c>
      <c r="I1851" s="1" t="str">
        <f ca="1">IFERROR(__xludf.DUMMYFUNCTION("""COMPUTED_VALUE"""),"Will NOT work for them")</f>
        <v>Will NOT work for them</v>
      </c>
      <c r="J1851" s="1">
        <f ca="1">IFERROR(__xludf.DUMMYFUNCTION("""COMPUTED_VALUE"""),6)</f>
        <v>6</v>
      </c>
      <c r="K1851" s="1" t="str">
        <f ca="1">IFERROR(__xludf.DUMMYFUNCTION("""COMPUTED_VALUE"""),"Every Day Office Environment")</f>
        <v>Every Day Office Environment</v>
      </c>
      <c r="L1851" s="1" t="str">
        <f ca="1">IFERROR(__xludf.DUMMYFUNCTION("""COMPUTED_VALUE"""),"Employer who appreciates learning and enables that environment")</f>
        <v>Employer who appreciates learning and enables that environment</v>
      </c>
      <c r="M1851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851" s="1" t="str">
        <f ca="1">IFERROR(__xludf.DUMMYFUNCTION("""COMPUTED_VALUE"""),"Design and Creative strategy in any company, Work in a BPO setup for some well known client, An Artificial Intelligence Specialist / Talking to Robots, Manufacturing / Oil and Gas/ Construction / Hard Physical Work related")</f>
        <v>Design and Creative strategy in any company, Work in a BPO setup for some well known client, An Artificial Intelligence Specialist / Talking to Robots, Manufacturing / Oil and Gas/ Construction / Hard Physical Work related</v>
      </c>
      <c r="O1851" s="1" t="str">
        <f ca="1">IFERROR(__xludf.DUMMYFUNCTION("""COMPUTED_VALUE"""),"Manager who clearly describes what she/he needs")</f>
        <v>Manager who clearly describes what she/he needs</v>
      </c>
      <c r="P1851" s="1" t="str">
        <f ca="1">IFERROR(__xludf.DUMMYFUNCTION("""COMPUTED_VALUE"""),"Work alone, Work with 2 to 3 people in my team")</f>
        <v>Work alone, Work with 2 to 3 people in my team</v>
      </c>
      <c r="Q1851" s="1" t="str">
        <f ca="1">IFERROR(__xludf.DUMMYFUNCTION("""COMPUTED_VALUE"""),"Yes")</f>
        <v>Yes</v>
      </c>
      <c r="R1851" s="1" t="str">
        <f ca="1">IFERROR(__xludf.DUMMYFUNCTION("""COMPUTED_VALUE"""),"No way")</f>
        <v>No way</v>
      </c>
      <c r="S1851" s="1" t="str">
        <f ca="1">IFERROR(__xludf.DUMMYFUNCTION("""COMPUTED_VALUE"""),"kumartejendar@gmail.com")</f>
        <v>kumartejendar@gmail.com</v>
      </c>
    </row>
    <row r="1852" spans="1:19" ht="12.5" x14ac:dyDescent="0.25">
      <c r="A1852" s="2">
        <f ca="1">IFERROR(__xludf.DUMMYFUNCTION("""COMPUTED_VALUE"""),45062.7503094791)</f>
        <v>45062.750309479103</v>
      </c>
      <c r="B1852" s="1" t="str">
        <f ca="1">IFERROR(__xludf.DUMMYFUNCTION("""COMPUTED_VALUE"""),"India")</f>
        <v>India</v>
      </c>
      <c r="C1852" s="1">
        <f ca="1">IFERROR(__xludf.DUMMYFUNCTION("""COMPUTED_VALUE"""),600106)</f>
        <v>600106</v>
      </c>
      <c r="D1852" s="1" t="str">
        <f ca="1">IFERROR(__xludf.DUMMYFUNCTION("""COMPUTED_VALUE"""),"Female")</f>
        <v>Female</v>
      </c>
      <c r="E1852" s="1" t="str">
        <f ca="1">IFERROR(__xludf.DUMMYFUNCTION("""COMPUTED_VALUE"""),"People who have changed the world for better")</f>
        <v>People who have changed the world for better</v>
      </c>
      <c r="F1852" s="1" t="str">
        <f ca="1">IFERROR(__xludf.DUMMYFUNCTION("""COMPUTED_VALUE"""),"No I would not be pursuing Higher Education outside of India")</f>
        <v>No I would not be pursuing Higher Education outside of India</v>
      </c>
      <c r="G1852" s="1" t="str">
        <f ca="1">IFERROR(__xludf.DUMMYFUNCTION("""COMPUTED_VALUE"""),"This will be hard to do, but if it is the right company I would try")</f>
        <v>This will be hard to do, but if it is the right company I would try</v>
      </c>
      <c r="H1852" s="1" t="str">
        <f ca="1">IFERROR(__xludf.DUMMYFUNCTION("""COMPUTED_VALUE"""),"No")</f>
        <v>No</v>
      </c>
      <c r="I1852" s="1" t="str">
        <f ca="1">IFERROR(__xludf.DUMMYFUNCTION("""COMPUTED_VALUE"""),"Will NOT work for them")</f>
        <v>Will NOT work for them</v>
      </c>
      <c r="J1852" s="1">
        <f ca="1">IFERROR(__xludf.DUMMYFUNCTION("""COMPUTED_VALUE"""),1)</f>
        <v>1</v>
      </c>
      <c r="K1852" s="1" t="str">
        <f ca="1">IFERROR(__xludf.DUMMYFUNCTION("""COMPUTED_VALUE"""),"Hybrid Working Environment with more than 15 days a month at office")</f>
        <v>Hybrid Working Environment with more than 15 days a month at office</v>
      </c>
      <c r="L1852" s="1" t="str">
        <f ca="1">IFERROR(__xludf.DUMMYFUNCTION("""COMPUTED_VALUE"""),"Employer who appreciates learning and enables that environment")</f>
        <v>Employer who appreciates learning and enables that environment</v>
      </c>
      <c r="M185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52" s="1" t="str">
        <f ca="1">IFERROR(__xludf.DUMMYFUNCTION("""COMPUTED_VALUE"""),"Business Operations in any organization, Build and develop a Team, Look deeply into Data and generate insights, Manufacturing / Oil and Gas/ Construction / Hard Physical Work related")</f>
        <v>Business Operations in any organization, Build and develop a Team, Look deeply into Data and generate insights, Manufacturing / Oil and Gas/ Construction / Hard Physical Work related</v>
      </c>
      <c r="O1852" s="1" t="str">
        <f ca="1">IFERROR(__xludf.DUMMYFUNCTION("""COMPUTED_VALUE"""),"Manager who explains what is expected, sets a goal and helps achieve it")</f>
        <v>Manager who explains what is expected, sets a goal and helps achieve it</v>
      </c>
      <c r="P1852" s="1" t="str">
        <f ca="1">IFERROR(__xludf.DUMMYFUNCTION("""COMPUTED_VALUE"""),"Work with 5 to 6 people in my team")</f>
        <v>Work with 5 to 6 people in my team</v>
      </c>
      <c r="Q1852" s="1" t="str">
        <f ca="1">IFERROR(__xludf.DUMMYFUNCTION("""COMPUTED_VALUE"""),"No")</f>
        <v>No</v>
      </c>
      <c r="R1852" s="1" t="str">
        <f ca="1">IFERROR(__xludf.DUMMYFUNCTION("""COMPUTED_VALUE"""),"No way")</f>
        <v>No way</v>
      </c>
      <c r="S1852" s="1" t="str">
        <f ca="1">IFERROR(__xludf.DUMMYFUNCTION("""COMPUTED_VALUE"""),"abirami.k729@gmail.com")</f>
        <v>abirami.k729@gmail.com</v>
      </c>
    </row>
    <row r="1853" spans="1:19" ht="12.5" x14ac:dyDescent="0.25">
      <c r="A1853" s="2">
        <f ca="1">IFERROR(__xludf.DUMMYFUNCTION("""COMPUTED_VALUE"""),45062.8978747453)</f>
        <v>45062.8978747453</v>
      </c>
      <c r="B1853" s="1" t="str">
        <f ca="1">IFERROR(__xludf.DUMMYFUNCTION("""COMPUTED_VALUE"""),"India")</f>
        <v>India</v>
      </c>
      <c r="C1853" s="1">
        <f ca="1">IFERROR(__xludf.DUMMYFUNCTION("""COMPUTED_VALUE"""),122001)</f>
        <v>122001</v>
      </c>
      <c r="D1853" s="1" t="str">
        <f ca="1">IFERROR(__xludf.DUMMYFUNCTION("""COMPUTED_VALUE"""),"Female")</f>
        <v>Female</v>
      </c>
      <c r="E1853" s="1" t="str">
        <f ca="1">IFERROR(__xludf.DUMMYFUNCTION("""COMPUTED_VALUE"""),"My Parents")</f>
        <v>My Parents</v>
      </c>
      <c r="F1853" s="1" t="str">
        <f ca="1">IFERROR(__xludf.DUMMYFUNCTION("""COMPUTED_VALUE"""),"No I would not be pursuing Higher Education outside of India")</f>
        <v>No I would not be pursuing Higher Education outside of India</v>
      </c>
      <c r="G1853" s="1" t="str">
        <f ca="1">IFERROR(__xludf.DUMMYFUNCTION("""COMPUTED_VALUE"""),"This will be hard to do, but if it is the right company I would try")</f>
        <v>This will be hard to do, but if it is the right company I would try</v>
      </c>
      <c r="H1853" s="1" t="str">
        <f ca="1">IFERROR(__xludf.DUMMYFUNCTION("""COMPUTED_VALUE"""),"Yes")</f>
        <v>Yes</v>
      </c>
      <c r="I1853" s="1" t="str">
        <f ca="1">IFERROR(__xludf.DUMMYFUNCTION("""COMPUTED_VALUE"""),"Will work for them")</f>
        <v>Will work for them</v>
      </c>
      <c r="J1853" s="1">
        <f ca="1">IFERROR(__xludf.DUMMYFUNCTION("""COMPUTED_VALUE"""),5)</f>
        <v>5</v>
      </c>
      <c r="K1853" s="1" t="str">
        <f ca="1">IFERROR(__xludf.DUMMYFUNCTION("""COMPUTED_VALUE"""),"Every Day Office Environment")</f>
        <v>Every Day Office Environment</v>
      </c>
      <c r="L1853" s="1" t="str">
        <f ca="1">IFERROR(__xludf.DUMMYFUNCTION("""COMPUTED_VALUE"""),"Employer who appreciates learning and enables that environment")</f>
        <v>Employer who appreciates learning and enables that environment</v>
      </c>
      <c r="M1853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1853" s="1" t="str">
        <f ca="1">IFERROR(__xludf.DUMMYFUNCTION("""COMPUTED_VALUE"""),"Design and Creative strategy in any company, Teaching in any of the institutes/colleges/online or offline, Work as a freelancer and do my thing my way, Entrepreneur or Start Up")</f>
        <v>Design and Creative strategy in any company, Teaching in any of the institutes/colleges/online or offline, Work as a freelancer and do my thing my way, Entrepreneur or Start Up</v>
      </c>
      <c r="O1853" s="1" t="str">
        <f ca="1">IFERROR(__xludf.DUMMYFUNCTION("""COMPUTED_VALUE"""),"Manager who sets goal and helps me achieve it")</f>
        <v>Manager who sets goal and helps me achieve it</v>
      </c>
      <c r="P1853" s="1" t="str">
        <f ca="1">IFERROR(__xludf.DUMMYFUNCTION("""COMPUTED_VALUE"""),"Work with 2 to 3 people in my team")</f>
        <v>Work with 2 to 3 people in my team</v>
      </c>
      <c r="Q1853" s="1" t="str">
        <f ca="1">IFERROR(__xludf.DUMMYFUNCTION("""COMPUTED_VALUE"""),"Yes, I Understand this is gonna happen everywhere")</f>
        <v>Yes, I Understand this is gonna happen everywhere</v>
      </c>
      <c r="R1853" s="1" t="str">
        <f ca="1">IFERROR(__xludf.DUMMYFUNCTION("""COMPUTED_VALUE"""),"This will be hard to do, but if it is the right company I would try")</f>
        <v>This will be hard to do, but if it is the right company I would try</v>
      </c>
      <c r="S1853" s="1" t="str">
        <f ca="1">IFERROR(__xludf.DUMMYFUNCTION("""COMPUTED_VALUE"""),"2809neetu@gmail.com")</f>
        <v>2809neetu@gmail.com</v>
      </c>
    </row>
    <row r="1854" spans="1:19" ht="12.5" x14ac:dyDescent="0.25">
      <c r="A1854" s="2">
        <f ca="1">IFERROR(__xludf.DUMMYFUNCTION("""COMPUTED_VALUE"""),45062.8981915046)</f>
        <v>45062.898191504602</v>
      </c>
      <c r="B1854" s="1" t="str">
        <f ca="1">IFERROR(__xludf.DUMMYFUNCTION("""COMPUTED_VALUE"""),"India")</f>
        <v>India</v>
      </c>
      <c r="C1854" s="1">
        <f ca="1">IFERROR(__xludf.DUMMYFUNCTION("""COMPUTED_VALUE"""),533429)</f>
        <v>533429</v>
      </c>
      <c r="D1854" s="1" t="str">
        <f ca="1">IFERROR(__xludf.DUMMYFUNCTION("""COMPUTED_VALUE"""),"Male")</f>
        <v>Male</v>
      </c>
      <c r="E1854" s="1" t="str">
        <f ca="1">IFERROR(__xludf.DUMMYFUNCTION("""COMPUTED_VALUE"""),"People from my circle, but not family members")</f>
        <v>People from my circle, but not family members</v>
      </c>
      <c r="F1854" s="1" t="str">
        <f ca="1">IFERROR(__xludf.DUMMYFUNCTION("""COMPUTED_VALUE"""),"Yes, I will earn and do that")</f>
        <v>Yes, I will earn and do that</v>
      </c>
      <c r="G1854" s="1" t="str">
        <f ca="1">IFERROR(__xludf.DUMMYFUNCTION("""COMPUTED_VALUE"""),"Will work for 3 years or more")</f>
        <v>Will work for 3 years or more</v>
      </c>
      <c r="H1854" s="1" t="str">
        <f ca="1">IFERROR(__xludf.DUMMYFUNCTION("""COMPUTED_VALUE"""),"No")</f>
        <v>No</v>
      </c>
      <c r="I1854" s="1" t="str">
        <f ca="1">IFERROR(__xludf.DUMMYFUNCTION("""COMPUTED_VALUE"""),"Will NOT work for them")</f>
        <v>Will NOT work for them</v>
      </c>
      <c r="J1854" s="1">
        <f ca="1">IFERROR(__xludf.DUMMYFUNCTION("""COMPUTED_VALUE"""),5)</f>
        <v>5</v>
      </c>
      <c r="K1854" s="1" t="str">
        <f ca="1">IFERROR(__xludf.DUMMYFUNCTION("""COMPUTED_VALUE"""),"Every Day Office Environment")</f>
        <v>Every Day Office Environment</v>
      </c>
      <c r="L1854" s="1" t="str">
        <f ca="1">IFERROR(__xludf.DUMMYFUNCTION("""COMPUTED_VALUE"""),"Employer who rewards learning and enables that environment")</f>
        <v>Employer who rewards learning and enables that environment</v>
      </c>
      <c r="M185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854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1854" s="1" t="str">
        <f ca="1">IFERROR(__xludf.DUMMYFUNCTION("""COMPUTED_VALUE"""),"Manager who sets goal and helps me achieve it")</f>
        <v>Manager who sets goal and helps me achieve it</v>
      </c>
      <c r="P185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854" s="1" t="str">
        <f ca="1">IFERROR(__xludf.DUMMYFUNCTION("""COMPUTED_VALUE"""),"No")</f>
        <v>No</v>
      </c>
      <c r="R1854" s="1" t="str">
        <f ca="1">IFERROR(__xludf.DUMMYFUNCTION("""COMPUTED_VALUE"""),"This will be hard to do, but if it is the right company I would try")</f>
        <v>This will be hard to do, but if it is the right company I would try</v>
      </c>
      <c r="S1854" s="1" t="str">
        <f ca="1">IFERROR(__xludf.DUMMYFUNCTION("""COMPUTED_VALUE"""),"vskengam9721@gmail.com")</f>
        <v>vskengam9721@gmail.com</v>
      </c>
    </row>
    <row r="1855" spans="1:19" ht="12.5" x14ac:dyDescent="0.25">
      <c r="A1855" s="2">
        <f ca="1">IFERROR(__xludf.DUMMYFUNCTION("""COMPUTED_VALUE"""),45062.89879853)</f>
        <v>45062.898798529997</v>
      </c>
      <c r="B1855" s="1" t="str">
        <f ca="1">IFERROR(__xludf.DUMMYFUNCTION("""COMPUTED_VALUE"""),"India")</f>
        <v>India</v>
      </c>
      <c r="C1855" s="1">
        <f ca="1">IFERROR(__xludf.DUMMYFUNCTION("""COMPUTED_VALUE"""),711101)</f>
        <v>711101</v>
      </c>
      <c r="D1855" s="1" t="str">
        <f ca="1">IFERROR(__xludf.DUMMYFUNCTION("""COMPUTED_VALUE"""),"Male")</f>
        <v>Male</v>
      </c>
      <c r="E1855" s="1" t="str">
        <f ca="1">IFERROR(__xludf.DUMMYFUNCTION("""COMPUTED_VALUE"""),"Influencers who had successful careers")</f>
        <v>Influencers who had successful careers</v>
      </c>
      <c r="F1855" s="1" t="str">
        <f ca="1">IFERROR(__xludf.DUMMYFUNCTION("""COMPUTED_VALUE"""),"Yes, I will earn and do that")</f>
        <v>Yes, I will earn and do that</v>
      </c>
      <c r="G1855" s="1" t="str">
        <f ca="1">IFERROR(__xludf.DUMMYFUNCTION("""COMPUTED_VALUE"""),"This will be hard to do, but if it is the right company I would try")</f>
        <v>This will be hard to do, but if it is the right company I would try</v>
      </c>
      <c r="H1855" s="1" t="str">
        <f ca="1">IFERROR(__xludf.DUMMYFUNCTION("""COMPUTED_VALUE"""),"No")</f>
        <v>No</v>
      </c>
      <c r="I1855" s="1" t="str">
        <f ca="1">IFERROR(__xludf.DUMMYFUNCTION("""COMPUTED_VALUE"""),"Will NOT work for them")</f>
        <v>Will NOT work for them</v>
      </c>
      <c r="J1855" s="1">
        <f ca="1">IFERROR(__xludf.DUMMYFUNCTION("""COMPUTED_VALUE"""),8)</f>
        <v>8</v>
      </c>
      <c r="K1855" s="1" t="str">
        <f ca="1">IFERROR(__xludf.DUMMYFUNCTION("""COMPUTED_VALUE"""),"Hybrid Working Environment with more than 15 days a month at office")</f>
        <v>Hybrid Working Environment with more than 15 days a month at office</v>
      </c>
      <c r="L18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5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55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855" s="1" t="str">
        <f ca="1">IFERROR(__xludf.DUMMYFUNCTION("""COMPUTED_VALUE"""),"Manager who explains what is expected, sets a goal and helps achieve it")</f>
        <v>Manager who explains what is expected, sets a goal and helps achieve it</v>
      </c>
      <c r="P1855" s="1" t="str">
        <f ca="1">IFERROR(__xludf.DUMMYFUNCTION("""COMPUTED_VALUE"""),"Work with 2 to 3 people in my team, Work with 5 to 6 people in my team")</f>
        <v>Work with 2 to 3 people in my team, Work with 5 to 6 people in my team</v>
      </c>
      <c r="Q1855" s="1" t="str">
        <f ca="1">IFERROR(__xludf.DUMMYFUNCTION("""COMPUTED_VALUE"""),"Yes, I Understand this is gonna happen everywhere")</f>
        <v>Yes, I Understand this is gonna happen everywhere</v>
      </c>
      <c r="R1855" s="1" t="str">
        <f ca="1">IFERROR(__xludf.DUMMYFUNCTION("""COMPUTED_VALUE"""),"No way")</f>
        <v>No way</v>
      </c>
      <c r="S1855" s="1" t="str">
        <f ca="1">IFERROR(__xludf.DUMMYFUNCTION("""COMPUTED_VALUE"""),"priyeshdixit3232@gmail.com")</f>
        <v>priyeshdixit3232@gmail.com</v>
      </c>
    </row>
    <row r="1856" spans="1:19" ht="12.5" x14ac:dyDescent="0.25">
      <c r="A1856" s="2">
        <f ca="1">IFERROR(__xludf.DUMMYFUNCTION("""COMPUTED_VALUE"""),45062.8991664004)</f>
        <v>45062.899166400399</v>
      </c>
      <c r="B1856" s="1" t="str">
        <f ca="1">IFERROR(__xludf.DUMMYFUNCTION("""COMPUTED_VALUE"""),"India")</f>
        <v>India</v>
      </c>
      <c r="C1856" s="1">
        <f ca="1">IFERROR(__xludf.DUMMYFUNCTION("""COMPUTED_VALUE"""),632007)</f>
        <v>632007</v>
      </c>
      <c r="D1856" s="1" t="str">
        <f ca="1">IFERROR(__xludf.DUMMYFUNCTION("""COMPUTED_VALUE"""),"Male")</f>
        <v>Male</v>
      </c>
      <c r="E1856" s="1" t="str">
        <f ca="1">IFERROR(__xludf.DUMMYFUNCTION("""COMPUTED_VALUE"""),"People who have changed the world for better")</f>
        <v>People who have changed the world for better</v>
      </c>
      <c r="F1856" s="1" t="str">
        <f ca="1">IFERROR(__xludf.DUMMYFUNCTION("""COMPUTED_VALUE"""),"No, But if someone could bare the cost I will")</f>
        <v>No, But if someone could bare the cost I will</v>
      </c>
      <c r="G1856" s="1" t="str">
        <f ca="1">IFERROR(__xludf.DUMMYFUNCTION("""COMPUTED_VALUE"""),"This will be hard to do, but if it is the right company I would try")</f>
        <v>This will be hard to do, but if it is the right company I would try</v>
      </c>
      <c r="H1856" s="1" t="str">
        <f ca="1">IFERROR(__xludf.DUMMYFUNCTION("""COMPUTED_VALUE"""),"No")</f>
        <v>No</v>
      </c>
      <c r="I1856" s="1" t="str">
        <f ca="1">IFERROR(__xludf.DUMMYFUNCTION("""COMPUTED_VALUE"""),"Will work for them")</f>
        <v>Will work for them</v>
      </c>
      <c r="J1856" s="1">
        <f ca="1">IFERROR(__xludf.DUMMYFUNCTION("""COMPUTED_VALUE"""),6)</f>
        <v>6</v>
      </c>
      <c r="K1856" s="1" t="str">
        <f ca="1">IFERROR(__xludf.DUMMYFUNCTION("""COMPUTED_VALUE"""),"Every Day Office Environment")</f>
        <v>Every Day Office Environment</v>
      </c>
      <c r="L18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56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856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1856" s="1" t="str">
        <f ca="1">IFERROR(__xludf.DUMMYFUNCTION("""COMPUTED_VALUE"""),"Manager who explains what is expected, sets a goal and helps achieve it")</f>
        <v>Manager who explains what is expected, sets a goal and helps achieve it</v>
      </c>
      <c r="P1856" s="1" t="str">
        <f ca="1">IFERROR(__xludf.DUMMYFUNCTION("""COMPUTED_VALUE"""),"Work with 2 to 3 people in my team")</f>
        <v>Work with 2 to 3 people in my team</v>
      </c>
      <c r="Q1856" s="1" t="str">
        <f ca="1">IFERROR(__xludf.DUMMYFUNCTION("""COMPUTED_VALUE"""),"Yes, I Understand this is gonna happen everywhere")</f>
        <v>Yes, I Understand this is gonna happen everywhere</v>
      </c>
      <c r="R1856" s="1" t="str">
        <f ca="1">IFERROR(__xludf.DUMMYFUNCTION("""COMPUTED_VALUE"""),"No way")</f>
        <v>No way</v>
      </c>
      <c r="S1856" s="1" t="str">
        <f ca="1">IFERROR(__xludf.DUMMYFUNCTION("""COMPUTED_VALUE"""),"mrubanraj2122003@gmail.com")</f>
        <v>mrubanraj2122003@gmail.com</v>
      </c>
    </row>
    <row r="1857" spans="1:19" ht="12.5" x14ac:dyDescent="0.25">
      <c r="A1857" s="2">
        <f ca="1">IFERROR(__xludf.DUMMYFUNCTION("""COMPUTED_VALUE"""),45062.8994342129)</f>
        <v>45062.899434212901</v>
      </c>
      <c r="B1857" s="1" t="str">
        <f ca="1">IFERROR(__xludf.DUMMYFUNCTION("""COMPUTED_VALUE"""),"India")</f>
        <v>India</v>
      </c>
      <c r="C1857" s="1">
        <f ca="1">IFERROR(__xludf.DUMMYFUNCTION("""COMPUTED_VALUE"""),500015)</f>
        <v>500015</v>
      </c>
      <c r="D1857" s="1" t="str">
        <f ca="1">IFERROR(__xludf.DUMMYFUNCTION("""COMPUTED_VALUE"""),"Male")</f>
        <v>Male</v>
      </c>
      <c r="E1857" s="1" t="str">
        <f ca="1">IFERROR(__xludf.DUMMYFUNCTION("""COMPUTED_VALUE"""),"My Parents")</f>
        <v>My Parents</v>
      </c>
      <c r="F1857" s="1" t="str">
        <f ca="1">IFERROR(__xludf.DUMMYFUNCTION("""COMPUTED_VALUE"""),"No I would not be pursuing Higher Education outside of India")</f>
        <v>No I would not be pursuing Higher Education outside of India</v>
      </c>
      <c r="G1857" s="1" t="str">
        <f ca="1">IFERROR(__xludf.DUMMYFUNCTION("""COMPUTED_VALUE"""),"Will work for 3 years or more")</f>
        <v>Will work for 3 years or more</v>
      </c>
      <c r="H1857" s="1" t="str">
        <f ca="1">IFERROR(__xludf.DUMMYFUNCTION("""COMPUTED_VALUE"""),"No")</f>
        <v>No</v>
      </c>
      <c r="I1857" s="1" t="str">
        <f ca="1">IFERROR(__xludf.DUMMYFUNCTION("""COMPUTED_VALUE"""),"Will NOT work for them")</f>
        <v>Will NOT work for them</v>
      </c>
      <c r="J1857" s="1">
        <f ca="1">IFERROR(__xludf.DUMMYFUNCTION("""COMPUTED_VALUE"""),7)</f>
        <v>7</v>
      </c>
      <c r="K1857" s="1" t="str">
        <f ca="1">IFERROR(__xludf.DUMMYFUNCTION("""COMPUTED_VALUE"""),"Hybrid Working Environment with more than 15 days a month at office")</f>
        <v>Hybrid Working Environment with more than 15 days a month at office</v>
      </c>
      <c r="L18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5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857" s="1" t="str">
        <f ca="1">IFERROR(__xludf.DUMMYFUNCTION("""COMPUTED_VALUE"""),"Look deeply into Data and generate insights, Work as a freelancer and do my thing my way, Entrepreneur or Start Up, An Artificial Intelligence Specialist / Talking to Robots")</f>
        <v>Look deeply into Data and generate insights, Work as a freelancer and do my thing my way, Entrepreneur or Start Up, An Artificial Intelligence Specialist / Talking to Robots</v>
      </c>
      <c r="O1857" s="1" t="str">
        <f ca="1">IFERROR(__xludf.DUMMYFUNCTION("""COMPUTED_VALUE"""),"Manager who explains what is expected, sets a goal and helps achieve it")</f>
        <v>Manager who explains what is expected, sets a goal and helps achieve it</v>
      </c>
      <c r="P1857" s="1" t="str">
        <f ca="1">IFERROR(__xludf.DUMMYFUNCTION("""COMPUTED_VALUE"""),"Work with 5 to 6 people in my team")</f>
        <v>Work with 5 to 6 people in my team</v>
      </c>
      <c r="Q1857" s="1" t="str">
        <f ca="1">IFERROR(__xludf.DUMMYFUNCTION("""COMPUTED_VALUE"""),"Yes, I Understand this is gonna happen everywhere")</f>
        <v>Yes, I Understand this is gonna happen everywhere</v>
      </c>
      <c r="R1857" s="1" t="str">
        <f ca="1">IFERROR(__xludf.DUMMYFUNCTION("""COMPUTED_VALUE"""),"This will be hard to do, but if it is the right company I would try")</f>
        <v>This will be hard to do, but if it is the right company I would try</v>
      </c>
      <c r="S1857" s="1" t="str">
        <f ca="1">IFERROR(__xludf.DUMMYFUNCTION("""COMPUTED_VALUE"""),"atheeqahmed1243@gmail.com")</f>
        <v>atheeqahmed1243@gmail.com</v>
      </c>
    </row>
    <row r="1858" spans="1:19" ht="12.5" x14ac:dyDescent="0.25">
      <c r="A1858" s="2">
        <f ca="1">IFERROR(__xludf.DUMMYFUNCTION("""COMPUTED_VALUE"""),45062.8999123379)</f>
        <v>45062.899912337904</v>
      </c>
      <c r="B1858" s="1" t="str">
        <f ca="1">IFERROR(__xludf.DUMMYFUNCTION("""COMPUTED_VALUE"""),"India")</f>
        <v>India</v>
      </c>
      <c r="C1858" s="1">
        <f ca="1">IFERROR(__xludf.DUMMYFUNCTION("""COMPUTED_VALUE"""),421301)</f>
        <v>421301</v>
      </c>
      <c r="D1858" s="1" t="str">
        <f ca="1">IFERROR(__xludf.DUMMYFUNCTION("""COMPUTED_VALUE"""),"Female")</f>
        <v>Female</v>
      </c>
      <c r="E1858" s="1" t="str">
        <f ca="1">IFERROR(__xludf.DUMMYFUNCTION("""COMPUTED_VALUE"""),"People from my circle, but not family members")</f>
        <v>People from my circle, but not family members</v>
      </c>
      <c r="F1858" s="1" t="str">
        <f ca="1">IFERROR(__xludf.DUMMYFUNCTION("""COMPUTED_VALUE"""),"Yes, I will earn and do that")</f>
        <v>Yes, I will earn and do that</v>
      </c>
      <c r="G1858" s="1" t="str">
        <f ca="1">IFERROR(__xludf.DUMMYFUNCTION("""COMPUTED_VALUE"""),"This will be hard to do, but if it is the right company I would try")</f>
        <v>This will be hard to do, but if it is the right company I would try</v>
      </c>
      <c r="H1858" s="1" t="str">
        <f ca="1">IFERROR(__xludf.DUMMYFUNCTION("""COMPUTED_VALUE"""),"No")</f>
        <v>No</v>
      </c>
      <c r="I1858" s="1" t="str">
        <f ca="1">IFERROR(__xludf.DUMMYFUNCTION("""COMPUTED_VALUE"""),"Will NOT work for them")</f>
        <v>Will NOT work for them</v>
      </c>
      <c r="J1858" s="1">
        <f ca="1">IFERROR(__xludf.DUMMYFUNCTION("""COMPUTED_VALUE"""),6)</f>
        <v>6</v>
      </c>
      <c r="K1858" s="1" t="str">
        <f ca="1">IFERROR(__xludf.DUMMYFUNCTION("""COMPUTED_VALUE"""),"Fully Remote with Options to travel as and when needed")</f>
        <v>Fully Remote with Options to travel as and when needed</v>
      </c>
      <c r="L18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5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5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858" s="1" t="str">
        <f ca="1">IFERROR(__xludf.DUMMYFUNCTION("""COMPUTED_VALUE"""),"Manager who explains what is expected, sets a goal and helps achieve it")</f>
        <v>Manager who explains what is expected, sets a goal and helps achieve it</v>
      </c>
      <c r="P1858" s="1" t="str">
        <f ca="1">IFERROR(__xludf.DUMMYFUNCTION("""COMPUTED_VALUE"""),"Work with 5 to 6 people in my team")</f>
        <v>Work with 5 to 6 people in my team</v>
      </c>
      <c r="Q1858" s="1" t="str">
        <f ca="1">IFERROR(__xludf.DUMMYFUNCTION("""COMPUTED_VALUE"""),"Yes, I Understand this is gonna happen everywhere")</f>
        <v>Yes, I Understand this is gonna happen everywhere</v>
      </c>
      <c r="R1858" s="1" t="str">
        <f ca="1">IFERROR(__xludf.DUMMYFUNCTION("""COMPUTED_VALUE"""),"This will be hard to do, but if it is the right company I would try")</f>
        <v>This will be hard to do, but if it is the right company I would try</v>
      </c>
      <c r="S1858" s="1" t="str">
        <f ca="1">IFERROR(__xludf.DUMMYFUNCTION("""COMPUTED_VALUE"""),"shaikhtasmiya0611@gmail.com")</f>
        <v>shaikhtasmiya0611@gmail.com</v>
      </c>
    </row>
    <row r="1859" spans="1:19" ht="12.5" x14ac:dyDescent="0.25">
      <c r="A1859" s="2">
        <f ca="1">IFERROR(__xludf.DUMMYFUNCTION("""COMPUTED_VALUE"""),45062.9001303356)</f>
        <v>45062.900130335598</v>
      </c>
      <c r="B1859" s="1" t="str">
        <f ca="1">IFERROR(__xludf.DUMMYFUNCTION("""COMPUTED_VALUE"""),"India")</f>
        <v>India</v>
      </c>
      <c r="C1859" s="1">
        <f ca="1">IFERROR(__xludf.DUMMYFUNCTION("""COMPUTED_VALUE"""),560047)</f>
        <v>560047</v>
      </c>
      <c r="D1859" s="1" t="str">
        <f ca="1">IFERROR(__xludf.DUMMYFUNCTION("""COMPUTED_VALUE"""),"Male")</f>
        <v>Male</v>
      </c>
      <c r="E1859" s="1" t="str">
        <f ca="1">IFERROR(__xludf.DUMMYFUNCTION("""COMPUTED_VALUE"""),"People who have changed the world for better")</f>
        <v>People who have changed the world for better</v>
      </c>
      <c r="F1859" s="1" t="str">
        <f ca="1">IFERROR(__xludf.DUMMYFUNCTION("""COMPUTED_VALUE"""),"No I would not be pursuing Higher Education outside of India")</f>
        <v>No I would not be pursuing Higher Education outside of India</v>
      </c>
      <c r="G1859" s="1" t="str">
        <f ca="1">IFERROR(__xludf.DUMMYFUNCTION("""COMPUTED_VALUE"""),"No way")</f>
        <v>No way</v>
      </c>
      <c r="H1859" s="1" t="str">
        <f ca="1">IFERROR(__xludf.DUMMYFUNCTION("""COMPUTED_VALUE"""),"No")</f>
        <v>No</v>
      </c>
      <c r="I1859" s="1" t="str">
        <f ca="1">IFERROR(__xludf.DUMMYFUNCTION("""COMPUTED_VALUE"""),"Will NOT work for them")</f>
        <v>Will NOT work for them</v>
      </c>
      <c r="J1859" s="1">
        <f ca="1">IFERROR(__xludf.DUMMYFUNCTION("""COMPUTED_VALUE"""),1)</f>
        <v>1</v>
      </c>
      <c r="K1859" s="1" t="str">
        <f ca="1">IFERROR(__xludf.DUMMYFUNCTION("""COMPUTED_VALUE"""),"Fully Remote with No option to visit offices")</f>
        <v>Fully Remote with No option to visit offices</v>
      </c>
      <c r="L1859" s="1" t="str">
        <f ca="1">IFERROR(__xludf.DUMMYFUNCTION("""COMPUTED_VALUE"""),"Employer who appreciates learning and enables that environment")</f>
        <v>Employer who appreciates learning and enables that environment</v>
      </c>
      <c r="M1859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859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859" s="1" t="str">
        <f ca="1">IFERROR(__xludf.DUMMYFUNCTION("""COMPUTED_VALUE"""),"Manager who clearly describes what she/he needs")</f>
        <v>Manager who clearly describes what she/he needs</v>
      </c>
      <c r="P1859" s="1" t="str">
        <f ca="1">IFERROR(__xludf.DUMMYFUNCTION("""COMPUTED_VALUE"""),"Work alone")</f>
        <v>Work alone</v>
      </c>
      <c r="Q1859" s="1" t="str">
        <f ca="1">IFERROR(__xludf.DUMMYFUNCTION("""COMPUTED_VALUE"""),"Yes")</f>
        <v>Yes</v>
      </c>
      <c r="R1859" s="1" t="str">
        <f ca="1">IFERROR(__xludf.DUMMYFUNCTION("""COMPUTED_VALUE"""),"No way")</f>
        <v>No way</v>
      </c>
      <c r="S1859" s="1" t="str">
        <f ca="1">IFERROR(__xludf.DUMMYFUNCTION("""COMPUTED_VALUE"""),"praveenkumar988.pk13@gmail.com")</f>
        <v>praveenkumar988.pk13@gmail.com</v>
      </c>
    </row>
    <row r="1860" spans="1:19" ht="12.5" x14ac:dyDescent="0.25">
      <c r="A1860" s="2">
        <f ca="1">IFERROR(__xludf.DUMMYFUNCTION("""COMPUTED_VALUE"""),45062.9002390046)</f>
        <v>45062.900239004601</v>
      </c>
      <c r="B1860" s="1" t="str">
        <f ca="1">IFERROR(__xludf.DUMMYFUNCTION("""COMPUTED_VALUE"""),"India")</f>
        <v>India</v>
      </c>
      <c r="C1860" s="1">
        <f ca="1">IFERROR(__xludf.DUMMYFUNCTION("""COMPUTED_VALUE"""),637001)</f>
        <v>637001</v>
      </c>
      <c r="D1860" s="1" t="str">
        <f ca="1">IFERROR(__xludf.DUMMYFUNCTION("""COMPUTED_VALUE"""),"Female")</f>
        <v>Female</v>
      </c>
      <c r="E1860" s="1" t="str">
        <f ca="1">IFERROR(__xludf.DUMMYFUNCTION("""COMPUTED_VALUE"""),"People from my circle, but not family members")</f>
        <v>People from my circle, but not family members</v>
      </c>
      <c r="F1860" s="1" t="str">
        <f ca="1">IFERROR(__xludf.DUMMYFUNCTION("""COMPUTED_VALUE"""),"No I would not be pursuing Higher Education outside of India")</f>
        <v>No I would not be pursuing Higher Education outside of India</v>
      </c>
      <c r="G1860" s="1" t="str">
        <f ca="1">IFERROR(__xludf.DUMMYFUNCTION("""COMPUTED_VALUE"""),"This will be hard to do, but if it is the right company I would try")</f>
        <v>This will be hard to do, but if it is the right company I would try</v>
      </c>
      <c r="H1860" s="1" t="str">
        <f ca="1">IFERROR(__xludf.DUMMYFUNCTION("""COMPUTED_VALUE"""),"No")</f>
        <v>No</v>
      </c>
      <c r="I1860" s="1" t="str">
        <f ca="1">IFERROR(__xludf.DUMMYFUNCTION("""COMPUTED_VALUE"""),"Will NOT work for them")</f>
        <v>Will NOT work for them</v>
      </c>
      <c r="J1860" s="1">
        <f ca="1">IFERROR(__xludf.DUMMYFUNCTION("""COMPUTED_VALUE"""),4)</f>
        <v>4</v>
      </c>
      <c r="K1860" s="1" t="str">
        <f ca="1">IFERROR(__xludf.DUMMYFUNCTION("""COMPUTED_VALUE"""),"Every Day Office Environment")</f>
        <v>Every Day Office Environment</v>
      </c>
      <c r="L1860" s="1" t="str">
        <f ca="1">IFERROR(__xludf.DUMMYFUNCTION("""COMPUTED_VALUE"""),"Employer who rewards learning and enables that environment")</f>
        <v>Employer who rewards learning and enables that environment</v>
      </c>
      <c r="M186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60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86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60" s="1" t="str">
        <f ca="1">IFERROR(__xludf.DUMMYFUNCTION("""COMPUTED_VALUE"""),"Work with 5 to 6 people in my team")</f>
        <v>Work with 5 to 6 people in my team</v>
      </c>
      <c r="Q1860" s="1" t="str">
        <f ca="1">IFERROR(__xludf.DUMMYFUNCTION("""COMPUTED_VALUE"""),"No")</f>
        <v>No</v>
      </c>
      <c r="R1860" s="1" t="str">
        <f ca="1">IFERROR(__xludf.DUMMYFUNCTION("""COMPUTED_VALUE"""),"This will be hard to do, but if it is the right company I would try")</f>
        <v>This will be hard to do, but if it is the right company I would try</v>
      </c>
      <c r="S1860" s="1" t="str">
        <f ca="1">IFERROR(__xludf.DUMMYFUNCTION("""COMPUTED_VALUE"""),"praveenamarythanishlas@gmail.com")</f>
        <v>praveenamarythanishlas@gmail.com</v>
      </c>
    </row>
    <row r="1861" spans="1:19" ht="12.5" x14ac:dyDescent="0.25">
      <c r="A1861" s="2">
        <f ca="1">IFERROR(__xludf.DUMMYFUNCTION("""COMPUTED_VALUE"""),45062.9003215162)</f>
        <v>45062.900321516201</v>
      </c>
      <c r="B1861" s="1" t="str">
        <f ca="1">IFERROR(__xludf.DUMMYFUNCTION("""COMPUTED_VALUE"""),"India")</f>
        <v>India</v>
      </c>
      <c r="C1861" s="1">
        <f ca="1">IFERROR(__xludf.DUMMYFUNCTION("""COMPUTED_VALUE"""),500036)</f>
        <v>500036</v>
      </c>
      <c r="D1861" s="1" t="str">
        <f ca="1">IFERROR(__xludf.DUMMYFUNCTION("""COMPUTED_VALUE"""),"Male")</f>
        <v>Male</v>
      </c>
      <c r="E1861" s="1" t="str">
        <f ca="1">IFERROR(__xludf.DUMMYFUNCTION("""COMPUTED_VALUE"""),"My Parents")</f>
        <v>My Parents</v>
      </c>
      <c r="F1861" s="1" t="str">
        <f ca="1">IFERROR(__xludf.DUMMYFUNCTION("""COMPUTED_VALUE"""),"Yes, I will earn and do that")</f>
        <v>Yes, I will earn and do that</v>
      </c>
      <c r="G1861" s="1" t="str">
        <f ca="1">IFERROR(__xludf.DUMMYFUNCTION("""COMPUTED_VALUE"""),"Will work for 3 years or more")</f>
        <v>Will work for 3 years or more</v>
      </c>
      <c r="H1861" s="1" t="str">
        <f ca="1">IFERROR(__xludf.DUMMYFUNCTION("""COMPUTED_VALUE"""),"No")</f>
        <v>No</v>
      </c>
      <c r="I1861" s="1" t="str">
        <f ca="1">IFERROR(__xludf.DUMMYFUNCTION("""COMPUTED_VALUE"""),"Will NOT work for them")</f>
        <v>Will NOT work for them</v>
      </c>
      <c r="J1861" s="1">
        <f ca="1">IFERROR(__xludf.DUMMYFUNCTION("""COMPUTED_VALUE"""),4)</f>
        <v>4</v>
      </c>
      <c r="K1861" s="1" t="str">
        <f ca="1">IFERROR(__xludf.DUMMYFUNCTION("""COMPUTED_VALUE"""),"Every Day Office Environment")</f>
        <v>Every Day Office Environment</v>
      </c>
      <c r="L1861" s="1" t="str">
        <f ca="1">IFERROR(__xludf.DUMMYFUNCTION("""COMPUTED_VALUE"""),"Employer who appreciates learning and enables that environment")</f>
        <v>Employer who appreciates learning and enables that environment</v>
      </c>
      <c r="M186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61" s="1" t="str">
        <f ca="1">IFERROR(__xludf.DUMMYFUNCTION("""COMPUTED_VALUE"""),"Business Operations in any organization, Build and develop a Team, Look deeply into Data and generate insights, Work as a freelancer and do my thing my way")</f>
        <v>Business Operations in any organization, Build and develop a Team, Look deeply into Data and generate insights, Work as a freelancer and do my thing my way</v>
      </c>
      <c r="O1861" s="1" t="str">
        <f ca="1">IFERROR(__xludf.DUMMYFUNCTION("""COMPUTED_VALUE"""),"Manager who sets goal and helps me achieve it")</f>
        <v>Manager who sets goal and helps me achieve it</v>
      </c>
      <c r="P1861" s="1" t="str">
        <f ca="1">IFERROR(__xludf.DUMMYFUNCTION("""COMPUTED_VALUE"""),"Work with 7 to 10 or more people in my team")</f>
        <v>Work with 7 to 10 or more people in my team</v>
      </c>
      <c r="Q1861" s="1" t="str">
        <f ca="1">IFERROR(__xludf.DUMMYFUNCTION("""COMPUTED_VALUE"""),"Yes, I Understand this is gonna happen everywhere")</f>
        <v>Yes, I Understand this is gonna happen everywhere</v>
      </c>
      <c r="R1861" s="1" t="str">
        <f ca="1">IFERROR(__xludf.DUMMYFUNCTION("""COMPUTED_VALUE"""),"Will work for 7 years or more")</f>
        <v>Will work for 7 years or more</v>
      </c>
      <c r="S1861" s="1" t="str">
        <f ca="1">IFERROR(__xludf.DUMMYFUNCTION("""COMPUTED_VALUE"""),"perumandla7687@gmail.com")</f>
        <v>perumandla7687@gmail.com</v>
      </c>
    </row>
    <row r="1862" spans="1:19" ht="12.5" x14ac:dyDescent="0.25">
      <c r="A1862" s="2">
        <f ca="1">IFERROR(__xludf.DUMMYFUNCTION("""COMPUTED_VALUE"""),45062.9003657754)</f>
        <v>45062.9003657754</v>
      </c>
      <c r="B1862" s="1" t="str">
        <f ca="1">IFERROR(__xludf.DUMMYFUNCTION("""COMPUTED_VALUE"""),"India")</f>
        <v>India</v>
      </c>
      <c r="C1862" s="1">
        <f ca="1">IFERROR(__xludf.DUMMYFUNCTION("""COMPUTED_VALUE"""),221007)</f>
        <v>221007</v>
      </c>
      <c r="D1862" s="1" t="str">
        <f ca="1">IFERROR(__xludf.DUMMYFUNCTION("""COMPUTED_VALUE"""),"Female")</f>
        <v>Female</v>
      </c>
      <c r="E1862" s="1" t="str">
        <f ca="1">IFERROR(__xludf.DUMMYFUNCTION("""COMPUTED_VALUE"""),"People who have changed the world for better")</f>
        <v>People who have changed the world for better</v>
      </c>
      <c r="F1862" s="1" t="str">
        <f ca="1">IFERROR(__xludf.DUMMYFUNCTION("""COMPUTED_VALUE"""),"No I would not be pursuing Higher Education outside of India")</f>
        <v>No I would not be pursuing Higher Education outside of India</v>
      </c>
      <c r="G1862" s="1" t="str">
        <f ca="1">IFERROR(__xludf.DUMMYFUNCTION("""COMPUTED_VALUE"""),"No way")</f>
        <v>No way</v>
      </c>
      <c r="H1862" s="1" t="str">
        <f ca="1">IFERROR(__xludf.DUMMYFUNCTION("""COMPUTED_VALUE"""),"No")</f>
        <v>No</v>
      </c>
      <c r="I1862" s="1" t="str">
        <f ca="1">IFERROR(__xludf.DUMMYFUNCTION("""COMPUTED_VALUE"""),"Will NOT work for them")</f>
        <v>Will NOT work for them</v>
      </c>
      <c r="J1862" s="1">
        <f ca="1">IFERROR(__xludf.DUMMYFUNCTION("""COMPUTED_VALUE"""),7)</f>
        <v>7</v>
      </c>
      <c r="K1862" s="1" t="str">
        <f ca="1">IFERROR(__xludf.DUMMYFUNCTION("""COMPUTED_VALUE"""),"Hybrid Working Environment with less than 3 days a month at office")</f>
        <v>Hybrid Working Environment with less than 3 days a month at office</v>
      </c>
      <c r="L18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62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862" s="1" t="str">
        <f ca="1">IFERROR(__xludf.DUMMYFUNCTION("""COMPUTED_VALUE"""),"Design and Creative strategy in any company, Look deeply into Data and generate insights, Become a content Creator in some platform, An Artificial Intelligence Specialist / Talking to Robots")</f>
        <v>Design and Creative strategy in any company, Look deeply into Data and generate insights, Become a content Creator in some platform, An Artificial Intelligence Specialist / Talking to Robots</v>
      </c>
      <c r="O1862" s="1" t="str">
        <f ca="1">IFERROR(__xludf.DUMMYFUNCTION("""COMPUTED_VALUE"""),"Manager who sets goal and helps me achieve it")</f>
        <v>Manager who sets goal and helps me achieve it</v>
      </c>
      <c r="P1862" s="1" t="str">
        <f ca="1">IFERROR(__xludf.DUMMYFUNCTION("""COMPUTED_VALUE"""),"Work with 7 to 10 or more people in my team")</f>
        <v>Work with 7 to 10 or more people in my team</v>
      </c>
      <c r="Q1862" s="1" t="str">
        <f ca="1">IFERROR(__xludf.DUMMYFUNCTION("""COMPUTED_VALUE"""),"Yes")</f>
        <v>Yes</v>
      </c>
      <c r="R1862" s="1" t="str">
        <f ca="1">IFERROR(__xludf.DUMMYFUNCTION("""COMPUTED_VALUE"""),"No way")</f>
        <v>No way</v>
      </c>
      <c r="S1862" s="1" t="str">
        <f ca="1">IFERROR(__xludf.DUMMYFUNCTION("""COMPUTED_VALUE"""),"prashansharajput2000@gmail.com")</f>
        <v>prashansharajput2000@gmail.com</v>
      </c>
    </row>
    <row r="1863" spans="1:19" ht="12.5" x14ac:dyDescent="0.25">
      <c r="A1863" s="2">
        <f ca="1">IFERROR(__xludf.DUMMYFUNCTION("""COMPUTED_VALUE"""),45062.9003987152)</f>
        <v>45062.900398715203</v>
      </c>
      <c r="B1863" s="1" t="str">
        <f ca="1">IFERROR(__xludf.DUMMYFUNCTION("""COMPUTED_VALUE"""),"India")</f>
        <v>India</v>
      </c>
      <c r="C1863" s="1">
        <f ca="1">IFERROR(__xludf.DUMMYFUNCTION("""COMPUTED_VALUE"""),201301)</f>
        <v>201301</v>
      </c>
      <c r="D1863" s="1" t="str">
        <f ca="1">IFERROR(__xludf.DUMMYFUNCTION("""COMPUTED_VALUE"""),"Male")</f>
        <v>Male</v>
      </c>
      <c r="E1863" s="1" t="str">
        <f ca="1">IFERROR(__xludf.DUMMYFUNCTION("""COMPUTED_VALUE"""),"Influencers who had successful careers")</f>
        <v>Influencers who had successful careers</v>
      </c>
      <c r="F1863" s="1" t="str">
        <f ca="1">IFERROR(__xludf.DUMMYFUNCTION("""COMPUTED_VALUE"""),"No, But if someone could bare the cost I will")</f>
        <v>No, But if someone could bare the cost I will</v>
      </c>
      <c r="G1863" s="1" t="str">
        <f ca="1">IFERROR(__xludf.DUMMYFUNCTION("""COMPUTED_VALUE"""),"This will be hard to do, but if it is the right company I would try")</f>
        <v>This will be hard to do, but if it is the right company I would try</v>
      </c>
      <c r="H1863" s="1" t="str">
        <f ca="1">IFERROR(__xludf.DUMMYFUNCTION("""COMPUTED_VALUE"""),"No")</f>
        <v>No</v>
      </c>
      <c r="I1863" s="1" t="str">
        <f ca="1">IFERROR(__xludf.DUMMYFUNCTION("""COMPUTED_VALUE"""),"Will NOT work for them")</f>
        <v>Will NOT work for them</v>
      </c>
      <c r="J1863" s="1">
        <f ca="1">IFERROR(__xludf.DUMMYFUNCTION("""COMPUTED_VALUE"""),4)</f>
        <v>4</v>
      </c>
      <c r="K1863" s="1" t="str">
        <f ca="1">IFERROR(__xludf.DUMMYFUNCTION("""COMPUTED_VALUE"""),"Fully Remote with Options to travel as and when needed")</f>
        <v>Fully Remote with Options to travel as and when needed</v>
      </c>
      <c r="L18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6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863" s="1" t="str">
        <f ca="1">IFERROR(__xludf.DUMMYFUNCTION("""COMPUTED_VALUE"""),"Manage and drive End-to-End Projects or Products, Look deeply into Data and generate insights, An Artificial Intelligence Specialist / Talking to Robots, Manufacturing / Oil and Gas/ Construction / Hard Physical Work related")</f>
        <v>Manage and drive End-to-End Projects or Products, Look deeply into Data and generate insights, An Artificial Intelligence Specialist / Talking to Robots, Manufacturing / Oil and Gas/ Construction / Hard Physical Work related</v>
      </c>
      <c r="O1863" s="1" t="str">
        <f ca="1">IFERROR(__xludf.DUMMYFUNCTION("""COMPUTED_VALUE"""),"Manager who explains what is expected, sets a goal and helps achieve it")</f>
        <v>Manager who explains what is expected, sets a goal and helps achieve it</v>
      </c>
      <c r="P1863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1863" s="1" t="str">
        <f ca="1">IFERROR(__xludf.DUMMYFUNCTION("""COMPUTED_VALUE"""),"Yes, I Understand this is gonna happen everywhere")</f>
        <v>Yes, I Understand this is gonna happen everywhere</v>
      </c>
      <c r="R1863" s="1" t="str">
        <f ca="1">IFERROR(__xludf.DUMMYFUNCTION("""COMPUTED_VALUE"""),"This will be hard to do, but if it is the right company I would try")</f>
        <v>This will be hard to do, but if it is the right company I would try</v>
      </c>
      <c r="S1863" s="1" t="str">
        <f ca="1">IFERROR(__xludf.DUMMYFUNCTION("""COMPUTED_VALUE"""),"vaibhavn1093@gmail.com")</f>
        <v>vaibhavn1093@gmail.com</v>
      </c>
    </row>
    <row r="1864" spans="1:19" ht="12.5" x14ac:dyDescent="0.25">
      <c r="A1864" s="2">
        <f ca="1">IFERROR(__xludf.DUMMYFUNCTION("""COMPUTED_VALUE"""),45062.9005154745)</f>
        <v>45062.900515474503</v>
      </c>
      <c r="B1864" s="1" t="str">
        <f ca="1">IFERROR(__xludf.DUMMYFUNCTION("""COMPUTED_VALUE"""),"India")</f>
        <v>India</v>
      </c>
      <c r="C1864" s="1">
        <f ca="1">IFERROR(__xludf.DUMMYFUNCTION("""COMPUTED_VALUE"""),263139)</f>
        <v>263139</v>
      </c>
      <c r="D1864" s="1" t="str">
        <f ca="1">IFERROR(__xludf.DUMMYFUNCTION("""COMPUTED_VALUE"""),"Female")</f>
        <v>Female</v>
      </c>
      <c r="E1864" s="1" t="str">
        <f ca="1">IFERROR(__xludf.DUMMYFUNCTION("""COMPUTED_VALUE"""),"People from my circle, but not family members")</f>
        <v>People from my circle, but not family members</v>
      </c>
      <c r="F1864" s="1" t="str">
        <f ca="1">IFERROR(__xludf.DUMMYFUNCTION("""COMPUTED_VALUE"""),"Yes, I will earn and do that")</f>
        <v>Yes, I will earn and do that</v>
      </c>
      <c r="G1864" s="1" t="str">
        <f ca="1">IFERROR(__xludf.DUMMYFUNCTION("""COMPUTED_VALUE"""),"This will be hard to do, but if it is the right company I would try")</f>
        <v>This will be hard to do, but if it is the right company I would try</v>
      </c>
      <c r="H1864" s="1" t="str">
        <f ca="1">IFERROR(__xludf.DUMMYFUNCTION("""COMPUTED_VALUE"""),"No")</f>
        <v>No</v>
      </c>
      <c r="I1864" s="1" t="str">
        <f ca="1">IFERROR(__xludf.DUMMYFUNCTION("""COMPUTED_VALUE"""),"Will NOT work for them")</f>
        <v>Will NOT work for them</v>
      </c>
      <c r="J1864" s="1">
        <f ca="1">IFERROR(__xludf.DUMMYFUNCTION("""COMPUTED_VALUE"""),7)</f>
        <v>7</v>
      </c>
      <c r="K1864" s="1" t="str">
        <f ca="1">IFERROR(__xludf.DUMMYFUNCTION("""COMPUTED_VALUE"""),"Hybrid Working Environment with more than 15 days a month at office")</f>
        <v>Hybrid Working Environment with more than 15 days a month at office</v>
      </c>
      <c r="L1864" s="1" t="str">
        <f ca="1">IFERROR(__xludf.DUMMYFUNCTION("""COMPUTED_VALUE"""),"Employer who appreciates learning and enables that environment")</f>
        <v>Employer who appreciates learning and enables that environment</v>
      </c>
      <c r="M186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64" s="1" t="str">
        <f ca="1">IFERROR(__xludf.DUMMYFUNCTION("""COMPUTED_VALUE"""),"Design and Creative strategy in any company, Look deeply into Data and generate insights, Work as a freelancer and do my thing my way, An Artificial Intelligence Specialist / Talking to Robots")</f>
        <v>Design and Creative strategy in any company, Look deeply into Data and generate insights, Work as a freelancer and do my thing my way, An Artificial Intelligence Specialist / Talking to Robots</v>
      </c>
      <c r="O1864" s="1" t="str">
        <f ca="1">IFERROR(__xludf.DUMMYFUNCTION("""COMPUTED_VALUE"""),"Manager who explains what is expected, sets a goal and helps achieve it")</f>
        <v>Manager who explains what is expected, sets a goal and helps achieve it</v>
      </c>
      <c r="P1864" s="1" t="str">
        <f ca="1">IFERROR(__xludf.DUMMYFUNCTION("""COMPUTED_VALUE"""),"Work with 5 to 6 people in my team")</f>
        <v>Work with 5 to 6 people in my team</v>
      </c>
      <c r="Q1864" s="1" t="str">
        <f ca="1">IFERROR(__xludf.DUMMYFUNCTION("""COMPUTED_VALUE"""),"Yes, I Understand this is gonna happen everywhere")</f>
        <v>Yes, I Understand this is gonna happen everywhere</v>
      </c>
      <c r="R1864" s="1" t="str">
        <f ca="1">IFERROR(__xludf.DUMMYFUNCTION("""COMPUTED_VALUE"""),"No way")</f>
        <v>No way</v>
      </c>
      <c r="S1864" s="1" t="str">
        <f ca="1">IFERROR(__xludf.DUMMYFUNCTION("""COMPUTED_VALUE"""),"neha.mehra9720@gmail.com")</f>
        <v>neha.mehra9720@gmail.com</v>
      </c>
    </row>
    <row r="1865" spans="1:19" ht="12.5" x14ac:dyDescent="0.25">
      <c r="A1865" s="2">
        <f ca="1">IFERROR(__xludf.DUMMYFUNCTION("""COMPUTED_VALUE"""),45062.9007478587)</f>
        <v>45062.900747858701</v>
      </c>
      <c r="B1865" s="1" t="str">
        <f ca="1">IFERROR(__xludf.DUMMYFUNCTION("""COMPUTED_VALUE"""),"India")</f>
        <v>India</v>
      </c>
      <c r="C1865" s="1">
        <f ca="1">IFERROR(__xludf.DUMMYFUNCTION("""COMPUTED_VALUE"""),560068)</f>
        <v>560068</v>
      </c>
      <c r="D1865" s="1" t="str">
        <f ca="1">IFERROR(__xludf.DUMMYFUNCTION("""COMPUTED_VALUE"""),"Female")</f>
        <v>Female</v>
      </c>
      <c r="E1865" s="1" t="str">
        <f ca="1">IFERROR(__xludf.DUMMYFUNCTION("""COMPUTED_VALUE"""),"My Parents")</f>
        <v>My Parents</v>
      </c>
      <c r="F1865" s="1" t="str">
        <f ca="1">IFERROR(__xludf.DUMMYFUNCTION("""COMPUTED_VALUE"""),"Yes, I will earn and do that")</f>
        <v>Yes, I will earn and do that</v>
      </c>
      <c r="G1865" s="1" t="str">
        <f ca="1">IFERROR(__xludf.DUMMYFUNCTION("""COMPUTED_VALUE"""),"This will be hard to do, but if it is the right company I would try")</f>
        <v>This will be hard to do, but if it is the right company I would try</v>
      </c>
      <c r="H1865" s="1" t="str">
        <f ca="1">IFERROR(__xludf.DUMMYFUNCTION("""COMPUTED_VALUE"""),"No")</f>
        <v>No</v>
      </c>
      <c r="I1865" s="1" t="str">
        <f ca="1">IFERROR(__xludf.DUMMYFUNCTION("""COMPUTED_VALUE"""),"Will work for them")</f>
        <v>Will work for them</v>
      </c>
      <c r="J1865" s="1">
        <f ca="1">IFERROR(__xludf.DUMMYFUNCTION("""COMPUTED_VALUE"""),10)</f>
        <v>10</v>
      </c>
      <c r="K1865" s="1" t="str">
        <f ca="1">IFERROR(__xludf.DUMMYFUNCTION("""COMPUTED_VALUE"""),"Every Day Office Environment")</f>
        <v>Every Day Office Environment</v>
      </c>
      <c r="L18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65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865" s="1" t="str">
        <f ca="1">IFERROR(__xludf.DUMMYFUNCTION("""COMPUTED_VALUE"""),"Design and Creative strategy in any company, Design and Develop amazing software, Look deeply into Data and generate insights, Entrepreneur or Start Up")</f>
        <v>Design and Creative strategy in any company, Design and Develop amazing software, Look deeply into Data and generate insights, Entrepreneur or Start Up</v>
      </c>
      <c r="O1865" s="1" t="str">
        <f ca="1">IFERROR(__xludf.DUMMYFUNCTION("""COMPUTED_VALUE"""),"Manager who explains what is expected, sets a goal and helps achieve it")</f>
        <v>Manager who explains what is expected, sets a goal and helps achieve it</v>
      </c>
      <c r="P1865" s="1" t="str">
        <f ca="1">IFERROR(__xludf.DUMMYFUNCTION("""COMPUTED_VALUE"""),"Work alone, Work with 5 to 6 people in my team, Work with 7 to 10 or more people in my team, Work with more than 10 people in my team")</f>
        <v>Work alone, Work with 5 to 6 people in my team, Work with 7 to 10 or more people in my team, Work with more than 10 people in my team</v>
      </c>
      <c r="Q1865" s="1" t="str">
        <f ca="1">IFERROR(__xludf.DUMMYFUNCTION("""COMPUTED_VALUE"""),"Yes, I Understand this is gonna happen everywhere")</f>
        <v>Yes, I Understand this is gonna happen everywhere</v>
      </c>
      <c r="R1865" s="1" t="str">
        <f ca="1">IFERROR(__xludf.DUMMYFUNCTION("""COMPUTED_VALUE"""),"This will be hard to do, but if it is the right company I would try")</f>
        <v>This will be hard to do, but if it is the right company I would try</v>
      </c>
      <c r="S1865" s="1" t="str">
        <f ca="1">IFERROR(__xludf.DUMMYFUNCTION("""COMPUTED_VALUE"""),"kavithajk338@gmail.com")</f>
        <v>kavithajk338@gmail.com</v>
      </c>
    </row>
    <row r="1866" spans="1:19" ht="12.5" x14ac:dyDescent="0.25">
      <c r="A1866" s="2">
        <f ca="1">IFERROR(__xludf.DUMMYFUNCTION("""COMPUTED_VALUE"""),45062.9007689583)</f>
        <v>45062.900768958301</v>
      </c>
      <c r="B1866" s="1" t="str">
        <f ca="1">IFERROR(__xludf.DUMMYFUNCTION("""COMPUTED_VALUE"""),"India")</f>
        <v>India</v>
      </c>
      <c r="C1866" s="1">
        <f ca="1">IFERROR(__xludf.DUMMYFUNCTION("""COMPUTED_VALUE"""),160036)</f>
        <v>160036</v>
      </c>
      <c r="D1866" s="1" t="str">
        <f ca="1">IFERROR(__xludf.DUMMYFUNCTION("""COMPUTED_VALUE"""),"Male")</f>
        <v>Male</v>
      </c>
      <c r="E1866" s="1" t="str">
        <f ca="1">IFERROR(__xludf.DUMMYFUNCTION("""COMPUTED_VALUE"""),"My Parents")</f>
        <v>My Parents</v>
      </c>
      <c r="F1866" s="1" t="str">
        <f ca="1">IFERROR(__xludf.DUMMYFUNCTION("""COMPUTED_VALUE"""),"No I would not be pursuing Higher Education outside of India")</f>
        <v>No I would not be pursuing Higher Education outside of India</v>
      </c>
      <c r="G1866" s="1" t="str">
        <f ca="1">IFERROR(__xludf.DUMMYFUNCTION("""COMPUTED_VALUE"""),"Will work for 3 years or more")</f>
        <v>Will work for 3 years or more</v>
      </c>
      <c r="H1866" s="1" t="str">
        <f ca="1">IFERROR(__xludf.DUMMYFUNCTION("""COMPUTED_VALUE"""),"No")</f>
        <v>No</v>
      </c>
      <c r="I1866" s="1" t="str">
        <f ca="1">IFERROR(__xludf.DUMMYFUNCTION("""COMPUTED_VALUE"""),"Will work for them")</f>
        <v>Will work for them</v>
      </c>
      <c r="J1866" s="1">
        <f ca="1">IFERROR(__xludf.DUMMYFUNCTION("""COMPUTED_VALUE"""),6)</f>
        <v>6</v>
      </c>
      <c r="K1866" s="1" t="str">
        <f ca="1">IFERROR(__xludf.DUMMYFUNCTION("""COMPUTED_VALUE"""),"Every Day Office Environment")</f>
        <v>Every Day Office Environment</v>
      </c>
      <c r="L1866" s="1" t="str">
        <f ca="1">IFERROR(__xludf.DUMMYFUNCTION("""COMPUTED_VALUE"""),"Employer who rewards learning and enables that environment")</f>
        <v>Employer who rewards learning and enables that environment</v>
      </c>
      <c r="M186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66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1866" s="1" t="str">
        <f ca="1">IFERROR(__xludf.DUMMYFUNCTION("""COMPUTED_VALUE"""),"Manager who clearly describes what she/he needs")</f>
        <v>Manager who clearly describes what she/he needs</v>
      </c>
      <c r="P1866" s="1" t="str">
        <f ca="1">IFERROR(__xludf.DUMMYFUNCTION("""COMPUTED_VALUE"""),"Work with 2 to 3 people in my team")</f>
        <v>Work with 2 to 3 people in my team</v>
      </c>
      <c r="Q1866" s="1" t="str">
        <f ca="1">IFERROR(__xludf.DUMMYFUNCTION("""COMPUTED_VALUE"""),"Yes")</f>
        <v>Yes</v>
      </c>
      <c r="R1866" s="1" t="str">
        <f ca="1">IFERROR(__xludf.DUMMYFUNCTION("""COMPUTED_VALUE"""),"No way")</f>
        <v>No way</v>
      </c>
      <c r="S1866" s="1" t="str">
        <f ca="1">IFERROR(__xludf.DUMMYFUNCTION("""COMPUTED_VALUE"""),"deorasid2002@gmail.com")</f>
        <v>deorasid2002@gmail.com</v>
      </c>
    </row>
    <row r="1867" spans="1:19" ht="12.5" x14ac:dyDescent="0.25">
      <c r="A1867" s="2">
        <f ca="1">IFERROR(__xludf.DUMMYFUNCTION("""COMPUTED_VALUE"""),45062.9010367361)</f>
        <v>45062.901036736097</v>
      </c>
      <c r="B1867" s="1" t="str">
        <f ca="1">IFERROR(__xludf.DUMMYFUNCTION("""COMPUTED_VALUE"""),"India")</f>
        <v>India</v>
      </c>
      <c r="C1867" s="1">
        <f ca="1">IFERROR(__xludf.DUMMYFUNCTION("""COMPUTED_VALUE"""),500093)</f>
        <v>500093</v>
      </c>
      <c r="D1867" s="1" t="str">
        <f ca="1">IFERROR(__xludf.DUMMYFUNCTION("""COMPUTED_VALUE"""),"Female")</f>
        <v>Female</v>
      </c>
      <c r="E1867" s="1" t="str">
        <f ca="1">IFERROR(__xludf.DUMMYFUNCTION("""COMPUTED_VALUE"""),"People from my circle, but not family members")</f>
        <v>People from my circle, but not family members</v>
      </c>
      <c r="F1867" s="1" t="str">
        <f ca="1">IFERROR(__xludf.DUMMYFUNCTION("""COMPUTED_VALUE"""),"No I would not be pursuing Higher Education outside of India")</f>
        <v>No I would not be pursuing Higher Education outside of India</v>
      </c>
      <c r="G1867" s="1" t="str">
        <f ca="1">IFERROR(__xludf.DUMMYFUNCTION("""COMPUTED_VALUE"""),"This will be hard to do, but if it is the right company I would try")</f>
        <v>This will be hard to do, but if it is the right company I would try</v>
      </c>
      <c r="H1867" s="1" t="str">
        <f ca="1">IFERROR(__xludf.DUMMYFUNCTION("""COMPUTED_VALUE"""),"No")</f>
        <v>No</v>
      </c>
      <c r="I1867" s="1" t="str">
        <f ca="1">IFERROR(__xludf.DUMMYFUNCTION("""COMPUTED_VALUE"""),"Will NOT work for them")</f>
        <v>Will NOT work for them</v>
      </c>
      <c r="J1867" s="1">
        <f ca="1">IFERROR(__xludf.DUMMYFUNCTION("""COMPUTED_VALUE"""),6)</f>
        <v>6</v>
      </c>
      <c r="K1867" s="1" t="str">
        <f ca="1">IFERROR(__xludf.DUMMYFUNCTION("""COMPUTED_VALUE"""),"Hybrid Working Environment with more than 15 days a month at office")</f>
        <v>Hybrid Working Environment with more than 15 days a month at office</v>
      </c>
      <c r="L18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6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67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867" s="1" t="str">
        <f ca="1">IFERROR(__xludf.DUMMYFUNCTION("""COMPUTED_VALUE"""),"Manager who explains what is expected, sets a goal and helps achieve it")</f>
        <v>Manager who explains what is expected, sets a goal and helps achieve it</v>
      </c>
      <c r="P1867" s="1" t="str">
        <f ca="1">IFERROR(__xludf.DUMMYFUNCTION("""COMPUTED_VALUE"""),"Work with 2 to 3 people in my team")</f>
        <v>Work with 2 to 3 people in my team</v>
      </c>
      <c r="Q1867" s="1" t="str">
        <f ca="1">IFERROR(__xludf.DUMMYFUNCTION("""COMPUTED_VALUE"""),"No")</f>
        <v>No</v>
      </c>
      <c r="R1867" s="1" t="str">
        <f ca="1">IFERROR(__xludf.DUMMYFUNCTION("""COMPUTED_VALUE"""),"No way")</f>
        <v>No way</v>
      </c>
      <c r="S1867" s="1" t="str">
        <f ca="1">IFERROR(__xludf.DUMMYFUNCTION("""COMPUTED_VALUE"""),"bsahithi29@gmail.com")</f>
        <v>bsahithi29@gmail.com</v>
      </c>
    </row>
    <row r="1868" spans="1:19" ht="12.5" x14ac:dyDescent="0.25">
      <c r="A1868" s="2">
        <f ca="1">IFERROR(__xludf.DUMMYFUNCTION("""COMPUTED_VALUE"""),45062.9013633564)</f>
        <v>45062.901363356403</v>
      </c>
      <c r="B1868" s="1" t="str">
        <f ca="1">IFERROR(__xludf.DUMMYFUNCTION("""COMPUTED_VALUE"""),"India")</f>
        <v>India</v>
      </c>
      <c r="C1868" s="1">
        <f ca="1">IFERROR(__xludf.DUMMYFUNCTION("""COMPUTED_VALUE"""),400067)</f>
        <v>400067</v>
      </c>
      <c r="D1868" s="1" t="str">
        <f ca="1">IFERROR(__xludf.DUMMYFUNCTION("""COMPUTED_VALUE"""),"Male")</f>
        <v>Male</v>
      </c>
      <c r="E1868" s="1" t="str">
        <f ca="1">IFERROR(__xludf.DUMMYFUNCTION("""COMPUTED_VALUE"""),"Social Media like LinkedIn")</f>
        <v>Social Media like LinkedIn</v>
      </c>
      <c r="F1868" s="1" t="str">
        <f ca="1">IFERROR(__xludf.DUMMYFUNCTION("""COMPUTED_VALUE"""),"No, But if someone could bare the cost I will")</f>
        <v>No, But if someone could bare the cost I will</v>
      </c>
      <c r="G1868" s="1" t="str">
        <f ca="1">IFERROR(__xludf.DUMMYFUNCTION("""COMPUTED_VALUE"""),"This will be hard to do, but if it is the right company I would try")</f>
        <v>This will be hard to do, but if it is the right company I would try</v>
      </c>
      <c r="H1868" s="1" t="str">
        <f ca="1">IFERROR(__xludf.DUMMYFUNCTION("""COMPUTED_VALUE"""),"No")</f>
        <v>No</v>
      </c>
      <c r="I1868" s="1" t="str">
        <f ca="1">IFERROR(__xludf.DUMMYFUNCTION("""COMPUTED_VALUE"""),"Will NOT work for them")</f>
        <v>Will NOT work for them</v>
      </c>
      <c r="J1868" s="1">
        <f ca="1">IFERROR(__xludf.DUMMYFUNCTION("""COMPUTED_VALUE"""),5)</f>
        <v>5</v>
      </c>
      <c r="K1868" s="1" t="str">
        <f ca="1">IFERROR(__xludf.DUMMYFUNCTION("""COMPUTED_VALUE"""),"Every Day Office Environment")</f>
        <v>Every Day Office Environment</v>
      </c>
      <c r="L18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68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868" s="1" t="str">
        <f ca="1">IFERROR(__xludf.DUMMYFUNCTION("""COMPUTED_VALUE"""),"Look deeply into Data and generate insights, Become a content Creator in some platform, Entrepreneur or Start Up, An Artificial Intelligence Specialist / Talking to Robots")</f>
        <v>Look deeply into Data and generate insights, Become a content Creator in some platform, Entrepreneur or Start Up, An Artificial Intelligence Specialist / Talking to Robots</v>
      </c>
      <c r="O1868" s="1" t="str">
        <f ca="1">IFERROR(__xludf.DUMMYFUNCTION("""COMPUTED_VALUE"""),"Manager who explains what is expected, sets a goal and helps achieve it")</f>
        <v>Manager who explains what is expected, sets a goal and helps achieve it</v>
      </c>
      <c r="P1868" s="1" t="str">
        <f ca="1">IFERROR(__xludf.DUMMYFUNCTION("""COMPUTED_VALUE"""),"Work with 2 to 3 people in my team")</f>
        <v>Work with 2 to 3 people in my team</v>
      </c>
      <c r="Q1868" s="1" t="str">
        <f ca="1">IFERROR(__xludf.DUMMYFUNCTION("""COMPUTED_VALUE"""),"I have NO other choice")</f>
        <v>I have NO other choice</v>
      </c>
      <c r="R1868" s="1" t="str">
        <f ca="1">IFERROR(__xludf.DUMMYFUNCTION("""COMPUTED_VALUE"""),"This will be hard to do, but if it is the right company I would try")</f>
        <v>This will be hard to do, but if it is the right company I would try</v>
      </c>
      <c r="S1868" s="1" t="str">
        <f ca="1">IFERROR(__xludf.DUMMYFUNCTION("""COMPUTED_VALUE"""),"palabhishek078@gmail.com")</f>
        <v>palabhishek078@gmail.com</v>
      </c>
    </row>
    <row r="1869" spans="1:19" ht="12.5" x14ac:dyDescent="0.25">
      <c r="A1869" s="2">
        <f ca="1">IFERROR(__xludf.DUMMYFUNCTION("""COMPUTED_VALUE"""),45062.901428125)</f>
        <v>45062.901428124998</v>
      </c>
      <c r="B1869" s="1" t="str">
        <f ca="1">IFERROR(__xludf.DUMMYFUNCTION("""COMPUTED_VALUE"""),"India")</f>
        <v>India</v>
      </c>
      <c r="C1869" s="1">
        <f ca="1">IFERROR(__xludf.DUMMYFUNCTION("""COMPUTED_VALUE"""),800013)</f>
        <v>800013</v>
      </c>
      <c r="D1869" s="1" t="str">
        <f ca="1">IFERROR(__xludf.DUMMYFUNCTION("""COMPUTED_VALUE"""),"Female")</f>
        <v>Female</v>
      </c>
      <c r="E1869" s="1" t="str">
        <f ca="1">IFERROR(__xludf.DUMMYFUNCTION("""COMPUTED_VALUE"""),"People who have changed the world for better")</f>
        <v>People who have changed the world for better</v>
      </c>
      <c r="F1869" s="1" t="str">
        <f ca="1">IFERROR(__xludf.DUMMYFUNCTION("""COMPUTED_VALUE"""),"Yes, I will earn and do that")</f>
        <v>Yes, I will earn and do that</v>
      </c>
      <c r="G1869" s="1" t="str">
        <f ca="1">IFERROR(__xludf.DUMMYFUNCTION("""COMPUTED_VALUE"""),"Will work for 3 years or more")</f>
        <v>Will work for 3 years or more</v>
      </c>
      <c r="H1869" s="1" t="str">
        <f ca="1">IFERROR(__xludf.DUMMYFUNCTION("""COMPUTED_VALUE"""),"No")</f>
        <v>No</v>
      </c>
      <c r="I1869" s="1" t="str">
        <f ca="1">IFERROR(__xludf.DUMMYFUNCTION("""COMPUTED_VALUE"""),"Will NOT work for them")</f>
        <v>Will NOT work for them</v>
      </c>
      <c r="J1869" s="1">
        <f ca="1">IFERROR(__xludf.DUMMYFUNCTION("""COMPUTED_VALUE"""),4)</f>
        <v>4</v>
      </c>
      <c r="K1869" s="1" t="str">
        <f ca="1">IFERROR(__xludf.DUMMYFUNCTION("""COMPUTED_VALUE"""),"Hybrid Working Environment with less than 3 days a month at office")</f>
        <v>Hybrid Working Environment with less than 3 days a month at office</v>
      </c>
      <c r="L18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69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869" s="1" t="str">
        <f ca="1">IFERROR(__xludf.DUMMYFUNCTION("""COMPUTED_VALUE"""),"Business Operations in any organization, Manage and drive End-to-End Projects or Products, Become a content Creator in some platform, An Artificial Intelligence Specialist / Talking to Robots")</f>
        <v>Business Operations in any organization, Manage and drive End-to-End Projects or Products, Become a content Creator in some platform, An Artificial Intelligence Specialist / Talking to Robots</v>
      </c>
      <c r="O1869" s="1" t="str">
        <f ca="1">IFERROR(__xludf.DUMMYFUNCTION("""COMPUTED_VALUE"""),"Manager who explains what is expected, sets a goal and helps achieve it")</f>
        <v>Manager who explains what is expected, sets a goal and helps achieve it</v>
      </c>
      <c r="P1869" s="1" t="str">
        <f ca="1">IFERROR(__xludf.DUMMYFUNCTION("""COMPUTED_VALUE"""),"Work with 5 to 6 people in my team")</f>
        <v>Work with 5 to 6 people in my team</v>
      </c>
      <c r="Q1869" s="1" t="str">
        <f ca="1">IFERROR(__xludf.DUMMYFUNCTION("""COMPUTED_VALUE"""),"Yes, I Understand this is gonna happen everywhere")</f>
        <v>Yes, I Understand this is gonna happen everywhere</v>
      </c>
      <c r="R1869" s="1" t="str">
        <f ca="1">IFERROR(__xludf.DUMMYFUNCTION("""COMPUTED_VALUE"""),"This will be hard to do, but if it is the right company I would try")</f>
        <v>This will be hard to do, but if it is the right company I would try</v>
      </c>
      <c r="S1869" s="1" t="str">
        <f ca="1">IFERROR(__xludf.DUMMYFUNCTION("""COMPUTED_VALUE"""),"mariaiqbalnda@gmail.com")</f>
        <v>mariaiqbalnda@gmail.com</v>
      </c>
    </row>
    <row r="1870" spans="1:19" ht="12.5" x14ac:dyDescent="0.25">
      <c r="A1870" s="2">
        <f ca="1">IFERROR(__xludf.DUMMYFUNCTION("""COMPUTED_VALUE"""),45062.9018531134)</f>
        <v>45062.901853113399</v>
      </c>
      <c r="B1870" s="1" t="str">
        <f ca="1">IFERROR(__xludf.DUMMYFUNCTION("""COMPUTED_VALUE"""),"India")</f>
        <v>India</v>
      </c>
      <c r="C1870" s="1">
        <f ca="1">IFERROR(__xludf.DUMMYFUNCTION("""COMPUTED_VALUE"""),444801)</f>
        <v>444801</v>
      </c>
      <c r="D1870" s="1" t="str">
        <f ca="1">IFERROR(__xludf.DUMMYFUNCTION("""COMPUTED_VALUE"""),"Male")</f>
        <v>Male</v>
      </c>
      <c r="E1870" s="1" t="str">
        <f ca="1">IFERROR(__xludf.DUMMYFUNCTION("""COMPUTED_VALUE"""),"People from my circle, but not family members")</f>
        <v>People from my circle, but not family members</v>
      </c>
      <c r="F1870" s="1" t="str">
        <f ca="1">IFERROR(__xludf.DUMMYFUNCTION("""COMPUTED_VALUE"""),"No I would not be pursuing Higher Education outside of India")</f>
        <v>No I would not be pursuing Higher Education outside of India</v>
      </c>
      <c r="G1870" s="1" t="str">
        <f ca="1">IFERROR(__xludf.DUMMYFUNCTION("""COMPUTED_VALUE"""),"This will be hard to do, but if it is the right company I would try")</f>
        <v>This will be hard to do, but if it is the right company I would try</v>
      </c>
      <c r="H1870" s="1" t="str">
        <f ca="1">IFERROR(__xludf.DUMMYFUNCTION("""COMPUTED_VALUE"""),"No")</f>
        <v>No</v>
      </c>
      <c r="I1870" s="1" t="str">
        <f ca="1">IFERROR(__xludf.DUMMYFUNCTION("""COMPUTED_VALUE"""),"Will NOT work for them")</f>
        <v>Will NOT work for them</v>
      </c>
      <c r="J1870" s="1">
        <f ca="1">IFERROR(__xludf.DUMMYFUNCTION("""COMPUTED_VALUE"""),8)</f>
        <v>8</v>
      </c>
      <c r="K1870" s="1" t="str">
        <f ca="1">IFERROR(__xludf.DUMMYFUNCTION("""COMPUTED_VALUE"""),"Fully Remote with Options to travel as and when needed")</f>
        <v>Fully Remote with Options to travel as and when needed</v>
      </c>
      <c r="L18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7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70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187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70" s="1" t="str">
        <f ca="1">IFERROR(__xludf.DUMMYFUNCTION("""COMPUTED_VALUE"""),"Work with 5 to 6 people in my team")</f>
        <v>Work with 5 to 6 people in my team</v>
      </c>
      <c r="Q1870" s="1" t="str">
        <f ca="1">IFERROR(__xludf.DUMMYFUNCTION("""COMPUTED_VALUE"""),"Yes, I Understand this is gonna happen everywhere")</f>
        <v>Yes, I Understand this is gonna happen everywhere</v>
      </c>
      <c r="R1870" s="1" t="str">
        <f ca="1">IFERROR(__xludf.DUMMYFUNCTION("""COMPUTED_VALUE"""),"No way")</f>
        <v>No way</v>
      </c>
      <c r="S1870" s="1" t="str">
        <f ca="1">IFERROR(__xludf.DUMMYFUNCTION("""COMPUTED_VALUE"""),"apachghare68@gmail.com")</f>
        <v>apachghare68@gmail.com</v>
      </c>
    </row>
    <row r="1871" spans="1:19" ht="12.5" x14ac:dyDescent="0.25">
      <c r="A1871" s="2">
        <f ca="1">IFERROR(__xludf.DUMMYFUNCTION("""COMPUTED_VALUE"""),45062.9018985995)</f>
        <v>45062.901898599499</v>
      </c>
      <c r="B1871" s="1" t="str">
        <f ca="1">IFERROR(__xludf.DUMMYFUNCTION("""COMPUTED_VALUE"""),"India")</f>
        <v>India</v>
      </c>
      <c r="C1871" s="1">
        <f ca="1">IFERROR(__xludf.DUMMYFUNCTION("""COMPUTED_VALUE"""),603202)</f>
        <v>603202</v>
      </c>
      <c r="D1871" s="1" t="str">
        <f ca="1">IFERROR(__xludf.DUMMYFUNCTION("""COMPUTED_VALUE"""),"Male")</f>
        <v>Male</v>
      </c>
      <c r="E1871" s="1" t="str">
        <f ca="1">IFERROR(__xludf.DUMMYFUNCTION("""COMPUTED_VALUE"""),"Social Media like LinkedIn")</f>
        <v>Social Media like LinkedIn</v>
      </c>
      <c r="F1871" s="1" t="str">
        <f ca="1">IFERROR(__xludf.DUMMYFUNCTION("""COMPUTED_VALUE"""),"No, But if someone could bare the cost I will")</f>
        <v>No, But if someone could bare the cost I will</v>
      </c>
      <c r="G1871" s="1" t="str">
        <f ca="1">IFERROR(__xludf.DUMMYFUNCTION("""COMPUTED_VALUE"""),"This will be hard to do, but if it is the right company I would try")</f>
        <v>This will be hard to do, but if it is the right company I would try</v>
      </c>
      <c r="H1871" s="1" t="str">
        <f ca="1">IFERROR(__xludf.DUMMYFUNCTION("""COMPUTED_VALUE"""),"No")</f>
        <v>No</v>
      </c>
      <c r="I1871" s="1" t="str">
        <f ca="1">IFERROR(__xludf.DUMMYFUNCTION("""COMPUTED_VALUE"""),"Will NOT work for them")</f>
        <v>Will NOT work for them</v>
      </c>
      <c r="J1871" s="1">
        <f ca="1">IFERROR(__xludf.DUMMYFUNCTION("""COMPUTED_VALUE"""),7)</f>
        <v>7</v>
      </c>
      <c r="K1871" s="1" t="str">
        <f ca="1">IFERROR(__xludf.DUMMYFUNCTION("""COMPUTED_VALUE"""),"Hybrid Working Environment with more than 15 days a month at office")</f>
        <v>Hybrid Working Environment with more than 15 days a month at office</v>
      </c>
      <c r="L18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7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71" s="1" t="str">
        <f ca="1">IFERROR(__xludf.DUMMYFUNCTION("""COMPUTED_VALUE"""),"Design and Develop amazing software, Look deeply into Data and generate insights, Work as a freelancer and do my thing my way, An Artificial Intelligence Specialist / Talking to Robots")</f>
        <v>Design and Develop amazing software, Look deeply into Data and generate insights, Work as a freelancer and do my thing my way, An Artificial Intelligence Specialist / Talking to Robots</v>
      </c>
      <c r="O1871" s="1" t="str">
        <f ca="1">IFERROR(__xludf.DUMMYFUNCTION("""COMPUTED_VALUE"""),"Manager who explains what is expected, sets a goal and helps achieve it")</f>
        <v>Manager who explains what is expected, sets a goal and helps achieve it</v>
      </c>
      <c r="P1871" s="1" t="str">
        <f ca="1">IFERROR(__xludf.DUMMYFUNCTION("""COMPUTED_VALUE"""),"Work alone, Work with 2 to 3 people in my team")</f>
        <v>Work alone, Work with 2 to 3 people in my team</v>
      </c>
      <c r="Q1871" s="1" t="str">
        <f ca="1">IFERROR(__xludf.DUMMYFUNCTION("""COMPUTED_VALUE"""),"Yes, I Understand this is gonna happen everywhere")</f>
        <v>Yes, I Understand this is gonna happen everywhere</v>
      </c>
      <c r="R1871" s="1" t="str">
        <f ca="1">IFERROR(__xludf.DUMMYFUNCTION("""COMPUTED_VALUE"""),"This will be hard to do, but if it is the right company I would try")</f>
        <v>This will be hard to do, but if it is the right company I would try</v>
      </c>
      <c r="S1871" s="1" t="str">
        <f ca="1">IFERROR(__xludf.DUMMYFUNCTION("""COMPUTED_VALUE"""),"200801066@rajalakshmi.edu.in")</f>
        <v>200801066@rajalakshmi.edu.in</v>
      </c>
    </row>
    <row r="1872" spans="1:19" ht="12.5" x14ac:dyDescent="0.25">
      <c r="A1872" s="2">
        <f ca="1">IFERROR(__xludf.DUMMYFUNCTION("""COMPUTED_VALUE"""),45062.901927743)</f>
        <v>45062.901927742998</v>
      </c>
      <c r="B1872" s="1" t="str">
        <f ca="1">IFERROR(__xludf.DUMMYFUNCTION("""COMPUTED_VALUE"""),"India")</f>
        <v>India</v>
      </c>
      <c r="C1872" s="1">
        <f ca="1">IFERROR(__xludf.DUMMYFUNCTION("""COMPUTED_VALUE"""),110059)</f>
        <v>110059</v>
      </c>
      <c r="D1872" s="1" t="str">
        <f ca="1">IFERROR(__xludf.DUMMYFUNCTION("""COMPUTED_VALUE"""),"Female")</f>
        <v>Female</v>
      </c>
      <c r="E1872" s="1" t="str">
        <f ca="1">IFERROR(__xludf.DUMMYFUNCTION("""COMPUTED_VALUE"""),"Social Media like LinkedIn")</f>
        <v>Social Media like LinkedIn</v>
      </c>
      <c r="F1872" s="1" t="str">
        <f ca="1">IFERROR(__xludf.DUMMYFUNCTION("""COMPUTED_VALUE"""),"Yes, I will earn and do that")</f>
        <v>Yes, I will earn and do that</v>
      </c>
      <c r="G1872" s="1" t="str">
        <f ca="1">IFERROR(__xludf.DUMMYFUNCTION("""COMPUTED_VALUE"""),"This will be hard to do, but if it is the right company I would try")</f>
        <v>This will be hard to do, but if it is the right company I would try</v>
      </c>
      <c r="H1872" s="1" t="str">
        <f ca="1">IFERROR(__xludf.DUMMYFUNCTION("""COMPUTED_VALUE"""),"No")</f>
        <v>No</v>
      </c>
      <c r="I1872" s="1" t="str">
        <f ca="1">IFERROR(__xludf.DUMMYFUNCTION("""COMPUTED_VALUE"""),"Will NOT work for them")</f>
        <v>Will NOT work for them</v>
      </c>
      <c r="J1872" s="1">
        <f ca="1">IFERROR(__xludf.DUMMYFUNCTION("""COMPUTED_VALUE"""),7)</f>
        <v>7</v>
      </c>
      <c r="K1872" s="1" t="str">
        <f ca="1">IFERROR(__xludf.DUMMYFUNCTION("""COMPUTED_VALUE"""),"Fully Remote with Options to travel as and when needed")</f>
        <v>Fully Remote with Options to travel as and when needed</v>
      </c>
      <c r="L18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7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72" s="1" t="str">
        <f ca="1">IFERROR(__xludf.DUMMYFUNCTION("""COMPUTED_VALUE"""),"Design and Develop amazing software, Look deeply into Data and generate insights, Work as a freelancer and do my thing my way, An Artificial Intelligence Specialist / Talking to Robots")</f>
        <v>Design and Develop amazing software, Look deeply into Data and generate insights, Work as a freelancer and do my thing my way, An Artificial Intelligence Specialist / Talking to Robots</v>
      </c>
      <c r="O1872" s="1" t="str">
        <f ca="1">IFERROR(__xludf.DUMMYFUNCTION("""COMPUTED_VALUE"""),"Manager who explains what is expected, sets a goal and helps achieve it")</f>
        <v>Manager who explains what is expected, sets a goal and helps achieve it</v>
      </c>
      <c r="P1872" s="1" t="str">
        <f ca="1">IFERROR(__xludf.DUMMYFUNCTION("""COMPUTED_VALUE"""),"Work with 5 to 6 people in my team")</f>
        <v>Work with 5 to 6 people in my team</v>
      </c>
      <c r="Q1872" s="1" t="str">
        <f ca="1">IFERROR(__xludf.DUMMYFUNCTION("""COMPUTED_VALUE"""),"No")</f>
        <v>No</v>
      </c>
      <c r="R1872" s="1" t="str">
        <f ca="1">IFERROR(__xludf.DUMMYFUNCTION("""COMPUTED_VALUE"""),"This will be hard to do, but if it is the right company I would try")</f>
        <v>This will be hard to do, but if it is the right company I would try</v>
      </c>
      <c r="S1872" s="1" t="str">
        <f ca="1">IFERROR(__xludf.DUMMYFUNCTION("""COMPUTED_VALUE"""),"soniankita254@gmail.com")</f>
        <v>soniankita254@gmail.com</v>
      </c>
    </row>
    <row r="1873" spans="1:19" ht="12.5" x14ac:dyDescent="0.25">
      <c r="A1873" s="2">
        <f ca="1">IFERROR(__xludf.DUMMYFUNCTION("""COMPUTED_VALUE"""),45062.9019908912)</f>
        <v>45062.901990891201</v>
      </c>
      <c r="B1873" s="1" t="str">
        <f ca="1">IFERROR(__xludf.DUMMYFUNCTION("""COMPUTED_VALUE"""),"India")</f>
        <v>India</v>
      </c>
      <c r="C1873" s="1">
        <f ca="1">IFERROR(__xludf.DUMMYFUNCTION("""COMPUTED_VALUE"""),560030)</f>
        <v>560030</v>
      </c>
      <c r="D1873" s="1" t="str">
        <f ca="1">IFERROR(__xludf.DUMMYFUNCTION("""COMPUTED_VALUE"""),"Male")</f>
        <v>Male</v>
      </c>
      <c r="E1873" s="1" t="str">
        <f ca="1">IFERROR(__xludf.DUMMYFUNCTION("""COMPUTED_VALUE"""),"People who have changed the world for better")</f>
        <v>People who have changed the world for better</v>
      </c>
      <c r="F1873" s="1" t="str">
        <f ca="1">IFERROR(__xludf.DUMMYFUNCTION("""COMPUTED_VALUE"""),"No I would not be pursuing Higher Education outside of India")</f>
        <v>No I would not be pursuing Higher Education outside of India</v>
      </c>
      <c r="G1873" s="1" t="str">
        <f ca="1">IFERROR(__xludf.DUMMYFUNCTION("""COMPUTED_VALUE"""),"No way")</f>
        <v>No way</v>
      </c>
      <c r="H1873" s="1" t="str">
        <f ca="1">IFERROR(__xludf.DUMMYFUNCTION("""COMPUTED_VALUE"""),"No")</f>
        <v>No</v>
      </c>
      <c r="I1873" s="1" t="str">
        <f ca="1">IFERROR(__xludf.DUMMYFUNCTION("""COMPUTED_VALUE"""),"Will NOT work for them")</f>
        <v>Will NOT work for them</v>
      </c>
      <c r="J1873" s="1">
        <f ca="1">IFERROR(__xludf.DUMMYFUNCTION("""COMPUTED_VALUE"""),1)</f>
        <v>1</v>
      </c>
      <c r="K1873" s="1" t="str">
        <f ca="1">IFERROR(__xludf.DUMMYFUNCTION("""COMPUTED_VALUE"""),"Fully Remote with Options to travel as and when needed")</f>
        <v>Fully Remote with Options to travel as and when needed</v>
      </c>
      <c r="L1873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873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873" s="1" t="str">
        <f ca="1">IFERROR(__xludf.DUMMYFUNCTION("""COMPUTED_VALUE"""),"Build and develop a Team, Look deeply into Data and generate insights, Entrepreneur or Start Up, I Want to sell things/Sales")</f>
        <v>Build and develop a Team, Look deeply into Data and generate insights, Entrepreneur or Start Up, I Want to sell things/Sales</v>
      </c>
      <c r="O1873" s="1" t="str">
        <f ca="1">IFERROR(__xludf.DUMMYFUNCTION("""COMPUTED_VALUE"""),"Manager who sets goal and helps me achieve it")</f>
        <v>Manager who sets goal and helps me achieve it</v>
      </c>
      <c r="P1873" s="1" t="str">
        <f ca="1">IFERROR(__xludf.DUMMYFUNCTION("""COMPUTED_VALUE"""),"Work alone")</f>
        <v>Work alone</v>
      </c>
      <c r="Q1873" s="1" t="str">
        <f ca="1">IFERROR(__xludf.DUMMYFUNCTION("""COMPUTED_VALUE"""),"Yes, I Understand this is gonna happen everywhere")</f>
        <v>Yes, I Understand this is gonna happen everywhere</v>
      </c>
      <c r="R1873" s="1" t="str">
        <f ca="1">IFERROR(__xludf.DUMMYFUNCTION("""COMPUTED_VALUE"""),"No way")</f>
        <v>No way</v>
      </c>
      <c r="S1873" s="1" t="str">
        <f ca="1">IFERROR(__xludf.DUMMYFUNCTION("""COMPUTED_VALUE"""),"punith2018@gmail.com")</f>
        <v>punith2018@gmail.com</v>
      </c>
    </row>
    <row r="1874" spans="1:19" ht="12.5" x14ac:dyDescent="0.25">
      <c r="A1874" s="2">
        <f ca="1">IFERROR(__xludf.DUMMYFUNCTION("""COMPUTED_VALUE"""),45062.9023600231)</f>
        <v>45062.902360023101</v>
      </c>
      <c r="B1874" s="1" t="str">
        <f ca="1">IFERROR(__xludf.DUMMYFUNCTION("""COMPUTED_VALUE"""),"India")</f>
        <v>India</v>
      </c>
      <c r="C1874" s="1">
        <f ca="1">IFERROR(__xludf.DUMMYFUNCTION("""COMPUTED_VALUE"""),560047)</f>
        <v>560047</v>
      </c>
      <c r="D1874" s="1" t="str">
        <f ca="1">IFERROR(__xludf.DUMMYFUNCTION("""COMPUTED_VALUE"""),"Male")</f>
        <v>Male</v>
      </c>
      <c r="E1874" s="1" t="str">
        <f ca="1">IFERROR(__xludf.DUMMYFUNCTION("""COMPUTED_VALUE"""),"My Parents")</f>
        <v>My Parents</v>
      </c>
      <c r="F1874" s="1" t="str">
        <f ca="1">IFERROR(__xludf.DUMMYFUNCTION("""COMPUTED_VALUE"""),"Yes, I will earn and do that")</f>
        <v>Yes, I will earn and do that</v>
      </c>
      <c r="G1874" s="1" t="str">
        <f ca="1">IFERROR(__xludf.DUMMYFUNCTION("""COMPUTED_VALUE"""),"Will work for 3 years or more")</f>
        <v>Will work for 3 years or more</v>
      </c>
      <c r="H1874" s="1" t="str">
        <f ca="1">IFERROR(__xludf.DUMMYFUNCTION("""COMPUTED_VALUE"""),"Yes")</f>
        <v>Yes</v>
      </c>
      <c r="I1874" s="1" t="str">
        <f ca="1">IFERROR(__xludf.DUMMYFUNCTION("""COMPUTED_VALUE"""),"Will work for them")</f>
        <v>Will work for them</v>
      </c>
      <c r="J1874" s="1">
        <f ca="1">IFERROR(__xludf.DUMMYFUNCTION("""COMPUTED_VALUE"""),5)</f>
        <v>5</v>
      </c>
      <c r="K1874" s="1" t="str">
        <f ca="1">IFERROR(__xludf.DUMMYFUNCTION("""COMPUTED_VALUE"""),"Every Day Office Environment")</f>
        <v>Every Day Office Environment</v>
      </c>
      <c r="L18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7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87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874" s="1" t="str">
        <f ca="1">IFERROR(__xludf.DUMMYFUNCTION("""COMPUTED_VALUE"""),"Manager who sets goal and helps me achieve it")</f>
        <v>Manager who sets goal and helps me achieve it</v>
      </c>
      <c r="P1874" s="1" t="str">
        <f ca="1">IFERROR(__xludf.DUMMYFUNCTION("""COMPUTED_VALUE"""),"Work with 2 to 3 people in my team, Work with 5 to 6 people in my team")</f>
        <v>Work with 2 to 3 people in my team, Work with 5 to 6 people in my team</v>
      </c>
      <c r="Q1874" s="1" t="str">
        <f ca="1">IFERROR(__xludf.DUMMYFUNCTION("""COMPUTED_VALUE"""),"Yes, I Understand this is gonna happen everywhere")</f>
        <v>Yes, I Understand this is gonna happen everywhere</v>
      </c>
      <c r="R1874" s="1" t="str">
        <f ca="1">IFERROR(__xludf.DUMMYFUNCTION("""COMPUTED_VALUE"""),"This will be hard to do, but if it is the right company I would try")</f>
        <v>This will be hard to do, but if it is the right company I would try</v>
      </c>
      <c r="S1874" s="1" t="str">
        <f ca="1">IFERROR(__xludf.DUMMYFUNCTION("""COMPUTED_VALUE"""),"santoshkmr7999@gmail.com")</f>
        <v>santoshkmr7999@gmail.com</v>
      </c>
    </row>
    <row r="1875" spans="1:19" ht="12.5" x14ac:dyDescent="0.25">
      <c r="A1875" s="2">
        <f ca="1">IFERROR(__xludf.DUMMYFUNCTION("""COMPUTED_VALUE"""),45062.902833206)</f>
        <v>45062.902833205997</v>
      </c>
      <c r="B1875" s="1" t="str">
        <f ca="1">IFERROR(__xludf.DUMMYFUNCTION("""COMPUTED_VALUE"""),"India")</f>
        <v>India</v>
      </c>
      <c r="C1875" s="1">
        <f ca="1">IFERROR(__xludf.DUMMYFUNCTION("""COMPUTED_VALUE"""),625218)</f>
        <v>625218</v>
      </c>
      <c r="D1875" s="1" t="str">
        <f ca="1">IFERROR(__xludf.DUMMYFUNCTION("""COMPUTED_VALUE"""),"Female")</f>
        <v>Female</v>
      </c>
      <c r="E1875" s="1" t="str">
        <f ca="1">IFERROR(__xludf.DUMMYFUNCTION("""COMPUTED_VALUE"""),"People who have changed the world for better")</f>
        <v>People who have changed the world for better</v>
      </c>
      <c r="F1875" s="1" t="str">
        <f ca="1">IFERROR(__xludf.DUMMYFUNCTION("""COMPUTED_VALUE"""),"Yes, I will earn and do that")</f>
        <v>Yes, I will earn and do that</v>
      </c>
      <c r="G1875" s="1" t="str">
        <f ca="1">IFERROR(__xludf.DUMMYFUNCTION("""COMPUTED_VALUE"""),"This will be hard to do, but if it is the right company I would try")</f>
        <v>This will be hard to do, but if it is the right company I would try</v>
      </c>
      <c r="H1875" s="1" t="str">
        <f ca="1">IFERROR(__xludf.DUMMYFUNCTION("""COMPUTED_VALUE"""),"No")</f>
        <v>No</v>
      </c>
      <c r="I1875" s="1" t="str">
        <f ca="1">IFERROR(__xludf.DUMMYFUNCTION("""COMPUTED_VALUE"""),"Will NOT work for them")</f>
        <v>Will NOT work for them</v>
      </c>
      <c r="J1875" s="1">
        <f ca="1">IFERROR(__xludf.DUMMYFUNCTION("""COMPUTED_VALUE"""),8)</f>
        <v>8</v>
      </c>
      <c r="K1875" s="1" t="str">
        <f ca="1">IFERROR(__xludf.DUMMYFUNCTION("""COMPUTED_VALUE"""),"Fully Remote with Options to travel as and when needed")</f>
        <v>Fully Remote with Options to travel as and when needed</v>
      </c>
      <c r="L1875" s="1" t="str">
        <f ca="1">IFERROR(__xludf.DUMMYFUNCTION("""COMPUTED_VALUE"""),"Employer who rewards learning and enables that environment")</f>
        <v>Employer who rewards learning and enables that environment</v>
      </c>
      <c r="M187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75" s="1" t="str">
        <f ca="1">IFERROR(__xludf.DUMMYFUNCTION("""COMPUTED_VALUE"""),"Design and Creative strategy in any company, Business Operations in any organization, Build and develop a Team, An Artificial Intelligence Specialist / Talking to Robots")</f>
        <v>Design and Creative strategy in any company, Business Operations in any organization, Build and develop a Team, An Artificial Intelligence Specialist / Talking to Robots</v>
      </c>
      <c r="O1875" s="1" t="str">
        <f ca="1">IFERROR(__xludf.DUMMYFUNCTION("""COMPUTED_VALUE"""),"Manager who explains what is expected, sets a goal and helps achieve it")</f>
        <v>Manager who explains what is expected, sets a goal and helps achieve it</v>
      </c>
      <c r="P1875" s="1" t="str">
        <f ca="1">IFERROR(__xludf.DUMMYFUNCTION("""COMPUTED_VALUE"""),"Work with 7 to 10 or more people in my team")</f>
        <v>Work with 7 to 10 or more people in my team</v>
      </c>
      <c r="Q1875" s="1" t="str">
        <f ca="1">IFERROR(__xludf.DUMMYFUNCTION("""COMPUTED_VALUE"""),"Yes, I Understand this is gonna happen everywhere")</f>
        <v>Yes, I Understand this is gonna happen everywhere</v>
      </c>
      <c r="R1875" s="1" t="str">
        <f ca="1">IFERROR(__xludf.DUMMYFUNCTION("""COMPUTED_VALUE"""),"This will be hard to do, but if it is the right company I would try")</f>
        <v>This will be hard to do, but if it is the right company I would try</v>
      </c>
      <c r="S1875" s="1" t="str">
        <f ca="1">IFERROR(__xludf.DUMMYFUNCTION("""COMPUTED_VALUE"""),"nivedha207@gmail.com")</f>
        <v>nivedha207@gmail.com</v>
      </c>
    </row>
    <row r="1876" spans="1:19" ht="12.5" x14ac:dyDescent="0.25">
      <c r="A1876" s="2">
        <f ca="1">IFERROR(__xludf.DUMMYFUNCTION("""COMPUTED_VALUE"""),45062.903766956)</f>
        <v>45062.903766955998</v>
      </c>
      <c r="B1876" s="1" t="str">
        <f ca="1">IFERROR(__xludf.DUMMYFUNCTION("""COMPUTED_VALUE"""),"India")</f>
        <v>India</v>
      </c>
      <c r="C1876" s="1">
        <f ca="1">IFERROR(__xludf.DUMMYFUNCTION("""COMPUTED_VALUE"""),452010)</f>
        <v>452010</v>
      </c>
      <c r="D1876" s="1" t="str">
        <f ca="1">IFERROR(__xludf.DUMMYFUNCTION("""COMPUTED_VALUE"""),"Female")</f>
        <v>Female</v>
      </c>
      <c r="E1876" s="1" t="str">
        <f ca="1">IFERROR(__xludf.DUMMYFUNCTION("""COMPUTED_VALUE"""),"Influencers who had successful careers")</f>
        <v>Influencers who had successful careers</v>
      </c>
      <c r="F1876" s="1" t="str">
        <f ca="1">IFERROR(__xludf.DUMMYFUNCTION("""COMPUTED_VALUE"""),"No I would not be pursuing Higher Education outside of India")</f>
        <v>No I would not be pursuing Higher Education outside of India</v>
      </c>
      <c r="G1876" s="1" t="str">
        <f ca="1">IFERROR(__xludf.DUMMYFUNCTION("""COMPUTED_VALUE"""),"This will be hard to do, but if it is the right company I would try")</f>
        <v>This will be hard to do, but if it is the right company I would try</v>
      </c>
      <c r="H1876" s="1" t="str">
        <f ca="1">IFERROR(__xludf.DUMMYFUNCTION("""COMPUTED_VALUE"""),"No")</f>
        <v>No</v>
      </c>
      <c r="I1876" s="1" t="str">
        <f ca="1">IFERROR(__xludf.DUMMYFUNCTION("""COMPUTED_VALUE"""),"Will work for them")</f>
        <v>Will work for them</v>
      </c>
      <c r="J1876" s="1">
        <f ca="1">IFERROR(__xludf.DUMMYFUNCTION("""COMPUTED_VALUE"""),9)</f>
        <v>9</v>
      </c>
      <c r="K1876" s="1" t="str">
        <f ca="1">IFERROR(__xludf.DUMMYFUNCTION("""COMPUTED_VALUE"""),"Fully Remote with Options to travel as and when needed")</f>
        <v>Fully Remote with Options to travel as and when needed</v>
      </c>
      <c r="L1876" s="1" t="str">
        <f ca="1">IFERROR(__xludf.DUMMYFUNCTION("""COMPUTED_VALUE"""),"Employer who rewards learning and enables that environment")</f>
        <v>Employer who rewards learning and enables that environment</v>
      </c>
      <c r="M187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876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1876" s="1" t="str">
        <f ca="1">IFERROR(__xludf.DUMMYFUNCTION("""COMPUTED_VALUE"""),"Manager who sets goal and helps me achieve it")</f>
        <v>Manager who sets goal and helps me achieve it</v>
      </c>
      <c r="P1876" s="1" t="str">
        <f ca="1">IFERROR(__xludf.DUMMYFUNCTION("""COMPUTED_VALUE"""),"Work with 2 to 3 people in my team, Work with 5 to 6 people in my team")</f>
        <v>Work with 2 to 3 people in my team, Work with 5 to 6 people in my team</v>
      </c>
      <c r="Q1876" s="1" t="str">
        <f ca="1">IFERROR(__xludf.DUMMYFUNCTION("""COMPUTED_VALUE"""),"I have NO other choice")</f>
        <v>I have NO other choice</v>
      </c>
      <c r="R1876" s="1" t="str">
        <f ca="1">IFERROR(__xludf.DUMMYFUNCTION("""COMPUTED_VALUE"""),"This will be hard to do, but if it is the right company I would try")</f>
        <v>This will be hard to do, but if it is the right company I would try</v>
      </c>
      <c r="S1876" s="1" t="str">
        <f ca="1">IFERROR(__xludf.DUMMYFUNCTION("""COMPUTED_VALUE"""),"kotharianu1999@gmail.com")</f>
        <v>kotharianu1999@gmail.com</v>
      </c>
    </row>
    <row r="1877" spans="1:19" ht="12.5" x14ac:dyDescent="0.25">
      <c r="A1877" s="2">
        <f ca="1">IFERROR(__xludf.DUMMYFUNCTION("""COMPUTED_VALUE"""),45062.9047643055)</f>
        <v>45062.904764305502</v>
      </c>
      <c r="B1877" s="1" t="str">
        <f ca="1">IFERROR(__xludf.DUMMYFUNCTION("""COMPUTED_VALUE"""),"India")</f>
        <v>India</v>
      </c>
      <c r="C1877" s="1">
        <f ca="1">IFERROR(__xludf.DUMMYFUNCTION("""COMPUTED_VALUE"""),110008)</f>
        <v>110008</v>
      </c>
      <c r="D1877" s="1" t="str">
        <f ca="1">IFERROR(__xludf.DUMMYFUNCTION("""COMPUTED_VALUE"""),"Male")</f>
        <v>Male</v>
      </c>
      <c r="E1877" s="1" t="str">
        <f ca="1">IFERROR(__xludf.DUMMYFUNCTION("""COMPUTED_VALUE"""),"My Parents")</f>
        <v>My Parents</v>
      </c>
      <c r="F1877" s="1" t="str">
        <f ca="1">IFERROR(__xludf.DUMMYFUNCTION("""COMPUTED_VALUE"""),"Yes, I will earn and do that")</f>
        <v>Yes, I will earn and do that</v>
      </c>
      <c r="G1877" s="1" t="str">
        <f ca="1">IFERROR(__xludf.DUMMYFUNCTION("""COMPUTED_VALUE"""),"Will work for 3 years or more")</f>
        <v>Will work for 3 years or more</v>
      </c>
      <c r="H1877" s="1" t="str">
        <f ca="1">IFERROR(__xludf.DUMMYFUNCTION("""COMPUTED_VALUE"""),"No")</f>
        <v>No</v>
      </c>
      <c r="I1877" s="1" t="str">
        <f ca="1">IFERROR(__xludf.DUMMYFUNCTION("""COMPUTED_VALUE"""),"Will NOT work for them")</f>
        <v>Will NOT work for them</v>
      </c>
      <c r="J1877" s="1">
        <f ca="1">IFERROR(__xludf.DUMMYFUNCTION("""COMPUTED_VALUE"""),6)</f>
        <v>6</v>
      </c>
      <c r="K1877" s="1" t="str">
        <f ca="1">IFERROR(__xludf.DUMMYFUNCTION("""COMPUTED_VALUE"""),"Hybrid Working Environment with less than 3 days a month at office")</f>
        <v>Hybrid Working Environment with less than 3 days a month at office</v>
      </c>
      <c r="L1877" s="1" t="str">
        <f ca="1">IFERROR(__xludf.DUMMYFUNCTION("""COMPUTED_VALUE"""),"Employer who rewards learning and enables that environment")</f>
        <v>Employer who rewards learning and enables that environment</v>
      </c>
      <c r="M187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877" s="1" t="str">
        <f ca="1">IFERROR(__xludf.DUMMYFUNCTION("""COMPUTED_VALUE"""),"Design and Creative strategy in any company, Teaching in any of the institutes/colleges/online or offline, Build and develop a Team, Manufacturing / Oil and Gas/ Construction / Hard Physical Work related")</f>
        <v>Design and Creative strategy in any company, Teaching in any of the institutes/colleges/online or offline, Build and develop a Team, Manufacturing / Oil and Gas/ Construction / Hard Physical Work related</v>
      </c>
      <c r="O1877" s="1" t="str">
        <f ca="1">IFERROR(__xludf.DUMMYFUNCTION("""COMPUTED_VALUE"""),"Manager who sets goal and helps me achieve it")</f>
        <v>Manager who sets goal and helps me achieve it</v>
      </c>
      <c r="P1877" s="1" t="str">
        <f ca="1">IFERROR(__xludf.DUMMYFUNCTION("""COMPUTED_VALUE"""),"Work with 5 to 6 people in my team")</f>
        <v>Work with 5 to 6 people in my team</v>
      </c>
      <c r="Q1877" s="1" t="str">
        <f ca="1">IFERROR(__xludf.DUMMYFUNCTION("""COMPUTED_VALUE"""),"No")</f>
        <v>No</v>
      </c>
      <c r="R1877" s="1" t="str">
        <f ca="1">IFERROR(__xludf.DUMMYFUNCTION("""COMPUTED_VALUE"""),"This will be hard to do, but if it is the right company I would try")</f>
        <v>This will be hard to do, but if it is the right company I would try</v>
      </c>
      <c r="S1877" s="1" t="str">
        <f ca="1">IFERROR(__xludf.DUMMYFUNCTION("""COMPUTED_VALUE"""),"sanchit.soni3@gmail.com")</f>
        <v>sanchit.soni3@gmail.com</v>
      </c>
    </row>
    <row r="1878" spans="1:19" ht="12.5" x14ac:dyDescent="0.25">
      <c r="A1878" s="2">
        <f ca="1">IFERROR(__xludf.DUMMYFUNCTION("""COMPUTED_VALUE"""),45062.9061659953)</f>
        <v>45062.9061659953</v>
      </c>
      <c r="B1878" s="1" t="str">
        <f ca="1">IFERROR(__xludf.DUMMYFUNCTION("""COMPUTED_VALUE"""),"India")</f>
        <v>India</v>
      </c>
      <c r="C1878" s="1">
        <f ca="1">IFERROR(__xludf.DUMMYFUNCTION("""COMPUTED_VALUE"""),422003)</f>
        <v>422003</v>
      </c>
      <c r="D1878" s="1" t="str">
        <f ca="1">IFERROR(__xludf.DUMMYFUNCTION("""COMPUTED_VALUE"""),"Male")</f>
        <v>Male</v>
      </c>
      <c r="E1878" s="1" t="str">
        <f ca="1">IFERROR(__xludf.DUMMYFUNCTION("""COMPUTED_VALUE"""),"My Parents")</f>
        <v>My Parents</v>
      </c>
      <c r="F1878" s="1" t="str">
        <f ca="1">IFERROR(__xludf.DUMMYFUNCTION("""COMPUTED_VALUE"""),"Yes, I will earn and do that")</f>
        <v>Yes, I will earn and do that</v>
      </c>
      <c r="G1878" s="1" t="str">
        <f ca="1">IFERROR(__xludf.DUMMYFUNCTION("""COMPUTED_VALUE"""),"Will work for 3 years or more")</f>
        <v>Will work for 3 years or more</v>
      </c>
      <c r="H1878" s="1" t="str">
        <f ca="1">IFERROR(__xludf.DUMMYFUNCTION("""COMPUTED_VALUE"""),"Yes")</f>
        <v>Yes</v>
      </c>
      <c r="I1878" s="1" t="str">
        <f ca="1">IFERROR(__xludf.DUMMYFUNCTION("""COMPUTED_VALUE"""),"Will work for them")</f>
        <v>Will work for them</v>
      </c>
      <c r="J1878" s="1">
        <f ca="1">IFERROR(__xludf.DUMMYFUNCTION("""COMPUTED_VALUE"""),7)</f>
        <v>7</v>
      </c>
      <c r="K1878" s="1" t="str">
        <f ca="1">IFERROR(__xludf.DUMMYFUNCTION("""COMPUTED_VALUE"""),"Fully Remote with Options to travel as and when needed")</f>
        <v>Fully Remote with Options to travel as and when needed</v>
      </c>
      <c r="L1878" s="1" t="str">
        <f ca="1">IFERROR(__xludf.DUMMYFUNCTION("""COMPUTED_VALUE"""),"Employer who rewards learning and enables that environment")</f>
        <v>Employer who rewards learning and enables that environment</v>
      </c>
      <c r="M187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78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1878" s="1" t="str">
        <f ca="1">IFERROR(__xludf.DUMMYFUNCTION("""COMPUTED_VALUE"""),"Manager who clearly describes what she/he needs")</f>
        <v>Manager who clearly describes what she/he needs</v>
      </c>
      <c r="P1878" s="1" t="str">
        <f ca="1">IFERROR(__xludf.DUMMYFUNCTION("""COMPUTED_VALUE"""),"Work with 5 to 6 people in my team")</f>
        <v>Work with 5 to 6 people in my team</v>
      </c>
      <c r="Q1878" s="1" t="str">
        <f ca="1">IFERROR(__xludf.DUMMYFUNCTION("""COMPUTED_VALUE"""),"Yes, I Understand this is gonna happen everywhere")</f>
        <v>Yes, I Understand this is gonna happen everywhere</v>
      </c>
      <c r="R1878" s="1" t="str">
        <f ca="1">IFERROR(__xludf.DUMMYFUNCTION("""COMPUTED_VALUE"""),"Will work for 7 years or more")</f>
        <v>Will work for 7 years or more</v>
      </c>
      <c r="S1878" s="1" t="str">
        <f ca="1">IFERROR(__xludf.DUMMYFUNCTION("""COMPUTED_VALUE"""),"vedantpande2701@gmail.com")</f>
        <v>vedantpande2701@gmail.com</v>
      </c>
    </row>
    <row r="1879" spans="1:19" ht="12.5" x14ac:dyDescent="0.25">
      <c r="A1879" s="2">
        <f ca="1">IFERROR(__xludf.DUMMYFUNCTION("""COMPUTED_VALUE"""),45062.9065799074)</f>
        <v>45062.906579907401</v>
      </c>
      <c r="B1879" s="1" t="str">
        <f ca="1">IFERROR(__xludf.DUMMYFUNCTION("""COMPUTED_VALUE"""),"India")</f>
        <v>India</v>
      </c>
      <c r="C1879" s="1">
        <f ca="1">IFERROR(__xludf.DUMMYFUNCTION("""COMPUTED_VALUE"""),400022)</f>
        <v>400022</v>
      </c>
      <c r="D1879" s="1" t="str">
        <f ca="1">IFERROR(__xludf.DUMMYFUNCTION("""COMPUTED_VALUE"""),"Male")</f>
        <v>Male</v>
      </c>
      <c r="E1879" s="1" t="str">
        <f ca="1">IFERROR(__xludf.DUMMYFUNCTION("""COMPUTED_VALUE"""),"People who have changed the world for better")</f>
        <v>People who have changed the world for better</v>
      </c>
      <c r="F1879" s="1" t="str">
        <f ca="1">IFERROR(__xludf.DUMMYFUNCTION("""COMPUTED_VALUE"""),"No I would not be pursuing Higher Education outside of India")</f>
        <v>No I would not be pursuing Higher Education outside of India</v>
      </c>
      <c r="G1879" s="1" t="str">
        <f ca="1">IFERROR(__xludf.DUMMYFUNCTION("""COMPUTED_VALUE"""),"This will be hard to do, but if it is the right company I would try")</f>
        <v>This will be hard to do, but if it is the right company I would try</v>
      </c>
      <c r="H1879" s="1" t="str">
        <f ca="1">IFERROR(__xludf.DUMMYFUNCTION("""COMPUTED_VALUE"""),"No")</f>
        <v>No</v>
      </c>
      <c r="I1879" s="1" t="str">
        <f ca="1">IFERROR(__xludf.DUMMYFUNCTION("""COMPUTED_VALUE"""),"Will NOT work for them")</f>
        <v>Will NOT work for them</v>
      </c>
      <c r="J1879" s="1">
        <f ca="1">IFERROR(__xludf.DUMMYFUNCTION("""COMPUTED_VALUE"""),10)</f>
        <v>10</v>
      </c>
      <c r="K1879" s="1" t="str">
        <f ca="1">IFERROR(__xludf.DUMMYFUNCTION("""COMPUTED_VALUE"""),"Fully Remote with Options to travel as and when needed")</f>
        <v>Fully Remote with Options to travel as and when needed</v>
      </c>
      <c r="L1879" s="1" t="str">
        <f ca="1">IFERROR(__xludf.DUMMYFUNCTION("""COMPUTED_VALUE"""),"Employer who rewards learning and enables that environment")</f>
        <v>Employer who rewards learning and enables that environment</v>
      </c>
      <c r="M187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79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879" s="1" t="str">
        <f ca="1">IFERROR(__xludf.DUMMYFUNCTION("""COMPUTED_VALUE"""),"Manager who explains what is expected, sets a goal and helps achieve it")</f>
        <v>Manager who explains what is expected, sets a goal and helps achieve it</v>
      </c>
      <c r="P1879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879" s="1" t="str">
        <f ca="1">IFERROR(__xludf.DUMMYFUNCTION("""COMPUTED_VALUE"""),"I have NO other choice")</f>
        <v>I have NO other choice</v>
      </c>
      <c r="R1879" s="1" t="str">
        <f ca="1">IFERROR(__xludf.DUMMYFUNCTION("""COMPUTED_VALUE"""),"No way")</f>
        <v>No way</v>
      </c>
      <c r="S1879" s="1" t="str">
        <f ca="1">IFERROR(__xludf.DUMMYFUNCTION("""COMPUTED_VALUE"""),"vinayakvemula786@gmail.com")</f>
        <v>vinayakvemula786@gmail.com</v>
      </c>
    </row>
    <row r="1880" spans="1:19" ht="12.5" x14ac:dyDescent="0.25">
      <c r="A1880" s="2">
        <f ca="1">IFERROR(__xludf.DUMMYFUNCTION("""COMPUTED_VALUE"""),45062.9071679976)</f>
        <v>45062.907167997597</v>
      </c>
      <c r="B1880" s="1" t="str">
        <f ca="1">IFERROR(__xludf.DUMMYFUNCTION("""COMPUTED_VALUE"""),"India")</f>
        <v>India</v>
      </c>
      <c r="C1880" s="1">
        <f ca="1">IFERROR(__xludf.DUMMYFUNCTION("""COMPUTED_VALUE"""),440023)</f>
        <v>440023</v>
      </c>
      <c r="D1880" s="1" t="str">
        <f ca="1">IFERROR(__xludf.DUMMYFUNCTION("""COMPUTED_VALUE"""),"Female")</f>
        <v>Female</v>
      </c>
      <c r="E1880" s="1" t="str">
        <f ca="1">IFERROR(__xludf.DUMMYFUNCTION("""COMPUTED_VALUE"""),"My Parents")</f>
        <v>My Parents</v>
      </c>
      <c r="F1880" s="1" t="str">
        <f ca="1">IFERROR(__xludf.DUMMYFUNCTION("""COMPUTED_VALUE"""),"Yes, I will earn and do that")</f>
        <v>Yes, I will earn and do that</v>
      </c>
      <c r="G1880" s="1" t="str">
        <f ca="1">IFERROR(__xludf.DUMMYFUNCTION("""COMPUTED_VALUE"""),"This will be hard to do, but if it is the right company I would try")</f>
        <v>This will be hard to do, but if it is the right company I would try</v>
      </c>
      <c r="H1880" s="1" t="str">
        <f ca="1">IFERROR(__xludf.DUMMYFUNCTION("""COMPUTED_VALUE"""),"No")</f>
        <v>No</v>
      </c>
      <c r="I1880" s="1" t="str">
        <f ca="1">IFERROR(__xludf.DUMMYFUNCTION("""COMPUTED_VALUE"""),"Will NOT work for them")</f>
        <v>Will NOT work for them</v>
      </c>
      <c r="J1880" s="1">
        <f ca="1">IFERROR(__xludf.DUMMYFUNCTION("""COMPUTED_VALUE"""),3)</f>
        <v>3</v>
      </c>
      <c r="K1880" s="1" t="str">
        <f ca="1">IFERROR(__xludf.DUMMYFUNCTION("""COMPUTED_VALUE"""),"Every Day Office Environment")</f>
        <v>Every Day Office Environment</v>
      </c>
      <c r="L18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8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80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188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8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880" s="1" t="str">
        <f ca="1">IFERROR(__xludf.DUMMYFUNCTION("""COMPUTED_VALUE"""),"Yes")</f>
        <v>Yes</v>
      </c>
      <c r="R1880" s="1" t="str">
        <f ca="1">IFERROR(__xludf.DUMMYFUNCTION("""COMPUTED_VALUE"""),"This will be hard to do, but if it is the right company I would try")</f>
        <v>This will be hard to do, but if it is the right company I would try</v>
      </c>
      <c r="S1880" s="1" t="str">
        <f ca="1">IFERROR(__xludf.DUMMYFUNCTION("""COMPUTED_VALUE"""),"rashmiraut03@gmail.com")</f>
        <v>rashmiraut03@gmail.com</v>
      </c>
    </row>
    <row r="1881" spans="1:19" ht="12.5" x14ac:dyDescent="0.25">
      <c r="A1881" s="2">
        <f ca="1">IFERROR(__xludf.DUMMYFUNCTION("""COMPUTED_VALUE"""),45062.9081512615)</f>
        <v>45062.908151261501</v>
      </c>
      <c r="B1881" s="1" t="str">
        <f ca="1">IFERROR(__xludf.DUMMYFUNCTION("""COMPUTED_VALUE"""),"India")</f>
        <v>India</v>
      </c>
      <c r="C1881" s="1">
        <f ca="1">IFERROR(__xludf.DUMMYFUNCTION("""COMPUTED_VALUE"""),416606)</f>
        <v>416606</v>
      </c>
      <c r="D1881" s="1" t="str">
        <f ca="1">IFERROR(__xludf.DUMMYFUNCTION("""COMPUTED_VALUE"""),"Female")</f>
        <v>Female</v>
      </c>
      <c r="E1881" s="1" t="str">
        <f ca="1">IFERROR(__xludf.DUMMYFUNCTION("""COMPUTED_VALUE"""),"People who have changed the world for better")</f>
        <v>People who have changed the world for better</v>
      </c>
      <c r="F1881" s="1" t="str">
        <f ca="1">IFERROR(__xludf.DUMMYFUNCTION("""COMPUTED_VALUE"""),"Yes, I will earn and do that")</f>
        <v>Yes, I will earn and do that</v>
      </c>
      <c r="G1881" s="1" t="str">
        <f ca="1">IFERROR(__xludf.DUMMYFUNCTION("""COMPUTED_VALUE"""),"This will be hard to do, but if it is the right company I would try")</f>
        <v>This will be hard to do, but if it is the right company I would try</v>
      </c>
      <c r="H1881" s="1" t="str">
        <f ca="1">IFERROR(__xludf.DUMMYFUNCTION("""COMPUTED_VALUE"""),"No")</f>
        <v>No</v>
      </c>
      <c r="I1881" s="1" t="str">
        <f ca="1">IFERROR(__xludf.DUMMYFUNCTION("""COMPUTED_VALUE"""),"Will NOT work for them")</f>
        <v>Will NOT work for them</v>
      </c>
      <c r="J1881" s="1">
        <f ca="1">IFERROR(__xludf.DUMMYFUNCTION("""COMPUTED_VALUE"""),5)</f>
        <v>5</v>
      </c>
      <c r="K1881" s="1" t="str">
        <f ca="1">IFERROR(__xludf.DUMMYFUNCTION("""COMPUTED_VALUE"""),"Hybrid Working Environment with more than 15 days a month at office")</f>
        <v>Hybrid Working Environment with more than 15 days a month at office</v>
      </c>
      <c r="L1881" s="1" t="str">
        <f ca="1">IFERROR(__xludf.DUMMYFUNCTION("""COMPUTED_VALUE"""),"Employer who appreciates learning and enables that environment")</f>
        <v>Employer who appreciates learning and enables that environment</v>
      </c>
      <c r="M1881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1881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1881" s="1" t="str">
        <f ca="1">IFERROR(__xludf.DUMMYFUNCTION("""COMPUTED_VALUE"""),"Manager who explains what is expected, sets a goal and helps achieve it")</f>
        <v>Manager who explains what is expected, sets a goal and helps achieve it</v>
      </c>
      <c r="P1881" s="1" t="str">
        <f ca="1">IFERROR(__xludf.DUMMYFUNCTION("""COMPUTED_VALUE"""),"Work with more than 10 people in my team")</f>
        <v>Work with more than 10 people in my team</v>
      </c>
      <c r="Q1881" s="1" t="str">
        <f ca="1">IFERROR(__xludf.DUMMYFUNCTION("""COMPUTED_VALUE"""),"No")</f>
        <v>No</v>
      </c>
      <c r="R1881" s="1" t="str">
        <f ca="1">IFERROR(__xludf.DUMMYFUNCTION("""COMPUTED_VALUE"""),"This will be hard to do, but if it is the right company I would try")</f>
        <v>This will be hard to do, but if it is the right company I would try</v>
      </c>
      <c r="S1881" s="1" t="str">
        <f ca="1">IFERROR(__xludf.DUMMYFUNCTION("""COMPUTED_VALUE"""),"laxmighadshi02@gmail.com")</f>
        <v>laxmighadshi02@gmail.com</v>
      </c>
    </row>
    <row r="1882" spans="1:19" ht="12.5" x14ac:dyDescent="0.25">
      <c r="A1882" s="2">
        <f ca="1">IFERROR(__xludf.DUMMYFUNCTION("""COMPUTED_VALUE"""),45062.9082396875)</f>
        <v>45062.908239687502</v>
      </c>
      <c r="B1882" s="1" t="str">
        <f ca="1">IFERROR(__xludf.DUMMYFUNCTION("""COMPUTED_VALUE"""),"India")</f>
        <v>India</v>
      </c>
      <c r="C1882" s="1">
        <f ca="1">IFERROR(__xludf.DUMMYFUNCTION("""COMPUTED_VALUE"""),621704)</f>
        <v>621704</v>
      </c>
      <c r="D1882" s="1" t="str">
        <f ca="1">IFERROR(__xludf.DUMMYFUNCTION("""COMPUTED_VALUE"""),"Male")</f>
        <v>Male</v>
      </c>
      <c r="E1882" s="1" t="str">
        <f ca="1">IFERROR(__xludf.DUMMYFUNCTION("""COMPUTED_VALUE"""),"People from my circle, but not family members")</f>
        <v>People from my circle, but not family members</v>
      </c>
      <c r="F1882" s="1" t="str">
        <f ca="1">IFERROR(__xludf.DUMMYFUNCTION("""COMPUTED_VALUE"""),"No I would not be pursuing Higher Education outside of India")</f>
        <v>No I would not be pursuing Higher Education outside of India</v>
      </c>
      <c r="G1882" s="1" t="str">
        <f ca="1">IFERROR(__xludf.DUMMYFUNCTION("""COMPUTED_VALUE"""),"Will work for 3 years or more")</f>
        <v>Will work for 3 years or more</v>
      </c>
      <c r="H1882" s="1" t="str">
        <f ca="1">IFERROR(__xludf.DUMMYFUNCTION("""COMPUTED_VALUE"""),"No")</f>
        <v>No</v>
      </c>
      <c r="I1882" s="1" t="str">
        <f ca="1">IFERROR(__xludf.DUMMYFUNCTION("""COMPUTED_VALUE"""),"Will NOT work for them")</f>
        <v>Will NOT work for them</v>
      </c>
      <c r="J1882" s="1">
        <f ca="1">IFERROR(__xludf.DUMMYFUNCTION("""COMPUTED_VALUE"""),3)</f>
        <v>3</v>
      </c>
      <c r="K1882" s="1" t="str">
        <f ca="1">IFERROR(__xludf.DUMMYFUNCTION("""COMPUTED_VALUE"""),"Fully Remote with Options to travel as and when needed")</f>
        <v>Fully Remote with Options to travel as and when needed</v>
      </c>
      <c r="L18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82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882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1882" s="1" t="str">
        <f ca="1">IFERROR(__xludf.DUMMYFUNCTION("""COMPUTED_VALUE"""),"Manager who clearly describes what she/he needs")</f>
        <v>Manager who clearly describes what she/he needs</v>
      </c>
      <c r="P1882" s="1" t="str">
        <f ca="1">IFERROR(__xludf.DUMMYFUNCTION("""COMPUTED_VALUE"""),"Work with more than 10 people in my team")</f>
        <v>Work with more than 10 people in my team</v>
      </c>
      <c r="Q1882" s="1" t="str">
        <f ca="1">IFERROR(__xludf.DUMMYFUNCTION("""COMPUTED_VALUE"""),"Yes, I Understand this is gonna happen everywhere")</f>
        <v>Yes, I Understand this is gonna happen everywhere</v>
      </c>
      <c r="R1882" s="1" t="str">
        <f ca="1">IFERROR(__xludf.DUMMYFUNCTION("""COMPUTED_VALUE"""),"No way")</f>
        <v>No way</v>
      </c>
      <c r="S1882" s="1" t="str">
        <f ca="1">IFERROR(__xludf.DUMMYFUNCTION("""COMPUTED_VALUE"""),"kamalapky2020@gmail.com")</f>
        <v>kamalapky2020@gmail.com</v>
      </c>
    </row>
    <row r="1883" spans="1:19" ht="12.5" x14ac:dyDescent="0.25">
      <c r="A1883" s="2">
        <f ca="1">IFERROR(__xludf.DUMMYFUNCTION("""COMPUTED_VALUE"""),45062.9085001967)</f>
        <v>45062.908500196703</v>
      </c>
      <c r="B1883" s="1" t="str">
        <f ca="1">IFERROR(__xludf.DUMMYFUNCTION("""COMPUTED_VALUE"""),"India")</f>
        <v>India</v>
      </c>
      <c r="C1883" s="1">
        <f ca="1">IFERROR(__xludf.DUMMYFUNCTION("""COMPUTED_VALUE"""),500015)</f>
        <v>500015</v>
      </c>
      <c r="D1883" s="1" t="str">
        <f ca="1">IFERROR(__xludf.DUMMYFUNCTION("""COMPUTED_VALUE"""),"Female")</f>
        <v>Female</v>
      </c>
      <c r="E1883" s="1" t="str">
        <f ca="1">IFERROR(__xludf.DUMMYFUNCTION("""COMPUTED_VALUE"""),"My Parents")</f>
        <v>My Parents</v>
      </c>
      <c r="F1883" s="1" t="str">
        <f ca="1">IFERROR(__xludf.DUMMYFUNCTION("""COMPUTED_VALUE"""),"No I would not be pursuing Higher Education outside of India")</f>
        <v>No I would not be pursuing Higher Education outside of India</v>
      </c>
      <c r="G1883" s="1" t="str">
        <f ca="1">IFERROR(__xludf.DUMMYFUNCTION("""COMPUTED_VALUE"""),"Will work for 3 years or more")</f>
        <v>Will work for 3 years or more</v>
      </c>
      <c r="H1883" s="1" t="str">
        <f ca="1">IFERROR(__xludf.DUMMYFUNCTION("""COMPUTED_VALUE"""),"Yes")</f>
        <v>Yes</v>
      </c>
      <c r="I1883" s="1" t="str">
        <f ca="1">IFERROR(__xludf.DUMMYFUNCTION("""COMPUTED_VALUE"""),"Will work for them")</f>
        <v>Will work for them</v>
      </c>
      <c r="J1883" s="1">
        <f ca="1">IFERROR(__xludf.DUMMYFUNCTION("""COMPUTED_VALUE"""),8)</f>
        <v>8</v>
      </c>
      <c r="K1883" s="1" t="str">
        <f ca="1">IFERROR(__xludf.DUMMYFUNCTION("""COMPUTED_VALUE"""),"Fully Remote with Options to travel as and when needed")</f>
        <v>Fully Remote with Options to travel as and when needed</v>
      </c>
      <c r="L18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8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883" s="1" t="str">
        <f ca="1">IFERROR(__xludf.DUMMYFUNCTION("""COMPUTED_VALUE"""),"Design and Creative strategy in any company, Teaching in any of the institutes/colleges/online or offline, Become a content Creator in some platform, Entrepreneur or Start Up")</f>
        <v>Design and Creative strategy in any company, Teaching in any of the institutes/colleges/online or offline, Become a content Creator in some platform, Entrepreneur or Start Up</v>
      </c>
      <c r="O18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883" s="1" t="str">
        <f ca="1">IFERROR(__xludf.DUMMYFUNCTION("""COMPUTED_VALUE"""),"Work with 2 to 3 people in my team")</f>
        <v>Work with 2 to 3 people in my team</v>
      </c>
      <c r="Q1883" s="1" t="str">
        <f ca="1">IFERROR(__xludf.DUMMYFUNCTION("""COMPUTED_VALUE"""),"Yes, I Understand this is gonna happen everywhere")</f>
        <v>Yes, I Understand this is gonna happen everywhere</v>
      </c>
      <c r="R1883" s="1" t="str">
        <f ca="1">IFERROR(__xludf.DUMMYFUNCTION("""COMPUTED_VALUE"""),"No way")</f>
        <v>No way</v>
      </c>
      <c r="S1883" s="1" t="str">
        <f ca="1">IFERROR(__xludf.DUMMYFUNCTION("""COMPUTED_VALUE"""),"atheeqzeba@gmail.com")</f>
        <v>atheeqzeba@gmail.com</v>
      </c>
    </row>
    <row r="1884" spans="1:19" ht="12.5" x14ac:dyDescent="0.25">
      <c r="A1884" s="2">
        <f ca="1">IFERROR(__xludf.DUMMYFUNCTION("""COMPUTED_VALUE"""),45062.908701111)</f>
        <v>45062.908701111097</v>
      </c>
      <c r="B1884" s="1" t="str">
        <f ca="1">IFERROR(__xludf.DUMMYFUNCTION("""COMPUTED_VALUE"""),"India")</f>
        <v>India</v>
      </c>
      <c r="C1884" s="1">
        <f ca="1">IFERROR(__xludf.DUMMYFUNCTION("""COMPUTED_VALUE"""),800024)</f>
        <v>800024</v>
      </c>
      <c r="D1884" s="1" t="str">
        <f ca="1">IFERROR(__xludf.DUMMYFUNCTION("""COMPUTED_VALUE"""),"Female")</f>
        <v>Female</v>
      </c>
      <c r="E1884" s="1" t="str">
        <f ca="1">IFERROR(__xludf.DUMMYFUNCTION("""COMPUTED_VALUE"""),"People who have changed the world for better")</f>
        <v>People who have changed the world for better</v>
      </c>
      <c r="F1884" s="1" t="str">
        <f ca="1">IFERROR(__xludf.DUMMYFUNCTION("""COMPUTED_VALUE"""),"No I would not be pursuing Higher Education outside of India")</f>
        <v>No I would not be pursuing Higher Education outside of India</v>
      </c>
      <c r="G1884" s="1" t="str">
        <f ca="1">IFERROR(__xludf.DUMMYFUNCTION("""COMPUTED_VALUE"""),"This will be hard to do, but if it is the right company I would try")</f>
        <v>This will be hard to do, but if it is the right company I would try</v>
      </c>
      <c r="H1884" s="1" t="str">
        <f ca="1">IFERROR(__xludf.DUMMYFUNCTION("""COMPUTED_VALUE"""),"No")</f>
        <v>No</v>
      </c>
      <c r="I1884" s="1" t="str">
        <f ca="1">IFERROR(__xludf.DUMMYFUNCTION("""COMPUTED_VALUE"""),"Will NOT work for them")</f>
        <v>Will NOT work for them</v>
      </c>
      <c r="J1884" s="1">
        <f ca="1">IFERROR(__xludf.DUMMYFUNCTION("""COMPUTED_VALUE"""),3)</f>
        <v>3</v>
      </c>
      <c r="K1884" s="1" t="str">
        <f ca="1">IFERROR(__xludf.DUMMYFUNCTION("""COMPUTED_VALUE"""),"Fully Remote with Options to travel as and when needed")</f>
        <v>Fully Remote with Options to travel as and when needed</v>
      </c>
      <c r="L1884" s="1" t="str">
        <f ca="1">IFERROR(__xludf.DUMMYFUNCTION("""COMPUTED_VALUE"""),"Employer who appreciates learning and enables that environment")</f>
        <v>Employer who appreciates learning and enables that environment</v>
      </c>
      <c r="M188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884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884" s="1" t="str">
        <f ca="1">IFERROR(__xludf.DUMMYFUNCTION("""COMPUTED_VALUE"""),"Manager who explains what is expected, sets a goal and helps achieve it")</f>
        <v>Manager who explains what is expected, sets a goal and helps achieve it</v>
      </c>
      <c r="P1884" s="1" t="str">
        <f ca="1">IFERROR(__xludf.DUMMYFUNCTION("""COMPUTED_VALUE"""),"Work alone")</f>
        <v>Work alone</v>
      </c>
      <c r="Q1884" s="1" t="str">
        <f ca="1">IFERROR(__xludf.DUMMYFUNCTION("""COMPUTED_VALUE"""),"Yes, I Understand this is gonna happen everywhere")</f>
        <v>Yes, I Understand this is gonna happen everywhere</v>
      </c>
      <c r="R1884" s="1" t="str">
        <f ca="1">IFERROR(__xludf.DUMMYFUNCTION("""COMPUTED_VALUE"""),"Will work for 7 years or more")</f>
        <v>Will work for 7 years or more</v>
      </c>
      <c r="S1884" s="1" t="str">
        <f ca="1">IFERROR(__xludf.DUMMYFUNCTION("""COMPUTED_VALUE"""),"rishikasingh1505@gmail.com")</f>
        <v>rishikasingh1505@gmail.com</v>
      </c>
    </row>
    <row r="1885" spans="1:19" ht="12.5" x14ac:dyDescent="0.25">
      <c r="A1885" s="2">
        <f ca="1">IFERROR(__xludf.DUMMYFUNCTION("""COMPUTED_VALUE"""),45062.9087497453)</f>
        <v>45062.9087497453</v>
      </c>
      <c r="B1885" s="1" t="str">
        <f ca="1">IFERROR(__xludf.DUMMYFUNCTION("""COMPUTED_VALUE"""),"India")</f>
        <v>India</v>
      </c>
      <c r="C1885" s="1">
        <f ca="1">IFERROR(__xludf.DUMMYFUNCTION("""COMPUTED_VALUE"""),533429)</f>
        <v>533429</v>
      </c>
      <c r="D1885" s="1" t="str">
        <f ca="1">IFERROR(__xludf.DUMMYFUNCTION("""COMPUTED_VALUE"""),"Male")</f>
        <v>Male</v>
      </c>
      <c r="E1885" s="1" t="str">
        <f ca="1">IFERROR(__xludf.DUMMYFUNCTION("""COMPUTED_VALUE"""),"My Parents")</f>
        <v>My Parents</v>
      </c>
      <c r="F1885" s="1" t="str">
        <f ca="1">IFERROR(__xludf.DUMMYFUNCTION("""COMPUTED_VALUE"""),"No I would not be pursuing Higher Education outside of India")</f>
        <v>No I would not be pursuing Higher Education outside of India</v>
      </c>
      <c r="G1885" s="1" t="str">
        <f ca="1">IFERROR(__xludf.DUMMYFUNCTION("""COMPUTED_VALUE"""),"This will be hard to do, but if it is the right company I would try")</f>
        <v>This will be hard to do, but if it is the right company I would try</v>
      </c>
      <c r="H1885" s="1" t="str">
        <f ca="1">IFERROR(__xludf.DUMMYFUNCTION("""COMPUTED_VALUE"""),"No")</f>
        <v>No</v>
      </c>
      <c r="I1885" s="1" t="str">
        <f ca="1">IFERROR(__xludf.DUMMYFUNCTION("""COMPUTED_VALUE"""),"Will NOT work for them")</f>
        <v>Will NOT work for them</v>
      </c>
      <c r="J1885" s="1">
        <f ca="1">IFERROR(__xludf.DUMMYFUNCTION("""COMPUTED_VALUE"""),6)</f>
        <v>6</v>
      </c>
      <c r="K1885" s="1" t="str">
        <f ca="1">IFERROR(__xludf.DUMMYFUNCTION("""COMPUTED_VALUE"""),"Hybrid Working Environment with more than 15 days a month at office")</f>
        <v>Hybrid Working Environment with more than 15 days a month at office</v>
      </c>
      <c r="L1885" s="1" t="str">
        <f ca="1">IFERROR(__xludf.DUMMYFUNCTION("""COMPUTED_VALUE"""),"Employer who appreciates learning and enables that environment")</f>
        <v>Employer who appreciates learning and enables that environment</v>
      </c>
      <c r="M188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885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1885" s="1" t="str">
        <f ca="1">IFERROR(__xludf.DUMMYFUNCTION("""COMPUTED_VALUE"""),"Manager who sets goal and helps me achieve it")</f>
        <v>Manager who sets goal and helps me achieve it</v>
      </c>
      <c r="P1885" s="1" t="str">
        <f ca="1">IFERROR(__xludf.DUMMYFUNCTION("""COMPUTED_VALUE"""),"Work with 7 to 10 or more people in my team")</f>
        <v>Work with 7 to 10 or more people in my team</v>
      </c>
      <c r="Q1885" s="1" t="str">
        <f ca="1">IFERROR(__xludf.DUMMYFUNCTION("""COMPUTED_VALUE"""),"Yes, I Understand this is gonna happen everywhere")</f>
        <v>Yes, I Understand this is gonna happen everywhere</v>
      </c>
      <c r="R1885" s="1" t="str">
        <f ca="1">IFERROR(__xludf.DUMMYFUNCTION("""COMPUTED_VALUE"""),"This will be hard to do, but if it is the right company I would try")</f>
        <v>This will be hard to do, but if it is the right company I would try</v>
      </c>
      <c r="S1885" s="1" t="str">
        <f ca="1">IFERROR(__xludf.DUMMYFUNCTION("""COMPUTED_VALUE"""),"narapureddyveerababu@gmail.com")</f>
        <v>narapureddyveerababu@gmail.com</v>
      </c>
    </row>
    <row r="1886" spans="1:19" ht="12.5" x14ac:dyDescent="0.25">
      <c r="A1886" s="2">
        <f ca="1">IFERROR(__xludf.DUMMYFUNCTION("""COMPUTED_VALUE"""),45062.9095258217)</f>
        <v>45062.909525821698</v>
      </c>
      <c r="B1886" s="1" t="str">
        <f ca="1">IFERROR(__xludf.DUMMYFUNCTION("""COMPUTED_VALUE"""),"India")</f>
        <v>India</v>
      </c>
      <c r="C1886" s="1">
        <f ca="1">IFERROR(__xludf.DUMMYFUNCTION("""COMPUTED_VALUE"""),533429)</f>
        <v>533429</v>
      </c>
      <c r="D1886" s="1" t="str">
        <f ca="1">IFERROR(__xludf.DUMMYFUNCTION("""COMPUTED_VALUE"""),"Male")</f>
        <v>Male</v>
      </c>
      <c r="E1886" s="1" t="str">
        <f ca="1">IFERROR(__xludf.DUMMYFUNCTION("""COMPUTED_VALUE"""),"People who have changed the world for better")</f>
        <v>People who have changed the world for better</v>
      </c>
      <c r="F1886" s="1" t="str">
        <f ca="1">IFERROR(__xludf.DUMMYFUNCTION("""COMPUTED_VALUE"""),"Yes, I will earn and do that")</f>
        <v>Yes, I will earn and do that</v>
      </c>
      <c r="G1886" s="1" t="str">
        <f ca="1">IFERROR(__xludf.DUMMYFUNCTION("""COMPUTED_VALUE"""),"Will work for 3 years or more")</f>
        <v>Will work for 3 years or more</v>
      </c>
      <c r="H1886" s="1" t="str">
        <f ca="1">IFERROR(__xludf.DUMMYFUNCTION("""COMPUTED_VALUE"""),"No")</f>
        <v>No</v>
      </c>
      <c r="I1886" s="1" t="str">
        <f ca="1">IFERROR(__xludf.DUMMYFUNCTION("""COMPUTED_VALUE"""),"Will NOT work for them")</f>
        <v>Will NOT work for them</v>
      </c>
      <c r="J1886" s="1">
        <f ca="1">IFERROR(__xludf.DUMMYFUNCTION("""COMPUTED_VALUE"""),5)</f>
        <v>5</v>
      </c>
      <c r="K1886" s="1" t="str">
        <f ca="1">IFERROR(__xludf.DUMMYFUNCTION("""COMPUTED_VALUE"""),"Fully Remote with Options to travel as and when needed")</f>
        <v>Fully Remote with Options to travel as and when needed</v>
      </c>
      <c r="L18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8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886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886" s="1" t="str">
        <f ca="1">IFERROR(__xludf.DUMMYFUNCTION("""COMPUTED_VALUE"""),"Manager who clearly describes what she/he needs")</f>
        <v>Manager who clearly describes what she/he needs</v>
      </c>
      <c r="P188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1886" s="1" t="str">
        <f ca="1">IFERROR(__xludf.DUMMYFUNCTION("""COMPUTED_VALUE"""),"Yes")</f>
        <v>Yes</v>
      </c>
      <c r="R1886" s="1" t="str">
        <f ca="1">IFERROR(__xludf.DUMMYFUNCTION("""COMPUTED_VALUE"""),"This will be hard to do, but if it is the right company I would try")</f>
        <v>This will be hard to do, but if it is the right company I would try</v>
      </c>
      <c r="S1886" s="1" t="str">
        <f ca="1">IFERROR(__xludf.DUMMYFUNCTION("""COMPUTED_VALUE"""),"aravindduvvuri4@gmail.com")</f>
        <v>aravindduvvuri4@gmail.com</v>
      </c>
    </row>
    <row r="1887" spans="1:19" ht="12.5" x14ac:dyDescent="0.25">
      <c r="A1887" s="2">
        <f ca="1">IFERROR(__xludf.DUMMYFUNCTION("""COMPUTED_VALUE"""),45062.9096910763)</f>
        <v>45062.909691076296</v>
      </c>
      <c r="B1887" s="1" t="str">
        <f ca="1">IFERROR(__xludf.DUMMYFUNCTION("""COMPUTED_VALUE"""),"India")</f>
        <v>India</v>
      </c>
      <c r="C1887" s="1">
        <f ca="1">IFERROR(__xludf.DUMMYFUNCTION("""COMPUTED_VALUE"""),110089)</f>
        <v>110089</v>
      </c>
      <c r="D1887" s="1" t="str">
        <f ca="1">IFERROR(__xludf.DUMMYFUNCTION("""COMPUTED_VALUE"""),"Female")</f>
        <v>Female</v>
      </c>
      <c r="E1887" s="1" t="str">
        <f ca="1">IFERROR(__xludf.DUMMYFUNCTION("""COMPUTED_VALUE"""),"Influencers who had successful careers")</f>
        <v>Influencers who had successful careers</v>
      </c>
      <c r="F1887" s="1" t="str">
        <f ca="1">IFERROR(__xludf.DUMMYFUNCTION("""COMPUTED_VALUE"""),"No I would not be pursuing Higher Education outside of India")</f>
        <v>No I would not be pursuing Higher Education outside of India</v>
      </c>
      <c r="G1887" s="1" t="str">
        <f ca="1">IFERROR(__xludf.DUMMYFUNCTION("""COMPUTED_VALUE"""),"This will be hard to do, but if it is the right company I would try")</f>
        <v>This will be hard to do, but if it is the right company I would try</v>
      </c>
      <c r="H1887" s="1" t="str">
        <f ca="1">IFERROR(__xludf.DUMMYFUNCTION("""COMPUTED_VALUE"""),"No")</f>
        <v>No</v>
      </c>
      <c r="I1887" s="1" t="str">
        <f ca="1">IFERROR(__xludf.DUMMYFUNCTION("""COMPUTED_VALUE"""),"Will NOT work for them")</f>
        <v>Will NOT work for them</v>
      </c>
      <c r="J1887" s="1">
        <f ca="1">IFERROR(__xludf.DUMMYFUNCTION("""COMPUTED_VALUE"""),1)</f>
        <v>1</v>
      </c>
      <c r="K1887" s="1" t="str">
        <f ca="1">IFERROR(__xludf.DUMMYFUNCTION("""COMPUTED_VALUE"""),"Fully Remote with Options to travel as and when needed")</f>
        <v>Fully Remote with Options to travel as and when needed</v>
      </c>
      <c r="L18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8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887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1887" s="1" t="str">
        <f ca="1">IFERROR(__xludf.DUMMYFUNCTION("""COMPUTED_VALUE"""),"Manager who explains what is expected, sets a goal and helps achieve it")</f>
        <v>Manager who explains what is expected, sets a goal and helps achieve it</v>
      </c>
      <c r="P1887" s="1" t="str">
        <f ca="1">IFERROR(__xludf.DUMMYFUNCTION("""COMPUTED_VALUE"""),"Work alone")</f>
        <v>Work alone</v>
      </c>
      <c r="Q1887" s="1" t="str">
        <f ca="1">IFERROR(__xludf.DUMMYFUNCTION("""COMPUTED_VALUE"""),"No")</f>
        <v>No</v>
      </c>
      <c r="R1887" s="1" t="str">
        <f ca="1">IFERROR(__xludf.DUMMYFUNCTION("""COMPUTED_VALUE"""),"No way")</f>
        <v>No way</v>
      </c>
      <c r="S1887" s="1" t="str">
        <f ca="1">IFERROR(__xludf.DUMMYFUNCTION("""COMPUTED_VALUE"""),"priyankababbar44@gmail.com")</f>
        <v>priyankababbar44@gmail.com</v>
      </c>
    </row>
    <row r="1888" spans="1:19" ht="12.5" x14ac:dyDescent="0.25">
      <c r="A1888" s="2">
        <f ca="1">IFERROR(__xludf.DUMMYFUNCTION("""COMPUTED_VALUE"""),45062.9099328819)</f>
        <v>45062.909932881899</v>
      </c>
      <c r="B1888" s="1" t="str">
        <f ca="1">IFERROR(__xludf.DUMMYFUNCTION("""COMPUTED_VALUE"""),"India")</f>
        <v>India</v>
      </c>
      <c r="C1888" s="1">
        <f ca="1">IFERROR(__xludf.DUMMYFUNCTION("""COMPUTED_VALUE"""),410201)</f>
        <v>410201</v>
      </c>
      <c r="D1888" s="1" t="str">
        <f ca="1">IFERROR(__xludf.DUMMYFUNCTION("""COMPUTED_VALUE"""),"Male")</f>
        <v>Male</v>
      </c>
      <c r="E1888" s="1" t="str">
        <f ca="1">IFERROR(__xludf.DUMMYFUNCTION("""COMPUTED_VALUE"""),"People who have changed the world for better")</f>
        <v>People who have changed the world for better</v>
      </c>
      <c r="F1888" s="1" t="str">
        <f ca="1">IFERROR(__xludf.DUMMYFUNCTION("""COMPUTED_VALUE"""),"No I would not be pursuing Higher Education outside of India")</f>
        <v>No I would not be pursuing Higher Education outside of India</v>
      </c>
      <c r="G1888" s="1" t="str">
        <f ca="1">IFERROR(__xludf.DUMMYFUNCTION("""COMPUTED_VALUE"""),"This will be hard to do, but if it is the right company I would try")</f>
        <v>This will be hard to do, but if it is the right company I would try</v>
      </c>
      <c r="H1888" s="1" t="str">
        <f ca="1">IFERROR(__xludf.DUMMYFUNCTION("""COMPUTED_VALUE"""),"No")</f>
        <v>No</v>
      </c>
      <c r="I1888" s="1" t="str">
        <f ca="1">IFERROR(__xludf.DUMMYFUNCTION("""COMPUTED_VALUE"""),"Will NOT work for them")</f>
        <v>Will NOT work for them</v>
      </c>
      <c r="J1888" s="1">
        <f ca="1">IFERROR(__xludf.DUMMYFUNCTION("""COMPUTED_VALUE"""),5)</f>
        <v>5</v>
      </c>
      <c r="K1888" s="1" t="str">
        <f ca="1">IFERROR(__xludf.DUMMYFUNCTION("""COMPUTED_VALUE"""),"Hybrid Working Environment with more than 15 days a month at office")</f>
        <v>Hybrid Working Environment with more than 15 days a month at office</v>
      </c>
      <c r="L1888" s="1" t="str">
        <f ca="1">IFERROR(__xludf.DUMMYFUNCTION("""COMPUTED_VALUE"""),"Employer who rewards learning and enables that environment")</f>
        <v>Employer who rewards learning and enables that environment</v>
      </c>
      <c r="M188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88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1888" s="1" t="str">
        <f ca="1">IFERROR(__xludf.DUMMYFUNCTION("""COMPUTED_VALUE"""),"Manager who explains what is expected, sets a goal and helps achieve it")</f>
        <v>Manager who explains what is expected, sets a goal and helps achieve it</v>
      </c>
      <c r="P1888" s="1" t="str">
        <f ca="1">IFERROR(__xludf.DUMMYFUNCTION("""COMPUTED_VALUE"""),"Work with 5 to 6 people in my team")</f>
        <v>Work with 5 to 6 people in my team</v>
      </c>
      <c r="Q1888" s="1" t="str">
        <f ca="1">IFERROR(__xludf.DUMMYFUNCTION("""COMPUTED_VALUE"""),"Yes, I Understand this is gonna happen everywhere")</f>
        <v>Yes, I Understand this is gonna happen everywhere</v>
      </c>
      <c r="R1888" s="1" t="str">
        <f ca="1">IFERROR(__xludf.DUMMYFUNCTION("""COMPUTED_VALUE"""),"This will be hard to do, but if it is the right company I would try")</f>
        <v>This will be hard to do, but if it is the right company I would try</v>
      </c>
      <c r="S1888" s="1" t="str">
        <f ca="1">IFERROR(__xludf.DUMMYFUNCTION("""COMPUTED_VALUE"""),"prathameshchavan44@gmail.com")</f>
        <v>prathameshchavan44@gmail.com</v>
      </c>
    </row>
    <row r="1889" spans="1:19" ht="12.5" x14ac:dyDescent="0.25">
      <c r="A1889" s="2">
        <f ca="1">IFERROR(__xludf.DUMMYFUNCTION("""COMPUTED_VALUE"""),45062.9101791898)</f>
        <v>45062.910179189799</v>
      </c>
      <c r="B1889" s="1" t="str">
        <f ca="1">IFERROR(__xludf.DUMMYFUNCTION("""COMPUTED_VALUE"""),"India")</f>
        <v>India</v>
      </c>
      <c r="C1889" s="1">
        <f ca="1">IFERROR(__xludf.DUMMYFUNCTION("""COMPUTED_VALUE"""),263126)</f>
        <v>263126</v>
      </c>
      <c r="D1889" s="1" t="str">
        <f ca="1">IFERROR(__xludf.DUMMYFUNCTION("""COMPUTED_VALUE"""),"Female")</f>
        <v>Female</v>
      </c>
      <c r="E1889" s="1" t="str">
        <f ca="1">IFERROR(__xludf.DUMMYFUNCTION("""COMPUTED_VALUE"""),"People who have changed the world for better")</f>
        <v>People who have changed the world for better</v>
      </c>
      <c r="F1889" s="1" t="str">
        <f ca="1">IFERROR(__xludf.DUMMYFUNCTION("""COMPUTED_VALUE"""),"Yes, I will earn and do that")</f>
        <v>Yes, I will earn and do that</v>
      </c>
      <c r="G1889" s="1" t="str">
        <f ca="1">IFERROR(__xludf.DUMMYFUNCTION("""COMPUTED_VALUE"""),"This will be hard to do, but if it is the right company I would try")</f>
        <v>This will be hard to do, but if it is the right company I would try</v>
      </c>
      <c r="H1889" s="1" t="str">
        <f ca="1">IFERROR(__xludf.DUMMYFUNCTION("""COMPUTED_VALUE"""),"Yes")</f>
        <v>Yes</v>
      </c>
      <c r="I1889" s="1" t="str">
        <f ca="1">IFERROR(__xludf.DUMMYFUNCTION("""COMPUTED_VALUE"""),"Will NOT work for them")</f>
        <v>Will NOT work for them</v>
      </c>
      <c r="J1889" s="1">
        <f ca="1">IFERROR(__xludf.DUMMYFUNCTION("""COMPUTED_VALUE"""),1)</f>
        <v>1</v>
      </c>
      <c r="K1889" s="1" t="str">
        <f ca="1">IFERROR(__xludf.DUMMYFUNCTION("""COMPUTED_VALUE"""),"Every Day Office Environment")</f>
        <v>Every Day Office Environment</v>
      </c>
      <c r="L18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8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889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889" s="1" t="str">
        <f ca="1">IFERROR(__xludf.DUMMYFUNCTION("""COMPUTED_VALUE"""),"Manager who explains what is expected, sets a goal and helps achieve it")</f>
        <v>Manager who explains what is expected, sets a goal and helps achieve it</v>
      </c>
      <c r="P1889" s="1" t="str">
        <f ca="1">IFERROR(__xludf.DUMMYFUNCTION("""COMPUTED_VALUE"""),"Work with 5 to 6 people in my team")</f>
        <v>Work with 5 to 6 people in my team</v>
      </c>
      <c r="Q1889" s="1" t="str">
        <f ca="1">IFERROR(__xludf.DUMMYFUNCTION("""COMPUTED_VALUE"""),"No")</f>
        <v>No</v>
      </c>
      <c r="R1889" s="1" t="str">
        <f ca="1">IFERROR(__xludf.DUMMYFUNCTION("""COMPUTED_VALUE"""),"This will be hard to do, but if it is the right company I would try")</f>
        <v>This will be hard to do, but if it is the right company I would try</v>
      </c>
      <c r="S1889" s="1" t="str">
        <f ca="1">IFERROR(__xludf.DUMMYFUNCTION("""COMPUTED_VALUE"""),"sonalimehra366@gmail.com")</f>
        <v>sonalimehra366@gmail.com</v>
      </c>
    </row>
    <row r="1890" spans="1:19" ht="12.5" x14ac:dyDescent="0.25">
      <c r="A1890" s="2">
        <f ca="1">IFERROR(__xludf.DUMMYFUNCTION("""COMPUTED_VALUE"""),45062.9102144328)</f>
        <v>45062.910214432799</v>
      </c>
      <c r="B1890" s="1" t="str">
        <f ca="1">IFERROR(__xludf.DUMMYFUNCTION("""COMPUTED_VALUE"""),"India")</f>
        <v>India</v>
      </c>
      <c r="C1890" s="1">
        <f ca="1">IFERROR(__xludf.DUMMYFUNCTION("""COMPUTED_VALUE"""),424201)</f>
        <v>424201</v>
      </c>
      <c r="D1890" s="1" t="str">
        <f ca="1">IFERROR(__xludf.DUMMYFUNCTION("""COMPUTED_VALUE"""),"Female")</f>
        <v>Female</v>
      </c>
      <c r="E1890" s="1" t="str">
        <f ca="1">IFERROR(__xludf.DUMMYFUNCTION("""COMPUTED_VALUE"""),"My Parents")</f>
        <v>My Parents</v>
      </c>
      <c r="F1890" s="1" t="str">
        <f ca="1">IFERROR(__xludf.DUMMYFUNCTION("""COMPUTED_VALUE"""),"Yes, I will earn and do that")</f>
        <v>Yes, I will earn and do that</v>
      </c>
      <c r="G1890" s="1" t="str">
        <f ca="1">IFERROR(__xludf.DUMMYFUNCTION("""COMPUTED_VALUE"""),"Will work for 3 years or more")</f>
        <v>Will work for 3 years or more</v>
      </c>
      <c r="H1890" s="1" t="str">
        <f ca="1">IFERROR(__xludf.DUMMYFUNCTION("""COMPUTED_VALUE"""),"No")</f>
        <v>No</v>
      </c>
      <c r="I1890" s="1" t="str">
        <f ca="1">IFERROR(__xludf.DUMMYFUNCTION("""COMPUTED_VALUE"""),"Will NOT work for them")</f>
        <v>Will NOT work for them</v>
      </c>
      <c r="J1890" s="1">
        <f ca="1">IFERROR(__xludf.DUMMYFUNCTION("""COMPUTED_VALUE"""),2)</f>
        <v>2</v>
      </c>
      <c r="K1890" s="1" t="str">
        <f ca="1">IFERROR(__xludf.DUMMYFUNCTION("""COMPUTED_VALUE"""),"Hybrid Working Environment with more than 15 days a month at office")</f>
        <v>Hybrid Working Environment with more than 15 days a month at office</v>
      </c>
      <c r="L18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9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90" s="1" t="str">
        <f ca="1">IFERROR(__xludf.DUMMYFUNCTION("""COMPUTED_VALUE"""),"Design and Creative strategy in any company, Business Operations in any organization, Entrepreneur or Start Up, Manufacturing / Oil and Gas/ Construction / Hard Physical Work related")</f>
        <v>Design and Creative strategy in any company, Business Operations in any organization, Entrepreneur or Start Up, Manufacturing / Oil and Gas/ Construction / Hard Physical Work related</v>
      </c>
      <c r="O1890" s="1" t="str">
        <f ca="1">IFERROR(__xludf.DUMMYFUNCTION("""COMPUTED_VALUE"""),"Manager who explains what is expected, sets a goal and helps achieve it")</f>
        <v>Manager who explains what is expected, sets a goal and helps achieve it</v>
      </c>
      <c r="P1890" s="1" t="str">
        <f ca="1">IFERROR(__xludf.DUMMYFUNCTION("""COMPUTED_VALUE"""),"Work with 2 to 3 people in my team")</f>
        <v>Work with 2 to 3 people in my team</v>
      </c>
      <c r="Q1890" s="1" t="str">
        <f ca="1">IFERROR(__xludf.DUMMYFUNCTION("""COMPUTED_VALUE"""),"No")</f>
        <v>No</v>
      </c>
      <c r="R1890" s="1" t="str">
        <f ca="1">IFERROR(__xludf.DUMMYFUNCTION("""COMPUTED_VALUE"""),"This will be hard to do, but if it is the right company I would try")</f>
        <v>This will be hard to do, but if it is the right company I would try</v>
      </c>
      <c r="S1890" s="1" t="str">
        <f ca="1">IFERROR(__xludf.DUMMYFUNCTION("""COMPUTED_VALUE"""),"simransharma1025@gmail.com")</f>
        <v>simransharma1025@gmail.com</v>
      </c>
    </row>
    <row r="1891" spans="1:19" ht="12.5" x14ac:dyDescent="0.25">
      <c r="A1891" s="2">
        <f ca="1">IFERROR(__xludf.DUMMYFUNCTION("""COMPUTED_VALUE"""),45062.9105150578)</f>
        <v>45062.910515057803</v>
      </c>
      <c r="B1891" s="1" t="str">
        <f ca="1">IFERROR(__xludf.DUMMYFUNCTION("""COMPUTED_VALUE"""),"India")</f>
        <v>India</v>
      </c>
      <c r="C1891" s="1">
        <f ca="1">IFERROR(__xludf.DUMMYFUNCTION("""COMPUTED_VALUE"""),110008)</f>
        <v>110008</v>
      </c>
      <c r="D1891" s="1" t="str">
        <f ca="1">IFERROR(__xludf.DUMMYFUNCTION("""COMPUTED_VALUE"""),"Female")</f>
        <v>Female</v>
      </c>
      <c r="E1891" s="1" t="str">
        <f ca="1">IFERROR(__xludf.DUMMYFUNCTION("""COMPUTED_VALUE"""),"My Parents")</f>
        <v>My Parents</v>
      </c>
      <c r="F1891" s="1" t="str">
        <f ca="1">IFERROR(__xludf.DUMMYFUNCTION("""COMPUTED_VALUE"""),"Yes, I will earn and do that")</f>
        <v>Yes, I will earn and do that</v>
      </c>
      <c r="G1891" s="1" t="str">
        <f ca="1">IFERROR(__xludf.DUMMYFUNCTION("""COMPUTED_VALUE"""),"Will work for 3 years or more")</f>
        <v>Will work for 3 years or more</v>
      </c>
      <c r="H1891" s="1" t="str">
        <f ca="1">IFERROR(__xludf.DUMMYFUNCTION("""COMPUTED_VALUE"""),"No")</f>
        <v>No</v>
      </c>
      <c r="I1891" s="1" t="str">
        <f ca="1">IFERROR(__xludf.DUMMYFUNCTION("""COMPUTED_VALUE"""),"Will NOT work for them")</f>
        <v>Will NOT work for them</v>
      </c>
      <c r="J1891" s="1">
        <f ca="1">IFERROR(__xludf.DUMMYFUNCTION("""COMPUTED_VALUE"""),8)</f>
        <v>8</v>
      </c>
      <c r="K1891" s="1" t="str">
        <f ca="1">IFERROR(__xludf.DUMMYFUNCTION("""COMPUTED_VALUE"""),"Hybrid Working Environment with less than 3 days a month at office")</f>
        <v>Hybrid Working Environment with less than 3 days a month at office</v>
      </c>
      <c r="L1891" s="1" t="str">
        <f ca="1">IFERROR(__xludf.DUMMYFUNCTION("""COMPUTED_VALUE"""),"Employer who rewards learning and enables that environment")</f>
        <v>Employer who rewards learning and enables that environment</v>
      </c>
      <c r="M189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891" s="1" t="str">
        <f ca="1">IFERROR(__xludf.DUMMYFUNCTION("""COMPUTED_VALUE"""),"Design and Creative strategy in any company, Manage and drive End-to-End Projects or Products, Build and develop a Team, An Artificial Intelligence Specialist / Talking to Robots")</f>
        <v>Design and Creative strategy in any company, Manage and drive End-to-End Projects or Products, Build and develop a Team, An Artificial Intelligence Specialist / Talking to Robots</v>
      </c>
      <c r="O18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891" s="1" t="str">
        <f ca="1">IFERROR(__xludf.DUMMYFUNCTION("""COMPUTED_VALUE"""),"Work with 5 to 6 people in my team")</f>
        <v>Work with 5 to 6 people in my team</v>
      </c>
      <c r="Q1891" s="1" t="str">
        <f ca="1">IFERROR(__xludf.DUMMYFUNCTION("""COMPUTED_VALUE"""),"No")</f>
        <v>No</v>
      </c>
      <c r="R1891" s="1" t="str">
        <f ca="1">IFERROR(__xludf.DUMMYFUNCTION("""COMPUTED_VALUE"""),"No way")</f>
        <v>No way</v>
      </c>
      <c r="S1891" s="1" t="str">
        <f ca="1">IFERROR(__xludf.DUMMYFUNCTION("""COMPUTED_VALUE"""),"soni.ankita2004@gmail.com")</f>
        <v>soni.ankita2004@gmail.com</v>
      </c>
    </row>
    <row r="1892" spans="1:19" ht="12.5" x14ac:dyDescent="0.25">
      <c r="A1892" s="2">
        <f ca="1">IFERROR(__xludf.DUMMYFUNCTION("""COMPUTED_VALUE"""),45062.9108176041)</f>
        <v>45062.910817604097</v>
      </c>
      <c r="B1892" s="1" t="str">
        <f ca="1">IFERROR(__xludf.DUMMYFUNCTION("""COMPUTED_VALUE"""),"India")</f>
        <v>India</v>
      </c>
      <c r="C1892" s="1">
        <f ca="1">IFERROR(__xludf.DUMMYFUNCTION("""COMPUTED_VALUE"""),201301)</f>
        <v>201301</v>
      </c>
      <c r="D1892" s="1" t="str">
        <f ca="1">IFERROR(__xludf.DUMMYFUNCTION("""COMPUTED_VALUE"""),"Male")</f>
        <v>Male</v>
      </c>
      <c r="E1892" s="1" t="str">
        <f ca="1">IFERROR(__xludf.DUMMYFUNCTION("""COMPUTED_VALUE"""),"My Parents")</f>
        <v>My Parents</v>
      </c>
      <c r="F1892" s="1" t="str">
        <f ca="1">IFERROR(__xludf.DUMMYFUNCTION("""COMPUTED_VALUE"""),"Yes, I will earn and do that")</f>
        <v>Yes, I will earn and do that</v>
      </c>
      <c r="G1892" s="1" t="str">
        <f ca="1">IFERROR(__xludf.DUMMYFUNCTION("""COMPUTED_VALUE"""),"This will be hard to do, but if it is the right company I would try")</f>
        <v>This will be hard to do, but if it is the right company I would try</v>
      </c>
      <c r="H1892" s="1" t="str">
        <f ca="1">IFERROR(__xludf.DUMMYFUNCTION("""COMPUTED_VALUE"""),"No")</f>
        <v>No</v>
      </c>
      <c r="I1892" s="1" t="str">
        <f ca="1">IFERROR(__xludf.DUMMYFUNCTION("""COMPUTED_VALUE"""),"Will NOT work for them")</f>
        <v>Will NOT work for them</v>
      </c>
      <c r="J1892" s="1">
        <f ca="1">IFERROR(__xludf.DUMMYFUNCTION("""COMPUTED_VALUE"""),4)</f>
        <v>4</v>
      </c>
      <c r="K1892" s="1" t="str">
        <f ca="1">IFERROR(__xludf.DUMMYFUNCTION("""COMPUTED_VALUE"""),"Hybrid Working Environment with less than 3 days a month at office")</f>
        <v>Hybrid Working Environment with less than 3 days a month at office</v>
      </c>
      <c r="L1892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89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92" s="1" t="str">
        <f ca="1">IFERROR(__xludf.DUMMYFUNCTION("""COMPUTED_VALUE"""),"Manage and drive End-to-End Projects or Products, Build and develop a Team, Look deeply into Data and generate insights, An Artificial Intelligence Specialist / Talking to Robots")</f>
        <v>Manage and drive End-to-End Projects or Products, Build and develop a Team, Look deeply into Data and generate insights, An Artificial Intelligence Specialist / Talking to Robots</v>
      </c>
      <c r="O1892" s="1" t="str">
        <f ca="1">IFERROR(__xludf.DUMMYFUNCTION("""COMPUTED_VALUE"""),"Manager who explains what is expected, sets a goal and helps achieve it")</f>
        <v>Manager who explains what is expected, sets a goal and helps achieve it</v>
      </c>
      <c r="P1892" s="1" t="str">
        <f ca="1">IFERROR(__xludf.DUMMYFUNCTION("""COMPUTED_VALUE"""),"Work with 2 to 3 people in my team, Work with 5 to 6 people in my team")</f>
        <v>Work with 2 to 3 people in my team, Work with 5 to 6 people in my team</v>
      </c>
      <c r="Q1892" s="1" t="str">
        <f ca="1">IFERROR(__xludf.DUMMYFUNCTION("""COMPUTED_VALUE"""),"Yes, I Understand this is gonna happen everywhere")</f>
        <v>Yes, I Understand this is gonna happen everywhere</v>
      </c>
      <c r="R1892" s="1" t="str">
        <f ca="1">IFERROR(__xludf.DUMMYFUNCTION("""COMPUTED_VALUE"""),"No way")</f>
        <v>No way</v>
      </c>
      <c r="S1892" s="1" t="str">
        <f ca="1">IFERROR(__xludf.DUMMYFUNCTION("""COMPUTED_VALUE"""),"abhay04kumar@gmail.com")</f>
        <v>abhay04kumar@gmail.com</v>
      </c>
    </row>
    <row r="1893" spans="1:19" ht="12.5" x14ac:dyDescent="0.25">
      <c r="A1893" s="2">
        <f ca="1">IFERROR(__xludf.DUMMYFUNCTION("""COMPUTED_VALUE"""),45062.9111041435)</f>
        <v>45062.911104143503</v>
      </c>
      <c r="B1893" s="1" t="str">
        <f ca="1">IFERROR(__xludf.DUMMYFUNCTION("""COMPUTED_VALUE"""),"India")</f>
        <v>India</v>
      </c>
      <c r="C1893" s="1">
        <f ca="1">IFERROR(__xludf.DUMMYFUNCTION("""COMPUTED_VALUE"""),425001)</f>
        <v>425001</v>
      </c>
      <c r="D1893" s="1" t="str">
        <f ca="1">IFERROR(__xludf.DUMMYFUNCTION("""COMPUTED_VALUE"""),"Male")</f>
        <v>Male</v>
      </c>
      <c r="E1893" s="1" t="str">
        <f ca="1">IFERROR(__xludf.DUMMYFUNCTION("""COMPUTED_VALUE"""),"My Parents")</f>
        <v>My Parents</v>
      </c>
      <c r="F1893" s="1" t="str">
        <f ca="1">IFERROR(__xludf.DUMMYFUNCTION("""COMPUTED_VALUE"""),"No I would not be pursuing Higher Education outside of India")</f>
        <v>No I would not be pursuing Higher Education outside of India</v>
      </c>
      <c r="G1893" s="1" t="str">
        <f ca="1">IFERROR(__xludf.DUMMYFUNCTION("""COMPUTED_VALUE"""),"This will be hard to do, but if it is the right company I would try")</f>
        <v>This will be hard to do, but if it is the right company I would try</v>
      </c>
      <c r="H1893" s="1" t="str">
        <f ca="1">IFERROR(__xludf.DUMMYFUNCTION("""COMPUTED_VALUE"""),"No")</f>
        <v>No</v>
      </c>
      <c r="I1893" s="1" t="str">
        <f ca="1">IFERROR(__xludf.DUMMYFUNCTION("""COMPUTED_VALUE"""),"Will NOT work for them")</f>
        <v>Will NOT work for them</v>
      </c>
      <c r="J1893" s="1">
        <f ca="1">IFERROR(__xludf.DUMMYFUNCTION("""COMPUTED_VALUE"""),3)</f>
        <v>3</v>
      </c>
      <c r="K1893" s="1" t="str">
        <f ca="1">IFERROR(__xludf.DUMMYFUNCTION("""COMPUTED_VALUE"""),"Hybrid Working Environment with less than 3 days a month at office")</f>
        <v>Hybrid Working Environment with less than 3 days a month at office</v>
      </c>
      <c r="L18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9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93" s="1" t="str">
        <f ca="1">IFERROR(__xludf.DUMMYFUNCTION("""COMPUTED_VALUE"""),"Design and Develop amazing software, Look deeply into Data and generate insights, Entrepreneur or Start Up, An Artificial Intelligence Specialist / Talking to Robots")</f>
        <v>Design and Develop amazing software, Look deeply into Data and generate insights, Entrepreneur or Start Up, An Artificial Intelligence Specialist / Talking to Robots</v>
      </c>
      <c r="O1893" s="1" t="str">
        <f ca="1">IFERROR(__xludf.DUMMYFUNCTION("""COMPUTED_VALUE"""),"Manager who explains what is expected, sets a goal and helps achieve it")</f>
        <v>Manager who explains what is expected, sets a goal and helps achieve it</v>
      </c>
      <c r="P1893" s="1" t="str">
        <f ca="1">IFERROR(__xludf.DUMMYFUNCTION("""COMPUTED_VALUE"""),"Work with 2 to 3 people in my team")</f>
        <v>Work with 2 to 3 people in my team</v>
      </c>
      <c r="Q1893" s="1" t="str">
        <f ca="1">IFERROR(__xludf.DUMMYFUNCTION("""COMPUTED_VALUE"""),"No")</f>
        <v>No</v>
      </c>
      <c r="R1893" s="1" t="str">
        <f ca="1">IFERROR(__xludf.DUMMYFUNCTION("""COMPUTED_VALUE"""),"This will be hard to do, but if it is the right company I would try")</f>
        <v>This will be hard to do, but if it is the right company I would try</v>
      </c>
      <c r="S1893" s="1" t="str">
        <f ca="1">IFERROR(__xludf.DUMMYFUNCTION("""COMPUTED_VALUE"""),"darshangaming550@gmail.com")</f>
        <v>darshangaming550@gmail.com</v>
      </c>
    </row>
    <row r="1894" spans="1:19" ht="12.5" x14ac:dyDescent="0.25">
      <c r="A1894" s="2">
        <f ca="1">IFERROR(__xludf.DUMMYFUNCTION("""COMPUTED_VALUE"""),45062.9111259953)</f>
        <v>45062.911125995299</v>
      </c>
      <c r="B1894" s="1" t="str">
        <f ca="1">IFERROR(__xludf.DUMMYFUNCTION("""COMPUTED_VALUE"""),"India")</f>
        <v>India</v>
      </c>
      <c r="C1894" s="1">
        <f ca="1">IFERROR(__xludf.DUMMYFUNCTION("""COMPUTED_VALUE"""),208021)</f>
        <v>208021</v>
      </c>
      <c r="D1894" s="1" t="str">
        <f ca="1">IFERROR(__xludf.DUMMYFUNCTION("""COMPUTED_VALUE"""),"Female")</f>
        <v>Female</v>
      </c>
      <c r="E1894" s="1" t="str">
        <f ca="1">IFERROR(__xludf.DUMMYFUNCTION("""COMPUTED_VALUE"""),"Influencers who had successful careers")</f>
        <v>Influencers who had successful careers</v>
      </c>
      <c r="F1894" s="1" t="str">
        <f ca="1">IFERROR(__xludf.DUMMYFUNCTION("""COMPUTED_VALUE"""),"No, But if someone could bare the cost I will")</f>
        <v>No, But if someone could bare the cost I will</v>
      </c>
      <c r="G1894" s="1" t="str">
        <f ca="1">IFERROR(__xludf.DUMMYFUNCTION("""COMPUTED_VALUE"""),"This will be hard to do, but if it is the right company I would try")</f>
        <v>This will be hard to do, but if it is the right company I would try</v>
      </c>
      <c r="H1894" s="1" t="str">
        <f ca="1">IFERROR(__xludf.DUMMYFUNCTION("""COMPUTED_VALUE"""),"No")</f>
        <v>No</v>
      </c>
      <c r="I1894" s="1" t="str">
        <f ca="1">IFERROR(__xludf.DUMMYFUNCTION("""COMPUTED_VALUE"""),"Will NOT work for them")</f>
        <v>Will NOT work for them</v>
      </c>
      <c r="J1894" s="1">
        <f ca="1">IFERROR(__xludf.DUMMYFUNCTION("""COMPUTED_VALUE"""),5)</f>
        <v>5</v>
      </c>
      <c r="K1894" s="1" t="str">
        <f ca="1">IFERROR(__xludf.DUMMYFUNCTION("""COMPUTED_VALUE"""),"Fully Remote with Options to travel as and when needed")</f>
        <v>Fully Remote with Options to travel as and when needed</v>
      </c>
      <c r="L18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94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894" s="1" t="str">
        <f ca="1">IFERROR(__xludf.DUMMYFUNCTION("""COMPUTED_VALUE"""),"Design and Creative strategy in any company, Manage and drive End-to-End Projects or Products, Design and Develop amazing software, Work as a freelancer and do my thing my way")</f>
        <v>Design and Creative strategy in any company, Manage and drive End-to-End Projects or Products, Design and Develop amazing software, Work as a freelancer and do my thing my way</v>
      </c>
      <c r="O1894" s="1" t="str">
        <f ca="1">IFERROR(__xludf.DUMMYFUNCTION("""COMPUTED_VALUE"""),"Manager who explains what is expected, sets a goal and helps achieve it")</f>
        <v>Manager who explains what is expected, sets a goal and helps achieve it</v>
      </c>
      <c r="P1894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1894" s="1" t="str">
        <f ca="1">IFERROR(__xludf.DUMMYFUNCTION("""COMPUTED_VALUE"""),"Yes, I Understand this is gonna happen everywhere")</f>
        <v>Yes, I Understand this is gonna happen everywhere</v>
      </c>
      <c r="R1894" s="1" t="str">
        <f ca="1">IFERROR(__xludf.DUMMYFUNCTION("""COMPUTED_VALUE"""),"No way")</f>
        <v>No way</v>
      </c>
      <c r="S1894" s="1" t="str">
        <f ca="1">IFERROR(__xludf.DUMMYFUNCTION("""COMPUTED_VALUE"""),"sonimansi254@gmail.com")</f>
        <v>sonimansi254@gmail.com</v>
      </c>
    </row>
    <row r="1895" spans="1:19" ht="12.5" x14ac:dyDescent="0.25">
      <c r="A1895" s="2">
        <f ca="1">IFERROR(__xludf.DUMMYFUNCTION("""COMPUTED_VALUE"""),45062.9114609374)</f>
        <v>45062.911460937401</v>
      </c>
      <c r="B1895" s="1" t="str">
        <f ca="1">IFERROR(__xludf.DUMMYFUNCTION("""COMPUTED_VALUE"""),"India")</f>
        <v>India</v>
      </c>
      <c r="C1895" s="1">
        <f ca="1">IFERROR(__xludf.DUMMYFUNCTION("""COMPUTED_VALUE"""),416002)</f>
        <v>416002</v>
      </c>
      <c r="D1895" s="1" t="str">
        <f ca="1">IFERROR(__xludf.DUMMYFUNCTION("""COMPUTED_VALUE"""),"Male")</f>
        <v>Male</v>
      </c>
      <c r="E1895" s="1" t="str">
        <f ca="1">IFERROR(__xludf.DUMMYFUNCTION("""COMPUTED_VALUE"""),"People from my circle, but not family members")</f>
        <v>People from my circle, but not family members</v>
      </c>
      <c r="F1895" s="1" t="str">
        <f ca="1">IFERROR(__xludf.DUMMYFUNCTION("""COMPUTED_VALUE"""),"No, But if someone could bare the cost I will")</f>
        <v>No, But if someone could bare the cost I will</v>
      </c>
      <c r="G1895" s="1" t="str">
        <f ca="1">IFERROR(__xludf.DUMMYFUNCTION("""COMPUTED_VALUE"""),"Will work for 3 years or more")</f>
        <v>Will work for 3 years or more</v>
      </c>
      <c r="H1895" s="1" t="str">
        <f ca="1">IFERROR(__xludf.DUMMYFUNCTION("""COMPUTED_VALUE"""),"Yes")</f>
        <v>Yes</v>
      </c>
      <c r="I1895" s="1" t="str">
        <f ca="1">IFERROR(__xludf.DUMMYFUNCTION("""COMPUTED_VALUE"""),"Will NOT work for them")</f>
        <v>Will NOT work for them</v>
      </c>
      <c r="J1895" s="1">
        <f ca="1">IFERROR(__xludf.DUMMYFUNCTION("""COMPUTED_VALUE"""),4)</f>
        <v>4</v>
      </c>
      <c r="K1895" s="1" t="str">
        <f ca="1">IFERROR(__xludf.DUMMYFUNCTION("""COMPUTED_VALUE"""),"Fully Remote with Options to travel as and when needed")</f>
        <v>Fully Remote with Options to travel as and when needed</v>
      </c>
      <c r="L18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9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895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1895" s="1" t="str">
        <f ca="1">IFERROR(__xludf.DUMMYFUNCTION("""COMPUTED_VALUE"""),"Manager who clearly describes what she/he needs")</f>
        <v>Manager who clearly describes what she/he needs</v>
      </c>
      <c r="P1895" s="1" t="str">
        <f ca="1">IFERROR(__xludf.DUMMYFUNCTION("""COMPUTED_VALUE"""),"Work with 2 to 3 people in my team, Work with 5 to 6 people in my team")</f>
        <v>Work with 2 to 3 people in my team, Work with 5 to 6 people in my team</v>
      </c>
      <c r="Q1895" s="1" t="str">
        <f ca="1">IFERROR(__xludf.DUMMYFUNCTION("""COMPUTED_VALUE"""),"Yes, I Understand this is gonna happen everywhere")</f>
        <v>Yes, I Understand this is gonna happen everywhere</v>
      </c>
      <c r="R1895" s="1" t="str">
        <f ca="1">IFERROR(__xludf.DUMMYFUNCTION("""COMPUTED_VALUE"""),"No way")</f>
        <v>No way</v>
      </c>
      <c r="S1895" s="1" t="str">
        <f ca="1">IFERROR(__xludf.DUMMYFUNCTION("""COMPUTED_VALUE"""),"fakerohitkoli@gmail.com")</f>
        <v>fakerohitkoli@gmail.com</v>
      </c>
    </row>
    <row r="1896" spans="1:19" ht="12.5" x14ac:dyDescent="0.25">
      <c r="A1896" s="2">
        <f ca="1">IFERROR(__xludf.DUMMYFUNCTION("""COMPUTED_VALUE"""),45062.9115881597)</f>
        <v>45062.911588159703</v>
      </c>
      <c r="B1896" s="1" t="str">
        <f ca="1">IFERROR(__xludf.DUMMYFUNCTION("""COMPUTED_VALUE"""),"India")</f>
        <v>India</v>
      </c>
      <c r="C1896" s="1">
        <f ca="1">IFERROR(__xludf.DUMMYFUNCTION("""COMPUTED_VALUE"""),641003)</f>
        <v>641003</v>
      </c>
      <c r="D1896" s="1" t="str">
        <f ca="1">IFERROR(__xludf.DUMMYFUNCTION("""COMPUTED_VALUE"""),"Female")</f>
        <v>Female</v>
      </c>
      <c r="E1896" s="1" t="str">
        <f ca="1">IFERROR(__xludf.DUMMYFUNCTION("""COMPUTED_VALUE"""),"My Parents")</f>
        <v>My Parents</v>
      </c>
      <c r="F1896" s="1" t="str">
        <f ca="1">IFERROR(__xludf.DUMMYFUNCTION("""COMPUTED_VALUE"""),"No, But if someone could bare the cost I will")</f>
        <v>No, But if someone could bare the cost I will</v>
      </c>
      <c r="G1896" s="1" t="str">
        <f ca="1">IFERROR(__xludf.DUMMYFUNCTION("""COMPUTED_VALUE"""),"This will be hard to do, but if it is the right company I would try")</f>
        <v>This will be hard to do, but if it is the right company I would try</v>
      </c>
      <c r="H1896" s="1" t="str">
        <f ca="1">IFERROR(__xludf.DUMMYFUNCTION("""COMPUTED_VALUE"""),"No")</f>
        <v>No</v>
      </c>
      <c r="I1896" s="1" t="str">
        <f ca="1">IFERROR(__xludf.DUMMYFUNCTION("""COMPUTED_VALUE"""),"Will NOT work for them")</f>
        <v>Will NOT work for them</v>
      </c>
      <c r="J1896" s="1">
        <f ca="1">IFERROR(__xludf.DUMMYFUNCTION("""COMPUTED_VALUE"""),6)</f>
        <v>6</v>
      </c>
      <c r="K1896" s="1" t="str">
        <f ca="1">IFERROR(__xludf.DUMMYFUNCTION("""COMPUTED_VALUE"""),"Hybrid Working Environment with less than 3 days a month at office")</f>
        <v>Hybrid Working Environment with less than 3 days a month at office</v>
      </c>
      <c r="L1896" s="1" t="str">
        <f ca="1">IFERROR(__xludf.DUMMYFUNCTION("""COMPUTED_VALUE"""),"Employer who appreciates learning and enables that environment")</f>
        <v>Employer who appreciates learning and enables that environment</v>
      </c>
      <c r="M1896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1896" s="1" t="str">
        <f ca="1">IFERROR(__xludf.DUMMYFUNCTION("""COMPUTED_VALUE"""),"Design and Develop amazing software, Work as a freelancer and do my thing my way, Entrepreneur or Start Up, I Want to sell things/Sales")</f>
        <v>Design and Develop amazing software, Work as a freelancer and do my thing my way, Entrepreneur or Start Up, I Want to sell things/Sales</v>
      </c>
      <c r="O1896" s="1" t="str">
        <f ca="1">IFERROR(__xludf.DUMMYFUNCTION("""COMPUTED_VALUE"""),"Manager who sets goal and helps me achieve it")</f>
        <v>Manager who sets goal and helps me achieve it</v>
      </c>
      <c r="P1896" s="1" t="str">
        <f ca="1">IFERROR(__xludf.DUMMYFUNCTION("""COMPUTED_VALUE"""),"Work alone, Work with 5 to 6 people in my team")</f>
        <v>Work alone, Work with 5 to 6 people in my team</v>
      </c>
      <c r="Q1896" s="1" t="str">
        <f ca="1">IFERROR(__xludf.DUMMYFUNCTION("""COMPUTED_VALUE"""),"Yes, I Understand this is gonna happen everywhere")</f>
        <v>Yes, I Understand this is gonna happen everywhere</v>
      </c>
      <c r="R1896" s="1" t="str">
        <f ca="1">IFERROR(__xludf.DUMMYFUNCTION("""COMPUTED_VALUE"""),"This will be hard to do, but if it is the right company I would try")</f>
        <v>This will be hard to do, but if it is the right company I would try</v>
      </c>
      <c r="S1896" s="1" t="str">
        <f ca="1">IFERROR(__xludf.DUMMYFUNCTION("""COMPUTED_VALUE"""),"apreddy2016@gmail.com")</f>
        <v>apreddy2016@gmail.com</v>
      </c>
    </row>
    <row r="1897" spans="1:19" ht="12.5" x14ac:dyDescent="0.25">
      <c r="A1897" s="2">
        <f ca="1">IFERROR(__xludf.DUMMYFUNCTION("""COMPUTED_VALUE"""),45062.9116490393)</f>
        <v>45062.911649039299</v>
      </c>
      <c r="B1897" s="1" t="str">
        <f ca="1">IFERROR(__xludf.DUMMYFUNCTION("""COMPUTED_VALUE"""),"India")</f>
        <v>India</v>
      </c>
      <c r="C1897" s="1">
        <f ca="1">IFERROR(__xludf.DUMMYFUNCTION("""COMPUTED_VALUE"""),424201)</f>
        <v>424201</v>
      </c>
      <c r="D1897" s="1" t="str">
        <f ca="1">IFERROR(__xludf.DUMMYFUNCTION("""COMPUTED_VALUE"""),"Male")</f>
        <v>Male</v>
      </c>
      <c r="E1897" s="1" t="str">
        <f ca="1">IFERROR(__xludf.DUMMYFUNCTION("""COMPUTED_VALUE"""),"Influencers who had successful careers")</f>
        <v>Influencers who had successful careers</v>
      </c>
      <c r="F1897" s="1" t="str">
        <f ca="1">IFERROR(__xludf.DUMMYFUNCTION("""COMPUTED_VALUE"""),"Yes, I will earn and do that")</f>
        <v>Yes, I will earn and do that</v>
      </c>
      <c r="G1897" s="1" t="str">
        <f ca="1">IFERROR(__xludf.DUMMYFUNCTION("""COMPUTED_VALUE"""),"Will work for 3 years or more")</f>
        <v>Will work for 3 years or more</v>
      </c>
      <c r="H1897" s="1" t="str">
        <f ca="1">IFERROR(__xludf.DUMMYFUNCTION("""COMPUTED_VALUE"""),"Yes")</f>
        <v>Yes</v>
      </c>
      <c r="I1897" s="1" t="str">
        <f ca="1">IFERROR(__xludf.DUMMYFUNCTION("""COMPUTED_VALUE"""),"Will NOT work for them")</f>
        <v>Will NOT work for them</v>
      </c>
      <c r="J1897" s="1">
        <f ca="1">IFERROR(__xludf.DUMMYFUNCTION("""COMPUTED_VALUE"""),8)</f>
        <v>8</v>
      </c>
      <c r="K1897" s="1" t="str">
        <f ca="1">IFERROR(__xludf.DUMMYFUNCTION("""COMPUTED_VALUE"""),"Fully Remote with Options to travel as and when needed")</f>
        <v>Fully Remote with Options to travel as and when needed</v>
      </c>
      <c r="L18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9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897" s="1" t="str">
        <f ca="1">IFERROR(__xludf.DUMMYFUNCTION("""COMPUTED_VALUE"""),"Design and Creative strategy in any company, Teaching in any of the institutes/colleges/online or offline, Look deeply into Data and generate insights, Entrepreneur or Start Up")</f>
        <v>Design and Creative strategy in any company, Teaching in any of the institutes/colleges/online or offline, Look deeply into Data and generate insights, Entrepreneur or Start Up</v>
      </c>
      <c r="O1897" s="1" t="str">
        <f ca="1">IFERROR(__xludf.DUMMYFUNCTION("""COMPUTED_VALUE"""),"Manager who explains what is expected, sets a goal and helps achieve it")</f>
        <v>Manager who explains what is expected, sets a goal and helps achieve it</v>
      </c>
      <c r="P1897" s="1" t="str">
        <f ca="1">IFERROR(__xludf.DUMMYFUNCTION("""COMPUTED_VALUE"""),"Work with more than 10 people in my team")</f>
        <v>Work with more than 10 people in my team</v>
      </c>
      <c r="Q1897" s="1" t="str">
        <f ca="1">IFERROR(__xludf.DUMMYFUNCTION("""COMPUTED_VALUE"""),"Yes, I Understand this is gonna happen everywhere")</f>
        <v>Yes, I Understand this is gonna happen everywhere</v>
      </c>
      <c r="R1897" s="1" t="str">
        <f ca="1">IFERROR(__xludf.DUMMYFUNCTION("""COMPUTED_VALUE"""),"This will be hard to do, but if it is the right company I would try")</f>
        <v>This will be hard to do, but if it is the right company I would try</v>
      </c>
      <c r="S1897" s="1" t="str">
        <f ca="1">IFERROR(__xludf.DUMMYFUNCTION("""COMPUTED_VALUE"""),"virajsharma2912@gmail.com")</f>
        <v>virajsharma2912@gmail.com</v>
      </c>
    </row>
    <row r="1898" spans="1:19" ht="12.5" x14ac:dyDescent="0.25">
      <c r="A1898" s="2">
        <f ca="1">IFERROR(__xludf.DUMMYFUNCTION("""COMPUTED_VALUE"""),45062.9122518865)</f>
        <v>45062.912251886497</v>
      </c>
      <c r="B1898" s="1" t="str">
        <f ca="1">IFERROR(__xludf.DUMMYFUNCTION("""COMPUTED_VALUE"""),"India")</f>
        <v>India</v>
      </c>
      <c r="C1898" s="1">
        <f ca="1">IFERROR(__xludf.DUMMYFUNCTION("""COMPUTED_VALUE"""),263139)</f>
        <v>263139</v>
      </c>
      <c r="D1898" s="1" t="str">
        <f ca="1">IFERROR(__xludf.DUMMYFUNCTION("""COMPUTED_VALUE"""),"Male")</f>
        <v>Male</v>
      </c>
      <c r="E1898" s="1" t="str">
        <f ca="1">IFERROR(__xludf.DUMMYFUNCTION("""COMPUTED_VALUE"""),"Social Media like LinkedIn")</f>
        <v>Social Media like LinkedIn</v>
      </c>
      <c r="F1898" s="1" t="str">
        <f ca="1">IFERROR(__xludf.DUMMYFUNCTION("""COMPUTED_VALUE"""),"Yes, I will earn and do that")</f>
        <v>Yes, I will earn and do that</v>
      </c>
      <c r="G1898" s="1" t="str">
        <f ca="1">IFERROR(__xludf.DUMMYFUNCTION("""COMPUTED_VALUE"""),"This will be hard to do, but if it is the right company I would try")</f>
        <v>This will be hard to do, but if it is the right company I would try</v>
      </c>
      <c r="H1898" s="1" t="str">
        <f ca="1">IFERROR(__xludf.DUMMYFUNCTION("""COMPUTED_VALUE"""),"No")</f>
        <v>No</v>
      </c>
      <c r="I1898" s="1" t="str">
        <f ca="1">IFERROR(__xludf.DUMMYFUNCTION("""COMPUTED_VALUE"""),"Will NOT work for them")</f>
        <v>Will NOT work for them</v>
      </c>
      <c r="J1898" s="1">
        <f ca="1">IFERROR(__xludf.DUMMYFUNCTION("""COMPUTED_VALUE"""),1)</f>
        <v>1</v>
      </c>
      <c r="K1898" s="1" t="str">
        <f ca="1">IFERROR(__xludf.DUMMYFUNCTION("""COMPUTED_VALUE"""),"Every Day Office Environment")</f>
        <v>Every Day Office Environment</v>
      </c>
      <c r="L18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89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898" s="1" t="str">
        <f ca="1">IFERROR(__xludf.DUMMYFUNCTION("""COMPUTED_VALUE"""),"Design and Creative strategy in any company, Business Operations in any organization, Manage and drive End-to-End Projects or Products, Work as a freelancer and do my thing my way")</f>
        <v>Design and Creative strategy in any company, Business Operations in any organization, Manage and drive End-to-End Projects or Products, Work as a freelancer and do my thing my way</v>
      </c>
      <c r="O18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898" s="1" t="str">
        <f ca="1">IFERROR(__xludf.DUMMYFUNCTION("""COMPUTED_VALUE"""),"Work with 5 to 6 people in my team")</f>
        <v>Work with 5 to 6 people in my team</v>
      </c>
      <c r="Q1898" s="1" t="str">
        <f ca="1">IFERROR(__xludf.DUMMYFUNCTION("""COMPUTED_VALUE"""),"Yes, I Understand this is gonna happen everywhere")</f>
        <v>Yes, I Understand this is gonna happen everywhere</v>
      </c>
      <c r="R1898" s="1" t="str">
        <f ca="1">IFERROR(__xludf.DUMMYFUNCTION("""COMPUTED_VALUE"""),"No way")</f>
        <v>No way</v>
      </c>
      <c r="S1898" s="1" t="str">
        <f ca="1">IFERROR(__xludf.DUMMYFUNCTION("""COMPUTED_VALUE"""),"amitbisht20198@gmail.com")</f>
        <v>amitbisht20198@gmail.com</v>
      </c>
    </row>
    <row r="1899" spans="1:19" ht="12.5" x14ac:dyDescent="0.25">
      <c r="A1899" s="2">
        <f ca="1">IFERROR(__xludf.DUMMYFUNCTION("""COMPUTED_VALUE"""),45062.9126279051)</f>
        <v>45062.912627905098</v>
      </c>
      <c r="B1899" s="1" t="str">
        <f ca="1">IFERROR(__xludf.DUMMYFUNCTION("""COMPUTED_VALUE"""),"India")</f>
        <v>India</v>
      </c>
      <c r="C1899" s="1">
        <f ca="1">IFERROR(__xludf.DUMMYFUNCTION("""COMPUTED_VALUE"""),560030)</f>
        <v>560030</v>
      </c>
      <c r="D1899" s="1" t="str">
        <f ca="1">IFERROR(__xludf.DUMMYFUNCTION("""COMPUTED_VALUE"""),"Male")</f>
        <v>Male</v>
      </c>
      <c r="E1899" s="1" t="str">
        <f ca="1">IFERROR(__xludf.DUMMYFUNCTION("""COMPUTED_VALUE"""),"My Parents")</f>
        <v>My Parents</v>
      </c>
      <c r="F1899" s="1" t="str">
        <f ca="1">IFERROR(__xludf.DUMMYFUNCTION("""COMPUTED_VALUE"""),"No I would not be pursuing Higher Education outside of India")</f>
        <v>No I would not be pursuing Higher Education outside of India</v>
      </c>
      <c r="G1899" s="1" t="str">
        <f ca="1">IFERROR(__xludf.DUMMYFUNCTION("""COMPUTED_VALUE"""),"This will be hard to do, but if it is the right company I would try")</f>
        <v>This will be hard to do, but if it is the right company I would try</v>
      </c>
      <c r="H1899" s="1" t="str">
        <f ca="1">IFERROR(__xludf.DUMMYFUNCTION("""COMPUTED_VALUE"""),"No")</f>
        <v>No</v>
      </c>
      <c r="I1899" s="1" t="str">
        <f ca="1">IFERROR(__xludf.DUMMYFUNCTION("""COMPUTED_VALUE"""),"Will NOT work for them")</f>
        <v>Will NOT work for them</v>
      </c>
      <c r="J1899" s="1">
        <f ca="1">IFERROR(__xludf.DUMMYFUNCTION("""COMPUTED_VALUE"""),5)</f>
        <v>5</v>
      </c>
      <c r="K1899" s="1" t="str">
        <f ca="1">IFERROR(__xludf.DUMMYFUNCTION("""COMPUTED_VALUE"""),"Hybrid Working Environment with less than 3 days a month at office")</f>
        <v>Hybrid Working Environment with less than 3 days a month at office</v>
      </c>
      <c r="L1899" s="1" t="str">
        <f ca="1">IFERROR(__xludf.DUMMYFUNCTION("""COMPUTED_VALUE"""),"Employer who rewards learning and enables that environment")</f>
        <v>Employer who rewards learning and enables that environment</v>
      </c>
      <c r="M189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899" s="1" t="str">
        <f ca="1">IFERROR(__xludf.DUMMYFUNCTION("""COMPUTED_VALUE"""),"Business Operations in any organization, Build and develop a Team, Design and Develop amazing software, An Artificial Intelligence Specialist / Talking to Robots")</f>
        <v>Business Operations in any organization, Build and develop a Team, Design and Develop amazing software, An Artificial Intelligence Specialist / Talking to Robots</v>
      </c>
      <c r="O1899" s="1" t="str">
        <f ca="1">IFERROR(__xludf.DUMMYFUNCTION("""COMPUTED_VALUE"""),"Manager who explains what is expected, sets a goal and helps achieve it")</f>
        <v>Manager who explains what is expected, sets a goal and helps achieve it</v>
      </c>
      <c r="P1899" s="1" t="str">
        <f ca="1">IFERROR(__xludf.DUMMYFUNCTION("""COMPUTED_VALUE"""),"Work with 5 to 6 people in my team")</f>
        <v>Work with 5 to 6 people in my team</v>
      </c>
      <c r="Q1899" s="1" t="str">
        <f ca="1">IFERROR(__xludf.DUMMYFUNCTION("""COMPUTED_VALUE"""),"No")</f>
        <v>No</v>
      </c>
      <c r="R1899" s="1" t="str">
        <f ca="1">IFERROR(__xludf.DUMMYFUNCTION("""COMPUTED_VALUE"""),"This will be hard to do, but if it is the right company I would try")</f>
        <v>This will be hard to do, but if it is the right company I would try</v>
      </c>
      <c r="S1899" s="1" t="str">
        <f ca="1">IFERROR(__xludf.DUMMYFUNCTION("""COMPUTED_VALUE"""),"saralhemu@gmail.com")</f>
        <v>saralhemu@gmail.com</v>
      </c>
    </row>
    <row r="1900" spans="1:19" ht="12.5" x14ac:dyDescent="0.25">
      <c r="A1900" s="2">
        <f ca="1">IFERROR(__xludf.DUMMYFUNCTION("""COMPUTED_VALUE"""),45062.9128957754)</f>
        <v>45062.9128957754</v>
      </c>
      <c r="B1900" s="1" t="str">
        <f ca="1">IFERROR(__xludf.DUMMYFUNCTION("""COMPUTED_VALUE"""),"India")</f>
        <v>India</v>
      </c>
      <c r="C1900" s="1">
        <f ca="1">IFERROR(__xludf.DUMMYFUNCTION("""COMPUTED_VALUE"""),10085)</f>
        <v>10085</v>
      </c>
      <c r="D1900" s="1" t="str">
        <f ca="1">IFERROR(__xludf.DUMMYFUNCTION("""COMPUTED_VALUE"""),"Female")</f>
        <v>Female</v>
      </c>
      <c r="E1900" s="1" t="str">
        <f ca="1">IFERROR(__xludf.DUMMYFUNCTION("""COMPUTED_VALUE"""),"People who have changed the world for better")</f>
        <v>People who have changed the world for better</v>
      </c>
      <c r="F1900" s="1" t="str">
        <f ca="1">IFERROR(__xludf.DUMMYFUNCTION("""COMPUTED_VALUE"""),"Yes, I will earn and do that")</f>
        <v>Yes, I will earn and do that</v>
      </c>
      <c r="G1900" s="1" t="str">
        <f ca="1">IFERROR(__xludf.DUMMYFUNCTION("""COMPUTED_VALUE"""),"Will work for 3 years or more")</f>
        <v>Will work for 3 years or more</v>
      </c>
      <c r="H1900" s="1" t="str">
        <f ca="1">IFERROR(__xludf.DUMMYFUNCTION("""COMPUTED_VALUE"""),"No")</f>
        <v>No</v>
      </c>
      <c r="I1900" s="1" t="str">
        <f ca="1">IFERROR(__xludf.DUMMYFUNCTION("""COMPUTED_VALUE"""),"Will NOT work for them")</f>
        <v>Will NOT work for them</v>
      </c>
      <c r="J1900" s="1">
        <f ca="1">IFERROR(__xludf.DUMMYFUNCTION("""COMPUTED_VALUE"""),5)</f>
        <v>5</v>
      </c>
      <c r="K1900" s="1" t="str">
        <f ca="1">IFERROR(__xludf.DUMMYFUNCTION("""COMPUTED_VALUE"""),"Fully Remote with Options to travel as and when needed")</f>
        <v>Fully Remote with Options to travel as and when needed</v>
      </c>
      <c r="L1900" s="1" t="str">
        <f ca="1">IFERROR(__xludf.DUMMYFUNCTION("""COMPUTED_VALUE"""),"Employer who rewards learning and enables that environment")</f>
        <v>Employer who rewards learning and enables that environment</v>
      </c>
      <c r="M190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900" s="1" t="str">
        <f ca="1">IFERROR(__xludf.DUMMYFUNCTION("""COMPUTED_VALUE"""),"Design and Creative strategy in any company, Business Operations in any organization, Design and Develop amazing software, Manufacturing / Oil and Gas/ Construction / Hard Physical Work related")</f>
        <v>Design and Creative strategy in any company, Business Operations in any organization, Design and Develop amazing software, Manufacturing / Oil and Gas/ Construction / Hard Physical Work related</v>
      </c>
      <c r="O1900" s="1" t="str">
        <f ca="1">IFERROR(__xludf.DUMMYFUNCTION("""COMPUTED_VALUE"""),"Manager who clearly describes what she/he needs")</f>
        <v>Manager who clearly describes what she/he needs</v>
      </c>
      <c r="P1900" s="1" t="str">
        <f ca="1">IFERROR(__xludf.DUMMYFUNCTION("""COMPUTED_VALUE"""),"Work with 2 to 3 people in my team")</f>
        <v>Work with 2 to 3 people in my team</v>
      </c>
      <c r="Q1900" s="1" t="str">
        <f ca="1">IFERROR(__xludf.DUMMYFUNCTION("""COMPUTED_VALUE"""),"No")</f>
        <v>No</v>
      </c>
      <c r="R1900" s="1" t="str">
        <f ca="1">IFERROR(__xludf.DUMMYFUNCTION("""COMPUTED_VALUE"""),"Will work for 7 years or more")</f>
        <v>Will work for 7 years or more</v>
      </c>
      <c r="S1900" s="1" t="str">
        <f ca="1">IFERROR(__xludf.DUMMYFUNCTION("""COMPUTED_VALUE"""),"rkaushik014@gmail.com")</f>
        <v>rkaushik014@gmail.com</v>
      </c>
    </row>
    <row r="1901" spans="1:19" ht="12.5" x14ac:dyDescent="0.25">
      <c r="A1901" s="2">
        <f ca="1">IFERROR(__xludf.DUMMYFUNCTION("""COMPUTED_VALUE"""),45062.9130895486)</f>
        <v>45062.913089548601</v>
      </c>
      <c r="B1901" s="1" t="str">
        <f ca="1">IFERROR(__xludf.DUMMYFUNCTION("""COMPUTED_VALUE"""),"India")</f>
        <v>India</v>
      </c>
      <c r="C1901" s="1">
        <f ca="1">IFERROR(__xludf.DUMMYFUNCTION("""COMPUTED_VALUE"""),560012)</f>
        <v>560012</v>
      </c>
      <c r="D1901" s="1" t="str">
        <f ca="1">IFERROR(__xludf.DUMMYFUNCTION("""COMPUTED_VALUE"""),"Female")</f>
        <v>Female</v>
      </c>
      <c r="E1901" s="1" t="str">
        <f ca="1">IFERROR(__xludf.DUMMYFUNCTION("""COMPUTED_VALUE"""),"My Parents")</f>
        <v>My Parents</v>
      </c>
      <c r="F1901" s="1" t="str">
        <f ca="1">IFERROR(__xludf.DUMMYFUNCTION("""COMPUTED_VALUE"""),"No I would not be pursuing Higher Education outside of India")</f>
        <v>No I would not be pursuing Higher Education outside of India</v>
      </c>
      <c r="G1901" s="1" t="str">
        <f ca="1">IFERROR(__xludf.DUMMYFUNCTION("""COMPUTED_VALUE"""),"This will be hard to do, but if it is the right company I would try")</f>
        <v>This will be hard to do, but if it is the right company I would try</v>
      </c>
      <c r="H1901" s="1" t="str">
        <f ca="1">IFERROR(__xludf.DUMMYFUNCTION("""COMPUTED_VALUE"""),"No")</f>
        <v>No</v>
      </c>
      <c r="I1901" s="1" t="str">
        <f ca="1">IFERROR(__xludf.DUMMYFUNCTION("""COMPUTED_VALUE"""),"Will NOT work for them")</f>
        <v>Will NOT work for them</v>
      </c>
      <c r="J1901" s="1">
        <f ca="1">IFERROR(__xludf.DUMMYFUNCTION("""COMPUTED_VALUE"""),1)</f>
        <v>1</v>
      </c>
      <c r="K1901" s="1" t="str">
        <f ca="1">IFERROR(__xludf.DUMMYFUNCTION("""COMPUTED_VALUE"""),"Fully Remote with Options to travel as and when needed")</f>
        <v>Fully Remote with Options to travel as and when needed</v>
      </c>
      <c r="L19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0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01" s="1" t="str">
        <f ca="1">IFERROR(__xludf.DUMMYFUNCTION("""COMPUTED_VALUE"""),"Design and Creative strategy in any company, Teaching in any of the institutes/colleges/online or offline, Build and develop a Team, Entrepreneur or Start Up")</f>
        <v>Design and Creative strategy in any company, Teaching in any of the institutes/colleges/online or offline, Build and develop a Team, Entrepreneur or Start Up</v>
      </c>
      <c r="O1901" s="1" t="str">
        <f ca="1">IFERROR(__xludf.DUMMYFUNCTION("""COMPUTED_VALUE"""),"Manager who clearly describes what she/he needs")</f>
        <v>Manager who clearly describes what she/he needs</v>
      </c>
      <c r="P1901" s="1" t="str">
        <f ca="1">IFERROR(__xludf.DUMMYFUNCTION("""COMPUTED_VALUE"""),"Work with 2 to 3 people in my team")</f>
        <v>Work with 2 to 3 people in my team</v>
      </c>
      <c r="Q1901" s="1" t="str">
        <f ca="1">IFERROR(__xludf.DUMMYFUNCTION("""COMPUTED_VALUE"""),"No")</f>
        <v>No</v>
      </c>
      <c r="R1901" s="1" t="str">
        <f ca="1">IFERROR(__xludf.DUMMYFUNCTION("""COMPUTED_VALUE"""),"This will be hard to do, but if it is the right company I would try")</f>
        <v>This will be hard to do, but if it is the right company I would try</v>
      </c>
      <c r="S1901" s="1" t="str">
        <f ca="1">IFERROR(__xludf.DUMMYFUNCTION("""COMPUTED_VALUE"""),"kanika14.aggarwal@gmail.com")</f>
        <v>kanika14.aggarwal@gmail.com</v>
      </c>
    </row>
    <row r="1902" spans="1:19" ht="12.5" x14ac:dyDescent="0.25">
      <c r="A1902" s="2">
        <f ca="1">IFERROR(__xludf.DUMMYFUNCTION("""COMPUTED_VALUE"""),45062.9131194907)</f>
        <v>45062.913119490702</v>
      </c>
      <c r="B1902" s="1" t="str">
        <f ca="1">IFERROR(__xludf.DUMMYFUNCTION("""COMPUTED_VALUE"""),"India")</f>
        <v>India</v>
      </c>
      <c r="C1902" s="1">
        <f ca="1">IFERROR(__xludf.DUMMYFUNCTION("""COMPUTED_VALUE"""),263145)</f>
        <v>263145</v>
      </c>
      <c r="D1902" s="1" t="str">
        <f ca="1">IFERROR(__xludf.DUMMYFUNCTION("""COMPUTED_VALUE"""),"Male")</f>
        <v>Male</v>
      </c>
      <c r="E1902" s="1" t="str">
        <f ca="1">IFERROR(__xludf.DUMMYFUNCTION("""COMPUTED_VALUE"""),"My Parents")</f>
        <v>My Parents</v>
      </c>
      <c r="F1902" s="1" t="str">
        <f ca="1">IFERROR(__xludf.DUMMYFUNCTION("""COMPUTED_VALUE"""),"No, But if someone could bare the cost I will")</f>
        <v>No, But if someone could bare the cost I will</v>
      </c>
      <c r="G1902" s="1" t="str">
        <f ca="1">IFERROR(__xludf.DUMMYFUNCTION("""COMPUTED_VALUE"""),"Will work for 3 years or more")</f>
        <v>Will work for 3 years or more</v>
      </c>
      <c r="H1902" s="1" t="str">
        <f ca="1">IFERROR(__xludf.DUMMYFUNCTION("""COMPUTED_VALUE"""),"No")</f>
        <v>No</v>
      </c>
      <c r="I1902" s="1" t="str">
        <f ca="1">IFERROR(__xludf.DUMMYFUNCTION("""COMPUTED_VALUE"""),"Will NOT work for them")</f>
        <v>Will NOT work for them</v>
      </c>
      <c r="J1902" s="1">
        <f ca="1">IFERROR(__xludf.DUMMYFUNCTION("""COMPUTED_VALUE"""),7)</f>
        <v>7</v>
      </c>
      <c r="K1902" s="1" t="str">
        <f ca="1">IFERROR(__xludf.DUMMYFUNCTION("""COMPUTED_VALUE"""),"Hybrid Working Environment with less than 3 days a month at office")</f>
        <v>Hybrid Working Environment with less than 3 days a month at office</v>
      </c>
      <c r="L1902" s="1" t="str">
        <f ca="1">IFERROR(__xludf.DUMMYFUNCTION("""COMPUTED_VALUE"""),"Employer who rewards learning and enables that environment")</f>
        <v>Employer who rewards learning and enables that environment</v>
      </c>
      <c r="M190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02" s="1" t="str">
        <f ca="1">IFERROR(__xludf.DUMMYFUNCTION("""COMPUTED_VALUE"""),"Manage and drive End-to-End Projects or Products, Build and develop a Team, Work as a freelancer and do my thing my way, An Artificial Intelligence Specialist / Talking to Robots")</f>
        <v>Manage and drive End-to-End Projects or Products, Build and develop a Team, Work as a freelancer and do my thing my way, An Artificial Intelligence Specialist / Talking to Robots</v>
      </c>
      <c r="O1902" s="1" t="str">
        <f ca="1">IFERROR(__xludf.DUMMYFUNCTION("""COMPUTED_VALUE"""),"Manager who sets targets and expects me to achieve it")</f>
        <v>Manager who sets targets and expects me to achieve it</v>
      </c>
      <c r="P1902" s="1" t="str">
        <f ca="1">IFERROR(__xludf.DUMMYFUNCTION("""COMPUTED_VALUE"""),"Work alone, Work with 2 to 3 people in my team")</f>
        <v>Work alone, Work with 2 to 3 people in my team</v>
      </c>
      <c r="Q1902" s="1" t="str">
        <f ca="1">IFERROR(__xludf.DUMMYFUNCTION("""COMPUTED_VALUE"""),"No")</f>
        <v>No</v>
      </c>
      <c r="R1902" s="1" t="str">
        <f ca="1">IFERROR(__xludf.DUMMYFUNCTION("""COMPUTED_VALUE"""),"This will be hard to do, but if it is the right company I would try")</f>
        <v>This will be hard to do, but if it is the right company I would try</v>
      </c>
      <c r="S1902" s="1" t="str">
        <f ca="1">IFERROR(__xludf.DUMMYFUNCTION("""COMPUTED_VALUE"""),"shekhargautam35@gmail.com")</f>
        <v>shekhargautam35@gmail.com</v>
      </c>
    </row>
    <row r="1903" spans="1:19" ht="12.5" x14ac:dyDescent="0.25">
      <c r="A1903" s="2">
        <f ca="1">IFERROR(__xludf.DUMMYFUNCTION("""COMPUTED_VALUE"""),45062.9132577314)</f>
        <v>45062.913257731401</v>
      </c>
      <c r="B1903" s="1" t="str">
        <f ca="1">IFERROR(__xludf.DUMMYFUNCTION("""COMPUTED_VALUE"""),"India")</f>
        <v>India</v>
      </c>
      <c r="C1903" s="1">
        <f ca="1">IFERROR(__xludf.DUMMYFUNCTION("""COMPUTED_VALUE"""),22107)</f>
        <v>22107</v>
      </c>
      <c r="D1903" s="1" t="str">
        <f ca="1">IFERROR(__xludf.DUMMYFUNCTION("""COMPUTED_VALUE"""),"Female")</f>
        <v>Female</v>
      </c>
      <c r="E1903" s="1" t="str">
        <f ca="1">IFERROR(__xludf.DUMMYFUNCTION("""COMPUTED_VALUE"""),"My Parents")</f>
        <v>My Parents</v>
      </c>
      <c r="F1903" s="1" t="str">
        <f ca="1">IFERROR(__xludf.DUMMYFUNCTION("""COMPUTED_VALUE"""),"No I would not be pursuing Higher Education outside of India")</f>
        <v>No I would not be pursuing Higher Education outside of India</v>
      </c>
      <c r="G1903" s="1" t="str">
        <f ca="1">IFERROR(__xludf.DUMMYFUNCTION("""COMPUTED_VALUE"""),"This will be hard to do, but if it is the right company I would try")</f>
        <v>This will be hard to do, but if it is the right company I would try</v>
      </c>
      <c r="H1903" s="1" t="str">
        <f ca="1">IFERROR(__xludf.DUMMYFUNCTION("""COMPUTED_VALUE"""),"Yes")</f>
        <v>Yes</v>
      </c>
      <c r="I1903" s="1" t="str">
        <f ca="1">IFERROR(__xludf.DUMMYFUNCTION("""COMPUTED_VALUE"""),"Will work for them")</f>
        <v>Will work for them</v>
      </c>
      <c r="J1903" s="1">
        <f ca="1">IFERROR(__xludf.DUMMYFUNCTION("""COMPUTED_VALUE"""),4)</f>
        <v>4</v>
      </c>
      <c r="K1903" s="1" t="str">
        <f ca="1">IFERROR(__xludf.DUMMYFUNCTION("""COMPUTED_VALUE"""),"Hybrid Working Environment with more than 15 days a month at office")</f>
        <v>Hybrid Working Environment with more than 15 days a month at office</v>
      </c>
      <c r="L1903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90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03" s="1" t="str">
        <f ca="1">IFERROR(__xludf.DUMMYFUNCTION("""COMPUTED_VALUE"""),"Design and Creative strategy in any company, Business Operations in any organization, Build and develop a Team, Work in a BPO setup for some well known client")</f>
        <v>Design and Creative strategy in any company, Business Operations in any organization, Build and develop a Team, Work in a BPO setup for some well known client</v>
      </c>
      <c r="O1903" s="1" t="str">
        <f ca="1">IFERROR(__xludf.DUMMYFUNCTION("""COMPUTED_VALUE"""),"Manager who explains what is expected, sets a goal and helps achieve it")</f>
        <v>Manager who explains what is expected, sets a goal and helps achieve it</v>
      </c>
      <c r="P1903" s="1" t="str">
        <f ca="1">IFERROR(__xludf.DUMMYFUNCTION("""COMPUTED_VALUE"""),"Work with 7 to 10 or more people in my team")</f>
        <v>Work with 7 to 10 or more people in my team</v>
      </c>
      <c r="Q1903" s="1" t="str">
        <f ca="1">IFERROR(__xludf.DUMMYFUNCTION("""COMPUTED_VALUE"""),"No")</f>
        <v>No</v>
      </c>
      <c r="R1903" s="1" t="str">
        <f ca="1">IFERROR(__xludf.DUMMYFUNCTION("""COMPUTED_VALUE"""),"This will be hard to do, but if it is the right company I would try")</f>
        <v>This will be hard to do, but if it is the right company I would try</v>
      </c>
      <c r="S1903" s="1" t="str">
        <f ca="1">IFERROR(__xludf.DUMMYFUNCTION("""COMPUTED_VALUE"""),"sonalisingh87569@gmail.com")</f>
        <v>sonalisingh87569@gmail.com</v>
      </c>
    </row>
    <row r="1904" spans="1:19" ht="12.5" x14ac:dyDescent="0.25">
      <c r="A1904" s="2">
        <f ca="1">IFERROR(__xludf.DUMMYFUNCTION("""COMPUTED_VALUE"""),45062.9139179629)</f>
        <v>45062.913917962898</v>
      </c>
      <c r="B1904" s="1" t="str">
        <f ca="1">IFERROR(__xludf.DUMMYFUNCTION("""COMPUTED_VALUE"""),"India")</f>
        <v>India</v>
      </c>
      <c r="C1904" s="1">
        <f ca="1">IFERROR(__xludf.DUMMYFUNCTION("""COMPUTED_VALUE"""),110078)</f>
        <v>110078</v>
      </c>
      <c r="D1904" s="1" t="str">
        <f ca="1">IFERROR(__xludf.DUMMYFUNCTION("""COMPUTED_VALUE"""),"Male")</f>
        <v>Male</v>
      </c>
      <c r="E1904" s="1" t="str">
        <f ca="1">IFERROR(__xludf.DUMMYFUNCTION("""COMPUTED_VALUE"""),"My Parents")</f>
        <v>My Parents</v>
      </c>
      <c r="F1904" s="1" t="str">
        <f ca="1">IFERROR(__xludf.DUMMYFUNCTION("""COMPUTED_VALUE"""),"No I would not be pursuing Higher Education outside of India")</f>
        <v>No I would not be pursuing Higher Education outside of India</v>
      </c>
      <c r="G1904" s="1" t="str">
        <f ca="1">IFERROR(__xludf.DUMMYFUNCTION("""COMPUTED_VALUE"""),"No way")</f>
        <v>No way</v>
      </c>
      <c r="H1904" s="1" t="str">
        <f ca="1">IFERROR(__xludf.DUMMYFUNCTION("""COMPUTED_VALUE"""),"Yes")</f>
        <v>Yes</v>
      </c>
      <c r="I1904" s="1" t="str">
        <f ca="1">IFERROR(__xludf.DUMMYFUNCTION("""COMPUTED_VALUE"""),"Will work for them")</f>
        <v>Will work for them</v>
      </c>
      <c r="J1904" s="1">
        <f ca="1">IFERROR(__xludf.DUMMYFUNCTION("""COMPUTED_VALUE"""),1)</f>
        <v>1</v>
      </c>
      <c r="K1904" s="1" t="str">
        <f ca="1">IFERROR(__xludf.DUMMYFUNCTION("""COMPUTED_VALUE"""),"Hybrid Working Environment with more than 15 days a month at office")</f>
        <v>Hybrid Working Environment with more than 15 days a month at office</v>
      </c>
      <c r="L1904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90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04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1904" s="1" t="str">
        <f ca="1">IFERROR(__xludf.DUMMYFUNCTION("""COMPUTED_VALUE"""),"Manager who explains what is expected, sets a goal and helps achieve it")</f>
        <v>Manager who explains what is expected, sets a goal and helps achieve it</v>
      </c>
      <c r="P1904" s="1" t="str">
        <f ca="1">IFERROR(__xludf.DUMMYFUNCTION("""COMPUTED_VALUE"""),"Work with 7 to 10 or more people in my team")</f>
        <v>Work with 7 to 10 or more people in my team</v>
      </c>
      <c r="Q1904" s="1" t="str">
        <f ca="1">IFERROR(__xludf.DUMMYFUNCTION("""COMPUTED_VALUE"""),"Yes, I Understand this is gonna happen everywhere")</f>
        <v>Yes, I Understand this is gonna happen everywhere</v>
      </c>
      <c r="R1904" s="1" t="str">
        <f ca="1">IFERROR(__xludf.DUMMYFUNCTION("""COMPUTED_VALUE"""),"No way")</f>
        <v>No way</v>
      </c>
      <c r="S1904" s="1" t="str">
        <f ca="1">IFERROR(__xludf.DUMMYFUNCTION("""COMPUTED_VALUE"""),"saxena.yash@bba.christuniversity.in")</f>
        <v>saxena.yash@bba.christuniversity.in</v>
      </c>
    </row>
    <row r="1905" spans="1:19" ht="12.5" x14ac:dyDescent="0.25">
      <c r="A1905" s="2">
        <f ca="1">IFERROR(__xludf.DUMMYFUNCTION("""COMPUTED_VALUE"""),45062.9143139699)</f>
        <v>45062.914313969901</v>
      </c>
      <c r="B1905" s="1" t="str">
        <f ca="1">IFERROR(__xludf.DUMMYFUNCTION("""COMPUTED_VALUE"""),"India")</f>
        <v>India</v>
      </c>
      <c r="C1905" s="1">
        <f ca="1">IFERROR(__xludf.DUMMYFUNCTION("""COMPUTED_VALUE"""),462043)</f>
        <v>462043</v>
      </c>
      <c r="D1905" s="1" t="str">
        <f ca="1">IFERROR(__xludf.DUMMYFUNCTION("""COMPUTED_VALUE"""),"Male")</f>
        <v>Male</v>
      </c>
      <c r="E1905" s="1" t="str">
        <f ca="1">IFERROR(__xludf.DUMMYFUNCTION("""COMPUTED_VALUE"""),"Social Media like LinkedIn")</f>
        <v>Social Media like LinkedIn</v>
      </c>
      <c r="F1905" s="1" t="str">
        <f ca="1">IFERROR(__xludf.DUMMYFUNCTION("""COMPUTED_VALUE"""),"No I would not be pursuing Higher Education outside of India")</f>
        <v>No I would not be pursuing Higher Education outside of India</v>
      </c>
      <c r="G1905" s="1" t="str">
        <f ca="1">IFERROR(__xludf.DUMMYFUNCTION("""COMPUTED_VALUE"""),"Will work for 3 years or more")</f>
        <v>Will work for 3 years or more</v>
      </c>
      <c r="H1905" s="1" t="str">
        <f ca="1">IFERROR(__xludf.DUMMYFUNCTION("""COMPUTED_VALUE"""),"No")</f>
        <v>No</v>
      </c>
      <c r="I1905" s="1" t="str">
        <f ca="1">IFERROR(__xludf.DUMMYFUNCTION("""COMPUTED_VALUE"""),"Will NOT work for them")</f>
        <v>Will NOT work for them</v>
      </c>
      <c r="J1905" s="1">
        <f ca="1">IFERROR(__xludf.DUMMYFUNCTION("""COMPUTED_VALUE"""),7)</f>
        <v>7</v>
      </c>
      <c r="K1905" s="1" t="str">
        <f ca="1">IFERROR(__xludf.DUMMYFUNCTION("""COMPUTED_VALUE"""),"Fully Remote with Options to travel as and when needed")</f>
        <v>Fully Remote with Options to travel as and when needed</v>
      </c>
      <c r="L19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05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905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1905" s="1" t="str">
        <f ca="1">IFERROR(__xludf.DUMMYFUNCTION("""COMPUTED_VALUE"""),"Manager who explains what is expected, sets a goal and helps achieve it")</f>
        <v>Manager who explains what is expected, sets a goal and helps achieve it</v>
      </c>
      <c r="P1905" s="1" t="str">
        <f ca="1">IFERROR(__xludf.DUMMYFUNCTION("""COMPUTED_VALUE"""),"Work with 7 to 10 or more people in my team")</f>
        <v>Work with 7 to 10 or more people in my team</v>
      </c>
      <c r="Q1905" s="1" t="str">
        <f ca="1">IFERROR(__xludf.DUMMYFUNCTION("""COMPUTED_VALUE"""),"Yes, I Understand this is gonna happen everywhere")</f>
        <v>Yes, I Understand this is gonna happen everywhere</v>
      </c>
      <c r="R1905" s="1" t="str">
        <f ca="1">IFERROR(__xludf.DUMMYFUNCTION("""COMPUTED_VALUE"""),"This will be hard to do, but if it is the right company I would try")</f>
        <v>This will be hard to do, but if it is the right company I would try</v>
      </c>
      <c r="S1905" s="1" t="str">
        <f ca="1">IFERROR(__xludf.DUMMYFUNCTION("""COMPUTED_VALUE"""),"bathamv@gmail.com")</f>
        <v>bathamv@gmail.com</v>
      </c>
    </row>
    <row r="1906" spans="1:19" ht="12.5" x14ac:dyDescent="0.25">
      <c r="A1906" s="2">
        <f ca="1">IFERROR(__xludf.DUMMYFUNCTION("""COMPUTED_VALUE"""),45062.9144640625)</f>
        <v>45062.914464062502</v>
      </c>
      <c r="B1906" s="1" t="str">
        <f ca="1">IFERROR(__xludf.DUMMYFUNCTION("""COMPUTED_VALUE"""),"India")</f>
        <v>India</v>
      </c>
      <c r="C1906" s="1">
        <f ca="1">IFERROR(__xludf.DUMMYFUNCTION("""COMPUTED_VALUE"""),620002)</f>
        <v>620002</v>
      </c>
      <c r="D1906" s="1" t="str">
        <f ca="1">IFERROR(__xludf.DUMMYFUNCTION("""COMPUTED_VALUE"""),"Male")</f>
        <v>Male</v>
      </c>
      <c r="E1906" s="1" t="str">
        <f ca="1">IFERROR(__xludf.DUMMYFUNCTION("""COMPUTED_VALUE"""),"Influencers who had successful careers")</f>
        <v>Influencers who had successful careers</v>
      </c>
      <c r="F1906" s="1" t="str">
        <f ca="1">IFERROR(__xludf.DUMMYFUNCTION("""COMPUTED_VALUE"""),"No I would not be pursuing Higher Education outside of India")</f>
        <v>No I would not be pursuing Higher Education outside of India</v>
      </c>
      <c r="G1906" s="1" t="str">
        <f ca="1">IFERROR(__xludf.DUMMYFUNCTION("""COMPUTED_VALUE"""),"No way")</f>
        <v>No way</v>
      </c>
      <c r="H1906" s="1" t="str">
        <f ca="1">IFERROR(__xludf.DUMMYFUNCTION("""COMPUTED_VALUE"""),"Yes")</f>
        <v>Yes</v>
      </c>
      <c r="I1906" s="1" t="str">
        <f ca="1">IFERROR(__xludf.DUMMYFUNCTION("""COMPUTED_VALUE"""),"Will work for them")</f>
        <v>Will work for them</v>
      </c>
      <c r="J1906" s="1">
        <f ca="1">IFERROR(__xludf.DUMMYFUNCTION("""COMPUTED_VALUE"""),3)</f>
        <v>3</v>
      </c>
      <c r="K1906" s="1" t="str">
        <f ca="1">IFERROR(__xludf.DUMMYFUNCTION("""COMPUTED_VALUE"""),"Hybrid Working Environment with more than 15 days a month at office")</f>
        <v>Hybrid Working Environment with more than 15 days a month at office</v>
      </c>
      <c r="L1906" s="1" t="str">
        <f ca="1">IFERROR(__xludf.DUMMYFUNCTION("""COMPUTED_VALUE"""),"Employer who appreciates learning and enables that environment")</f>
        <v>Employer who appreciates learning and enables that environment</v>
      </c>
      <c r="M190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06" s="1" t="str">
        <f ca="1">IFERROR(__xludf.DUMMYFUNCTION("""COMPUTED_VALUE"""),"Teaching in any of the institutes/colleges/online or offline, Business Operations in any organization, An Artificial Intelligence Specialist / Talking to Robots, Manufacturing / Oil and Gas/ Construction / Hard Physical Work related")</f>
        <v>Teaching in any of the institutes/colleges/online or offline, Business Operations in any organization, An Artificial Intelligence Specialist / Talking to Robots, Manufacturing / Oil and Gas/ Construction / Hard Physical Work related</v>
      </c>
      <c r="O1906" s="1" t="str">
        <f ca="1">IFERROR(__xludf.DUMMYFUNCTION("""COMPUTED_VALUE"""),"Manager who sets targets and expects me to achieve it")</f>
        <v>Manager who sets targets and expects me to achieve it</v>
      </c>
      <c r="P1906" s="1" t="str">
        <f ca="1">IFERROR(__xludf.DUMMYFUNCTION("""COMPUTED_VALUE"""),"Work alone, Work with 2 to 3 people in my team")</f>
        <v>Work alone, Work with 2 to 3 people in my team</v>
      </c>
      <c r="Q1906" s="1" t="str">
        <f ca="1">IFERROR(__xludf.DUMMYFUNCTION("""COMPUTED_VALUE"""),"Yes, I Understand this is gonna happen everywhere")</f>
        <v>Yes, I Understand this is gonna happen everywhere</v>
      </c>
      <c r="R1906" s="1" t="str">
        <f ca="1">IFERROR(__xludf.DUMMYFUNCTION("""COMPUTED_VALUE"""),"This will be hard to do, but if it is the right company I would try")</f>
        <v>This will be hard to do, but if it is the right company I would try</v>
      </c>
      <c r="S1906" s="1" t="str">
        <f ca="1">IFERROR(__xludf.DUMMYFUNCTION("""COMPUTED_VALUE"""),"vikramvikki0804@gmail.com")</f>
        <v>vikramvikki0804@gmail.com</v>
      </c>
    </row>
    <row r="1907" spans="1:19" ht="12.5" x14ac:dyDescent="0.25">
      <c r="A1907" s="2">
        <f ca="1">IFERROR(__xludf.DUMMYFUNCTION("""COMPUTED_VALUE"""),45062.9153371759)</f>
        <v>45062.915337175902</v>
      </c>
      <c r="B1907" s="1" t="str">
        <f ca="1">IFERROR(__xludf.DUMMYFUNCTION("""COMPUTED_VALUE"""),"India")</f>
        <v>India</v>
      </c>
      <c r="C1907" s="1">
        <f ca="1">IFERROR(__xludf.DUMMYFUNCTION("""COMPUTED_VALUE"""),221003)</f>
        <v>221003</v>
      </c>
      <c r="D1907" s="1" t="str">
        <f ca="1">IFERROR(__xludf.DUMMYFUNCTION("""COMPUTED_VALUE"""),"Female")</f>
        <v>Female</v>
      </c>
      <c r="E1907" s="1" t="str">
        <f ca="1">IFERROR(__xludf.DUMMYFUNCTION("""COMPUTED_VALUE"""),"People from my circle, but not family members")</f>
        <v>People from my circle, but not family members</v>
      </c>
      <c r="F1907" s="1" t="str">
        <f ca="1">IFERROR(__xludf.DUMMYFUNCTION("""COMPUTED_VALUE"""),"Yes, I will earn and do that")</f>
        <v>Yes, I will earn and do that</v>
      </c>
      <c r="G1907" s="1" t="str">
        <f ca="1">IFERROR(__xludf.DUMMYFUNCTION("""COMPUTED_VALUE"""),"This will be hard to do, but if it is the right company I would try")</f>
        <v>This will be hard to do, but if it is the right company I would try</v>
      </c>
      <c r="H1907" s="1" t="str">
        <f ca="1">IFERROR(__xludf.DUMMYFUNCTION("""COMPUTED_VALUE"""),"No")</f>
        <v>No</v>
      </c>
      <c r="I1907" s="1" t="str">
        <f ca="1">IFERROR(__xludf.DUMMYFUNCTION("""COMPUTED_VALUE"""),"Will NOT work for them")</f>
        <v>Will NOT work for them</v>
      </c>
      <c r="J1907" s="1">
        <f ca="1">IFERROR(__xludf.DUMMYFUNCTION("""COMPUTED_VALUE"""),3)</f>
        <v>3</v>
      </c>
      <c r="K1907" s="1" t="str">
        <f ca="1">IFERROR(__xludf.DUMMYFUNCTION("""COMPUTED_VALUE"""),"Fully Remote with Options to travel as and when needed")</f>
        <v>Fully Remote with Options to travel as and when needed</v>
      </c>
      <c r="L19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07" s="1" t="str">
        <f ca="1">IFERROR(__xludf.DUMMYFUNCTION("""COMPUTED_VALUE"""),"Design and Creative strategy in any company, Teaching in any of the institutes/colleges/online or offline, Manage and drive End-to-End Projects or Products, Entrepreneur or Start Up")</f>
        <v>Design and Creative strategy in any company, Teaching in any of the institutes/colleges/online or offline, Manage and drive End-to-End Projects or Products, Entrepreneur or Start Up</v>
      </c>
      <c r="O1907" s="1" t="str">
        <f ca="1">IFERROR(__xludf.DUMMYFUNCTION("""COMPUTED_VALUE"""),"Manager who clearly describes what she/he needs")</f>
        <v>Manager who clearly describes what she/he needs</v>
      </c>
      <c r="P1907" s="1" t="str">
        <f ca="1">IFERROR(__xludf.DUMMYFUNCTION("""COMPUTED_VALUE"""),"Work alone, Work with 2 to 3 people in my team")</f>
        <v>Work alone, Work with 2 to 3 people in my team</v>
      </c>
      <c r="Q1907" s="1" t="str">
        <f ca="1">IFERROR(__xludf.DUMMYFUNCTION("""COMPUTED_VALUE"""),"Yes")</f>
        <v>Yes</v>
      </c>
      <c r="R1907" s="1" t="str">
        <f ca="1">IFERROR(__xludf.DUMMYFUNCTION("""COMPUTED_VALUE"""),"This will be hard to do, but if it is the right company I would try")</f>
        <v>This will be hard to do, but if it is the right company I would try</v>
      </c>
      <c r="S1907" s="1" t="str">
        <f ca="1">IFERROR(__xludf.DUMMYFUNCTION("""COMPUTED_VALUE"""),"archanachaubey126@gmail.com")</f>
        <v>archanachaubey126@gmail.com</v>
      </c>
    </row>
    <row r="1908" spans="1:19" ht="12.5" x14ac:dyDescent="0.25">
      <c r="A1908" s="2">
        <f ca="1">IFERROR(__xludf.DUMMYFUNCTION("""COMPUTED_VALUE"""),45062.9157454513)</f>
        <v>45062.915745451297</v>
      </c>
      <c r="B1908" s="1" t="str">
        <f ca="1">IFERROR(__xludf.DUMMYFUNCTION("""COMPUTED_VALUE"""),"India")</f>
        <v>India</v>
      </c>
      <c r="C1908" s="1">
        <f ca="1">IFERROR(__xludf.DUMMYFUNCTION("""COMPUTED_VALUE"""),208021)</f>
        <v>208021</v>
      </c>
      <c r="D1908" s="1" t="str">
        <f ca="1">IFERROR(__xludf.DUMMYFUNCTION("""COMPUTED_VALUE"""),"Male")</f>
        <v>Male</v>
      </c>
      <c r="E1908" s="1" t="str">
        <f ca="1">IFERROR(__xludf.DUMMYFUNCTION("""COMPUTED_VALUE"""),"People who have changed the world for better")</f>
        <v>People who have changed the world for better</v>
      </c>
      <c r="F1908" s="1" t="str">
        <f ca="1">IFERROR(__xludf.DUMMYFUNCTION("""COMPUTED_VALUE"""),"No I would not be pursuing Higher Education outside of India")</f>
        <v>No I would not be pursuing Higher Education outside of India</v>
      </c>
      <c r="G1908" s="1" t="str">
        <f ca="1">IFERROR(__xludf.DUMMYFUNCTION("""COMPUTED_VALUE"""),"This will be hard to do, but if it is the right company I would try")</f>
        <v>This will be hard to do, but if it is the right company I would try</v>
      </c>
      <c r="H1908" s="1" t="str">
        <f ca="1">IFERROR(__xludf.DUMMYFUNCTION("""COMPUTED_VALUE"""),"No")</f>
        <v>No</v>
      </c>
      <c r="I1908" s="1" t="str">
        <f ca="1">IFERROR(__xludf.DUMMYFUNCTION("""COMPUTED_VALUE"""),"Will NOT work for them")</f>
        <v>Will NOT work for them</v>
      </c>
      <c r="J1908" s="1">
        <f ca="1">IFERROR(__xludf.DUMMYFUNCTION("""COMPUTED_VALUE"""),2)</f>
        <v>2</v>
      </c>
      <c r="K1908" s="1" t="str">
        <f ca="1">IFERROR(__xludf.DUMMYFUNCTION("""COMPUTED_VALUE"""),"Fully Remote with No option to visit offices")</f>
        <v>Fully Remote with No option to visit offices</v>
      </c>
      <c r="L19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08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908" s="1" t="str">
        <f ca="1">IFERROR(__xludf.DUMMYFUNCTION("""COMPUTED_VALUE"""),"Teaching in any of the institutes/colleges/online or offline, Design and Develop amazing software, Entrepreneur or Start Up, An Artificial Intelligence Specialist / Talking to Robots")</f>
        <v>Teaching in any of the institutes/colleges/online or offline, Design and Develop amazing software, Entrepreneur or Start Up, An Artificial Intelligence Specialist / Talking to Robots</v>
      </c>
      <c r="O1908" s="1" t="str">
        <f ca="1">IFERROR(__xludf.DUMMYFUNCTION("""COMPUTED_VALUE"""),"Manager who sets goal and helps me achieve it")</f>
        <v>Manager who sets goal and helps me achieve it</v>
      </c>
      <c r="P1908" s="1" t="str">
        <f ca="1">IFERROR(__xludf.DUMMYFUNCTION("""COMPUTED_VALUE"""),"Work with more than 10 people in my team")</f>
        <v>Work with more than 10 people in my team</v>
      </c>
      <c r="Q1908" s="1" t="str">
        <f ca="1">IFERROR(__xludf.DUMMYFUNCTION("""COMPUTED_VALUE"""),"Yes, I Understand this is gonna happen everywhere")</f>
        <v>Yes, I Understand this is gonna happen everywhere</v>
      </c>
      <c r="R1908" s="1" t="str">
        <f ca="1">IFERROR(__xludf.DUMMYFUNCTION("""COMPUTED_VALUE"""),"This will be hard to do, but if it is the right company I would try")</f>
        <v>This will be hard to do, but if it is the right company I would try</v>
      </c>
      <c r="S1908" s="1" t="str">
        <f ca="1">IFERROR(__xludf.DUMMYFUNCTION("""COMPUTED_VALUE"""),"soniprince110607@gmail.com")</f>
        <v>soniprince110607@gmail.com</v>
      </c>
    </row>
    <row r="1909" spans="1:19" ht="12.5" x14ac:dyDescent="0.25">
      <c r="A1909" s="2">
        <f ca="1">IFERROR(__xludf.DUMMYFUNCTION("""COMPUTED_VALUE"""),45062.9159845023)</f>
        <v>45062.915984502302</v>
      </c>
      <c r="B1909" s="1" t="str">
        <f ca="1">IFERROR(__xludf.DUMMYFUNCTION("""COMPUTED_VALUE"""),"India")</f>
        <v>India</v>
      </c>
      <c r="C1909" s="1">
        <f ca="1">IFERROR(__xludf.DUMMYFUNCTION("""COMPUTED_VALUE"""),613301)</f>
        <v>613301</v>
      </c>
      <c r="D1909" s="1" t="str">
        <f ca="1">IFERROR(__xludf.DUMMYFUNCTION("""COMPUTED_VALUE"""),"Female")</f>
        <v>Female</v>
      </c>
      <c r="E1909" s="1" t="str">
        <f ca="1">IFERROR(__xludf.DUMMYFUNCTION("""COMPUTED_VALUE"""),"Influencers who had successful careers")</f>
        <v>Influencers who had successful careers</v>
      </c>
      <c r="F1909" s="1" t="str">
        <f ca="1">IFERROR(__xludf.DUMMYFUNCTION("""COMPUTED_VALUE"""),"Yes, I will earn and do that")</f>
        <v>Yes, I will earn and do that</v>
      </c>
      <c r="G1909" s="1" t="str">
        <f ca="1">IFERROR(__xludf.DUMMYFUNCTION("""COMPUTED_VALUE"""),"Will work for 3 years or more")</f>
        <v>Will work for 3 years or more</v>
      </c>
      <c r="H1909" s="1" t="str">
        <f ca="1">IFERROR(__xludf.DUMMYFUNCTION("""COMPUTED_VALUE"""),"No")</f>
        <v>No</v>
      </c>
      <c r="I1909" s="1" t="str">
        <f ca="1">IFERROR(__xludf.DUMMYFUNCTION("""COMPUTED_VALUE"""),"Will NOT work for them")</f>
        <v>Will NOT work for them</v>
      </c>
      <c r="J1909" s="1">
        <f ca="1">IFERROR(__xludf.DUMMYFUNCTION("""COMPUTED_VALUE"""),1)</f>
        <v>1</v>
      </c>
      <c r="K1909" s="1" t="str">
        <f ca="1">IFERROR(__xludf.DUMMYFUNCTION("""COMPUTED_VALUE"""),"Every Day Office Environment")</f>
        <v>Every Day Office Environment</v>
      </c>
      <c r="L1909" s="1" t="str">
        <f ca="1">IFERROR(__xludf.DUMMYFUNCTION("""COMPUTED_VALUE"""),"Employer who appreciates learning and enables that environment")</f>
        <v>Employer who appreciates learning and enables that environment</v>
      </c>
      <c r="M190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09" s="1" t="str">
        <f ca="1">IFERROR(__xludf.DUMMYFUNCTION("""COMPUTED_VALUE"""),"Build and develop a Team, Look deeply into Data and generate insights, Work as a freelancer and do my thing my way, An Artificial Intelligence Specialist / Talking to Robots")</f>
        <v>Build and develop a Team, Look deeply into Data and generate insights, Work as a freelancer and do my thing my way, An Artificial Intelligence Specialist / Talking to Robots</v>
      </c>
      <c r="O1909" s="1" t="str">
        <f ca="1">IFERROR(__xludf.DUMMYFUNCTION("""COMPUTED_VALUE"""),"Manager who clearly describes what she/he needs")</f>
        <v>Manager who clearly describes what she/he needs</v>
      </c>
      <c r="P1909" s="1" t="str">
        <f ca="1">IFERROR(__xludf.DUMMYFUNCTION("""COMPUTED_VALUE"""),"Work with 2 to 3 people in my team")</f>
        <v>Work with 2 to 3 people in my team</v>
      </c>
      <c r="Q1909" s="1" t="str">
        <f ca="1">IFERROR(__xludf.DUMMYFUNCTION("""COMPUTED_VALUE"""),"Yes, I Understand this is gonna happen everywhere")</f>
        <v>Yes, I Understand this is gonna happen everywhere</v>
      </c>
      <c r="R1909" s="1" t="str">
        <f ca="1">IFERROR(__xludf.DUMMYFUNCTION("""COMPUTED_VALUE"""),"Will work for 7 years or more")</f>
        <v>Will work for 7 years or more</v>
      </c>
      <c r="S1909" s="1" t="str">
        <f ca="1">IFERROR(__xludf.DUMMYFUNCTION("""COMPUTED_VALUE"""),"vivekaveeraselvam04@gmail.com")</f>
        <v>vivekaveeraselvam04@gmail.com</v>
      </c>
    </row>
    <row r="1910" spans="1:19" ht="12.5" x14ac:dyDescent="0.25">
      <c r="A1910" s="2">
        <f ca="1">IFERROR(__xludf.DUMMYFUNCTION("""COMPUTED_VALUE"""),45062.9159868865)</f>
        <v>45062.915986886503</v>
      </c>
      <c r="B1910" s="1" t="str">
        <f ca="1">IFERROR(__xludf.DUMMYFUNCTION("""COMPUTED_VALUE"""),"India")</f>
        <v>India</v>
      </c>
      <c r="C1910" s="1">
        <f ca="1">IFERROR(__xludf.DUMMYFUNCTION("""COMPUTED_VALUE"""),637001)</f>
        <v>637001</v>
      </c>
      <c r="D1910" s="1" t="str">
        <f ca="1">IFERROR(__xludf.DUMMYFUNCTION("""COMPUTED_VALUE"""),"Female")</f>
        <v>Female</v>
      </c>
      <c r="E1910" s="1" t="str">
        <f ca="1">IFERROR(__xludf.DUMMYFUNCTION("""COMPUTED_VALUE"""),"People who have changed the world for better")</f>
        <v>People who have changed the world for better</v>
      </c>
      <c r="F1910" s="1" t="str">
        <f ca="1">IFERROR(__xludf.DUMMYFUNCTION("""COMPUTED_VALUE"""),"No I would not be pursuing Higher Education outside of India")</f>
        <v>No I would not be pursuing Higher Education outside of India</v>
      </c>
      <c r="G1910" s="1" t="str">
        <f ca="1">IFERROR(__xludf.DUMMYFUNCTION("""COMPUTED_VALUE"""),"This will be hard to do, but if it is the right company I would try")</f>
        <v>This will be hard to do, but if it is the right company I would try</v>
      </c>
      <c r="H1910" s="1" t="str">
        <f ca="1">IFERROR(__xludf.DUMMYFUNCTION("""COMPUTED_VALUE"""),"No")</f>
        <v>No</v>
      </c>
      <c r="I1910" s="1" t="str">
        <f ca="1">IFERROR(__xludf.DUMMYFUNCTION("""COMPUTED_VALUE"""),"Will NOT work for them")</f>
        <v>Will NOT work for them</v>
      </c>
      <c r="J1910" s="1">
        <f ca="1">IFERROR(__xludf.DUMMYFUNCTION("""COMPUTED_VALUE"""),6)</f>
        <v>6</v>
      </c>
      <c r="K1910" s="1" t="str">
        <f ca="1">IFERROR(__xludf.DUMMYFUNCTION("""COMPUTED_VALUE"""),"Hybrid Working Environment with more than 15 days a month at office")</f>
        <v>Hybrid Working Environment with more than 15 days a month at office</v>
      </c>
      <c r="L1910" s="1" t="str">
        <f ca="1">IFERROR(__xludf.DUMMYFUNCTION("""COMPUTED_VALUE"""),"Employer who rewards learning and enables that environment")</f>
        <v>Employer who rewards learning and enables that environment</v>
      </c>
      <c r="M191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1910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910" s="1" t="str">
        <f ca="1">IFERROR(__xludf.DUMMYFUNCTION("""COMPUTED_VALUE"""),"Manager who explains what is expected, sets a goal and helps achieve it")</f>
        <v>Manager who explains what is expected, sets a goal and helps achieve it</v>
      </c>
      <c r="P1910" s="1" t="str">
        <f ca="1">IFERROR(__xludf.DUMMYFUNCTION("""COMPUTED_VALUE"""),"Work with 2 to 3 people in my team")</f>
        <v>Work with 2 to 3 people in my team</v>
      </c>
      <c r="Q1910" s="1" t="str">
        <f ca="1">IFERROR(__xludf.DUMMYFUNCTION("""COMPUTED_VALUE"""),"Yes, I Understand this is gonna happen everywhere")</f>
        <v>Yes, I Understand this is gonna happen everywhere</v>
      </c>
      <c r="R1910" s="1" t="str">
        <f ca="1">IFERROR(__xludf.DUMMYFUNCTION("""COMPUTED_VALUE"""),"This will be hard to do, but if it is the right company I would try")</f>
        <v>This will be hard to do, but if it is the right company I would try</v>
      </c>
      <c r="S1910" s="1" t="str">
        <f ca="1">IFERROR(__xludf.DUMMYFUNCTION("""COMPUTED_VALUE"""),"anurajen8@gmail.com")</f>
        <v>anurajen8@gmail.com</v>
      </c>
    </row>
    <row r="1911" spans="1:19" ht="12.5" x14ac:dyDescent="0.25">
      <c r="A1911" s="2">
        <f ca="1">IFERROR(__xludf.DUMMYFUNCTION("""COMPUTED_VALUE"""),45062.915988287)</f>
        <v>45062.915988287001</v>
      </c>
      <c r="B1911" s="1" t="str">
        <f ca="1">IFERROR(__xludf.DUMMYFUNCTION("""COMPUTED_VALUE"""),"India")</f>
        <v>India</v>
      </c>
      <c r="C1911" s="1">
        <f ca="1">IFERROR(__xludf.DUMMYFUNCTION("""COMPUTED_VALUE"""),636404)</f>
        <v>636404</v>
      </c>
      <c r="D1911" s="1" t="str">
        <f ca="1">IFERROR(__xludf.DUMMYFUNCTION("""COMPUTED_VALUE"""),"Female")</f>
        <v>Female</v>
      </c>
      <c r="E1911" s="1" t="str">
        <f ca="1">IFERROR(__xludf.DUMMYFUNCTION("""COMPUTED_VALUE"""),"My Parents")</f>
        <v>My Parents</v>
      </c>
      <c r="F1911" s="1" t="str">
        <f ca="1">IFERROR(__xludf.DUMMYFUNCTION("""COMPUTED_VALUE"""),"Yes, I will earn and do that")</f>
        <v>Yes, I will earn and do that</v>
      </c>
      <c r="G1911" s="1" t="str">
        <f ca="1">IFERROR(__xludf.DUMMYFUNCTION("""COMPUTED_VALUE"""),"This will be hard to do, but if it is the right company I would try")</f>
        <v>This will be hard to do, but if it is the right company I would try</v>
      </c>
      <c r="H1911" s="1" t="str">
        <f ca="1">IFERROR(__xludf.DUMMYFUNCTION("""COMPUTED_VALUE"""),"No")</f>
        <v>No</v>
      </c>
      <c r="I1911" s="1" t="str">
        <f ca="1">IFERROR(__xludf.DUMMYFUNCTION("""COMPUTED_VALUE"""),"Will NOT work for them")</f>
        <v>Will NOT work for them</v>
      </c>
      <c r="J1911" s="1">
        <f ca="1">IFERROR(__xludf.DUMMYFUNCTION("""COMPUTED_VALUE"""),5)</f>
        <v>5</v>
      </c>
      <c r="K1911" s="1" t="str">
        <f ca="1">IFERROR(__xludf.DUMMYFUNCTION("""COMPUTED_VALUE"""),"Hybrid Working Environment with more than 15 days a month at office")</f>
        <v>Hybrid Working Environment with more than 15 days a month at office</v>
      </c>
      <c r="L19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1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11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911" s="1" t="str">
        <f ca="1">IFERROR(__xludf.DUMMYFUNCTION("""COMPUTED_VALUE"""),"Manager who explains what is expected, sets a goal and helps achieve it")</f>
        <v>Manager who explains what is expected, sets a goal and helps achieve it</v>
      </c>
      <c r="P1911" s="1" t="str">
        <f ca="1">IFERROR(__xludf.DUMMYFUNCTION("""COMPUTED_VALUE"""),"Work with 2 to 3 people in my team")</f>
        <v>Work with 2 to 3 people in my team</v>
      </c>
      <c r="Q1911" s="1" t="str">
        <f ca="1">IFERROR(__xludf.DUMMYFUNCTION("""COMPUTED_VALUE"""),"Yes, I Understand this is gonna happen everywhere")</f>
        <v>Yes, I Understand this is gonna happen everywhere</v>
      </c>
      <c r="R1911" s="1" t="str">
        <f ca="1">IFERROR(__xludf.DUMMYFUNCTION("""COMPUTED_VALUE"""),"This will be hard to do, but if it is the right company I would try")</f>
        <v>This will be hard to do, but if it is the right company I would try</v>
      </c>
      <c r="S1911" s="1" t="str">
        <f ca="1">IFERROR(__xludf.DUMMYFUNCTION("""COMPUTED_VALUE"""),"yogeshkumar282823@gmail.com")</f>
        <v>yogeshkumar282823@gmail.com</v>
      </c>
    </row>
    <row r="1912" spans="1:19" ht="12.5" x14ac:dyDescent="0.25">
      <c r="A1912" s="2">
        <f ca="1">IFERROR(__xludf.DUMMYFUNCTION("""COMPUTED_VALUE"""),45062.9160296527)</f>
        <v>45062.916029652697</v>
      </c>
      <c r="B1912" s="1" t="str">
        <f ca="1">IFERROR(__xludf.DUMMYFUNCTION("""COMPUTED_VALUE"""),"India")</f>
        <v>India</v>
      </c>
      <c r="C1912" s="1">
        <f ca="1">IFERROR(__xludf.DUMMYFUNCTION("""COMPUTED_VALUE"""),110086)</f>
        <v>110086</v>
      </c>
      <c r="D1912" s="1" t="str">
        <f ca="1">IFERROR(__xludf.DUMMYFUNCTION("""COMPUTED_VALUE"""),"Female")</f>
        <v>Female</v>
      </c>
      <c r="E1912" s="1" t="str">
        <f ca="1">IFERROR(__xludf.DUMMYFUNCTION("""COMPUTED_VALUE"""),"People from my circle, but not family members")</f>
        <v>People from my circle, but not family members</v>
      </c>
      <c r="F1912" s="1" t="str">
        <f ca="1">IFERROR(__xludf.DUMMYFUNCTION("""COMPUTED_VALUE"""),"No I would not be pursuing Higher Education outside of India")</f>
        <v>No I would not be pursuing Higher Education outside of India</v>
      </c>
      <c r="G1912" s="1" t="str">
        <f ca="1">IFERROR(__xludf.DUMMYFUNCTION("""COMPUTED_VALUE"""),"This will be hard to do, but if it is the right company I would try")</f>
        <v>This will be hard to do, but if it is the right company I would try</v>
      </c>
      <c r="H1912" s="1" t="str">
        <f ca="1">IFERROR(__xludf.DUMMYFUNCTION("""COMPUTED_VALUE"""),"No")</f>
        <v>No</v>
      </c>
      <c r="I1912" s="1" t="str">
        <f ca="1">IFERROR(__xludf.DUMMYFUNCTION("""COMPUTED_VALUE"""),"Will NOT work for them")</f>
        <v>Will NOT work for them</v>
      </c>
      <c r="J1912" s="1">
        <f ca="1">IFERROR(__xludf.DUMMYFUNCTION("""COMPUTED_VALUE"""),2)</f>
        <v>2</v>
      </c>
      <c r="K1912" s="1" t="str">
        <f ca="1">IFERROR(__xludf.DUMMYFUNCTION("""COMPUTED_VALUE"""),"Hybrid Working Environment with more than 15 days a month at office")</f>
        <v>Hybrid Working Environment with more than 15 days a month at office</v>
      </c>
      <c r="L19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1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12" s="1" t="str">
        <f ca="1">IFERROR(__xludf.DUMMYFUNCTION("""COMPUTED_VALUE"""),"Business Operations in any organization, Manage and drive End-to-End Projects or Products, Build and develop a Team, Become a content Creator in some platform")</f>
        <v>Business Operations in any organization, Manage and drive End-to-End Projects or Products, Build and develop a Team, Become a content Creator in some platform</v>
      </c>
      <c r="O1912" s="1" t="str">
        <f ca="1">IFERROR(__xludf.DUMMYFUNCTION("""COMPUTED_VALUE"""),"Manager who explains what is expected, sets a goal and helps achieve it")</f>
        <v>Manager who explains what is expected, sets a goal and helps achieve it</v>
      </c>
      <c r="P1912" s="1" t="str">
        <f ca="1">IFERROR(__xludf.DUMMYFUNCTION("""COMPUTED_VALUE"""),"Work with more than 10 people in my team")</f>
        <v>Work with more than 10 people in my team</v>
      </c>
      <c r="Q1912" s="1" t="str">
        <f ca="1">IFERROR(__xludf.DUMMYFUNCTION("""COMPUTED_VALUE"""),"Yes, I Understand this is gonna happen everywhere")</f>
        <v>Yes, I Understand this is gonna happen everywhere</v>
      </c>
      <c r="R1912" s="1" t="str">
        <f ca="1">IFERROR(__xludf.DUMMYFUNCTION("""COMPUTED_VALUE"""),"This will be hard to do, but if it is the right company I would try")</f>
        <v>This will be hard to do, but if it is the right company I would try</v>
      </c>
      <c r="S1912" s="1" t="str">
        <f ca="1">IFERROR(__xludf.DUMMYFUNCTION("""COMPUTED_VALUE"""),"ayushimittal425@gmail.com")</f>
        <v>ayushimittal425@gmail.com</v>
      </c>
    </row>
    <row r="1913" spans="1:19" ht="12.5" x14ac:dyDescent="0.25">
      <c r="A1913" s="2">
        <f ca="1">IFERROR(__xludf.DUMMYFUNCTION("""COMPUTED_VALUE"""),45062.9160377314)</f>
        <v>45062.916037731397</v>
      </c>
      <c r="B1913" s="1" t="str">
        <f ca="1">IFERROR(__xludf.DUMMYFUNCTION("""COMPUTED_VALUE"""),"India")</f>
        <v>India</v>
      </c>
      <c r="C1913" s="1">
        <f ca="1">IFERROR(__xludf.DUMMYFUNCTION("""COMPUTED_VALUE"""),208021)</f>
        <v>208021</v>
      </c>
      <c r="D1913" s="1" t="str">
        <f ca="1">IFERROR(__xludf.DUMMYFUNCTION("""COMPUTED_VALUE"""),"Female")</f>
        <v>Female</v>
      </c>
      <c r="E1913" s="1" t="str">
        <f ca="1">IFERROR(__xludf.DUMMYFUNCTION("""COMPUTED_VALUE"""),"My Parents")</f>
        <v>My Parents</v>
      </c>
      <c r="F1913" s="1" t="str">
        <f ca="1">IFERROR(__xludf.DUMMYFUNCTION("""COMPUTED_VALUE"""),"No I would not be pursuing Higher Education outside of India")</f>
        <v>No I would not be pursuing Higher Education outside of India</v>
      </c>
      <c r="G1913" s="1" t="str">
        <f ca="1">IFERROR(__xludf.DUMMYFUNCTION("""COMPUTED_VALUE"""),"This will be hard to do, but if it is the right company I would try")</f>
        <v>This will be hard to do, but if it is the right company I would try</v>
      </c>
      <c r="H1913" s="1" t="str">
        <f ca="1">IFERROR(__xludf.DUMMYFUNCTION("""COMPUTED_VALUE"""),"No")</f>
        <v>No</v>
      </c>
      <c r="I1913" s="1" t="str">
        <f ca="1">IFERROR(__xludf.DUMMYFUNCTION("""COMPUTED_VALUE"""),"Will NOT work for them")</f>
        <v>Will NOT work for them</v>
      </c>
      <c r="J1913" s="1">
        <f ca="1">IFERROR(__xludf.DUMMYFUNCTION("""COMPUTED_VALUE"""),4)</f>
        <v>4</v>
      </c>
      <c r="K1913" s="1" t="str">
        <f ca="1">IFERROR(__xludf.DUMMYFUNCTION("""COMPUTED_VALUE"""),"Fully Remote with No option to visit offices")</f>
        <v>Fully Remote with No option to visit offices</v>
      </c>
      <c r="L19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1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13" s="1" t="str">
        <f ca="1">IFERROR(__xludf.DUMMYFUNCTION("""COMPUTED_VALUE"""),"Business Operations in any organization, Work in a BPO setup for some well known client, Work as a freelancer and do my thing my way, Entrepreneur or Start Up")</f>
        <v>Business Operations in any organization, Work in a BPO setup for some well known client, Work as a freelancer and do my thing my way, Entrepreneur or Start Up</v>
      </c>
      <c r="O1913" s="1" t="str">
        <f ca="1">IFERROR(__xludf.DUMMYFUNCTION("""COMPUTED_VALUE"""),"Manager who sets goal and helps me achieve it")</f>
        <v>Manager who sets goal and helps me achieve it</v>
      </c>
      <c r="P1913" s="1" t="str">
        <f ca="1">IFERROR(__xludf.DUMMYFUNCTION("""COMPUTED_VALUE"""),"Work with 2 to 3 people in my team")</f>
        <v>Work with 2 to 3 people in my team</v>
      </c>
      <c r="Q1913" s="1" t="str">
        <f ca="1">IFERROR(__xludf.DUMMYFUNCTION("""COMPUTED_VALUE"""),"No")</f>
        <v>No</v>
      </c>
      <c r="R1913" s="1" t="str">
        <f ca="1">IFERROR(__xludf.DUMMYFUNCTION("""COMPUTED_VALUE"""),"This will be hard to do, but if it is the right company I would try")</f>
        <v>This will be hard to do, but if it is the right company I would try</v>
      </c>
      <c r="S1913" s="1" t="str">
        <f ca="1">IFERROR(__xludf.DUMMYFUNCTION("""COMPUTED_VALUE"""),"soninikita309@gmail.com")</f>
        <v>soninikita309@gmail.com</v>
      </c>
    </row>
    <row r="1914" spans="1:19" ht="12.5" x14ac:dyDescent="0.25">
      <c r="A1914" s="2">
        <f ca="1">IFERROR(__xludf.DUMMYFUNCTION("""COMPUTED_VALUE"""),45062.9163871296)</f>
        <v>45062.916387129597</v>
      </c>
      <c r="B1914" s="1" t="str">
        <f ca="1">IFERROR(__xludf.DUMMYFUNCTION("""COMPUTED_VALUE"""),"India")</f>
        <v>India</v>
      </c>
      <c r="C1914" s="1">
        <f ca="1">IFERROR(__xludf.DUMMYFUNCTION("""COMPUTED_VALUE"""),600000)</f>
        <v>600000</v>
      </c>
      <c r="D1914" s="1" t="str">
        <f ca="1">IFERROR(__xludf.DUMMYFUNCTION("""COMPUTED_VALUE"""),"Female")</f>
        <v>Female</v>
      </c>
      <c r="E1914" s="1" t="str">
        <f ca="1">IFERROR(__xludf.DUMMYFUNCTION("""COMPUTED_VALUE"""),"My Parents")</f>
        <v>My Parents</v>
      </c>
      <c r="F1914" s="1" t="str">
        <f ca="1">IFERROR(__xludf.DUMMYFUNCTION("""COMPUTED_VALUE"""),"Yes, I will earn and do that")</f>
        <v>Yes, I will earn and do that</v>
      </c>
      <c r="G1914" s="1" t="str">
        <f ca="1">IFERROR(__xludf.DUMMYFUNCTION("""COMPUTED_VALUE"""),"Will work for 3 years or more")</f>
        <v>Will work for 3 years or more</v>
      </c>
      <c r="H1914" s="1" t="str">
        <f ca="1">IFERROR(__xludf.DUMMYFUNCTION("""COMPUTED_VALUE"""),"No")</f>
        <v>No</v>
      </c>
      <c r="I1914" s="1" t="str">
        <f ca="1">IFERROR(__xludf.DUMMYFUNCTION("""COMPUTED_VALUE"""),"Will NOT work for them")</f>
        <v>Will NOT work for them</v>
      </c>
      <c r="J1914" s="1">
        <f ca="1">IFERROR(__xludf.DUMMYFUNCTION("""COMPUTED_VALUE"""),8)</f>
        <v>8</v>
      </c>
      <c r="K1914" s="1" t="str">
        <f ca="1">IFERROR(__xludf.DUMMYFUNCTION("""COMPUTED_VALUE"""),"Every Day Office Environment")</f>
        <v>Every Day Office Environment</v>
      </c>
      <c r="L1914" s="1" t="str">
        <f ca="1">IFERROR(__xludf.DUMMYFUNCTION("""COMPUTED_VALUE"""),"Employer who appreciates learning and enables that environment")</f>
        <v>Employer who appreciates learning and enables that environment</v>
      </c>
      <c r="M191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914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914" s="1" t="str">
        <f ca="1">IFERROR(__xludf.DUMMYFUNCTION("""COMPUTED_VALUE"""),"Manager who explains what is expected, sets a goal and helps achieve it")</f>
        <v>Manager who explains what is expected, sets a goal and helps achieve it</v>
      </c>
      <c r="P1914" s="1" t="str">
        <f ca="1">IFERROR(__xludf.DUMMYFUNCTION("""COMPUTED_VALUE"""),"Work with 2 to 3 people in my team")</f>
        <v>Work with 2 to 3 people in my team</v>
      </c>
      <c r="Q1914" s="1" t="str">
        <f ca="1">IFERROR(__xludf.DUMMYFUNCTION("""COMPUTED_VALUE"""),"Yes, I Understand this is gonna happen everywhere")</f>
        <v>Yes, I Understand this is gonna happen everywhere</v>
      </c>
      <c r="R1914" s="1" t="str">
        <f ca="1">IFERROR(__xludf.DUMMYFUNCTION("""COMPUTED_VALUE"""),"Will work for 7 years or more")</f>
        <v>Will work for 7 years or more</v>
      </c>
      <c r="S1914" s="1" t="str">
        <f ca="1">IFERROR(__xludf.DUMMYFUNCTION("""COMPUTED_VALUE"""),"treesarose1810@gmail.com")</f>
        <v>treesarose1810@gmail.com</v>
      </c>
    </row>
    <row r="1915" spans="1:19" ht="12.5" x14ac:dyDescent="0.25">
      <c r="A1915" s="2">
        <f ca="1">IFERROR(__xludf.DUMMYFUNCTION("""COMPUTED_VALUE"""),45062.9165692708)</f>
        <v>45062.916569270797</v>
      </c>
      <c r="B1915" s="1" t="str">
        <f ca="1">IFERROR(__xludf.DUMMYFUNCTION("""COMPUTED_VALUE"""),"India")</f>
        <v>India</v>
      </c>
      <c r="C1915" s="1">
        <f ca="1">IFERROR(__xludf.DUMMYFUNCTION("""COMPUTED_VALUE"""),422003)</f>
        <v>422003</v>
      </c>
      <c r="D1915" s="1" t="str">
        <f ca="1">IFERROR(__xludf.DUMMYFUNCTION("""COMPUTED_VALUE"""),"Female")</f>
        <v>Female</v>
      </c>
      <c r="E1915" s="1" t="str">
        <f ca="1">IFERROR(__xludf.DUMMYFUNCTION("""COMPUTED_VALUE"""),"People who have changed the world for better")</f>
        <v>People who have changed the world for better</v>
      </c>
      <c r="F1915" s="1" t="str">
        <f ca="1">IFERROR(__xludf.DUMMYFUNCTION("""COMPUTED_VALUE"""),"Yes, I will earn and do that")</f>
        <v>Yes, I will earn and do that</v>
      </c>
      <c r="G1915" s="1" t="str">
        <f ca="1">IFERROR(__xludf.DUMMYFUNCTION("""COMPUTED_VALUE"""),"This will be hard to do, but if it is the right company I would try")</f>
        <v>This will be hard to do, but if it is the right company I would try</v>
      </c>
      <c r="H1915" s="1" t="str">
        <f ca="1">IFERROR(__xludf.DUMMYFUNCTION("""COMPUTED_VALUE"""),"No")</f>
        <v>No</v>
      </c>
      <c r="I1915" s="1" t="str">
        <f ca="1">IFERROR(__xludf.DUMMYFUNCTION("""COMPUTED_VALUE"""),"Will NOT work for them")</f>
        <v>Will NOT work for them</v>
      </c>
      <c r="J1915" s="1">
        <f ca="1">IFERROR(__xludf.DUMMYFUNCTION("""COMPUTED_VALUE"""),6)</f>
        <v>6</v>
      </c>
      <c r="K1915" s="1" t="str">
        <f ca="1">IFERROR(__xludf.DUMMYFUNCTION("""COMPUTED_VALUE"""),"Fully Remote with Options to travel as and when needed")</f>
        <v>Fully Remote with Options to travel as and when needed</v>
      </c>
      <c r="L19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1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915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915" s="1" t="str">
        <f ca="1">IFERROR(__xludf.DUMMYFUNCTION("""COMPUTED_VALUE"""),"Manager who sets goal and helps me achieve it")</f>
        <v>Manager who sets goal and helps me achieve it</v>
      </c>
      <c r="P1915" s="1" t="str">
        <f ca="1">IFERROR(__xludf.DUMMYFUNCTION("""COMPUTED_VALUE"""),"Work with 5 to 6 people in my team")</f>
        <v>Work with 5 to 6 people in my team</v>
      </c>
      <c r="Q1915" s="1" t="str">
        <f ca="1">IFERROR(__xludf.DUMMYFUNCTION("""COMPUTED_VALUE"""),"Yes, I Understand this is gonna happen everywhere")</f>
        <v>Yes, I Understand this is gonna happen everywhere</v>
      </c>
      <c r="R1915" s="1" t="str">
        <f ca="1">IFERROR(__xludf.DUMMYFUNCTION("""COMPUTED_VALUE"""),"No way")</f>
        <v>No way</v>
      </c>
      <c r="S1915" s="1" t="str">
        <f ca="1">IFERROR(__xludf.DUMMYFUNCTION("""COMPUTED_VALUE"""),"salonisharma3344@gmail.com")</f>
        <v>salonisharma3344@gmail.com</v>
      </c>
    </row>
    <row r="1916" spans="1:19" ht="12.5" x14ac:dyDescent="0.25">
      <c r="A1916" s="2">
        <f ca="1">IFERROR(__xludf.DUMMYFUNCTION("""COMPUTED_VALUE"""),45062.9165891782)</f>
        <v>45062.916589178203</v>
      </c>
      <c r="B1916" s="1" t="str">
        <f ca="1">IFERROR(__xludf.DUMMYFUNCTION("""COMPUTED_VALUE"""),"India")</f>
        <v>India</v>
      </c>
      <c r="C1916" s="1">
        <f ca="1">IFERROR(__xludf.DUMMYFUNCTION("""COMPUTED_VALUE"""),583135)</f>
        <v>583135</v>
      </c>
      <c r="D1916" s="1" t="str">
        <f ca="1">IFERROR(__xludf.DUMMYFUNCTION("""COMPUTED_VALUE"""),"Male")</f>
        <v>Male</v>
      </c>
      <c r="E1916" s="1" t="str">
        <f ca="1">IFERROR(__xludf.DUMMYFUNCTION("""COMPUTED_VALUE"""),"People from my circle, but not family members")</f>
        <v>People from my circle, but not family members</v>
      </c>
      <c r="F1916" s="1" t="str">
        <f ca="1">IFERROR(__xludf.DUMMYFUNCTION("""COMPUTED_VALUE"""),"No, But if someone could bare the cost I will")</f>
        <v>No, But if someone could bare the cost I will</v>
      </c>
      <c r="G1916" s="1" t="str">
        <f ca="1">IFERROR(__xludf.DUMMYFUNCTION("""COMPUTED_VALUE"""),"Will work for 3 years or more")</f>
        <v>Will work for 3 years or more</v>
      </c>
      <c r="H1916" s="1" t="str">
        <f ca="1">IFERROR(__xludf.DUMMYFUNCTION("""COMPUTED_VALUE"""),"No")</f>
        <v>No</v>
      </c>
      <c r="I1916" s="1" t="str">
        <f ca="1">IFERROR(__xludf.DUMMYFUNCTION("""COMPUTED_VALUE"""),"Will NOT work for them")</f>
        <v>Will NOT work for them</v>
      </c>
      <c r="J1916" s="1">
        <f ca="1">IFERROR(__xludf.DUMMYFUNCTION("""COMPUTED_VALUE"""),5)</f>
        <v>5</v>
      </c>
      <c r="K1916" s="1" t="str">
        <f ca="1">IFERROR(__xludf.DUMMYFUNCTION("""COMPUTED_VALUE"""),"Hybrid Working Environment with more than 15 days a month at office")</f>
        <v>Hybrid Working Environment with more than 15 days a month at office</v>
      </c>
      <c r="L1916" s="1" t="str">
        <f ca="1">IFERROR(__xludf.DUMMYFUNCTION("""COMPUTED_VALUE"""),"Employer who appreciates learning and enables that environment")</f>
        <v>Employer who appreciates learning and enables that environment</v>
      </c>
      <c r="M191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916" s="1" t="str">
        <f ca="1">IFERROR(__xludf.DUMMYFUNCTION("""COMPUTED_VALUE"""),"Design and Creative strategy in any company, Business Operations in any organization, Build and develop a Team, Become a content Creator in some platform")</f>
        <v>Design and Creative strategy in any company, Business Operations in any organization, Build and develop a Team, Become a content Creator in some platform</v>
      </c>
      <c r="O1916" s="1" t="str">
        <f ca="1">IFERROR(__xludf.DUMMYFUNCTION("""COMPUTED_VALUE"""),"Manager who explains what is expected, sets a goal and helps achieve it")</f>
        <v>Manager who explains what is expected, sets a goal and helps achieve it</v>
      </c>
      <c r="P1916" s="1" t="str">
        <f ca="1">IFERROR(__xludf.DUMMYFUNCTION("""COMPUTED_VALUE"""),"Work with 2 to 3 people in my team")</f>
        <v>Work with 2 to 3 people in my team</v>
      </c>
      <c r="Q1916" s="1" t="str">
        <f ca="1">IFERROR(__xludf.DUMMYFUNCTION("""COMPUTED_VALUE"""),"Yes, I Understand this is gonna happen everywhere")</f>
        <v>Yes, I Understand this is gonna happen everywhere</v>
      </c>
      <c r="R1916" s="1" t="str">
        <f ca="1">IFERROR(__xludf.DUMMYFUNCTION("""COMPUTED_VALUE"""),"This will be hard to do, but if it is the right company I would try")</f>
        <v>This will be hard to do, but if it is the right company I would try</v>
      </c>
      <c r="S1916" s="1" t="str">
        <f ca="1">IFERROR(__xludf.DUMMYFUNCTION("""COMPUTED_VALUE"""),"iamkiranbabusv@gmail.com")</f>
        <v>iamkiranbabusv@gmail.com</v>
      </c>
    </row>
    <row r="1917" spans="1:19" ht="12.5" x14ac:dyDescent="0.25">
      <c r="A1917" s="2">
        <f ca="1">IFERROR(__xludf.DUMMYFUNCTION("""COMPUTED_VALUE"""),45062.9166654282)</f>
        <v>45062.916665428202</v>
      </c>
      <c r="B1917" s="1" t="str">
        <f ca="1">IFERROR(__xludf.DUMMYFUNCTION("""COMPUTED_VALUE"""),"India")</f>
        <v>India</v>
      </c>
      <c r="C1917" s="1">
        <f ca="1">IFERROR(__xludf.DUMMYFUNCTION("""COMPUTED_VALUE"""),637001)</f>
        <v>637001</v>
      </c>
      <c r="D1917" s="1" t="str">
        <f ca="1">IFERROR(__xludf.DUMMYFUNCTION("""COMPUTED_VALUE"""),"Male")</f>
        <v>Male</v>
      </c>
      <c r="E1917" s="1" t="str">
        <f ca="1">IFERROR(__xludf.DUMMYFUNCTION("""COMPUTED_VALUE"""),"People from my circle, but not family members")</f>
        <v>People from my circle, but not family members</v>
      </c>
      <c r="F1917" s="1" t="str">
        <f ca="1">IFERROR(__xludf.DUMMYFUNCTION("""COMPUTED_VALUE"""),"No I would not be pursuing Higher Education outside of India")</f>
        <v>No I would not be pursuing Higher Education outside of India</v>
      </c>
      <c r="G1917" s="1" t="str">
        <f ca="1">IFERROR(__xludf.DUMMYFUNCTION("""COMPUTED_VALUE"""),"This will be hard to do, but if it is the right company I would try")</f>
        <v>This will be hard to do, but if it is the right company I would try</v>
      </c>
      <c r="H1917" s="1" t="str">
        <f ca="1">IFERROR(__xludf.DUMMYFUNCTION("""COMPUTED_VALUE"""),"No")</f>
        <v>No</v>
      </c>
      <c r="I1917" s="1" t="str">
        <f ca="1">IFERROR(__xludf.DUMMYFUNCTION("""COMPUTED_VALUE"""),"Will NOT work for them")</f>
        <v>Will NOT work for them</v>
      </c>
      <c r="J1917" s="1">
        <f ca="1">IFERROR(__xludf.DUMMYFUNCTION("""COMPUTED_VALUE"""),5)</f>
        <v>5</v>
      </c>
      <c r="K1917" s="1" t="str">
        <f ca="1">IFERROR(__xludf.DUMMYFUNCTION("""COMPUTED_VALUE"""),"Every Day Office Environment")</f>
        <v>Every Day Office Environment</v>
      </c>
      <c r="L19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17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17" s="1" t="str">
        <f ca="1">IFERROR(__xludf.DUMMYFUNCTION("""COMPUTED_VALUE"""),"Business Operations in any organization, Build and develop a Team, Work in a BPO setup for some well known client, Entrepreneur or Start Up")</f>
        <v>Business Operations in any organization, Build and develop a Team, Work in a BPO setup for some well known client, Entrepreneur or Start Up</v>
      </c>
      <c r="O1917" s="1" t="str">
        <f ca="1">IFERROR(__xludf.DUMMYFUNCTION("""COMPUTED_VALUE"""),"Manager who explains what is expected, sets a goal and helps achieve it")</f>
        <v>Manager who explains what is expected, sets a goal and helps achieve it</v>
      </c>
      <c r="P1917" s="1" t="str">
        <f ca="1">IFERROR(__xludf.DUMMYFUNCTION("""COMPUTED_VALUE"""),"Work with 5 to 6 people in my team")</f>
        <v>Work with 5 to 6 people in my team</v>
      </c>
      <c r="Q1917" s="1" t="str">
        <f ca="1">IFERROR(__xludf.DUMMYFUNCTION("""COMPUTED_VALUE"""),"Yes, I Understand this is gonna happen everywhere")</f>
        <v>Yes, I Understand this is gonna happen everywhere</v>
      </c>
      <c r="R1917" s="1" t="str">
        <f ca="1">IFERROR(__xludf.DUMMYFUNCTION("""COMPUTED_VALUE"""),"This will be hard to do, but if it is the right company I would try")</f>
        <v>This will be hard to do, but if it is the right company I would try</v>
      </c>
      <c r="S1917" s="1" t="str">
        <f ca="1">IFERROR(__xludf.DUMMYFUNCTION("""COMPUTED_VALUE"""),"kanishkarvigram@gmail.com")</f>
        <v>kanishkarvigram@gmail.com</v>
      </c>
    </row>
    <row r="1918" spans="1:19" ht="12.5" x14ac:dyDescent="0.25">
      <c r="A1918" s="2">
        <f ca="1">IFERROR(__xludf.DUMMYFUNCTION("""COMPUTED_VALUE"""),45062.9167450115)</f>
        <v>45062.916745011498</v>
      </c>
      <c r="B1918" s="1" t="str">
        <f ca="1">IFERROR(__xludf.DUMMYFUNCTION("""COMPUTED_VALUE"""),"India")</f>
        <v>India</v>
      </c>
      <c r="C1918" s="1">
        <f ca="1">IFERROR(__xludf.DUMMYFUNCTION("""COMPUTED_VALUE"""),600097)</f>
        <v>600097</v>
      </c>
      <c r="D1918" s="1" t="str">
        <f ca="1">IFERROR(__xludf.DUMMYFUNCTION("""COMPUTED_VALUE"""),"Male")</f>
        <v>Male</v>
      </c>
      <c r="E1918" s="1" t="str">
        <f ca="1">IFERROR(__xludf.DUMMYFUNCTION("""COMPUTED_VALUE"""),"People who have changed the world for better")</f>
        <v>People who have changed the world for better</v>
      </c>
      <c r="F1918" s="1" t="str">
        <f ca="1">IFERROR(__xludf.DUMMYFUNCTION("""COMPUTED_VALUE"""),"No I would not be pursuing Higher Education outside of India")</f>
        <v>No I would not be pursuing Higher Education outside of India</v>
      </c>
      <c r="G1918" s="1" t="str">
        <f ca="1">IFERROR(__xludf.DUMMYFUNCTION("""COMPUTED_VALUE"""),"This will be hard to do, but if it is the right company I would try")</f>
        <v>This will be hard to do, but if it is the right company I would try</v>
      </c>
      <c r="H1918" s="1" t="str">
        <f ca="1">IFERROR(__xludf.DUMMYFUNCTION("""COMPUTED_VALUE"""),"No")</f>
        <v>No</v>
      </c>
      <c r="I1918" s="1" t="str">
        <f ca="1">IFERROR(__xludf.DUMMYFUNCTION("""COMPUTED_VALUE"""),"Will NOT work for them")</f>
        <v>Will NOT work for them</v>
      </c>
      <c r="J1918" s="1">
        <f ca="1">IFERROR(__xludf.DUMMYFUNCTION("""COMPUTED_VALUE"""),8)</f>
        <v>8</v>
      </c>
      <c r="K1918" s="1" t="str">
        <f ca="1">IFERROR(__xludf.DUMMYFUNCTION("""COMPUTED_VALUE"""),"Hybrid Working Environment with less than 3 days a month at office")</f>
        <v>Hybrid Working Environment with less than 3 days a month at office</v>
      </c>
      <c r="L1918" s="1" t="str">
        <f ca="1">IFERROR(__xludf.DUMMYFUNCTION("""COMPUTED_VALUE"""),"Employer who rewards learning and enables that environment")</f>
        <v>Employer who rewards learning and enables that environment</v>
      </c>
      <c r="M191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918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1918" s="1" t="str">
        <f ca="1">IFERROR(__xludf.DUMMYFUNCTION("""COMPUTED_VALUE"""),"Manager who explains what is expected, sets a goal and helps achieve it")</f>
        <v>Manager who explains what is expected, sets a goal and helps achieve it</v>
      </c>
      <c r="P1918" s="1" t="str">
        <f ca="1">IFERROR(__xludf.DUMMYFUNCTION("""COMPUTED_VALUE"""),"Work with 5 to 6 people in my team")</f>
        <v>Work with 5 to 6 people in my team</v>
      </c>
      <c r="Q1918" s="1" t="str">
        <f ca="1">IFERROR(__xludf.DUMMYFUNCTION("""COMPUTED_VALUE"""),"Yes, I Understand this is gonna happen everywhere")</f>
        <v>Yes, I Understand this is gonna happen everywhere</v>
      </c>
      <c r="R1918" s="1" t="str">
        <f ca="1">IFERROR(__xludf.DUMMYFUNCTION("""COMPUTED_VALUE"""),"No way")</f>
        <v>No way</v>
      </c>
      <c r="S1918" s="1" t="str">
        <f ca="1">IFERROR(__xludf.DUMMYFUNCTION("""COMPUTED_VALUE"""),"rameswarfre@gmail.com")</f>
        <v>rameswarfre@gmail.com</v>
      </c>
    </row>
    <row r="1919" spans="1:19" ht="12.5" x14ac:dyDescent="0.25">
      <c r="A1919" s="2">
        <f ca="1">IFERROR(__xludf.DUMMYFUNCTION("""COMPUTED_VALUE"""),45062.9169105439)</f>
        <v>45062.9169105439</v>
      </c>
      <c r="B1919" s="1" t="str">
        <f ca="1">IFERROR(__xludf.DUMMYFUNCTION("""COMPUTED_VALUE"""),"India")</f>
        <v>India</v>
      </c>
      <c r="C1919" s="1">
        <f ca="1">IFERROR(__xludf.DUMMYFUNCTION("""COMPUTED_VALUE"""),221007)</f>
        <v>221007</v>
      </c>
      <c r="D1919" s="1" t="str">
        <f ca="1">IFERROR(__xludf.DUMMYFUNCTION("""COMPUTED_VALUE"""),"Female")</f>
        <v>Female</v>
      </c>
      <c r="E1919" s="1" t="str">
        <f ca="1">IFERROR(__xludf.DUMMYFUNCTION("""COMPUTED_VALUE"""),"People who have changed the world for better")</f>
        <v>People who have changed the world for better</v>
      </c>
      <c r="F1919" s="1" t="str">
        <f ca="1">IFERROR(__xludf.DUMMYFUNCTION("""COMPUTED_VALUE"""),"No, But if someone could bare the cost I will")</f>
        <v>No, But if someone could bare the cost I will</v>
      </c>
      <c r="G1919" s="1" t="str">
        <f ca="1">IFERROR(__xludf.DUMMYFUNCTION("""COMPUTED_VALUE"""),"Will work for 3 years or more")</f>
        <v>Will work for 3 years or more</v>
      </c>
      <c r="H1919" s="1" t="str">
        <f ca="1">IFERROR(__xludf.DUMMYFUNCTION("""COMPUTED_VALUE"""),"Yes")</f>
        <v>Yes</v>
      </c>
      <c r="I1919" s="1" t="str">
        <f ca="1">IFERROR(__xludf.DUMMYFUNCTION("""COMPUTED_VALUE"""),"Will NOT work for them")</f>
        <v>Will NOT work for them</v>
      </c>
      <c r="J1919" s="1">
        <f ca="1">IFERROR(__xludf.DUMMYFUNCTION("""COMPUTED_VALUE"""),7)</f>
        <v>7</v>
      </c>
      <c r="K1919" s="1" t="str">
        <f ca="1">IFERROR(__xludf.DUMMYFUNCTION("""COMPUTED_VALUE"""),"Hybrid Working Environment with less than 3 days a month at office")</f>
        <v>Hybrid Working Environment with less than 3 days a month at office</v>
      </c>
      <c r="L1919" s="1" t="str">
        <f ca="1">IFERROR(__xludf.DUMMYFUNCTION("""COMPUTED_VALUE"""),"Employer who appreciates learning and enables that environment")</f>
        <v>Employer who appreciates learning and enables that environment</v>
      </c>
      <c r="M191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919" s="1" t="str">
        <f ca="1">IFERROR(__xludf.DUMMYFUNCTION("""COMPUTED_VALUE"""),"Teaching in any of the institutes/colleges/online or offline, Become a content Creator in some platform, I Want to sell things/Sales, An Artificial Intelligence Specialist / Talking to Robots")</f>
        <v>Teaching in any of the institutes/colleges/online or offline, Become a content Creator in some platform, I Want to sell things/Sales, An Artificial Intelligence Specialist / Talking to Robots</v>
      </c>
      <c r="O1919" s="1" t="str">
        <f ca="1">IFERROR(__xludf.DUMMYFUNCTION("""COMPUTED_VALUE"""),"Manager who clearly describes what she/he needs")</f>
        <v>Manager who clearly describes what she/he needs</v>
      </c>
      <c r="P1919" s="1" t="str">
        <f ca="1">IFERROR(__xludf.DUMMYFUNCTION("""COMPUTED_VALUE"""),"Work with 7 to 10 or more people in my team")</f>
        <v>Work with 7 to 10 or more people in my team</v>
      </c>
      <c r="Q1919" s="1" t="str">
        <f ca="1">IFERROR(__xludf.DUMMYFUNCTION("""COMPUTED_VALUE"""),"No")</f>
        <v>No</v>
      </c>
      <c r="R1919" s="1" t="str">
        <f ca="1">IFERROR(__xludf.DUMMYFUNCTION("""COMPUTED_VALUE"""),"No way")</f>
        <v>No way</v>
      </c>
      <c r="S1919" s="1" t="str">
        <f ca="1">IFERROR(__xludf.DUMMYFUNCTION("""COMPUTED_VALUE"""),"shakshijha309@gmail.com")</f>
        <v>shakshijha309@gmail.com</v>
      </c>
    </row>
    <row r="1920" spans="1:19" ht="12.5" x14ac:dyDescent="0.25">
      <c r="A1920" s="2">
        <f ca="1">IFERROR(__xludf.DUMMYFUNCTION("""COMPUTED_VALUE"""),45062.9174953819)</f>
        <v>45062.917495381902</v>
      </c>
      <c r="B1920" s="1" t="str">
        <f ca="1">IFERROR(__xludf.DUMMYFUNCTION("""COMPUTED_VALUE"""),"India")</f>
        <v>India</v>
      </c>
      <c r="C1920" s="1">
        <f ca="1">IFERROR(__xludf.DUMMYFUNCTION("""COMPUTED_VALUE"""),620001)</f>
        <v>620001</v>
      </c>
      <c r="D1920" s="1" t="str">
        <f ca="1">IFERROR(__xludf.DUMMYFUNCTION("""COMPUTED_VALUE"""),"Female")</f>
        <v>Female</v>
      </c>
      <c r="E1920" s="1" t="str">
        <f ca="1">IFERROR(__xludf.DUMMYFUNCTION("""COMPUTED_VALUE"""),"My Parents")</f>
        <v>My Parents</v>
      </c>
      <c r="F1920" s="1" t="str">
        <f ca="1">IFERROR(__xludf.DUMMYFUNCTION("""COMPUTED_VALUE"""),"Yes, I will earn and do that")</f>
        <v>Yes, I will earn and do that</v>
      </c>
      <c r="G1920" s="1" t="str">
        <f ca="1">IFERROR(__xludf.DUMMYFUNCTION("""COMPUTED_VALUE"""),"This will be hard to do, but if it is the right company I would try")</f>
        <v>This will be hard to do, but if it is the right company I would try</v>
      </c>
      <c r="H1920" s="1" t="str">
        <f ca="1">IFERROR(__xludf.DUMMYFUNCTION("""COMPUTED_VALUE"""),"No")</f>
        <v>No</v>
      </c>
      <c r="I1920" s="1" t="str">
        <f ca="1">IFERROR(__xludf.DUMMYFUNCTION("""COMPUTED_VALUE"""),"Will NOT work for them")</f>
        <v>Will NOT work for them</v>
      </c>
      <c r="J1920" s="1">
        <f ca="1">IFERROR(__xludf.DUMMYFUNCTION("""COMPUTED_VALUE"""),5)</f>
        <v>5</v>
      </c>
      <c r="K1920" s="1" t="str">
        <f ca="1">IFERROR(__xludf.DUMMYFUNCTION("""COMPUTED_VALUE"""),"Fully Remote with Options to travel as and when needed")</f>
        <v>Fully Remote with Options to travel as and when needed</v>
      </c>
      <c r="L1920" s="1" t="str">
        <f ca="1">IFERROR(__xludf.DUMMYFUNCTION("""COMPUTED_VALUE"""),"Employer who rewards learning and enables that environment")</f>
        <v>Employer who rewards learning and enables that environment</v>
      </c>
      <c r="M192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920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1920" s="1" t="str">
        <f ca="1">IFERROR(__xludf.DUMMYFUNCTION("""COMPUTED_VALUE"""),"Manager who explains what is expected, sets a goal and helps achieve it")</f>
        <v>Manager who explains what is expected, sets a goal and helps achieve it</v>
      </c>
      <c r="P1920" s="1" t="str">
        <f ca="1">IFERROR(__xludf.DUMMYFUNCTION("""COMPUTED_VALUE"""),"Work with 2 to 3 people in my team")</f>
        <v>Work with 2 to 3 people in my team</v>
      </c>
      <c r="Q1920" s="1" t="str">
        <f ca="1">IFERROR(__xludf.DUMMYFUNCTION("""COMPUTED_VALUE"""),"No")</f>
        <v>No</v>
      </c>
      <c r="R1920" s="1" t="str">
        <f ca="1">IFERROR(__xludf.DUMMYFUNCTION("""COMPUTED_VALUE"""),"This will be hard to do, but if it is the right company I would try")</f>
        <v>This will be hard to do, but if it is the right company I would try</v>
      </c>
      <c r="S1920" s="1" t="str">
        <f ca="1">IFERROR(__xludf.DUMMYFUNCTION("""COMPUTED_VALUE"""),"sangeethatharun8@gmail.com")</f>
        <v>sangeethatharun8@gmail.com</v>
      </c>
    </row>
    <row r="1921" spans="1:19" ht="12.5" x14ac:dyDescent="0.25">
      <c r="A1921" s="2">
        <f ca="1">IFERROR(__xludf.DUMMYFUNCTION("""COMPUTED_VALUE"""),45062.9178763541)</f>
        <v>45062.917876354099</v>
      </c>
      <c r="B1921" s="1" t="str">
        <f ca="1">IFERROR(__xludf.DUMMYFUNCTION("""COMPUTED_VALUE"""),"India")</f>
        <v>India</v>
      </c>
      <c r="C1921" s="1">
        <f ca="1">IFERROR(__xludf.DUMMYFUNCTION("""COMPUTED_VALUE"""),637409)</f>
        <v>637409</v>
      </c>
      <c r="D1921" s="1" t="str">
        <f ca="1">IFERROR(__xludf.DUMMYFUNCTION("""COMPUTED_VALUE"""),"Female")</f>
        <v>Female</v>
      </c>
      <c r="E1921" s="1" t="str">
        <f ca="1">IFERROR(__xludf.DUMMYFUNCTION("""COMPUTED_VALUE"""),"Influencers who had successful careers")</f>
        <v>Influencers who had successful careers</v>
      </c>
      <c r="F1921" s="1" t="str">
        <f ca="1">IFERROR(__xludf.DUMMYFUNCTION("""COMPUTED_VALUE"""),"No, But if someone could bare the cost I will")</f>
        <v>No, But if someone could bare the cost I will</v>
      </c>
      <c r="G1921" s="1" t="str">
        <f ca="1">IFERROR(__xludf.DUMMYFUNCTION("""COMPUTED_VALUE"""),"Will work for 3 years or more")</f>
        <v>Will work for 3 years or more</v>
      </c>
      <c r="H1921" s="1" t="str">
        <f ca="1">IFERROR(__xludf.DUMMYFUNCTION("""COMPUTED_VALUE"""),"No")</f>
        <v>No</v>
      </c>
      <c r="I1921" s="1" t="str">
        <f ca="1">IFERROR(__xludf.DUMMYFUNCTION("""COMPUTED_VALUE"""),"Will NOT work for them")</f>
        <v>Will NOT work for them</v>
      </c>
      <c r="J1921" s="1">
        <f ca="1">IFERROR(__xludf.DUMMYFUNCTION("""COMPUTED_VALUE"""),3)</f>
        <v>3</v>
      </c>
      <c r="K1921" s="1" t="str">
        <f ca="1">IFERROR(__xludf.DUMMYFUNCTION("""COMPUTED_VALUE"""),"Hybrid Working Environment with more than 15 days a month at office")</f>
        <v>Hybrid Working Environment with more than 15 days a month at office</v>
      </c>
      <c r="L1921" s="1" t="str">
        <f ca="1">IFERROR(__xludf.DUMMYFUNCTION("""COMPUTED_VALUE"""),"Employer who appreciates learning and enables that environment")</f>
        <v>Employer who appreciates learning and enables that environment</v>
      </c>
      <c r="M192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21" s="1" t="str">
        <f ca="1">IFERROR(__xludf.DUMMYFUNCTION("""COMPUTED_VALUE"""),"Teaching in any of the institutes/colleges/online or offline, Business Operations in any organization, Manage and drive End-to-End Projects or Products, Work in a BPO setup for some well known client")</f>
        <v>Teaching in any of the institutes/colleges/online or offline, Business Operations in any organization, Manage and drive End-to-End Projects or Products, Work in a BPO setup for some well known client</v>
      </c>
      <c r="O1921" s="1" t="str">
        <f ca="1">IFERROR(__xludf.DUMMYFUNCTION("""COMPUTED_VALUE"""),"Manager who clearly describes what she/he needs")</f>
        <v>Manager who clearly describes what she/he needs</v>
      </c>
      <c r="P1921" s="1" t="str">
        <f ca="1">IFERROR(__xludf.DUMMYFUNCTION("""COMPUTED_VALUE"""),"Work with 2 to 3 people in my team")</f>
        <v>Work with 2 to 3 people in my team</v>
      </c>
      <c r="Q1921" s="1" t="str">
        <f ca="1">IFERROR(__xludf.DUMMYFUNCTION("""COMPUTED_VALUE"""),"Yes, I Understand this is gonna happen everywhere")</f>
        <v>Yes, I Understand this is gonna happen everywhere</v>
      </c>
      <c r="R1921" s="1" t="str">
        <f ca="1">IFERROR(__xludf.DUMMYFUNCTION("""COMPUTED_VALUE"""),"No way")</f>
        <v>No way</v>
      </c>
      <c r="S1921" s="1" t="str">
        <f ca="1">IFERROR(__xludf.DUMMYFUNCTION("""COMPUTED_VALUE"""),"120036.mathumitha.tamhss@gmail.com")</f>
        <v>120036.mathumitha.tamhss@gmail.com</v>
      </c>
    </row>
    <row r="1922" spans="1:19" ht="12.5" x14ac:dyDescent="0.25">
      <c r="A1922" s="2">
        <f ca="1">IFERROR(__xludf.DUMMYFUNCTION("""COMPUTED_VALUE"""),45062.918353993)</f>
        <v>45062.918353993002</v>
      </c>
      <c r="B1922" s="1" t="str">
        <f ca="1">IFERROR(__xludf.DUMMYFUNCTION("""COMPUTED_VALUE"""),"India")</f>
        <v>India</v>
      </c>
      <c r="C1922" s="1">
        <f ca="1">IFERROR(__xludf.DUMMYFUNCTION("""COMPUTED_VALUE"""),622204)</f>
        <v>622204</v>
      </c>
      <c r="D1922" s="1" t="str">
        <f ca="1">IFERROR(__xludf.DUMMYFUNCTION("""COMPUTED_VALUE"""),"Female")</f>
        <v>Female</v>
      </c>
      <c r="E1922" s="1" t="str">
        <f ca="1">IFERROR(__xludf.DUMMYFUNCTION("""COMPUTED_VALUE"""),"People from my circle, but not family members")</f>
        <v>People from my circle, but not family members</v>
      </c>
      <c r="F1922" s="1" t="str">
        <f ca="1">IFERROR(__xludf.DUMMYFUNCTION("""COMPUTED_VALUE"""),"Yes, I will earn and do that")</f>
        <v>Yes, I will earn and do that</v>
      </c>
      <c r="G1922" s="1" t="str">
        <f ca="1">IFERROR(__xludf.DUMMYFUNCTION("""COMPUTED_VALUE"""),"This will be hard to do, but if it is the right company I would try")</f>
        <v>This will be hard to do, but if it is the right company I would try</v>
      </c>
      <c r="H1922" s="1" t="str">
        <f ca="1">IFERROR(__xludf.DUMMYFUNCTION("""COMPUTED_VALUE"""),"Yes")</f>
        <v>Yes</v>
      </c>
      <c r="I1922" s="1" t="str">
        <f ca="1">IFERROR(__xludf.DUMMYFUNCTION("""COMPUTED_VALUE"""),"Will work for them")</f>
        <v>Will work for them</v>
      </c>
      <c r="J1922" s="1">
        <f ca="1">IFERROR(__xludf.DUMMYFUNCTION("""COMPUTED_VALUE"""),8)</f>
        <v>8</v>
      </c>
      <c r="K1922" s="1" t="str">
        <f ca="1">IFERROR(__xludf.DUMMYFUNCTION("""COMPUTED_VALUE"""),"Hybrid Working Environment with less than 3 days a month at office")</f>
        <v>Hybrid Working Environment with less than 3 days a month at office</v>
      </c>
      <c r="L1922" s="1" t="str">
        <f ca="1">IFERROR(__xludf.DUMMYFUNCTION("""COMPUTED_VALUE"""),"Employer who rewards learning and enables that environment")</f>
        <v>Employer who rewards learning and enables that environment</v>
      </c>
      <c r="M192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22" s="1" t="str">
        <f ca="1">IFERROR(__xludf.DUMMYFUNCTION("""COMPUTED_VALUE"""),"Teaching in any of the institutes/colleges/online or offline, Business Operations in any organization, Manage and drive End-to-End Projects or Products, Manufacturing / Oil and Gas/ Construction / Hard Physical Work related")</f>
        <v>Teaching in any of the institutes/colleges/online or offline, Business Operations in any organization, Manage and drive End-to-End Projects or Products, Manufacturing / Oil and Gas/ Construction / Hard Physical Work related</v>
      </c>
      <c r="O1922" s="1" t="str">
        <f ca="1">IFERROR(__xludf.DUMMYFUNCTION("""COMPUTED_VALUE"""),"Manager who sets unrealistic targets")</f>
        <v>Manager who sets unrealistic targets</v>
      </c>
      <c r="P1922" s="1" t="str">
        <f ca="1">IFERROR(__xludf.DUMMYFUNCTION("""COMPUTED_VALUE"""),"Work with 5 to 6 people in my team")</f>
        <v>Work with 5 to 6 people in my team</v>
      </c>
      <c r="Q1922" s="1" t="str">
        <f ca="1">IFERROR(__xludf.DUMMYFUNCTION("""COMPUTED_VALUE"""),"Yes")</f>
        <v>Yes</v>
      </c>
      <c r="R1922" s="1" t="str">
        <f ca="1">IFERROR(__xludf.DUMMYFUNCTION("""COMPUTED_VALUE"""),"This will be hard to do, but if it is the right company I would try")</f>
        <v>This will be hard to do, but if it is the right company I would try</v>
      </c>
      <c r="S1922" s="1" t="str">
        <f ca="1">IFERROR(__xludf.DUMMYFUNCTION("""COMPUTED_VALUE"""),"btsloveyourself7070@gmail.com")</f>
        <v>btsloveyourself7070@gmail.com</v>
      </c>
    </row>
    <row r="1923" spans="1:19" ht="12.5" x14ac:dyDescent="0.25">
      <c r="A1923" s="2">
        <f ca="1">IFERROR(__xludf.DUMMYFUNCTION("""COMPUTED_VALUE"""),45062.9186734027)</f>
        <v>45062.918673402703</v>
      </c>
      <c r="B1923" s="1" t="str">
        <f ca="1">IFERROR(__xludf.DUMMYFUNCTION("""COMPUTED_VALUE"""),"India")</f>
        <v>India</v>
      </c>
      <c r="C1923" s="1">
        <f ca="1">IFERROR(__xludf.DUMMYFUNCTION("""COMPUTED_VALUE"""),121102)</f>
        <v>121102</v>
      </c>
      <c r="D1923" s="1" t="str">
        <f ca="1">IFERROR(__xludf.DUMMYFUNCTION("""COMPUTED_VALUE"""),"Female")</f>
        <v>Female</v>
      </c>
      <c r="E1923" s="1" t="str">
        <f ca="1">IFERROR(__xludf.DUMMYFUNCTION("""COMPUTED_VALUE"""),"Influencers who had successful careers")</f>
        <v>Influencers who had successful careers</v>
      </c>
      <c r="F1923" s="1" t="str">
        <f ca="1">IFERROR(__xludf.DUMMYFUNCTION("""COMPUTED_VALUE"""),"No I would not be pursuing Higher Education outside of India")</f>
        <v>No I would not be pursuing Higher Education outside of India</v>
      </c>
      <c r="G1923" s="1" t="str">
        <f ca="1">IFERROR(__xludf.DUMMYFUNCTION("""COMPUTED_VALUE"""),"This will be hard to do, but if it is the right company I would try")</f>
        <v>This will be hard to do, but if it is the right company I would try</v>
      </c>
      <c r="H1923" s="1" t="str">
        <f ca="1">IFERROR(__xludf.DUMMYFUNCTION("""COMPUTED_VALUE"""),"No")</f>
        <v>No</v>
      </c>
      <c r="I1923" s="1" t="str">
        <f ca="1">IFERROR(__xludf.DUMMYFUNCTION("""COMPUTED_VALUE"""),"Will NOT work for them")</f>
        <v>Will NOT work for them</v>
      </c>
      <c r="J1923" s="1">
        <f ca="1">IFERROR(__xludf.DUMMYFUNCTION("""COMPUTED_VALUE"""),8)</f>
        <v>8</v>
      </c>
      <c r="K1923" s="1" t="str">
        <f ca="1">IFERROR(__xludf.DUMMYFUNCTION("""COMPUTED_VALUE"""),"Hybrid Working Environment with more than 15 days a month at office")</f>
        <v>Hybrid Working Environment with more than 15 days a month at office</v>
      </c>
      <c r="L19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2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23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1923" s="1" t="str">
        <f ca="1">IFERROR(__xludf.DUMMYFUNCTION("""COMPUTED_VALUE"""),"Manager who explains what is expected, sets a goal and helps achieve it")</f>
        <v>Manager who explains what is expected, sets a goal and helps achieve it</v>
      </c>
      <c r="P1923" s="1" t="str">
        <f ca="1">IFERROR(__xludf.DUMMYFUNCTION("""COMPUTED_VALUE"""),"Work with 5 to 6 people in my team")</f>
        <v>Work with 5 to 6 people in my team</v>
      </c>
      <c r="Q1923" s="1" t="str">
        <f ca="1">IFERROR(__xludf.DUMMYFUNCTION("""COMPUTED_VALUE"""),"Yes, I Understand this is gonna happen everywhere")</f>
        <v>Yes, I Understand this is gonna happen everywhere</v>
      </c>
      <c r="R1923" s="1" t="str">
        <f ca="1">IFERROR(__xludf.DUMMYFUNCTION("""COMPUTED_VALUE"""),"No way")</f>
        <v>No way</v>
      </c>
      <c r="S1923" s="1" t="str">
        <f ca="1">IFERROR(__xludf.DUMMYFUNCTION("""COMPUTED_VALUE"""),"richagoyal58@gmail.com")</f>
        <v>richagoyal58@gmail.com</v>
      </c>
    </row>
    <row r="1924" spans="1:19" ht="12.5" x14ac:dyDescent="0.25">
      <c r="A1924" s="2">
        <f ca="1">IFERROR(__xludf.DUMMYFUNCTION("""COMPUTED_VALUE"""),45062.9190858564)</f>
        <v>45062.919085856403</v>
      </c>
      <c r="B1924" s="1" t="str">
        <f ca="1">IFERROR(__xludf.DUMMYFUNCTION("""COMPUTED_VALUE"""),"India")</f>
        <v>India</v>
      </c>
      <c r="C1924" s="1">
        <f ca="1">IFERROR(__xludf.DUMMYFUNCTION("""COMPUTED_VALUE"""),621704)</f>
        <v>621704</v>
      </c>
      <c r="D1924" s="1" t="str">
        <f ca="1">IFERROR(__xludf.DUMMYFUNCTION("""COMPUTED_VALUE"""),"Female")</f>
        <v>Female</v>
      </c>
      <c r="E1924" s="1" t="str">
        <f ca="1">IFERROR(__xludf.DUMMYFUNCTION("""COMPUTED_VALUE"""),"People who have changed the world for better")</f>
        <v>People who have changed the world for better</v>
      </c>
      <c r="F1924" s="1" t="str">
        <f ca="1">IFERROR(__xludf.DUMMYFUNCTION("""COMPUTED_VALUE"""),"No, But if someone could bare the cost I will")</f>
        <v>No, But if someone could bare the cost I will</v>
      </c>
      <c r="G1924" s="1" t="str">
        <f ca="1">IFERROR(__xludf.DUMMYFUNCTION("""COMPUTED_VALUE"""),"This will be hard to do, but if it is the right company I would try")</f>
        <v>This will be hard to do, but if it is the right company I would try</v>
      </c>
      <c r="H1924" s="1" t="str">
        <f ca="1">IFERROR(__xludf.DUMMYFUNCTION("""COMPUTED_VALUE"""),"No")</f>
        <v>No</v>
      </c>
      <c r="I1924" s="1" t="str">
        <f ca="1">IFERROR(__xludf.DUMMYFUNCTION("""COMPUTED_VALUE"""),"Will NOT work for them")</f>
        <v>Will NOT work for them</v>
      </c>
      <c r="J1924" s="1">
        <f ca="1">IFERROR(__xludf.DUMMYFUNCTION("""COMPUTED_VALUE"""),10)</f>
        <v>10</v>
      </c>
      <c r="K1924" s="1" t="str">
        <f ca="1">IFERROR(__xludf.DUMMYFUNCTION("""COMPUTED_VALUE"""),"Hybrid Working Environment with more than 15 days a month at office")</f>
        <v>Hybrid Working Environment with more than 15 days a month at office</v>
      </c>
      <c r="L19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2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924" s="1" t="str">
        <f ca="1">IFERROR(__xludf.DUMMYFUNCTION("""COMPUTED_VALUE"""),"Design and Creative strategy in any company, Build and develop a Team, Look deeply into Data and generate insights, Work as a freelancer and do my thing my way")</f>
        <v>Design and Creative strategy in any company, Build and develop a Team, Look deeply into Data and generate insights, Work as a freelancer and do my thing my way</v>
      </c>
      <c r="O1924" s="1" t="str">
        <f ca="1">IFERROR(__xludf.DUMMYFUNCTION("""COMPUTED_VALUE"""),"Manager who explains what is expected, sets a goal and helps achieve it")</f>
        <v>Manager who explains what is expected, sets a goal and helps achieve it</v>
      </c>
      <c r="P1924" s="1" t="str">
        <f ca="1">IFERROR(__xludf.DUMMYFUNCTION("""COMPUTED_VALUE"""),"Work with 2 to 3 people in my team")</f>
        <v>Work with 2 to 3 people in my team</v>
      </c>
      <c r="Q1924" s="1" t="str">
        <f ca="1">IFERROR(__xludf.DUMMYFUNCTION("""COMPUTED_VALUE"""),"No")</f>
        <v>No</v>
      </c>
      <c r="R1924" s="1" t="str">
        <f ca="1">IFERROR(__xludf.DUMMYFUNCTION("""COMPUTED_VALUE"""),"This will be hard to do, but if it is the right company I would try")</f>
        <v>This will be hard to do, but if it is the right company I would try</v>
      </c>
      <c r="S1924" s="1" t="str">
        <f ca="1">IFERROR(__xludf.DUMMYFUNCTION("""COMPUTED_VALUE"""),"varshaprasath26@gmail.com")</f>
        <v>varshaprasath26@gmail.com</v>
      </c>
    </row>
    <row r="1925" spans="1:19" ht="12.5" x14ac:dyDescent="0.25">
      <c r="A1925" s="2">
        <f ca="1">IFERROR(__xludf.DUMMYFUNCTION("""COMPUTED_VALUE"""),45062.9193278587)</f>
        <v>45062.919327858697</v>
      </c>
      <c r="B1925" s="1" t="str">
        <f ca="1">IFERROR(__xludf.DUMMYFUNCTION("""COMPUTED_VALUE"""),"India")</f>
        <v>India</v>
      </c>
      <c r="C1925" s="1">
        <f ca="1">IFERROR(__xludf.DUMMYFUNCTION("""COMPUTED_VALUE"""),208027)</f>
        <v>208027</v>
      </c>
      <c r="D1925" s="1" t="str">
        <f ca="1">IFERROR(__xludf.DUMMYFUNCTION("""COMPUTED_VALUE"""),"Male")</f>
        <v>Male</v>
      </c>
      <c r="E1925" s="1" t="str">
        <f ca="1">IFERROR(__xludf.DUMMYFUNCTION("""COMPUTED_VALUE"""),"My Parents")</f>
        <v>My Parents</v>
      </c>
      <c r="F1925" s="1" t="str">
        <f ca="1">IFERROR(__xludf.DUMMYFUNCTION("""COMPUTED_VALUE"""),"Yes, I will earn and do that")</f>
        <v>Yes, I will earn and do that</v>
      </c>
      <c r="G1925" s="1" t="str">
        <f ca="1">IFERROR(__xludf.DUMMYFUNCTION("""COMPUTED_VALUE"""),"Will work for 3 years or more")</f>
        <v>Will work for 3 years or more</v>
      </c>
      <c r="H1925" s="1" t="str">
        <f ca="1">IFERROR(__xludf.DUMMYFUNCTION("""COMPUTED_VALUE"""),"No")</f>
        <v>No</v>
      </c>
      <c r="I1925" s="1" t="str">
        <f ca="1">IFERROR(__xludf.DUMMYFUNCTION("""COMPUTED_VALUE"""),"Will NOT work for them")</f>
        <v>Will NOT work for them</v>
      </c>
      <c r="J1925" s="1">
        <f ca="1">IFERROR(__xludf.DUMMYFUNCTION("""COMPUTED_VALUE"""),5)</f>
        <v>5</v>
      </c>
      <c r="K1925" s="1" t="str">
        <f ca="1">IFERROR(__xludf.DUMMYFUNCTION("""COMPUTED_VALUE"""),"Every Day Office Environment")</f>
        <v>Every Day Office Environment</v>
      </c>
      <c r="L19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25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1925" s="1" t="str">
        <f ca="1">IFERROR(__xludf.DUMMYFUNCTION("""COMPUTED_VALUE"""),"Design and Creative strategy in any company, Business Operations in any organization, An Artificial Intelligence Specialist / Talking to Robots, Manufacturing / Oil and Gas/ Construction / Hard Physical Work related")</f>
        <v>Design and Creative strategy in any company, Business Operations in any organization, An Artificial Intelligence Specialist / Talking to Robots, Manufacturing / Oil and Gas/ Construction / Hard Physical Work related</v>
      </c>
      <c r="O1925" s="1" t="str">
        <f ca="1">IFERROR(__xludf.DUMMYFUNCTION("""COMPUTED_VALUE"""),"Manager who explains what is expected, sets a goal and helps achieve it")</f>
        <v>Manager who explains what is expected, sets a goal and helps achieve it</v>
      </c>
      <c r="P1925" s="1" t="str">
        <f ca="1">IFERROR(__xludf.DUMMYFUNCTION("""COMPUTED_VALUE"""),"Work with more than 10 people in my team")</f>
        <v>Work with more than 10 people in my team</v>
      </c>
      <c r="Q1925" s="1" t="str">
        <f ca="1">IFERROR(__xludf.DUMMYFUNCTION("""COMPUTED_VALUE"""),"No")</f>
        <v>No</v>
      </c>
      <c r="R1925" s="1" t="str">
        <f ca="1">IFERROR(__xludf.DUMMYFUNCTION("""COMPUTED_VALUE"""),"This will be hard to do, but if it is the right company I would try")</f>
        <v>This will be hard to do, but if it is the right company I would try</v>
      </c>
      <c r="S1925" s="1" t="str">
        <f ca="1">IFERROR(__xludf.DUMMYFUNCTION("""COMPUTED_VALUE"""),"kartikgpt001@gmail.com")</f>
        <v>kartikgpt001@gmail.com</v>
      </c>
    </row>
    <row r="1926" spans="1:19" ht="12.5" x14ac:dyDescent="0.25">
      <c r="A1926" s="2">
        <f ca="1">IFERROR(__xludf.DUMMYFUNCTION("""COMPUTED_VALUE"""),45062.9194580902)</f>
        <v>45062.919458090197</v>
      </c>
      <c r="B1926" s="1" t="str">
        <f ca="1">IFERROR(__xludf.DUMMYFUNCTION("""COMPUTED_VALUE"""),"India")</f>
        <v>India</v>
      </c>
      <c r="C1926" s="1">
        <f ca="1">IFERROR(__xludf.DUMMYFUNCTION("""COMPUTED_VALUE"""),500053)</f>
        <v>500053</v>
      </c>
      <c r="D1926" s="1" t="str">
        <f ca="1">IFERROR(__xludf.DUMMYFUNCTION("""COMPUTED_VALUE"""),"Female")</f>
        <v>Female</v>
      </c>
      <c r="E1926" s="1" t="str">
        <f ca="1">IFERROR(__xludf.DUMMYFUNCTION("""COMPUTED_VALUE"""),"My Parents")</f>
        <v>My Parents</v>
      </c>
      <c r="F1926" s="1" t="str">
        <f ca="1">IFERROR(__xludf.DUMMYFUNCTION("""COMPUTED_VALUE"""),"No, But if someone could bare the cost I will")</f>
        <v>No, But if someone could bare the cost I will</v>
      </c>
      <c r="G1926" s="1" t="str">
        <f ca="1">IFERROR(__xludf.DUMMYFUNCTION("""COMPUTED_VALUE"""),"This will be hard to do, but if it is the right company I would try")</f>
        <v>This will be hard to do, but if it is the right company I would try</v>
      </c>
      <c r="H1926" s="1" t="str">
        <f ca="1">IFERROR(__xludf.DUMMYFUNCTION("""COMPUTED_VALUE"""),"No")</f>
        <v>No</v>
      </c>
      <c r="I1926" s="1" t="str">
        <f ca="1">IFERROR(__xludf.DUMMYFUNCTION("""COMPUTED_VALUE"""),"Will NOT work for them")</f>
        <v>Will NOT work for them</v>
      </c>
      <c r="J1926" s="1">
        <f ca="1">IFERROR(__xludf.DUMMYFUNCTION("""COMPUTED_VALUE"""),5)</f>
        <v>5</v>
      </c>
      <c r="K1926" s="1" t="str">
        <f ca="1">IFERROR(__xludf.DUMMYFUNCTION("""COMPUTED_VALUE"""),"Fully Remote with Options to travel as and when needed")</f>
        <v>Fully Remote with Options to travel as and when needed</v>
      </c>
      <c r="L19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2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926" s="1" t="str">
        <f ca="1">IFERROR(__xludf.DUMMYFUNCTION("""COMPUTED_VALUE"""),"Teaching in any of the institutes/colleges/online or offline, Manage and drive End-to-End Projects or Products, Build and develop a Team, An Artificial Intelligence Specialist / Talking to Robots")</f>
        <v>Teaching in any of the institutes/colleges/online or offline, Manage and drive End-to-End Projects or Products, Build and develop a Team, An Artificial Intelligence Specialist / Talking to Robots</v>
      </c>
      <c r="O1926" s="1" t="str">
        <f ca="1">IFERROR(__xludf.DUMMYFUNCTION("""COMPUTED_VALUE"""),"Manager who clearly describes what she/he needs")</f>
        <v>Manager who clearly describes what she/he needs</v>
      </c>
      <c r="P1926" s="1" t="str">
        <f ca="1">IFERROR(__xludf.DUMMYFUNCTION("""COMPUTED_VALUE"""),"Work with 7 to 10 or more people in my team")</f>
        <v>Work with 7 to 10 or more people in my team</v>
      </c>
      <c r="Q1926" s="1" t="str">
        <f ca="1">IFERROR(__xludf.DUMMYFUNCTION("""COMPUTED_VALUE"""),"Yes, I Understand this is gonna happen everywhere")</f>
        <v>Yes, I Understand this is gonna happen everywhere</v>
      </c>
      <c r="R1926" s="1" t="str">
        <f ca="1">IFERROR(__xludf.DUMMYFUNCTION("""COMPUTED_VALUE"""),"This will be hard to do, but if it is the right company I would try")</f>
        <v>This will be hard to do, but if it is the right company I would try</v>
      </c>
      <c r="S1926" s="1" t="str">
        <f ca="1">IFERROR(__xludf.DUMMYFUNCTION("""COMPUTED_VALUE"""),"nehalendale@gmail.com")</f>
        <v>nehalendale@gmail.com</v>
      </c>
    </row>
    <row r="1927" spans="1:19" ht="12.5" x14ac:dyDescent="0.25">
      <c r="A1927" s="2">
        <f ca="1">IFERROR(__xludf.DUMMYFUNCTION("""COMPUTED_VALUE"""),45062.9195509953)</f>
        <v>45062.919550995299</v>
      </c>
      <c r="B1927" s="1" t="str">
        <f ca="1">IFERROR(__xludf.DUMMYFUNCTION("""COMPUTED_VALUE"""),"India")</f>
        <v>India</v>
      </c>
      <c r="C1927" s="1">
        <f ca="1">IFERROR(__xludf.DUMMYFUNCTION("""COMPUTED_VALUE"""),637001)</f>
        <v>637001</v>
      </c>
      <c r="D1927" s="1" t="str">
        <f ca="1">IFERROR(__xludf.DUMMYFUNCTION("""COMPUTED_VALUE"""),"Female")</f>
        <v>Female</v>
      </c>
      <c r="E1927" s="1" t="str">
        <f ca="1">IFERROR(__xludf.DUMMYFUNCTION("""COMPUTED_VALUE"""),"My Parents")</f>
        <v>My Parents</v>
      </c>
      <c r="F1927" s="1" t="str">
        <f ca="1">IFERROR(__xludf.DUMMYFUNCTION("""COMPUTED_VALUE"""),"No I would not be pursuing Higher Education outside of India")</f>
        <v>No I would not be pursuing Higher Education outside of India</v>
      </c>
      <c r="G1927" s="1" t="str">
        <f ca="1">IFERROR(__xludf.DUMMYFUNCTION("""COMPUTED_VALUE"""),"No way")</f>
        <v>No way</v>
      </c>
      <c r="H1927" s="1" t="str">
        <f ca="1">IFERROR(__xludf.DUMMYFUNCTION("""COMPUTED_VALUE"""),"No")</f>
        <v>No</v>
      </c>
      <c r="I1927" s="1" t="str">
        <f ca="1">IFERROR(__xludf.DUMMYFUNCTION("""COMPUTED_VALUE"""),"Will NOT work for them")</f>
        <v>Will NOT work for them</v>
      </c>
      <c r="J1927" s="1">
        <f ca="1">IFERROR(__xludf.DUMMYFUNCTION("""COMPUTED_VALUE"""),5)</f>
        <v>5</v>
      </c>
      <c r="K1927" s="1" t="str">
        <f ca="1">IFERROR(__xludf.DUMMYFUNCTION("""COMPUTED_VALUE"""),"Hybrid Working Environment with less than 3 days a month at office")</f>
        <v>Hybrid Working Environment with less than 3 days a month at office</v>
      </c>
      <c r="L19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2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27" s="1" t="str">
        <f ca="1">IFERROR(__xludf.DUMMYFUNCTION("""COMPUTED_VALUE"""),"Design and Creative strategy in any company, Teaching in any of the institutes/colleges/online or offline, Entrepreneur or Start Up, I Want to sell things/Sales")</f>
        <v>Design and Creative strategy in any company, Teaching in any of the institutes/colleges/online or offline, Entrepreneur or Start Up, I Want to sell things/Sales</v>
      </c>
      <c r="O1927" s="1" t="str">
        <f ca="1">IFERROR(__xludf.DUMMYFUNCTION("""COMPUTED_VALUE"""),"Manager who explains what is expected, sets a goal and helps achieve it")</f>
        <v>Manager who explains what is expected, sets a goal and helps achieve it</v>
      </c>
      <c r="P1927" s="1" t="str">
        <f ca="1">IFERROR(__xludf.DUMMYFUNCTION("""COMPUTED_VALUE"""),"Work with 7 to 10 or more people in my team")</f>
        <v>Work with 7 to 10 or more people in my team</v>
      </c>
      <c r="Q1927" s="1" t="str">
        <f ca="1">IFERROR(__xludf.DUMMYFUNCTION("""COMPUTED_VALUE"""),"Yes, I Understand this is gonna happen everywhere")</f>
        <v>Yes, I Understand this is gonna happen everywhere</v>
      </c>
      <c r="R1927" s="1" t="str">
        <f ca="1">IFERROR(__xludf.DUMMYFUNCTION("""COMPUTED_VALUE"""),"No way")</f>
        <v>No way</v>
      </c>
      <c r="S1927" s="1" t="str">
        <f ca="1">IFERROR(__xludf.DUMMYFUNCTION("""COMPUTED_VALUE"""),"praveenajoen@gmail.com")</f>
        <v>praveenajoen@gmail.com</v>
      </c>
    </row>
    <row r="1928" spans="1:19" ht="12.5" x14ac:dyDescent="0.25">
      <c r="A1928" s="2">
        <f ca="1">IFERROR(__xludf.DUMMYFUNCTION("""COMPUTED_VALUE"""),45062.919635787)</f>
        <v>45062.919635787002</v>
      </c>
      <c r="B1928" s="1" t="str">
        <f ca="1">IFERROR(__xludf.DUMMYFUNCTION("""COMPUTED_VALUE"""),"India")</f>
        <v>India</v>
      </c>
      <c r="C1928" s="1">
        <f ca="1">IFERROR(__xludf.DUMMYFUNCTION("""COMPUTED_VALUE"""),110059)</f>
        <v>110059</v>
      </c>
      <c r="D1928" s="1" t="str">
        <f ca="1">IFERROR(__xludf.DUMMYFUNCTION("""COMPUTED_VALUE"""),"Male")</f>
        <v>Male</v>
      </c>
      <c r="E1928" s="1" t="str">
        <f ca="1">IFERROR(__xludf.DUMMYFUNCTION("""COMPUTED_VALUE"""),"People from my circle, but not family members")</f>
        <v>People from my circle, but not family members</v>
      </c>
      <c r="F1928" s="1" t="str">
        <f ca="1">IFERROR(__xludf.DUMMYFUNCTION("""COMPUTED_VALUE"""),"Yes, I will earn and do that")</f>
        <v>Yes, I will earn and do that</v>
      </c>
      <c r="G1928" s="1" t="str">
        <f ca="1">IFERROR(__xludf.DUMMYFUNCTION("""COMPUTED_VALUE"""),"This will be hard to do, but if it is the right company I would try")</f>
        <v>This will be hard to do, but if it is the right company I would try</v>
      </c>
      <c r="H1928" s="1" t="str">
        <f ca="1">IFERROR(__xludf.DUMMYFUNCTION("""COMPUTED_VALUE"""),"No")</f>
        <v>No</v>
      </c>
      <c r="I1928" s="1" t="str">
        <f ca="1">IFERROR(__xludf.DUMMYFUNCTION("""COMPUTED_VALUE"""),"Will NOT work for them")</f>
        <v>Will NOT work for them</v>
      </c>
      <c r="J1928" s="1">
        <f ca="1">IFERROR(__xludf.DUMMYFUNCTION("""COMPUTED_VALUE"""),5)</f>
        <v>5</v>
      </c>
      <c r="K1928" s="1" t="str">
        <f ca="1">IFERROR(__xludf.DUMMYFUNCTION("""COMPUTED_VALUE"""),"Fully Remote with Options to travel as and when needed")</f>
        <v>Fully Remote with Options to travel as and when needed</v>
      </c>
      <c r="L1928" s="1" t="str">
        <f ca="1">IFERROR(__xludf.DUMMYFUNCTION("""COMPUTED_VALUE"""),"Employer who appreciates learning and enables that environment")</f>
        <v>Employer who appreciates learning and enables that environment</v>
      </c>
      <c r="M192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28" s="1" t="str">
        <f ca="1">IFERROR(__xludf.DUMMYFUNCTION("""COMPUTED_VALUE"""),"Business Operations in any organization, Entrepreneur or Start Up, I Want to sell things/Sales, Manufacturing / Oil and Gas/ Construction / Hard Physical Work related")</f>
        <v>Business Operations in any organization, Entrepreneur or Start Up, I Want to sell things/Sales, Manufacturing / Oil and Gas/ Construction / Hard Physical Work related</v>
      </c>
      <c r="O1928" s="1" t="str">
        <f ca="1">IFERROR(__xludf.DUMMYFUNCTION("""COMPUTED_VALUE"""),"Manager who clearly describes what she/he needs")</f>
        <v>Manager who clearly describes what she/he needs</v>
      </c>
      <c r="P1928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928" s="1" t="str">
        <f ca="1">IFERROR(__xludf.DUMMYFUNCTION("""COMPUTED_VALUE"""),"Yes")</f>
        <v>Yes</v>
      </c>
      <c r="R1928" s="1" t="str">
        <f ca="1">IFERROR(__xludf.DUMMYFUNCTION("""COMPUTED_VALUE"""),"This will be hard to do, but if it is the right company I would try")</f>
        <v>This will be hard to do, but if it is the right company I would try</v>
      </c>
      <c r="S1928" s="1" t="str">
        <f ca="1">IFERROR(__xludf.DUMMYFUNCTION("""COMPUTED_VALUE"""),"thakurdaas1900@gmail.com")</f>
        <v>thakurdaas1900@gmail.com</v>
      </c>
    </row>
    <row r="1929" spans="1:19" ht="12.5" x14ac:dyDescent="0.25">
      <c r="A1929" s="2">
        <f ca="1">IFERROR(__xludf.DUMMYFUNCTION("""COMPUTED_VALUE"""),45062.9200388541)</f>
        <v>45062.920038854099</v>
      </c>
      <c r="B1929" s="1" t="str">
        <f ca="1">IFERROR(__xludf.DUMMYFUNCTION("""COMPUTED_VALUE"""),"India")</f>
        <v>India</v>
      </c>
      <c r="C1929" s="1">
        <f ca="1">IFERROR(__xludf.DUMMYFUNCTION("""COMPUTED_VALUE"""),500058)</f>
        <v>500058</v>
      </c>
      <c r="D1929" s="1" t="str">
        <f ca="1">IFERROR(__xludf.DUMMYFUNCTION("""COMPUTED_VALUE"""),"Female")</f>
        <v>Female</v>
      </c>
      <c r="E1929" s="1" t="str">
        <f ca="1">IFERROR(__xludf.DUMMYFUNCTION("""COMPUTED_VALUE"""),"My Parents")</f>
        <v>My Parents</v>
      </c>
      <c r="F1929" s="1" t="str">
        <f ca="1">IFERROR(__xludf.DUMMYFUNCTION("""COMPUTED_VALUE"""),"Yes, I will earn and do that")</f>
        <v>Yes, I will earn and do that</v>
      </c>
      <c r="G1929" s="1" t="str">
        <f ca="1">IFERROR(__xludf.DUMMYFUNCTION("""COMPUTED_VALUE"""),"Will work for 3 years or more")</f>
        <v>Will work for 3 years or more</v>
      </c>
      <c r="H1929" s="1" t="str">
        <f ca="1">IFERROR(__xludf.DUMMYFUNCTION("""COMPUTED_VALUE"""),"No")</f>
        <v>No</v>
      </c>
      <c r="I1929" s="1" t="str">
        <f ca="1">IFERROR(__xludf.DUMMYFUNCTION("""COMPUTED_VALUE"""),"Will NOT work for them")</f>
        <v>Will NOT work for them</v>
      </c>
      <c r="J1929" s="1">
        <f ca="1">IFERROR(__xludf.DUMMYFUNCTION("""COMPUTED_VALUE"""),2)</f>
        <v>2</v>
      </c>
      <c r="K1929" s="1" t="str">
        <f ca="1">IFERROR(__xludf.DUMMYFUNCTION("""COMPUTED_VALUE"""),"Hybrid Working Environment with less than 3 days a month at office")</f>
        <v>Hybrid Working Environment with less than 3 days a month at office</v>
      </c>
      <c r="L1929" s="1" t="str">
        <f ca="1">IFERROR(__xludf.DUMMYFUNCTION("""COMPUTED_VALUE"""),"Employer who rewards learning and enables that environment")</f>
        <v>Employer who rewards learning and enables that environment</v>
      </c>
      <c r="M192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929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929" s="1" t="str">
        <f ca="1">IFERROR(__xludf.DUMMYFUNCTION("""COMPUTED_VALUE"""),"Manager who clearly describes what she/he needs")</f>
        <v>Manager who clearly describes what she/he needs</v>
      </c>
      <c r="P1929" s="1" t="str">
        <f ca="1">IFERROR(__xludf.DUMMYFUNCTION("""COMPUTED_VALUE"""),"Work with 5 to 6 people in my team")</f>
        <v>Work with 5 to 6 people in my team</v>
      </c>
      <c r="Q1929" s="1" t="str">
        <f ca="1">IFERROR(__xludf.DUMMYFUNCTION("""COMPUTED_VALUE"""),"No")</f>
        <v>No</v>
      </c>
      <c r="R1929" s="1" t="str">
        <f ca="1">IFERROR(__xludf.DUMMYFUNCTION("""COMPUTED_VALUE"""),"Will work for 7 years or more")</f>
        <v>Will work for 7 years or more</v>
      </c>
      <c r="S1929" s="1" t="str">
        <f ca="1">IFERROR(__xludf.DUMMYFUNCTION("""COMPUTED_VALUE"""),"snigdha.awasthi@gmail.com")</f>
        <v>snigdha.awasthi@gmail.com</v>
      </c>
    </row>
    <row r="1930" spans="1:19" ht="12.5" x14ac:dyDescent="0.25">
      <c r="A1930" s="2">
        <f ca="1">IFERROR(__xludf.DUMMYFUNCTION("""COMPUTED_VALUE"""),45062.9201576851)</f>
        <v>45062.920157685097</v>
      </c>
      <c r="B1930" s="1" t="str">
        <f ca="1">IFERROR(__xludf.DUMMYFUNCTION("""COMPUTED_VALUE"""),"India")</f>
        <v>India</v>
      </c>
      <c r="C1930" s="1">
        <f ca="1">IFERROR(__xludf.DUMMYFUNCTION("""COMPUTED_VALUE"""),533428)</f>
        <v>533428</v>
      </c>
      <c r="D1930" s="1" t="str">
        <f ca="1">IFERROR(__xludf.DUMMYFUNCTION("""COMPUTED_VALUE"""),"Male")</f>
        <v>Male</v>
      </c>
      <c r="E1930" s="1" t="str">
        <f ca="1">IFERROR(__xludf.DUMMYFUNCTION("""COMPUTED_VALUE"""),"People from my circle, but not family members")</f>
        <v>People from my circle, but not family members</v>
      </c>
      <c r="F1930" s="1" t="str">
        <f ca="1">IFERROR(__xludf.DUMMYFUNCTION("""COMPUTED_VALUE"""),"No, But if someone could bare the cost I will")</f>
        <v>No, But if someone could bare the cost I will</v>
      </c>
      <c r="G1930" s="1" t="str">
        <f ca="1">IFERROR(__xludf.DUMMYFUNCTION("""COMPUTED_VALUE"""),"Will work for 3 years or more")</f>
        <v>Will work for 3 years or more</v>
      </c>
      <c r="H1930" s="1" t="str">
        <f ca="1">IFERROR(__xludf.DUMMYFUNCTION("""COMPUTED_VALUE"""),"No")</f>
        <v>No</v>
      </c>
      <c r="I1930" s="1" t="str">
        <f ca="1">IFERROR(__xludf.DUMMYFUNCTION("""COMPUTED_VALUE"""),"Will NOT work for them")</f>
        <v>Will NOT work for them</v>
      </c>
      <c r="J1930" s="1">
        <f ca="1">IFERROR(__xludf.DUMMYFUNCTION("""COMPUTED_VALUE"""),2)</f>
        <v>2</v>
      </c>
      <c r="K1930" s="1" t="str">
        <f ca="1">IFERROR(__xludf.DUMMYFUNCTION("""COMPUTED_VALUE"""),"Every Day Office Environment")</f>
        <v>Every Day Office Environment</v>
      </c>
      <c r="L1930" s="1" t="str">
        <f ca="1">IFERROR(__xludf.DUMMYFUNCTION("""COMPUTED_VALUE"""),"Employer who appreciates learning and enables that environment")</f>
        <v>Employer who appreciates learning and enables that environment</v>
      </c>
      <c r="M193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930" s="1" t="str">
        <f ca="1">IFERROR(__xludf.DUMMYFUNCTION("""COMPUTED_VALUE"""),"Business Operations in any organization, Work in a BPO setup for some well known client, Work as a freelancer and do my thing my way, Entrepreneur or Start Up")</f>
        <v>Business Operations in any organization, Work in a BPO setup for some well known client, Work as a freelancer and do my thing my way, Entrepreneur or Start Up</v>
      </c>
      <c r="O1930" s="1" t="str">
        <f ca="1">IFERROR(__xludf.DUMMYFUNCTION("""COMPUTED_VALUE"""),"Manager who sets goal and helps me achieve it")</f>
        <v>Manager who sets goal and helps me achieve it</v>
      </c>
      <c r="P1930" s="1" t="str">
        <f ca="1">IFERROR(__xludf.DUMMYFUNCTION("""COMPUTED_VALUE"""),"Work with 2 to 3 people in my team")</f>
        <v>Work with 2 to 3 people in my team</v>
      </c>
      <c r="Q1930" s="1" t="str">
        <f ca="1">IFERROR(__xludf.DUMMYFUNCTION("""COMPUTED_VALUE"""),"Yes")</f>
        <v>Yes</v>
      </c>
      <c r="R1930" s="1" t="str">
        <f ca="1">IFERROR(__xludf.DUMMYFUNCTION("""COMPUTED_VALUE"""),"Will work for 7 years or more")</f>
        <v>Will work for 7 years or more</v>
      </c>
      <c r="S1930" s="1" t="str">
        <f ca="1">IFERROR(__xludf.DUMMYFUNCTION("""COMPUTED_VALUE"""),"satyatejakamisetti@gmail.com")</f>
        <v>satyatejakamisetti@gmail.com</v>
      </c>
    </row>
    <row r="1931" spans="1:19" ht="12.5" x14ac:dyDescent="0.25">
      <c r="A1931" s="2">
        <f ca="1">IFERROR(__xludf.DUMMYFUNCTION("""COMPUTED_VALUE"""),45062.9203109143)</f>
        <v>45062.920310914298</v>
      </c>
      <c r="B1931" s="1" t="str">
        <f ca="1">IFERROR(__xludf.DUMMYFUNCTION("""COMPUTED_VALUE"""),"India")</f>
        <v>India</v>
      </c>
      <c r="C1931" s="1">
        <f ca="1">IFERROR(__xludf.DUMMYFUNCTION("""COMPUTED_VALUE"""),263139)</f>
        <v>263139</v>
      </c>
      <c r="D1931" s="1" t="str">
        <f ca="1">IFERROR(__xludf.DUMMYFUNCTION("""COMPUTED_VALUE"""),"Male")</f>
        <v>Male</v>
      </c>
      <c r="E1931" s="1" t="str">
        <f ca="1">IFERROR(__xludf.DUMMYFUNCTION("""COMPUTED_VALUE"""),"Influencers who had successful careers")</f>
        <v>Influencers who had successful careers</v>
      </c>
      <c r="F1931" s="1" t="str">
        <f ca="1">IFERROR(__xludf.DUMMYFUNCTION("""COMPUTED_VALUE"""),"Yes, I will earn and do that")</f>
        <v>Yes, I will earn and do that</v>
      </c>
      <c r="G1931" s="1" t="str">
        <f ca="1">IFERROR(__xludf.DUMMYFUNCTION("""COMPUTED_VALUE"""),"This will be hard to do, but if it is the right company I would try")</f>
        <v>This will be hard to do, but if it is the right company I would try</v>
      </c>
      <c r="H1931" s="1" t="str">
        <f ca="1">IFERROR(__xludf.DUMMYFUNCTION("""COMPUTED_VALUE"""),"Yes")</f>
        <v>Yes</v>
      </c>
      <c r="I1931" s="1" t="str">
        <f ca="1">IFERROR(__xludf.DUMMYFUNCTION("""COMPUTED_VALUE"""),"Will work for them")</f>
        <v>Will work for them</v>
      </c>
      <c r="J1931" s="1">
        <f ca="1">IFERROR(__xludf.DUMMYFUNCTION("""COMPUTED_VALUE"""),5)</f>
        <v>5</v>
      </c>
      <c r="K1931" s="1" t="str">
        <f ca="1">IFERROR(__xludf.DUMMYFUNCTION("""COMPUTED_VALUE"""),"Hybrid Working Environment with more than 15 days a month at office")</f>
        <v>Hybrid Working Environment with more than 15 days a month at office</v>
      </c>
      <c r="L19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3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31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1931" s="1" t="str">
        <f ca="1">IFERROR(__xludf.DUMMYFUNCTION("""COMPUTED_VALUE"""),"Manager who explains what is expected, sets a goal and helps achieve it")</f>
        <v>Manager who explains what is expected, sets a goal and helps achieve it</v>
      </c>
      <c r="P1931" s="1" t="str">
        <f ca="1">IFERROR(__xludf.DUMMYFUNCTION("""COMPUTED_VALUE"""),"Work with 2 to 3 people in my team, Work with 5 to 6 people in my team")</f>
        <v>Work with 2 to 3 people in my team, Work with 5 to 6 people in my team</v>
      </c>
      <c r="Q1931" s="1" t="str">
        <f ca="1">IFERROR(__xludf.DUMMYFUNCTION("""COMPUTED_VALUE"""),"Yes, I Understand this is gonna happen everywhere")</f>
        <v>Yes, I Understand this is gonna happen everywhere</v>
      </c>
      <c r="R1931" s="1" t="str">
        <f ca="1">IFERROR(__xludf.DUMMYFUNCTION("""COMPUTED_VALUE"""),"This will be hard to do, but if it is the right company I would try")</f>
        <v>This will be hard to do, but if it is the right company I would try</v>
      </c>
      <c r="S1931" s="1" t="str">
        <f ca="1">IFERROR(__xludf.DUMMYFUNCTION("""COMPUTED_VALUE"""),"bhavesh.talentoj@gmail.com")</f>
        <v>bhavesh.talentoj@gmail.com</v>
      </c>
    </row>
    <row r="1932" spans="1:19" ht="12.5" x14ac:dyDescent="0.25">
      <c r="A1932" s="2">
        <f ca="1">IFERROR(__xludf.DUMMYFUNCTION("""COMPUTED_VALUE"""),45062.920572118)</f>
        <v>45062.920572117997</v>
      </c>
      <c r="B1932" s="1" t="str">
        <f ca="1">IFERROR(__xludf.DUMMYFUNCTION("""COMPUTED_VALUE"""),"India")</f>
        <v>India</v>
      </c>
      <c r="C1932" s="1">
        <f ca="1">IFERROR(__xludf.DUMMYFUNCTION("""COMPUTED_VALUE"""),621216)</f>
        <v>621216</v>
      </c>
      <c r="D1932" s="1" t="str">
        <f ca="1">IFERROR(__xludf.DUMMYFUNCTION("""COMPUTED_VALUE"""),"Male")</f>
        <v>Male</v>
      </c>
      <c r="E1932" s="1" t="str">
        <f ca="1">IFERROR(__xludf.DUMMYFUNCTION("""COMPUTED_VALUE"""),"People who have changed the world for better")</f>
        <v>People who have changed the world for better</v>
      </c>
      <c r="F1932" s="1" t="str">
        <f ca="1">IFERROR(__xludf.DUMMYFUNCTION("""COMPUTED_VALUE"""),"No I would not be pursuing Higher Education outside of India")</f>
        <v>No I would not be pursuing Higher Education outside of India</v>
      </c>
      <c r="G1932" s="1" t="str">
        <f ca="1">IFERROR(__xludf.DUMMYFUNCTION("""COMPUTED_VALUE"""),"Will work for 3 years or more")</f>
        <v>Will work for 3 years or more</v>
      </c>
      <c r="H1932" s="1" t="str">
        <f ca="1">IFERROR(__xludf.DUMMYFUNCTION("""COMPUTED_VALUE"""),"No")</f>
        <v>No</v>
      </c>
      <c r="I1932" s="1" t="str">
        <f ca="1">IFERROR(__xludf.DUMMYFUNCTION("""COMPUTED_VALUE"""),"Will NOT work for them")</f>
        <v>Will NOT work for them</v>
      </c>
      <c r="J1932" s="1">
        <f ca="1">IFERROR(__xludf.DUMMYFUNCTION("""COMPUTED_VALUE"""),8)</f>
        <v>8</v>
      </c>
      <c r="K1932" s="1" t="str">
        <f ca="1">IFERROR(__xludf.DUMMYFUNCTION("""COMPUTED_VALUE"""),"Hybrid Working Environment with more than 15 days a month at office")</f>
        <v>Hybrid Working Environment with more than 15 days a month at office</v>
      </c>
      <c r="L1932" s="1" t="str">
        <f ca="1">IFERROR(__xludf.DUMMYFUNCTION("""COMPUTED_VALUE"""),"Employer who appreciates learning and enables that environment")</f>
        <v>Employer who appreciates learning and enables that environment</v>
      </c>
      <c r="M1932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1932" s="1" t="str">
        <f ca="1">IFERROR(__xludf.DUMMYFUNCTION("""COMPUTED_VALUE"""),"Build and develop a Team, Look deeply into Data and generate insights, Work as a freelancer and do my thing my way, Become a content Creator in some platform")</f>
        <v>Build and develop a Team, Look deeply into Data and generate insights, Work as a freelancer and do my thing my way, Become a content Creator in some platform</v>
      </c>
      <c r="O1932" s="1" t="str">
        <f ca="1">IFERROR(__xludf.DUMMYFUNCTION("""COMPUTED_VALUE"""),"Manager who clearly describes what she/he needs")</f>
        <v>Manager who clearly describes what she/he needs</v>
      </c>
      <c r="P1932" s="1" t="str">
        <f ca="1">IFERROR(__xludf.DUMMYFUNCTION("""COMPUTED_VALUE"""),"Work with 7 to 10 or more people in my team")</f>
        <v>Work with 7 to 10 or more people in my team</v>
      </c>
      <c r="Q1932" s="1" t="str">
        <f ca="1">IFERROR(__xludf.DUMMYFUNCTION("""COMPUTED_VALUE"""),"No")</f>
        <v>No</v>
      </c>
      <c r="R1932" s="1" t="str">
        <f ca="1">IFERROR(__xludf.DUMMYFUNCTION("""COMPUTED_VALUE"""),"No way")</f>
        <v>No way</v>
      </c>
      <c r="S1932" s="1" t="str">
        <f ca="1">IFERROR(__xludf.DUMMYFUNCTION("""COMPUTED_VALUE"""),"deveshshekar53@gmail.com")</f>
        <v>deveshshekar53@gmail.com</v>
      </c>
    </row>
    <row r="1933" spans="1:19" ht="12.5" x14ac:dyDescent="0.25">
      <c r="A1933" s="2">
        <f ca="1">IFERROR(__xludf.DUMMYFUNCTION("""COMPUTED_VALUE"""),45062.9208584259)</f>
        <v>45062.920858425903</v>
      </c>
      <c r="B1933" s="1" t="str">
        <f ca="1">IFERROR(__xludf.DUMMYFUNCTION("""COMPUTED_VALUE"""),"India")</f>
        <v>India</v>
      </c>
      <c r="C1933" s="1">
        <f ca="1">IFERROR(__xludf.DUMMYFUNCTION("""COMPUTED_VALUE"""),411027)</f>
        <v>411027</v>
      </c>
      <c r="D1933" s="1" t="str">
        <f ca="1">IFERROR(__xludf.DUMMYFUNCTION("""COMPUTED_VALUE"""),"Male")</f>
        <v>Male</v>
      </c>
      <c r="E1933" s="1" t="str">
        <f ca="1">IFERROR(__xludf.DUMMYFUNCTION("""COMPUTED_VALUE"""),"People from my circle, but not family members")</f>
        <v>People from my circle, but not family members</v>
      </c>
      <c r="F1933" s="1" t="str">
        <f ca="1">IFERROR(__xludf.DUMMYFUNCTION("""COMPUTED_VALUE"""),"No I would not be pursuing Higher Education outside of India")</f>
        <v>No I would not be pursuing Higher Education outside of India</v>
      </c>
      <c r="G1933" s="1" t="str">
        <f ca="1">IFERROR(__xludf.DUMMYFUNCTION("""COMPUTED_VALUE"""),"No way")</f>
        <v>No way</v>
      </c>
      <c r="H1933" s="1" t="str">
        <f ca="1">IFERROR(__xludf.DUMMYFUNCTION("""COMPUTED_VALUE"""),"Yes")</f>
        <v>Yes</v>
      </c>
      <c r="I1933" s="1" t="str">
        <f ca="1">IFERROR(__xludf.DUMMYFUNCTION("""COMPUTED_VALUE"""),"Will work for them")</f>
        <v>Will work for them</v>
      </c>
      <c r="J1933" s="1">
        <f ca="1">IFERROR(__xludf.DUMMYFUNCTION("""COMPUTED_VALUE"""),8)</f>
        <v>8</v>
      </c>
      <c r="K1933" s="1" t="str">
        <f ca="1">IFERROR(__xludf.DUMMYFUNCTION("""COMPUTED_VALUE"""),"Fully Remote with No option to visit offices")</f>
        <v>Fully Remote with No option to visit offices</v>
      </c>
      <c r="L19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33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1933" s="1" t="str">
        <f ca="1">IFERROR(__xludf.DUMMYFUNCTION("""COMPUTED_VALUE"""),"Work in a BPO setup for some well known client, Work as a freelancer and do my thing my way, Become a content Creator in some platform, Entrepreneur or Start Up")</f>
        <v>Work in a BPO setup for some well known client, Work as a freelancer and do my thing my way, Become a content Creator in some platform, Entrepreneur or Start Up</v>
      </c>
      <c r="O1933" s="1" t="str">
        <f ca="1">IFERROR(__xludf.DUMMYFUNCTION("""COMPUTED_VALUE"""),"Manager who sets goal and helps me achieve it")</f>
        <v>Manager who sets goal and helps me achieve it</v>
      </c>
      <c r="P1933" s="1" t="str">
        <f ca="1">IFERROR(__xludf.DUMMYFUNCTION("""COMPUTED_VALUE"""),"Work with 7 to 10 or more people in my team")</f>
        <v>Work with 7 to 10 or more people in my team</v>
      </c>
      <c r="Q1933" s="1" t="str">
        <f ca="1">IFERROR(__xludf.DUMMYFUNCTION("""COMPUTED_VALUE"""),"Yes, I Understand this is gonna happen everywhere")</f>
        <v>Yes, I Understand this is gonna happen everywhere</v>
      </c>
      <c r="R1933" s="1" t="str">
        <f ca="1">IFERROR(__xludf.DUMMYFUNCTION("""COMPUTED_VALUE"""),"No way")</f>
        <v>No way</v>
      </c>
      <c r="S1933" s="1" t="str">
        <f ca="1">IFERROR(__xludf.DUMMYFUNCTION("""COMPUTED_VALUE"""),"chavanpratik341@gmail.com")</f>
        <v>chavanpratik341@gmail.com</v>
      </c>
    </row>
    <row r="1934" spans="1:19" ht="12.5" x14ac:dyDescent="0.25">
      <c r="A1934" s="2">
        <f ca="1">IFERROR(__xludf.DUMMYFUNCTION("""COMPUTED_VALUE"""),45062.9217480787)</f>
        <v>45062.921748078697</v>
      </c>
      <c r="B1934" s="1" t="str">
        <f ca="1">IFERROR(__xludf.DUMMYFUNCTION("""COMPUTED_VALUE"""),"India")</f>
        <v>India</v>
      </c>
      <c r="C1934" s="1">
        <f ca="1">IFERROR(__xludf.DUMMYFUNCTION("""COMPUTED_VALUE"""),533464)</f>
        <v>533464</v>
      </c>
      <c r="D1934" s="1" t="str">
        <f ca="1">IFERROR(__xludf.DUMMYFUNCTION("""COMPUTED_VALUE"""),"Male")</f>
        <v>Male</v>
      </c>
      <c r="E1934" s="1" t="str">
        <f ca="1">IFERROR(__xludf.DUMMYFUNCTION("""COMPUTED_VALUE"""),"My Parents")</f>
        <v>My Parents</v>
      </c>
      <c r="F1934" s="1" t="str">
        <f ca="1">IFERROR(__xludf.DUMMYFUNCTION("""COMPUTED_VALUE"""),"No, But if someone could bare the cost I will")</f>
        <v>No, But if someone could bare the cost I will</v>
      </c>
      <c r="G1934" s="1" t="str">
        <f ca="1">IFERROR(__xludf.DUMMYFUNCTION("""COMPUTED_VALUE"""),"Will work for 3 years or more")</f>
        <v>Will work for 3 years or more</v>
      </c>
      <c r="H1934" s="1" t="str">
        <f ca="1">IFERROR(__xludf.DUMMYFUNCTION("""COMPUTED_VALUE"""),"Yes")</f>
        <v>Yes</v>
      </c>
      <c r="I1934" s="1" t="str">
        <f ca="1">IFERROR(__xludf.DUMMYFUNCTION("""COMPUTED_VALUE"""),"Will work for them")</f>
        <v>Will work for them</v>
      </c>
      <c r="J1934" s="1">
        <f ca="1">IFERROR(__xludf.DUMMYFUNCTION("""COMPUTED_VALUE"""),1)</f>
        <v>1</v>
      </c>
      <c r="K1934" s="1" t="str">
        <f ca="1">IFERROR(__xludf.DUMMYFUNCTION("""COMPUTED_VALUE"""),"Every Day Office Environment")</f>
        <v>Every Day Office Environment</v>
      </c>
      <c r="L1934" s="1" t="str">
        <f ca="1">IFERROR(__xludf.DUMMYFUNCTION("""COMPUTED_VALUE"""),"Employer who rewards learning and enables that environment")</f>
        <v>Employer who rewards learning and enables that environment</v>
      </c>
      <c r="M193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34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934" s="1" t="str">
        <f ca="1">IFERROR(__xludf.DUMMYFUNCTION("""COMPUTED_VALUE"""),"Manager who sets targets and expects me to achieve it")</f>
        <v>Manager who sets targets and expects me to achieve it</v>
      </c>
      <c r="P1934" s="1" t="str">
        <f ca="1">IFERROR(__xludf.DUMMYFUNCTION("""COMPUTED_VALUE"""),"Work with more than 10 people in my team")</f>
        <v>Work with more than 10 people in my team</v>
      </c>
      <c r="Q1934" s="1" t="str">
        <f ca="1">IFERROR(__xludf.DUMMYFUNCTION("""COMPUTED_VALUE"""),"Yes, I Understand this is gonna happen everywhere")</f>
        <v>Yes, I Understand this is gonna happen everywhere</v>
      </c>
      <c r="R1934" s="1" t="str">
        <f ca="1">IFERROR(__xludf.DUMMYFUNCTION("""COMPUTED_VALUE"""),"No way")</f>
        <v>No way</v>
      </c>
      <c r="S1934" s="1" t="str">
        <f ca="1">IFERROR(__xludf.DUMMYFUNCTION("""COMPUTED_VALUE"""),"ramanamurthy.vanarasi1@gmail.com")</f>
        <v>ramanamurthy.vanarasi1@gmail.com</v>
      </c>
    </row>
    <row r="1935" spans="1:19" ht="12.5" x14ac:dyDescent="0.25">
      <c r="A1935" s="2">
        <f ca="1">IFERROR(__xludf.DUMMYFUNCTION("""COMPUTED_VALUE"""),45062.9218727893)</f>
        <v>45062.921872789302</v>
      </c>
      <c r="B1935" s="1" t="str">
        <f ca="1">IFERROR(__xludf.DUMMYFUNCTION("""COMPUTED_VALUE"""),"India")</f>
        <v>India</v>
      </c>
      <c r="C1935" s="1">
        <f ca="1">IFERROR(__xludf.DUMMYFUNCTION("""COMPUTED_VALUE"""),201013)</f>
        <v>201013</v>
      </c>
      <c r="D1935" s="1" t="str">
        <f ca="1">IFERROR(__xludf.DUMMYFUNCTION("""COMPUTED_VALUE"""),"Female")</f>
        <v>Female</v>
      </c>
      <c r="E1935" s="1" t="str">
        <f ca="1">IFERROR(__xludf.DUMMYFUNCTION("""COMPUTED_VALUE"""),"My Parents")</f>
        <v>My Parents</v>
      </c>
      <c r="F1935" s="1" t="str">
        <f ca="1">IFERROR(__xludf.DUMMYFUNCTION("""COMPUTED_VALUE"""),"No, But if someone could bare the cost I will")</f>
        <v>No, But if someone could bare the cost I will</v>
      </c>
      <c r="G1935" s="1" t="str">
        <f ca="1">IFERROR(__xludf.DUMMYFUNCTION("""COMPUTED_VALUE"""),"Will work for 3 years or more")</f>
        <v>Will work for 3 years or more</v>
      </c>
      <c r="H1935" s="1" t="str">
        <f ca="1">IFERROR(__xludf.DUMMYFUNCTION("""COMPUTED_VALUE"""),"Yes")</f>
        <v>Yes</v>
      </c>
      <c r="I1935" s="1" t="str">
        <f ca="1">IFERROR(__xludf.DUMMYFUNCTION("""COMPUTED_VALUE"""),"Will work for them")</f>
        <v>Will work for them</v>
      </c>
      <c r="J1935" s="1">
        <f ca="1">IFERROR(__xludf.DUMMYFUNCTION("""COMPUTED_VALUE"""),8)</f>
        <v>8</v>
      </c>
      <c r="K1935" s="1" t="str">
        <f ca="1">IFERROR(__xludf.DUMMYFUNCTION("""COMPUTED_VALUE"""),"Every Day Office Environment")</f>
        <v>Every Day Office Environment</v>
      </c>
      <c r="L1935" s="1" t="str">
        <f ca="1">IFERROR(__xludf.DUMMYFUNCTION("""COMPUTED_VALUE"""),"Employer who appreciates learning and enables that environment")</f>
        <v>Employer who appreciates learning and enables that environment</v>
      </c>
      <c r="M1935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935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935" s="1" t="str">
        <f ca="1">IFERROR(__xludf.DUMMYFUNCTION("""COMPUTED_VALUE"""),"Manager who explains what is expected, sets a goal and helps achieve it")</f>
        <v>Manager who explains what is expected, sets a goal and helps achieve it</v>
      </c>
      <c r="P1935" s="1" t="str">
        <f ca="1">IFERROR(__xludf.DUMMYFUNCTION("""COMPUTED_VALUE"""),"Work with 2 to 3 people in my team")</f>
        <v>Work with 2 to 3 people in my team</v>
      </c>
      <c r="Q1935" s="1" t="str">
        <f ca="1">IFERROR(__xludf.DUMMYFUNCTION("""COMPUTED_VALUE"""),"No")</f>
        <v>No</v>
      </c>
      <c r="R1935" s="1" t="str">
        <f ca="1">IFERROR(__xludf.DUMMYFUNCTION("""COMPUTED_VALUE"""),"This will be hard to do, but if it is the right company I would try")</f>
        <v>This will be hard to do, but if it is the right company I would try</v>
      </c>
      <c r="S1935" s="1" t="str">
        <f ca="1">IFERROR(__xludf.DUMMYFUNCTION("""COMPUTED_VALUE"""),"pratibhaharsh0102@gmail.com")</f>
        <v>pratibhaharsh0102@gmail.com</v>
      </c>
    </row>
    <row r="1936" spans="1:19" ht="12.5" x14ac:dyDescent="0.25">
      <c r="A1936" s="2">
        <f ca="1">IFERROR(__xludf.DUMMYFUNCTION("""COMPUTED_VALUE"""),45062.9220551157)</f>
        <v>45062.922055115698</v>
      </c>
      <c r="B1936" s="1" t="str">
        <f ca="1">IFERROR(__xludf.DUMMYFUNCTION("""COMPUTED_VALUE"""),"India")</f>
        <v>India</v>
      </c>
      <c r="C1936" s="1">
        <f ca="1">IFERROR(__xludf.DUMMYFUNCTION("""COMPUTED_VALUE"""),132103)</f>
        <v>132103</v>
      </c>
      <c r="D1936" s="1" t="str">
        <f ca="1">IFERROR(__xludf.DUMMYFUNCTION("""COMPUTED_VALUE"""),"Male")</f>
        <v>Male</v>
      </c>
      <c r="E1936" s="1" t="str">
        <f ca="1">IFERROR(__xludf.DUMMYFUNCTION("""COMPUTED_VALUE"""),"My Parents")</f>
        <v>My Parents</v>
      </c>
      <c r="F1936" s="1" t="str">
        <f ca="1">IFERROR(__xludf.DUMMYFUNCTION("""COMPUTED_VALUE"""),"No, But if someone could bare the cost I will")</f>
        <v>No, But if someone could bare the cost I will</v>
      </c>
      <c r="G1936" s="1" t="str">
        <f ca="1">IFERROR(__xludf.DUMMYFUNCTION("""COMPUTED_VALUE"""),"This will be hard to do, but if it is the right company I would try")</f>
        <v>This will be hard to do, but if it is the right company I would try</v>
      </c>
      <c r="H1936" s="1" t="str">
        <f ca="1">IFERROR(__xludf.DUMMYFUNCTION("""COMPUTED_VALUE"""),"No")</f>
        <v>No</v>
      </c>
      <c r="I1936" s="1" t="str">
        <f ca="1">IFERROR(__xludf.DUMMYFUNCTION("""COMPUTED_VALUE"""),"Will NOT work for them")</f>
        <v>Will NOT work for them</v>
      </c>
      <c r="J1936" s="1">
        <f ca="1">IFERROR(__xludf.DUMMYFUNCTION("""COMPUTED_VALUE"""),2)</f>
        <v>2</v>
      </c>
      <c r="K1936" s="1" t="str">
        <f ca="1">IFERROR(__xludf.DUMMYFUNCTION("""COMPUTED_VALUE"""),"Hybrid Working Environment with less than 3 days a month at office")</f>
        <v>Hybrid Working Environment with less than 3 days a month at office</v>
      </c>
      <c r="L1936" s="1" t="str">
        <f ca="1">IFERROR(__xludf.DUMMYFUNCTION("""COMPUTED_VALUE"""),"Employer who appreciates learning and enables that environment")</f>
        <v>Employer who appreciates learning and enables that environment</v>
      </c>
      <c r="M193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36" s="1" t="str">
        <f ca="1">IFERROR(__xludf.DUMMYFUNCTION("""COMPUTED_VALUE"""),"Teaching in any of the institutes/colleges/online or offline, Look deeply into Data and generate insights, Work as a freelancer and do my thing my way, Entrepreneur or Start Up")</f>
        <v>Teaching in any of the institutes/colleges/online or offline, Look deeply into Data and generate insights, Work as a freelancer and do my thing my way, Entrepreneur or Start Up</v>
      </c>
      <c r="O1936" s="1" t="str">
        <f ca="1">IFERROR(__xludf.DUMMYFUNCTION("""COMPUTED_VALUE"""),"Manager who explains what is expected, sets a goal and helps achieve it")</f>
        <v>Manager who explains what is expected, sets a goal and helps achieve it</v>
      </c>
      <c r="P1936" s="1" t="str">
        <f ca="1">IFERROR(__xludf.DUMMYFUNCTION("""COMPUTED_VALUE"""),"Work with 5 to 6 people in my team")</f>
        <v>Work with 5 to 6 people in my team</v>
      </c>
      <c r="Q1936" s="1" t="str">
        <f ca="1">IFERROR(__xludf.DUMMYFUNCTION("""COMPUTED_VALUE"""),"No")</f>
        <v>No</v>
      </c>
      <c r="R1936" s="1" t="str">
        <f ca="1">IFERROR(__xludf.DUMMYFUNCTION("""COMPUTED_VALUE"""),"No way")</f>
        <v>No way</v>
      </c>
      <c r="S1936" s="1" t="str">
        <f ca="1">IFERROR(__xludf.DUMMYFUNCTION("""COMPUTED_VALUE"""),"parvkaushik23@gmail.com")</f>
        <v>parvkaushik23@gmail.com</v>
      </c>
    </row>
    <row r="1937" spans="1:19" ht="12.5" x14ac:dyDescent="0.25">
      <c r="A1937" s="2">
        <f ca="1">IFERROR(__xludf.DUMMYFUNCTION("""COMPUTED_VALUE"""),45062.9222140046)</f>
        <v>45062.922214004597</v>
      </c>
      <c r="B1937" s="1" t="str">
        <f ca="1">IFERROR(__xludf.DUMMYFUNCTION("""COMPUTED_VALUE"""),"India")</f>
        <v>India</v>
      </c>
      <c r="C1937" s="1">
        <f ca="1">IFERROR(__xludf.DUMMYFUNCTION("""COMPUTED_VALUE"""),524005)</f>
        <v>524005</v>
      </c>
      <c r="D1937" s="1" t="str">
        <f ca="1">IFERROR(__xludf.DUMMYFUNCTION("""COMPUTED_VALUE"""),"Male")</f>
        <v>Male</v>
      </c>
      <c r="E1937" s="1" t="str">
        <f ca="1">IFERROR(__xludf.DUMMYFUNCTION("""COMPUTED_VALUE"""),"My Parents")</f>
        <v>My Parents</v>
      </c>
      <c r="F1937" s="1" t="str">
        <f ca="1">IFERROR(__xludf.DUMMYFUNCTION("""COMPUTED_VALUE"""),"No I would not be pursuing Higher Education outside of India")</f>
        <v>No I would not be pursuing Higher Education outside of India</v>
      </c>
      <c r="G1937" s="1" t="str">
        <f ca="1">IFERROR(__xludf.DUMMYFUNCTION("""COMPUTED_VALUE"""),"This will be hard to do, but if it is the right company I would try")</f>
        <v>This will be hard to do, but if it is the right company I would try</v>
      </c>
      <c r="H1937" s="1" t="str">
        <f ca="1">IFERROR(__xludf.DUMMYFUNCTION("""COMPUTED_VALUE"""),"No")</f>
        <v>No</v>
      </c>
      <c r="I1937" s="1" t="str">
        <f ca="1">IFERROR(__xludf.DUMMYFUNCTION("""COMPUTED_VALUE"""),"Will NOT work for them")</f>
        <v>Will NOT work for them</v>
      </c>
      <c r="J1937" s="1">
        <f ca="1">IFERROR(__xludf.DUMMYFUNCTION("""COMPUTED_VALUE"""),5)</f>
        <v>5</v>
      </c>
      <c r="K1937" s="1" t="str">
        <f ca="1">IFERROR(__xludf.DUMMYFUNCTION("""COMPUTED_VALUE"""),"Fully Remote with Options to travel as and when needed")</f>
        <v>Fully Remote with Options to travel as and when needed</v>
      </c>
      <c r="L1937" s="1" t="str">
        <f ca="1">IFERROR(__xludf.DUMMYFUNCTION("""COMPUTED_VALUE"""),"Employer who rewards learning and enables that environment")</f>
        <v>Employer who rewards learning and enables that environment</v>
      </c>
      <c r="M193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937" s="1" t="str">
        <f ca="1">IFERROR(__xludf.DUMMYFUNCTION("""COMPUTED_VALUE"""),"Manage and drive End-to-End Projects or Products, Build and develop a Team, Entrepreneur or Start Up, Manufacturing / Oil and Gas/ Construction / Hard Physical Work related")</f>
        <v>Manage and drive End-to-End Projects or Products, Build and develop a Team, Entrepreneur or Start Up, Manufacturing / Oil and Gas/ Construction / Hard Physical Work related</v>
      </c>
      <c r="O1937" s="1" t="str">
        <f ca="1">IFERROR(__xludf.DUMMYFUNCTION("""COMPUTED_VALUE"""),"Manager who sets goal and helps me achieve it")</f>
        <v>Manager who sets goal and helps me achieve it</v>
      </c>
      <c r="P1937" s="1" t="str">
        <f ca="1">IFERROR(__xludf.DUMMYFUNCTION("""COMPUTED_VALUE"""),"Work with 7 to 10 or more people in my team")</f>
        <v>Work with 7 to 10 or more people in my team</v>
      </c>
      <c r="Q1937" s="1" t="str">
        <f ca="1">IFERROR(__xludf.DUMMYFUNCTION("""COMPUTED_VALUE"""),"No")</f>
        <v>No</v>
      </c>
      <c r="R1937" s="1" t="str">
        <f ca="1">IFERROR(__xludf.DUMMYFUNCTION("""COMPUTED_VALUE"""),"This will be hard to do, but if it is the right company I would try")</f>
        <v>This will be hard to do, but if it is the right company I would try</v>
      </c>
      <c r="S1937" s="1" t="str">
        <f ca="1">IFERROR(__xludf.DUMMYFUNCTION("""COMPUTED_VALUE"""),"usmanam568@gmail.com")</f>
        <v>usmanam568@gmail.com</v>
      </c>
    </row>
    <row r="1938" spans="1:19" ht="12.5" x14ac:dyDescent="0.25">
      <c r="A1938" s="2">
        <f ca="1">IFERROR(__xludf.DUMMYFUNCTION("""COMPUTED_VALUE"""),45062.9222893981)</f>
        <v>45062.922289398099</v>
      </c>
      <c r="B1938" s="1" t="str">
        <f ca="1">IFERROR(__xludf.DUMMYFUNCTION("""COMPUTED_VALUE"""),"India")</f>
        <v>India</v>
      </c>
      <c r="C1938" s="1">
        <f ca="1">IFERROR(__xludf.DUMMYFUNCTION("""COMPUTED_VALUE"""),533429)</f>
        <v>533429</v>
      </c>
      <c r="D1938" s="1" t="str">
        <f ca="1">IFERROR(__xludf.DUMMYFUNCTION("""COMPUTED_VALUE"""),"Male")</f>
        <v>Male</v>
      </c>
      <c r="E1938" s="1" t="str">
        <f ca="1">IFERROR(__xludf.DUMMYFUNCTION("""COMPUTED_VALUE"""),"People who have changed the world for better")</f>
        <v>People who have changed the world for better</v>
      </c>
      <c r="F1938" s="1" t="str">
        <f ca="1">IFERROR(__xludf.DUMMYFUNCTION("""COMPUTED_VALUE"""),"Yes, I will earn and do that")</f>
        <v>Yes, I will earn and do that</v>
      </c>
      <c r="G1938" s="1" t="str">
        <f ca="1">IFERROR(__xludf.DUMMYFUNCTION("""COMPUTED_VALUE"""),"No way")</f>
        <v>No way</v>
      </c>
      <c r="H1938" s="1" t="str">
        <f ca="1">IFERROR(__xludf.DUMMYFUNCTION("""COMPUTED_VALUE"""),"Yes")</f>
        <v>Yes</v>
      </c>
      <c r="I1938" s="1" t="str">
        <f ca="1">IFERROR(__xludf.DUMMYFUNCTION("""COMPUTED_VALUE"""),"Will work for them")</f>
        <v>Will work for them</v>
      </c>
      <c r="J1938" s="1">
        <f ca="1">IFERROR(__xludf.DUMMYFUNCTION("""COMPUTED_VALUE"""),5)</f>
        <v>5</v>
      </c>
      <c r="K1938" s="1" t="str">
        <f ca="1">IFERROR(__xludf.DUMMYFUNCTION("""COMPUTED_VALUE"""),"Hybrid Working Environment with more than 15 days a month at office")</f>
        <v>Hybrid Working Environment with more than 15 days a month at office</v>
      </c>
      <c r="L1938" s="1" t="str">
        <f ca="1">IFERROR(__xludf.DUMMYFUNCTION("""COMPUTED_VALUE"""),"Employer who appreciates learning and enables that environment")</f>
        <v>Employer who appreciates learning and enables that environment</v>
      </c>
      <c r="M193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3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1938" s="1" t="str">
        <f ca="1">IFERROR(__xludf.DUMMYFUNCTION("""COMPUTED_VALUE"""),"Manager who clearly describes what she/he needs")</f>
        <v>Manager who clearly describes what she/he needs</v>
      </c>
      <c r="P1938" s="1" t="str">
        <f ca="1">IFERROR(__xludf.DUMMYFUNCTION("""COMPUTED_VALUE"""),"Work with 7 to 10 or more people in my team")</f>
        <v>Work with 7 to 10 or more people in my team</v>
      </c>
      <c r="Q1938" s="1" t="str">
        <f ca="1">IFERROR(__xludf.DUMMYFUNCTION("""COMPUTED_VALUE"""),"No")</f>
        <v>No</v>
      </c>
      <c r="R1938" s="1" t="str">
        <f ca="1">IFERROR(__xludf.DUMMYFUNCTION("""COMPUTED_VALUE"""),"No way")</f>
        <v>No way</v>
      </c>
      <c r="S1938" s="1" t="str">
        <f ca="1">IFERROR(__xludf.DUMMYFUNCTION("""COMPUTED_VALUE"""),"sivakrish91299@gmail.com")</f>
        <v>sivakrish91299@gmail.com</v>
      </c>
    </row>
    <row r="1939" spans="1:19" ht="12.5" x14ac:dyDescent="0.25">
      <c r="A1939" s="2">
        <f ca="1">IFERROR(__xludf.DUMMYFUNCTION("""COMPUTED_VALUE"""),45062.9222902314)</f>
        <v>45062.9222902314</v>
      </c>
      <c r="B1939" s="1" t="str">
        <f ca="1">IFERROR(__xludf.DUMMYFUNCTION("""COMPUTED_VALUE"""),"India")</f>
        <v>India</v>
      </c>
      <c r="C1939" s="1">
        <f ca="1">IFERROR(__xludf.DUMMYFUNCTION("""COMPUTED_VALUE"""),506169)</f>
        <v>506169</v>
      </c>
      <c r="D1939" s="1" t="str">
        <f ca="1">IFERROR(__xludf.DUMMYFUNCTION("""COMPUTED_VALUE"""),"Male")</f>
        <v>Male</v>
      </c>
      <c r="E1939" s="1" t="str">
        <f ca="1">IFERROR(__xludf.DUMMYFUNCTION("""COMPUTED_VALUE"""),"My Parents")</f>
        <v>My Parents</v>
      </c>
      <c r="F1939" s="1" t="str">
        <f ca="1">IFERROR(__xludf.DUMMYFUNCTION("""COMPUTED_VALUE"""),"Yes, I will earn and do that")</f>
        <v>Yes, I will earn and do that</v>
      </c>
      <c r="G1939" s="1" t="str">
        <f ca="1">IFERROR(__xludf.DUMMYFUNCTION("""COMPUTED_VALUE"""),"Will work for 3 years or more")</f>
        <v>Will work for 3 years or more</v>
      </c>
      <c r="H1939" s="1" t="str">
        <f ca="1">IFERROR(__xludf.DUMMYFUNCTION("""COMPUTED_VALUE"""),"No")</f>
        <v>No</v>
      </c>
      <c r="I1939" s="1" t="str">
        <f ca="1">IFERROR(__xludf.DUMMYFUNCTION("""COMPUTED_VALUE"""),"Will NOT work for them")</f>
        <v>Will NOT work for them</v>
      </c>
      <c r="J1939" s="1">
        <f ca="1">IFERROR(__xludf.DUMMYFUNCTION("""COMPUTED_VALUE"""),4)</f>
        <v>4</v>
      </c>
      <c r="K1939" s="1" t="str">
        <f ca="1">IFERROR(__xludf.DUMMYFUNCTION("""COMPUTED_VALUE"""),"Fully Remote with No option to visit offices")</f>
        <v>Fully Remote with No option to visit offices</v>
      </c>
      <c r="L19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3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39" s="1" t="str">
        <f ca="1">IFERROR(__xludf.DUMMYFUNCTION("""COMPUTED_VALUE"""),"Design and Creative strategy in any company, Business Operations in any organization, Build and develop a Team, Become a content Creator in some platform")</f>
        <v>Design and Creative strategy in any company, Business Operations in any organization, Build and develop a Team, Become a content Creator in some platform</v>
      </c>
      <c r="O1939" s="1" t="str">
        <f ca="1">IFERROR(__xludf.DUMMYFUNCTION("""COMPUTED_VALUE"""),"Manager who clearly describes what she/he needs")</f>
        <v>Manager who clearly describes what she/he needs</v>
      </c>
      <c r="P1939" s="1" t="str">
        <f ca="1">IFERROR(__xludf.DUMMYFUNCTION("""COMPUTED_VALUE"""),"Work with 2 to 3 people in my team")</f>
        <v>Work with 2 to 3 people in my team</v>
      </c>
      <c r="Q1939" s="1" t="str">
        <f ca="1">IFERROR(__xludf.DUMMYFUNCTION("""COMPUTED_VALUE"""),"Yes, I Understand this is gonna happen everywhere")</f>
        <v>Yes, I Understand this is gonna happen everywhere</v>
      </c>
      <c r="R1939" s="1" t="str">
        <f ca="1">IFERROR(__xludf.DUMMYFUNCTION("""COMPUTED_VALUE"""),"This will be hard to do, but if it is the right company I would try")</f>
        <v>This will be hard to do, but if it is the right company I would try</v>
      </c>
      <c r="S1939" s="1" t="str">
        <f ca="1">IFERROR(__xludf.DUMMYFUNCTION("""COMPUTED_VALUE"""),"akhilsunny04@gmail.com")</f>
        <v>akhilsunny04@gmail.com</v>
      </c>
    </row>
    <row r="1940" spans="1:19" ht="12.5" x14ac:dyDescent="0.25">
      <c r="A1940" s="2">
        <f ca="1">IFERROR(__xludf.DUMMYFUNCTION("""COMPUTED_VALUE"""),45062.9224261342)</f>
        <v>45062.922426134202</v>
      </c>
      <c r="B1940" s="1" t="str">
        <f ca="1">IFERROR(__xludf.DUMMYFUNCTION("""COMPUTED_VALUE"""),"India")</f>
        <v>India</v>
      </c>
      <c r="C1940" s="1">
        <f ca="1">IFERROR(__xludf.DUMMYFUNCTION("""COMPUTED_VALUE"""),110059)</f>
        <v>110059</v>
      </c>
      <c r="D1940" s="1" t="str">
        <f ca="1">IFERROR(__xludf.DUMMYFUNCTION("""COMPUTED_VALUE"""),"Female")</f>
        <v>Female</v>
      </c>
      <c r="E1940" s="1" t="str">
        <f ca="1">IFERROR(__xludf.DUMMYFUNCTION("""COMPUTED_VALUE"""),"My Parents")</f>
        <v>My Parents</v>
      </c>
      <c r="F1940" s="1" t="str">
        <f ca="1">IFERROR(__xludf.DUMMYFUNCTION("""COMPUTED_VALUE"""),"No I would not be pursuing Higher Education outside of India")</f>
        <v>No I would not be pursuing Higher Education outside of India</v>
      </c>
      <c r="G1940" s="1" t="str">
        <f ca="1">IFERROR(__xludf.DUMMYFUNCTION("""COMPUTED_VALUE"""),"This will be hard to do, but if it is the right company I would try")</f>
        <v>This will be hard to do, but if it is the right company I would try</v>
      </c>
      <c r="H1940" s="1" t="str">
        <f ca="1">IFERROR(__xludf.DUMMYFUNCTION("""COMPUTED_VALUE"""),"Yes")</f>
        <v>Yes</v>
      </c>
      <c r="I1940" s="1" t="str">
        <f ca="1">IFERROR(__xludf.DUMMYFUNCTION("""COMPUTED_VALUE"""),"Will NOT work for them")</f>
        <v>Will NOT work for them</v>
      </c>
      <c r="J1940" s="1">
        <f ca="1">IFERROR(__xludf.DUMMYFUNCTION("""COMPUTED_VALUE"""),9)</f>
        <v>9</v>
      </c>
      <c r="K1940" s="1" t="str">
        <f ca="1">IFERROR(__xludf.DUMMYFUNCTION("""COMPUTED_VALUE"""),"Hybrid Working Environment with less than 3 days a month at office")</f>
        <v>Hybrid Working Environment with less than 3 days a month at office</v>
      </c>
      <c r="L19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4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940" s="1" t="str">
        <f ca="1">IFERROR(__xludf.DUMMYFUNCTION("""COMPUTED_VALUE"""),"Design and Creative strategy in any company, Manage and drive End-to-End Projects or Products, Work as a freelancer and do my thing my way, Become a content Creator in some platform")</f>
        <v>Design and Creative strategy in any company, Manage and drive End-to-End Projects or Products, Work as a freelancer and do my thing my way, Become a content Creator in some platform</v>
      </c>
      <c r="O1940" s="1" t="str">
        <f ca="1">IFERROR(__xludf.DUMMYFUNCTION("""COMPUTED_VALUE"""),"Manager who sets goal and helps me achieve it")</f>
        <v>Manager who sets goal and helps me achieve it</v>
      </c>
      <c r="P1940" s="1" t="str">
        <f ca="1">IFERROR(__xludf.DUMMYFUNCTION("""COMPUTED_VALUE"""),"Work with 5 to 6 people in my team")</f>
        <v>Work with 5 to 6 people in my team</v>
      </c>
      <c r="Q1940" s="1" t="str">
        <f ca="1">IFERROR(__xludf.DUMMYFUNCTION("""COMPUTED_VALUE"""),"Yes, I Understand this is gonna happen everywhere")</f>
        <v>Yes, I Understand this is gonna happen everywhere</v>
      </c>
      <c r="R1940" s="1" t="str">
        <f ca="1">IFERROR(__xludf.DUMMYFUNCTION("""COMPUTED_VALUE"""),"No way")</f>
        <v>No way</v>
      </c>
      <c r="S1940" s="1" t="str">
        <f ca="1">IFERROR(__xludf.DUMMYFUNCTION("""COMPUTED_VALUE"""),"rashiaggarwal03@gmail.com")</f>
        <v>rashiaggarwal03@gmail.com</v>
      </c>
    </row>
    <row r="1941" spans="1:19" ht="12.5" x14ac:dyDescent="0.25">
      <c r="A1941" s="2">
        <f ca="1">IFERROR(__xludf.DUMMYFUNCTION("""COMPUTED_VALUE"""),45062.9227885532)</f>
        <v>45062.922788553202</v>
      </c>
      <c r="B1941" s="1" t="str">
        <f ca="1">IFERROR(__xludf.DUMMYFUNCTION("""COMPUTED_VALUE"""),"India")</f>
        <v>India</v>
      </c>
      <c r="C1941" s="1">
        <f ca="1">IFERROR(__xludf.DUMMYFUNCTION("""COMPUTED_VALUE"""),560027)</f>
        <v>560027</v>
      </c>
      <c r="D1941" s="1" t="str">
        <f ca="1">IFERROR(__xludf.DUMMYFUNCTION("""COMPUTED_VALUE"""),"Female")</f>
        <v>Female</v>
      </c>
      <c r="E1941" s="1" t="str">
        <f ca="1">IFERROR(__xludf.DUMMYFUNCTION("""COMPUTED_VALUE"""),"Influencers who had successful careers")</f>
        <v>Influencers who had successful careers</v>
      </c>
      <c r="F1941" s="1" t="str">
        <f ca="1">IFERROR(__xludf.DUMMYFUNCTION("""COMPUTED_VALUE"""),"Yes, I will earn and do that")</f>
        <v>Yes, I will earn and do that</v>
      </c>
      <c r="G1941" s="1" t="str">
        <f ca="1">IFERROR(__xludf.DUMMYFUNCTION("""COMPUTED_VALUE"""),"Will work for 3 years or more")</f>
        <v>Will work for 3 years or more</v>
      </c>
      <c r="H1941" s="1" t="str">
        <f ca="1">IFERROR(__xludf.DUMMYFUNCTION("""COMPUTED_VALUE"""),"No")</f>
        <v>No</v>
      </c>
      <c r="I1941" s="1" t="str">
        <f ca="1">IFERROR(__xludf.DUMMYFUNCTION("""COMPUTED_VALUE"""),"Will NOT work for them")</f>
        <v>Will NOT work for them</v>
      </c>
      <c r="J1941" s="1">
        <f ca="1">IFERROR(__xludf.DUMMYFUNCTION("""COMPUTED_VALUE"""),10)</f>
        <v>10</v>
      </c>
      <c r="K1941" s="1" t="str">
        <f ca="1">IFERROR(__xludf.DUMMYFUNCTION("""COMPUTED_VALUE"""),"Hybrid Working Environment with less than 3 days a month at office")</f>
        <v>Hybrid Working Environment with less than 3 days a month at office</v>
      </c>
      <c r="L19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4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41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941" s="1" t="str">
        <f ca="1">IFERROR(__xludf.DUMMYFUNCTION("""COMPUTED_VALUE"""),"Manager who explains what is expected, sets a goal and helps achieve it")</f>
        <v>Manager who explains what is expected, sets a goal and helps achieve it</v>
      </c>
      <c r="P1941" s="1" t="str">
        <f ca="1">IFERROR(__xludf.DUMMYFUNCTION("""COMPUTED_VALUE"""),"Work with 5 to 6 people in my team")</f>
        <v>Work with 5 to 6 people in my team</v>
      </c>
      <c r="Q1941" s="1" t="str">
        <f ca="1">IFERROR(__xludf.DUMMYFUNCTION("""COMPUTED_VALUE"""),"Yes, I Understand this is gonna happen everywhere")</f>
        <v>Yes, I Understand this is gonna happen everywhere</v>
      </c>
      <c r="R1941" s="1" t="str">
        <f ca="1">IFERROR(__xludf.DUMMYFUNCTION("""COMPUTED_VALUE"""),"This will be hard to do, but if it is the right company I would try")</f>
        <v>This will be hard to do, but if it is the right company I would try</v>
      </c>
      <c r="S1941" s="1" t="str">
        <f ca="1">IFERROR(__xludf.DUMMYFUNCTION("""COMPUTED_VALUE"""),"deeksha9596@gmail.com")</f>
        <v>deeksha9596@gmail.com</v>
      </c>
    </row>
    <row r="1942" spans="1:19" ht="12.5" x14ac:dyDescent="0.25">
      <c r="A1942" s="2">
        <f ca="1">IFERROR(__xludf.DUMMYFUNCTION("""COMPUTED_VALUE"""),45062.92348625)</f>
        <v>45062.923486250002</v>
      </c>
      <c r="B1942" s="1" t="str">
        <f ca="1">IFERROR(__xludf.DUMMYFUNCTION("""COMPUTED_VALUE"""),"India")</f>
        <v>India</v>
      </c>
      <c r="C1942" s="1">
        <f ca="1">IFERROR(__xludf.DUMMYFUNCTION("""COMPUTED_VALUE"""),208021)</f>
        <v>208021</v>
      </c>
      <c r="D1942" s="1" t="str">
        <f ca="1">IFERROR(__xludf.DUMMYFUNCTION("""COMPUTED_VALUE"""),"Female")</f>
        <v>Female</v>
      </c>
      <c r="E1942" s="1" t="str">
        <f ca="1">IFERROR(__xludf.DUMMYFUNCTION("""COMPUTED_VALUE"""),"Social Media like LinkedIn")</f>
        <v>Social Media like LinkedIn</v>
      </c>
      <c r="F1942" s="1" t="str">
        <f ca="1">IFERROR(__xludf.DUMMYFUNCTION("""COMPUTED_VALUE"""),"Yes, I will earn and do that")</f>
        <v>Yes, I will earn and do that</v>
      </c>
      <c r="G1942" s="1" t="str">
        <f ca="1">IFERROR(__xludf.DUMMYFUNCTION("""COMPUTED_VALUE"""),"This will be hard to do, but if it is the right company I would try")</f>
        <v>This will be hard to do, but if it is the right company I would try</v>
      </c>
      <c r="H1942" s="1" t="str">
        <f ca="1">IFERROR(__xludf.DUMMYFUNCTION("""COMPUTED_VALUE"""),"Yes")</f>
        <v>Yes</v>
      </c>
      <c r="I1942" s="1" t="str">
        <f ca="1">IFERROR(__xludf.DUMMYFUNCTION("""COMPUTED_VALUE"""),"Will work for them")</f>
        <v>Will work for them</v>
      </c>
      <c r="J1942" s="1">
        <f ca="1">IFERROR(__xludf.DUMMYFUNCTION("""COMPUTED_VALUE"""),5)</f>
        <v>5</v>
      </c>
      <c r="K1942" s="1" t="str">
        <f ca="1">IFERROR(__xludf.DUMMYFUNCTION("""COMPUTED_VALUE"""),"Hybrid Working Environment with more than 15 days a month at office")</f>
        <v>Hybrid Working Environment with more than 15 days a month at office</v>
      </c>
      <c r="L1942" s="1" t="str">
        <f ca="1">IFERROR(__xludf.DUMMYFUNCTION("""COMPUTED_VALUE"""),"Employer who appreciates learning and enables that environment")</f>
        <v>Employer who appreciates learning and enables that environment</v>
      </c>
      <c r="M194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42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1942" s="1" t="str">
        <f ca="1">IFERROR(__xludf.DUMMYFUNCTION("""COMPUTED_VALUE"""),"Manager who explains what is expected, sets a goal and helps achieve it")</f>
        <v>Manager who explains what is expected, sets a goal and helps achieve it</v>
      </c>
      <c r="P1942" s="1" t="str">
        <f ca="1">IFERROR(__xludf.DUMMYFUNCTION("""COMPUTED_VALUE"""),"Work with 5 to 6 people in my team")</f>
        <v>Work with 5 to 6 people in my team</v>
      </c>
      <c r="Q1942" s="1" t="str">
        <f ca="1">IFERROR(__xludf.DUMMYFUNCTION("""COMPUTED_VALUE"""),"Yes, I Understand this is gonna happen everywhere")</f>
        <v>Yes, I Understand this is gonna happen everywhere</v>
      </c>
      <c r="R1942" s="1" t="str">
        <f ca="1">IFERROR(__xludf.DUMMYFUNCTION("""COMPUTED_VALUE"""),"This will be hard to do, but if it is the right company I would try")</f>
        <v>This will be hard to do, but if it is the right company I would try</v>
      </c>
      <c r="S1942" s="1" t="str">
        <f ca="1">IFERROR(__xludf.DUMMYFUNCTION("""COMPUTED_VALUE"""),"guptavanshita10@gmail.com")</f>
        <v>guptavanshita10@gmail.com</v>
      </c>
    </row>
    <row r="1943" spans="1:19" ht="12.5" x14ac:dyDescent="0.25">
      <c r="A1943" s="2">
        <f ca="1">IFERROR(__xludf.DUMMYFUNCTION("""COMPUTED_VALUE"""),45062.9237364814)</f>
        <v>45062.923736481403</v>
      </c>
      <c r="B1943" s="1" t="str">
        <f ca="1">IFERROR(__xludf.DUMMYFUNCTION("""COMPUTED_VALUE"""),"India")</f>
        <v>India</v>
      </c>
      <c r="C1943" s="1">
        <f ca="1">IFERROR(__xludf.DUMMYFUNCTION("""COMPUTED_VALUE"""),221003)</f>
        <v>221003</v>
      </c>
      <c r="D1943" s="1" t="str">
        <f ca="1">IFERROR(__xludf.DUMMYFUNCTION("""COMPUTED_VALUE"""),"Female")</f>
        <v>Female</v>
      </c>
      <c r="E1943" s="1" t="str">
        <f ca="1">IFERROR(__xludf.DUMMYFUNCTION("""COMPUTED_VALUE"""),"Social Media like LinkedIn")</f>
        <v>Social Media like LinkedIn</v>
      </c>
      <c r="F1943" s="1" t="str">
        <f ca="1">IFERROR(__xludf.DUMMYFUNCTION("""COMPUTED_VALUE"""),"Yes, I will earn and do that")</f>
        <v>Yes, I will earn and do that</v>
      </c>
      <c r="G1943" s="1" t="str">
        <f ca="1">IFERROR(__xludf.DUMMYFUNCTION("""COMPUTED_VALUE"""),"Will work for 3 years or more")</f>
        <v>Will work for 3 years or more</v>
      </c>
      <c r="H1943" s="1" t="str">
        <f ca="1">IFERROR(__xludf.DUMMYFUNCTION("""COMPUTED_VALUE"""),"No")</f>
        <v>No</v>
      </c>
      <c r="I1943" s="1" t="str">
        <f ca="1">IFERROR(__xludf.DUMMYFUNCTION("""COMPUTED_VALUE"""),"Will NOT work for them")</f>
        <v>Will NOT work for them</v>
      </c>
      <c r="J1943" s="1">
        <f ca="1">IFERROR(__xludf.DUMMYFUNCTION("""COMPUTED_VALUE"""),2)</f>
        <v>2</v>
      </c>
      <c r="K1943" s="1" t="str">
        <f ca="1">IFERROR(__xludf.DUMMYFUNCTION("""COMPUTED_VALUE"""),"Fully Remote with Options to travel as and when needed")</f>
        <v>Fully Remote with Options to travel as and when needed</v>
      </c>
      <c r="L1943" s="1" t="str">
        <f ca="1">IFERROR(__xludf.DUMMYFUNCTION("""COMPUTED_VALUE"""),"Employer who appreciates learning and enables that environment")</f>
        <v>Employer who appreciates learning and enables that environment</v>
      </c>
      <c r="M1943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943" s="1" t="str">
        <f ca="1">IFERROR(__xludf.DUMMYFUNCTION("""COMPUTED_VALUE"""),"Design and Creative strategy in any company, Build and develop a Team, Work in a BPO setup for some well known client, Become a content Creator in some platform")</f>
        <v>Design and Creative strategy in any company, Build and develop a Team, Work in a BPO setup for some well known client, Become a content Creator in some platform</v>
      </c>
      <c r="O1943" s="1" t="str">
        <f ca="1">IFERROR(__xludf.DUMMYFUNCTION("""COMPUTED_VALUE"""),"Manager who clearly describes what she/he needs")</f>
        <v>Manager who clearly describes what she/he needs</v>
      </c>
      <c r="P1943" s="1" t="str">
        <f ca="1">IFERROR(__xludf.DUMMYFUNCTION("""COMPUTED_VALUE"""),"Work with 7 to 10 or more people in my team")</f>
        <v>Work with 7 to 10 or more people in my team</v>
      </c>
      <c r="Q1943" s="1" t="str">
        <f ca="1">IFERROR(__xludf.DUMMYFUNCTION("""COMPUTED_VALUE"""),"Yes, I Understand this is gonna happen everywhere")</f>
        <v>Yes, I Understand this is gonna happen everywhere</v>
      </c>
      <c r="R1943" s="1" t="str">
        <f ca="1">IFERROR(__xludf.DUMMYFUNCTION("""COMPUTED_VALUE"""),"This will be hard to do, but if it is the right company I would try")</f>
        <v>This will be hard to do, but if it is the right company I would try</v>
      </c>
      <c r="S1943" s="1" t="str">
        <f ca="1">IFERROR(__xludf.DUMMYFUNCTION("""COMPUTED_VALUE"""),"19sakshi12@gmail.com")</f>
        <v>19sakshi12@gmail.com</v>
      </c>
    </row>
    <row r="1944" spans="1:19" ht="12.5" x14ac:dyDescent="0.25">
      <c r="A1944" s="2">
        <f ca="1">IFERROR(__xludf.DUMMYFUNCTION("""COMPUTED_VALUE"""),45062.9242803588)</f>
        <v>45062.924280358799</v>
      </c>
      <c r="B1944" s="1" t="str">
        <f ca="1">IFERROR(__xludf.DUMMYFUNCTION("""COMPUTED_VALUE"""),"India")</f>
        <v>India</v>
      </c>
      <c r="C1944" s="1">
        <f ca="1">IFERROR(__xludf.DUMMYFUNCTION("""COMPUTED_VALUE"""),711105)</f>
        <v>711105</v>
      </c>
      <c r="D1944" s="1" t="str">
        <f ca="1">IFERROR(__xludf.DUMMYFUNCTION("""COMPUTED_VALUE"""),"Male")</f>
        <v>Male</v>
      </c>
      <c r="E1944" s="1" t="str">
        <f ca="1">IFERROR(__xludf.DUMMYFUNCTION("""COMPUTED_VALUE"""),"Social Media like LinkedIn")</f>
        <v>Social Media like LinkedIn</v>
      </c>
      <c r="F1944" s="1" t="str">
        <f ca="1">IFERROR(__xludf.DUMMYFUNCTION("""COMPUTED_VALUE"""),"No I would not be pursuing Higher Education outside of India")</f>
        <v>No I would not be pursuing Higher Education outside of India</v>
      </c>
      <c r="G1944" s="1" t="str">
        <f ca="1">IFERROR(__xludf.DUMMYFUNCTION("""COMPUTED_VALUE"""),"This will be hard to do, but if it is the right company I would try")</f>
        <v>This will be hard to do, but if it is the right company I would try</v>
      </c>
      <c r="H1944" s="1" t="str">
        <f ca="1">IFERROR(__xludf.DUMMYFUNCTION("""COMPUTED_VALUE"""),"Yes")</f>
        <v>Yes</v>
      </c>
      <c r="I1944" s="1" t="str">
        <f ca="1">IFERROR(__xludf.DUMMYFUNCTION("""COMPUTED_VALUE"""),"Will work for them")</f>
        <v>Will work for them</v>
      </c>
      <c r="J1944" s="1">
        <f ca="1">IFERROR(__xludf.DUMMYFUNCTION("""COMPUTED_VALUE"""),6)</f>
        <v>6</v>
      </c>
      <c r="K1944" s="1" t="str">
        <f ca="1">IFERROR(__xludf.DUMMYFUNCTION("""COMPUTED_VALUE"""),"Hybrid Working Environment with less than 3 days a month at office")</f>
        <v>Hybrid Working Environment with less than 3 days a month at office</v>
      </c>
      <c r="L1944" s="1" t="str">
        <f ca="1">IFERROR(__xludf.DUMMYFUNCTION("""COMPUTED_VALUE"""),"Employer who appreciates learning and enables that environment")</f>
        <v>Employer who appreciates learning and enables that environment</v>
      </c>
      <c r="M194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44" s="1" t="str">
        <f ca="1">IFERROR(__xludf.DUMMYFUNCTION("""COMPUTED_VALUE"""),"Teaching in any of the institutes/colleges/online or offline, Build and develop a Team, Design and Develop amazing software, Look deeply into Data and generate insights")</f>
        <v>Teaching in any of the institutes/colleges/online or offline, Build and develop a Team, Design and Develop amazing software, Look deeply into Data and generate insights</v>
      </c>
      <c r="O1944" s="1" t="str">
        <f ca="1">IFERROR(__xludf.DUMMYFUNCTION("""COMPUTED_VALUE"""),"Manager who clearly describes what she/he needs")</f>
        <v>Manager who clearly describes what she/he needs</v>
      </c>
      <c r="P1944" s="1" t="str">
        <f ca="1">IFERROR(__xludf.DUMMYFUNCTION("""COMPUTED_VALUE"""),"Work alone, Work with 2 to 3 people in my team")</f>
        <v>Work alone, Work with 2 to 3 people in my team</v>
      </c>
      <c r="Q1944" s="1" t="str">
        <f ca="1">IFERROR(__xludf.DUMMYFUNCTION("""COMPUTED_VALUE"""),"Yes, I Understand this is gonna happen everywhere")</f>
        <v>Yes, I Understand this is gonna happen everywhere</v>
      </c>
      <c r="R1944" s="1" t="str">
        <f ca="1">IFERROR(__xludf.DUMMYFUNCTION("""COMPUTED_VALUE"""),"This will be hard to do, but if it is the right company I would try")</f>
        <v>This will be hard to do, but if it is the right company I would try</v>
      </c>
      <c r="S1944" s="1" t="str">
        <f ca="1">IFERROR(__xludf.DUMMYFUNCTION("""COMPUTED_VALUE"""),"sanujkumar49@gmail.com")</f>
        <v>sanujkumar49@gmail.com</v>
      </c>
    </row>
    <row r="1945" spans="1:19" ht="12.5" x14ac:dyDescent="0.25">
      <c r="A1945" s="2">
        <f ca="1">IFERROR(__xludf.DUMMYFUNCTION("""COMPUTED_VALUE"""),45062.9247826736)</f>
        <v>45062.924782673603</v>
      </c>
      <c r="B1945" s="1" t="str">
        <f ca="1">IFERROR(__xludf.DUMMYFUNCTION("""COMPUTED_VALUE"""),"India")</f>
        <v>India</v>
      </c>
      <c r="C1945" s="1">
        <f ca="1">IFERROR(__xludf.DUMMYFUNCTION("""COMPUTED_VALUE"""),263126)</f>
        <v>263126</v>
      </c>
      <c r="D1945" s="1" t="str">
        <f ca="1">IFERROR(__xludf.DUMMYFUNCTION("""COMPUTED_VALUE"""),"Female")</f>
        <v>Female</v>
      </c>
      <c r="E1945" s="1" t="str">
        <f ca="1">IFERROR(__xludf.DUMMYFUNCTION("""COMPUTED_VALUE"""),"My Parents")</f>
        <v>My Parents</v>
      </c>
      <c r="F1945" s="1" t="str">
        <f ca="1">IFERROR(__xludf.DUMMYFUNCTION("""COMPUTED_VALUE"""),"No I would not be pursuing Higher Education outside of India")</f>
        <v>No I would not be pursuing Higher Education outside of India</v>
      </c>
      <c r="G1945" s="1" t="str">
        <f ca="1">IFERROR(__xludf.DUMMYFUNCTION("""COMPUTED_VALUE"""),"This will be hard to do, but if it is the right company I would try")</f>
        <v>This will be hard to do, but if it is the right company I would try</v>
      </c>
      <c r="H1945" s="1" t="str">
        <f ca="1">IFERROR(__xludf.DUMMYFUNCTION("""COMPUTED_VALUE"""),"No")</f>
        <v>No</v>
      </c>
      <c r="I1945" s="1" t="str">
        <f ca="1">IFERROR(__xludf.DUMMYFUNCTION("""COMPUTED_VALUE"""),"Will NOT work for them")</f>
        <v>Will NOT work for them</v>
      </c>
      <c r="J1945" s="1">
        <f ca="1">IFERROR(__xludf.DUMMYFUNCTION("""COMPUTED_VALUE"""),5)</f>
        <v>5</v>
      </c>
      <c r="K1945" s="1" t="str">
        <f ca="1">IFERROR(__xludf.DUMMYFUNCTION("""COMPUTED_VALUE"""),"Hybrid Working Environment with less than 3 days a month at office")</f>
        <v>Hybrid Working Environment with less than 3 days a month at office</v>
      </c>
      <c r="L19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4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45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945" s="1" t="str">
        <f ca="1">IFERROR(__xludf.DUMMYFUNCTION("""COMPUTED_VALUE"""),"Manager who explains what is expected, sets a goal and helps achieve it")</f>
        <v>Manager who explains what is expected, sets a goal and helps achieve it</v>
      </c>
      <c r="P1945" s="1" t="str">
        <f ca="1">IFERROR(__xludf.DUMMYFUNCTION("""COMPUTED_VALUE"""),"Work alone, Work with 2 to 3 people in my team")</f>
        <v>Work alone, Work with 2 to 3 people in my team</v>
      </c>
      <c r="Q1945" s="1" t="str">
        <f ca="1">IFERROR(__xludf.DUMMYFUNCTION("""COMPUTED_VALUE"""),"Yes, I Understand this is gonna happen everywhere")</f>
        <v>Yes, I Understand this is gonna happen everywhere</v>
      </c>
      <c r="R1945" s="1" t="str">
        <f ca="1">IFERROR(__xludf.DUMMYFUNCTION("""COMPUTED_VALUE"""),"This will be hard to do, but if it is the right company I would try")</f>
        <v>This will be hard to do, but if it is the right company I would try</v>
      </c>
      <c r="S1945" s="1" t="str">
        <f ca="1">IFERROR(__xludf.DUMMYFUNCTION("""COMPUTED_VALUE"""),"mehranikita750@gmail.com")</f>
        <v>mehranikita750@gmail.com</v>
      </c>
    </row>
    <row r="1946" spans="1:19" ht="12.5" x14ac:dyDescent="0.25">
      <c r="A1946" s="2">
        <f ca="1">IFERROR(__xludf.DUMMYFUNCTION("""COMPUTED_VALUE"""),45062.9248224768)</f>
        <v>45062.924822476802</v>
      </c>
      <c r="B1946" s="1" t="str">
        <f ca="1">IFERROR(__xludf.DUMMYFUNCTION("""COMPUTED_VALUE"""),"India")</f>
        <v>India</v>
      </c>
      <c r="C1946" s="1">
        <f ca="1">IFERROR(__xludf.DUMMYFUNCTION("""COMPUTED_VALUE"""),560027)</f>
        <v>560027</v>
      </c>
      <c r="D1946" s="1" t="str">
        <f ca="1">IFERROR(__xludf.DUMMYFUNCTION("""COMPUTED_VALUE"""),"Female")</f>
        <v>Female</v>
      </c>
      <c r="E1946" s="1" t="str">
        <f ca="1">IFERROR(__xludf.DUMMYFUNCTION("""COMPUTED_VALUE"""),"Influencers who had successful careers")</f>
        <v>Influencers who had successful careers</v>
      </c>
      <c r="F1946" s="1" t="str">
        <f ca="1">IFERROR(__xludf.DUMMYFUNCTION("""COMPUTED_VALUE"""),"No I would not be pursuing Higher Education outside of India")</f>
        <v>No I would not be pursuing Higher Education outside of India</v>
      </c>
      <c r="G1946" s="1" t="str">
        <f ca="1">IFERROR(__xludf.DUMMYFUNCTION("""COMPUTED_VALUE"""),"This will be hard to do, but if it is the right company I would try")</f>
        <v>This will be hard to do, but if it is the right company I would try</v>
      </c>
      <c r="H1946" s="1" t="str">
        <f ca="1">IFERROR(__xludf.DUMMYFUNCTION("""COMPUTED_VALUE"""),"No")</f>
        <v>No</v>
      </c>
      <c r="I1946" s="1" t="str">
        <f ca="1">IFERROR(__xludf.DUMMYFUNCTION("""COMPUTED_VALUE"""),"Will NOT work for them")</f>
        <v>Will NOT work for them</v>
      </c>
      <c r="J1946" s="1">
        <f ca="1">IFERROR(__xludf.DUMMYFUNCTION("""COMPUTED_VALUE"""),4)</f>
        <v>4</v>
      </c>
      <c r="K1946" s="1" t="str">
        <f ca="1">IFERROR(__xludf.DUMMYFUNCTION("""COMPUTED_VALUE"""),"Hybrid Working Environment with more than 15 days a month at office")</f>
        <v>Hybrid Working Environment with more than 15 days a month at office</v>
      </c>
      <c r="L19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4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946" s="1" t="str">
        <f ca="1">IFERROR(__xludf.DUMMYFUNCTION("""COMPUTED_VALUE"""),"Build and develop a Team, Work as a freelancer and do my thing my way, Become a content Creator in some platform, Entrepreneur or Start Up")</f>
        <v>Build and develop a Team, Work as a freelancer and do my thing my way, Become a content Creator in some platform, Entrepreneur or Start Up</v>
      </c>
      <c r="O1946" s="1" t="str">
        <f ca="1">IFERROR(__xludf.DUMMYFUNCTION("""COMPUTED_VALUE"""),"Manager who explains what is expected, sets a goal and helps achieve it")</f>
        <v>Manager who explains what is expected, sets a goal and helps achieve it</v>
      </c>
      <c r="P1946" s="1" t="str">
        <f ca="1">IFERROR(__xludf.DUMMYFUNCTION("""COMPUTED_VALUE"""),"Work with 5 to 6 people in my team")</f>
        <v>Work with 5 to 6 people in my team</v>
      </c>
      <c r="Q1946" s="1" t="str">
        <f ca="1">IFERROR(__xludf.DUMMYFUNCTION("""COMPUTED_VALUE"""),"No")</f>
        <v>No</v>
      </c>
      <c r="R1946" s="1" t="str">
        <f ca="1">IFERROR(__xludf.DUMMYFUNCTION("""COMPUTED_VALUE"""),"No way")</f>
        <v>No way</v>
      </c>
      <c r="S1946" s="1" t="str">
        <f ca="1">IFERROR(__xludf.DUMMYFUNCTION("""COMPUTED_VALUE"""),"sharanya9686@gmail.com")</f>
        <v>sharanya9686@gmail.com</v>
      </c>
    </row>
    <row r="1947" spans="1:19" ht="12.5" x14ac:dyDescent="0.25">
      <c r="A1947" s="2">
        <f ca="1">IFERROR(__xludf.DUMMYFUNCTION("""COMPUTED_VALUE"""),45062.9253032638)</f>
        <v>45062.925303263801</v>
      </c>
      <c r="B1947" s="1" t="str">
        <f ca="1">IFERROR(__xludf.DUMMYFUNCTION("""COMPUTED_VALUE"""),"India")</f>
        <v>India</v>
      </c>
      <c r="C1947" s="1">
        <f ca="1">IFERROR(__xludf.DUMMYFUNCTION("""COMPUTED_VALUE"""),534313)</f>
        <v>534313</v>
      </c>
      <c r="D1947" s="1" t="str">
        <f ca="1">IFERROR(__xludf.DUMMYFUNCTION("""COMPUTED_VALUE"""),"Female")</f>
        <v>Female</v>
      </c>
      <c r="E1947" s="1" t="str">
        <f ca="1">IFERROR(__xludf.DUMMYFUNCTION("""COMPUTED_VALUE"""),"Influencers who had successful careers")</f>
        <v>Influencers who had successful careers</v>
      </c>
      <c r="F1947" s="1" t="str">
        <f ca="1">IFERROR(__xludf.DUMMYFUNCTION("""COMPUTED_VALUE"""),"No I would not be pursuing Higher Education outside of India")</f>
        <v>No I would not be pursuing Higher Education outside of India</v>
      </c>
      <c r="G1947" s="1" t="str">
        <f ca="1">IFERROR(__xludf.DUMMYFUNCTION("""COMPUTED_VALUE"""),"This will be hard to do, but if it is the right company I would try")</f>
        <v>This will be hard to do, but if it is the right company I would try</v>
      </c>
      <c r="H1947" s="1" t="str">
        <f ca="1">IFERROR(__xludf.DUMMYFUNCTION("""COMPUTED_VALUE"""),"Yes")</f>
        <v>Yes</v>
      </c>
      <c r="I1947" s="1" t="str">
        <f ca="1">IFERROR(__xludf.DUMMYFUNCTION("""COMPUTED_VALUE"""),"Will work for them")</f>
        <v>Will work for them</v>
      </c>
      <c r="J1947" s="1">
        <f ca="1">IFERROR(__xludf.DUMMYFUNCTION("""COMPUTED_VALUE"""),1)</f>
        <v>1</v>
      </c>
      <c r="K1947" s="1" t="str">
        <f ca="1">IFERROR(__xludf.DUMMYFUNCTION("""COMPUTED_VALUE"""),"Fully Remote with Options to travel as and when needed")</f>
        <v>Fully Remote with Options to travel as and when needed</v>
      </c>
      <c r="L1947" s="1" t="str">
        <f ca="1">IFERROR(__xludf.DUMMYFUNCTION("""COMPUTED_VALUE"""),"Employer who appreciates learning and enables that environment")</f>
        <v>Employer who appreciates learning and enables that environment</v>
      </c>
      <c r="M194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47" s="1" t="str">
        <f ca="1">IFERROR(__xludf.DUMMYFUNCTION("""COMPUTED_VALUE"""),"Look deeply into Data and generate insights, Become a content Creator in some platform, Entrepreneur or Start Up, I Want to sell things/Sales")</f>
        <v>Look deeply into Data and generate insights, Become a content Creator in some platform, Entrepreneur or Start Up, I Want to sell things/Sales</v>
      </c>
      <c r="O1947" s="1" t="str">
        <f ca="1">IFERROR(__xludf.DUMMYFUNCTION("""COMPUTED_VALUE"""),"Manager who sets goal and helps me achieve it")</f>
        <v>Manager who sets goal and helps me achieve it</v>
      </c>
      <c r="P1947" s="1" t="str">
        <f ca="1">IFERROR(__xludf.DUMMYFUNCTION("""COMPUTED_VALUE"""),"Work with 5 to 6 people in my team")</f>
        <v>Work with 5 to 6 people in my team</v>
      </c>
      <c r="Q1947" s="1" t="str">
        <f ca="1">IFERROR(__xludf.DUMMYFUNCTION("""COMPUTED_VALUE"""),"Yes, I Understand this is gonna happen everywhere")</f>
        <v>Yes, I Understand this is gonna happen everywhere</v>
      </c>
      <c r="R1947" s="1" t="str">
        <f ca="1">IFERROR(__xludf.DUMMYFUNCTION("""COMPUTED_VALUE"""),"This will be hard to do, but if it is the right company I would try")</f>
        <v>This will be hard to do, but if it is the right company I would try</v>
      </c>
      <c r="S1947" s="1" t="str">
        <f ca="1">IFERROR(__xludf.DUMMYFUNCTION("""COMPUTED_VALUE"""),"sravanidondapati541@gmail.com")</f>
        <v>sravanidondapati541@gmail.com</v>
      </c>
    </row>
    <row r="1948" spans="1:19" ht="12.5" x14ac:dyDescent="0.25">
      <c r="A1948" s="2">
        <f ca="1">IFERROR(__xludf.DUMMYFUNCTION("""COMPUTED_VALUE"""),45062.9256800115)</f>
        <v>45062.925680011504</v>
      </c>
      <c r="B1948" s="1" t="str">
        <f ca="1">IFERROR(__xludf.DUMMYFUNCTION("""COMPUTED_VALUE"""),"India")</f>
        <v>India</v>
      </c>
      <c r="C1948" s="1">
        <f ca="1">IFERROR(__xludf.DUMMYFUNCTION("""COMPUTED_VALUE"""),533429)</f>
        <v>533429</v>
      </c>
      <c r="D1948" s="1" t="str">
        <f ca="1">IFERROR(__xludf.DUMMYFUNCTION("""COMPUTED_VALUE"""),"Female")</f>
        <v>Female</v>
      </c>
      <c r="E1948" s="1" t="str">
        <f ca="1">IFERROR(__xludf.DUMMYFUNCTION("""COMPUTED_VALUE"""),"My Parents")</f>
        <v>My Parents</v>
      </c>
      <c r="F1948" s="1" t="str">
        <f ca="1">IFERROR(__xludf.DUMMYFUNCTION("""COMPUTED_VALUE"""),"No I would not be pursuing Higher Education outside of India")</f>
        <v>No I would not be pursuing Higher Education outside of India</v>
      </c>
      <c r="G1948" s="1" t="str">
        <f ca="1">IFERROR(__xludf.DUMMYFUNCTION("""COMPUTED_VALUE"""),"Will work for 3 years or more")</f>
        <v>Will work for 3 years or more</v>
      </c>
      <c r="H1948" s="1" t="str">
        <f ca="1">IFERROR(__xludf.DUMMYFUNCTION("""COMPUTED_VALUE"""),"No")</f>
        <v>No</v>
      </c>
      <c r="I1948" s="1" t="str">
        <f ca="1">IFERROR(__xludf.DUMMYFUNCTION("""COMPUTED_VALUE"""),"Will work for them")</f>
        <v>Will work for them</v>
      </c>
      <c r="J1948" s="1">
        <f ca="1">IFERROR(__xludf.DUMMYFUNCTION("""COMPUTED_VALUE"""),10)</f>
        <v>10</v>
      </c>
      <c r="K1948" s="1" t="str">
        <f ca="1">IFERROR(__xludf.DUMMYFUNCTION("""COMPUTED_VALUE"""),"Every Day Office Environment")</f>
        <v>Every Day Office Environment</v>
      </c>
      <c r="L1948" s="1" t="str">
        <f ca="1">IFERROR(__xludf.DUMMYFUNCTION("""COMPUTED_VALUE"""),"Employer who appreciates learning and enables that environment")</f>
        <v>Employer who appreciates learning and enables that environment</v>
      </c>
      <c r="M194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48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948" s="1" t="str">
        <f ca="1">IFERROR(__xludf.DUMMYFUNCTION("""COMPUTED_VALUE"""),"Manager who clearly describes what she/he needs")</f>
        <v>Manager who clearly describes what she/he needs</v>
      </c>
      <c r="P1948" s="1" t="str">
        <f ca="1">IFERROR(__xludf.DUMMYFUNCTION("""COMPUTED_VALUE"""),"Work with 5 to 6 people in my team")</f>
        <v>Work with 5 to 6 people in my team</v>
      </c>
      <c r="Q1948" s="1" t="str">
        <f ca="1">IFERROR(__xludf.DUMMYFUNCTION("""COMPUTED_VALUE"""),"Yes, I Understand this is gonna happen everywhere")</f>
        <v>Yes, I Understand this is gonna happen everywhere</v>
      </c>
      <c r="R1948" s="1" t="str">
        <f ca="1">IFERROR(__xludf.DUMMYFUNCTION("""COMPUTED_VALUE"""),"This will be hard to do, but if it is the right company I would try")</f>
        <v>This will be hard to do, but if it is the right company I would try</v>
      </c>
      <c r="S1948" s="1" t="str">
        <f ca="1">IFERROR(__xludf.DUMMYFUNCTION("""COMPUTED_VALUE"""),"tsireesha663@gmail.com")</f>
        <v>tsireesha663@gmail.com</v>
      </c>
    </row>
    <row r="1949" spans="1:19" ht="12.5" x14ac:dyDescent="0.25">
      <c r="A1949" s="2">
        <f ca="1">IFERROR(__xludf.DUMMYFUNCTION("""COMPUTED_VALUE"""),45062.925844537)</f>
        <v>45062.925844537</v>
      </c>
      <c r="B1949" s="1" t="str">
        <f ca="1">IFERROR(__xludf.DUMMYFUNCTION("""COMPUTED_VALUE"""),"India")</f>
        <v>India</v>
      </c>
      <c r="C1949" s="1">
        <f ca="1">IFERROR(__xludf.DUMMYFUNCTION("""COMPUTED_VALUE"""),424201)</f>
        <v>424201</v>
      </c>
      <c r="D1949" s="1" t="str">
        <f ca="1">IFERROR(__xludf.DUMMYFUNCTION("""COMPUTED_VALUE"""),"Female")</f>
        <v>Female</v>
      </c>
      <c r="E1949" s="1" t="str">
        <f ca="1">IFERROR(__xludf.DUMMYFUNCTION("""COMPUTED_VALUE"""),"My Parents")</f>
        <v>My Parents</v>
      </c>
      <c r="F1949" s="1" t="str">
        <f ca="1">IFERROR(__xludf.DUMMYFUNCTION("""COMPUTED_VALUE"""),"No I would not be pursuing Higher Education outside of India")</f>
        <v>No I would not be pursuing Higher Education outside of India</v>
      </c>
      <c r="G1949" s="1" t="str">
        <f ca="1">IFERROR(__xludf.DUMMYFUNCTION("""COMPUTED_VALUE"""),"Will work for 3 years or more")</f>
        <v>Will work for 3 years or more</v>
      </c>
      <c r="H1949" s="1" t="str">
        <f ca="1">IFERROR(__xludf.DUMMYFUNCTION("""COMPUTED_VALUE"""),"No")</f>
        <v>No</v>
      </c>
      <c r="I1949" s="1" t="str">
        <f ca="1">IFERROR(__xludf.DUMMYFUNCTION("""COMPUTED_VALUE"""),"Will NOT work for them")</f>
        <v>Will NOT work for them</v>
      </c>
      <c r="J1949" s="1">
        <f ca="1">IFERROR(__xludf.DUMMYFUNCTION("""COMPUTED_VALUE"""),2)</f>
        <v>2</v>
      </c>
      <c r="K1949" s="1" t="str">
        <f ca="1">IFERROR(__xludf.DUMMYFUNCTION("""COMPUTED_VALUE"""),"Hybrid Working Environment with more than 15 days a month at office")</f>
        <v>Hybrid Working Environment with more than 15 days a month at office</v>
      </c>
      <c r="L19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4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49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949" s="1" t="str">
        <f ca="1">IFERROR(__xludf.DUMMYFUNCTION("""COMPUTED_VALUE"""),"Manager who sets goal and helps me achieve it")</f>
        <v>Manager who sets goal and helps me achieve it</v>
      </c>
      <c r="P1949" s="1" t="str">
        <f ca="1">IFERROR(__xludf.DUMMYFUNCTION("""COMPUTED_VALUE"""),"Work with 2 to 3 people in my team")</f>
        <v>Work with 2 to 3 people in my team</v>
      </c>
      <c r="Q1949" s="1" t="str">
        <f ca="1">IFERROR(__xludf.DUMMYFUNCTION("""COMPUTED_VALUE"""),"Yes, I Understand this is gonna happen everywhere")</f>
        <v>Yes, I Understand this is gonna happen everywhere</v>
      </c>
      <c r="R1949" s="1" t="str">
        <f ca="1">IFERROR(__xludf.DUMMYFUNCTION("""COMPUTED_VALUE"""),"This will be hard to do, but if it is the right company I would try")</f>
        <v>This will be hard to do, but if it is the right company I would try</v>
      </c>
      <c r="S1949" s="1" t="str">
        <f ca="1">IFERROR(__xludf.DUMMYFUNCTION("""COMPUTED_VALUE"""),"ratnanibarkha@gmail.com")</f>
        <v>ratnanibarkha@gmail.com</v>
      </c>
    </row>
    <row r="1950" spans="1:19" ht="12.5" x14ac:dyDescent="0.25">
      <c r="A1950" s="2">
        <f ca="1">IFERROR(__xludf.DUMMYFUNCTION("""COMPUTED_VALUE"""),45062.9274449305)</f>
        <v>45062.927444930501</v>
      </c>
      <c r="B1950" s="1" t="str">
        <f ca="1">IFERROR(__xludf.DUMMYFUNCTION("""COMPUTED_VALUE"""),"India")</f>
        <v>India</v>
      </c>
      <c r="C1950" s="1">
        <f ca="1">IFERROR(__xludf.DUMMYFUNCTION("""COMPUTED_VALUE"""),533015)</f>
        <v>533015</v>
      </c>
      <c r="D1950" s="1" t="str">
        <f ca="1">IFERROR(__xludf.DUMMYFUNCTION("""COMPUTED_VALUE"""),"Female")</f>
        <v>Female</v>
      </c>
      <c r="E1950" s="1" t="str">
        <f ca="1">IFERROR(__xludf.DUMMYFUNCTION("""COMPUTED_VALUE"""),"People who have changed the world for better")</f>
        <v>People who have changed the world for better</v>
      </c>
      <c r="F1950" s="1" t="str">
        <f ca="1">IFERROR(__xludf.DUMMYFUNCTION("""COMPUTED_VALUE"""),"No I would not be pursuing Higher Education outside of India")</f>
        <v>No I would not be pursuing Higher Education outside of India</v>
      </c>
      <c r="G1950" s="1" t="str">
        <f ca="1">IFERROR(__xludf.DUMMYFUNCTION("""COMPUTED_VALUE"""),"Will work for 3 years or more")</f>
        <v>Will work for 3 years or more</v>
      </c>
      <c r="H1950" s="1" t="str">
        <f ca="1">IFERROR(__xludf.DUMMYFUNCTION("""COMPUTED_VALUE"""),"No")</f>
        <v>No</v>
      </c>
      <c r="I1950" s="1" t="str">
        <f ca="1">IFERROR(__xludf.DUMMYFUNCTION("""COMPUTED_VALUE"""),"Will NOT work for them")</f>
        <v>Will NOT work for them</v>
      </c>
      <c r="J1950" s="1">
        <f ca="1">IFERROR(__xludf.DUMMYFUNCTION("""COMPUTED_VALUE"""),5)</f>
        <v>5</v>
      </c>
      <c r="K1950" s="1" t="str">
        <f ca="1">IFERROR(__xludf.DUMMYFUNCTION("""COMPUTED_VALUE"""),"Fully Remote with Options to travel as and when needed")</f>
        <v>Fully Remote with Options to travel as and when needed</v>
      </c>
      <c r="L19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5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50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950" s="1" t="str">
        <f ca="1">IFERROR(__xludf.DUMMYFUNCTION("""COMPUTED_VALUE"""),"Manager who explains what is expected, sets a goal and helps achieve it")</f>
        <v>Manager who explains what is expected, sets a goal and helps achieve it</v>
      </c>
      <c r="P1950" s="1" t="str">
        <f ca="1">IFERROR(__xludf.DUMMYFUNCTION("""COMPUTED_VALUE"""),"Work with 5 to 6 people in my team")</f>
        <v>Work with 5 to 6 people in my team</v>
      </c>
      <c r="Q1950" s="1" t="str">
        <f ca="1">IFERROR(__xludf.DUMMYFUNCTION("""COMPUTED_VALUE"""),"Yes, I Understand this is gonna happen everywhere")</f>
        <v>Yes, I Understand this is gonna happen everywhere</v>
      </c>
      <c r="R1950" s="1" t="str">
        <f ca="1">IFERROR(__xludf.DUMMYFUNCTION("""COMPUTED_VALUE"""),"This will be hard to do, but if it is the right company I would try")</f>
        <v>This will be hard to do, but if it is the right company I would try</v>
      </c>
      <c r="S1950" s="1" t="str">
        <f ca="1">IFERROR(__xludf.DUMMYFUNCTION("""COMPUTED_VALUE"""),"nishithakonki@gmail.com")</f>
        <v>nishithakonki@gmail.com</v>
      </c>
    </row>
    <row r="1951" spans="1:19" ht="12.5" x14ac:dyDescent="0.25">
      <c r="A1951" s="2">
        <f ca="1">IFERROR(__xludf.DUMMYFUNCTION("""COMPUTED_VALUE"""),45062.9291107175)</f>
        <v>45062.929110717501</v>
      </c>
      <c r="B1951" s="1" t="str">
        <f ca="1">IFERROR(__xludf.DUMMYFUNCTION("""COMPUTED_VALUE"""),"India")</f>
        <v>India</v>
      </c>
      <c r="C1951" s="1">
        <f ca="1">IFERROR(__xludf.DUMMYFUNCTION("""COMPUTED_VALUE"""),620008)</f>
        <v>620008</v>
      </c>
      <c r="D1951" s="1" t="str">
        <f ca="1">IFERROR(__xludf.DUMMYFUNCTION("""COMPUTED_VALUE"""),"Female")</f>
        <v>Female</v>
      </c>
      <c r="E1951" s="1" t="str">
        <f ca="1">IFERROR(__xludf.DUMMYFUNCTION("""COMPUTED_VALUE"""),"Influencers who had successful careers")</f>
        <v>Influencers who had successful careers</v>
      </c>
      <c r="F1951" s="1" t="str">
        <f ca="1">IFERROR(__xludf.DUMMYFUNCTION("""COMPUTED_VALUE"""),"No, But if someone could bare the cost I will")</f>
        <v>No, But if someone could bare the cost I will</v>
      </c>
      <c r="G1951" s="1" t="str">
        <f ca="1">IFERROR(__xludf.DUMMYFUNCTION("""COMPUTED_VALUE"""),"This will be hard to do, but if it is the right company I would try")</f>
        <v>This will be hard to do, but if it is the right company I would try</v>
      </c>
      <c r="H1951" s="1" t="str">
        <f ca="1">IFERROR(__xludf.DUMMYFUNCTION("""COMPUTED_VALUE"""),"No")</f>
        <v>No</v>
      </c>
      <c r="I1951" s="1" t="str">
        <f ca="1">IFERROR(__xludf.DUMMYFUNCTION("""COMPUTED_VALUE"""),"Will work for them")</f>
        <v>Will work for them</v>
      </c>
      <c r="J1951" s="1">
        <f ca="1">IFERROR(__xludf.DUMMYFUNCTION("""COMPUTED_VALUE"""),2)</f>
        <v>2</v>
      </c>
      <c r="K1951" s="1" t="str">
        <f ca="1">IFERROR(__xludf.DUMMYFUNCTION("""COMPUTED_VALUE"""),"Hybrid Working Environment with more than 15 days a month at office")</f>
        <v>Hybrid Working Environment with more than 15 days a month at office</v>
      </c>
      <c r="L1951" s="1" t="str">
        <f ca="1">IFERROR(__xludf.DUMMYFUNCTION("""COMPUTED_VALUE"""),"Employer who appreciates learning and enables that environment")</f>
        <v>Employer who appreciates learning and enables that environment</v>
      </c>
      <c r="M195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951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1951" s="1" t="str">
        <f ca="1">IFERROR(__xludf.DUMMYFUNCTION("""COMPUTED_VALUE"""),"Manager who explains what is expected, sets a goal and helps achieve it")</f>
        <v>Manager who explains what is expected, sets a goal and helps achieve it</v>
      </c>
      <c r="P1951" s="1" t="str">
        <f ca="1">IFERROR(__xludf.DUMMYFUNCTION("""COMPUTED_VALUE"""),"Work with 2 to 3 people in my team, Work with 5 to 6 people in my team")</f>
        <v>Work with 2 to 3 people in my team, Work with 5 to 6 people in my team</v>
      </c>
      <c r="Q1951" s="1" t="str">
        <f ca="1">IFERROR(__xludf.DUMMYFUNCTION("""COMPUTED_VALUE"""),"Yes, I Understand this is gonna happen everywhere")</f>
        <v>Yes, I Understand this is gonna happen everywhere</v>
      </c>
      <c r="R1951" s="1" t="str">
        <f ca="1">IFERROR(__xludf.DUMMYFUNCTION("""COMPUTED_VALUE"""),"This will be hard to do, but if it is the right company I would try")</f>
        <v>This will be hard to do, but if it is the right company I would try</v>
      </c>
      <c r="S1951" s="1" t="str">
        <f ca="1">IFERROR(__xludf.DUMMYFUNCTION("""COMPUTED_VALUE"""),"nithyashri002@gmail.com")</f>
        <v>nithyashri002@gmail.com</v>
      </c>
    </row>
    <row r="1952" spans="1:19" ht="12.5" x14ac:dyDescent="0.25">
      <c r="A1952" s="2">
        <f ca="1">IFERROR(__xludf.DUMMYFUNCTION("""COMPUTED_VALUE"""),45062.9296891782)</f>
        <v>45062.9296891782</v>
      </c>
      <c r="B1952" s="1" t="str">
        <f ca="1">IFERROR(__xludf.DUMMYFUNCTION("""COMPUTED_VALUE"""),"India")</f>
        <v>India</v>
      </c>
      <c r="C1952" s="1">
        <f ca="1">IFERROR(__xludf.DUMMYFUNCTION("""COMPUTED_VALUE"""),208002)</f>
        <v>208002</v>
      </c>
      <c r="D1952" s="1" t="str">
        <f ca="1">IFERROR(__xludf.DUMMYFUNCTION("""COMPUTED_VALUE"""),"Female")</f>
        <v>Female</v>
      </c>
      <c r="E1952" s="1" t="str">
        <f ca="1">IFERROR(__xludf.DUMMYFUNCTION("""COMPUTED_VALUE"""),"Influencers who had successful careers")</f>
        <v>Influencers who had successful careers</v>
      </c>
      <c r="F1952" s="1" t="str">
        <f ca="1">IFERROR(__xludf.DUMMYFUNCTION("""COMPUTED_VALUE"""),"Yes, I will earn and do that")</f>
        <v>Yes, I will earn and do that</v>
      </c>
      <c r="G1952" s="1" t="str">
        <f ca="1">IFERROR(__xludf.DUMMYFUNCTION("""COMPUTED_VALUE"""),"This will be hard to do, but if it is the right company I would try")</f>
        <v>This will be hard to do, but if it is the right company I would try</v>
      </c>
      <c r="H1952" s="1" t="str">
        <f ca="1">IFERROR(__xludf.DUMMYFUNCTION("""COMPUTED_VALUE"""),"No")</f>
        <v>No</v>
      </c>
      <c r="I1952" s="1" t="str">
        <f ca="1">IFERROR(__xludf.DUMMYFUNCTION("""COMPUTED_VALUE"""),"Will NOT work for them")</f>
        <v>Will NOT work for them</v>
      </c>
      <c r="J1952" s="1">
        <f ca="1">IFERROR(__xludf.DUMMYFUNCTION("""COMPUTED_VALUE"""),5)</f>
        <v>5</v>
      </c>
      <c r="K1952" s="1" t="str">
        <f ca="1">IFERROR(__xludf.DUMMYFUNCTION("""COMPUTED_VALUE"""),"Fully Remote with Options to travel as and when needed")</f>
        <v>Fully Remote with Options to travel as and when needed</v>
      </c>
      <c r="L19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5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52" s="1" t="str">
        <f ca="1">IFERROR(__xludf.DUMMYFUNCTION("""COMPUTED_VALUE"""),"Manage and drive End-to-End Projects or Products, Design and Develop amazing software, Work as a freelancer and do my thing my way, An Artificial Intelligence Specialist / Talking to Robots")</f>
        <v>Manage and drive End-to-End Projects or Products, Design and Develop amazing software, Work as a freelancer and do my thing my way, An Artificial Intelligence Specialist / Talking to Robots</v>
      </c>
      <c r="O1952" s="1" t="str">
        <f ca="1">IFERROR(__xludf.DUMMYFUNCTION("""COMPUTED_VALUE"""),"Manager who explains what is expected, sets a goal and helps achieve it")</f>
        <v>Manager who explains what is expected, sets a goal and helps achieve it</v>
      </c>
      <c r="P1952" s="1" t="str">
        <f ca="1">IFERROR(__xludf.DUMMYFUNCTION("""COMPUTED_VALUE"""),"Work with more than 10 people in my team")</f>
        <v>Work with more than 10 people in my team</v>
      </c>
      <c r="Q1952" s="1" t="str">
        <f ca="1">IFERROR(__xludf.DUMMYFUNCTION("""COMPUTED_VALUE"""),"No")</f>
        <v>No</v>
      </c>
      <c r="R1952" s="1" t="str">
        <f ca="1">IFERROR(__xludf.DUMMYFUNCTION("""COMPUTED_VALUE"""),"No way")</f>
        <v>No way</v>
      </c>
      <c r="S1952" s="1" t="str">
        <f ca="1">IFERROR(__xludf.DUMMYFUNCTION("""COMPUTED_VALUE"""),"priyanshi26tripathi@gmail.com")</f>
        <v>priyanshi26tripathi@gmail.com</v>
      </c>
    </row>
    <row r="1953" spans="1:19" ht="12.5" x14ac:dyDescent="0.25">
      <c r="A1953" s="2">
        <f ca="1">IFERROR(__xludf.DUMMYFUNCTION("""COMPUTED_VALUE"""),45062.9299352083)</f>
        <v>45062.929935208304</v>
      </c>
      <c r="B1953" s="1" t="str">
        <f ca="1">IFERROR(__xludf.DUMMYFUNCTION("""COMPUTED_VALUE"""),"India")</f>
        <v>India</v>
      </c>
      <c r="C1953" s="1">
        <f ca="1">IFERROR(__xludf.DUMMYFUNCTION("""COMPUTED_VALUE"""),533016)</f>
        <v>533016</v>
      </c>
      <c r="D1953" s="1" t="str">
        <f ca="1">IFERROR(__xludf.DUMMYFUNCTION("""COMPUTED_VALUE"""),"Male")</f>
        <v>Male</v>
      </c>
      <c r="E1953" s="1" t="str">
        <f ca="1">IFERROR(__xludf.DUMMYFUNCTION("""COMPUTED_VALUE"""),"People who have changed the world for better")</f>
        <v>People who have changed the world for better</v>
      </c>
      <c r="F1953" s="1" t="str">
        <f ca="1">IFERROR(__xludf.DUMMYFUNCTION("""COMPUTED_VALUE"""),"No I would not be pursuing Higher Education outside of India")</f>
        <v>No I would not be pursuing Higher Education outside of India</v>
      </c>
      <c r="G1953" s="1" t="str">
        <f ca="1">IFERROR(__xludf.DUMMYFUNCTION("""COMPUTED_VALUE"""),"Will work for 3 years or more")</f>
        <v>Will work for 3 years or more</v>
      </c>
      <c r="H1953" s="1" t="str">
        <f ca="1">IFERROR(__xludf.DUMMYFUNCTION("""COMPUTED_VALUE"""),"No")</f>
        <v>No</v>
      </c>
      <c r="I1953" s="1" t="str">
        <f ca="1">IFERROR(__xludf.DUMMYFUNCTION("""COMPUTED_VALUE"""),"Will NOT work for them")</f>
        <v>Will NOT work for them</v>
      </c>
      <c r="J1953" s="1">
        <f ca="1">IFERROR(__xludf.DUMMYFUNCTION("""COMPUTED_VALUE"""),1)</f>
        <v>1</v>
      </c>
      <c r="K1953" s="1" t="str">
        <f ca="1">IFERROR(__xludf.DUMMYFUNCTION("""COMPUTED_VALUE"""),"Hybrid Working Environment with more than 15 days a month at office")</f>
        <v>Hybrid Working Environment with more than 15 days a month at office</v>
      </c>
      <c r="L1953" s="1" t="str">
        <f ca="1">IFERROR(__xludf.DUMMYFUNCTION("""COMPUTED_VALUE"""),"Employer who appreciates learning and enables that environment")</f>
        <v>Employer who appreciates learning and enables that environment</v>
      </c>
      <c r="M195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953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1953" s="1" t="str">
        <f ca="1">IFERROR(__xludf.DUMMYFUNCTION("""COMPUTED_VALUE"""),"Manager who explains what is expected, sets a goal and helps achieve it")</f>
        <v>Manager who explains what is expected, sets a goal and helps achieve it</v>
      </c>
      <c r="P1953" s="1" t="str">
        <f ca="1">IFERROR(__xludf.DUMMYFUNCTION("""COMPUTED_VALUE"""),"Work with more than 10 people in my team")</f>
        <v>Work with more than 10 people in my team</v>
      </c>
      <c r="Q1953" s="1" t="str">
        <f ca="1">IFERROR(__xludf.DUMMYFUNCTION("""COMPUTED_VALUE"""),"Yes, I Understand this is gonna happen everywhere")</f>
        <v>Yes, I Understand this is gonna happen everywhere</v>
      </c>
      <c r="R1953" s="1" t="str">
        <f ca="1">IFERROR(__xludf.DUMMYFUNCTION("""COMPUTED_VALUE"""),"This will be hard to do, but if it is the right company I would try")</f>
        <v>This will be hard to do, but if it is the right company I would try</v>
      </c>
      <c r="S1953" s="1" t="str">
        <f ca="1">IFERROR(__xludf.DUMMYFUNCTION("""COMPUTED_VALUE"""),"marthand.reddipalli@gmail.com")</f>
        <v>marthand.reddipalli@gmail.com</v>
      </c>
    </row>
    <row r="1954" spans="1:19" ht="12.5" x14ac:dyDescent="0.25">
      <c r="A1954" s="2">
        <f ca="1">IFERROR(__xludf.DUMMYFUNCTION("""COMPUTED_VALUE"""),45062.9301923148)</f>
        <v>45062.930192314801</v>
      </c>
      <c r="B1954" s="1" t="str">
        <f ca="1">IFERROR(__xludf.DUMMYFUNCTION("""COMPUTED_VALUE"""),"India")</f>
        <v>India</v>
      </c>
      <c r="C1954" s="1">
        <f ca="1">IFERROR(__xludf.DUMMYFUNCTION("""COMPUTED_VALUE"""),411057)</f>
        <v>411057</v>
      </c>
      <c r="D1954" s="1" t="str">
        <f ca="1">IFERROR(__xludf.DUMMYFUNCTION("""COMPUTED_VALUE"""),"Female")</f>
        <v>Female</v>
      </c>
      <c r="E1954" s="1" t="str">
        <f ca="1">IFERROR(__xludf.DUMMYFUNCTION("""COMPUTED_VALUE"""),"Influencers who had successful careers")</f>
        <v>Influencers who had successful careers</v>
      </c>
      <c r="F1954" s="1" t="str">
        <f ca="1">IFERROR(__xludf.DUMMYFUNCTION("""COMPUTED_VALUE"""),"Yes, I will earn and do that")</f>
        <v>Yes, I will earn and do that</v>
      </c>
      <c r="G1954" s="1" t="str">
        <f ca="1">IFERROR(__xludf.DUMMYFUNCTION("""COMPUTED_VALUE"""),"This will be hard to do, but if it is the right company I would try")</f>
        <v>This will be hard to do, but if it is the right company I would try</v>
      </c>
      <c r="H1954" s="1" t="str">
        <f ca="1">IFERROR(__xludf.DUMMYFUNCTION("""COMPUTED_VALUE"""),"No")</f>
        <v>No</v>
      </c>
      <c r="I1954" s="1" t="str">
        <f ca="1">IFERROR(__xludf.DUMMYFUNCTION("""COMPUTED_VALUE"""),"Will NOT work for them")</f>
        <v>Will NOT work for them</v>
      </c>
      <c r="J1954" s="1">
        <f ca="1">IFERROR(__xludf.DUMMYFUNCTION("""COMPUTED_VALUE"""),1)</f>
        <v>1</v>
      </c>
      <c r="K1954" s="1" t="str">
        <f ca="1">IFERROR(__xludf.DUMMYFUNCTION("""COMPUTED_VALUE"""),"Hybrid Working Environment with less than 3 days a month at office")</f>
        <v>Hybrid Working Environment with less than 3 days a month at office</v>
      </c>
      <c r="L1954" s="1" t="str">
        <f ca="1">IFERROR(__xludf.DUMMYFUNCTION("""COMPUTED_VALUE"""),"Employer who appreciates learning and enables that environment")</f>
        <v>Employer who appreciates learning and enables that environment</v>
      </c>
      <c r="M195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54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1954" s="1" t="str">
        <f ca="1">IFERROR(__xludf.DUMMYFUNCTION("""COMPUTED_VALUE"""),"Manager who sets goal and helps me achieve it")</f>
        <v>Manager who sets goal and helps me achieve it</v>
      </c>
      <c r="P1954" s="1" t="str">
        <f ca="1">IFERROR(__xludf.DUMMYFUNCTION("""COMPUTED_VALUE"""),"Work with 5 to 6 people in my team")</f>
        <v>Work with 5 to 6 people in my team</v>
      </c>
      <c r="Q1954" s="1" t="str">
        <f ca="1">IFERROR(__xludf.DUMMYFUNCTION("""COMPUTED_VALUE"""),"No")</f>
        <v>No</v>
      </c>
      <c r="R1954" s="1" t="str">
        <f ca="1">IFERROR(__xludf.DUMMYFUNCTION("""COMPUTED_VALUE"""),"No way")</f>
        <v>No way</v>
      </c>
      <c r="S1954" s="1" t="str">
        <f ca="1">IFERROR(__xludf.DUMMYFUNCTION("""COMPUTED_VALUE"""),"kamakshimishra704@gmail.com")</f>
        <v>kamakshimishra704@gmail.com</v>
      </c>
    </row>
    <row r="1955" spans="1:19" ht="12.5" x14ac:dyDescent="0.25">
      <c r="A1955" s="2">
        <f ca="1">IFERROR(__xludf.DUMMYFUNCTION("""COMPUTED_VALUE"""),45062.930209074)</f>
        <v>45062.930209074002</v>
      </c>
      <c r="B1955" s="1" t="str">
        <f ca="1">IFERROR(__xludf.DUMMYFUNCTION("""COMPUTED_VALUE"""),"India")</f>
        <v>India</v>
      </c>
      <c r="C1955" s="1">
        <f ca="1">IFERROR(__xludf.DUMMYFUNCTION("""COMPUTED_VALUE"""),208021)</f>
        <v>208021</v>
      </c>
      <c r="D1955" s="1" t="str">
        <f ca="1">IFERROR(__xludf.DUMMYFUNCTION("""COMPUTED_VALUE"""),"Male")</f>
        <v>Male</v>
      </c>
      <c r="E1955" s="1" t="str">
        <f ca="1">IFERROR(__xludf.DUMMYFUNCTION("""COMPUTED_VALUE"""),"Influencers who had successful careers")</f>
        <v>Influencers who had successful careers</v>
      </c>
      <c r="F1955" s="1" t="str">
        <f ca="1">IFERROR(__xludf.DUMMYFUNCTION("""COMPUTED_VALUE"""),"Yes, I will earn and do that")</f>
        <v>Yes, I will earn and do that</v>
      </c>
      <c r="G1955" s="1" t="str">
        <f ca="1">IFERROR(__xludf.DUMMYFUNCTION("""COMPUTED_VALUE"""),"This will be hard to do, but if it is the right company I would try")</f>
        <v>This will be hard to do, but if it is the right company I would try</v>
      </c>
      <c r="H1955" s="1" t="str">
        <f ca="1">IFERROR(__xludf.DUMMYFUNCTION("""COMPUTED_VALUE"""),"Yes")</f>
        <v>Yes</v>
      </c>
      <c r="I1955" s="1" t="str">
        <f ca="1">IFERROR(__xludf.DUMMYFUNCTION("""COMPUTED_VALUE"""),"Will NOT work for them")</f>
        <v>Will NOT work for them</v>
      </c>
      <c r="J1955" s="1">
        <f ca="1">IFERROR(__xludf.DUMMYFUNCTION("""COMPUTED_VALUE"""),5)</f>
        <v>5</v>
      </c>
      <c r="K1955" s="1" t="str">
        <f ca="1">IFERROR(__xludf.DUMMYFUNCTION("""COMPUTED_VALUE"""),"Hybrid Working Environment with more than 15 days a month at office")</f>
        <v>Hybrid Working Environment with more than 15 days a month at office</v>
      </c>
      <c r="L1955" s="1" t="str">
        <f ca="1">IFERROR(__xludf.DUMMYFUNCTION("""COMPUTED_VALUE"""),"Employer who rewards learning and enables that environment")</f>
        <v>Employer who rewards learning and enables that environment</v>
      </c>
      <c r="M195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955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1955" s="1" t="str">
        <f ca="1">IFERROR(__xludf.DUMMYFUNCTION("""COMPUTED_VALUE"""),"Manager who clearly describes what she/he needs")</f>
        <v>Manager who clearly describes what she/he needs</v>
      </c>
      <c r="P1955" s="1" t="str">
        <f ca="1">IFERROR(__xludf.DUMMYFUNCTION("""COMPUTED_VALUE"""),"Work with 2 to 3 people in my team")</f>
        <v>Work with 2 to 3 people in my team</v>
      </c>
      <c r="Q1955" s="1" t="str">
        <f ca="1">IFERROR(__xludf.DUMMYFUNCTION("""COMPUTED_VALUE"""),"Yes, I Understand this is gonna happen everywhere")</f>
        <v>Yes, I Understand this is gonna happen everywhere</v>
      </c>
      <c r="R1955" s="1" t="str">
        <f ca="1">IFERROR(__xludf.DUMMYFUNCTION("""COMPUTED_VALUE"""),"This will be hard to do, but if it is the right company I would try")</f>
        <v>This will be hard to do, but if it is the right company I would try</v>
      </c>
      <c r="S1955" s="1" t="str">
        <f ca="1">IFERROR(__xludf.DUMMYFUNCTION("""COMPUTED_VALUE"""),"m.d.cricshukla@gmail.com")</f>
        <v>m.d.cricshukla@gmail.com</v>
      </c>
    </row>
    <row r="1956" spans="1:19" ht="12.5" x14ac:dyDescent="0.25">
      <c r="A1956" s="2">
        <f ca="1">IFERROR(__xludf.DUMMYFUNCTION("""COMPUTED_VALUE"""),45062.9302559259)</f>
        <v>45062.930255925901</v>
      </c>
      <c r="B1956" s="1" t="str">
        <f ca="1">IFERROR(__xludf.DUMMYFUNCTION("""COMPUTED_VALUE"""),"India")</f>
        <v>India</v>
      </c>
      <c r="C1956" s="1">
        <f ca="1">IFERROR(__xludf.DUMMYFUNCTION("""COMPUTED_VALUE"""),208021)</f>
        <v>208021</v>
      </c>
      <c r="D1956" s="1" t="str">
        <f ca="1">IFERROR(__xludf.DUMMYFUNCTION("""COMPUTED_VALUE"""),"Male")</f>
        <v>Male</v>
      </c>
      <c r="E1956" s="1" t="str">
        <f ca="1">IFERROR(__xludf.DUMMYFUNCTION("""COMPUTED_VALUE"""),"Influencers who had successful careers")</f>
        <v>Influencers who had successful careers</v>
      </c>
      <c r="F1956" s="1" t="str">
        <f ca="1">IFERROR(__xludf.DUMMYFUNCTION("""COMPUTED_VALUE"""),"Yes, I will earn and do that")</f>
        <v>Yes, I will earn and do that</v>
      </c>
      <c r="G1956" s="1" t="str">
        <f ca="1">IFERROR(__xludf.DUMMYFUNCTION("""COMPUTED_VALUE"""),"This will be hard to do, but if it is the right company I would try")</f>
        <v>This will be hard to do, but if it is the right company I would try</v>
      </c>
      <c r="H1956" s="1" t="str">
        <f ca="1">IFERROR(__xludf.DUMMYFUNCTION("""COMPUTED_VALUE"""),"No")</f>
        <v>No</v>
      </c>
      <c r="I1956" s="1" t="str">
        <f ca="1">IFERROR(__xludf.DUMMYFUNCTION("""COMPUTED_VALUE"""),"Will NOT work for them")</f>
        <v>Will NOT work for them</v>
      </c>
      <c r="J1956" s="1">
        <f ca="1">IFERROR(__xludf.DUMMYFUNCTION("""COMPUTED_VALUE"""),10)</f>
        <v>10</v>
      </c>
      <c r="K1956" s="1" t="str">
        <f ca="1">IFERROR(__xludf.DUMMYFUNCTION("""COMPUTED_VALUE"""),"Fully Remote with No option to visit offices")</f>
        <v>Fully Remote with No option to visit offices</v>
      </c>
      <c r="L1956" s="1" t="str">
        <f ca="1">IFERROR(__xludf.DUMMYFUNCTION("""COMPUTED_VALUE"""),"Employer who appreciates learning and enables that environment")</f>
        <v>Employer who appreciates learning and enables that environment</v>
      </c>
      <c r="M195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56" s="1" t="str">
        <f ca="1">IFERROR(__xludf.DUMMYFUNCTION("""COMPUTED_VALUE"""),"Design and Creative strategy in any company, Business Operations in any organization, Work as a freelancer and do my thing my way, I Want to sell things/Sales")</f>
        <v>Design and Creative strategy in any company, Business Operations in any organization, Work as a freelancer and do my thing my way, I Want to sell things/Sales</v>
      </c>
      <c r="O1956" s="1" t="str">
        <f ca="1">IFERROR(__xludf.DUMMYFUNCTION("""COMPUTED_VALUE"""),"Manager who clearly describes what she/he needs")</f>
        <v>Manager who clearly describes what she/he needs</v>
      </c>
      <c r="P1956" s="1" t="str">
        <f ca="1">IFERROR(__xludf.DUMMYFUNCTION("""COMPUTED_VALUE"""),"Work alone")</f>
        <v>Work alone</v>
      </c>
      <c r="Q1956" s="1" t="str">
        <f ca="1">IFERROR(__xludf.DUMMYFUNCTION("""COMPUTED_VALUE"""),"Yes, I Understand this is gonna happen everywhere")</f>
        <v>Yes, I Understand this is gonna happen everywhere</v>
      </c>
      <c r="R1956" s="1" t="str">
        <f ca="1">IFERROR(__xludf.DUMMYFUNCTION("""COMPUTED_VALUE"""),"This will be hard to do, but if it is the right company I would try")</f>
        <v>This will be hard to do, but if it is the right company I would try</v>
      </c>
      <c r="S1956" s="1" t="str">
        <f ca="1">IFERROR(__xludf.DUMMYFUNCTION("""COMPUTED_VALUE"""),"soniom626@gmail.com")</f>
        <v>soniom626@gmail.com</v>
      </c>
    </row>
    <row r="1957" spans="1:19" ht="12.5" x14ac:dyDescent="0.25">
      <c r="A1957" s="2">
        <f ca="1">IFERROR(__xludf.DUMMYFUNCTION("""COMPUTED_VALUE"""),45062.9307275926)</f>
        <v>45062.930727592597</v>
      </c>
      <c r="B1957" s="1" t="str">
        <f ca="1">IFERROR(__xludf.DUMMYFUNCTION("""COMPUTED_VALUE"""),"India")</f>
        <v>India</v>
      </c>
      <c r="C1957" s="1">
        <f ca="1">IFERROR(__xludf.DUMMYFUNCTION("""COMPUTED_VALUE"""),533429)</f>
        <v>533429</v>
      </c>
      <c r="D1957" s="1" t="str">
        <f ca="1">IFERROR(__xludf.DUMMYFUNCTION("""COMPUTED_VALUE"""),"Female")</f>
        <v>Female</v>
      </c>
      <c r="E1957" s="1" t="str">
        <f ca="1">IFERROR(__xludf.DUMMYFUNCTION("""COMPUTED_VALUE"""),"Social Media like LinkedIn")</f>
        <v>Social Media like LinkedIn</v>
      </c>
      <c r="F1957" s="1" t="str">
        <f ca="1">IFERROR(__xludf.DUMMYFUNCTION("""COMPUTED_VALUE"""),"No I would not be pursuing Higher Education outside of India")</f>
        <v>No I would not be pursuing Higher Education outside of India</v>
      </c>
      <c r="G1957" s="1" t="str">
        <f ca="1">IFERROR(__xludf.DUMMYFUNCTION("""COMPUTED_VALUE"""),"This will be hard to do, but if it is the right company I would try")</f>
        <v>This will be hard to do, but if it is the right company I would try</v>
      </c>
      <c r="H1957" s="1" t="str">
        <f ca="1">IFERROR(__xludf.DUMMYFUNCTION("""COMPUTED_VALUE"""),"No")</f>
        <v>No</v>
      </c>
      <c r="I1957" s="1" t="str">
        <f ca="1">IFERROR(__xludf.DUMMYFUNCTION("""COMPUTED_VALUE"""),"Will work for them")</f>
        <v>Will work for them</v>
      </c>
      <c r="J1957" s="1">
        <f ca="1">IFERROR(__xludf.DUMMYFUNCTION("""COMPUTED_VALUE"""),3)</f>
        <v>3</v>
      </c>
      <c r="K1957" s="1" t="str">
        <f ca="1">IFERROR(__xludf.DUMMYFUNCTION("""COMPUTED_VALUE"""),"Every Day Office Environment")</f>
        <v>Every Day Office Environment</v>
      </c>
      <c r="L1957" s="1" t="str">
        <f ca="1">IFERROR(__xludf.DUMMYFUNCTION("""COMPUTED_VALUE"""),"Employer who appreciates learning and enables that environment")</f>
        <v>Employer who appreciates learning and enables that environment</v>
      </c>
      <c r="M195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57" s="1" t="str">
        <f ca="1">IFERROR(__xludf.DUMMYFUNCTION("""COMPUTED_VALUE"""),"Teaching in any of the institutes/colleges/online or offline, Build and develop a Team, Work in a BPO setup for some well known client, Entrepreneur or Start Up")</f>
        <v>Teaching in any of the institutes/colleges/online or offline, Build and develop a Team, Work in a BPO setup for some well known client, Entrepreneur or Start Up</v>
      </c>
      <c r="O1957" s="1" t="str">
        <f ca="1">IFERROR(__xludf.DUMMYFUNCTION("""COMPUTED_VALUE"""),"Manager who explains what is expected, sets a goal and helps achieve it")</f>
        <v>Manager who explains what is expected, sets a goal and helps achieve it</v>
      </c>
      <c r="P1957" s="1" t="str">
        <f ca="1">IFERROR(__xludf.DUMMYFUNCTION("""COMPUTED_VALUE"""),"Work with 7 to 10 or more people in my team")</f>
        <v>Work with 7 to 10 or more people in my team</v>
      </c>
      <c r="Q1957" s="1" t="str">
        <f ca="1">IFERROR(__xludf.DUMMYFUNCTION("""COMPUTED_VALUE"""),"No")</f>
        <v>No</v>
      </c>
      <c r="R1957" s="1" t="str">
        <f ca="1">IFERROR(__xludf.DUMMYFUNCTION("""COMPUTED_VALUE"""),"This will be hard to do, but if it is the right company I would try")</f>
        <v>This will be hard to do, but if it is the right company I would try</v>
      </c>
      <c r="S1957" s="1" t="str">
        <f ca="1">IFERROR(__xludf.DUMMYFUNCTION("""COMPUTED_VALUE"""),"revathi.kondapalli006@gmail.com")</f>
        <v>revathi.kondapalli006@gmail.com</v>
      </c>
    </row>
    <row r="1958" spans="1:19" ht="12.5" x14ac:dyDescent="0.25">
      <c r="A1958" s="2">
        <f ca="1">IFERROR(__xludf.DUMMYFUNCTION("""COMPUTED_VALUE"""),45062.9309507523)</f>
        <v>45062.930950752299</v>
      </c>
      <c r="B1958" s="1" t="str">
        <f ca="1">IFERROR(__xludf.DUMMYFUNCTION("""COMPUTED_VALUE"""),"India")</f>
        <v>India</v>
      </c>
      <c r="C1958" s="1">
        <f ca="1">IFERROR(__xludf.DUMMYFUNCTION("""COMPUTED_VALUE"""),80013)</f>
        <v>80013</v>
      </c>
      <c r="D1958" s="1" t="str">
        <f ca="1">IFERROR(__xludf.DUMMYFUNCTION("""COMPUTED_VALUE"""),"Male")</f>
        <v>Male</v>
      </c>
      <c r="E1958" s="1" t="str">
        <f ca="1">IFERROR(__xludf.DUMMYFUNCTION("""COMPUTED_VALUE"""),"People who have changed the world for better")</f>
        <v>People who have changed the world for better</v>
      </c>
      <c r="F1958" s="1" t="str">
        <f ca="1">IFERROR(__xludf.DUMMYFUNCTION("""COMPUTED_VALUE"""),"No I would not be pursuing Higher Education outside of India")</f>
        <v>No I would not be pursuing Higher Education outside of India</v>
      </c>
      <c r="G1958" s="1" t="str">
        <f ca="1">IFERROR(__xludf.DUMMYFUNCTION("""COMPUTED_VALUE"""),"Will work for 3 years or more")</f>
        <v>Will work for 3 years or more</v>
      </c>
      <c r="H1958" s="1" t="str">
        <f ca="1">IFERROR(__xludf.DUMMYFUNCTION("""COMPUTED_VALUE"""),"No")</f>
        <v>No</v>
      </c>
      <c r="I1958" s="1" t="str">
        <f ca="1">IFERROR(__xludf.DUMMYFUNCTION("""COMPUTED_VALUE"""),"Will NOT work for them")</f>
        <v>Will NOT work for them</v>
      </c>
      <c r="J1958" s="1">
        <f ca="1">IFERROR(__xludf.DUMMYFUNCTION("""COMPUTED_VALUE"""),2)</f>
        <v>2</v>
      </c>
      <c r="K1958" s="1" t="str">
        <f ca="1">IFERROR(__xludf.DUMMYFUNCTION("""COMPUTED_VALUE"""),"Hybrid Working Environment with less than 3 days a month at office")</f>
        <v>Hybrid Working Environment with less than 3 days a month at office</v>
      </c>
      <c r="L1958" s="1" t="str">
        <f ca="1">IFERROR(__xludf.DUMMYFUNCTION("""COMPUTED_VALUE"""),"Employer who rewards learning and enables that environment")</f>
        <v>Employer who rewards learning and enables that environment</v>
      </c>
      <c r="M195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58" s="1" t="str">
        <f ca="1">IFERROR(__xludf.DUMMYFUNCTION("""COMPUTED_VALUE"""),"Business Operations in any organization, Manage and drive End-to-End Projects or Products, Design and Develop amazing software, Look deeply into Data and generate insights")</f>
        <v>Business Operations in any organization, Manage and drive End-to-End Projects or Products, Design and Develop amazing software, Look deeply into Data and generate insights</v>
      </c>
      <c r="O1958" s="1" t="str">
        <f ca="1">IFERROR(__xludf.DUMMYFUNCTION("""COMPUTED_VALUE"""),"Manager who explains what is expected, sets a goal and helps achieve it")</f>
        <v>Manager who explains what is expected, sets a goal and helps achieve it</v>
      </c>
      <c r="P1958" s="1" t="str">
        <f ca="1">IFERROR(__xludf.DUMMYFUNCTION("""COMPUTED_VALUE"""),"Work with more than 10 people in my team")</f>
        <v>Work with more than 10 people in my team</v>
      </c>
      <c r="Q1958" s="1" t="str">
        <f ca="1">IFERROR(__xludf.DUMMYFUNCTION("""COMPUTED_VALUE"""),"Yes, I Understand this is gonna happen everywhere")</f>
        <v>Yes, I Understand this is gonna happen everywhere</v>
      </c>
      <c r="R1958" s="1" t="str">
        <f ca="1">IFERROR(__xludf.DUMMYFUNCTION("""COMPUTED_VALUE"""),"This will be hard to do, but if it is the right company I would try")</f>
        <v>This will be hard to do, but if it is the right company I would try</v>
      </c>
      <c r="S1958" s="1" t="str">
        <f ca="1">IFERROR(__xludf.DUMMYFUNCTION("""COMPUTED_VALUE"""),"yusufiqbal3385@gmail.com")</f>
        <v>yusufiqbal3385@gmail.com</v>
      </c>
    </row>
    <row r="1959" spans="1:19" ht="12.5" x14ac:dyDescent="0.25">
      <c r="A1959" s="2">
        <f ca="1">IFERROR(__xludf.DUMMYFUNCTION("""COMPUTED_VALUE"""),45062.9315401504)</f>
        <v>45062.931540150399</v>
      </c>
      <c r="B1959" s="1" t="str">
        <f ca="1">IFERROR(__xludf.DUMMYFUNCTION("""COMPUTED_VALUE"""),"India")</f>
        <v>India</v>
      </c>
      <c r="C1959" s="1">
        <f ca="1">IFERROR(__xludf.DUMMYFUNCTION("""COMPUTED_VALUE"""),416010)</f>
        <v>416010</v>
      </c>
      <c r="D1959" s="1" t="str">
        <f ca="1">IFERROR(__xludf.DUMMYFUNCTION("""COMPUTED_VALUE"""),"Male")</f>
        <v>Male</v>
      </c>
      <c r="E1959" s="1" t="str">
        <f ca="1">IFERROR(__xludf.DUMMYFUNCTION("""COMPUTED_VALUE"""),"People from my circle, but not family members")</f>
        <v>People from my circle, but not family members</v>
      </c>
      <c r="F1959" s="1" t="str">
        <f ca="1">IFERROR(__xludf.DUMMYFUNCTION("""COMPUTED_VALUE"""),"No, But if someone could bare the cost I will")</f>
        <v>No, But if someone could bare the cost I will</v>
      </c>
      <c r="G1959" s="1" t="str">
        <f ca="1">IFERROR(__xludf.DUMMYFUNCTION("""COMPUTED_VALUE"""),"This will be hard to do, but if it is the right company I would try")</f>
        <v>This will be hard to do, but if it is the right company I would try</v>
      </c>
      <c r="H1959" s="1" t="str">
        <f ca="1">IFERROR(__xludf.DUMMYFUNCTION("""COMPUTED_VALUE"""),"No")</f>
        <v>No</v>
      </c>
      <c r="I1959" s="1" t="str">
        <f ca="1">IFERROR(__xludf.DUMMYFUNCTION("""COMPUTED_VALUE"""),"Will NOT work for them")</f>
        <v>Will NOT work for them</v>
      </c>
      <c r="J1959" s="1">
        <f ca="1">IFERROR(__xludf.DUMMYFUNCTION("""COMPUTED_VALUE"""),7)</f>
        <v>7</v>
      </c>
      <c r="K1959" s="1" t="str">
        <f ca="1">IFERROR(__xludf.DUMMYFUNCTION("""COMPUTED_VALUE"""),"Hybrid Working Environment with more than 15 days a month at office")</f>
        <v>Hybrid Working Environment with more than 15 days a month at office</v>
      </c>
      <c r="L19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5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959" s="1" t="str">
        <f ca="1">IFERROR(__xludf.DUMMYFUNCTION("""COMPUTED_VALUE"""),"Business Operations in any organization, Build and develop a Team, Entrepreneur or Start Up, An Artificial Intelligence Specialist / Talking to Robots")</f>
        <v>Business Operations in any organization, Build and develop a Team, Entrepreneur or Start Up, An Artificial Intelligence Specialist / Talking to Robots</v>
      </c>
      <c r="O1959" s="1" t="str">
        <f ca="1">IFERROR(__xludf.DUMMYFUNCTION("""COMPUTED_VALUE"""),"Manager who explains what is expected, sets a goal and helps achieve it")</f>
        <v>Manager who explains what is expected, sets a goal and helps achieve it</v>
      </c>
      <c r="P1959" s="1" t="str">
        <f ca="1">IFERROR(__xludf.DUMMYFUNCTION("""COMPUTED_VALUE"""),"Work with 2 to 3 people in my team, Work with 5 to 6 people in my team")</f>
        <v>Work with 2 to 3 people in my team, Work with 5 to 6 people in my team</v>
      </c>
      <c r="Q1959" s="1" t="str">
        <f ca="1">IFERROR(__xludf.DUMMYFUNCTION("""COMPUTED_VALUE"""),"Yes, I Understand this is gonna happen everywhere")</f>
        <v>Yes, I Understand this is gonna happen everywhere</v>
      </c>
      <c r="R1959" s="1" t="str">
        <f ca="1">IFERROR(__xludf.DUMMYFUNCTION("""COMPUTED_VALUE"""),"This will be hard to do, but if it is the right company I would try")</f>
        <v>This will be hard to do, but if it is the right company I would try</v>
      </c>
      <c r="S1959" s="1" t="str">
        <f ca="1">IFERROR(__xludf.DUMMYFUNCTION("""COMPUTED_VALUE"""),"tanmaykamte16@gmail.com")</f>
        <v>tanmaykamte16@gmail.com</v>
      </c>
    </row>
    <row r="1960" spans="1:19" ht="12.5" x14ac:dyDescent="0.25">
      <c r="A1960" s="2">
        <f ca="1">IFERROR(__xludf.DUMMYFUNCTION("""COMPUTED_VALUE"""),45062.932157743)</f>
        <v>45062.932157743002</v>
      </c>
      <c r="B1960" s="1" t="str">
        <f ca="1">IFERROR(__xludf.DUMMYFUNCTION("""COMPUTED_VALUE"""),"India")</f>
        <v>India</v>
      </c>
      <c r="C1960" s="1">
        <f ca="1">IFERROR(__xludf.DUMMYFUNCTION("""COMPUTED_VALUE"""),711204)</f>
        <v>711204</v>
      </c>
      <c r="D1960" s="1" t="str">
        <f ca="1">IFERROR(__xludf.DUMMYFUNCTION("""COMPUTED_VALUE"""),"Male")</f>
        <v>Male</v>
      </c>
      <c r="E1960" s="1" t="str">
        <f ca="1">IFERROR(__xludf.DUMMYFUNCTION("""COMPUTED_VALUE"""),"Social Media like LinkedIn")</f>
        <v>Social Media like LinkedIn</v>
      </c>
      <c r="F1960" s="1" t="str">
        <f ca="1">IFERROR(__xludf.DUMMYFUNCTION("""COMPUTED_VALUE"""),"Yes, I will earn and do that")</f>
        <v>Yes, I will earn and do that</v>
      </c>
      <c r="G1960" s="1" t="str">
        <f ca="1">IFERROR(__xludf.DUMMYFUNCTION("""COMPUTED_VALUE"""),"Will work for 3 years or more")</f>
        <v>Will work for 3 years or more</v>
      </c>
      <c r="H1960" s="1" t="str">
        <f ca="1">IFERROR(__xludf.DUMMYFUNCTION("""COMPUTED_VALUE"""),"Yes")</f>
        <v>Yes</v>
      </c>
      <c r="I1960" s="1" t="str">
        <f ca="1">IFERROR(__xludf.DUMMYFUNCTION("""COMPUTED_VALUE"""),"Will work for them")</f>
        <v>Will work for them</v>
      </c>
      <c r="J1960" s="1">
        <f ca="1">IFERROR(__xludf.DUMMYFUNCTION("""COMPUTED_VALUE"""),5)</f>
        <v>5</v>
      </c>
      <c r="K1960" s="1" t="str">
        <f ca="1">IFERROR(__xludf.DUMMYFUNCTION("""COMPUTED_VALUE"""),"Fully Remote with Options to travel as and when needed")</f>
        <v>Fully Remote with Options to travel as and when needed</v>
      </c>
      <c r="L19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6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960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960" s="1" t="str">
        <f ca="1">IFERROR(__xludf.DUMMYFUNCTION("""COMPUTED_VALUE"""),"Manager who sets goal and helps me achieve it")</f>
        <v>Manager who sets goal and helps me achieve it</v>
      </c>
      <c r="P196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1960" s="1" t="str">
        <f ca="1">IFERROR(__xludf.DUMMYFUNCTION("""COMPUTED_VALUE"""),"No")</f>
        <v>No</v>
      </c>
      <c r="R1960" s="1" t="str">
        <f ca="1">IFERROR(__xludf.DUMMYFUNCTION("""COMPUTED_VALUE"""),"This will be hard to do, but if it is the right company I would try")</f>
        <v>This will be hard to do, but if it is the right company I would try</v>
      </c>
      <c r="S1960" s="1" t="str">
        <f ca="1">IFERROR(__xludf.DUMMYFUNCTION("""COMPUTED_VALUE"""),"aprasad1509@gmail.com")</f>
        <v>aprasad1509@gmail.com</v>
      </c>
    </row>
    <row r="1961" spans="1:19" ht="12.5" x14ac:dyDescent="0.25">
      <c r="A1961" s="2">
        <f ca="1">IFERROR(__xludf.DUMMYFUNCTION("""COMPUTED_VALUE"""),45062.9349269791)</f>
        <v>45062.934926979098</v>
      </c>
      <c r="B1961" s="1" t="str">
        <f ca="1">IFERROR(__xludf.DUMMYFUNCTION("""COMPUTED_VALUE"""),"India")</f>
        <v>India</v>
      </c>
      <c r="C1961" s="1">
        <f ca="1">IFERROR(__xludf.DUMMYFUNCTION("""COMPUTED_VALUE"""),533429)</f>
        <v>533429</v>
      </c>
      <c r="D1961" s="1" t="str">
        <f ca="1">IFERROR(__xludf.DUMMYFUNCTION("""COMPUTED_VALUE"""),"Male")</f>
        <v>Male</v>
      </c>
      <c r="E1961" s="1" t="str">
        <f ca="1">IFERROR(__xludf.DUMMYFUNCTION("""COMPUTED_VALUE"""),"My Parents")</f>
        <v>My Parents</v>
      </c>
      <c r="F1961" s="1" t="str">
        <f ca="1">IFERROR(__xludf.DUMMYFUNCTION("""COMPUTED_VALUE"""),"Yes, I will earn and do that")</f>
        <v>Yes, I will earn and do that</v>
      </c>
      <c r="G1961" s="1" t="str">
        <f ca="1">IFERROR(__xludf.DUMMYFUNCTION("""COMPUTED_VALUE"""),"This will be hard to do, but if it is the right company I would try")</f>
        <v>This will be hard to do, but if it is the right company I would try</v>
      </c>
      <c r="H1961" s="1" t="str">
        <f ca="1">IFERROR(__xludf.DUMMYFUNCTION("""COMPUTED_VALUE"""),"No")</f>
        <v>No</v>
      </c>
      <c r="I1961" s="1" t="str">
        <f ca="1">IFERROR(__xludf.DUMMYFUNCTION("""COMPUTED_VALUE"""),"Will NOT work for them")</f>
        <v>Will NOT work for them</v>
      </c>
      <c r="J1961" s="1">
        <f ca="1">IFERROR(__xludf.DUMMYFUNCTION("""COMPUTED_VALUE"""),4)</f>
        <v>4</v>
      </c>
      <c r="K1961" s="1" t="str">
        <f ca="1">IFERROR(__xludf.DUMMYFUNCTION("""COMPUTED_VALUE"""),"Fully Remote with Options to travel as and when needed")</f>
        <v>Fully Remote with Options to travel as and when needed</v>
      </c>
      <c r="L1961" s="1" t="str">
        <f ca="1">IFERROR(__xludf.DUMMYFUNCTION("""COMPUTED_VALUE"""),"Employer who rewards learning and enables that environment")</f>
        <v>Employer who rewards learning and enables that environment</v>
      </c>
      <c r="M196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1961" s="1" t="str">
        <f ca="1">IFERROR(__xludf.DUMMYFUNCTION("""COMPUTED_VALUE"""),"Design and Creative strategy in any company, Business Operations in any organization, Design and Develop amazing software, An Artificial Intelligence Specialist / Talking to Robots")</f>
        <v>Design and Creative strategy in any company, Business Operations in any organization, Design and Develop amazing software, An Artificial Intelligence Specialist / Talking to Robots</v>
      </c>
      <c r="O1961" s="1" t="str">
        <f ca="1">IFERROR(__xludf.DUMMYFUNCTION("""COMPUTED_VALUE"""),"Manager who explains what is expected, sets a goal and helps achieve it")</f>
        <v>Manager who explains what is expected, sets a goal and helps achieve it</v>
      </c>
      <c r="P1961" s="1" t="str">
        <f ca="1">IFERROR(__xludf.DUMMYFUNCTION("""COMPUTED_VALUE"""),"Work alone")</f>
        <v>Work alone</v>
      </c>
      <c r="Q1961" s="1" t="str">
        <f ca="1">IFERROR(__xludf.DUMMYFUNCTION("""COMPUTED_VALUE"""),"No")</f>
        <v>No</v>
      </c>
      <c r="R1961" s="1" t="str">
        <f ca="1">IFERROR(__xludf.DUMMYFUNCTION("""COMPUTED_VALUE"""),"This will be hard to do, but if it is the right company I would try")</f>
        <v>This will be hard to do, but if it is the right company I would try</v>
      </c>
      <c r="S1961" s="1" t="str">
        <f ca="1">IFERROR(__xludf.DUMMYFUNCTION("""COMPUTED_VALUE"""),"saikumarbajji2947@gmail.com")</f>
        <v>saikumarbajji2947@gmail.com</v>
      </c>
    </row>
    <row r="1962" spans="1:19" ht="12.5" x14ac:dyDescent="0.25">
      <c r="A1962" s="2">
        <f ca="1">IFERROR(__xludf.DUMMYFUNCTION("""COMPUTED_VALUE"""),45062.9349435301)</f>
        <v>45062.934943530097</v>
      </c>
      <c r="B1962" s="1" t="str">
        <f ca="1">IFERROR(__xludf.DUMMYFUNCTION("""COMPUTED_VALUE"""),"India")</f>
        <v>India</v>
      </c>
      <c r="C1962" s="1">
        <f ca="1">IFERROR(__xludf.DUMMYFUNCTION("""COMPUTED_VALUE"""),637001)</f>
        <v>637001</v>
      </c>
      <c r="D1962" s="1" t="str">
        <f ca="1">IFERROR(__xludf.DUMMYFUNCTION("""COMPUTED_VALUE"""),"Female")</f>
        <v>Female</v>
      </c>
      <c r="E1962" s="1" t="str">
        <f ca="1">IFERROR(__xludf.DUMMYFUNCTION("""COMPUTED_VALUE"""),"Influencers who had successful careers")</f>
        <v>Influencers who had successful careers</v>
      </c>
      <c r="F1962" s="1" t="str">
        <f ca="1">IFERROR(__xludf.DUMMYFUNCTION("""COMPUTED_VALUE"""),"Yes, I will earn and do that")</f>
        <v>Yes, I will earn and do that</v>
      </c>
      <c r="G1962" s="1" t="str">
        <f ca="1">IFERROR(__xludf.DUMMYFUNCTION("""COMPUTED_VALUE"""),"This will be hard to do, but if it is the right company I would try")</f>
        <v>This will be hard to do, but if it is the right company I would try</v>
      </c>
      <c r="H1962" s="1" t="str">
        <f ca="1">IFERROR(__xludf.DUMMYFUNCTION("""COMPUTED_VALUE"""),"No")</f>
        <v>No</v>
      </c>
      <c r="I1962" s="1" t="str">
        <f ca="1">IFERROR(__xludf.DUMMYFUNCTION("""COMPUTED_VALUE"""),"Will NOT work for them")</f>
        <v>Will NOT work for them</v>
      </c>
      <c r="J1962" s="1">
        <f ca="1">IFERROR(__xludf.DUMMYFUNCTION("""COMPUTED_VALUE"""),3)</f>
        <v>3</v>
      </c>
      <c r="K1962" s="1" t="str">
        <f ca="1">IFERROR(__xludf.DUMMYFUNCTION("""COMPUTED_VALUE"""),"Hybrid Working Environment with more than 15 days a month at office")</f>
        <v>Hybrid Working Environment with more than 15 days a month at office</v>
      </c>
      <c r="L1962" s="1" t="str">
        <f ca="1">IFERROR(__xludf.DUMMYFUNCTION("""COMPUTED_VALUE"""),"Employer who appreciates learning and enables that environment")</f>
        <v>Employer who appreciates learning and enables that environment</v>
      </c>
      <c r="M1962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962" s="1" t="str">
        <f ca="1">IFERROR(__xludf.DUMMYFUNCTION("""COMPUTED_VALUE"""),"Teaching in any of the institutes/colleges/online or offline, Business Operations in any organization, Build and develop a Team, Look deeply into Data and generate insights")</f>
        <v>Teaching in any of the institutes/colleges/online or offline, Business Operations in any organization, Build and develop a Team, Look deeply into Data and generate insights</v>
      </c>
      <c r="O1962" s="1" t="str">
        <f ca="1">IFERROR(__xludf.DUMMYFUNCTION("""COMPUTED_VALUE"""),"Manager who sets goal and helps me achieve it")</f>
        <v>Manager who sets goal and helps me achieve it</v>
      </c>
      <c r="P1962" s="1" t="str">
        <f ca="1">IFERROR(__xludf.DUMMYFUNCTION("""COMPUTED_VALUE"""),"Work with 2 to 3 people in my team")</f>
        <v>Work with 2 to 3 people in my team</v>
      </c>
      <c r="Q1962" s="1" t="str">
        <f ca="1">IFERROR(__xludf.DUMMYFUNCTION("""COMPUTED_VALUE"""),"Yes, I Understand this is gonna happen everywhere")</f>
        <v>Yes, I Understand this is gonna happen everywhere</v>
      </c>
      <c r="R1962" s="1" t="str">
        <f ca="1">IFERROR(__xludf.DUMMYFUNCTION("""COMPUTED_VALUE"""),"This will be hard to do, but if it is the right company I would try")</f>
        <v>This will be hard to do, but if it is the right company I would try</v>
      </c>
      <c r="S1962" s="1" t="str">
        <f ca="1">IFERROR(__xludf.DUMMYFUNCTION("""COMPUTED_VALUE"""),"subhikamurugan21@gmail.com")</f>
        <v>subhikamurugan21@gmail.com</v>
      </c>
    </row>
    <row r="1963" spans="1:19" ht="12.5" x14ac:dyDescent="0.25">
      <c r="A1963" s="2">
        <f ca="1">IFERROR(__xludf.DUMMYFUNCTION("""COMPUTED_VALUE"""),45062.9352265856)</f>
        <v>45062.9352265856</v>
      </c>
      <c r="B1963" s="1" t="str">
        <f ca="1">IFERROR(__xludf.DUMMYFUNCTION("""COMPUTED_VALUE"""),"India")</f>
        <v>India</v>
      </c>
      <c r="C1963" s="1">
        <f ca="1">IFERROR(__xludf.DUMMYFUNCTION("""COMPUTED_VALUE"""),263139)</f>
        <v>263139</v>
      </c>
      <c r="D1963" s="1" t="str">
        <f ca="1">IFERROR(__xludf.DUMMYFUNCTION("""COMPUTED_VALUE"""),"Male")</f>
        <v>Male</v>
      </c>
      <c r="E1963" s="1" t="str">
        <f ca="1">IFERROR(__xludf.DUMMYFUNCTION("""COMPUTED_VALUE"""),"Social Media like LinkedIn")</f>
        <v>Social Media like LinkedIn</v>
      </c>
      <c r="F1963" s="1" t="str">
        <f ca="1">IFERROR(__xludf.DUMMYFUNCTION("""COMPUTED_VALUE"""),"Yes, I will earn and do that")</f>
        <v>Yes, I will earn and do that</v>
      </c>
      <c r="G1963" s="1" t="str">
        <f ca="1">IFERROR(__xludf.DUMMYFUNCTION("""COMPUTED_VALUE"""),"This will be hard to do, but if it is the right company I would try")</f>
        <v>This will be hard to do, but if it is the right company I would try</v>
      </c>
      <c r="H1963" s="1" t="str">
        <f ca="1">IFERROR(__xludf.DUMMYFUNCTION("""COMPUTED_VALUE"""),"Yes")</f>
        <v>Yes</v>
      </c>
      <c r="I1963" s="1" t="str">
        <f ca="1">IFERROR(__xludf.DUMMYFUNCTION("""COMPUTED_VALUE"""),"Will work for them")</f>
        <v>Will work for them</v>
      </c>
      <c r="J1963" s="1">
        <f ca="1">IFERROR(__xludf.DUMMYFUNCTION("""COMPUTED_VALUE"""),9)</f>
        <v>9</v>
      </c>
      <c r="K1963" s="1" t="str">
        <f ca="1">IFERROR(__xludf.DUMMYFUNCTION("""COMPUTED_VALUE"""),"Hybrid Working Environment with more than 15 days a month at office")</f>
        <v>Hybrid Working Environment with more than 15 days a month at office</v>
      </c>
      <c r="L19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6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63" s="1" t="str">
        <f ca="1">IFERROR(__xludf.DUMMYFUNCTION("""COMPUTED_VALUE"""),"Teaching in any of the institutes/colleges/online or offline, Business Operations in any organization, Look deeply into Data and generate insights, Become a content Creator in some platform")</f>
        <v>Teaching in any of the institutes/colleges/online or offline, Business Operations in any organization, Look deeply into Data and generate insights, Become a content Creator in some platform</v>
      </c>
      <c r="O1963" s="1" t="str">
        <f ca="1">IFERROR(__xludf.DUMMYFUNCTION("""COMPUTED_VALUE"""),"Manager who clearly describes what she/he needs")</f>
        <v>Manager who clearly describes what she/he needs</v>
      </c>
      <c r="P1963" s="1" t="str">
        <f ca="1">IFERROR(__xludf.DUMMYFUNCTION("""COMPUTED_VALUE"""),"Work with 2 to 3 people in my team")</f>
        <v>Work with 2 to 3 people in my team</v>
      </c>
      <c r="Q1963" s="1" t="str">
        <f ca="1">IFERROR(__xludf.DUMMYFUNCTION("""COMPUTED_VALUE"""),"Yes, I Understand this is gonna happen everywhere")</f>
        <v>Yes, I Understand this is gonna happen everywhere</v>
      </c>
      <c r="R1963" s="1" t="str">
        <f ca="1">IFERROR(__xludf.DUMMYFUNCTION("""COMPUTED_VALUE"""),"This will be hard to do, but if it is the right company I would try")</f>
        <v>This will be hard to do, but if it is the right company I would try</v>
      </c>
      <c r="S1963" s="1" t="str">
        <f ca="1">IFERROR(__xludf.DUMMYFUNCTION("""COMPUTED_VALUE"""),"piyushmehra94129@gmail.com")</f>
        <v>piyushmehra94129@gmail.com</v>
      </c>
    </row>
    <row r="1964" spans="1:19" ht="12.5" x14ac:dyDescent="0.25">
      <c r="A1964" s="2">
        <f ca="1">IFERROR(__xludf.DUMMYFUNCTION("""COMPUTED_VALUE"""),45062.9352593055)</f>
        <v>45062.935259305501</v>
      </c>
      <c r="B1964" s="1" t="str">
        <f ca="1">IFERROR(__xludf.DUMMYFUNCTION("""COMPUTED_VALUE"""),"India")</f>
        <v>India</v>
      </c>
      <c r="C1964" s="1">
        <f ca="1">IFERROR(__xludf.DUMMYFUNCTION("""COMPUTED_VALUE"""),302012)</f>
        <v>302012</v>
      </c>
      <c r="D1964" s="1" t="str">
        <f ca="1">IFERROR(__xludf.DUMMYFUNCTION("""COMPUTED_VALUE"""),"Female")</f>
        <v>Female</v>
      </c>
      <c r="E1964" s="1" t="str">
        <f ca="1">IFERROR(__xludf.DUMMYFUNCTION("""COMPUTED_VALUE"""),"My Parents")</f>
        <v>My Parents</v>
      </c>
      <c r="F1964" s="1" t="str">
        <f ca="1">IFERROR(__xludf.DUMMYFUNCTION("""COMPUTED_VALUE"""),"No I would not be pursuing Higher Education outside of India")</f>
        <v>No I would not be pursuing Higher Education outside of India</v>
      </c>
      <c r="G1964" s="1" t="str">
        <f ca="1">IFERROR(__xludf.DUMMYFUNCTION("""COMPUTED_VALUE"""),"This will be hard to do, but if it is the right company I would try")</f>
        <v>This will be hard to do, but if it is the right company I would try</v>
      </c>
      <c r="H1964" s="1" t="str">
        <f ca="1">IFERROR(__xludf.DUMMYFUNCTION("""COMPUTED_VALUE"""),"Yes")</f>
        <v>Yes</v>
      </c>
      <c r="I1964" s="1" t="str">
        <f ca="1">IFERROR(__xludf.DUMMYFUNCTION("""COMPUTED_VALUE"""),"Will work for them")</f>
        <v>Will work for them</v>
      </c>
      <c r="J1964" s="1">
        <f ca="1">IFERROR(__xludf.DUMMYFUNCTION("""COMPUTED_VALUE"""),5)</f>
        <v>5</v>
      </c>
      <c r="K1964" s="1" t="str">
        <f ca="1">IFERROR(__xludf.DUMMYFUNCTION("""COMPUTED_VALUE"""),"Every Day Office Environment")</f>
        <v>Every Day Office Environment</v>
      </c>
      <c r="L1964" s="1" t="str">
        <f ca="1">IFERROR(__xludf.DUMMYFUNCTION("""COMPUTED_VALUE"""),"Employer who appreciates learning and enables that environment")</f>
        <v>Employer who appreciates learning and enables that environment</v>
      </c>
      <c r="M196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64" s="1" t="str">
        <f ca="1">IFERROR(__xludf.DUMMYFUNCTION("""COMPUTED_VALUE"""),"Design and Creative strategy in any company, Business Operations in any organization, Build and develop a Team, I Want to sell things/Sales")</f>
        <v>Design and Creative strategy in any company, Business Operations in any organization, Build and develop a Team, I Want to sell things/Sales</v>
      </c>
      <c r="O1964" s="1" t="str">
        <f ca="1">IFERROR(__xludf.DUMMYFUNCTION("""COMPUTED_VALUE"""),"Manager who sets goal and helps me achieve it")</f>
        <v>Manager who sets goal and helps me achieve it</v>
      </c>
      <c r="P1964" s="1" t="str">
        <f ca="1">IFERROR(__xludf.DUMMYFUNCTION("""COMPUTED_VALUE"""),"Work with 5 to 6 people in my team")</f>
        <v>Work with 5 to 6 people in my team</v>
      </c>
      <c r="Q1964" s="1" t="str">
        <f ca="1">IFERROR(__xludf.DUMMYFUNCTION("""COMPUTED_VALUE"""),"No")</f>
        <v>No</v>
      </c>
      <c r="R1964" s="1" t="str">
        <f ca="1">IFERROR(__xludf.DUMMYFUNCTION("""COMPUTED_VALUE"""),"No way")</f>
        <v>No way</v>
      </c>
      <c r="S1964" s="1" t="str">
        <f ca="1">IFERROR(__xludf.DUMMYFUNCTION("""COMPUTED_VALUE"""),"geetaprajapat0912@gmail.com")</f>
        <v>geetaprajapat0912@gmail.com</v>
      </c>
    </row>
    <row r="1965" spans="1:19" ht="12.5" x14ac:dyDescent="0.25">
      <c r="A1965" s="2">
        <f ca="1">IFERROR(__xludf.DUMMYFUNCTION("""COMPUTED_VALUE"""),45062.9354210995)</f>
        <v>45062.935421099501</v>
      </c>
      <c r="B1965" s="1" t="str">
        <f ca="1">IFERROR(__xludf.DUMMYFUNCTION("""COMPUTED_VALUE"""),"India")</f>
        <v>India</v>
      </c>
      <c r="C1965" s="1">
        <f ca="1">IFERROR(__xludf.DUMMYFUNCTION("""COMPUTED_VALUE"""),110089)</f>
        <v>110089</v>
      </c>
      <c r="D1965" s="1" t="str">
        <f ca="1">IFERROR(__xludf.DUMMYFUNCTION("""COMPUTED_VALUE"""),"Female")</f>
        <v>Female</v>
      </c>
      <c r="E1965" s="1" t="str">
        <f ca="1">IFERROR(__xludf.DUMMYFUNCTION("""COMPUTED_VALUE"""),"Influencers who had successful careers")</f>
        <v>Influencers who had successful careers</v>
      </c>
      <c r="F1965" s="1" t="str">
        <f ca="1">IFERROR(__xludf.DUMMYFUNCTION("""COMPUTED_VALUE"""),"No, But if someone could bare the cost I will")</f>
        <v>No, But if someone could bare the cost I will</v>
      </c>
      <c r="G1965" s="1" t="str">
        <f ca="1">IFERROR(__xludf.DUMMYFUNCTION("""COMPUTED_VALUE"""),"Will work for 3 years or more")</f>
        <v>Will work for 3 years or more</v>
      </c>
      <c r="H1965" s="1" t="str">
        <f ca="1">IFERROR(__xludf.DUMMYFUNCTION("""COMPUTED_VALUE"""),"No")</f>
        <v>No</v>
      </c>
      <c r="I1965" s="1" t="str">
        <f ca="1">IFERROR(__xludf.DUMMYFUNCTION("""COMPUTED_VALUE"""),"Will NOT work for them")</f>
        <v>Will NOT work for them</v>
      </c>
      <c r="J1965" s="1">
        <f ca="1">IFERROR(__xludf.DUMMYFUNCTION("""COMPUTED_VALUE"""),1)</f>
        <v>1</v>
      </c>
      <c r="K1965" s="1" t="str">
        <f ca="1">IFERROR(__xludf.DUMMYFUNCTION("""COMPUTED_VALUE"""),"Fully Remote with No option to visit offices")</f>
        <v>Fully Remote with No option to visit offices</v>
      </c>
      <c r="L19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6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965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1965" s="1" t="str">
        <f ca="1">IFERROR(__xludf.DUMMYFUNCTION("""COMPUTED_VALUE"""),"Manager who explains what is expected, sets a goal and helps achieve it")</f>
        <v>Manager who explains what is expected, sets a goal and helps achieve it</v>
      </c>
      <c r="P1965" s="1" t="str">
        <f ca="1">IFERROR(__xludf.DUMMYFUNCTION("""COMPUTED_VALUE"""),"Work alone")</f>
        <v>Work alone</v>
      </c>
      <c r="Q1965" s="1" t="str">
        <f ca="1">IFERROR(__xludf.DUMMYFUNCTION("""COMPUTED_VALUE"""),"No")</f>
        <v>No</v>
      </c>
      <c r="R1965" s="1" t="str">
        <f ca="1">IFERROR(__xludf.DUMMYFUNCTION("""COMPUTED_VALUE"""),"Will work for 7 years or more")</f>
        <v>Will work for 7 years or more</v>
      </c>
      <c r="S1965" s="1" t="str">
        <f ca="1">IFERROR(__xludf.DUMMYFUNCTION("""COMPUTED_VALUE"""),"babbar.meena1977@gmail.com")</f>
        <v>babbar.meena1977@gmail.com</v>
      </c>
    </row>
    <row r="1966" spans="1:19" ht="12.5" x14ac:dyDescent="0.25">
      <c r="A1966" s="2">
        <f ca="1">IFERROR(__xludf.DUMMYFUNCTION("""COMPUTED_VALUE"""),45062.9363172569)</f>
        <v>45062.936317256899</v>
      </c>
      <c r="B1966" s="1" t="str">
        <f ca="1">IFERROR(__xludf.DUMMYFUNCTION("""COMPUTED_VALUE"""),"India")</f>
        <v>India</v>
      </c>
      <c r="C1966" s="1">
        <f ca="1">IFERROR(__xludf.DUMMYFUNCTION("""COMPUTED_VALUE"""),641603)</f>
        <v>641603</v>
      </c>
      <c r="D1966" s="1" t="str">
        <f ca="1">IFERROR(__xludf.DUMMYFUNCTION("""COMPUTED_VALUE"""),"Male")</f>
        <v>Male</v>
      </c>
      <c r="E1966" s="1" t="str">
        <f ca="1">IFERROR(__xludf.DUMMYFUNCTION("""COMPUTED_VALUE"""),"People who have changed the world for better")</f>
        <v>People who have changed the world for better</v>
      </c>
      <c r="F1966" s="1" t="str">
        <f ca="1">IFERROR(__xludf.DUMMYFUNCTION("""COMPUTED_VALUE"""),"No I would not be pursuing Higher Education outside of India")</f>
        <v>No I would not be pursuing Higher Education outside of India</v>
      </c>
      <c r="G1966" s="1" t="str">
        <f ca="1">IFERROR(__xludf.DUMMYFUNCTION("""COMPUTED_VALUE"""),"This will be hard to do, but if it is the right company I would try")</f>
        <v>This will be hard to do, but if it is the right company I would try</v>
      </c>
      <c r="H1966" s="1" t="str">
        <f ca="1">IFERROR(__xludf.DUMMYFUNCTION("""COMPUTED_VALUE"""),"Yes")</f>
        <v>Yes</v>
      </c>
      <c r="I1966" s="1" t="str">
        <f ca="1">IFERROR(__xludf.DUMMYFUNCTION("""COMPUTED_VALUE"""),"Will NOT work for them")</f>
        <v>Will NOT work for them</v>
      </c>
      <c r="J1966" s="1">
        <f ca="1">IFERROR(__xludf.DUMMYFUNCTION("""COMPUTED_VALUE"""),5)</f>
        <v>5</v>
      </c>
      <c r="K1966" s="1" t="str">
        <f ca="1">IFERROR(__xludf.DUMMYFUNCTION("""COMPUTED_VALUE"""),"Every Day Office Environment")</f>
        <v>Every Day Office Environment</v>
      </c>
      <c r="L1966" s="1" t="str">
        <f ca="1">IFERROR(__xludf.DUMMYFUNCTION("""COMPUTED_VALUE"""),"Employer who rewards learning and enables that environment")</f>
        <v>Employer who rewards learning and enables that environment</v>
      </c>
      <c r="M1966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1966" s="1" t="str">
        <f ca="1">IFERROR(__xludf.DUMMYFUNCTION("""COMPUTED_VALUE"""),"Design and Creative strategy in any company, Build and develop a Team, Work in a BPO setup for some well known client, An Artificial Intelligence Specialist / Talking to Robots")</f>
        <v>Design and Creative strategy in any company, Build and develop a Team, Work in a BPO setup for some well known client, An Artificial Intelligence Specialist / Talking to Robots</v>
      </c>
      <c r="O1966" s="1" t="str">
        <f ca="1">IFERROR(__xludf.DUMMYFUNCTION("""COMPUTED_VALUE"""),"Manager who sets targets and expects me to achieve it")</f>
        <v>Manager who sets targets and expects me to achieve it</v>
      </c>
      <c r="P1966" s="1" t="str">
        <f ca="1">IFERROR(__xludf.DUMMYFUNCTION("""COMPUTED_VALUE"""),"Work with more than 10 people in my team")</f>
        <v>Work with more than 10 people in my team</v>
      </c>
      <c r="Q1966" s="1" t="str">
        <f ca="1">IFERROR(__xludf.DUMMYFUNCTION("""COMPUTED_VALUE"""),"Yes, I Understand this is gonna happen everywhere")</f>
        <v>Yes, I Understand this is gonna happen everywhere</v>
      </c>
      <c r="R1966" s="1" t="str">
        <f ca="1">IFERROR(__xludf.DUMMYFUNCTION("""COMPUTED_VALUE"""),"Will work for 7 years or more")</f>
        <v>Will work for 7 years or more</v>
      </c>
      <c r="S1966" s="1" t="str">
        <f ca="1">IFERROR(__xludf.DUMMYFUNCTION("""COMPUTED_VALUE"""),"tamilselvanduraisaamy@gmail.com")</f>
        <v>tamilselvanduraisaamy@gmail.com</v>
      </c>
    </row>
    <row r="1967" spans="1:19" ht="12.5" x14ac:dyDescent="0.25">
      <c r="A1967" s="2">
        <f ca="1">IFERROR(__xludf.DUMMYFUNCTION("""COMPUTED_VALUE"""),45062.9367698032)</f>
        <v>45062.9367698032</v>
      </c>
      <c r="B1967" s="1" t="str">
        <f ca="1">IFERROR(__xludf.DUMMYFUNCTION("""COMPUTED_VALUE"""),"India")</f>
        <v>India</v>
      </c>
      <c r="C1967" s="1">
        <f ca="1">IFERROR(__xludf.DUMMYFUNCTION("""COMPUTED_VALUE"""),208021)</f>
        <v>208021</v>
      </c>
      <c r="D1967" s="1" t="str">
        <f ca="1">IFERROR(__xludf.DUMMYFUNCTION("""COMPUTED_VALUE"""),"Female")</f>
        <v>Female</v>
      </c>
      <c r="E1967" s="1" t="str">
        <f ca="1">IFERROR(__xludf.DUMMYFUNCTION("""COMPUTED_VALUE"""),"Influencers who had successful careers")</f>
        <v>Influencers who had successful careers</v>
      </c>
      <c r="F1967" s="1" t="str">
        <f ca="1">IFERROR(__xludf.DUMMYFUNCTION("""COMPUTED_VALUE"""),"No I would not be pursuing Higher Education outside of India")</f>
        <v>No I would not be pursuing Higher Education outside of India</v>
      </c>
      <c r="G1967" s="1" t="str">
        <f ca="1">IFERROR(__xludf.DUMMYFUNCTION("""COMPUTED_VALUE"""),"Will work for 3 years or more")</f>
        <v>Will work for 3 years or more</v>
      </c>
      <c r="H1967" s="1" t="str">
        <f ca="1">IFERROR(__xludf.DUMMYFUNCTION("""COMPUTED_VALUE"""),"No")</f>
        <v>No</v>
      </c>
      <c r="I1967" s="1" t="str">
        <f ca="1">IFERROR(__xludf.DUMMYFUNCTION("""COMPUTED_VALUE"""),"Will NOT work for them")</f>
        <v>Will NOT work for them</v>
      </c>
      <c r="J1967" s="1">
        <f ca="1">IFERROR(__xludf.DUMMYFUNCTION("""COMPUTED_VALUE"""),5)</f>
        <v>5</v>
      </c>
      <c r="K1967" s="1" t="str">
        <f ca="1">IFERROR(__xludf.DUMMYFUNCTION("""COMPUTED_VALUE"""),"Every Day Office Environment")</f>
        <v>Every Day Office Environment</v>
      </c>
      <c r="L1967" s="1" t="str">
        <f ca="1">IFERROR(__xludf.DUMMYFUNCTION("""COMPUTED_VALUE"""),"Employer who rewards learning and enables that environment")</f>
        <v>Employer who rewards learning and enables that environment</v>
      </c>
      <c r="M1967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967" s="1" t="str">
        <f ca="1">IFERROR(__xludf.DUMMYFUNCTION("""COMPUTED_VALUE"""),"Teaching in any of the institutes/colleges/online or offline, Business Operations in any organization, Build and develop a Team, Work as a freelancer and do my thing my way")</f>
        <v>Teaching in any of the institutes/colleges/online or offline, Business Operations in any organization, Build and develop a Team, Work as a freelancer and do my thing my way</v>
      </c>
      <c r="O1967" s="1" t="str">
        <f ca="1">IFERROR(__xludf.DUMMYFUNCTION("""COMPUTED_VALUE"""),"Manager who clearly describes what she/he needs")</f>
        <v>Manager who clearly describes what she/he needs</v>
      </c>
      <c r="P1967" s="1" t="str">
        <f ca="1">IFERROR(__xludf.DUMMYFUNCTION("""COMPUTED_VALUE"""),"Work with more than 10 people in my team")</f>
        <v>Work with more than 10 people in my team</v>
      </c>
      <c r="Q1967" s="1" t="str">
        <f ca="1">IFERROR(__xludf.DUMMYFUNCTION("""COMPUTED_VALUE"""),"Yes, I Understand this is gonna happen everywhere")</f>
        <v>Yes, I Understand this is gonna happen everywhere</v>
      </c>
      <c r="R1967" s="1" t="str">
        <f ca="1">IFERROR(__xludf.DUMMYFUNCTION("""COMPUTED_VALUE"""),"Will work for 7 years or more")</f>
        <v>Will work for 7 years or more</v>
      </c>
      <c r="S1967" s="1" t="str">
        <f ca="1">IFERROR(__xludf.DUMMYFUNCTION("""COMPUTED_VALUE"""),"anjushukl6@gmail.com")</f>
        <v>anjushukl6@gmail.com</v>
      </c>
    </row>
    <row r="1968" spans="1:19" ht="12.5" x14ac:dyDescent="0.25">
      <c r="A1968" s="2">
        <f ca="1">IFERROR(__xludf.DUMMYFUNCTION("""COMPUTED_VALUE"""),45062.9384717476)</f>
        <v>45062.938471747599</v>
      </c>
      <c r="B1968" s="1" t="str">
        <f ca="1">IFERROR(__xludf.DUMMYFUNCTION("""COMPUTED_VALUE"""),"India")</f>
        <v>India</v>
      </c>
      <c r="C1968" s="1">
        <f ca="1">IFERROR(__xludf.DUMMYFUNCTION("""COMPUTED_VALUE"""),121106)</f>
        <v>121106</v>
      </c>
      <c r="D1968" s="1" t="str">
        <f ca="1">IFERROR(__xludf.DUMMYFUNCTION("""COMPUTED_VALUE"""),"Male")</f>
        <v>Male</v>
      </c>
      <c r="E1968" s="1" t="str">
        <f ca="1">IFERROR(__xludf.DUMMYFUNCTION("""COMPUTED_VALUE"""),"People from my circle, but not family members")</f>
        <v>People from my circle, but not family members</v>
      </c>
      <c r="F1968" s="1" t="str">
        <f ca="1">IFERROR(__xludf.DUMMYFUNCTION("""COMPUTED_VALUE"""),"No, But if someone could bare the cost I will")</f>
        <v>No, But if someone could bare the cost I will</v>
      </c>
      <c r="G1968" s="1" t="str">
        <f ca="1">IFERROR(__xludf.DUMMYFUNCTION("""COMPUTED_VALUE"""),"Will work for 3 years or more")</f>
        <v>Will work for 3 years or more</v>
      </c>
      <c r="H1968" s="1" t="str">
        <f ca="1">IFERROR(__xludf.DUMMYFUNCTION("""COMPUTED_VALUE"""),"No")</f>
        <v>No</v>
      </c>
      <c r="I1968" s="1" t="str">
        <f ca="1">IFERROR(__xludf.DUMMYFUNCTION("""COMPUTED_VALUE"""),"Will NOT work for them")</f>
        <v>Will NOT work for them</v>
      </c>
      <c r="J1968" s="1">
        <f ca="1">IFERROR(__xludf.DUMMYFUNCTION("""COMPUTED_VALUE"""),5)</f>
        <v>5</v>
      </c>
      <c r="K1968" s="1" t="str">
        <f ca="1">IFERROR(__xludf.DUMMYFUNCTION("""COMPUTED_VALUE"""),"Hybrid Working Environment with less than 3 days a month at office")</f>
        <v>Hybrid Working Environment with less than 3 days a month at office</v>
      </c>
      <c r="L19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68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968" s="1" t="str">
        <f ca="1">IFERROR(__xludf.DUMMYFUNCTION("""COMPUTED_VALUE"""),"Business Operations in any organization, Work in a BPO setup for some well known client, Work as a freelancer and do my thing my way, Manufacturing / Oil and Gas/ Construction / Hard Physical Work related")</f>
        <v>Business Operations in any organization, Work in a BPO setup for some well known client, Work as a freelancer and do my thing my way, Manufacturing / Oil and Gas/ Construction / Hard Physical Work related</v>
      </c>
      <c r="O1968" s="1" t="str">
        <f ca="1">IFERROR(__xludf.DUMMYFUNCTION("""COMPUTED_VALUE"""),"Manager who sets goal and helps me achieve it")</f>
        <v>Manager who sets goal and helps me achieve it</v>
      </c>
      <c r="P1968" s="1" t="str">
        <f ca="1">IFERROR(__xludf.DUMMYFUNCTION("""COMPUTED_VALUE"""),"Work with 5 to 6 people in my team")</f>
        <v>Work with 5 to 6 people in my team</v>
      </c>
      <c r="Q1968" s="1" t="str">
        <f ca="1">IFERROR(__xludf.DUMMYFUNCTION("""COMPUTED_VALUE"""),"Yes, I Understand this is gonna happen everywhere")</f>
        <v>Yes, I Understand this is gonna happen everywhere</v>
      </c>
      <c r="R1968" s="1" t="str">
        <f ca="1">IFERROR(__xludf.DUMMYFUNCTION("""COMPUTED_VALUE"""),"This will be hard to do, but if it is the right company I would try")</f>
        <v>This will be hard to do, but if it is the right company I would try</v>
      </c>
      <c r="S1968" s="1" t="str">
        <f ca="1">IFERROR(__xludf.DUMMYFUNCTION("""COMPUTED_VALUE"""),"harshitagarwal325@gmail.com")</f>
        <v>harshitagarwal325@gmail.com</v>
      </c>
    </row>
    <row r="1969" spans="1:19" ht="12.5" x14ac:dyDescent="0.25">
      <c r="A1969" s="2">
        <f ca="1">IFERROR(__xludf.DUMMYFUNCTION("""COMPUTED_VALUE"""),45062.9398090277)</f>
        <v>45062.939809027703</v>
      </c>
      <c r="B1969" s="1" t="str">
        <f ca="1">IFERROR(__xludf.DUMMYFUNCTION("""COMPUTED_VALUE"""),"India")</f>
        <v>India</v>
      </c>
      <c r="C1969" s="1">
        <f ca="1">IFERROR(__xludf.DUMMYFUNCTION("""COMPUTED_VALUE"""),221011)</f>
        <v>221011</v>
      </c>
      <c r="D1969" s="1" t="str">
        <f ca="1">IFERROR(__xludf.DUMMYFUNCTION("""COMPUTED_VALUE"""),"Female")</f>
        <v>Female</v>
      </c>
      <c r="E1969" s="1" t="str">
        <f ca="1">IFERROR(__xludf.DUMMYFUNCTION("""COMPUTED_VALUE"""),"My Parents")</f>
        <v>My Parents</v>
      </c>
      <c r="F1969" s="1" t="str">
        <f ca="1">IFERROR(__xludf.DUMMYFUNCTION("""COMPUTED_VALUE"""),"No, But if someone could bare the cost I will")</f>
        <v>No, But if someone could bare the cost I will</v>
      </c>
      <c r="G1969" s="1" t="str">
        <f ca="1">IFERROR(__xludf.DUMMYFUNCTION("""COMPUTED_VALUE"""),"Will work for 3 years or more")</f>
        <v>Will work for 3 years or more</v>
      </c>
      <c r="H1969" s="1" t="str">
        <f ca="1">IFERROR(__xludf.DUMMYFUNCTION("""COMPUTED_VALUE"""),"No")</f>
        <v>No</v>
      </c>
      <c r="I1969" s="1" t="str">
        <f ca="1">IFERROR(__xludf.DUMMYFUNCTION("""COMPUTED_VALUE"""),"Will NOT work for them")</f>
        <v>Will NOT work for them</v>
      </c>
      <c r="J1969" s="1">
        <f ca="1">IFERROR(__xludf.DUMMYFUNCTION("""COMPUTED_VALUE"""),5)</f>
        <v>5</v>
      </c>
      <c r="K1969" s="1" t="str">
        <f ca="1">IFERROR(__xludf.DUMMYFUNCTION("""COMPUTED_VALUE"""),"Hybrid Working Environment with more than 15 days a month at office")</f>
        <v>Hybrid Working Environment with more than 15 days a month at office</v>
      </c>
      <c r="L196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196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69" s="1" t="str">
        <f ca="1">IFERROR(__xludf.DUMMYFUNCTION("""COMPUTED_VALUE"""),"Manage and drive End-to-End Projects or Products, Look deeply into Data and generate insights, Entrepreneur or Start Up, An Artificial Intelligence Specialist / Talking to Robots")</f>
        <v>Manage and drive End-to-End Projects or Products, Look deeply into Data and generate insights, Entrepreneur or Start Up, An Artificial Intelligence Specialist / Talking to Robots</v>
      </c>
      <c r="O1969" s="1" t="str">
        <f ca="1">IFERROR(__xludf.DUMMYFUNCTION("""COMPUTED_VALUE"""),"Manager who clearly describes what she/he needs")</f>
        <v>Manager who clearly describes what she/he needs</v>
      </c>
      <c r="P1969" s="1" t="str">
        <f ca="1">IFERROR(__xludf.DUMMYFUNCTION("""COMPUTED_VALUE"""),"Work with 2 to 3 people in my team")</f>
        <v>Work with 2 to 3 people in my team</v>
      </c>
      <c r="Q1969" s="1" t="str">
        <f ca="1">IFERROR(__xludf.DUMMYFUNCTION("""COMPUTED_VALUE"""),"Yes, I Understand this is gonna happen everywhere")</f>
        <v>Yes, I Understand this is gonna happen everywhere</v>
      </c>
      <c r="R1969" s="1" t="str">
        <f ca="1">IFERROR(__xludf.DUMMYFUNCTION("""COMPUTED_VALUE"""),"Will work for 7 years or more")</f>
        <v>Will work for 7 years or more</v>
      </c>
      <c r="S1969" s="1" t="str">
        <f ca="1">IFERROR(__xludf.DUMMYFUNCTION("""COMPUTED_VALUE"""),"ps3300544@gmail.com")</f>
        <v>ps3300544@gmail.com</v>
      </c>
    </row>
    <row r="1970" spans="1:19" ht="12.5" x14ac:dyDescent="0.25">
      <c r="A1970" s="2">
        <f ca="1">IFERROR(__xludf.DUMMYFUNCTION("""COMPUTED_VALUE"""),45062.9408029513)</f>
        <v>45062.9408029513</v>
      </c>
      <c r="B1970" s="1" t="str">
        <f ca="1">IFERROR(__xludf.DUMMYFUNCTION("""COMPUTED_VALUE"""),"India")</f>
        <v>India</v>
      </c>
      <c r="C1970" s="1">
        <f ca="1">IFERROR(__xludf.DUMMYFUNCTION("""COMPUTED_VALUE"""),711106)</f>
        <v>711106</v>
      </c>
      <c r="D1970" s="1" t="str">
        <f ca="1">IFERROR(__xludf.DUMMYFUNCTION("""COMPUTED_VALUE"""),"Female")</f>
        <v>Female</v>
      </c>
      <c r="E1970" s="1" t="str">
        <f ca="1">IFERROR(__xludf.DUMMYFUNCTION("""COMPUTED_VALUE"""),"People who have changed the world for better")</f>
        <v>People who have changed the world for better</v>
      </c>
      <c r="F1970" s="1" t="str">
        <f ca="1">IFERROR(__xludf.DUMMYFUNCTION("""COMPUTED_VALUE"""),"No I would not be pursuing Higher Education outside of India")</f>
        <v>No I would not be pursuing Higher Education outside of India</v>
      </c>
      <c r="G1970" s="1" t="str">
        <f ca="1">IFERROR(__xludf.DUMMYFUNCTION("""COMPUTED_VALUE"""),"Will work for 3 years or more")</f>
        <v>Will work for 3 years or more</v>
      </c>
      <c r="H1970" s="1" t="str">
        <f ca="1">IFERROR(__xludf.DUMMYFUNCTION("""COMPUTED_VALUE"""),"No")</f>
        <v>No</v>
      </c>
      <c r="I1970" s="1" t="str">
        <f ca="1">IFERROR(__xludf.DUMMYFUNCTION("""COMPUTED_VALUE"""),"Will NOT work for them")</f>
        <v>Will NOT work for them</v>
      </c>
      <c r="J1970" s="1">
        <f ca="1">IFERROR(__xludf.DUMMYFUNCTION("""COMPUTED_VALUE"""),1)</f>
        <v>1</v>
      </c>
      <c r="K1970" s="1" t="str">
        <f ca="1">IFERROR(__xludf.DUMMYFUNCTION("""COMPUTED_VALUE"""),"Every Day Office Environment")</f>
        <v>Every Day Office Environment</v>
      </c>
      <c r="L19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7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970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970" s="1" t="str">
        <f ca="1">IFERROR(__xludf.DUMMYFUNCTION("""COMPUTED_VALUE"""),"Manager who explains what is expected, sets a goal and helps achieve it")</f>
        <v>Manager who explains what is expected, sets a goal and helps achieve it</v>
      </c>
      <c r="P1970" s="1" t="str">
        <f ca="1">IFERROR(__xludf.DUMMYFUNCTION("""COMPUTED_VALUE"""),"Work with 5 to 6 people in my team")</f>
        <v>Work with 5 to 6 people in my team</v>
      </c>
      <c r="Q1970" s="1" t="str">
        <f ca="1">IFERROR(__xludf.DUMMYFUNCTION("""COMPUTED_VALUE"""),"Yes, I Understand this is gonna happen everywhere")</f>
        <v>Yes, I Understand this is gonna happen everywhere</v>
      </c>
      <c r="R1970" s="1" t="str">
        <f ca="1">IFERROR(__xludf.DUMMYFUNCTION("""COMPUTED_VALUE"""),"This will be hard to do, but if it is the right company I would try")</f>
        <v>This will be hard to do, but if it is the right company I would try</v>
      </c>
      <c r="S1970" s="1" t="str">
        <f ca="1">IFERROR(__xludf.DUMMYFUNCTION("""COMPUTED_VALUE"""),"priyarai39586@gmail.com")</f>
        <v>priyarai39586@gmail.com</v>
      </c>
    </row>
    <row r="1971" spans="1:19" ht="12.5" x14ac:dyDescent="0.25">
      <c r="A1971" s="2">
        <f ca="1">IFERROR(__xludf.DUMMYFUNCTION("""COMPUTED_VALUE"""),45062.9408475578)</f>
        <v>45062.940847557802</v>
      </c>
      <c r="B1971" s="1" t="str">
        <f ca="1">IFERROR(__xludf.DUMMYFUNCTION("""COMPUTED_VALUE"""),"India")</f>
        <v>India</v>
      </c>
      <c r="C1971" s="1">
        <f ca="1">IFERROR(__xludf.DUMMYFUNCTION("""COMPUTED_VALUE"""),110045)</f>
        <v>110045</v>
      </c>
      <c r="D1971" s="1" t="str">
        <f ca="1">IFERROR(__xludf.DUMMYFUNCTION("""COMPUTED_VALUE"""),"Male")</f>
        <v>Male</v>
      </c>
      <c r="E1971" s="1" t="str">
        <f ca="1">IFERROR(__xludf.DUMMYFUNCTION("""COMPUTED_VALUE"""),"Influencers who had successful careers")</f>
        <v>Influencers who had successful careers</v>
      </c>
      <c r="F1971" s="1" t="str">
        <f ca="1">IFERROR(__xludf.DUMMYFUNCTION("""COMPUTED_VALUE"""),"Yes, I will earn and do that")</f>
        <v>Yes, I will earn and do that</v>
      </c>
      <c r="G1971" s="1" t="str">
        <f ca="1">IFERROR(__xludf.DUMMYFUNCTION("""COMPUTED_VALUE"""),"Will work for 3 years or more")</f>
        <v>Will work for 3 years or more</v>
      </c>
      <c r="H1971" s="1" t="str">
        <f ca="1">IFERROR(__xludf.DUMMYFUNCTION("""COMPUTED_VALUE"""),"No")</f>
        <v>No</v>
      </c>
      <c r="I1971" s="1" t="str">
        <f ca="1">IFERROR(__xludf.DUMMYFUNCTION("""COMPUTED_VALUE"""),"Will NOT work for them")</f>
        <v>Will NOT work for them</v>
      </c>
      <c r="J1971" s="1">
        <f ca="1">IFERROR(__xludf.DUMMYFUNCTION("""COMPUTED_VALUE"""),8)</f>
        <v>8</v>
      </c>
      <c r="K1971" s="1" t="str">
        <f ca="1">IFERROR(__xludf.DUMMYFUNCTION("""COMPUTED_VALUE"""),"Hybrid Working Environment with more than 15 days a month at office")</f>
        <v>Hybrid Working Environment with more than 15 days a month at office</v>
      </c>
      <c r="L1971" s="1" t="str">
        <f ca="1">IFERROR(__xludf.DUMMYFUNCTION("""COMPUTED_VALUE"""),"Employer who rewards learning and enables that environment")</f>
        <v>Employer who rewards learning and enables that environment</v>
      </c>
      <c r="M197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71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1971" s="1" t="str">
        <f ca="1">IFERROR(__xludf.DUMMYFUNCTION("""COMPUTED_VALUE"""),"Manager who explains what is expected, sets a goal and helps achieve it")</f>
        <v>Manager who explains what is expected, sets a goal and helps achieve it</v>
      </c>
      <c r="P1971" s="1" t="str">
        <f ca="1">IFERROR(__xludf.DUMMYFUNCTION("""COMPUTED_VALUE"""),"Work with 5 to 6 people in my team")</f>
        <v>Work with 5 to 6 people in my team</v>
      </c>
      <c r="Q1971" s="1" t="str">
        <f ca="1">IFERROR(__xludf.DUMMYFUNCTION("""COMPUTED_VALUE"""),"Yes, I Understand this is gonna happen everywhere")</f>
        <v>Yes, I Understand this is gonna happen everywhere</v>
      </c>
      <c r="R1971" s="1" t="str">
        <f ca="1">IFERROR(__xludf.DUMMYFUNCTION("""COMPUTED_VALUE"""),"This will be hard to do, but if it is the right company I would try")</f>
        <v>This will be hard to do, but if it is the right company I would try</v>
      </c>
      <c r="S1971" s="1" t="str">
        <f ca="1">IFERROR(__xludf.DUMMYFUNCTION("""COMPUTED_VALUE"""),"sinhaanish018@gmail.com")</f>
        <v>sinhaanish018@gmail.com</v>
      </c>
    </row>
    <row r="1972" spans="1:19" ht="12.5" x14ac:dyDescent="0.25">
      <c r="A1972" s="2">
        <f ca="1">IFERROR(__xludf.DUMMYFUNCTION("""COMPUTED_VALUE"""),45062.9409073263)</f>
        <v>45062.940907326301</v>
      </c>
      <c r="B1972" s="1" t="str">
        <f ca="1">IFERROR(__xludf.DUMMYFUNCTION("""COMPUTED_VALUE"""),"India")</f>
        <v>India</v>
      </c>
      <c r="C1972" s="1">
        <f ca="1">IFERROR(__xludf.DUMMYFUNCTION("""COMPUTED_VALUE"""),624709)</f>
        <v>624709</v>
      </c>
      <c r="D1972" s="1" t="str">
        <f ca="1">IFERROR(__xludf.DUMMYFUNCTION("""COMPUTED_VALUE"""),"Female")</f>
        <v>Female</v>
      </c>
      <c r="E1972" s="1" t="str">
        <f ca="1">IFERROR(__xludf.DUMMYFUNCTION("""COMPUTED_VALUE"""),"People from my circle, but not family members")</f>
        <v>People from my circle, but not family members</v>
      </c>
      <c r="F1972" s="1" t="str">
        <f ca="1">IFERROR(__xludf.DUMMYFUNCTION("""COMPUTED_VALUE"""),"No I would not be pursuing Higher Education outside of India")</f>
        <v>No I would not be pursuing Higher Education outside of India</v>
      </c>
      <c r="G1972" s="1" t="str">
        <f ca="1">IFERROR(__xludf.DUMMYFUNCTION("""COMPUTED_VALUE"""),"Will work for 3 years or more")</f>
        <v>Will work for 3 years or more</v>
      </c>
      <c r="H1972" s="1" t="str">
        <f ca="1">IFERROR(__xludf.DUMMYFUNCTION("""COMPUTED_VALUE"""),"No")</f>
        <v>No</v>
      </c>
      <c r="I1972" s="1" t="str">
        <f ca="1">IFERROR(__xludf.DUMMYFUNCTION("""COMPUTED_VALUE"""),"Will NOT work for them")</f>
        <v>Will NOT work for them</v>
      </c>
      <c r="J1972" s="1">
        <f ca="1">IFERROR(__xludf.DUMMYFUNCTION("""COMPUTED_VALUE"""),7)</f>
        <v>7</v>
      </c>
      <c r="K1972" s="1" t="str">
        <f ca="1">IFERROR(__xludf.DUMMYFUNCTION("""COMPUTED_VALUE"""),"Fully Remote with Options to travel as and when needed")</f>
        <v>Fully Remote with Options to travel as and when needed</v>
      </c>
      <c r="L19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7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72" s="1" t="str">
        <f ca="1">IFERROR(__xludf.DUMMYFUNCTION("""COMPUTED_VALUE"""),"Teaching in any of the institutes/colleges/online or offline, Business Operations in any organization, Work as a freelancer and do my thing my way, Entrepreneur or Start Up")</f>
        <v>Teaching in any of the institutes/colleges/online or offline, Business Operations in any organization, Work as a freelancer and do my thing my way, Entrepreneur or Start Up</v>
      </c>
      <c r="O1972" s="1" t="str">
        <f ca="1">IFERROR(__xludf.DUMMYFUNCTION("""COMPUTED_VALUE"""),"Manager who explains what is expected, sets a goal and helps achieve it")</f>
        <v>Manager who explains what is expected, sets a goal and helps achieve it</v>
      </c>
      <c r="P1972" s="1" t="str">
        <f ca="1">IFERROR(__xludf.DUMMYFUNCTION("""COMPUTED_VALUE"""),"Work with 2 to 3 people in my team")</f>
        <v>Work with 2 to 3 people in my team</v>
      </c>
      <c r="Q1972" s="1" t="str">
        <f ca="1">IFERROR(__xludf.DUMMYFUNCTION("""COMPUTED_VALUE"""),"No")</f>
        <v>No</v>
      </c>
      <c r="R1972" s="1" t="str">
        <f ca="1">IFERROR(__xludf.DUMMYFUNCTION("""COMPUTED_VALUE"""),"This will be hard to do, but if it is the right company I would try")</f>
        <v>This will be hard to do, but if it is the right company I would try</v>
      </c>
      <c r="S1972" s="1" t="str">
        <f ca="1">IFERROR(__xludf.DUMMYFUNCTION("""COMPUTED_VALUE"""),"arunamurugesan989@gmail.com")</f>
        <v>arunamurugesan989@gmail.com</v>
      </c>
    </row>
    <row r="1973" spans="1:19" ht="12.5" x14ac:dyDescent="0.25">
      <c r="A1973" s="2">
        <f ca="1">IFERROR(__xludf.DUMMYFUNCTION("""COMPUTED_VALUE"""),45062.9410026388)</f>
        <v>45062.9410026388</v>
      </c>
      <c r="B1973" s="1" t="str">
        <f ca="1">IFERROR(__xludf.DUMMYFUNCTION("""COMPUTED_VALUE"""),"India")</f>
        <v>India</v>
      </c>
      <c r="C1973" s="1">
        <f ca="1">IFERROR(__xludf.DUMMYFUNCTION("""COMPUTED_VALUE"""),221002)</f>
        <v>221002</v>
      </c>
      <c r="D1973" s="1" t="str">
        <f ca="1">IFERROR(__xludf.DUMMYFUNCTION("""COMPUTED_VALUE"""),"Female")</f>
        <v>Female</v>
      </c>
      <c r="E1973" s="1" t="str">
        <f ca="1">IFERROR(__xludf.DUMMYFUNCTION("""COMPUTED_VALUE"""),"Social Media like LinkedIn")</f>
        <v>Social Media like LinkedIn</v>
      </c>
      <c r="F1973" s="1" t="str">
        <f ca="1">IFERROR(__xludf.DUMMYFUNCTION("""COMPUTED_VALUE"""),"Yes, I will earn and do that")</f>
        <v>Yes, I will earn and do that</v>
      </c>
      <c r="G1973" s="1" t="str">
        <f ca="1">IFERROR(__xludf.DUMMYFUNCTION("""COMPUTED_VALUE"""),"No way")</f>
        <v>No way</v>
      </c>
      <c r="H1973" s="1" t="str">
        <f ca="1">IFERROR(__xludf.DUMMYFUNCTION("""COMPUTED_VALUE"""),"Yes")</f>
        <v>Yes</v>
      </c>
      <c r="I1973" s="1" t="str">
        <f ca="1">IFERROR(__xludf.DUMMYFUNCTION("""COMPUTED_VALUE"""),"Will work for them")</f>
        <v>Will work for them</v>
      </c>
      <c r="J1973" s="1">
        <f ca="1">IFERROR(__xludf.DUMMYFUNCTION("""COMPUTED_VALUE"""),2)</f>
        <v>2</v>
      </c>
      <c r="K1973" s="1" t="str">
        <f ca="1">IFERROR(__xludf.DUMMYFUNCTION("""COMPUTED_VALUE"""),"Every Day Office Environment")</f>
        <v>Every Day Office Environment</v>
      </c>
      <c r="L1973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1973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1973" s="1" t="str">
        <f ca="1">IFERROR(__xludf.DUMMYFUNCTION("""COMPUTED_VALUE"""),"Design and Creative strategy in any company, Teaching in any of the institutes/colleges/online or offline, Business Operations in any organization, Design and Develop amazing software")</f>
        <v>Design and Creative strategy in any company, Teaching in any of the institutes/colleges/online or offline, Business Operations in any organization, Design and Develop amazing software</v>
      </c>
      <c r="O1973" s="1" t="str">
        <f ca="1">IFERROR(__xludf.DUMMYFUNCTION("""COMPUTED_VALUE"""),"Manager who sets targets and expects me to achieve it")</f>
        <v>Manager who sets targets and expects me to achieve it</v>
      </c>
      <c r="P1973" s="1" t="str">
        <f ca="1">IFERROR(__xludf.DUMMYFUNCTION("""COMPUTED_VALUE"""),"Work with 2 to 3 people in my team")</f>
        <v>Work with 2 to 3 people in my team</v>
      </c>
      <c r="Q1973" s="1" t="str">
        <f ca="1">IFERROR(__xludf.DUMMYFUNCTION("""COMPUTED_VALUE"""),"Yes, I Understand this is gonna happen everywhere")</f>
        <v>Yes, I Understand this is gonna happen everywhere</v>
      </c>
      <c r="R1973" s="1" t="str">
        <f ca="1">IFERROR(__xludf.DUMMYFUNCTION("""COMPUTED_VALUE"""),"Will work for 7 years or more")</f>
        <v>Will work for 7 years or more</v>
      </c>
      <c r="S1973" s="1" t="str">
        <f ca="1">IFERROR(__xludf.DUMMYFUNCTION("""COMPUTED_VALUE"""),"vaishnavisri492@gmail.com")</f>
        <v>vaishnavisri492@gmail.com</v>
      </c>
    </row>
    <row r="1974" spans="1:19" ht="12.5" x14ac:dyDescent="0.25">
      <c r="A1974" s="2">
        <f ca="1">IFERROR(__xludf.DUMMYFUNCTION("""COMPUTED_VALUE"""),45062.9433222222)</f>
        <v>45062.9433222222</v>
      </c>
      <c r="B1974" s="1" t="str">
        <f ca="1">IFERROR(__xludf.DUMMYFUNCTION("""COMPUTED_VALUE"""),"India")</f>
        <v>India</v>
      </c>
      <c r="C1974" s="1">
        <f ca="1">IFERROR(__xludf.DUMMYFUNCTION("""COMPUTED_VALUE"""),630702)</f>
        <v>630702</v>
      </c>
      <c r="D1974" s="1" t="str">
        <f ca="1">IFERROR(__xludf.DUMMYFUNCTION("""COMPUTED_VALUE"""),"Female")</f>
        <v>Female</v>
      </c>
      <c r="E1974" s="1" t="str">
        <f ca="1">IFERROR(__xludf.DUMMYFUNCTION("""COMPUTED_VALUE"""),"My Parents")</f>
        <v>My Parents</v>
      </c>
      <c r="F1974" s="1" t="str">
        <f ca="1">IFERROR(__xludf.DUMMYFUNCTION("""COMPUTED_VALUE"""),"No, But if someone could bare the cost I will")</f>
        <v>No, But if someone could bare the cost I will</v>
      </c>
      <c r="G1974" s="1" t="str">
        <f ca="1">IFERROR(__xludf.DUMMYFUNCTION("""COMPUTED_VALUE"""),"This will be hard to do, but if it is the right company I would try")</f>
        <v>This will be hard to do, but if it is the right company I would try</v>
      </c>
      <c r="H1974" s="1" t="str">
        <f ca="1">IFERROR(__xludf.DUMMYFUNCTION("""COMPUTED_VALUE"""),"No")</f>
        <v>No</v>
      </c>
      <c r="I1974" s="1" t="str">
        <f ca="1">IFERROR(__xludf.DUMMYFUNCTION("""COMPUTED_VALUE"""),"Will NOT work for them")</f>
        <v>Will NOT work for them</v>
      </c>
      <c r="J1974" s="1">
        <f ca="1">IFERROR(__xludf.DUMMYFUNCTION("""COMPUTED_VALUE"""),3)</f>
        <v>3</v>
      </c>
      <c r="K1974" s="1" t="str">
        <f ca="1">IFERROR(__xludf.DUMMYFUNCTION("""COMPUTED_VALUE"""),"Every Day Office Environment")</f>
        <v>Every Day Office Environment</v>
      </c>
      <c r="L1974" s="1" t="str">
        <f ca="1">IFERROR(__xludf.DUMMYFUNCTION("""COMPUTED_VALUE"""),"Employer who rewards learning and enables that environment")</f>
        <v>Employer who rewards learning and enables that environment</v>
      </c>
      <c r="M197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974" s="1" t="str">
        <f ca="1">IFERROR(__xludf.DUMMYFUNCTION("""COMPUTED_VALUE"""),"Design and Creative strategy in any company, Build and develop a Team, Design and Develop amazing software, Work in a BPO setup for some well known client")</f>
        <v>Design and Creative strategy in any company, Build and develop a Team, Design and Develop amazing software, Work in a BPO setup for some well known client</v>
      </c>
      <c r="O1974" s="1" t="str">
        <f ca="1">IFERROR(__xludf.DUMMYFUNCTION("""COMPUTED_VALUE"""),"Manager who clearly describes what she/he needs")</f>
        <v>Manager who clearly describes what she/he needs</v>
      </c>
      <c r="P1974" s="1" t="str">
        <f ca="1">IFERROR(__xludf.DUMMYFUNCTION("""COMPUTED_VALUE"""),"Work with 5 to 6 people in my team")</f>
        <v>Work with 5 to 6 people in my team</v>
      </c>
      <c r="Q1974" s="1" t="str">
        <f ca="1">IFERROR(__xludf.DUMMYFUNCTION("""COMPUTED_VALUE"""),"Yes")</f>
        <v>Yes</v>
      </c>
      <c r="R1974" s="1" t="str">
        <f ca="1">IFERROR(__xludf.DUMMYFUNCTION("""COMPUTED_VALUE"""),"Will work for 7 years or more")</f>
        <v>Will work for 7 years or more</v>
      </c>
      <c r="S1974" s="1" t="str">
        <f ca="1">IFERROR(__xludf.DUMMYFUNCTION("""COMPUTED_VALUE"""),"joycyjoycy0605@gmail.com")</f>
        <v>joycyjoycy0605@gmail.com</v>
      </c>
    </row>
    <row r="1975" spans="1:19" ht="12.5" x14ac:dyDescent="0.25">
      <c r="A1975" s="2">
        <f ca="1">IFERROR(__xludf.DUMMYFUNCTION("""COMPUTED_VALUE"""),45062.9435880555)</f>
        <v>45062.943588055503</v>
      </c>
      <c r="B1975" s="1" t="str">
        <f ca="1">IFERROR(__xludf.DUMMYFUNCTION("""COMPUTED_VALUE"""),"India")</f>
        <v>India</v>
      </c>
      <c r="C1975" s="1">
        <f ca="1">IFERROR(__xludf.DUMMYFUNCTION("""COMPUTED_VALUE"""),424201)</f>
        <v>424201</v>
      </c>
      <c r="D1975" s="1" t="str">
        <f ca="1">IFERROR(__xludf.DUMMYFUNCTION("""COMPUTED_VALUE"""),"Female")</f>
        <v>Female</v>
      </c>
      <c r="E1975" s="1" t="str">
        <f ca="1">IFERROR(__xludf.DUMMYFUNCTION("""COMPUTED_VALUE"""),"My Parents")</f>
        <v>My Parents</v>
      </c>
      <c r="F1975" s="1" t="str">
        <f ca="1">IFERROR(__xludf.DUMMYFUNCTION("""COMPUTED_VALUE"""),"Yes, I will earn and do that")</f>
        <v>Yes, I will earn and do that</v>
      </c>
      <c r="G1975" s="1" t="str">
        <f ca="1">IFERROR(__xludf.DUMMYFUNCTION("""COMPUTED_VALUE"""),"No way")</f>
        <v>No way</v>
      </c>
      <c r="H1975" s="1" t="str">
        <f ca="1">IFERROR(__xludf.DUMMYFUNCTION("""COMPUTED_VALUE"""),"Yes")</f>
        <v>Yes</v>
      </c>
      <c r="I1975" s="1" t="str">
        <f ca="1">IFERROR(__xludf.DUMMYFUNCTION("""COMPUTED_VALUE"""),"Will NOT work for them")</f>
        <v>Will NOT work for them</v>
      </c>
      <c r="J1975" s="1">
        <f ca="1">IFERROR(__xludf.DUMMYFUNCTION("""COMPUTED_VALUE"""),2)</f>
        <v>2</v>
      </c>
      <c r="K1975" s="1" t="str">
        <f ca="1">IFERROR(__xludf.DUMMYFUNCTION("""COMPUTED_VALUE"""),"Every Day Office Environment")</f>
        <v>Every Day Office Environment</v>
      </c>
      <c r="L1975" s="1" t="str">
        <f ca="1">IFERROR(__xludf.DUMMYFUNCTION("""COMPUTED_VALUE"""),"Employer who rewards learning and enables that environment")</f>
        <v>Employer who rewards learning and enables that environment</v>
      </c>
      <c r="M197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75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975" s="1" t="str">
        <f ca="1">IFERROR(__xludf.DUMMYFUNCTION("""COMPUTED_VALUE"""),"Manager who sets targets and expects me to achieve it")</f>
        <v>Manager who sets targets and expects me to achieve it</v>
      </c>
      <c r="P1975" s="1" t="str">
        <f ca="1">IFERROR(__xludf.DUMMYFUNCTION("""COMPUTED_VALUE"""),"Work with 2 to 3 people in my team")</f>
        <v>Work with 2 to 3 people in my team</v>
      </c>
      <c r="Q1975" s="1" t="str">
        <f ca="1">IFERROR(__xludf.DUMMYFUNCTION("""COMPUTED_VALUE"""),"Yes")</f>
        <v>Yes</v>
      </c>
      <c r="R1975" s="1" t="str">
        <f ca="1">IFERROR(__xludf.DUMMYFUNCTION("""COMPUTED_VALUE"""),"Will work for 7 years or more")</f>
        <v>Will work for 7 years or more</v>
      </c>
      <c r="S1975" s="1" t="str">
        <f ca="1">IFERROR(__xludf.DUMMYFUNCTION("""COMPUTED_VALUE"""),"harshadapatel2412@gmail.com")</f>
        <v>harshadapatel2412@gmail.com</v>
      </c>
    </row>
    <row r="1976" spans="1:19" ht="12.5" x14ac:dyDescent="0.25">
      <c r="A1976" s="2">
        <f ca="1">IFERROR(__xludf.DUMMYFUNCTION("""COMPUTED_VALUE"""),45062.9449622453)</f>
        <v>45062.944962245303</v>
      </c>
      <c r="B1976" s="1" t="str">
        <f ca="1">IFERROR(__xludf.DUMMYFUNCTION("""COMPUTED_VALUE"""),"India")</f>
        <v>India</v>
      </c>
      <c r="C1976" s="1">
        <f ca="1">IFERROR(__xludf.DUMMYFUNCTION("""COMPUTED_VALUE"""),533429)</f>
        <v>533429</v>
      </c>
      <c r="D1976" s="1" t="str">
        <f ca="1">IFERROR(__xludf.DUMMYFUNCTION("""COMPUTED_VALUE"""),"Male")</f>
        <v>Male</v>
      </c>
      <c r="E1976" s="1" t="str">
        <f ca="1">IFERROR(__xludf.DUMMYFUNCTION("""COMPUTED_VALUE"""),"Influencers who had successful careers")</f>
        <v>Influencers who had successful careers</v>
      </c>
      <c r="F1976" s="1" t="str">
        <f ca="1">IFERROR(__xludf.DUMMYFUNCTION("""COMPUTED_VALUE"""),"No, But if someone could bare the cost I will")</f>
        <v>No, But if someone could bare the cost I will</v>
      </c>
      <c r="G1976" s="1" t="str">
        <f ca="1">IFERROR(__xludf.DUMMYFUNCTION("""COMPUTED_VALUE"""),"This will be hard to do, but if it is the right company I would try")</f>
        <v>This will be hard to do, but if it is the right company I would try</v>
      </c>
      <c r="H1976" s="1" t="str">
        <f ca="1">IFERROR(__xludf.DUMMYFUNCTION("""COMPUTED_VALUE"""),"No")</f>
        <v>No</v>
      </c>
      <c r="I1976" s="1" t="str">
        <f ca="1">IFERROR(__xludf.DUMMYFUNCTION("""COMPUTED_VALUE"""),"Will NOT work for them")</f>
        <v>Will NOT work for them</v>
      </c>
      <c r="J1976" s="1">
        <f ca="1">IFERROR(__xludf.DUMMYFUNCTION("""COMPUTED_VALUE"""),3)</f>
        <v>3</v>
      </c>
      <c r="K1976" s="1" t="str">
        <f ca="1">IFERROR(__xludf.DUMMYFUNCTION("""COMPUTED_VALUE"""),"Hybrid Working Environment with more than 15 days a month at office")</f>
        <v>Hybrid Working Environment with more than 15 days a month at office</v>
      </c>
      <c r="L19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7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976" s="1" t="str">
        <f ca="1">IFERROR(__xludf.DUMMYFUNCTION("""COMPUTED_VALUE"""),"Teaching in any of the institutes/colleges/online or offline, Become a content Creator in some platform, I Want to sell things/Sales, An Artificial Intelligence Specialist / Talking to Robots")</f>
        <v>Teaching in any of the institutes/colleges/online or offline, Become a content Creator in some platform, I Want to sell things/Sales, An Artificial Intelligence Specialist / Talking to Robots</v>
      </c>
      <c r="O1976" s="1" t="str">
        <f ca="1">IFERROR(__xludf.DUMMYFUNCTION("""COMPUTED_VALUE"""),"Manager who explains what is expected, sets a goal and helps achieve it")</f>
        <v>Manager who explains what is expected, sets a goal and helps achieve it</v>
      </c>
      <c r="P1976" s="1" t="str">
        <f ca="1">IFERROR(__xludf.DUMMYFUNCTION("""COMPUTED_VALUE"""),"Work with 5 to 6 people in my team")</f>
        <v>Work with 5 to 6 people in my team</v>
      </c>
      <c r="Q1976" s="1" t="str">
        <f ca="1">IFERROR(__xludf.DUMMYFUNCTION("""COMPUTED_VALUE"""),"No")</f>
        <v>No</v>
      </c>
      <c r="R1976" s="1" t="str">
        <f ca="1">IFERROR(__xludf.DUMMYFUNCTION("""COMPUTED_VALUE"""),"This will be hard to do, but if it is the right company I would try")</f>
        <v>This will be hard to do, but if it is the right company I would try</v>
      </c>
      <c r="S1976" s="1" t="str">
        <f ca="1">IFERROR(__xludf.DUMMYFUNCTION("""COMPUTED_VALUE"""),"bondrunarendra20@gmail.com")</f>
        <v>bondrunarendra20@gmail.com</v>
      </c>
    </row>
    <row r="1977" spans="1:19" ht="12.5" x14ac:dyDescent="0.25">
      <c r="A1977" s="2">
        <f ca="1">IFERROR(__xludf.DUMMYFUNCTION("""COMPUTED_VALUE"""),45062.9459417476)</f>
        <v>45062.945941747603</v>
      </c>
      <c r="B1977" s="1" t="str">
        <f ca="1">IFERROR(__xludf.DUMMYFUNCTION("""COMPUTED_VALUE"""),"India")</f>
        <v>India</v>
      </c>
      <c r="C1977" s="1">
        <f ca="1">IFERROR(__xludf.DUMMYFUNCTION("""COMPUTED_VALUE"""),624003)</f>
        <v>624003</v>
      </c>
      <c r="D1977" s="1" t="str">
        <f ca="1">IFERROR(__xludf.DUMMYFUNCTION("""COMPUTED_VALUE"""),"Male")</f>
        <v>Male</v>
      </c>
      <c r="E1977" s="1" t="str">
        <f ca="1">IFERROR(__xludf.DUMMYFUNCTION("""COMPUTED_VALUE"""),"My Parents")</f>
        <v>My Parents</v>
      </c>
      <c r="F1977" s="1" t="str">
        <f ca="1">IFERROR(__xludf.DUMMYFUNCTION("""COMPUTED_VALUE"""),"Yes, I will earn and do that")</f>
        <v>Yes, I will earn and do that</v>
      </c>
      <c r="G1977" s="1" t="str">
        <f ca="1">IFERROR(__xludf.DUMMYFUNCTION("""COMPUTED_VALUE"""),"This will be hard to do, but if it is the right company I would try")</f>
        <v>This will be hard to do, but if it is the right company I would try</v>
      </c>
      <c r="H1977" s="1" t="str">
        <f ca="1">IFERROR(__xludf.DUMMYFUNCTION("""COMPUTED_VALUE"""),"Yes")</f>
        <v>Yes</v>
      </c>
      <c r="I1977" s="1" t="str">
        <f ca="1">IFERROR(__xludf.DUMMYFUNCTION("""COMPUTED_VALUE"""),"Will work for them")</f>
        <v>Will work for them</v>
      </c>
      <c r="J1977" s="1">
        <f ca="1">IFERROR(__xludf.DUMMYFUNCTION("""COMPUTED_VALUE"""),3)</f>
        <v>3</v>
      </c>
      <c r="K1977" s="1" t="str">
        <f ca="1">IFERROR(__xludf.DUMMYFUNCTION("""COMPUTED_VALUE"""),"Hybrid Working Environment with more than 15 days a month at office")</f>
        <v>Hybrid Working Environment with more than 15 days a month at office</v>
      </c>
      <c r="L19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7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977" s="1" t="str">
        <f ca="1">IFERROR(__xludf.DUMMYFUNCTION("""COMPUTED_VALUE"""),"Design and Creative strategy in any company, Manage and drive End-to-End Projects or Products, Design and Develop amazing software, Entrepreneur or Start Up")</f>
        <v>Design and Creative strategy in any company, Manage and drive End-to-End Projects or Products, Design and Develop amazing software, Entrepreneur or Start Up</v>
      </c>
      <c r="O1977" s="1" t="str">
        <f ca="1">IFERROR(__xludf.DUMMYFUNCTION("""COMPUTED_VALUE"""),"Manager who clearly describes what she/he needs")</f>
        <v>Manager who clearly describes what she/he needs</v>
      </c>
      <c r="P1977" s="1" t="str">
        <f ca="1">IFERROR(__xludf.DUMMYFUNCTION("""COMPUTED_VALUE"""),"Work with 5 to 6 people in my team")</f>
        <v>Work with 5 to 6 people in my team</v>
      </c>
      <c r="Q1977" s="1" t="str">
        <f ca="1">IFERROR(__xludf.DUMMYFUNCTION("""COMPUTED_VALUE"""),"Yes, I Understand this is gonna happen everywhere")</f>
        <v>Yes, I Understand this is gonna happen everywhere</v>
      </c>
      <c r="R1977" s="1" t="str">
        <f ca="1">IFERROR(__xludf.DUMMYFUNCTION("""COMPUTED_VALUE"""),"No way")</f>
        <v>No way</v>
      </c>
      <c r="S1977" s="1" t="str">
        <f ca="1">IFERROR(__xludf.DUMMYFUNCTION("""COMPUTED_VALUE"""),"haydengonzelo@gmail.com")</f>
        <v>haydengonzelo@gmail.com</v>
      </c>
    </row>
    <row r="1978" spans="1:19" ht="12.5" x14ac:dyDescent="0.25">
      <c r="A1978" s="2">
        <f ca="1">IFERROR(__xludf.DUMMYFUNCTION("""COMPUTED_VALUE"""),45062.9471089814)</f>
        <v>45062.947108981403</v>
      </c>
      <c r="B1978" s="1" t="str">
        <f ca="1">IFERROR(__xludf.DUMMYFUNCTION("""COMPUTED_VALUE"""),"India")</f>
        <v>India</v>
      </c>
      <c r="C1978" s="1">
        <f ca="1">IFERROR(__xludf.DUMMYFUNCTION("""COMPUTED_VALUE"""),431602)</f>
        <v>431602</v>
      </c>
      <c r="D1978" s="1" t="str">
        <f ca="1">IFERROR(__xludf.DUMMYFUNCTION("""COMPUTED_VALUE"""),"Male")</f>
        <v>Male</v>
      </c>
      <c r="E1978" s="1" t="str">
        <f ca="1">IFERROR(__xludf.DUMMYFUNCTION("""COMPUTED_VALUE"""),"My Parents")</f>
        <v>My Parents</v>
      </c>
      <c r="F1978" s="1" t="str">
        <f ca="1">IFERROR(__xludf.DUMMYFUNCTION("""COMPUTED_VALUE"""),"No I would not be pursuing Higher Education outside of India")</f>
        <v>No I would not be pursuing Higher Education outside of India</v>
      </c>
      <c r="G1978" s="1" t="str">
        <f ca="1">IFERROR(__xludf.DUMMYFUNCTION("""COMPUTED_VALUE"""),"This will be hard to do, but if it is the right company I would try")</f>
        <v>This will be hard to do, but if it is the right company I would try</v>
      </c>
      <c r="H1978" s="1" t="str">
        <f ca="1">IFERROR(__xludf.DUMMYFUNCTION("""COMPUTED_VALUE"""),"No")</f>
        <v>No</v>
      </c>
      <c r="I1978" s="1" t="str">
        <f ca="1">IFERROR(__xludf.DUMMYFUNCTION("""COMPUTED_VALUE"""),"Will NOT work for them")</f>
        <v>Will NOT work for them</v>
      </c>
      <c r="J1978" s="1">
        <f ca="1">IFERROR(__xludf.DUMMYFUNCTION("""COMPUTED_VALUE"""),6)</f>
        <v>6</v>
      </c>
      <c r="K1978" s="1" t="str">
        <f ca="1">IFERROR(__xludf.DUMMYFUNCTION("""COMPUTED_VALUE"""),"Hybrid Working Environment with more than 15 days a month at office")</f>
        <v>Hybrid Working Environment with more than 15 days a month at office</v>
      </c>
      <c r="L1978" s="1" t="str">
        <f ca="1">IFERROR(__xludf.DUMMYFUNCTION("""COMPUTED_VALUE"""),"Employer who rewards learning and enables that environment")</f>
        <v>Employer who rewards learning and enables that environment</v>
      </c>
      <c r="M1978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1978" s="1" t="str">
        <f ca="1">IFERROR(__xludf.DUMMYFUNCTION("""COMPUTED_VALUE"""),"Design and Creative strategy in any company, Manage and drive End-to-End Projects or Products, Work as a freelancer and do my thing my way, Entrepreneur or Start Up")</f>
        <v>Design and Creative strategy in any company, Manage and drive End-to-End Projects or Products, Work as a freelancer and do my thing my way, Entrepreneur or Start Up</v>
      </c>
      <c r="O1978" s="1" t="str">
        <f ca="1">IFERROR(__xludf.DUMMYFUNCTION("""COMPUTED_VALUE"""),"Manager who clearly describes what she/he needs")</f>
        <v>Manager who clearly describes what she/he needs</v>
      </c>
      <c r="P1978" s="1" t="str">
        <f ca="1">IFERROR(__xludf.DUMMYFUNCTION("""COMPUTED_VALUE"""),"Work with 2 to 3 people in my team")</f>
        <v>Work with 2 to 3 people in my team</v>
      </c>
      <c r="Q1978" s="1" t="str">
        <f ca="1">IFERROR(__xludf.DUMMYFUNCTION("""COMPUTED_VALUE"""),"Yes, I Understand this is gonna happen everywhere")</f>
        <v>Yes, I Understand this is gonna happen everywhere</v>
      </c>
      <c r="R1978" s="1" t="str">
        <f ca="1">IFERROR(__xludf.DUMMYFUNCTION("""COMPUTED_VALUE"""),"No way")</f>
        <v>No way</v>
      </c>
      <c r="S1978" s="1" t="str">
        <f ca="1">IFERROR(__xludf.DUMMYFUNCTION("""COMPUTED_VALUE"""),"vishalu519@gmail.com")</f>
        <v>vishalu519@gmail.com</v>
      </c>
    </row>
    <row r="1979" spans="1:19" ht="12.5" x14ac:dyDescent="0.25">
      <c r="A1979" s="2">
        <f ca="1">IFERROR(__xludf.DUMMYFUNCTION("""COMPUTED_VALUE"""),45062.9478425)</f>
        <v>45062.947842499998</v>
      </c>
      <c r="B1979" s="1" t="str">
        <f ca="1">IFERROR(__xludf.DUMMYFUNCTION("""COMPUTED_VALUE"""),"India")</f>
        <v>India</v>
      </c>
      <c r="C1979" s="1">
        <f ca="1">IFERROR(__xludf.DUMMYFUNCTION("""COMPUTED_VALUE"""),800013)</f>
        <v>800013</v>
      </c>
      <c r="D1979" s="1" t="str">
        <f ca="1">IFERROR(__xludf.DUMMYFUNCTION("""COMPUTED_VALUE"""),"Female")</f>
        <v>Female</v>
      </c>
      <c r="E1979" s="1" t="str">
        <f ca="1">IFERROR(__xludf.DUMMYFUNCTION("""COMPUTED_VALUE"""),"People who have changed the world for better")</f>
        <v>People who have changed the world for better</v>
      </c>
      <c r="F1979" s="1" t="str">
        <f ca="1">IFERROR(__xludf.DUMMYFUNCTION("""COMPUTED_VALUE"""),"No, But if someone could bare the cost I will")</f>
        <v>No, But if someone could bare the cost I will</v>
      </c>
      <c r="G1979" s="1" t="str">
        <f ca="1">IFERROR(__xludf.DUMMYFUNCTION("""COMPUTED_VALUE"""),"This will be hard to do, but if it is the right company I would try")</f>
        <v>This will be hard to do, but if it is the right company I would try</v>
      </c>
      <c r="H1979" s="1" t="str">
        <f ca="1">IFERROR(__xludf.DUMMYFUNCTION("""COMPUTED_VALUE"""),"No")</f>
        <v>No</v>
      </c>
      <c r="I1979" s="1" t="str">
        <f ca="1">IFERROR(__xludf.DUMMYFUNCTION("""COMPUTED_VALUE"""),"Will NOT work for them")</f>
        <v>Will NOT work for them</v>
      </c>
      <c r="J1979" s="1">
        <f ca="1">IFERROR(__xludf.DUMMYFUNCTION("""COMPUTED_VALUE"""),6)</f>
        <v>6</v>
      </c>
      <c r="K1979" s="1" t="str">
        <f ca="1">IFERROR(__xludf.DUMMYFUNCTION("""COMPUTED_VALUE"""),"Hybrid Working Environment with less than 3 days a month at office")</f>
        <v>Hybrid Working Environment with less than 3 days a month at office</v>
      </c>
      <c r="L19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79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979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1979" s="1" t="str">
        <f ca="1">IFERROR(__xludf.DUMMYFUNCTION("""COMPUTED_VALUE"""),"Manager who explains what is expected, sets a goal and helps achieve it")</f>
        <v>Manager who explains what is expected, sets a goal and helps achieve it</v>
      </c>
      <c r="P1979" s="1" t="str">
        <f ca="1">IFERROR(__xludf.DUMMYFUNCTION("""COMPUTED_VALUE"""),"Work with 2 to 3 people in my team")</f>
        <v>Work with 2 to 3 people in my team</v>
      </c>
      <c r="Q1979" s="1" t="str">
        <f ca="1">IFERROR(__xludf.DUMMYFUNCTION("""COMPUTED_VALUE"""),"Yes, I Understand this is gonna happen everywhere")</f>
        <v>Yes, I Understand this is gonna happen everywhere</v>
      </c>
      <c r="R1979" s="1" t="str">
        <f ca="1">IFERROR(__xludf.DUMMYFUNCTION("""COMPUTED_VALUE"""),"No way")</f>
        <v>No way</v>
      </c>
      <c r="S1979" s="1" t="str">
        <f ca="1">IFERROR(__xludf.DUMMYFUNCTION("""COMPUTED_VALUE"""),"srishtishreya77@gmail.com")</f>
        <v>srishtishreya77@gmail.com</v>
      </c>
    </row>
    <row r="1980" spans="1:19" ht="12.5" x14ac:dyDescent="0.25">
      <c r="A1980" s="2">
        <f ca="1">IFERROR(__xludf.DUMMYFUNCTION("""COMPUTED_VALUE"""),45062.9480591898)</f>
        <v>45062.948059189803</v>
      </c>
      <c r="B1980" s="1" t="str">
        <f ca="1">IFERROR(__xludf.DUMMYFUNCTION("""COMPUTED_VALUE"""),"India")</f>
        <v>India</v>
      </c>
      <c r="C1980" s="1">
        <f ca="1">IFERROR(__xludf.DUMMYFUNCTION("""COMPUTED_VALUE"""),110009)</f>
        <v>110009</v>
      </c>
      <c r="D1980" s="1" t="str">
        <f ca="1">IFERROR(__xludf.DUMMYFUNCTION("""COMPUTED_VALUE"""),"Female")</f>
        <v>Female</v>
      </c>
      <c r="E1980" s="1" t="str">
        <f ca="1">IFERROR(__xludf.DUMMYFUNCTION("""COMPUTED_VALUE"""),"My Parents")</f>
        <v>My Parents</v>
      </c>
      <c r="F1980" s="1" t="str">
        <f ca="1">IFERROR(__xludf.DUMMYFUNCTION("""COMPUTED_VALUE"""),"Yes, I will earn and do that")</f>
        <v>Yes, I will earn and do that</v>
      </c>
      <c r="G1980" s="1" t="str">
        <f ca="1">IFERROR(__xludf.DUMMYFUNCTION("""COMPUTED_VALUE"""),"This will be hard to do, but if it is the right company I would try")</f>
        <v>This will be hard to do, but if it is the right company I would try</v>
      </c>
      <c r="H1980" s="1" t="str">
        <f ca="1">IFERROR(__xludf.DUMMYFUNCTION("""COMPUTED_VALUE"""),"Yes")</f>
        <v>Yes</v>
      </c>
      <c r="I1980" s="1" t="str">
        <f ca="1">IFERROR(__xludf.DUMMYFUNCTION("""COMPUTED_VALUE"""),"Will NOT work for them")</f>
        <v>Will NOT work for them</v>
      </c>
      <c r="J1980" s="1">
        <f ca="1">IFERROR(__xludf.DUMMYFUNCTION("""COMPUTED_VALUE"""),3)</f>
        <v>3</v>
      </c>
      <c r="K1980" s="1" t="str">
        <f ca="1">IFERROR(__xludf.DUMMYFUNCTION("""COMPUTED_VALUE"""),"Hybrid Working Environment with more than 15 days a month at office")</f>
        <v>Hybrid Working Environment with more than 15 days a month at office</v>
      </c>
      <c r="L1980" s="1" t="str">
        <f ca="1">IFERROR(__xludf.DUMMYFUNCTION("""COMPUTED_VALUE"""),"Employer who rewards learning and enables that environment")</f>
        <v>Employer who rewards learning and enables that environment</v>
      </c>
      <c r="M198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980" s="1" t="str">
        <f ca="1">IFERROR(__xludf.DUMMYFUNCTION("""COMPUTED_VALUE"""),"Design and Creative strategy in any company, Build and develop a Team, Work as a freelancer and do my thing my way, Become a content Creator in some platform")</f>
        <v>Design and Creative strategy in any company, Build and develop a Team, Work as a freelancer and do my thing my way, Become a content Creator in some platform</v>
      </c>
      <c r="O1980" s="1" t="str">
        <f ca="1">IFERROR(__xludf.DUMMYFUNCTION("""COMPUTED_VALUE"""),"Manager who sets goal and helps me achieve it")</f>
        <v>Manager who sets goal and helps me achieve it</v>
      </c>
      <c r="P1980" s="1" t="str">
        <f ca="1">IFERROR(__xludf.DUMMYFUNCTION("""COMPUTED_VALUE"""),"Work with 2 to 3 people in my team, Work with 5 to 6 people in my team")</f>
        <v>Work with 2 to 3 people in my team, Work with 5 to 6 people in my team</v>
      </c>
      <c r="Q1980" s="1" t="str">
        <f ca="1">IFERROR(__xludf.DUMMYFUNCTION("""COMPUTED_VALUE"""),"No")</f>
        <v>No</v>
      </c>
      <c r="R1980" s="1" t="str">
        <f ca="1">IFERROR(__xludf.DUMMYFUNCTION("""COMPUTED_VALUE"""),"This will be hard to do, but if it is the right company I would try")</f>
        <v>This will be hard to do, but if it is the right company I would try</v>
      </c>
      <c r="S1980" s="1" t="str">
        <f ca="1">IFERROR(__xludf.DUMMYFUNCTION("""COMPUTED_VALUE"""),"sitarasigi1@gmail.com")</f>
        <v>sitarasigi1@gmail.com</v>
      </c>
    </row>
    <row r="1981" spans="1:19" ht="12.5" x14ac:dyDescent="0.25">
      <c r="A1981" s="2">
        <f ca="1">IFERROR(__xludf.DUMMYFUNCTION("""COMPUTED_VALUE"""),45062.9491908333)</f>
        <v>45062.9491908333</v>
      </c>
      <c r="B1981" s="1" t="str">
        <f ca="1">IFERROR(__xludf.DUMMYFUNCTION("""COMPUTED_VALUE"""),"India")</f>
        <v>India</v>
      </c>
      <c r="C1981" s="1">
        <f ca="1">IFERROR(__xludf.DUMMYFUNCTION("""COMPUTED_VALUE"""),533428)</f>
        <v>533428</v>
      </c>
      <c r="D1981" s="1" t="str">
        <f ca="1">IFERROR(__xludf.DUMMYFUNCTION("""COMPUTED_VALUE"""),"Female")</f>
        <v>Female</v>
      </c>
      <c r="E1981" s="1" t="str">
        <f ca="1">IFERROR(__xludf.DUMMYFUNCTION("""COMPUTED_VALUE"""),"People from my circle, but not family members")</f>
        <v>People from my circle, but not family members</v>
      </c>
      <c r="F1981" s="1" t="str">
        <f ca="1">IFERROR(__xludf.DUMMYFUNCTION("""COMPUTED_VALUE"""),"No I would not be pursuing Higher Education outside of India")</f>
        <v>No I would not be pursuing Higher Education outside of India</v>
      </c>
      <c r="G1981" s="1" t="str">
        <f ca="1">IFERROR(__xludf.DUMMYFUNCTION("""COMPUTED_VALUE"""),"No way")</f>
        <v>No way</v>
      </c>
      <c r="H1981" s="1" t="str">
        <f ca="1">IFERROR(__xludf.DUMMYFUNCTION("""COMPUTED_VALUE"""),"No")</f>
        <v>No</v>
      </c>
      <c r="I1981" s="1" t="str">
        <f ca="1">IFERROR(__xludf.DUMMYFUNCTION("""COMPUTED_VALUE"""),"Will work for them")</f>
        <v>Will work for them</v>
      </c>
      <c r="J1981" s="1">
        <f ca="1">IFERROR(__xludf.DUMMYFUNCTION("""COMPUTED_VALUE"""),1)</f>
        <v>1</v>
      </c>
      <c r="K1981" s="1" t="str">
        <f ca="1">IFERROR(__xludf.DUMMYFUNCTION("""COMPUTED_VALUE"""),"Every Day Office Environment")</f>
        <v>Every Day Office Environment</v>
      </c>
      <c r="L1981" s="1" t="str">
        <f ca="1">IFERROR(__xludf.DUMMYFUNCTION("""COMPUTED_VALUE"""),"Employer who appreciates learning and enables that environment")</f>
        <v>Employer who appreciates learning and enables that environment</v>
      </c>
      <c r="M1981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1981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1981" s="1" t="str">
        <f ca="1">IFERROR(__xludf.DUMMYFUNCTION("""COMPUTED_VALUE"""),"Manager who clearly describes what she/he needs")</f>
        <v>Manager who clearly describes what she/he needs</v>
      </c>
      <c r="P1981" s="1" t="str">
        <f ca="1">IFERROR(__xludf.DUMMYFUNCTION("""COMPUTED_VALUE"""),"Work alone")</f>
        <v>Work alone</v>
      </c>
      <c r="Q1981" s="1" t="str">
        <f ca="1">IFERROR(__xludf.DUMMYFUNCTION("""COMPUTED_VALUE"""),"Yes, I Understand this is gonna happen everywhere")</f>
        <v>Yes, I Understand this is gonna happen everywhere</v>
      </c>
      <c r="R1981" s="1" t="str">
        <f ca="1">IFERROR(__xludf.DUMMYFUNCTION("""COMPUTED_VALUE"""),"No way")</f>
        <v>No way</v>
      </c>
      <c r="S1981" s="1" t="str">
        <f ca="1">IFERROR(__xludf.DUMMYFUNCTION("""COMPUTED_VALUE"""),"sruthiseva0710@gmail.com")</f>
        <v>sruthiseva0710@gmail.com</v>
      </c>
    </row>
    <row r="1982" spans="1:19" ht="12.5" x14ac:dyDescent="0.25">
      <c r="A1982" s="2">
        <f ca="1">IFERROR(__xludf.DUMMYFUNCTION("""COMPUTED_VALUE"""),45062.9502028009)</f>
        <v>45062.950202800901</v>
      </c>
      <c r="B1982" s="1" t="str">
        <f ca="1">IFERROR(__xludf.DUMMYFUNCTION("""COMPUTED_VALUE"""),"India")</f>
        <v>India</v>
      </c>
      <c r="C1982" s="1">
        <f ca="1">IFERROR(__xludf.DUMMYFUNCTION("""COMPUTED_VALUE"""),132105)</f>
        <v>132105</v>
      </c>
      <c r="D1982" s="1" t="str">
        <f ca="1">IFERROR(__xludf.DUMMYFUNCTION("""COMPUTED_VALUE"""),"Male")</f>
        <v>Male</v>
      </c>
      <c r="E1982" s="1" t="str">
        <f ca="1">IFERROR(__xludf.DUMMYFUNCTION("""COMPUTED_VALUE"""),"My Parents")</f>
        <v>My Parents</v>
      </c>
      <c r="F1982" s="1" t="str">
        <f ca="1">IFERROR(__xludf.DUMMYFUNCTION("""COMPUTED_VALUE"""),"Yes, I will earn and do that")</f>
        <v>Yes, I will earn and do that</v>
      </c>
      <c r="G1982" s="1" t="str">
        <f ca="1">IFERROR(__xludf.DUMMYFUNCTION("""COMPUTED_VALUE"""),"Will work for 3 years or more")</f>
        <v>Will work for 3 years or more</v>
      </c>
      <c r="H1982" s="1" t="str">
        <f ca="1">IFERROR(__xludf.DUMMYFUNCTION("""COMPUTED_VALUE"""),"Yes")</f>
        <v>Yes</v>
      </c>
      <c r="I1982" s="1" t="str">
        <f ca="1">IFERROR(__xludf.DUMMYFUNCTION("""COMPUTED_VALUE"""),"Will work for them")</f>
        <v>Will work for them</v>
      </c>
      <c r="J1982" s="1">
        <f ca="1">IFERROR(__xludf.DUMMYFUNCTION("""COMPUTED_VALUE"""),1)</f>
        <v>1</v>
      </c>
      <c r="K1982" s="1" t="str">
        <f ca="1">IFERROR(__xludf.DUMMYFUNCTION("""COMPUTED_VALUE"""),"Every Day Office Environment")</f>
        <v>Every Day Office Environment</v>
      </c>
      <c r="L1982" s="1" t="str">
        <f ca="1">IFERROR(__xludf.DUMMYFUNCTION("""COMPUTED_VALUE"""),"Employer who appreciates learning and enables that environment")</f>
        <v>Employer who appreciates learning and enables that environment</v>
      </c>
      <c r="M198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82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1982" s="1" t="str">
        <f ca="1">IFERROR(__xludf.DUMMYFUNCTION("""COMPUTED_VALUE"""),"Manager who clearly describes what she/he needs")</f>
        <v>Manager who clearly describes what she/he needs</v>
      </c>
      <c r="P1982" s="1" t="str">
        <f ca="1">IFERROR(__xludf.DUMMYFUNCTION("""COMPUTED_VALUE"""),"Work alone")</f>
        <v>Work alone</v>
      </c>
      <c r="Q1982" s="1" t="str">
        <f ca="1">IFERROR(__xludf.DUMMYFUNCTION("""COMPUTED_VALUE"""),"Yes")</f>
        <v>Yes</v>
      </c>
      <c r="R1982" s="1" t="str">
        <f ca="1">IFERROR(__xludf.DUMMYFUNCTION("""COMPUTED_VALUE"""),"Will work for 7 years or more")</f>
        <v>Will work for 7 years or more</v>
      </c>
      <c r="S1982" s="1" t="str">
        <f ca="1">IFERROR(__xludf.DUMMYFUNCTION("""COMPUTED_VALUE"""),"yashsaroha012@gmail.com")</f>
        <v>yashsaroha012@gmail.com</v>
      </c>
    </row>
    <row r="1983" spans="1:19" ht="12.5" x14ac:dyDescent="0.25">
      <c r="A1983" s="2">
        <f ca="1">IFERROR(__xludf.DUMMYFUNCTION("""COMPUTED_VALUE"""),45062.9510798379)</f>
        <v>45062.951079837898</v>
      </c>
      <c r="B1983" s="1" t="str">
        <f ca="1">IFERROR(__xludf.DUMMYFUNCTION("""COMPUTED_VALUE"""),"India")</f>
        <v>India</v>
      </c>
      <c r="C1983" s="1">
        <f ca="1">IFERROR(__xludf.DUMMYFUNCTION("""COMPUTED_VALUE"""),110089)</f>
        <v>110089</v>
      </c>
      <c r="D1983" s="1" t="str">
        <f ca="1">IFERROR(__xludf.DUMMYFUNCTION("""COMPUTED_VALUE"""),"Female")</f>
        <v>Female</v>
      </c>
      <c r="E1983" s="1" t="str">
        <f ca="1">IFERROR(__xludf.DUMMYFUNCTION("""COMPUTED_VALUE"""),"People who have changed the world for better")</f>
        <v>People who have changed the world for better</v>
      </c>
      <c r="F1983" s="1" t="str">
        <f ca="1">IFERROR(__xludf.DUMMYFUNCTION("""COMPUTED_VALUE"""),"Yes, I will earn and do that")</f>
        <v>Yes, I will earn and do that</v>
      </c>
      <c r="G1983" s="1" t="str">
        <f ca="1">IFERROR(__xludf.DUMMYFUNCTION("""COMPUTED_VALUE"""),"This will be hard to do, but if it is the right company I would try")</f>
        <v>This will be hard to do, but if it is the right company I would try</v>
      </c>
      <c r="H1983" s="1" t="str">
        <f ca="1">IFERROR(__xludf.DUMMYFUNCTION("""COMPUTED_VALUE"""),"No")</f>
        <v>No</v>
      </c>
      <c r="I1983" s="1" t="str">
        <f ca="1">IFERROR(__xludf.DUMMYFUNCTION("""COMPUTED_VALUE"""),"Will NOT work for them")</f>
        <v>Will NOT work for them</v>
      </c>
      <c r="J1983" s="1">
        <f ca="1">IFERROR(__xludf.DUMMYFUNCTION("""COMPUTED_VALUE"""),1)</f>
        <v>1</v>
      </c>
      <c r="K1983" s="1" t="str">
        <f ca="1">IFERROR(__xludf.DUMMYFUNCTION("""COMPUTED_VALUE"""),"Every Day Office Environment")</f>
        <v>Every Day Office Environment</v>
      </c>
      <c r="L1983" s="1" t="str">
        <f ca="1">IFERROR(__xludf.DUMMYFUNCTION("""COMPUTED_VALUE"""),"Employer who appreciates learning and enables that environment")</f>
        <v>Employer who appreciates learning and enables that environment</v>
      </c>
      <c r="M198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83" s="1" t="str">
        <f ca="1">IFERROR(__xludf.DUMMYFUNCTION("""COMPUTED_VALUE"""),"Business Operations in any organization, Manage and drive End-to-End Projects or Products, Build and develop a Team, Work in a BPO setup for some well known client")</f>
        <v>Business Operations in any organization, Manage and drive End-to-End Projects or Products, Build and develop a Team, Work in a BPO setup for some well known client</v>
      </c>
      <c r="O1983" s="1" t="str">
        <f ca="1">IFERROR(__xludf.DUMMYFUNCTION("""COMPUTED_VALUE"""),"Manager who explains what is expected, sets a goal and helps achieve it")</f>
        <v>Manager who explains what is expected, sets a goal and helps achieve it</v>
      </c>
      <c r="P1983" s="1" t="str">
        <f ca="1">IFERROR(__xludf.DUMMYFUNCTION("""COMPUTED_VALUE"""),"Work with 5 to 6 people in my team")</f>
        <v>Work with 5 to 6 people in my team</v>
      </c>
      <c r="Q1983" s="1" t="str">
        <f ca="1">IFERROR(__xludf.DUMMYFUNCTION("""COMPUTED_VALUE"""),"Yes, I Understand this is gonna happen everywhere")</f>
        <v>Yes, I Understand this is gonna happen everywhere</v>
      </c>
      <c r="R1983" s="1" t="str">
        <f ca="1">IFERROR(__xludf.DUMMYFUNCTION("""COMPUTED_VALUE"""),"No way")</f>
        <v>No way</v>
      </c>
      <c r="S1983" s="1" t="str">
        <f ca="1">IFERROR(__xludf.DUMMYFUNCTION("""COMPUTED_VALUE"""),"anunairstar2000@gmail.com")</f>
        <v>anunairstar2000@gmail.com</v>
      </c>
    </row>
    <row r="1984" spans="1:19" ht="12.5" x14ac:dyDescent="0.25">
      <c r="A1984" s="2">
        <f ca="1">IFERROR(__xludf.DUMMYFUNCTION("""COMPUTED_VALUE"""),45062.9521271643)</f>
        <v>45062.952127164303</v>
      </c>
      <c r="B1984" s="1" t="str">
        <f ca="1">IFERROR(__xludf.DUMMYFUNCTION("""COMPUTED_VALUE"""),"India")</f>
        <v>India</v>
      </c>
      <c r="C1984" s="1">
        <f ca="1">IFERROR(__xludf.DUMMYFUNCTION("""COMPUTED_VALUE"""),628552)</f>
        <v>628552</v>
      </c>
      <c r="D1984" s="1" t="str">
        <f ca="1">IFERROR(__xludf.DUMMYFUNCTION("""COMPUTED_VALUE"""),"Female")</f>
        <v>Female</v>
      </c>
      <c r="E1984" s="1" t="str">
        <f ca="1">IFERROR(__xludf.DUMMYFUNCTION("""COMPUTED_VALUE"""),"My Parents")</f>
        <v>My Parents</v>
      </c>
      <c r="F1984" s="1" t="str">
        <f ca="1">IFERROR(__xludf.DUMMYFUNCTION("""COMPUTED_VALUE"""),"No I would not be pursuing Higher Education outside of India")</f>
        <v>No I would not be pursuing Higher Education outside of India</v>
      </c>
      <c r="G1984" s="1" t="str">
        <f ca="1">IFERROR(__xludf.DUMMYFUNCTION("""COMPUTED_VALUE"""),"This will be hard to do, but if it is the right company I would try")</f>
        <v>This will be hard to do, but if it is the right company I would try</v>
      </c>
      <c r="H1984" s="1" t="str">
        <f ca="1">IFERROR(__xludf.DUMMYFUNCTION("""COMPUTED_VALUE"""),"Yes")</f>
        <v>Yes</v>
      </c>
      <c r="I1984" s="1" t="str">
        <f ca="1">IFERROR(__xludf.DUMMYFUNCTION("""COMPUTED_VALUE"""),"Will work for them")</f>
        <v>Will work for them</v>
      </c>
      <c r="J1984" s="1">
        <f ca="1">IFERROR(__xludf.DUMMYFUNCTION("""COMPUTED_VALUE"""),5)</f>
        <v>5</v>
      </c>
      <c r="K1984" s="1" t="str">
        <f ca="1">IFERROR(__xludf.DUMMYFUNCTION("""COMPUTED_VALUE"""),"Every Day Office Environment")</f>
        <v>Every Day Office Environment</v>
      </c>
      <c r="L1984" s="1" t="str">
        <f ca="1">IFERROR(__xludf.DUMMYFUNCTION("""COMPUTED_VALUE"""),"Employer who appreciates learning and enables that environment")</f>
        <v>Employer who appreciates learning and enables that environment</v>
      </c>
      <c r="M198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84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1984" s="1" t="str">
        <f ca="1">IFERROR(__xludf.DUMMYFUNCTION("""COMPUTED_VALUE"""),"Manager who clearly describes what she/he needs")</f>
        <v>Manager who clearly describes what she/he needs</v>
      </c>
      <c r="P1984" s="1" t="str">
        <f ca="1">IFERROR(__xludf.DUMMYFUNCTION("""COMPUTED_VALUE"""),"Work with more than 10 people in my team")</f>
        <v>Work with more than 10 people in my team</v>
      </c>
      <c r="Q1984" s="1" t="str">
        <f ca="1">IFERROR(__xludf.DUMMYFUNCTION("""COMPUTED_VALUE"""),"No")</f>
        <v>No</v>
      </c>
      <c r="R1984" s="1" t="str">
        <f ca="1">IFERROR(__xludf.DUMMYFUNCTION("""COMPUTED_VALUE"""),"This will be hard to do, but if it is the right company I would try")</f>
        <v>This will be hard to do, but if it is the right company I would try</v>
      </c>
      <c r="S1984" s="1" t="str">
        <f ca="1">IFERROR(__xludf.DUMMYFUNCTION("""COMPUTED_VALUE"""),"deepigaraja34@gmail.com")</f>
        <v>deepigaraja34@gmail.com</v>
      </c>
    </row>
    <row r="1985" spans="1:19" ht="12.5" x14ac:dyDescent="0.25">
      <c r="A1985" s="2">
        <f ca="1">IFERROR(__xludf.DUMMYFUNCTION("""COMPUTED_VALUE"""),45062.9529875463)</f>
        <v>45062.952987546298</v>
      </c>
      <c r="B1985" s="1" t="str">
        <f ca="1">IFERROR(__xludf.DUMMYFUNCTION("""COMPUTED_VALUE"""),"India")</f>
        <v>India</v>
      </c>
      <c r="C1985" s="1">
        <f ca="1">IFERROR(__xludf.DUMMYFUNCTION("""COMPUTED_VALUE"""),560030)</f>
        <v>560030</v>
      </c>
      <c r="D1985" s="1" t="str">
        <f ca="1">IFERROR(__xludf.DUMMYFUNCTION("""COMPUTED_VALUE"""),"Male")</f>
        <v>Male</v>
      </c>
      <c r="E1985" s="1" t="str">
        <f ca="1">IFERROR(__xludf.DUMMYFUNCTION("""COMPUTED_VALUE"""),"My Parents")</f>
        <v>My Parents</v>
      </c>
      <c r="F1985" s="1" t="str">
        <f ca="1">IFERROR(__xludf.DUMMYFUNCTION("""COMPUTED_VALUE"""),"Yes, I will earn and do that")</f>
        <v>Yes, I will earn and do that</v>
      </c>
      <c r="G1985" s="1" t="str">
        <f ca="1">IFERROR(__xludf.DUMMYFUNCTION("""COMPUTED_VALUE"""),"Will work for 3 years or more")</f>
        <v>Will work for 3 years or more</v>
      </c>
      <c r="H1985" s="1" t="str">
        <f ca="1">IFERROR(__xludf.DUMMYFUNCTION("""COMPUTED_VALUE"""),"Yes")</f>
        <v>Yes</v>
      </c>
      <c r="I1985" s="1" t="str">
        <f ca="1">IFERROR(__xludf.DUMMYFUNCTION("""COMPUTED_VALUE"""),"Will work for them")</f>
        <v>Will work for them</v>
      </c>
      <c r="J1985" s="1">
        <f ca="1">IFERROR(__xludf.DUMMYFUNCTION("""COMPUTED_VALUE"""),6)</f>
        <v>6</v>
      </c>
      <c r="K1985" s="1" t="str">
        <f ca="1">IFERROR(__xludf.DUMMYFUNCTION("""COMPUTED_VALUE"""),"Every Day Office Environment")</f>
        <v>Every Day Office Environment</v>
      </c>
      <c r="L1985" s="1" t="str">
        <f ca="1">IFERROR(__xludf.DUMMYFUNCTION("""COMPUTED_VALUE"""),"Employer who appreciates learning and enables that environment")</f>
        <v>Employer who appreciates learning and enables that environment</v>
      </c>
      <c r="M198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85" s="1" t="str">
        <f ca="1">IFERROR(__xludf.DUMMYFUNCTION("""COMPUTED_VALUE"""),"Business Operations in any organization, Build and develop a Team, Look deeply into Data and generate insights, Work as a freelancer and do my thing my way")</f>
        <v>Business Operations in any organization, Build and develop a Team, Look deeply into Data and generate insights, Work as a freelancer and do my thing my way</v>
      </c>
      <c r="O1985" s="1" t="str">
        <f ca="1">IFERROR(__xludf.DUMMYFUNCTION("""COMPUTED_VALUE"""),"Manager who sets targets and expects me to achieve it")</f>
        <v>Manager who sets targets and expects me to achieve it</v>
      </c>
      <c r="P1985" s="1" t="str">
        <f ca="1">IFERROR(__xludf.DUMMYFUNCTION("""COMPUTED_VALUE"""),"Work with 5 to 6 people in my team")</f>
        <v>Work with 5 to 6 people in my team</v>
      </c>
      <c r="Q1985" s="1" t="str">
        <f ca="1">IFERROR(__xludf.DUMMYFUNCTION("""COMPUTED_VALUE"""),"Yes, I Understand this is gonna happen everywhere")</f>
        <v>Yes, I Understand this is gonna happen everywhere</v>
      </c>
      <c r="R1985" s="1" t="str">
        <f ca="1">IFERROR(__xludf.DUMMYFUNCTION("""COMPUTED_VALUE"""),"Will work for 7 years or more")</f>
        <v>Will work for 7 years or more</v>
      </c>
      <c r="S1985" s="1" t="str">
        <f ca="1">IFERROR(__xludf.DUMMYFUNCTION("""COMPUTED_VALUE"""),"deekshith.suresh007@gmail.com")</f>
        <v>deekshith.suresh007@gmail.com</v>
      </c>
    </row>
    <row r="1986" spans="1:19" ht="12.5" x14ac:dyDescent="0.25">
      <c r="A1986" s="2">
        <f ca="1">IFERROR(__xludf.DUMMYFUNCTION("""COMPUTED_VALUE"""),45062.9530460532)</f>
        <v>45062.953046053197</v>
      </c>
      <c r="B1986" s="1" t="str">
        <f ca="1">IFERROR(__xludf.DUMMYFUNCTION("""COMPUTED_VALUE"""),"India")</f>
        <v>India</v>
      </c>
      <c r="C1986" s="1">
        <f ca="1">IFERROR(__xludf.DUMMYFUNCTION("""COMPUTED_VALUE"""),110026)</f>
        <v>110026</v>
      </c>
      <c r="D1986" s="1" t="str">
        <f ca="1">IFERROR(__xludf.DUMMYFUNCTION("""COMPUTED_VALUE"""),"Male")</f>
        <v>Male</v>
      </c>
      <c r="E1986" s="1" t="str">
        <f ca="1">IFERROR(__xludf.DUMMYFUNCTION("""COMPUTED_VALUE"""),"My Parents")</f>
        <v>My Parents</v>
      </c>
      <c r="F1986" s="1" t="str">
        <f ca="1">IFERROR(__xludf.DUMMYFUNCTION("""COMPUTED_VALUE"""),"No, But if someone could bare the cost I will")</f>
        <v>No, But if someone could bare the cost I will</v>
      </c>
      <c r="G1986" s="1" t="str">
        <f ca="1">IFERROR(__xludf.DUMMYFUNCTION("""COMPUTED_VALUE"""),"This will be hard to do, but if it is the right company I would try")</f>
        <v>This will be hard to do, but if it is the right company I would try</v>
      </c>
      <c r="H1986" s="1" t="str">
        <f ca="1">IFERROR(__xludf.DUMMYFUNCTION("""COMPUTED_VALUE"""),"No")</f>
        <v>No</v>
      </c>
      <c r="I1986" s="1" t="str">
        <f ca="1">IFERROR(__xludf.DUMMYFUNCTION("""COMPUTED_VALUE"""),"Will NOT work for them")</f>
        <v>Will NOT work for them</v>
      </c>
      <c r="J1986" s="1">
        <f ca="1">IFERROR(__xludf.DUMMYFUNCTION("""COMPUTED_VALUE"""),5)</f>
        <v>5</v>
      </c>
      <c r="K1986" s="1" t="str">
        <f ca="1">IFERROR(__xludf.DUMMYFUNCTION("""COMPUTED_VALUE"""),"Hybrid Working Environment with more than 15 days a month at office")</f>
        <v>Hybrid Working Environment with more than 15 days a month at office</v>
      </c>
      <c r="L19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8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1986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986" s="1" t="str">
        <f ca="1">IFERROR(__xludf.DUMMYFUNCTION("""COMPUTED_VALUE"""),"Manager who explains what is expected, sets a goal and helps achieve it")</f>
        <v>Manager who explains what is expected, sets a goal and helps achieve it</v>
      </c>
      <c r="P1986" s="1" t="str">
        <f ca="1">IFERROR(__xludf.DUMMYFUNCTION("""COMPUTED_VALUE"""),"Work with 2 to 3 people in my team")</f>
        <v>Work with 2 to 3 people in my team</v>
      </c>
      <c r="Q1986" s="1" t="str">
        <f ca="1">IFERROR(__xludf.DUMMYFUNCTION("""COMPUTED_VALUE"""),"Yes, I Understand this is gonna happen everywhere")</f>
        <v>Yes, I Understand this is gonna happen everywhere</v>
      </c>
      <c r="R1986" s="1" t="str">
        <f ca="1">IFERROR(__xludf.DUMMYFUNCTION("""COMPUTED_VALUE"""),"This will be hard to do, but if it is the right company I would try")</f>
        <v>This will be hard to do, but if it is the right company I would try</v>
      </c>
      <c r="S1986" s="1" t="str">
        <f ca="1">IFERROR(__xludf.DUMMYFUNCTION("""COMPUTED_VALUE"""),"shivammoyal.1998@gmail.com")</f>
        <v>shivammoyal.1998@gmail.com</v>
      </c>
    </row>
    <row r="1987" spans="1:19" ht="12.5" x14ac:dyDescent="0.25">
      <c r="A1987" s="2">
        <f ca="1">IFERROR(__xludf.DUMMYFUNCTION("""COMPUTED_VALUE"""),45062.9544592245)</f>
        <v>45062.9544592245</v>
      </c>
      <c r="B1987" s="1" t="str">
        <f ca="1">IFERROR(__xludf.DUMMYFUNCTION("""COMPUTED_VALUE"""),"India")</f>
        <v>India</v>
      </c>
      <c r="C1987" s="1">
        <f ca="1">IFERROR(__xludf.DUMMYFUNCTION("""COMPUTED_VALUE"""),132103)</f>
        <v>132103</v>
      </c>
      <c r="D1987" s="1" t="str">
        <f ca="1">IFERROR(__xludf.DUMMYFUNCTION("""COMPUTED_VALUE"""),"Female")</f>
        <v>Female</v>
      </c>
      <c r="E1987" s="1" t="str">
        <f ca="1">IFERROR(__xludf.DUMMYFUNCTION("""COMPUTED_VALUE"""),"People who have changed the world for better")</f>
        <v>People who have changed the world for better</v>
      </c>
      <c r="F1987" s="1" t="str">
        <f ca="1">IFERROR(__xludf.DUMMYFUNCTION("""COMPUTED_VALUE"""),"No I would not be pursuing Higher Education outside of India")</f>
        <v>No I would not be pursuing Higher Education outside of India</v>
      </c>
      <c r="G1987" s="1" t="str">
        <f ca="1">IFERROR(__xludf.DUMMYFUNCTION("""COMPUTED_VALUE"""),"Will work for 3 years or more")</f>
        <v>Will work for 3 years or more</v>
      </c>
      <c r="H1987" s="1" t="str">
        <f ca="1">IFERROR(__xludf.DUMMYFUNCTION("""COMPUTED_VALUE"""),"Yes")</f>
        <v>Yes</v>
      </c>
      <c r="I1987" s="1" t="str">
        <f ca="1">IFERROR(__xludf.DUMMYFUNCTION("""COMPUTED_VALUE"""),"Will NOT work for them")</f>
        <v>Will NOT work for them</v>
      </c>
      <c r="J1987" s="1">
        <f ca="1">IFERROR(__xludf.DUMMYFUNCTION("""COMPUTED_VALUE"""),5)</f>
        <v>5</v>
      </c>
      <c r="K1987" s="1" t="str">
        <f ca="1">IFERROR(__xludf.DUMMYFUNCTION("""COMPUTED_VALUE"""),"Every Day Office Environment")</f>
        <v>Every Day Office Environment</v>
      </c>
      <c r="L19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8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1987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1987" s="1" t="str">
        <f ca="1">IFERROR(__xludf.DUMMYFUNCTION("""COMPUTED_VALUE"""),"Manager who explains what is expected, sets a goal and helps achieve it")</f>
        <v>Manager who explains what is expected, sets a goal and helps achieve it</v>
      </c>
      <c r="P1987" s="1" t="str">
        <f ca="1">IFERROR(__xludf.DUMMYFUNCTION("""COMPUTED_VALUE"""),"Work with 7 to 10 or more people in my team")</f>
        <v>Work with 7 to 10 or more people in my team</v>
      </c>
      <c r="Q1987" s="1" t="str">
        <f ca="1">IFERROR(__xludf.DUMMYFUNCTION("""COMPUTED_VALUE"""),"No")</f>
        <v>No</v>
      </c>
      <c r="R1987" s="1" t="str">
        <f ca="1">IFERROR(__xludf.DUMMYFUNCTION("""COMPUTED_VALUE"""),"This will be hard to do, but if it is the right company I would try")</f>
        <v>This will be hard to do, but if it is the right company I would try</v>
      </c>
      <c r="S1987" s="1" t="str">
        <f ca="1">IFERROR(__xludf.DUMMYFUNCTION("""COMPUTED_VALUE"""),"darshikaushik2894@gmail.com")</f>
        <v>darshikaushik2894@gmail.com</v>
      </c>
    </row>
    <row r="1988" spans="1:19" ht="12.5" x14ac:dyDescent="0.25">
      <c r="A1988" s="2">
        <f ca="1">IFERROR(__xludf.DUMMYFUNCTION("""COMPUTED_VALUE"""),45062.9554791898)</f>
        <v>45062.955479189797</v>
      </c>
      <c r="B1988" s="1" t="str">
        <f ca="1">IFERROR(__xludf.DUMMYFUNCTION("""COMPUTED_VALUE"""),"India")</f>
        <v>India</v>
      </c>
      <c r="C1988" s="1">
        <f ca="1">IFERROR(__xludf.DUMMYFUNCTION("""COMPUTED_VALUE"""),637001)</f>
        <v>637001</v>
      </c>
      <c r="D1988" s="1" t="str">
        <f ca="1">IFERROR(__xludf.DUMMYFUNCTION("""COMPUTED_VALUE"""),"Male")</f>
        <v>Male</v>
      </c>
      <c r="E1988" s="1" t="str">
        <f ca="1">IFERROR(__xludf.DUMMYFUNCTION("""COMPUTED_VALUE"""),"Influencers who had successful careers")</f>
        <v>Influencers who had successful careers</v>
      </c>
      <c r="F1988" s="1" t="str">
        <f ca="1">IFERROR(__xludf.DUMMYFUNCTION("""COMPUTED_VALUE"""),"Yes, I will earn and do that")</f>
        <v>Yes, I will earn and do that</v>
      </c>
      <c r="G1988" s="1" t="str">
        <f ca="1">IFERROR(__xludf.DUMMYFUNCTION("""COMPUTED_VALUE"""),"This will be hard to do, but if it is the right company I would try")</f>
        <v>This will be hard to do, but if it is the right company I would try</v>
      </c>
      <c r="H1988" s="1" t="str">
        <f ca="1">IFERROR(__xludf.DUMMYFUNCTION("""COMPUTED_VALUE"""),"No")</f>
        <v>No</v>
      </c>
      <c r="I1988" s="1" t="str">
        <f ca="1">IFERROR(__xludf.DUMMYFUNCTION("""COMPUTED_VALUE"""),"Will NOT work for them")</f>
        <v>Will NOT work for them</v>
      </c>
      <c r="J1988" s="1">
        <f ca="1">IFERROR(__xludf.DUMMYFUNCTION("""COMPUTED_VALUE"""),7)</f>
        <v>7</v>
      </c>
      <c r="K1988" s="1" t="str">
        <f ca="1">IFERROR(__xludf.DUMMYFUNCTION("""COMPUTED_VALUE"""),"Hybrid Working Environment with more than 15 days a month at office")</f>
        <v>Hybrid Working Environment with more than 15 days a month at office</v>
      </c>
      <c r="L1988" s="1" t="str">
        <f ca="1">IFERROR(__xludf.DUMMYFUNCTION("""COMPUTED_VALUE"""),"Employer who appreciates learning and enables that environment")</f>
        <v>Employer who appreciates learning and enables that environment</v>
      </c>
      <c r="M198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88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1988" s="1" t="str">
        <f ca="1">IFERROR(__xludf.DUMMYFUNCTION("""COMPUTED_VALUE"""),"Manager who explains what is expected, sets a goal and helps achieve it")</f>
        <v>Manager who explains what is expected, sets a goal and helps achieve it</v>
      </c>
      <c r="P1988" s="1" t="str">
        <f ca="1">IFERROR(__xludf.DUMMYFUNCTION("""COMPUTED_VALUE"""),"Work with 2 to 3 people in my team")</f>
        <v>Work with 2 to 3 people in my team</v>
      </c>
      <c r="Q1988" s="1" t="str">
        <f ca="1">IFERROR(__xludf.DUMMYFUNCTION("""COMPUTED_VALUE"""),"Yes, I Understand this is gonna happen everywhere")</f>
        <v>Yes, I Understand this is gonna happen everywhere</v>
      </c>
      <c r="R1988" s="1" t="str">
        <f ca="1">IFERROR(__xludf.DUMMYFUNCTION("""COMPUTED_VALUE"""),"No way")</f>
        <v>No way</v>
      </c>
      <c r="S1988" s="1" t="str">
        <f ca="1">IFERROR(__xludf.DUMMYFUNCTION("""COMPUTED_VALUE"""),"gannyspenzer007@gmail.com")</f>
        <v>gannyspenzer007@gmail.com</v>
      </c>
    </row>
    <row r="1989" spans="1:19" ht="12.5" x14ac:dyDescent="0.25">
      <c r="A1989" s="2">
        <f ca="1">IFERROR(__xludf.DUMMYFUNCTION("""COMPUTED_VALUE"""),45062.9555204166)</f>
        <v>45062.955520416603</v>
      </c>
      <c r="B1989" s="1" t="str">
        <f ca="1">IFERROR(__xludf.DUMMYFUNCTION("""COMPUTED_VALUE"""),"India")</f>
        <v>India</v>
      </c>
      <c r="C1989" s="1">
        <f ca="1">IFERROR(__xludf.DUMMYFUNCTION("""COMPUTED_VALUE"""),263126)</f>
        <v>263126</v>
      </c>
      <c r="D1989" s="1" t="str">
        <f ca="1">IFERROR(__xludf.DUMMYFUNCTION("""COMPUTED_VALUE"""),"Male")</f>
        <v>Male</v>
      </c>
      <c r="E1989" s="1" t="str">
        <f ca="1">IFERROR(__xludf.DUMMYFUNCTION("""COMPUTED_VALUE"""),"People who have changed the world for better")</f>
        <v>People who have changed the world for better</v>
      </c>
      <c r="F1989" s="1" t="str">
        <f ca="1">IFERROR(__xludf.DUMMYFUNCTION("""COMPUTED_VALUE"""),"No I would not be pursuing Higher Education outside of India")</f>
        <v>No I would not be pursuing Higher Education outside of India</v>
      </c>
      <c r="G1989" s="1" t="str">
        <f ca="1">IFERROR(__xludf.DUMMYFUNCTION("""COMPUTED_VALUE"""),"Will work for 3 years or more")</f>
        <v>Will work for 3 years or more</v>
      </c>
      <c r="H1989" s="1" t="str">
        <f ca="1">IFERROR(__xludf.DUMMYFUNCTION("""COMPUTED_VALUE"""),"No")</f>
        <v>No</v>
      </c>
      <c r="I1989" s="1" t="str">
        <f ca="1">IFERROR(__xludf.DUMMYFUNCTION("""COMPUTED_VALUE"""),"Will NOT work for them")</f>
        <v>Will NOT work for them</v>
      </c>
      <c r="J1989" s="1">
        <f ca="1">IFERROR(__xludf.DUMMYFUNCTION("""COMPUTED_VALUE"""),7)</f>
        <v>7</v>
      </c>
      <c r="K1989" s="1" t="str">
        <f ca="1">IFERROR(__xludf.DUMMYFUNCTION("""COMPUTED_VALUE"""),"Fully Remote with Options to travel as and when needed")</f>
        <v>Fully Remote with Options to travel as and when needed</v>
      </c>
      <c r="L19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8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89" s="1" t="str">
        <f ca="1">IFERROR(__xludf.DUMMYFUNCTION("""COMPUTED_VALUE"""),"Design and Creative strategy in any company, Teaching in any of the institutes/colleges/online or offline, Business Operations in any organization, Become a content Creator in some platform")</f>
        <v>Design and Creative strategy in any company, Teaching in any of the institutes/colleges/online or offline, Business Operations in any organization, Become a content Creator in some platform</v>
      </c>
      <c r="O1989" s="1" t="str">
        <f ca="1">IFERROR(__xludf.DUMMYFUNCTION("""COMPUTED_VALUE"""),"Manager who explains what is expected, sets a goal and helps achieve it")</f>
        <v>Manager who explains what is expected, sets a goal and helps achieve it</v>
      </c>
      <c r="P1989" s="1" t="str">
        <f ca="1">IFERROR(__xludf.DUMMYFUNCTION("""COMPUTED_VALUE"""),"Work with 2 to 3 people in my team")</f>
        <v>Work with 2 to 3 people in my team</v>
      </c>
      <c r="Q1989" s="1" t="str">
        <f ca="1">IFERROR(__xludf.DUMMYFUNCTION("""COMPUTED_VALUE"""),"Yes, I Understand this is gonna happen everywhere")</f>
        <v>Yes, I Understand this is gonna happen everywhere</v>
      </c>
      <c r="R1989" s="1" t="str">
        <f ca="1">IFERROR(__xludf.DUMMYFUNCTION("""COMPUTED_VALUE"""),"This will be hard to do, but if it is the right company I would try")</f>
        <v>This will be hard to do, but if it is the right company I would try</v>
      </c>
      <c r="S1989" s="1" t="str">
        <f ca="1">IFERROR(__xludf.DUMMYFUNCTION("""COMPUTED_VALUE"""),"adityaarya2525@gmail.com")</f>
        <v>adityaarya2525@gmail.com</v>
      </c>
    </row>
    <row r="1990" spans="1:19" ht="12.5" x14ac:dyDescent="0.25">
      <c r="A1990" s="2">
        <f ca="1">IFERROR(__xludf.DUMMYFUNCTION("""COMPUTED_VALUE"""),45062.955633125)</f>
        <v>45062.955633124999</v>
      </c>
      <c r="B1990" s="1" t="str">
        <f ca="1">IFERROR(__xludf.DUMMYFUNCTION("""COMPUTED_VALUE"""),"India")</f>
        <v>India</v>
      </c>
      <c r="C1990" s="1">
        <f ca="1">IFERROR(__xludf.DUMMYFUNCTION("""COMPUTED_VALUE"""),131301)</f>
        <v>131301</v>
      </c>
      <c r="D1990" s="1" t="str">
        <f ca="1">IFERROR(__xludf.DUMMYFUNCTION("""COMPUTED_VALUE"""),"Female")</f>
        <v>Female</v>
      </c>
      <c r="E1990" s="1" t="str">
        <f ca="1">IFERROR(__xludf.DUMMYFUNCTION("""COMPUTED_VALUE"""),"My Parents")</f>
        <v>My Parents</v>
      </c>
      <c r="F1990" s="1" t="str">
        <f ca="1">IFERROR(__xludf.DUMMYFUNCTION("""COMPUTED_VALUE"""),"Yes, I will earn and do that")</f>
        <v>Yes, I will earn and do that</v>
      </c>
      <c r="G1990" s="1" t="str">
        <f ca="1">IFERROR(__xludf.DUMMYFUNCTION("""COMPUTED_VALUE"""),"Will work for 3 years or more")</f>
        <v>Will work for 3 years or more</v>
      </c>
      <c r="H1990" s="1" t="str">
        <f ca="1">IFERROR(__xludf.DUMMYFUNCTION("""COMPUTED_VALUE"""),"No")</f>
        <v>No</v>
      </c>
      <c r="I1990" s="1" t="str">
        <f ca="1">IFERROR(__xludf.DUMMYFUNCTION("""COMPUTED_VALUE"""),"Will NOT work for them")</f>
        <v>Will NOT work for them</v>
      </c>
      <c r="J1990" s="1">
        <f ca="1">IFERROR(__xludf.DUMMYFUNCTION("""COMPUTED_VALUE"""),7)</f>
        <v>7</v>
      </c>
      <c r="K1990" s="1" t="str">
        <f ca="1">IFERROR(__xludf.DUMMYFUNCTION("""COMPUTED_VALUE"""),"Every Day Office Environment")</f>
        <v>Every Day Office Environment</v>
      </c>
      <c r="L19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9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90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1990" s="1" t="str">
        <f ca="1">IFERROR(__xludf.DUMMYFUNCTION("""COMPUTED_VALUE"""),"Manager who explains what is expected, sets a goal and helps achieve it")</f>
        <v>Manager who explains what is expected, sets a goal and helps achieve it</v>
      </c>
      <c r="P1990" s="1" t="str">
        <f ca="1">IFERROR(__xludf.DUMMYFUNCTION("""COMPUTED_VALUE"""),"Work with 2 to 3 people in my team")</f>
        <v>Work with 2 to 3 people in my team</v>
      </c>
      <c r="Q1990" s="1" t="str">
        <f ca="1">IFERROR(__xludf.DUMMYFUNCTION("""COMPUTED_VALUE"""),"Yes, I Understand this is gonna happen everywhere")</f>
        <v>Yes, I Understand this is gonna happen everywhere</v>
      </c>
      <c r="R1990" s="1" t="str">
        <f ca="1">IFERROR(__xludf.DUMMYFUNCTION("""COMPUTED_VALUE"""),"Will work for 7 years or more")</f>
        <v>Will work for 7 years or more</v>
      </c>
      <c r="S1990" s="1" t="str">
        <f ca="1">IFERROR(__xludf.DUMMYFUNCTION("""COMPUTED_VALUE"""),"ektagaur004@gmail.com")</f>
        <v>ektagaur004@gmail.com</v>
      </c>
    </row>
    <row r="1991" spans="1:19" ht="12.5" x14ac:dyDescent="0.25">
      <c r="A1991" s="2">
        <f ca="1">IFERROR(__xludf.DUMMYFUNCTION("""COMPUTED_VALUE"""),45062.9565628587)</f>
        <v>45062.956562858701</v>
      </c>
      <c r="B1991" s="1" t="str">
        <f ca="1">IFERROR(__xludf.DUMMYFUNCTION("""COMPUTED_VALUE"""),"India")</f>
        <v>India</v>
      </c>
      <c r="C1991" s="1">
        <f ca="1">IFERROR(__xludf.DUMMYFUNCTION("""COMPUTED_VALUE"""),91)</f>
        <v>91</v>
      </c>
      <c r="D1991" s="1" t="str">
        <f ca="1">IFERROR(__xludf.DUMMYFUNCTION("""COMPUTED_VALUE"""),"Female")</f>
        <v>Female</v>
      </c>
      <c r="E1991" s="1" t="str">
        <f ca="1">IFERROR(__xludf.DUMMYFUNCTION("""COMPUTED_VALUE"""),"People from my circle, but not family members")</f>
        <v>People from my circle, but not family members</v>
      </c>
      <c r="F1991" s="1" t="str">
        <f ca="1">IFERROR(__xludf.DUMMYFUNCTION("""COMPUTED_VALUE"""),"Yes, I will earn and do that")</f>
        <v>Yes, I will earn and do that</v>
      </c>
      <c r="G1991" s="1" t="str">
        <f ca="1">IFERROR(__xludf.DUMMYFUNCTION("""COMPUTED_VALUE"""),"No way")</f>
        <v>No way</v>
      </c>
      <c r="H1991" s="1" t="str">
        <f ca="1">IFERROR(__xludf.DUMMYFUNCTION("""COMPUTED_VALUE"""),"Yes")</f>
        <v>Yes</v>
      </c>
      <c r="I1991" s="1" t="str">
        <f ca="1">IFERROR(__xludf.DUMMYFUNCTION("""COMPUTED_VALUE"""),"Will NOT work for them")</f>
        <v>Will NOT work for them</v>
      </c>
      <c r="J1991" s="1">
        <f ca="1">IFERROR(__xludf.DUMMYFUNCTION("""COMPUTED_VALUE"""),7)</f>
        <v>7</v>
      </c>
      <c r="K1991" s="1" t="str">
        <f ca="1">IFERROR(__xludf.DUMMYFUNCTION("""COMPUTED_VALUE"""),"Hybrid Working Environment with more than 15 days a month at office")</f>
        <v>Hybrid Working Environment with more than 15 days a month at office</v>
      </c>
      <c r="L1991" s="1" t="str">
        <f ca="1">IFERROR(__xludf.DUMMYFUNCTION("""COMPUTED_VALUE"""),"Employer who rewards learning and enables that environment")</f>
        <v>Employer who rewards learning and enables that environment</v>
      </c>
      <c r="M199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991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1991" s="1" t="str">
        <f ca="1">IFERROR(__xludf.DUMMYFUNCTION("""COMPUTED_VALUE"""),"Manager who explains what is expected, sets a goal and helps achieve it")</f>
        <v>Manager who explains what is expected, sets a goal and helps achieve it</v>
      </c>
      <c r="P1991" s="1" t="str">
        <f ca="1">IFERROR(__xludf.DUMMYFUNCTION("""COMPUTED_VALUE"""),"Work with 5 to 6 people in my team")</f>
        <v>Work with 5 to 6 people in my team</v>
      </c>
      <c r="Q1991" s="1" t="str">
        <f ca="1">IFERROR(__xludf.DUMMYFUNCTION("""COMPUTED_VALUE"""),"Yes, I Understand this is gonna happen everywhere")</f>
        <v>Yes, I Understand this is gonna happen everywhere</v>
      </c>
      <c r="R1991" s="1" t="str">
        <f ca="1">IFERROR(__xludf.DUMMYFUNCTION("""COMPUTED_VALUE"""),"No way")</f>
        <v>No way</v>
      </c>
      <c r="S1991" s="1" t="str">
        <f ca="1">IFERROR(__xludf.DUMMYFUNCTION("""COMPUTED_VALUE"""),"smr010503@gmail.com")</f>
        <v>smr010503@gmail.com</v>
      </c>
    </row>
    <row r="1992" spans="1:19" ht="12.5" x14ac:dyDescent="0.25">
      <c r="A1992" s="2">
        <f ca="1">IFERROR(__xludf.DUMMYFUNCTION("""COMPUTED_VALUE"""),45062.9579568402)</f>
        <v>45062.957956840197</v>
      </c>
      <c r="B1992" s="1" t="str">
        <f ca="1">IFERROR(__xludf.DUMMYFUNCTION("""COMPUTED_VALUE"""),"India")</f>
        <v>India</v>
      </c>
      <c r="C1992" s="1">
        <f ca="1">IFERROR(__xludf.DUMMYFUNCTION("""COMPUTED_VALUE"""),637014)</f>
        <v>637014</v>
      </c>
      <c r="D1992" s="1" t="str">
        <f ca="1">IFERROR(__xludf.DUMMYFUNCTION("""COMPUTED_VALUE"""),"Female")</f>
        <v>Female</v>
      </c>
      <c r="E1992" s="1" t="str">
        <f ca="1">IFERROR(__xludf.DUMMYFUNCTION("""COMPUTED_VALUE"""),"People from my circle, but not family members")</f>
        <v>People from my circle, but not family members</v>
      </c>
      <c r="F1992" s="1" t="str">
        <f ca="1">IFERROR(__xludf.DUMMYFUNCTION("""COMPUTED_VALUE"""),"No I would not be pursuing Higher Education outside of India")</f>
        <v>No I would not be pursuing Higher Education outside of India</v>
      </c>
      <c r="G1992" s="1" t="str">
        <f ca="1">IFERROR(__xludf.DUMMYFUNCTION("""COMPUTED_VALUE"""),"This will be hard to do, but if it is the right company I would try")</f>
        <v>This will be hard to do, but if it is the right company I would try</v>
      </c>
      <c r="H1992" s="1" t="str">
        <f ca="1">IFERROR(__xludf.DUMMYFUNCTION("""COMPUTED_VALUE"""),"Yes")</f>
        <v>Yes</v>
      </c>
      <c r="I1992" s="1" t="str">
        <f ca="1">IFERROR(__xludf.DUMMYFUNCTION("""COMPUTED_VALUE"""),"Will work for them")</f>
        <v>Will work for them</v>
      </c>
      <c r="J1992" s="1">
        <f ca="1">IFERROR(__xludf.DUMMYFUNCTION("""COMPUTED_VALUE"""),6)</f>
        <v>6</v>
      </c>
      <c r="K1992" s="1" t="str">
        <f ca="1">IFERROR(__xludf.DUMMYFUNCTION("""COMPUTED_VALUE"""),"Fully Remote with Options to travel as and when needed")</f>
        <v>Fully Remote with Options to travel as and when needed</v>
      </c>
      <c r="L19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9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92" s="1" t="str">
        <f ca="1">IFERROR(__xludf.DUMMYFUNCTION("""COMPUTED_VALUE"""),"Design and Creative strategy in any company, Work as a freelancer and do my thing my way, Entrepreneur or Start Up, An Artificial Intelligence Specialist / Talking to Robots")</f>
        <v>Design and Creative strategy in any company, Work as a freelancer and do my thing my way, Entrepreneur or Start Up, An Artificial Intelligence Specialist / Talking to Robots</v>
      </c>
      <c r="O1992" s="1" t="str">
        <f ca="1">IFERROR(__xludf.DUMMYFUNCTION("""COMPUTED_VALUE"""),"Manager who sets goal and helps me achieve it")</f>
        <v>Manager who sets goal and helps me achieve it</v>
      </c>
      <c r="P199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1992" s="1" t="str">
        <f ca="1">IFERROR(__xludf.DUMMYFUNCTION("""COMPUTED_VALUE"""),"No")</f>
        <v>No</v>
      </c>
      <c r="R1992" s="1" t="str">
        <f ca="1">IFERROR(__xludf.DUMMYFUNCTION("""COMPUTED_VALUE"""),"This will be hard to do, but if it is the right company I would try")</f>
        <v>This will be hard to do, but if it is the right company I would try</v>
      </c>
      <c r="S1992" s="1" t="str">
        <f ca="1">IFERROR(__xludf.DUMMYFUNCTION("""COMPUTED_VALUE"""),"hemashreetha@gmail.com")</f>
        <v>hemashreetha@gmail.com</v>
      </c>
    </row>
    <row r="1993" spans="1:19" ht="12.5" x14ac:dyDescent="0.25">
      <c r="A1993" s="2">
        <f ca="1">IFERROR(__xludf.DUMMYFUNCTION("""COMPUTED_VALUE"""),45062.9582153125)</f>
        <v>45062.958215312501</v>
      </c>
      <c r="B1993" s="1" t="str">
        <f ca="1">IFERROR(__xludf.DUMMYFUNCTION("""COMPUTED_VALUE"""),"India")</f>
        <v>India</v>
      </c>
      <c r="C1993" s="1">
        <f ca="1">IFERROR(__xludf.DUMMYFUNCTION("""COMPUTED_VALUE"""),424201)</f>
        <v>424201</v>
      </c>
      <c r="D1993" s="1" t="str">
        <f ca="1">IFERROR(__xludf.DUMMYFUNCTION("""COMPUTED_VALUE"""),"Female")</f>
        <v>Female</v>
      </c>
      <c r="E1993" s="1" t="str">
        <f ca="1">IFERROR(__xludf.DUMMYFUNCTION("""COMPUTED_VALUE"""),"People from my circle, but not family members")</f>
        <v>People from my circle, but not family members</v>
      </c>
      <c r="F1993" s="1" t="str">
        <f ca="1">IFERROR(__xludf.DUMMYFUNCTION("""COMPUTED_VALUE"""),"No, But if someone could bare the cost I will")</f>
        <v>No, But if someone could bare the cost I will</v>
      </c>
      <c r="G1993" s="1" t="str">
        <f ca="1">IFERROR(__xludf.DUMMYFUNCTION("""COMPUTED_VALUE"""),"This will be hard to do, but if it is the right company I would try")</f>
        <v>This will be hard to do, but if it is the right company I would try</v>
      </c>
      <c r="H1993" s="1" t="str">
        <f ca="1">IFERROR(__xludf.DUMMYFUNCTION("""COMPUTED_VALUE"""),"Yes")</f>
        <v>Yes</v>
      </c>
      <c r="I1993" s="1" t="str">
        <f ca="1">IFERROR(__xludf.DUMMYFUNCTION("""COMPUTED_VALUE"""),"Will work for them")</f>
        <v>Will work for them</v>
      </c>
      <c r="J1993" s="1">
        <f ca="1">IFERROR(__xludf.DUMMYFUNCTION("""COMPUTED_VALUE"""),7)</f>
        <v>7</v>
      </c>
      <c r="K1993" s="1" t="str">
        <f ca="1">IFERROR(__xludf.DUMMYFUNCTION("""COMPUTED_VALUE"""),"Hybrid Working Environment with more than 15 days a month at office")</f>
        <v>Hybrid Working Environment with more than 15 days a month at office</v>
      </c>
      <c r="L1993" s="1" t="str">
        <f ca="1">IFERROR(__xludf.DUMMYFUNCTION("""COMPUTED_VALUE"""),"Employer who appreciates learning and enables that environment")</f>
        <v>Employer who appreciates learning and enables that environment</v>
      </c>
      <c r="M199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93" s="1" t="str">
        <f ca="1">IFERROR(__xludf.DUMMYFUNCTION("""COMPUTED_VALUE"""),"Teaching in any of the institutes/colleges/online or offline, Build and develop a Team, Entrepreneur or Start Up, I Want to sell things/Sales")</f>
        <v>Teaching in any of the institutes/colleges/online or offline, Build and develop a Team, Entrepreneur or Start Up, I Want to sell things/Sales</v>
      </c>
      <c r="O1993" s="1" t="str">
        <f ca="1">IFERROR(__xludf.DUMMYFUNCTION("""COMPUTED_VALUE"""),"Manager who sets targets and expects me to achieve it")</f>
        <v>Manager who sets targets and expects me to achieve it</v>
      </c>
      <c r="P1993" s="1" t="str">
        <f ca="1">IFERROR(__xludf.DUMMYFUNCTION("""COMPUTED_VALUE"""),"Work with 5 to 6 people in my team")</f>
        <v>Work with 5 to 6 people in my team</v>
      </c>
      <c r="Q1993" s="1" t="str">
        <f ca="1">IFERROR(__xludf.DUMMYFUNCTION("""COMPUTED_VALUE"""),"Yes, I Understand this is gonna happen everywhere")</f>
        <v>Yes, I Understand this is gonna happen everywhere</v>
      </c>
      <c r="R1993" s="1" t="str">
        <f ca="1">IFERROR(__xludf.DUMMYFUNCTION("""COMPUTED_VALUE"""),"This will be hard to do, but if it is the right company I would try")</f>
        <v>This will be hard to do, but if it is the right company I would try</v>
      </c>
      <c r="S1993" s="1" t="str">
        <f ca="1">IFERROR(__xludf.DUMMYFUNCTION("""COMPUTED_VALUE"""),"swatibagul1283@gmail.com")</f>
        <v>swatibagul1283@gmail.com</v>
      </c>
    </row>
    <row r="1994" spans="1:19" ht="12.5" x14ac:dyDescent="0.25">
      <c r="A1994" s="2">
        <f ca="1">IFERROR(__xludf.DUMMYFUNCTION("""COMPUTED_VALUE"""),45062.9593044444)</f>
        <v>45062.959304444397</v>
      </c>
      <c r="B1994" s="1" t="str">
        <f ca="1">IFERROR(__xludf.DUMMYFUNCTION("""COMPUTED_VALUE"""),"India")</f>
        <v>India</v>
      </c>
      <c r="C1994" s="1">
        <f ca="1">IFERROR(__xludf.DUMMYFUNCTION("""COMPUTED_VALUE"""),208011)</f>
        <v>208011</v>
      </c>
      <c r="D1994" s="1" t="str">
        <f ca="1">IFERROR(__xludf.DUMMYFUNCTION("""COMPUTED_VALUE"""),"Female")</f>
        <v>Female</v>
      </c>
      <c r="E1994" s="1" t="str">
        <f ca="1">IFERROR(__xludf.DUMMYFUNCTION("""COMPUTED_VALUE"""),"My Parents")</f>
        <v>My Parents</v>
      </c>
      <c r="F1994" s="1" t="str">
        <f ca="1">IFERROR(__xludf.DUMMYFUNCTION("""COMPUTED_VALUE"""),"Yes, I will earn and do that")</f>
        <v>Yes, I will earn and do that</v>
      </c>
      <c r="G1994" s="1" t="str">
        <f ca="1">IFERROR(__xludf.DUMMYFUNCTION("""COMPUTED_VALUE"""),"This will be hard to do, but if it is the right company I would try")</f>
        <v>This will be hard to do, but if it is the right company I would try</v>
      </c>
      <c r="H1994" s="1" t="str">
        <f ca="1">IFERROR(__xludf.DUMMYFUNCTION("""COMPUTED_VALUE"""),"No")</f>
        <v>No</v>
      </c>
      <c r="I1994" s="1" t="str">
        <f ca="1">IFERROR(__xludf.DUMMYFUNCTION("""COMPUTED_VALUE"""),"Will NOT work for them")</f>
        <v>Will NOT work for them</v>
      </c>
      <c r="J1994" s="1">
        <f ca="1">IFERROR(__xludf.DUMMYFUNCTION("""COMPUTED_VALUE"""),4)</f>
        <v>4</v>
      </c>
      <c r="K1994" s="1" t="str">
        <f ca="1">IFERROR(__xludf.DUMMYFUNCTION("""COMPUTED_VALUE"""),"Hybrid Working Environment with less than 3 days a month at office")</f>
        <v>Hybrid Working Environment with less than 3 days a month at office</v>
      </c>
      <c r="L1994" s="1" t="str">
        <f ca="1">IFERROR(__xludf.DUMMYFUNCTION("""COMPUTED_VALUE"""),"Employer who appreciates learning and enables that environment")</f>
        <v>Employer who appreciates learning and enables that environment</v>
      </c>
      <c r="M199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1994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1994" s="1" t="str">
        <f ca="1">IFERROR(__xludf.DUMMYFUNCTION("""COMPUTED_VALUE"""),"Manager who sets goal and helps me achieve it")</f>
        <v>Manager who sets goal and helps me achieve it</v>
      </c>
      <c r="P1994" s="1" t="str">
        <f ca="1">IFERROR(__xludf.DUMMYFUNCTION("""COMPUTED_VALUE"""),"Work with 5 to 6 people in my team")</f>
        <v>Work with 5 to 6 people in my team</v>
      </c>
      <c r="Q1994" s="1" t="str">
        <f ca="1">IFERROR(__xludf.DUMMYFUNCTION("""COMPUTED_VALUE"""),"No")</f>
        <v>No</v>
      </c>
      <c r="R1994" s="1" t="str">
        <f ca="1">IFERROR(__xludf.DUMMYFUNCTION("""COMPUTED_VALUE"""),"This will be hard to do, but if it is the right company I would try")</f>
        <v>This will be hard to do, but if it is the right company I would try</v>
      </c>
      <c r="S1994" s="1" t="str">
        <f ca="1">IFERROR(__xludf.DUMMYFUNCTION("""COMPUTED_VALUE"""),"ananya.trip1@gmail.com")</f>
        <v>ananya.trip1@gmail.com</v>
      </c>
    </row>
    <row r="1995" spans="1:19" ht="12.5" x14ac:dyDescent="0.25">
      <c r="A1995" s="2">
        <f ca="1">IFERROR(__xludf.DUMMYFUNCTION("""COMPUTED_VALUE"""),45062.9609169444)</f>
        <v>45062.960916944401</v>
      </c>
      <c r="B1995" s="1" t="str">
        <f ca="1">IFERROR(__xludf.DUMMYFUNCTION("""COMPUTED_VALUE"""),"India")</f>
        <v>India</v>
      </c>
      <c r="C1995" s="1">
        <f ca="1">IFERROR(__xludf.DUMMYFUNCTION("""COMPUTED_VALUE"""),827013)</f>
        <v>827013</v>
      </c>
      <c r="D1995" s="1" t="str">
        <f ca="1">IFERROR(__xludf.DUMMYFUNCTION("""COMPUTED_VALUE"""),"Male")</f>
        <v>Male</v>
      </c>
      <c r="E1995" s="1" t="str">
        <f ca="1">IFERROR(__xludf.DUMMYFUNCTION("""COMPUTED_VALUE"""),"People who have changed the world for better")</f>
        <v>People who have changed the world for better</v>
      </c>
      <c r="F1995" s="1" t="str">
        <f ca="1">IFERROR(__xludf.DUMMYFUNCTION("""COMPUTED_VALUE"""),"Yes, I will earn and do that")</f>
        <v>Yes, I will earn and do that</v>
      </c>
      <c r="G1995" s="1" t="str">
        <f ca="1">IFERROR(__xludf.DUMMYFUNCTION("""COMPUTED_VALUE"""),"Will work for 3 years or more")</f>
        <v>Will work for 3 years or more</v>
      </c>
      <c r="H1995" s="1" t="str">
        <f ca="1">IFERROR(__xludf.DUMMYFUNCTION("""COMPUTED_VALUE"""),"No")</f>
        <v>No</v>
      </c>
      <c r="I1995" s="1" t="str">
        <f ca="1">IFERROR(__xludf.DUMMYFUNCTION("""COMPUTED_VALUE"""),"Will NOT work for them")</f>
        <v>Will NOT work for them</v>
      </c>
      <c r="J1995" s="1">
        <f ca="1">IFERROR(__xludf.DUMMYFUNCTION("""COMPUTED_VALUE"""),5)</f>
        <v>5</v>
      </c>
      <c r="K1995" s="1" t="str">
        <f ca="1">IFERROR(__xludf.DUMMYFUNCTION("""COMPUTED_VALUE"""),"Fully Remote with Options to travel as and when needed")</f>
        <v>Fully Remote with Options to travel as and when needed</v>
      </c>
      <c r="L19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9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1995" s="1" t="str">
        <f ca="1">IFERROR(__xludf.DUMMYFUNCTION("""COMPUTED_VALUE"""),"Teaching in any of the institutes/colleges/online or offline, Build and develop a Team, Design and Develop amazing software, Work as a freelancer and do my thing my way")</f>
        <v>Teaching in any of the institutes/colleges/online or offline, Build and develop a Team, Design and Develop amazing software, Work as a freelancer and do my thing my way</v>
      </c>
      <c r="O1995" s="1" t="str">
        <f ca="1">IFERROR(__xludf.DUMMYFUNCTION("""COMPUTED_VALUE"""),"Manager who explains what is expected, sets a goal and helps achieve it")</f>
        <v>Manager who explains what is expected, sets a goal and helps achieve it</v>
      </c>
      <c r="P1995" s="1" t="str">
        <f ca="1">IFERROR(__xludf.DUMMYFUNCTION("""COMPUTED_VALUE"""),"Work with 5 to 6 people in my team")</f>
        <v>Work with 5 to 6 people in my team</v>
      </c>
      <c r="Q1995" s="1" t="str">
        <f ca="1">IFERROR(__xludf.DUMMYFUNCTION("""COMPUTED_VALUE"""),"No")</f>
        <v>No</v>
      </c>
      <c r="R1995" s="1" t="str">
        <f ca="1">IFERROR(__xludf.DUMMYFUNCTION("""COMPUTED_VALUE"""),"This will be hard to do, but if it is the right company I would try")</f>
        <v>This will be hard to do, but if it is the right company I would try</v>
      </c>
      <c r="S1995" s="1" t="str">
        <f ca="1">IFERROR(__xludf.DUMMYFUNCTION("""COMPUTED_VALUE"""),"ashutoshpoddar111@gmail.com")</f>
        <v>ashutoshpoddar111@gmail.com</v>
      </c>
    </row>
    <row r="1996" spans="1:19" ht="12.5" x14ac:dyDescent="0.25">
      <c r="A1996" s="2">
        <f ca="1">IFERROR(__xludf.DUMMYFUNCTION("""COMPUTED_VALUE"""),45062.9633499884)</f>
        <v>45062.9633499884</v>
      </c>
      <c r="B1996" s="1" t="str">
        <f ca="1">IFERROR(__xludf.DUMMYFUNCTION("""COMPUTED_VALUE"""),"India")</f>
        <v>India</v>
      </c>
      <c r="C1996" s="1">
        <f ca="1">IFERROR(__xludf.DUMMYFUNCTION("""COMPUTED_VALUE"""),110089)</f>
        <v>110089</v>
      </c>
      <c r="D1996" s="1" t="str">
        <f ca="1">IFERROR(__xludf.DUMMYFUNCTION("""COMPUTED_VALUE"""),"Female")</f>
        <v>Female</v>
      </c>
      <c r="E1996" s="1" t="str">
        <f ca="1">IFERROR(__xludf.DUMMYFUNCTION("""COMPUTED_VALUE"""),"Social Media like LinkedIn")</f>
        <v>Social Media like LinkedIn</v>
      </c>
      <c r="F1996" s="1" t="str">
        <f ca="1">IFERROR(__xludf.DUMMYFUNCTION("""COMPUTED_VALUE"""),"Yes, I will earn and do that")</f>
        <v>Yes, I will earn and do that</v>
      </c>
      <c r="G1996" s="1" t="str">
        <f ca="1">IFERROR(__xludf.DUMMYFUNCTION("""COMPUTED_VALUE"""),"This will be hard to do, but if it is the right company I would try")</f>
        <v>This will be hard to do, but if it is the right company I would try</v>
      </c>
      <c r="H1996" s="1" t="str">
        <f ca="1">IFERROR(__xludf.DUMMYFUNCTION("""COMPUTED_VALUE"""),"No")</f>
        <v>No</v>
      </c>
      <c r="I1996" s="1" t="str">
        <f ca="1">IFERROR(__xludf.DUMMYFUNCTION("""COMPUTED_VALUE"""),"Will work for them")</f>
        <v>Will work for them</v>
      </c>
      <c r="J1996" s="1">
        <f ca="1">IFERROR(__xludf.DUMMYFUNCTION("""COMPUTED_VALUE"""),10)</f>
        <v>10</v>
      </c>
      <c r="K1996" s="1" t="str">
        <f ca="1">IFERROR(__xludf.DUMMYFUNCTION("""COMPUTED_VALUE"""),"Hybrid Working Environment with more than 15 days a month at office")</f>
        <v>Hybrid Working Environment with more than 15 days a month at office</v>
      </c>
      <c r="L19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9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1996" s="1" t="str">
        <f ca="1">IFERROR(__xludf.DUMMYFUNCTION("""COMPUTED_VALUE"""),"Manage and drive End-to-End Projects or Products, Look deeply into Data and generate insights, Work as a freelancer and do my thing my way, I Want to sell things/Sales")</f>
        <v>Manage and drive End-to-End Projects or Products, Look deeply into Data and generate insights, Work as a freelancer and do my thing my way, I Want to sell things/Sales</v>
      </c>
      <c r="O1996" s="1" t="str">
        <f ca="1">IFERROR(__xludf.DUMMYFUNCTION("""COMPUTED_VALUE"""),"Manager who sets targets and expects me to achieve it")</f>
        <v>Manager who sets targets and expects me to achieve it</v>
      </c>
      <c r="P1996" s="1" t="str">
        <f ca="1">IFERROR(__xludf.DUMMYFUNCTION("""COMPUTED_VALUE"""),"Work with 7 to 10 or more people in my team")</f>
        <v>Work with 7 to 10 or more people in my team</v>
      </c>
      <c r="Q1996" s="1" t="str">
        <f ca="1">IFERROR(__xludf.DUMMYFUNCTION("""COMPUTED_VALUE"""),"Yes, I Understand this is gonna happen everywhere")</f>
        <v>Yes, I Understand this is gonna happen everywhere</v>
      </c>
      <c r="R1996" s="1" t="str">
        <f ca="1">IFERROR(__xludf.DUMMYFUNCTION("""COMPUTED_VALUE"""),"No way")</f>
        <v>No way</v>
      </c>
      <c r="S1996" s="1" t="str">
        <f ca="1">IFERROR(__xludf.DUMMYFUNCTION("""COMPUTED_VALUE"""),"kavitanair1998@gmail.com")</f>
        <v>kavitanair1998@gmail.com</v>
      </c>
    </row>
    <row r="1997" spans="1:19" ht="12.5" x14ac:dyDescent="0.25">
      <c r="A1997" s="2">
        <f ca="1">IFERROR(__xludf.DUMMYFUNCTION("""COMPUTED_VALUE"""),45062.9633675231)</f>
        <v>45062.963367523102</v>
      </c>
      <c r="B1997" s="1" t="str">
        <f ca="1">IFERROR(__xludf.DUMMYFUNCTION("""COMPUTED_VALUE"""),"India")</f>
        <v>India</v>
      </c>
      <c r="C1997" s="1">
        <f ca="1">IFERROR(__xludf.DUMMYFUNCTION("""COMPUTED_VALUE"""),533201)</f>
        <v>533201</v>
      </c>
      <c r="D1997" s="1" t="str">
        <f ca="1">IFERROR(__xludf.DUMMYFUNCTION("""COMPUTED_VALUE"""),"Female")</f>
        <v>Female</v>
      </c>
      <c r="E1997" s="1" t="str">
        <f ca="1">IFERROR(__xludf.DUMMYFUNCTION("""COMPUTED_VALUE"""),"People from my circle, but not family members")</f>
        <v>People from my circle, but not family members</v>
      </c>
      <c r="F1997" s="1" t="str">
        <f ca="1">IFERROR(__xludf.DUMMYFUNCTION("""COMPUTED_VALUE"""),"No, But if someone could bare the cost I will")</f>
        <v>No, But if someone could bare the cost I will</v>
      </c>
      <c r="G1997" s="1" t="str">
        <f ca="1">IFERROR(__xludf.DUMMYFUNCTION("""COMPUTED_VALUE"""),"This will be hard to do, but if it is the right company I would try")</f>
        <v>This will be hard to do, but if it is the right company I would try</v>
      </c>
      <c r="H1997" s="1" t="str">
        <f ca="1">IFERROR(__xludf.DUMMYFUNCTION("""COMPUTED_VALUE"""),"No")</f>
        <v>No</v>
      </c>
      <c r="I1997" s="1" t="str">
        <f ca="1">IFERROR(__xludf.DUMMYFUNCTION("""COMPUTED_VALUE"""),"Will NOT work for them")</f>
        <v>Will NOT work for them</v>
      </c>
      <c r="J1997" s="1">
        <f ca="1">IFERROR(__xludf.DUMMYFUNCTION("""COMPUTED_VALUE"""),1)</f>
        <v>1</v>
      </c>
      <c r="K1997" s="1" t="str">
        <f ca="1">IFERROR(__xludf.DUMMYFUNCTION("""COMPUTED_VALUE"""),"Hybrid Working Environment with more than 15 days a month at office")</f>
        <v>Hybrid Working Environment with more than 15 days a month at office</v>
      </c>
      <c r="L19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9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1997" s="1" t="str">
        <f ca="1">IFERROR(__xludf.DUMMYFUNCTION("""COMPUTED_VALUE"""),"Design and Creative strategy in any company, Teaching in any of the institutes/colleges/online or offline, Entrepreneur or Start Up, I Want to sell things/Sales")</f>
        <v>Design and Creative strategy in any company, Teaching in any of the institutes/colleges/online or offline, Entrepreneur or Start Up, I Want to sell things/Sales</v>
      </c>
      <c r="O1997" s="1" t="str">
        <f ca="1">IFERROR(__xludf.DUMMYFUNCTION("""COMPUTED_VALUE"""),"Manager who explains what is expected, sets a goal and helps achieve it")</f>
        <v>Manager who explains what is expected, sets a goal and helps achieve it</v>
      </c>
      <c r="P1997" s="1" t="str">
        <f ca="1">IFERROR(__xludf.DUMMYFUNCTION("""COMPUTED_VALUE"""),"Work with 2 to 3 people in my team")</f>
        <v>Work with 2 to 3 people in my team</v>
      </c>
      <c r="Q1997" s="1" t="str">
        <f ca="1">IFERROR(__xludf.DUMMYFUNCTION("""COMPUTED_VALUE"""),"No")</f>
        <v>No</v>
      </c>
      <c r="R1997" s="1" t="str">
        <f ca="1">IFERROR(__xludf.DUMMYFUNCTION("""COMPUTED_VALUE"""),"This will be hard to do, but if it is the right company I would try")</f>
        <v>This will be hard to do, but if it is the right company I would try</v>
      </c>
      <c r="S1997" s="1" t="str">
        <f ca="1">IFERROR(__xludf.DUMMYFUNCTION("""COMPUTED_VALUE"""),"vnlakshmidevincc@gmail.com")</f>
        <v>vnlakshmidevincc@gmail.com</v>
      </c>
    </row>
    <row r="1998" spans="1:19" ht="12.5" x14ac:dyDescent="0.25">
      <c r="A1998" s="2">
        <f ca="1">IFERROR(__xludf.DUMMYFUNCTION("""COMPUTED_VALUE"""),45062.9661014351)</f>
        <v>45062.9661014351</v>
      </c>
      <c r="B1998" s="1" t="str">
        <f ca="1">IFERROR(__xludf.DUMMYFUNCTION("""COMPUTED_VALUE"""),"India")</f>
        <v>India</v>
      </c>
      <c r="C1998" s="1">
        <f ca="1">IFERROR(__xludf.DUMMYFUNCTION("""COMPUTED_VALUE"""),110059)</f>
        <v>110059</v>
      </c>
      <c r="D1998" s="1" t="str">
        <f ca="1">IFERROR(__xludf.DUMMYFUNCTION("""COMPUTED_VALUE"""),"Female")</f>
        <v>Female</v>
      </c>
      <c r="E1998" s="1" t="str">
        <f ca="1">IFERROR(__xludf.DUMMYFUNCTION("""COMPUTED_VALUE"""),"Influencers who had successful careers")</f>
        <v>Influencers who had successful careers</v>
      </c>
      <c r="F1998" s="1" t="str">
        <f ca="1">IFERROR(__xludf.DUMMYFUNCTION("""COMPUTED_VALUE"""),"No, But if someone could bare the cost I will")</f>
        <v>No, But if someone could bare the cost I will</v>
      </c>
      <c r="G1998" s="1" t="str">
        <f ca="1">IFERROR(__xludf.DUMMYFUNCTION("""COMPUTED_VALUE"""),"This will be hard to do, but if it is the right company I would try")</f>
        <v>This will be hard to do, but if it is the right company I would try</v>
      </c>
      <c r="H1998" s="1" t="str">
        <f ca="1">IFERROR(__xludf.DUMMYFUNCTION("""COMPUTED_VALUE"""),"No")</f>
        <v>No</v>
      </c>
      <c r="I1998" s="1" t="str">
        <f ca="1">IFERROR(__xludf.DUMMYFUNCTION("""COMPUTED_VALUE"""),"Will NOT work for them")</f>
        <v>Will NOT work for them</v>
      </c>
      <c r="J1998" s="1">
        <f ca="1">IFERROR(__xludf.DUMMYFUNCTION("""COMPUTED_VALUE"""),4)</f>
        <v>4</v>
      </c>
      <c r="K1998" s="1" t="str">
        <f ca="1">IFERROR(__xludf.DUMMYFUNCTION("""COMPUTED_VALUE"""),"Hybrid Working Environment with more than 15 days a month at office")</f>
        <v>Hybrid Working Environment with more than 15 days a month at office</v>
      </c>
      <c r="L19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9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1998" s="1" t="str">
        <f ca="1">IFERROR(__xludf.DUMMYFUNCTION("""COMPUTED_VALUE"""),"Teaching in any of the institutes/colleges/online or offline, Look deeply into Data and generate insights, Work in a BPO setup for some well known client, An Artificial Intelligence Specialist / Talking to Robots")</f>
        <v>Teaching in any of the institutes/colleges/online or offline, Look deeply into Data and generate insights, Work in a BPO setup for some well known client, An Artificial Intelligence Specialist / Talking to Robots</v>
      </c>
      <c r="O1998" s="1" t="str">
        <f ca="1">IFERROR(__xludf.DUMMYFUNCTION("""COMPUTED_VALUE"""),"Manager who explains what is expected, sets a goal and helps achieve it")</f>
        <v>Manager who explains what is expected, sets a goal and helps achieve it</v>
      </c>
      <c r="P1998" s="1" t="str">
        <f ca="1">IFERROR(__xludf.DUMMYFUNCTION("""COMPUTED_VALUE"""),"Work with 7 to 10 or more people in my team")</f>
        <v>Work with 7 to 10 or more people in my team</v>
      </c>
      <c r="Q1998" s="1" t="str">
        <f ca="1">IFERROR(__xludf.DUMMYFUNCTION("""COMPUTED_VALUE"""),"I have NO other choice")</f>
        <v>I have NO other choice</v>
      </c>
      <c r="R1998" s="1" t="str">
        <f ca="1">IFERROR(__xludf.DUMMYFUNCTION("""COMPUTED_VALUE"""),"No way")</f>
        <v>No way</v>
      </c>
      <c r="S1998" s="1" t="str">
        <f ca="1">IFERROR(__xludf.DUMMYFUNCTION("""COMPUTED_VALUE"""),"gazalaggarwal3@gmail.com")</f>
        <v>gazalaggarwal3@gmail.com</v>
      </c>
    </row>
    <row r="1999" spans="1:19" ht="12.5" x14ac:dyDescent="0.25">
      <c r="A1999" s="2">
        <f ca="1">IFERROR(__xludf.DUMMYFUNCTION("""COMPUTED_VALUE"""),45062.9671082638)</f>
        <v>45062.967108263801</v>
      </c>
      <c r="B1999" s="1" t="str">
        <f ca="1">IFERROR(__xludf.DUMMYFUNCTION("""COMPUTED_VALUE"""),"India")</f>
        <v>India</v>
      </c>
      <c r="C1999" s="1">
        <f ca="1">IFERROR(__xludf.DUMMYFUNCTION("""COMPUTED_VALUE"""),122017)</f>
        <v>122017</v>
      </c>
      <c r="D1999" s="1" t="str">
        <f ca="1">IFERROR(__xludf.DUMMYFUNCTION("""COMPUTED_VALUE"""),"Female")</f>
        <v>Female</v>
      </c>
      <c r="E1999" s="1" t="str">
        <f ca="1">IFERROR(__xludf.DUMMYFUNCTION("""COMPUTED_VALUE"""),"Influencers who had successful careers")</f>
        <v>Influencers who had successful careers</v>
      </c>
      <c r="F1999" s="1" t="str">
        <f ca="1">IFERROR(__xludf.DUMMYFUNCTION("""COMPUTED_VALUE"""),"Yes, I will earn and do that")</f>
        <v>Yes, I will earn and do that</v>
      </c>
      <c r="G1999" s="1" t="str">
        <f ca="1">IFERROR(__xludf.DUMMYFUNCTION("""COMPUTED_VALUE"""),"This will be hard to do, but if it is the right company I would try")</f>
        <v>This will be hard to do, but if it is the right company I would try</v>
      </c>
      <c r="H1999" s="1" t="str">
        <f ca="1">IFERROR(__xludf.DUMMYFUNCTION("""COMPUTED_VALUE"""),"No")</f>
        <v>No</v>
      </c>
      <c r="I1999" s="1" t="str">
        <f ca="1">IFERROR(__xludf.DUMMYFUNCTION("""COMPUTED_VALUE"""),"Will NOT work for them")</f>
        <v>Will NOT work for them</v>
      </c>
      <c r="J1999" s="1">
        <f ca="1">IFERROR(__xludf.DUMMYFUNCTION("""COMPUTED_VALUE"""),5)</f>
        <v>5</v>
      </c>
      <c r="K1999" s="1" t="str">
        <f ca="1">IFERROR(__xludf.DUMMYFUNCTION("""COMPUTED_VALUE"""),"Hybrid Working Environment with more than 15 days a month at office")</f>
        <v>Hybrid Working Environment with more than 15 days a month at office</v>
      </c>
      <c r="L19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199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1999" s="1" t="str">
        <f ca="1">IFERROR(__xludf.DUMMYFUNCTION("""COMPUTED_VALUE"""),"Design and Creative strategy in any company, Business Operations in any organization, Look deeply into Data and generate insights, Become a content Creator in some platform")</f>
        <v>Design and Creative strategy in any company, Business Operations in any organization, Look deeply into Data and generate insights, Become a content Creator in some platform</v>
      </c>
      <c r="O1999" s="1" t="str">
        <f ca="1">IFERROR(__xludf.DUMMYFUNCTION("""COMPUTED_VALUE"""),"Manager who sets goal and helps me achieve it")</f>
        <v>Manager who sets goal and helps me achieve it</v>
      </c>
      <c r="P1999" s="1" t="str">
        <f ca="1">IFERROR(__xludf.DUMMYFUNCTION("""COMPUTED_VALUE"""),"Work with 2 to 3 people in my team, Work with 5 to 6 people in my team")</f>
        <v>Work with 2 to 3 people in my team, Work with 5 to 6 people in my team</v>
      </c>
      <c r="Q1999" s="1" t="str">
        <f ca="1">IFERROR(__xludf.DUMMYFUNCTION("""COMPUTED_VALUE"""),"Yes, I Understand this is gonna happen everywhere")</f>
        <v>Yes, I Understand this is gonna happen everywhere</v>
      </c>
      <c r="R1999" s="1" t="str">
        <f ca="1">IFERROR(__xludf.DUMMYFUNCTION("""COMPUTED_VALUE"""),"This will be hard to do, but if it is the right company I would try")</f>
        <v>This will be hard to do, but if it is the right company I would try</v>
      </c>
      <c r="S1999" s="1" t="str">
        <f ca="1">IFERROR(__xludf.DUMMYFUNCTION("""COMPUTED_VALUE"""),"dhwani.badia15@gmail.com")</f>
        <v>dhwani.badia15@gmail.com</v>
      </c>
    </row>
    <row r="2000" spans="1:19" ht="12.5" x14ac:dyDescent="0.25">
      <c r="A2000" s="2">
        <f ca="1">IFERROR(__xludf.DUMMYFUNCTION("""COMPUTED_VALUE"""),45062.9700517476)</f>
        <v>45062.970051747601</v>
      </c>
      <c r="B2000" s="1" t="str">
        <f ca="1">IFERROR(__xludf.DUMMYFUNCTION("""COMPUTED_VALUE"""),"India")</f>
        <v>India</v>
      </c>
      <c r="C2000" s="1">
        <f ca="1">IFERROR(__xludf.DUMMYFUNCTION("""COMPUTED_VALUE"""),606108)</f>
        <v>606108</v>
      </c>
      <c r="D2000" s="1" t="str">
        <f ca="1">IFERROR(__xludf.DUMMYFUNCTION("""COMPUTED_VALUE"""),"Male")</f>
        <v>Male</v>
      </c>
      <c r="E2000" s="1" t="str">
        <f ca="1">IFERROR(__xludf.DUMMYFUNCTION("""COMPUTED_VALUE"""),"People from my circle, but not family members")</f>
        <v>People from my circle, but not family members</v>
      </c>
      <c r="F2000" s="1" t="str">
        <f ca="1">IFERROR(__xludf.DUMMYFUNCTION("""COMPUTED_VALUE"""),"Yes, I will earn and do that")</f>
        <v>Yes, I will earn and do that</v>
      </c>
      <c r="G2000" s="1" t="str">
        <f ca="1">IFERROR(__xludf.DUMMYFUNCTION("""COMPUTED_VALUE"""),"No way")</f>
        <v>No way</v>
      </c>
      <c r="H2000" s="1" t="str">
        <f ca="1">IFERROR(__xludf.DUMMYFUNCTION("""COMPUTED_VALUE"""),"Yes")</f>
        <v>Yes</v>
      </c>
      <c r="I2000" s="1" t="str">
        <f ca="1">IFERROR(__xludf.DUMMYFUNCTION("""COMPUTED_VALUE"""),"Will work for them")</f>
        <v>Will work for them</v>
      </c>
      <c r="J2000" s="1">
        <f ca="1">IFERROR(__xludf.DUMMYFUNCTION("""COMPUTED_VALUE"""),3)</f>
        <v>3</v>
      </c>
      <c r="K2000" s="1" t="str">
        <f ca="1">IFERROR(__xludf.DUMMYFUNCTION("""COMPUTED_VALUE"""),"Hybrid Working Environment with less than 3 days a month at office")</f>
        <v>Hybrid Working Environment with less than 3 days a month at office</v>
      </c>
      <c r="L2000" s="1" t="str">
        <f ca="1">IFERROR(__xludf.DUMMYFUNCTION("""COMPUTED_VALUE"""),"Employer who appreciates learning and enables that environment")</f>
        <v>Employer who appreciates learning and enables that environment</v>
      </c>
      <c r="M200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00" s="1" t="str">
        <f ca="1">IFERROR(__xludf.DUMMYFUNCTION("""COMPUTED_VALUE"""),"Design and Creative strategy in any company, Teaching in any of the institutes/colleges/online or offline, Look deeply into Data and generate insights, Entrepreneur or Start Up")</f>
        <v>Design and Creative strategy in any company, Teaching in any of the institutes/colleges/online or offline, Look deeply into Data and generate insights, Entrepreneur or Start Up</v>
      </c>
      <c r="O2000" s="1" t="str">
        <f ca="1">IFERROR(__xludf.DUMMYFUNCTION("""COMPUTED_VALUE"""),"Manager who sets targets and expects me to achieve it")</f>
        <v>Manager who sets targets and expects me to achieve it</v>
      </c>
      <c r="P2000" s="1" t="str">
        <f ca="1">IFERROR(__xludf.DUMMYFUNCTION("""COMPUTED_VALUE"""),"Work alone, Work with more than 10 people in my team")</f>
        <v>Work alone, Work with more than 10 people in my team</v>
      </c>
      <c r="Q2000" s="1" t="str">
        <f ca="1">IFERROR(__xludf.DUMMYFUNCTION("""COMPUTED_VALUE"""),"I have NO other choice")</f>
        <v>I have NO other choice</v>
      </c>
      <c r="R2000" s="1" t="str">
        <f ca="1">IFERROR(__xludf.DUMMYFUNCTION("""COMPUTED_VALUE"""),"No way")</f>
        <v>No way</v>
      </c>
      <c r="S2000" s="1" t="str">
        <f ca="1">IFERROR(__xludf.DUMMYFUNCTION("""COMPUTED_VALUE"""),"francisyasu7620@gmail.com")</f>
        <v>francisyasu7620@gmail.com</v>
      </c>
    </row>
    <row r="2001" spans="1:19" ht="12.5" x14ac:dyDescent="0.25">
      <c r="A2001" s="2">
        <f ca="1">IFERROR(__xludf.DUMMYFUNCTION("""COMPUTED_VALUE"""),45062.971087824)</f>
        <v>45062.971087824</v>
      </c>
      <c r="B2001" s="1" t="str">
        <f ca="1">IFERROR(__xludf.DUMMYFUNCTION("""COMPUTED_VALUE"""),"India")</f>
        <v>India</v>
      </c>
      <c r="C2001" s="1">
        <f ca="1">IFERROR(__xludf.DUMMYFUNCTION("""COMPUTED_VALUE"""),416304)</f>
        <v>416304</v>
      </c>
      <c r="D2001" s="1" t="str">
        <f ca="1">IFERROR(__xludf.DUMMYFUNCTION("""COMPUTED_VALUE"""),"Female")</f>
        <v>Female</v>
      </c>
      <c r="E2001" s="1" t="str">
        <f ca="1">IFERROR(__xludf.DUMMYFUNCTION("""COMPUTED_VALUE"""),"People from my circle, but not family members")</f>
        <v>People from my circle, but not family members</v>
      </c>
      <c r="F2001" s="1" t="str">
        <f ca="1">IFERROR(__xludf.DUMMYFUNCTION("""COMPUTED_VALUE"""),"No, But if someone could bare the cost I will")</f>
        <v>No, But if someone could bare the cost I will</v>
      </c>
      <c r="G2001" s="1" t="str">
        <f ca="1">IFERROR(__xludf.DUMMYFUNCTION("""COMPUTED_VALUE"""),"This will be hard to do, but if it is the right company I would try")</f>
        <v>This will be hard to do, but if it is the right company I would try</v>
      </c>
      <c r="H2001" s="1" t="str">
        <f ca="1">IFERROR(__xludf.DUMMYFUNCTION("""COMPUTED_VALUE"""),"No")</f>
        <v>No</v>
      </c>
      <c r="I2001" s="1" t="str">
        <f ca="1">IFERROR(__xludf.DUMMYFUNCTION("""COMPUTED_VALUE"""),"Will NOT work for them")</f>
        <v>Will NOT work for them</v>
      </c>
      <c r="J2001" s="1">
        <f ca="1">IFERROR(__xludf.DUMMYFUNCTION("""COMPUTED_VALUE"""),2)</f>
        <v>2</v>
      </c>
      <c r="K2001" s="1" t="str">
        <f ca="1">IFERROR(__xludf.DUMMYFUNCTION("""COMPUTED_VALUE"""),"Hybrid Working Environment with more than 15 days a month at office")</f>
        <v>Hybrid Working Environment with more than 15 days a month at office</v>
      </c>
      <c r="L2001" s="1" t="str">
        <f ca="1">IFERROR(__xludf.DUMMYFUNCTION("""COMPUTED_VALUE"""),"Employer who appreciates learning and enables that environment")</f>
        <v>Employer who appreciates learning and enables that environment</v>
      </c>
      <c r="M200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01" s="1" t="str">
        <f ca="1">IFERROR(__xludf.DUMMYFUNCTION("""COMPUTED_VALUE"""),"Design and Creative strategy in any company, Build and develop a Team, Entrepreneur or Start Up, An Artificial Intelligence Specialist / Talking to Robots")</f>
        <v>Design and Creative strategy in any company, Build and develop a Team, Entrepreneur or Start Up, An Artificial Intelligence Specialist / Talking to Robots</v>
      </c>
      <c r="O2001" s="1" t="str">
        <f ca="1">IFERROR(__xludf.DUMMYFUNCTION("""COMPUTED_VALUE"""),"Manager who sets goal and helps me achieve it")</f>
        <v>Manager who sets goal and helps me achieve it</v>
      </c>
      <c r="P2001" s="1" t="str">
        <f ca="1">IFERROR(__xludf.DUMMYFUNCTION("""COMPUTED_VALUE"""),"Work with 2 to 3 people in my team")</f>
        <v>Work with 2 to 3 people in my team</v>
      </c>
      <c r="Q2001" s="1" t="str">
        <f ca="1">IFERROR(__xludf.DUMMYFUNCTION("""COMPUTED_VALUE"""),"Yes, I Understand this is gonna happen everywhere")</f>
        <v>Yes, I Understand this is gonna happen everywhere</v>
      </c>
      <c r="R2001" s="1" t="str">
        <f ca="1">IFERROR(__xludf.DUMMYFUNCTION("""COMPUTED_VALUE"""),"No way")</f>
        <v>No way</v>
      </c>
      <c r="S2001" s="1" t="str">
        <f ca="1">IFERROR(__xludf.DUMMYFUNCTION("""COMPUTED_VALUE"""),"shivanivaswade01@gmail.com")</f>
        <v>shivanivaswade01@gmail.com</v>
      </c>
    </row>
    <row r="2002" spans="1:19" ht="12.5" x14ac:dyDescent="0.25">
      <c r="A2002" s="2">
        <f ca="1">IFERROR(__xludf.DUMMYFUNCTION("""COMPUTED_VALUE"""),45062.9720824421)</f>
        <v>45062.972082442102</v>
      </c>
      <c r="B2002" s="1" t="str">
        <f ca="1">IFERROR(__xludf.DUMMYFUNCTION("""COMPUTED_VALUE"""),"India")</f>
        <v>India</v>
      </c>
      <c r="C2002" s="1">
        <f ca="1">IFERROR(__xludf.DUMMYFUNCTION("""COMPUTED_VALUE"""),632014)</f>
        <v>632014</v>
      </c>
      <c r="D2002" s="1" t="str">
        <f ca="1">IFERROR(__xludf.DUMMYFUNCTION("""COMPUTED_VALUE"""),"Male")</f>
        <v>Male</v>
      </c>
      <c r="E2002" s="1" t="str">
        <f ca="1">IFERROR(__xludf.DUMMYFUNCTION("""COMPUTED_VALUE"""),"People who have changed the world for better")</f>
        <v>People who have changed the world for better</v>
      </c>
      <c r="F2002" s="1" t="str">
        <f ca="1">IFERROR(__xludf.DUMMYFUNCTION("""COMPUTED_VALUE"""),"No I would not be pursuing Higher Education outside of India")</f>
        <v>No I would not be pursuing Higher Education outside of India</v>
      </c>
      <c r="G2002" s="1" t="str">
        <f ca="1">IFERROR(__xludf.DUMMYFUNCTION("""COMPUTED_VALUE"""),"Will work for 3 years or more")</f>
        <v>Will work for 3 years or more</v>
      </c>
      <c r="H2002" s="1" t="str">
        <f ca="1">IFERROR(__xludf.DUMMYFUNCTION("""COMPUTED_VALUE"""),"Yes")</f>
        <v>Yes</v>
      </c>
      <c r="I2002" s="1" t="str">
        <f ca="1">IFERROR(__xludf.DUMMYFUNCTION("""COMPUTED_VALUE"""),"Will NOT work for them")</f>
        <v>Will NOT work for them</v>
      </c>
      <c r="J2002" s="1">
        <f ca="1">IFERROR(__xludf.DUMMYFUNCTION("""COMPUTED_VALUE"""),7)</f>
        <v>7</v>
      </c>
      <c r="K2002" s="1" t="str">
        <f ca="1">IFERROR(__xludf.DUMMYFUNCTION("""COMPUTED_VALUE"""),"Hybrid Working Environment with more than 15 days a month at office")</f>
        <v>Hybrid Working Environment with more than 15 days a month at office</v>
      </c>
      <c r="L2002" s="1" t="str">
        <f ca="1">IFERROR(__xludf.DUMMYFUNCTION("""COMPUTED_VALUE"""),"Employer who rewards learning and enables that environment")</f>
        <v>Employer who rewards learning and enables that environment</v>
      </c>
      <c r="M200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02" s="1" t="str">
        <f ca="1">IFERROR(__xludf.DUMMYFUNCTION("""COMPUTED_VALUE"""),"Design and Creative strategy in any company, Teaching in any of the institutes/colleges/online or offline, Entrepreneur or Start Up, Manufacturing / Oil and Gas/ Construction / Hard Physical Work related")</f>
        <v>Design and Creative strategy in any company, Teaching in any of the institutes/colleges/online or offline, Entrepreneur or Start Up, Manufacturing / Oil and Gas/ Construction / Hard Physical Work related</v>
      </c>
      <c r="O2002" s="1" t="str">
        <f ca="1">IFERROR(__xludf.DUMMYFUNCTION("""COMPUTED_VALUE"""),"Manager who explains what is expected, sets a goal and helps achieve it")</f>
        <v>Manager who explains what is expected, sets a goal and helps achieve it</v>
      </c>
      <c r="P2002" s="1" t="str">
        <f ca="1">IFERROR(__xludf.DUMMYFUNCTION("""COMPUTED_VALUE"""),"Work with 5 to 6 people in my team")</f>
        <v>Work with 5 to 6 people in my team</v>
      </c>
      <c r="Q2002" s="1" t="str">
        <f ca="1">IFERROR(__xludf.DUMMYFUNCTION("""COMPUTED_VALUE"""),"Yes, I Understand this is gonna happen everywhere")</f>
        <v>Yes, I Understand this is gonna happen everywhere</v>
      </c>
      <c r="R2002" s="1" t="str">
        <f ca="1">IFERROR(__xludf.DUMMYFUNCTION("""COMPUTED_VALUE"""),"No way")</f>
        <v>No way</v>
      </c>
      <c r="S2002" s="1" t="str">
        <f ca="1">IFERROR(__xludf.DUMMYFUNCTION("""COMPUTED_VALUE"""),"karthi05bala@gmail.com")</f>
        <v>karthi05bala@gmail.com</v>
      </c>
    </row>
    <row r="2003" spans="1:19" ht="12.5" x14ac:dyDescent="0.25">
      <c r="A2003" s="2">
        <f ca="1">IFERROR(__xludf.DUMMYFUNCTION("""COMPUTED_VALUE"""),45062.9756669791)</f>
        <v>45062.975666979102</v>
      </c>
      <c r="B2003" s="1" t="str">
        <f ca="1">IFERROR(__xludf.DUMMYFUNCTION("""COMPUTED_VALUE"""),"India")</f>
        <v>India</v>
      </c>
      <c r="C2003" s="1">
        <f ca="1">IFERROR(__xludf.DUMMYFUNCTION("""COMPUTED_VALUE"""),756045)</f>
        <v>756045</v>
      </c>
      <c r="D2003" s="1" t="str">
        <f ca="1">IFERROR(__xludf.DUMMYFUNCTION("""COMPUTED_VALUE"""),"Male")</f>
        <v>Male</v>
      </c>
      <c r="E2003" s="1" t="str">
        <f ca="1">IFERROR(__xludf.DUMMYFUNCTION("""COMPUTED_VALUE"""),"Influencers who had successful careers")</f>
        <v>Influencers who had successful careers</v>
      </c>
      <c r="F2003" s="1" t="str">
        <f ca="1">IFERROR(__xludf.DUMMYFUNCTION("""COMPUTED_VALUE"""),"No, But if someone could bare the cost I will")</f>
        <v>No, But if someone could bare the cost I will</v>
      </c>
      <c r="G2003" s="1" t="str">
        <f ca="1">IFERROR(__xludf.DUMMYFUNCTION("""COMPUTED_VALUE"""),"This will be hard to do, but if it is the right company I would try")</f>
        <v>This will be hard to do, but if it is the right company I would try</v>
      </c>
      <c r="H2003" s="1" t="str">
        <f ca="1">IFERROR(__xludf.DUMMYFUNCTION("""COMPUTED_VALUE"""),"Yes")</f>
        <v>Yes</v>
      </c>
      <c r="I2003" s="1" t="str">
        <f ca="1">IFERROR(__xludf.DUMMYFUNCTION("""COMPUTED_VALUE"""),"Will work for them")</f>
        <v>Will work for them</v>
      </c>
      <c r="J2003" s="1">
        <f ca="1">IFERROR(__xludf.DUMMYFUNCTION("""COMPUTED_VALUE"""),8)</f>
        <v>8</v>
      </c>
      <c r="K2003" s="1" t="str">
        <f ca="1">IFERROR(__xludf.DUMMYFUNCTION("""COMPUTED_VALUE"""),"Every Day Office Environment")</f>
        <v>Every Day Office Environment</v>
      </c>
      <c r="L20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0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03" s="1" t="str">
        <f ca="1">IFERROR(__xludf.DUMMYFUNCTION("""COMPUTED_VALUE"""),"Design and Creative strategy in any company, Look deeply into Data and generate insights, Work as a freelancer and do my thing my way, An Artificial Intelligence Specialist / Talking to Robots")</f>
        <v>Design and Creative strategy in any company, Look deeply into Data and generate insights, Work as a freelancer and do my thing my way, An Artificial Intelligence Specialist / Talking to Robots</v>
      </c>
      <c r="O2003" s="1" t="str">
        <f ca="1">IFERROR(__xludf.DUMMYFUNCTION("""COMPUTED_VALUE"""),"Manager who explains what is expected, sets a goal and helps achieve it")</f>
        <v>Manager who explains what is expected, sets a goal and helps achieve it</v>
      </c>
      <c r="P2003" s="1" t="str">
        <f ca="1">IFERROR(__xludf.DUMMYFUNCTION("""COMPUTED_VALUE"""),"Work with 2 to 3 people in my team, Work with 5 to 6 people in my team")</f>
        <v>Work with 2 to 3 people in my team, Work with 5 to 6 people in my team</v>
      </c>
      <c r="Q2003" s="1" t="str">
        <f ca="1">IFERROR(__xludf.DUMMYFUNCTION("""COMPUTED_VALUE"""),"Yes, I Understand this is gonna happen everywhere")</f>
        <v>Yes, I Understand this is gonna happen everywhere</v>
      </c>
      <c r="R2003" s="1" t="str">
        <f ca="1">IFERROR(__xludf.DUMMYFUNCTION("""COMPUTED_VALUE"""),"No way")</f>
        <v>No way</v>
      </c>
      <c r="S2003" s="1" t="str">
        <f ca="1">IFERROR(__xludf.DUMMYFUNCTION("""COMPUTED_VALUE"""),"kamila.mukesh@gmail.com")</f>
        <v>kamila.mukesh@gmail.com</v>
      </c>
    </row>
    <row r="2004" spans="1:19" ht="12.5" x14ac:dyDescent="0.25">
      <c r="A2004" s="2">
        <f ca="1">IFERROR(__xludf.DUMMYFUNCTION("""COMPUTED_VALUE"""),45062.9780316898)</f>
        <v>45062.978031689803</v>
      </c>
      <c r="B2004" s="1" t="str">
        <f ca="1">IFERROR(__xludf.DUMMYFUNCTION("""COMPUTED_VALUE"""),"India")</f>
        <v>India</v>
      </c>
      <c r="C2004" s="1">
        <f ca="1">IFERROR(__xludf.DUMMYFUNCTION("""COMPUTED_VALUE"""),600042)</f>
        <v>600042</v>
      </c>
      <c r="D2004" s="1" t="str">
        <f ca="1">IFERROR(__xludf.DUMMYFUNCTION("""COMPUTED_VALUE"""),"Male")</f>
        <v>Male</v>
      </c>
      <c r="E2004" s="1" t="str">
        <f ca="1">IFERROR(__xludf.DUMMYFUNCTION("""COMPUTED_VALUE"""),"People from my circle, but not family members")</f>
        <v>People from my circle, but not family members</v>
      </c>
      <c r="F2004" s="1" t="str">
        <f ca="1">IFERROR(__xludf.DUMMYFUNCTION("""COMPUTED_VALUE"""),"No I would not be pursuing Higher Education outside of India")</f>
        <v>No I would not be pursuing Higher Education outside of India</v>
      </c>
      <c r="G2004" s="1" t="str">
        <f ca="1">IFERROR(__xludf.DUMMYFUNCTION("""COMPUTED_VALUE"""),"Will work for 3 years or more")</f>
        <v>Will work for 3 years or more</v>
      </c>
      <c r="H2004" s="1" t="str">
        <f ca="1">IFERROR(__xludf.DUMMYFUNCTION("""COMPUTED_VALUE"""),"No")</f>
        <v>No</v>
      </c>
      <c r="I2004" s="1" t="str">
        <f ca="1">IFERROR(__xludf.DUMMYFUNCTION("""COMPUTED_VALUE"""),"Will NOT work for them")</f>
        <v>Will NOT work for them</v>
      </c>
      <c r="J2004" s="1">
        <f ca="1">IFERROR(__xludf.DUMMYFUNCTION("""COMPUTED_VALUE"""),7)</f>
        <v>7</v>
      </c>
      <c r="K2004" s="1" t="str">
        <f ca="1">IFERROR(__xludf.DUMMYFUNCTION("""COMPUTED_VALUE"""),"Hybrid Working Environment with more than 15 days a month at office")</f>
        <v>Hybrid Working Environment with more than 15 days a month at office</v>
      </c>
      <c r="L20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0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004" s="1" t="str">
        <f ca="1">IFERROR(__xludf.DUMMYFUNCTION("""COMPUTED_VALUE"""),"Design and Creative strategy in any company, Build and develop a Team, Look deeply into Data and generate insights, Manufacturing / Oil and Gas/ Construction / Hard Physical Work related")</f>
        <v>Design and Creative strategy in any company, Build and develop a Team, Look deeply into Data and generate insights, Manufacturing / Oil and Gas/ Construction / Hard Physical Work related</v>
      </c>
      <c r="O2004" s="1" t="str">
        <f ca="1">IFERROR(__xludf.DUMMYFUNCTION("""COMPUTED_VALUE"""),"Manager who sets goal and helps me achieve it")</f>
        <v>Manager who sets goal and helps me achieve it</v>
      </c>
      <c r="P2004" s="1" t="str">
        <f ca="1">IFERROR(__xludf.DUMMYFUNCTION("""COMPUTED_VALUE"""),"Work with 2 to 3 people in my team")</f>
        <v>Work with 2 to 3 people in my team</v>
      </c>
      <c r="Q2004" s="1" t="str">
        <f ca="1">IFERROR(__xludf.DUMMYFUNCTION("""COMPUTED_VALUE"""),"Yes, I Understand this is gonna happen everywhere")</f>
        <v>Yes, I Understand this is gonna happen everywhere</v>
      </c>
      <c r="R2004" s="1" t="str">
        <f ca="1">IFERROR(__xludf.DUMMYFUNCTION("""COMPUTED_VALUE"""),"Will work for 7 years or more")</f>
        <v>Will work for 7 years or more</v>
      </c>
      <c r="S2004" s="1" t="str">
        <f ca="1">IFERROR(__xludf.DUMMYFUNCTION("""COMPUTED_VALUE"""),"nshankara2002@gmail.com")</f>
        <v>nshankara2002@gmail.com</v>
      </c>
    </row>
    <row r="2005" spans="1:19" ht="12.5" x14ac:dyDescent="0.25">
      <c r="A2005" s="2">
        <f ca="1">IFERROR(__xludf.DUMMYFUNCTION("""COMPUTED_VALUE"""),45062.9791523842)</f>
        <v>45062.9791523842</v>
      </c>
      <c r="B2005" s="1" t="str">
        <f ca="1">IFERROR(__xludf.DUMMYFUNCTION("""COMPUTED_VALUE"""),"India")</f>
        <v>India</v>
      </c>
      <c r="C2005" s="1">
        <f ca="1">IFERROR(__xludf.DUMMYFUNCTION("""COMPUTED_VALUE"""),110092)</f>
        <v>110092</v>
      </c>
      <c r="D2005" s="1" t="str">
        <f ca="1">IFERROR(__xludf.DUMMYFUNCTION("""COMPUTED_VALUE"""),"Male")</f>
        <v>Male</v>
      </c>
      <c r="E2005" s="1" t="str">
        <f ca="1">IFERROR(__xludf.DUMMYFUNCTION("""COMPUTED_VALUE"""),"People who have changed the world for better")</f>
        <v>People who have changed the world for better</v>
      </c>
      <c r="F2005" s="1" t="str">
        <f ca="1">IFERROR(__xludf.DUMMYFUNCTION("""COMPUTED_VALUE"""),"Yes, I will earn and do that")</f>
        <v>Yes, I will earn and do that</v>
      </c>
      <c r="G2005" s="1" t="str">
        <f ca="1">IFERROR(__xludf.DUMMYFUNCTION("""COMPUTED_VALUE"""),"Will work for 3 years or more")</f>
        <v>Will work for 3 years or more</v>
      </c>
      <c r="H2005" s="1" t="str">
        <f ca="1">IFERROR(__xludf.DUMMYFUNCTION("""COMPUTED_VALUE"""),"Yes")</f>
        <v>Yes</v>
      </c>
      <c r="I2005" s="1" t="str">
        <f ca="1">IFERROR(__xludf.DUMMYFUNCTION("""COMPUTED_VALUE"""),"Will NOT work for them")</f>
        <v>Will NOT work for them</v>
      </c>
      <c r="J2005" s="1">
        <f ca="1">IFERROR(__xludf.DUMMYFUNCTION("""COMPUTED_VALUE"""),3)</f>
        <v>3</v>
      </c>
      <c r="K2005" s="1" t="str">
        <f ca="1">IFERROR(__xludf.DUMMYFUNCTION("""COMPUTED_VALUE"""),"Every Day Office Environment")</f>
        <v>Every Day Office Environment</v>
      </c>
      <c r="L20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0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005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2005" s="1" t="str">
        <f ca="1">IFERROR(__xludf.DUMMYFUNCTION("""COMPUTED_VALUE"""),"Manager who sets goal and helps me achieve it")</f>
        <v>Manager who sets goal and helps me achieve it</v>
      </c>
      <c r="P2005" s="1" t="str">
        <f ca="1">IFERROR(__xludf.DUMMYFUNCTION("""COMPUTED_VALUE"""),"Work with 5 to 6 people in my team")</f>
        <v>Work with 5 to 6 people in my team</v>
      </c>
      <c r="Q2005" s="1" t="str">
        <f ca="1">IFERROR(__xludf.DUMMYFUNCTION("""COMPUTED_VALUE"""),"Yes, I Understand this is gonna happen everywhere")</f>
        <v>Yes, I Understand this is gonna happen everywhere</v>
      </c>
      <c r="R2005" s="1" t="str">
        <f ca="1">IFERROR(__xludf.DUMMYFUNCTION("""COMPUTED_VALUE"""),"This will be hard to do, but if it is the right company I would try")</f>
        <v>This will be hard to do, but if it is the right company I would try</v>
      </c>
      <c r="S2005" s="1" t="str">
        <f ca="1">IFERROR(__xludf.DUMMYFUNCTION("""COMPUTED_VALUE"""),"anish.makkar1999@gmail.com")</f>
        <v>anish.makkar1999@gmail.com</v>
      </c>
    </row>
    <row r="2006" spans="1:19" ht="12.5" x14ac:dyDescent="0.25">
      <c r="A2006" s="2">
        <f ca="1">IFERROR(__xludf.DUMMYFUNCTION("""COMPUTED_VALUE"""),45062.9817808912)</f>
        <v>45062.981780891198</v>
      </c>
      <c r="B2006" s="1" t="str">
        <f ca="1">IFERROR(__xludf.DUMMYFUNCTION("""COMPUTED_VALUE"""),"India")</f>
        <v>India</v>
      </c>
      <c r="C2006" s="1">
        <f ca="1">IFERROR(__xludf.DUMMYFUNCTION("""COMPUTED_VALUE"""),700065)</f>
        <v>700065</v>
      </c>
      <c r="D2006" s="1" t="str">
        <f ca="1">IFERROR(__xludf.DUMMYFUNCTION("""COMPUTED_VALUE"""),"Male")</f>
        <v>Male</v>
      </c>
      <c r="E2006" s="1" t="str">
        <f ca="1">IFERROR(__xludf.DUMMYFUNCTION("""COMPUTED_VALUE"""),"My Parents")</f>
        <v>My Parents</v>
      </c>
      <c r="F2006" s="1" t="str">
        <f ca="1">IFERROR(__xludf.DUMMYFUNCTION("""COMPUTED_VALUE"""),"Yes, I will earn and do that")</f>
        <v>Yes, I will earn and do that</v>
      </c>
      <c r="G2006" s="1" t="str">
        <f ca="1">IFERROR(__xludf.DUMMYFUNCTION("""COMPUTED_VALUE"""),"This will be hard to do, but if it is the right company I would try")</f>
        <v>This will be hard to do, but if it is the right company I would try</v>
      </c>
      <c r="H2006" s="1" t="str">
        <f ca="1">IFERROR(__xludf.DUMMYFUNCTION("""COMPUTED_VALUE"""),"No")</f>
        <v>No</v>
      </c>
      <c r="I2006" s="1" t="str">
        <f ca="1">IFERROR(__xludf.DUMMYFUNCTION("""COMPUTED_VALUE"""),"Will NOT work for them")</f>
        <v>Will NOT work for them</v>
      </c>
      <c r="J2006" s="1">
        <f ca="1">IFERROR(__xludf.DUMMYFUNCTION("""COMPUTED_VALUE"""),3)</f>
        <v>3</v>
      </c>
      <c r="K2006" s="1" t="str">
        <f ca="1">IFERROR(__xludf.DUMMYFUNCTION("""COMPUTED_VALUE"""),"Hybrid Working Environment with more than 15 days a month at office")</f>
        <v>Hybrid Working Environment with more than 15 days a month at office</v>
      </c>
      <c r="L20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0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06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006" s="1" t="str">
        <f ca="1">IFERROR(__xludf.DUMMYFUNCTION("""COMPUTED_VALUE"""),"Manager who explains what is expected, sets a goal and helps achieve it")</f>
        <v>Manager who explains what is expected, sets a goal and helps achieve it</v>
      </c>
      <c r="P2006" s="1" t="str">
        <f ca="1">IFERROR(__xludf.DUMMYFUNCTION("""COMPUTED_VALUE"""),"Work with 7 to 10 or more people in my team")</f>
        <v>Work with 7 to 10 or more people in my team</v>
      </c>
      <c r="Q2006" s="1" t="str">
        <f ca="1">IFERROR(__xludf.DUMMYFUNCTION("""COMPUTED_VALUE"""),"Yes, I Understand this is gonna happen everywhere")</f>
        <v>Yes, I Understand this is gonna happen everywhere</v>
      </c>
      <c r="R2006" s="1" t="str">
        <f ca="1">IFERROR(__xludf.DUMMYFUNCTION("""COMPUTED_VALUE"""),"No way")</f>
        <v>No way</v>
      </c>
      <c r="S2006" s="1" t="str">
        <f ca="1">IFERROR(__xludf.DUMMYFUNCTION("""COMPUTED_VALUE"""),"souptik.995@gmail.com")</f>
        <v>souptik.995@gmail.com</v>
      </c>
    </row>
    <row r="2007" spans="1:19" ht="12.5" x14ac:dyDescent="0.25">
      <c r="A2007" s="2">
        <f ca="1">IFERROR(__xludf.DUMMYFUNCTION("""COMPUTED_VALUE"""),45062.9846305324)</f>
        <v>45062.984630532403</v>
      </c>
      <c r="B2007" s="1" t="str">
        <f ca="1">IFERROR(__xludf.DUMMYFUNCTION("""COMPUTED_VALUE"""),"India")</f>
        <v>India</v>
      </c>
      <c r="C2007" s="1">
        <f ca="1">IFERROR(__xludf.DUMMYFUNCTION("""COMPUTED_VALUE"""),389230)</f>
        <v>389230</v>
      </c>
      <c r="D2007" s="1" t="str">
        <f ca="1">IFERROR(__xludf.DUMMYFUNCTION("""COMPUTED_VALUE"""),"Male")</f>
        <v>Male</v>
      </c>
      <c r="E2007" s="1" t="str">
        <f ca="1">IFERROR(__xludf.DUMMYFUNCTION("""COMPUTED_VALUE"""),"Social Media like LinkedIn")</f>
        <v>Social Media like LinkedIn</v>
      </c>
      <c r="F2007" s="1" t="str">
        <f ca="1">IFERROR(__xludf.DUMMYFUNCTION("""COMPUTED_VALUE"""),"No I would not be pursuing Higher Education outside of India")</f>
        <v>No I would not be pursuing Higher Education outside of India</v>
      </c>
      <c r="G2007" s="1" t="str">
        <f ca="1">IFERROR(__xludf.DUMMYFUNCTION("""COMPUTED_VALUE"""),"This will be hard to do, but if it is the right company I would try")</f>
        <v>This will be hard to do, but if it is the right company I would try</v>
      </c>
      <c r="H2007" s="1" t="str">
        <f ca="1">IFERROR(__xludf.DUMMYFUNCTION("""COMPUTED_VALUE"""),"No")</f>
        <v>No</v>
      </c>
      <c r="I2007" s="1" t="str">
        <f ca="1">IFERROR(__xludf.DUMMYFUNCTION("""COMPUTED_VALUE"""),"Will NOT work for them")</f>
        <v>Will NOT work for them</v>
      </c>
      <c r="J2007" s="1">
        <f ca="1">IFERROR(__xludf.DUMMYFUNCTION("""COMPUTED_VALUE"""),6)</f>
        <v>6</v>
      </c>
      <c r="K2007" s="1" t="str">
        <f ca="1">IFERROR(__xludf.DUMMYFUNCTION("""COMPUTED_VALUE"""),"Fully Remote with Options to travel as and when needed")</f>
        <v>Fully Remote with Options to travel as and when needed</v>
      </c>
      <c r="L2007" s="1" t="str">
        <f ca="1">IFERROR(__xludf.DUMMYFUNCTION("""COMPUTED_VALUE"""),"Employer who appreciates learning and enables that environment")</f>
        <v>Employer who appreciates learning and enables that environment</v>
      </c>
      <c r="M20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07" s="1" t="str">
        <f ca="1">IFERROR(__xludf.DUMMYFUNCTION("""COMPUTED_VALUE"""),"Teaching in any of the institutes/colleges/online or offline, Business Operations in any organization, Manage and drive End-to-End Projects or Products, Look deeply into Data and generate insights")</f>
        <v>Teaching in any of the institutes/colleges/online or offline, Business Operations in any organization, Manage and drive End-to-End Projects or Products, Look deeply into Data and generate insights</v>
      </c>
      <c r="O2007" s="1" t="str">
        <f ca="1">IFERROR(__xludf.DUMMYFUNCTION("""COMPUTED_VALUE"""),"Manager who explains what is expected, sets a goal and helps achieve it")</f>
        <v>Manager who explains what is expected, sets a goal and helps achieve it</v>
      </c>
      <c r="P2007" s="1" t="str">
        <f ca="1">IFERROR(__xludf.DUMMYFUNCTION("""COMPUTED_VALUE"""),"Work with 2 to 3 people in my team")</f>
        <v>Work with 2 to 3 people in my team</v>
      </c>
      <c r="Q2007" s="1" t="str">
        <f ca="1">IFERROR(__xludf.DUMMYFUNCTION("""COMPUTED_VALUE"""),"No")</f>
        <v>No</v>
      </c>
      <c r="R2007" s="1" t="str">
        <f ca="1">IFERROR(__xludf.DUMMYFUNCTION("""COMPUTED_VALUE"""),"This will be hard to do, but if it is the right company I would try")</f>
        <v>This will be hard to do, but if it is the right company I would try</v>
      </c>
      <c r="S2007" s="1" t="str">
        <f ca="1">IFERROR(__xludf.DUMMYFUNCTION("""COMPUTED_VALUE"""),"mdrsd97@gmail.com")</f>
        <v>mdrsd97@gmail.com</v>
      </c>
    </row>
    <row r="2008" spans="1:19" ht="12.5" x14ac:dyDescent="0.25">
      <c r="A2008" s="2">
        <f ca="1">IFERROR(__xludf.DUMMYFUNCTION("""COMPUTED_VALUE"""),45062.9876616666)</f>
        <v>45062.987661666601</v>
      </c>
      <c r="B2008" s="1" t="str">
        <f ca="1">IFERROR(__xludf.DUMMYFUNCTION("""COMPUTED_VALUE"""),"India")</f>
        <v>India</v>
      </c>
      <c r="C2008" s="1">
        <f ca="1">IFERROR(__xludf.DUMMYFUNCTION("""COMPUTED_VALUE"""),632106)</f>
        <v>632106</v>
      </c>
      <c r="D2008" s="1" t="str">
        <f ca="1">IFERROR(__xludf.DUMMYFUNCTION("""COMPUTED_VALUE"""),"Male")</f>
        <v>Male</v>
      </c>
      <c r="E2008" s="1" t="str">
        <f ca="1">IFERROR(__xludf.DUMMYFUNCTION("""COMPUTED_VALUE"""),"My Parents")</f>
        <v>My Parents</v>
      </c>
      <c r="F2008" s="1" t="str">
        <f ca="1">IFERROR(__xludf.DUMMYFUNCTION("""COMPUTED_VALUE"""),"No, But if someone could bare the cost I will")</f>
        <v>No, But if someone could bare the cost I will</v>
      </c>
      <c r="G2008" s="1" t="str">
        <f ca="1">IFERROR(__xludf.DUMMYFUNCTION("""COMPUTED_VALUE"""),"This will be hard to do, but if it is the right company I would try")</f>
        <v>This will be hard to do, but if it is the right company I would try</v>
      </c>
      <c r="H2008" s="1" t="str">
        <f ca="1">IFERROR(__xludf.DUMMYFUNCTION("""COMPUTED_VALUE"""),"Yes")</f>
        <v>Yes</v>
      </c>
      <c r="I2008" s="1" t="str">
        <f ca="1">IFERROR(__xludf.DUMMYFUNCTION("""COMPUTED_VALUE"""),"Will work for them")</f>
        <v>Will work for them</v>
      </c>
      <c r="J2008" s="1">
        <f ca="1">IFERROR(__xludf.DUMMYFUNCTION("""COMPUTED_VALUE"""),8)</f>
        <v>8</v>
      </c>
      <c r="K2008" s="1" t="str">
        <f ca="1">IFERROR(__xludf.DUMMYFUNCTION("""COMPUTED_VALUE"""),"Every Day Office Environment")</f>
        <v>Every Day Office Environment</v>
      </c>
      <c r="L2008" s="1" t="str">
        <f ca="1">IFERROR(__xludf.DUMMYFUNCTION("""COMPUTED_VALUE"""),"Employer who appreciates learning and enables that environment")</f>
        <v>Employer who appreciates learning and enables that environment</v>
      </c>
      <c r="M200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008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2008" s="1" t="str">
        <f ca="1">IFERROR(__xludf.DUMMYFUNCTION("""COMPUTED_VALUE"""),"Manager who explains what is expected, sets a goal and helps achieve it")</f>
        <v>Manager who explains what is expected, sets a goal and helps achieve it</v>
      </c>
      <c r="P2008" s="1" t="str">
        <f ca="1">IFERROR(__xludf.DUMMYFUNCTION("""COMPUTED_VALUE"""),"Work with 2 to 3 people in my team")</f>
        <v>Work with 2 to 3 people in my team</v>
      </c>
      <c r="Q2008" s="1" t="str">
        <f ca="1">IFERROR(__xludf.DUMMYFUNCTION("""COMPUTED_VALUE"""),"I have NO other choice")</f>
        <v>I have NO other choice</v>
      </c>
      <c r="R2008" s="1" t="str">
        <f ca="1">IFERROR(__xludf.DUMMYFUNCTION("""COMPUTED_VALUE"""),"No way")</f>
        <v>No way</v>
      </c>
      <c r="S2008" s="1" t="str">
        <f ca="1">IFERROR(__xludf.DUMMYFUNCTION("""COMPUTED_VALUE"""),"sagarreddy.ragoor@gmail.com")</f>
        <v>sagarreddy.ragoor@gmail.com</v>
      </c>
    </row>
    <row r="2009" spans="1:19" ht="12.5" x14ac:dyDescent="0.25">
      <c r="A2009" s="2">
        <f ca="1">IFERROR(__xludf.DUMMYFUNCTION("""COMPUTED_VALUE"""),45062.9883439583)</f>
        <v>45062.988343958299</v>
      </c>
      <c r="B2009" s="1" t="str">
        <f ca="1">IFERROR(__xludf.DUMMYFUNCTION("""COMPUTED_VALUE"""),"India")</f>
        <v>India</v>
      </c>
      <c r="C2009" s="1">
        <f ca="1">IFERROR(__xludf.DUMMYFUNCTION("""COMPUTED_VALUE"""),458441)</f>
        <v>458441</v>
      </c>
      <c r="D2009" s="1" t="str">
        <f ca="1">IFERROR(__xludf.DUMMYFUNCTION("""COMPUTED_VALUE"""),"Female")</f>
        <v>Female</v>
      </c>
      <c r="E2009" s="1" t="str">
        <f ca="1">IFERROR(__xludf.DUMMYFUNCTION("""COMPUTED_VALUE"""),"Influencers who had successful careers")</f>
        <v>Influencers who had successful careers</v>
      </c>
      <c r="F2009" s="1" t="str">
        <f ca="1">IFERROR(__xludf.DUMMYFUNCTION("""COMPUTED_VALUE"""),"Yes, I will earn and do that")</f>
        <v>Yes, I will earn and do that</v>
      </c>
      <c r="G2009" s="1" t="str">
        <f ca="1">IFERROR(__xludf.DUMMYFUNCTION("""COMPUTED_VALUE"""),"Will work for 3 years or more")</f>
        <v>Will work for 3 years or more</v>
      </c>
      <c r="H2009" s="1" t="str">
        <f ca="1">IFERROR(__xludf.DUMMYFUNCTION("""COMPUTED_VALUE"""),"Yes")</f>
        <v>Yes</v>
      </c>
      <c r="I2009" s="1" t="str">
        <f ca="1">IFERROR(__xludf.DUMMYFUNCTION("""COMPUTED_VALUE"""),"Will NOT work for them")</f>
        <v>Will NOT work for them</v>
      </c>
      <c r="J2009" s="1">
        <f ca="1">IFERROR(__xludf.DUMMYFUNCTION("""COMPUTED_VALUE"""),8)</f>
        <v>8</v>
      </c>
      <c r="K2009" s="1" t="str">
        <f ca="1">IFERROR(__xludf.DUMMYFUNCTION("""COMPUTED_VALUE"""),"Every Day Office Environment")</f>
        <v>Every Day Office Environment</v>
      </c>
      <c r="L20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0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009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2009" s="1" t="str">
        <f ca="1">IFERROR(__xludf.DUMMYFUNCTION("""COMPUTED_VALUE"""),"Manager who clearly describes what she/he needs")</f>
        <v>Manager who clearly describes what she/he needs</v>
      </c>
      <c r="P2009" s="1" t="str">
        <f ca="1">IFERROR(__xludf.DUMMYFUNCTION("""COMPUTED_VALUE"""),"Work with 2 to 3 people in my team")</f>
        <v>Work with 2 to 3 people in my team</v>
      </c>
      <c r="Q2009" s="1" t="str">
        <f ca="1">IFERROR(__xludf.DUMMYFUNCTION("""COMPUTED_VALUE"""),"Yes, I Understand this is gonna happen everywhere")</f>
        <v>Yes, I Understand this is gonna happen everywhere</v>
      </c>
      <c r="R2009" s="1" t="str">
        <f ca="1">IFERROR(__xludf.DUMMYFUNCTION("""COMPUTED_VALUE"""),"This will be hard to do, but if it is the right company I would try")</f>
        <v>This will be hard to do, but if it is the right company I would try</v>
      </c>
      <c r="S2009" s="1" t="str">
        <f ca="1">IFERROR(__xludf.DUMMYFUNCTION("""COMPUTED_VALUE"""),"purvi141197@gmail.com")</f>
        <v>purvi141197@gmail.com</v>
      </c>
    </row>
    <row r="2010" spans="1:19" ht="12.5" x14ac:dyDescent="0.25">
      <c r="A2010" s="2">
        <f ca="1">IFERROR(__xludf.DUMMYFUNCTION("""COMPUTED_VALUE"""),45062.9890072916)</f>
        <v>45062.989007291602</v>
      </c>
      <c r="B2010" s="1" t="str">
        <f ca="1">IFERROR(__xludf.DUMMYFUNCTION("""COMPUTED_VALUE"""),"India")</f>
        <v>India</v>
      </c>
      <c r="C2010" s="1">
        <f ca="1">IFERROR(__xludf.DUMMYFUNCTION("""COMPUTED_VALUE"""),263126)</f>
        <v>263126</v>
      </c>
      <c r="D2010" s="1" t="str">
        <f ca="1">IFERROR(__xludf.DUMMYFUNCTION("""COMPUTED_VALUE"""),"Male")</f>
        <v>Male</v>
      </c>
      <c r="E2010" s="1" t="str">
        <f ca="1">IFERROR(__xludf.DUMMYFUNCTION("""COMPUTED_VALUE"""),"My Parents")</f>
        <v>My Parents</v>
      </c>
      <c r="F2010" s="1" t="str">
        <f ca="1">IFERROR(__xludf.DUMMYFUNCTION("""COMPUTED_VALUE"""),"No I would not be pursuing Higher Education outside of India")</f>
        <v>No I would not be pursuing Higher Education outside of India</v>
      </c>
      <c r="G2010" s="1" t="str">
        <f ca="1">IFERROR(__xludf.DUMMYFUNCTION("""COMPUTED_VALUE"""),"Will work for 3 years or more")</f>
        <v>Will work for 3 years or more</v>
      </c>
      <c r="H2010" s="1" t="str">
        <f ca="1">IFERROR(__xludf.DUMMYFUNCTION("""COMPUTED_VALUE"""),"No")</f>
        <v>No</v>
      </c>
      <c r="I2010" s="1" t="str">
        <f ca="1">IFERROR(__xludf.DUMMYFUNCTION("""COMPUTED_VALUE"""),"Will work for them")</f>
        <v>Will work for them</v>
      </c>
      <c r="J2010" s="1">
        <f ca="1">IFERROR(__xludf.DUMMYFUNCTION("""COMPUTED_VALUE"""),8)</f>
        <v>8</v>
      </c>
      <c r="K2010" s="1" t="str">
        <f ca="1">IFERROR(__xludf.DUMMYFUNCTION("""COMPUTED_VALUE"""),"Every Day Office Environment")</f>
        <v>Every Day Office Environment</v>
      </c>
      <c r="L2010" s="1" t="str">
        <f ca="1">IFERROR(__xludf.DUMMYFUNCTION("""COMPUTED_VALUE"""),"Employer who appreciates learning and enables that environment")</f>
        <v>Employer who appreciates learning and enables that environment</v>
      </c>
      <c r="M201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010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010" s="1" t="str">
        <f ca="1">IFERROR(__xludf.DUMMYFUNCTION("""COMPUTED_VALUE"""),"Manager who clearly describes what she/he needs")</f>
        <v>Manager who clearly describes what she/he needs</v>
      </c>
      <c r="P2010" s="1" t="str">
        <f ca="1">IFERROR(__xludf.DUMMYFUNCTION("""COMPUTED_VALUE"""),"Work with more than 10 people in my team")</f>
        <v>Work with more than 10 people in my team</v>
      </c>
      <c r="Q2010" s="1" t="str">
        <f ca="1">IFERROR(__xludf.DUMMYFUNCTION("""COMPUTED_VALUE"""),"Yes, I Understand this is gonna happen everywhere")</f>
        <v>Yes, I Understand this is gonna happen everywhere</v>
      </c>
      <c r="R2010" s="1" t="str">
        <f ca="1">IFERROR(__xludf.DUMMYFUNCTION("""COMPUTED_VALUE"""),"Will work for 7 years or more")</f>
        <v>Will work for 7 years or more</v>
      </c>
      <c r="S2010" s="1" t="str">
        <f ca="1">IFERROR(__xludf.DUMMYFUNCTION("""COMPUTED_VALUE"""),"mehrasaurabh295@gmail.com")</f>
        <v>mehrasaurabh295@gmail.com</v>
      </c>
    </row>
    <row r="2011" spans="1:19" ht="12.5" x14ac:dyDescent="0.25">
      <c r="A2011" s="2">
        <f ca="1">IFERROR(__xludf.DUMMYFUNCTION("""COMPUTED_VALUE"""),45062.9902775347)</f>
        <v>45062.9902775347</v>
      </c>
      <c r="B2011" s="1" t="str">
        <f ca="1">IFERROR(__xludf.DUMMYFUNCTION("""COMPUTED_VALUE"""),"India")</f>
        <v>India</v>
      </c>
      <c r="C2011" s="1">
        <f ca="1">IFERROR(__xludf.DUMMYFUNCTION("""COMPUTED_VALUE"""),632007)</f>
        <v>632007</v>
      </c>
      <c r="D2011" s="1" t="str">
        <f ca="1">IFERROR(__xludf.DUMMYFUNCTION("""COMPUTED_VALUE"""),"Female")</f>
        <v>Female</v>
      </c>
      <c r="E2011" s="1" t="str">
        <f ca="1">IFERROR(__xludf.DUMMYFUNCTION("""COMPUTED_VALUE"""),"People from my circle, but not family members")</f>
        <v>People from my circle, but not family members</v>
      </c>
      <c r="F2011" s="1" t="str">
        <f ca="1">IFERROR(__xludf.DUMMYFUNCTION("""COMPUTED_VALUE"""),"No, But if someone could bare the cost I will")</f>
        <v>No, But if someone could bare the cost I will</v>
      </c>
      <c r="G2011" s="1" t="str">
        <f ca="1">IFERROR(__xludf.DUMMYFUNCTION("""COMPUTED_VALUE"""),"This will be hard to do, but if it is the right company I would try")</f>
        <v>This will be hard to do, but if it is the right company I would try</v>
      </c>
      <c r="H2011" s="1" t="str">
        <f ca="1">IFERROR(__xludf.DUMMYFUNCTION("""COMPUTED_VALUE"""),"No")</f>
        <v>No</v>
      </c>
      <c r="I2011" s="1" t="str">
        <f ca="1">IFERROR(__xludf.DUMMYFUNCTION("""COMPUTED_VALUE"""),"Will NOT work for them")</f>
        <v>Will NOT work for them</v>
      </c>
      <c r="J2011" s="1">
        <f ca="1">IFERROR(__xludf.DUMMYFUNCTION("""COMPUTED_VALUE"""),1)</f>
        <v>1</v>
      </c>
      <c r="K2011" s="1" t="str">
        <f ca="1">IFERROR(__xludf.DUMMYFUNCTION("""COMPUTED_VALUE"""),"Hybrid Working Environment with more than 15 days a month at office")</f>
        <v>Hybrid Working Environment with more than 15 days a month at office</v>
      </c>
      <c r="L20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1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011" s="1" t="str">
        <f ca="1">IFERROR(__xludf.DUMMYFUNCTION("""COMPUTED_VALUE"""),"Design and Creative strategy in any company, Teaching in any of the institutes/colleges/online or offline, Work as a freelancer and do my thing my way, Become a content Creator in some platform")</f>
        <v>Design and Creative strategy in any company, Teaching in any of the institutes/colleges/online or offline, Work as a freelancer and do my thing my way, Become a content Creator in some platform</v>
      </c>
      <c r="O2011" s="1" t="str">
        <f ca="1">IFERROR(__xludf.DUMMYFUNCTION("""COMPUTED_VALUE"""),"Manager who sets targets and expects me to achieve it")</f>
        <v>Manager who sets targets and expects me to achieve it</v>
      </c>
      <c r="P2011" s="1" t="str">
        <f ca="1">IFERROR(__xludf.DUMMYFUNCTION("""COMPUTED_VALUE"""),"Work alone, Work with 2 to 3 people in my team")</f>
        <v>Work alone, Work with 2 to 3 people in my team</v>
      </c>
      <c r="Q2011" s="1" t="str">
        <f ca="1">IFERROR(__xludf.DUMMYFUNCTION("""COMPUTED_VALUE"""),"Yes, I Understand this is gonna happen everywhere")</f>
        <v>Yes, I Understand this is gonna happen everywhere</v>
      </c>
      <c r="R2011" s="1" t="str">
        <f ca="1">IFERROR(__xludf.DUMMYFUNCTION("""COMPUTED_VALUE"""),"This will be hard to do, but if it is the right company I would try")</f>
        <v>This will be hard to do, but if it is the right company I would try</v>
      </c>
      <c r="S2011" s="1" t="str">
        <f ca="1">IFERROR(__xludf.DUMMYFUNCTION("""COMPUTED_VALUE"""),"sathiyapriya971@gmail.com")</f>
        <v>sathiyapriya971@gmail.com</v>
      </c>
    </row>
    <row r="2012" spans="1:19" ht="12.5" x14ac:dyDescent="0.25">
      <c r="A2012" s="2">
        <f ca="1">IFERROR(__xludf.DUMMYFUNCTION("""COMPUTED_VALUE"""),45062.9911225231)</f>
        <v>45062.991122523097</v>
      </c>
      <c r="B2012" s="1" t="str">
        <f ca="1">IFERROR(__xludf.DUMMYFUNCTION("""COMPUTED_VALUE"""),"India")</f>
        <v>India</v>
      </c>
      <c r="C2012" s="1">
        <f ca="1">IFERROR(__xludf.DUMMYFUNCTION("""COMPUTED_VALUE"""),424201)</f>
        <v>424201</v>
      </c>
      <c r="D2012" s="1" t="str">
        <f ca="1">IFERROR(__xludf.DUMMYFUNCTION("""COMPUTED_VALUE"""),"Female")</f>
        <v>Female</v>
      </c>
      <c r="E2012" s="1" t="str">
        <f ca="1">IFERROR(__xludf.DUMMYFUNCTION("""COMPUTED_VALUE"""),"My Parents")</f>
        <v>My Parents</v>
      </c>
      <c r="F2012" s="1" t="str">
        <f ca="1">IFERROR(__xludf.DUMMYFUNCTION("""COMPUTED_VALUE"""),"Yes, I will earn and do that")</f>
        <v>Yes, I will earn and do that</v>
      </c>
      <c r="G2012" s="1" t="str">
        <f ca="1">IFERROR(__xludf.DUMMYFUNCTION("""COMPUTED_VALUE"""),"This will be hard to do, but if it is the right company I would try")</f>
        <v>This will be hard to do, but if it is the right company I would try</v>
      </c>
      <c r="H2012" s="1" t="str">
        <f ca="1">IFERROR(__xludf.DUMMYFUNCTION("""COMPUTED_VALUE"""),"No")</f>
        <v>No</v>
      </c>
      <c r="I2012" s="1" t="str">
        <f ca="1">IFERROR(__xludf.DUMMYFUNCTION("""COMPUTED_VALUE"""),"Will NOT work for them")</f>
        <v>Will NOT work for them</v>
      </c>
      <c r="J2012" s="1">
        <f ca="1">IFERROR(__xludf.DUMMYFUNCTION("""COMPUTED_VALUE"""),4)</f>
        <v>4</v>
      </c>
      <c r="K2012" s="1" t="str">
        <f ca="1">IFERROR(__xludf.DUMMYFUNCTION("""COMPUTED_VALUE"""),"Fully Remote with Options to travel as and when needed")</f>
        <v>Fully Remote with Options to travel as and when needed</v>
      </c>
      <c r="L2012" s="1" t="str">
        <f ca="1">IFERROR(__xludf.DUMMYFUNCTION("""COMPUTED_VALUE"""),"Employer who appreciates learning and enables that environment")</f>
        <v>Employer who appreciates learning and enables that environment</v>
      </c>
      <c r="M2012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012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012" s="1" t="str">
        <f ca="1">IFERROR(__xludf.DUMMYFUNCTION("""COMPUTED_VALUE"""),"Manager who clearly describes what she/he needs")</f>
        <v>Manager who clearly describes what she/he needs</v>
      </c>
      <c r="P2012" s="1" t="str">
        <f ca="1">IFERROR(__xludf.DUMMYFUNCTION("""COMPUTED_VALUE"""),"Work with more than 10 people in my team")</f>
        <v>Work with more than 10 people in my team</v>
      </c>
      <c r="Q2012" s="1" t="str">
        <f ca="1">IFERROR(__xludf.DUMMYFUNCTION("""COMPUTED_VALUE"""),"No")</f>
        <v>No</v>
      </c>
      <c r="R2012" s="1" t="str">
        <f ca="1">IFERROR(__xludf.DUMMYFUNCTION("""COMPUTED_VALUE"""),"No way")</f>
        <v>No way</v>
      </c>
      <c r="S2012" s="1" t="str">
        <f ca="1">IFERROR(__xludf.DUMMYFUNCTION("""COMPUTED_VALUE"""),"agrawalnimisha14@gmail.com")</f>
        <v>agrawalnimisha14@gmail.com</v>
      </c>
    </row>
    <row r="2013" spans="1:19" ht="12.5" x14ac:dyDescent="0.25">
      <c r="A2013" s="2">
        <f ca="1">IFERROR(__xludf.DUMMYFUNCTION("""COMPUTED_VALUE"""),45062.9922278356)</f>
        <v>45062.992227835603</v>
      </c>
      <c r="B2013" s="1" t="str">
        <f ca="1">IFERROR(__xludf.DUMMYFUNCTION("""COMPUTED_VALUE"""),"India")</f>
        <v>India</v>
      </c>
      <c r="C2013" s="1">
        <f ca="1">IFERROR(__xludf.DUMMYFUNCTION("""COMPUTED_VALUE"""),110085)</f>
        <v>110085</v>
      </c>
      <c r="D2013" s="1" t="str">
        <f ca="1">IFERROR(__xludf.DUMMYFUNCTION("""COMPUTED_VALUE"""),"Female")</f>
        <v>Female</v>
      </c>
      <c r="E2013" s="1" t="str">
        <f ca="1">IFERROR(__xludf.DUMMYFUNCTION("""COMPUTED_VALUE"""),"My Parents")</f>
        <v>My Parents</v>
      </c>
      <c r="F2013" s="1" t="str">
        <f ca="1">IFERROR(__xludf.DUMMYFUNCTION("""COMPUTED_VALUE"""),"Yes, I will earn and do that")</f>
        <v>Yes, I will earn and do that</v>
      </c>
      <c r="G2013" s="1" t="str">
        <f ca="1">IFERROR(__xludf.DUMMYFUNCTION("""COMPUTED_VALUE"""),"Will work for 3 years or more")</f>
        <v>Will work for 3 years or more</v>
      </c>
      <c r="H2013" s="1" t="str">
        <f ca="1">IFERROR(__xludf.DUMMYFUNCTION("""COMPUTED_VALUE"""),"No")</f>
        <v>No</v>
      </c>
      <c r="I2013" s="1" t="str">
        <f ca="1">IFERROR(__xludf.DUMMYFUNCTION("""COMPUTED_VALUE"""),"Will NOT work for them")</f>
        <v>Will NOT work for them</v>
      </c>
      <c r="J2013" s="1">
        <f ca="1">IFERROR(__xludf.DUMMYFUNCTION("""COMPUTED_VALUE"""),5)</f>
        <v>5</v>
      </c>
      <c r="K2013" s="1" t="str">
        <f ca="1">IFERROR(__xludf.DUMMYFUNCTION("""COMPUTED_VALUE"""),"Fully Remote with Options to travel as and when needed")</f>
        <v>Fully Remote with Options to travel as and when needed</v>
      </c>
      <c r="L2013" s="1" t="str">
        <f ca="1">IFERROR(__xludf.DUMMYFUNCTION("""COMPUTED_VALUE"""),"Employer who appreciates learning and enables that environment")</f>
        <v>Employer who appreciates learning and enables that environment</v>
      </c>
      <c r="M201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13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013" s="1" t="str">
        <f ca="1">IFERROR(__xludf.DUMMYFUNCTION("""COMPUTED_VALUE"""),"Manager who explains what is expected, sets a goal and helps achieve it")</f>
        <v>Manager who explains what is expected, sets a goal and helps achieve it</v>
      </c>
      <c r="P2013" s="1" t="str">
        <f ca="1">IFERROR(__xludf.DUMMYFUNCTION("""COMPUTED_VALUE"""),"Work with 5 to 6 people in my team")</f>
        <v>Work with 5 to 6 people in my team</v>
      </c>
      <c r="Q2013" s="1" t="str">
        <f ca="1">IFERROR(__xludf.DUMMYFUNCTION("""COMPUTED_VALUE"""),"Yes, I Understand this is gonna happen everywhere")</f>
        <v>Yes, I Understand this is gonna happen everywhere</v>
      </c>
      <c r="R2013" s="1" t="str">
        <f ca="1">IFERROR(__xludf.DUMMYFUNCTION("""COMPUTED_VALUE"""),"This will be hard to do, but if it is the right company I would try")</f>
        <v>This will be hard to do, but if it is the right company I would try</v>
      </c>
      <c r="S2013" s="1" t="str">
        <f ca="1">IFERROR(__xludf.DUMMYFUNCTION("""COMPUTED_VALUE"""),"sardanarashu@gmail.com")</f>
        <v>sardanarashu@gmail.com</v>
      </c>
    </row>
    <row r="2014" spans="1:19" ht="12.5" x14ac:dyDescent="0.25">
      <c r="A2014" s="2">
        <f ca="1">IFERROR(__xludf.DUMMYFUNCTION("""COMPUTED_VALUE"""),45062.9928383912)</f>
        <v>45062.992838391197</v>
      </c>
      <c r="B2014" s="1" t="str">
        <f ca="1">IFERROR(__xludf.DUMMYFUNCTION("""COMPUTED_VALUE"""),"India")</f>
        <v>India</v>
      </c>
      <c r="C2014" s="1">
        <f ca="1">IFERROR(__xludf.DUMMYFUNCTION("""COMPUTED_VALUE"""),131301)</f>
        <v>131301</v>
      </c>
      <c r="D2014" s="1" t="str">
        <f ca="1">IFERROR(__xludf.DUMMYFUNCTION("""COMPUTED_VALUE"""),"Male")</f>
        <v>Male</v>
      </c>
      <c r="E2014" s="1" t="str">
        <f ca="1">IFERROR(__xludf.DUMMYFUNCTION("""COMPUTED_VALUE"""),"People who have changed the world for better")</f>
        <v>People who have changed the world for better</v>
      </c>
      <c r="F2014" s="1" t="str">
        <f ca="1">IFERROR(__xludf.DUMMYFUNCTION("""COMPUTED_VALUE"""),"Yes, I will earn and do that")</f>
        <v>Yes, I will earn and do that</v>
      </c>
      <c r="G2014" s="1" t="str">
        <f ca="1">IFERROR(__xludf.DUMMYFUNCTION("""COMPUTED_VALUE"""),"This will be hard to do, but if it is the right company I would try")</f>
        <v>This will be hard to do, but if it is the right company I would try</v>
      </c>
      <c r="H2014" s="1" t="str">
        <f ca="1">IFERROR(__xludf.DUMMYFUNCTION("""COMPUTED_VALUE"""),"No")</f>
        <v>No</v>
      </c>
      <c r="I2014" s="1" t="str">
        <f ca="1">IFERROR(__xludf.DUMMYFUNCTION("""COMPUTED_VALUE"""),"Will work for them")</f>
        <v>Will work for them</v>
      </c>
      <c r="J2014" s="1">
        <f ca="1">IFERROR(__xludf.DUMMYFUNCTION("""COMPUTED_VALUE"""),1)</f>
        <v>1</v>
      </c>
      <c r="K2014" s="1" t="str">
        <f ca="1">IFERROR(__xludf.DUMMYFUNCTION("""COMPUTED_VALUE"""),"Every Day Office Environment")</f>
        <v>Every Day Office Environment</v>
      </c>
      <c r="L2014" s="1" t="str">
        <f ca="1">IFERROR(__xludf.DUMMYFUNCTION("""COMPUTED_VALUE"""),"Employer who appreciates learning and enables that environment")</f>
        <v>Employer who appreciates learning and enables that environment</v>
      </c>
      <c r="M201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14" s="1" t="str">
        <f ca="1">IFERROR(__xludf.DUMMYFUNCTION("""COMPUTED_VALUE"""),"Manage and drive End-to-End Projects or Products, Build and develop a Team, Look deeply into Data and generate insights, Work as a freelancer and do my thing my way")</f>
        <v>Manage and drive End-to-End Projects or Products, Build and develop a Team, Look deeply into Data and generate insights, Work as a freelancer and do my thing my way</v>
      </c>
      <c r="O2014" s="1" t="str">
        <f ca="1">IFERROR(__xludf.DUMMYFUNCTION("""COMPUTED_VALUE"""),"Manager who explains what is expected, sets a goal and helps achieve it")</f>
        <v>Manager who explains what is expected, sets a goal and helps achieve it</v>
      </c>
      <c r="P2014" s="1" t="str">
        <f ca="1">IFERROR(__xludf.DUMMYFUNCTION("""COMPUTED_VALUE"""),"Work with 2 to 3 people in my team")</f>
        <v>Work with 2 to 3 people in my team</v>
      </c>
      <c r="Q2014" s="1" t="str">
        <f ca="1">IFERROR(__xludf.DUMMYFUNCTION("""COMPUTED_VALUE"""),"Yes, I Understand this is gonna happen everywhere")</f>
        <v>Yes, I Understand this is gonna happen everywhere</v>
      </c>
      <c r="R2014" s="1" t="str">
        <f ca="1">IFERROR(__xludf.DUMMYFUNCTION("""COMPUTED_VALUE"""),"This will be hard to do, but if it is the right company I would try")</f>
        <v>This will be hard to do, but if it is the right company I would try</v>
      </c>
      <c r="S2014" s="1" t="str">
        <f ca="1">IFERROR(__xludf.DUMMYFUNCTION("""COMPUTED_VALUE"""),"harshgaur868@gmail.com")</f>
        <v>harshgaur868@gmail.com</v>
      </c>
    </row>
    <row r="2015" spans="1:19" ht="12.5" x14ac:dyDescent="0.25">
      <c r="A2015" s="2">
        <f ca="1">IFERROR(__xludf.DUMMYFUNCTION("""COMPUTED_VALUE"""),45062.9940134606)</f>
        <v>45062.9940134606</v>
      </c>
      <c r="B2015" s="1" t="str">
        <f ca="1">IFERROR(__xludf.DUMMYFUNCTION("""COMPUTED_VALUE"""),"Pakistan")</f>
        <v>Pakistan</v>
      </c>
      <c r="C2015" s="1">
        <f ca="1">IFERROR(__xludf.DUMMYFUNCTION("""COMPUTED_VALUE"""),75500)</f>
        <v>75500</v>
      </c>
      <c r="D2015" s="1" t="str">
        <f ca="1">IFERROR(__xludf.DUMMYFUNCTION("""COMPUTED_VALUE"""),"Female")</f>
        <v>Female</v>
      </c>
      <c r="E2015" s="1" t="str">
        <f ca="1">IFERROR(__xludf.DUMMYFUNCTION("""COMPUTED_VALUE"""),"People who have changed the world for better")</f>
        <v>People who have changed the world for better</v>
      </c>
      <c r="F2015" s="1" t="str">
        <f ca="1">IFERROR(__xludf.DUMMYFUNCTION("""COMPUTED_VALUE"""),"No, But if someone could bare the cost I will")</f>
        <v>No, But if someone could bare the cost I will</v>
      </c>
      <c r="G2015" s="1" t="str">
        <f ca="1">IFERROR(__xludf.DUMMYFUNCTION("""COMPUTED_VALUE"""),"This will be hard to do, but if it is the right company I would try")</f>
        <v>This will be hard to do, but if it is the right company I would try</v>
      </c>
      <c r="H2015" s="1" t="str">
        <f ca="1">IFERROR(__xludf.DUMMYFUNCTION("""COMPUTED_VALUE"""),"No")</f>
        <v>No</v>
      </c>
      <c r="I2015" s="1" t="str">
        <f ca="1">IFERROR(__xludf.DUMMYFUNCTION("""COMPUTED_VALUE"""),"Will NOT work for them")</f>
        <v>Will NOT work for them</v>
      </c>
      <c r="J2015" s="1">
        <f ca="1">IFERROR(__xludf.DUMMYFUNCTION("""COMPUTED_VALUE"""),2)</f>
        <v>2</v>
      </c>
      <c r="K2015" s="1" t="str">
        <f ca="1">IFERROR(__xludf.DUMMYFUNCTION("""COMPUTED_VALUE"""),"Hybrid Working Environment with less than 3 days a month at office")</f>
        <v>Hybrid Working Environment with less than 3 days a month at office</v>
      </c>
      <c r="L2015" s="1" t="str">
        <f ca="1">IFERROR(__xludf.DUMMYFUNCTION("""COMPUTED_VALUE"""),"Employer who rewards learning and enables that environment")</f>
        <v>Employer who rewards learning and enables that environment</v>
      </c>
      <c r="M201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15" s="1" t="str">
        <f ca="1">IFERROR(__xludf.DUMMYFUNCTION("""COMPUTED_VALUE"""),"Teaching in any of the institutes/colleges/online or offline, Look deeply into Data and generate insights, Work as a freelancer and do my thing my way, Entrepreneur or Start Up")</f>
        <v>Teaching in any of the institutes/colleges/online or offline, Look deeply into Data and generate insights, Work as a freelancer and do my thing my way, Entrepreneur or Start Up</v>
      </c>
      <c r="O2015" s="1" t="str">
        <f ca="1">IFERROR(__xludf.DUMMYFUNCTION("""COMPUTED_VALUE"""),"Manager who explains what is expected, sets a goal and helps achieve it")</f>
        <v>Manager who explains what is expected, sets a goal and helps achieve it</v>
      </c>
      <c r="P2015" s="1" t="str">
        <f ca="1">IFERROR(__xludf.DUMMYFUNCTION("""COMPUTED_VALUE"""),"Work with 2 to 3 people in my team")</f>
        <v>Work with 2 to 3 people in my team</v>
      </c>
      <c r="Q2015" s="1" t="str">
        <f ca="1">IFERROR(__xludf.DUMMYFUNCTION("""COMPUTED_VALUE"""),"Yes, I Understand this is gonna happen everywhere")</f>
        <v>Yes, I Understand this is gonna happen everywhere</v>
      </c>
      <c r="R2015" s="1" t="str">
        <f ca="1">IFERROR(__xludf.DUMMYFUNCTION("""COMPUTED_VALUE"""),"This will be hard to do, but if it is the right company I would try")</f>
        <v>This will be hard to do, but if it is the right company I would try</v>
      </c>
      <c r="S2015" s="1" t="str">
        <f ca="1">IFERROR(__xludf.DUMMYFUNCTION("""COMPUTED_VALUE"""),"mubashshira.abid@gmail.com")</f>
        <v>mubashshira.abid@gmail.com</v>
      </c>
    </row>
    <row r="2016" spans="1:19" ht="12.5" x14ac:dyDescent="0.25">
      <c r="A2016" s="2">
        <f ca="1">IFERROR(__xludf.DUMMYFUNCTION("""COMPUTED_VALUE"""),45062.9960359838)</f>
        <v>45062.996035983801</v>
      </c>
      <c r="B2016" s="1" t="str">
        <f ca="1">IFERROR(__xludf.DUMMYFUNCTION("""COMPUTED_VALUE"""),"India")</f>
        <v>India</v>
      </c>
      <c r="C2016" s="1">
        <f ca="1">IFERROR(__xludf.DUMMYFUNCTION("""COMPUTED_VALUE"""),110018)</f>
        <v>110018</v>
      </c>
      <c r="D2016" s="1" t="str">
        <f ca="1">IFERROR(__xludf.DUMMYFUNCTION("""COMPUTED_VALUE"""),"Female")</f>
        <v>Female</v>
      </c>
      <c r="E2016" s="1" t="str">
        <f ca="1">IFERROR(__xludf.DUMMYFUNCTION("""COMPUTED_VALUE"""),"My Parents")</f>
        <v>My Parents</v>
      </c>
      <c r="F2016" s="1" t="str">
        <f ca="1">IFERROR(__xludf.DUMMYFUNCTION("""COMPUTED_VALUE"""),"No I would not be pursuing Higher Education outside of India")</f>
        <v>No I would not be pursuing Higher Education outside of India</v>
      </c>
      <c r="G2016" s="1" t="str">
        <f ca="1">IFERROR(__xludf.DUMMYFUNCTION("""COMPUTED_VALUE"""),"This will be hard to do, but if it is the right company I would try")</f>
        <v>This will be hard to do, but if it is the right company I would try</v>
      </c>
      <c r="H2016" s="1" t="str">
        <f ca="1">IFERROR(__xludf.DUMMYFUNCTION("""COMPUTED_VALUE"""),"No")</f>
        <v>No</v>
      </c>
      <c r="I2016" s="1" t="str">
        <f ca="1">IFERROR(__xludf.DUMMYFUNCTION("""COMPUTED_VALUE"""),"Will NOT work for them")</f>
        <v>Will NOT work for them</v>
      </c>
      <c r="J2016" s="1">
        <f ca="1">IFERROR(__xludf.DUMMYFUNCTION("""COMPUTED_VALUE"""),5)</f>
        <v>5</v>
      </c>
      <c r="K2016" s="1" t="str">
        <f ca="1">IFERROR(__xludf.DUMMYFUNCTION("""COMPUTED_VALUE"""),"Fully Remote with Options to travel as and when needed")</f>
        <v>Fully Remote with Options to travel as and when needed</v>
      </c>
      <c r="L2016" s="1" t="str">
        <f ca="1">IFERROR(__xludf.DUMMYFUNCTION("""COMPUTED_VALUE"""),"Employer who rewards learning and enables that environment")</f>
        <v>Employer who rewards learning and enables that environment</v>
      </c>
      <c r="M201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16" s="1" t="str">
        <f ca="1">IFERROR(__xludf.DUMMYFUNCTION("""COMPUTED_VALUE"""),"Teaching in any of the institutes/colleges/online or offline, Become a content Creator in some platform, Entrepreneur or Start Up, I Want to sell things/Sales")</f>
        <v>Teaching in any of the institutes/colleges/online or offline, Become a content Creator in some platform, Entrepreneur or Start Up, I Want to sell things/Sales</v>
      </c>
      <c r="O2016" s="1" t="str">
        <f ca="1">IFERROR(__xludf.DUMMYFUNCTION("""COMPUTED_VALUE"""),"Manager who sets goal and helps me achieve it")</f>
        <v>Manager who sets goal and helps me achieve it</v>
      </c>
      <c r="P2016" s="1" t="str">
        <f ca="1">IFERROR(__xludf.DUMMYFUNCTION("""COMPUTED_VALUE"""),"Work alone, Work with 5 to 6 people in my team")</f>
        <v>Work alone, Work with 5 to 6 people in my team</v>
      </c>
      <c r="Q2016" s="1" t="str">
        <f ca="1">IFERROR(__xludf.DUMMYFUNCTION("""COMPUTED_VALUE"""),"Yes, I Understand this is gonna happen everywhere")</f>
        <v>Yes, I Understand this is gonna happen everywhere</v>
      </c>
      <c r="R2016" s="1" t="str">
        <f ca="1">IFERROR(__xludf.DUMMYFUNCTION("""COMPUTED_VALUE"""),"This will be hard to do, but if it is the right company I would try")</f>
        <v>This will be hard to do, but if it is the right company I would try</v>
      </c>
      <c r="S2016" s="1" t="str">
        <f ca="1">IFERROR(__xludf.DUMMYFUNCTION("""COMPUTED_VALUE"""),"babbarsimran06@gmail.com")</f>
        <v>babbarsimran06@gmail.com</v>
      </c>
    </row>
    <row r="2017" spans="1:19" ht="12.5" x14ac:dyDescent="0.25">
      <c r="A2017" s="2">
        <f ca="1">IFERROR(__xludf.DUMMYFUNCTION("""COMPUTED_VALUE"""),45062.9983437847)</f>
        <v>45062.998343784697</v>
      </c>
      <c r="B2017" s="1" t="str">
        <f ca="1">IFERROR(__xludf.DUMMYFUNCTION("""COMPUTED_VALUE"""),"India")</f>
        <v>India</v>
      </c>
      <c r="C2017" s="1">
        <f ca="1">IFERROR(__xludf.DUMMYFUNCTION("""COMPUTED_VALUE"""),624001)</f>
        <v>624001</v>
      </c>
      <c r="D2017" s="1" t="str">
        <f ca="1">IFERROR(__xludf.DUMMYFUNCTION("""COMPUTED_VALUE"""),"Male")</f>
        <v>Male</v>
      </c>
      <c r="E2017" s="1" t="str">
        <f ca="1">IFERROR(__xludf.DUMMYFUNCTION("""COMPUTED_VALUE"""),"My Parents")</f>
        <v>My Parents</v>
      </c>
      <c r="F2017" s="1" t="str">
        <f ca="1">IFERROR(__xludf.DUMMYFUNCTION("""COMPUTED_VALUE"""),"No, But if someone could bare the cost I will")</f>
        <v>No, But if someone could bare the cost I will</v>
      </c>
      <c r="G2017" s="1" t="str">
        <f ca="1">IFERROR(__xludf.DUMMYFUNCTION("""COMPUTED_VALUE"""),"This will be hard to do, but if it is the right company I would try")</f>
        <v>This will be hard to do, but if it is the right company I would try</v>
      </c>
      <c r="H2017" s="1" t="str">
        <f ca="1">IFERROR(__xludf.DUMMYFUNCTION("""COMPUTED_VALUE"""),"No")</f>
        <v>No</v>
      </c>
      <c r="I2017" s="1" t="str">
        <f ca="1">IFERROR(__xludf.DUMMYFUNCTION("""COMPUTED_VALUE"""),"Will NOT work for them")</f>
        <v>Will NOT work for them</v>
      </c>
      <c r="J2017" s="1">
        <f ca="1">IFERROR(__xludf.DUMMYFUNCTION("""COMPUTED_VALUE"""),1)</f>
        <v>1</v>
      </c>
      <c r="K2017" s="1" t="str">
        <f ca="1">IFERROR(__xludf.DUMMYFUNCTION("""COMPUTED_VALUE"""),"Fully Remote with Options to travel as and when needed")</f>
        <v>Fully Remote with Options to travel as and when needed</v>
      </c>
      <c r="L2017" s="1" t="str">
        <f ca="1">IFERROR(__xludf.DUMMYFUNCTION("""COMPUTED_VALUE"""),"Employer who appreciates learning and enables that environment")</f>
        <v>Employer who appreciates learning and enables that environment</v>
      </c>
      <c r="M201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17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017" s="1" t="str">
        <f ca="1">IFERROR(__xludf.DUMMYFUNCTION("""COMPUTED_VALUE"""),"Manager who clearly describes what she/he needs")</f>
        <v>Manager who clearly describes what she/he needs</v>
      </c>
      <c r="P2017" s="1" t="str">
        <f ca="1">IFERROR(__xludf.DUMMYFUNCTION("""COMPUTED_VALUE"""),"Work with more than 10 people in my team")</f>
        <v>Work with more than 10 people in my team</v>
      </c>
      <c r="Q2017" s="1" t="str">
        <f ca="1">IFERROR(__xludf.DUMMYFUNCTION("""COMPUTED_VALUE"""),"Yes")</f>
        <v>Yes</v>
      </c>
      <c r="R2017" s="1" t="str">
        <f ca="1">IFERROR(__xludf.DUMMYFUNCTION("""COMPUTED_VALUE"""),"This will be hard to do, but if it is the right company I would try")</f>
        <v>This will be hard to do, but if it is the right company I would try</v>
      </c>
      <c r="S2017" s="1" t="str">
        <f ca="1">IFERROR(__xludf.DUMMYFUNCTION("""COMPUTED_VALUE"""),"edison6380324700@gmail.com")</f>
        <v>edison6380324700@gmail.com</v>
      </c>
    </row>
    <row r="2018" spans="1:19" ht="12.5" x14ac:dyDescent="0.25">
      <c r="A2018" s="2">
        <f ca="1">IFERROR(__xludf.DUMMYFUNCTION("""COMPUTED_VALUE"""),45063.0014006828)</f>
        <v>45063.001400682799</v>
      </c>
      <c r="B2018" s="1" t="str">
        <f ca="1">IFERROR(__xludf.DUMMYFUNCTION("""COMPUTED_VALUE"""),"India")</f>
        <v>India</v>
      </c>
      <c r="C2018" s="1">
        <f ca="1">IFERROR(__xludf.DUMMYFUNCTION("""COMPUTED_VALUE"""),711203)</f>
        <v>711203</v>
      </c>
      <c r="D2018" s="1" t="str">
        <f ca="1">IFERROR(__xludf.DUMMYFUNCTION("""COMPUTED_VALUE"""),"Male")</f>
        <v>Male</v>
      </c>
      <c r="E2018" s="1" t="str">
        <f ca="1">IFERROR(__xludf.DUMMYFUNCTION("""COMPUTED_VALUE"""),"My Parents")</f>
        <v>My Parents</v>
      </c>
      <c r="F2018" s="1" t="str">
        <f ca="1">IFERROR(__xludf.DUMMYFUNCTION("""COMPUTED_VALUE"""),"No, But if someone could bare the cost I will")</f>
        <v>No, But if someone could bare the cost I will</v>
      </c>
      <c r="G2018" s="1" t="str">
        <f ca="1">IFERROR(__xludf.DUMMYFUNCTION("""COMPUTED_VALUE"""),"Will work for 3 years or more")</f>
        <v>Will work for 3 years or more</v>
      </c>
      <c r="H2018" s="1" t="str">
        <f ca="1">IFERROR(__xludf.DUMMYFUNCTION("""COMPUTED_VALUE"""),"Yes")</f>
        <v>Yes</v>
      </c>
      <c r="I2018" s="1" t="str">
        <f ca="1">IFERROR(__xludf.DUMMYFUNCTION("""COMPUTED_VALUE"""),"Will NOT work for them")</f>
        <v>Will NOT work for them</v>
      </c>
      <c r="J2018" s="1">
        <f ca="1">IFERROR(__xludf.DUMMYFUNCTION("""COMPUTED_VALUE"""),8)</f>
        <v>8</v>
      </c>
      <c r="K2018" s="1" t="str">
        <f ca="1">IFERROR(__xludf.DUMMYFUNCTION("""COMPUTED_VALUE"""),"Fully Remote with Options to travel as and when needed")</f>
        <v>Fully Remote with Options to travel as and when needed</v>
      </c>
      <c r="L20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1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018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2018" s="1" t="str">
        <f ca="1">IFERROR(__xludf.DUMMYFUNCTION("""COMPUTED_VALUE"""),"Manager who explains what is expected, sets a goal and helps achieve it")</f>
        <v>Manager who explains what is expected, sets a goal and helps achieve it</v>
      </c>
      <c r="P2018" s="1" t="str">
        <f ca="1">IFERROR(__xludf.DUMMYFUNCTION("""COMPUTED_VALUE"""),"Work with 7 to 10 or more people in my team")</f>
        <v>Work with 7 to 10 or more people in my team</v>
      </c>
      <c r="Q2018" s="1" t="str">
        <f ca="1">IFERROR(__xludf.DUMMYFUNCTION("""COMPUTED_VALUE"""),"Yes, I Understand this is gonna happen everywhere")</f>
        <v>Yes, I Understand this is gonna happen everywhere</v>
      </c>
      <c r="R2018" s="1" t="str">
        <f ca="1">IFERROR(__xludf.DUMMYFUNCTION("""COMPUTED_VALUE"""),"This will be hard to do, but if it is the right company I would try")</f>
        <v>This will be hard to do, but if it is the right company I would try</v>
      </c>
      <c r="S2018" s="1" t="str">
        <f ca="1">IFERROR(__xludf.DUMMYFUNCTION("""COMPUTED_VALUE"""),"sd758382@gmail.com")</f>
        <v>sd758382@gmail.com</v>
      </c>
    </row>
    <row r="2019" spans="1:19" ht="12.5" x14ac:dyDescent="0.25">
      <c r="A2019" s="2">
        <f ca="1">IFERROR(__xludf.DUMMYFUNCTION("""COMPUTED_VALUE"""),45063.0014981018)</f>
        <v>45063.001498101803</v>
      </c>
      <c r="B2019" s="1" t="str">
        <f ca="1">IFERROR(__xludf.DUMMYFUNCTION("""COMPUTED_VALUE"""),"India")</f>
        <v>India</v>
      </c>
      <c r="C2019" s="1">
        <f ca="1">IFERROR(__xludf.DUMMYFUNCTION("""COMPUTED_VALUE"""),416202)</f>
        <v>416202</v>
      </c>
      <c r="D2019" s="1" t="str">
        <f ca="1">IFERROR(__xludf.DUMMYFUNCTION("""COMPUTED_VALUE"""),"Female")</f>
        <v>Female</v>
      </c>
      <c r="E2019" s="1" t="str">
        <f ca="1">IFERROR(__xludf.DUMMYFUNCTION("""COMPUTED_VALUE"""),"My Parents")</f>
        <v>My Parents</v>
      </c>
      <c r="F2019" s="1" t="str">
        <f ca="1">IFERROR(__xludf.DUMMYFUNCTION("""COMPUTED_VALUE"""),"No I would not be pursuing Higher Education outside of India")</f>
        <v>No I would not be pursuing Higher Education outside of India</v>
      </c>
      <c r="G2019" s="1" t="str">
        <f ca="1">IFERROR(__xludf.DUMMYFUNCTION("""COMPUTED_VALUE"""),"This will be hard to do, but if it is the right company I would try")</f>
        <v>This will be hard to do, but if it is the right company I would try</v>
      </c>
      <c r="H2019" s="1" t="str">
        <f ca="1">IFERROR(__xludf.DUMMYFUNCTION("""COMPUTED_VALUE"""),"No")</f>
        <v>No</v>
      </c>
      <c r="I2019" s="1" t="str">
        <f ca="1">IFERROR(__xludf.DUMMYFUNCTION("""COMPUTED_VALUE"""),"Will NOT work for them")</f>
        <v>Will NOT work for them</v>
      </c>
      <c r="J2019" s="1">
        <f ca="1">IFERROR(__xludf.DUMMYFUNCTION("""COMPUTED_VALUE"""),2)</f>
        <v>2</v>
      </c>
      <c r="K2019" s="1" t="str">
        <f ca="1">IFERROR(__xludf.DUMMYFUNCTION("""COMPUTED_VALUE"""),"Fully Remote with Options to travel as and when needed")</f>
        <v>Fully Remote with Options to travel as and when needed</v>
      </c>
      <c r="L2019" s="1" t="str">
        <f ca="1">IFERROR(__xludf.DUMMYFUNCTION("""COMPUTED_VALUE"""),"Employer who appreciates learning and enables that environment")</f>
        <v>Employer who appreciates learning and enables that environment</v>
      </c>
      <c r="M201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19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019" s="1" t="str">
        <f ca="1">IFERROR(__xludf.DUMMYFUNCTION("""COMPUTED_VALUE"""),"Manager who sets goal and helps me achieve it")</f>
        <v>Manager who sets goal and helps me achieve it</v>
      </c>
      <c r="P2019" s="1" t="str">
        <f ca="1">IFERROR(__xludf.DUMMYFUNCTION("""COMPUTED_VALUE"""),"Work with 5 to 6 people in my team")</f>
        <v>Work with 5 to 6 people in my team</v>
      </c>
      <c r="Q2019" s="1" t="str">
        <f ca="1">IFERROR(__xludf.DUMMYFUNCTION("""COMPUTED_VALUE"""),"Yes, I Understand this is gonna happen everywhere")</f>
        <v>Yes, I Understand this is gonna happen everywhere</v>
      </c>
      <c r="R2019" s="1" t="str">
        <f ca="1">IFERROR(__xludf.DUMMYFUNCTION("""COMPUTED_VALUE"""),"This will be hard to do, but if it is the right company I would try")</f>
        <v>This will be hard to do, but if it is the right company I would try</v>
      </c>
      <c r="S2019" s="1" t="str">
        <f ca="1">IFERROR(__xludf.DUMMYFUNCTION("""COMPUTED_VALUE"""),"samruddhi.magdum13@gmail.com")</f>
        <v>samruddhi.magdum13@gmail.com</v>
      </c>
    </row>
    <row r="2020" spans="1:19" ht="12.5" x14ac:dyDescent="0.25">
      <c r="A2020" s="2">
        <f ca="1">IFERROR(__xludf.DUMMYFUNCTION("""COMPUTED_VALUE"""),45063.0019373726)</f>
        <v>45063.001937372603</v>
      </c>
      <c r="B2020" s="1" t="str">
        <f ca="1">IFERROR(__xludf.DUMMYFUNCTION("""COMPUTED_VALUE"""),"India")</f>
        <v>India</v>
      </c>
      <c r="C2020" s="1">
        <f ca="1">IFERROR(__xludf.DUMMYFUNCTION("""COMPUTED_VALUE"""),110059)</f>
        <v>110059</v>
      </c>
      <c r="D2020" s="1" t="str">
        <f ca="1">IFERROR(__xludf.DUMMYFUNCTION("""COMPUTED_VALUE"""),"Male")</f>
        <v>Male</v>
      </c>
      <c r="E2020" s="1" t="str">
        <f ca="1">IFERROR(__xludf.DUMMYFUNCTION("""COMPUTED_VALUE"""),"People who have changed the world for better")</f>
        <v>People who have changed the world for better</v>
      </c>
      <c r="F2020" s="1" t="str">
        <f ca="1">IFERROR(__xludf.DUMMYFUNCTION("""COMPUTED_VALUE"""),"Yes, I will earn and do that")</f>
        <v>Yes, I will earn and do that</v>
      </c>
      <c r="G2020" s="1" t="str">
        <f ca="1">IFERROR(__xludf.DUMMYFUNCTION("""COMPUTED_VALUE"""),"Will work for 3 years or more")</f>
        <v>Will work for 3 years or more</v>
      </c>
      <c r="H2020" s="1" t="str">
        <f ca="1">IFERROR(__xludf.DUMMYFUNCTION("""COMPUTED_VALUE"""),"Yes")</f>
        <v>Yes</v>
      </c>
      <c r="I2020" s="1" t="str">
        <f ca="1">IFERROR(__xludf.DUMMYFUNCTION("""COMPUTED_VALUE"""),"Will NOT work for them")</f>
        <v>Will NOT work for them</v>
      </c>
      <c r="J2020" s="1">
        <f ca="1">IFERROR(__xludf.DUMMYFUNCTION("""COMPUTED_VALUE"""),7)</f>
        <v>7</v>
      </c>
      <c r="K2020" s="1" t="str">
        <f ca="1">IFERROR(__xludf.DUMMYFUNCTION("""COMPUTED_VALUE"""),"Hybrid Working Environment with more than 15 days a month at office")</f>
        <v>Hybrid Working Environment with more than 15 days a month at office</v>
      </c>
      <c r="L20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2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20" s="1" t="str">
        <f ca="1">IFERROR(__xludf.DUMMYFUNCTION("""COMPUTED_VALUE"""),"Teaching in any of the institutes/colleges/online or offline, Manage and drive End-to-End Projects or Products, Look deeply into Data and generate insights, Manufacturing / Oil and Gas/ Construction / Hard Physical Work related")</f>
        <v>Teaching in any of the institutes/colleges/online or offline, Manage and drive End-to-End Projects or Products, Look deeply into Data and generate insights, Manufacturing / Oil and Gas/ Construction / Hard Physical Work related</v>
      </c>
      <c r="O2020" s="1" t="str">
        <f ca="1">IFERROR(__xludf.DUMMYFUNCTION("""COMPUTED_VALUE"""),"Manager who sets targets and expects me to achieve it")</f>
        <v>Manager who sets targets and expects me to achieve it</v>
      </c>
      <c r="P202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020" s="1" t="str">
        <f ca="1">IFERROR(__xludf.DUMMYFUNCTION("""COMPUTED_VALUE"""),"Yes")</f>
        <v>Yes</v>
      </c>
      <c r="R2020" s="1" t="str">
        <f ca="1">IFERROR(__xludf.DUMMYFUNCTION("""COMPUTED_VALUE"""),"No way")</f>
        <v>No way</v>
      </c>
      <c r="S2020" s="1" t="str">
        <f ca="1">IFERROR(__xludf.DUMMYFUNCTION("""COMPUTED_VALUE"""),"drs.pen08@gmail.com")</f>
        <v>drs.pen08@gmail.com</v>
      </c>
    </row>
    <row r="2021" spans="1:19" ht="12.5" x14ac:dyDescent="0.25">
      <c r="A2021" s="2">
        <f ca="1">IFERROR(__xludf.DUMMYFUNCTION("""COMPUTED_VALUE"""),45063.0066346643)</f>
        <v>45063.0066346643</v>
      </c>
      <c r="B2021" s="1" t="str">
        <f ca="1">IFERROR(__xludf.DUMMYFUNCTION("""COMPUTED_VALUE"""),"India")</f>
        <v>India</v>
      </c>
      <c r="C2021" s="1">
        <f ca="1">IFERROR(__xludf.DUMMYFUNCTION("""COMPUTED_VALUE"""),700028)</f>
        <v>700028</v>
      </c>
      <c r="D2021" s="1" t="str">
        <f ca="1">IFERROR(__xludf.DUMMYFUNCTION("""COMPUTED_VALUE"""),"Female")</f>
        <v>Female</v>
      </c>
      <c r="E2021" s="1" t="str">
        <f ca="1">IFERROR(__xludf.DUMMYFUNCTION("""COMPUTED_VALUE"""),"People who have changed the world for better")</f>
        <v>People who have changed the world for better</v>
      </c>
      <c r="F2021" s="1" t="str">
        <f ca="1">IFERROR(__xludf.DUMMYFUNCTION("""COMPUTED_VALUE"""),"Yes, I will earn and do that")</f>
        <v>Yes, I will earn and do that</v>
      </c>
      <c r="G2021" s="1" t="str">
        <f ca="1">IFERROR(__xludf.DUMMYFUNCTION("""COMPUTED_VALUE"""),"Will work for 3 years or more")</f>
        <v>Will work for 3 years or more</v>
      </c>
      <c r="H2021" s="1" t="str">
        <f ca="1">IFERROR(__xludf.DUMMYFUNCTION("""COMPUTED_VALUE"""),"No")</f>
        <v>No</v>
      </c>
      <c r="I2021" s="1" t="str">
        <f ca="1">IFERROR(__xludf.DUMMYFUNCTION("""COMPUTED_VALUE"""),"Will NOT work for them")</f>
        <v>Will NOT work for them</v>
      </c>
      <c r="J2021" s="1">
        <f ca="1">IFERROR(__xludf.DUMMYFUNCTION("""COMPUTED_VALUE"""),4)</f>
        <v>4</v>
      </c>
      <c r="K2021" s="1" t="str">
        <f ca="1">IFERROR(__xludf.DUMMYFUNCTION("""COMPUTED_VALUE"""),"Hybrid Working Environment with more than 15 days a month at office")</f>
        <v>Hybrid Working Environment with more than 15 days a month at office</v>
      </c>
      <c r="L20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21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021" s="1" t="str">
        <f ca="1">IFERROR(__xludf.DUMMYFUNCTION("""COMPUTED_VALUE"""),"Design and Creative strategy in any company, Teaching in any of the institutes/colleges/online or offline, Manage and drive End-to-End Projects or Products, Work as a freelancer and do my thing my way")</f>
        <v>Design and Creative strategy in any company, Teaching in any of the institutes/colleges/online or offline, Manage and drive End-to-End Projects or Products, Work as a freelancer and do my thing my way</v>
      </c>
      <c r="O2021" s="1" t="str">
        <f ca="1">IFERROR(__xludf.DUMMYFUNCTION("""COMPUTED_VALUE"""),"Manager who sets targets and expects me to achieve it")</f>
        <v>Manager who sets targets and expects me to achieve it</v>
      </c>
      <c r="P2021" s="1" t="str">
        <f ca="1">IFERROR(__xludf.DUMMYFUNCTION("""COMPUTED_VALUE"""),"Work with 5 to 6 people in my team")</f>
        <v>Work with 5 to 6 people in my team</v>
      </c>
      <c r="Q2021" s="1" t="str">
        <f ca="1">IFERROR(__xludf.DUMMYFUNCTION("""COMPUTED_VALUE"""),"No")</f>
        <v>No</v>
      </c>
      <c r="R2021" s="1" t="str">
        <f ca="1">IFERROR(__xludf.DUMMYFUNCTION("""COMPUTED_VALUE"""),"No way")</f>
        <v>No way</v>
      </c>
      <c r="S2021" s="1" t="str">
        <f ca="1">IFERROR(__xludf.DUMMYFUNCTION("""COMPUTED_VALUE"""),"arpitadey093@gmail.com")</f>
        <v>arpitadey093@gmail.com</v>
      </c>
    </row>
    <row r="2022" spans="1:19" ht="12.5" x14ac:dyDescent="0.25">
      <c r="A2022" s="2">
        <f ca="1">IFERROR(__xludf.DUMMYFUNCTION("""COMPUTED_VALUE"""),45063.0141705208)</f>
        <v>45063.014170520801</v>
      </c>
      <c r="B2022" s="1" t="str">
        <f ca="1">IFERROR(__xludf.DUMMYFUNCTION("""COMPUTED_VALUE"""),"India")</f>
        <v>India</v>
      </c>
      <c r="C2022" s="1">
        <f ca="1">IFERROR(__xludf.DUMMYFUNCTION("""COMPUTED_VALUE"""),361006)</f>
        <v>361006</v>
      </c>
      <c r="D2022" s="1" t="str">
        <f ca="1">IFERROR(__xludf.DUMMYFUNCTION("""COMPUTED_VALUE"""),"Male")</f>
        <v>Male</v>
      </c>
      <c r="E2022" s="1" t="str">
        <f ca="1">IFERROR(__xludf.DUMMYFUNCTION("""COMPUTED_VALUE"""),"My Parents")</f>
        <v>My Parents</v>
      </c>
      <c r="F2022" s="1" t="str">
        <f ca="1">IFERROR(__xludf.DUMMYFUNCTION("""COMPUTED_VALUE"""),"No I would not be pursuing Higher Education outside of India")</f>
        <v>No I would not be pursuing Higher Education outside of India</v>
      </c>
      <c r="G2022" s="1" t="str">
        <f ca="1">IFERROR(__xludf.DUMMYFUNCTION("""COMPUTED_VALUE"""),"This will be hard to do, but if it is the right company I would try")</f>
        <v>This will be hard to do, but if it is the right company I would try</v>
      </c>
      <c r="H2022" s="1" t="str">
        <f ca="1">IFERROR(__xludf.DUMMYFUNCTION("""COMPUTED_VALUE"""),"No")</f>
        <v>No</v>
      </c>
      <c r="I2022" s="1" t="str">
        <f ca="1">IFERROR(__xludf.DUMMYFUNCTION("""COMPUTED_VALUE"""),"Will NOT work for them")</f>
        <v>Will NOT work for them</v>
      </c>
      <c r="J2022" s="1">
        <f ca="1">IFERROR(__xludf.DUMMYFUNCTION("""COMPUTED_VALUE"""),5)</f>
        <v>5</v>
      </c>
      <c r="K2022" s="1" t="str">
        <f ca="1">IFERROR(__xludf.DUMMYFUNCTION("""COMPUTED_VALUE"""),"Hybrid Working Environment with more than 15 days a month at office")</f>
        <v>Hybrid Working Environment with more than 15 days a month at office</v>
      </c>
      <c r="L20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22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022" s="1" t="str">
        <f ca="1">IFERROR(__xludf.DUMMYFUNCTION("""COMPUTED_VALUE"""),"Design and Creative strategy in any company, Manage and drive End-to-End Projects or Products, Look deeply into Data and generate insights, Work as a freelancer and do my thing my way")</f>
        <v>Design and Creative strategy in any company, Manage and drive End-to-End Projects or Products, Look deeply into Data and generate insights, Work as a freelancer and do my thing my way</v>
      </c>
      <c r="O2022" s="1" t="str">
        <f ca="1">IFERROR(__xludf.DUMMYFUNCTION("""COMPUTED_VALUE"""),"Manager who explains what is expected, sets a goal and helps achieve it")</f>
        <v>Manager who explains what is expected, sets a goal and helps achieve it</v>
      </c>
      <c r="P2022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022" s="1" t="str">
        <f ca="1">IFERROR(__xludf.DUMMYFUNCTION("""COMPUTED_VALUE"""),"Yes, I Understand this is gonna happen everywhere")</f>
        <v>Yes, I Understand this is gonna happen everywhere</v>
      </c>
      <c r="R2022" s="1" t="str">
        <f ca="1">IFERROR(__xludf.DUMMYFUNCTION("""COMPUTED_VALUE"""),"No way")</f>
        <v>No way</v>
      </c>
      <c r="S2022" s="1" t="str">
        <f ca="1">IFERROR(__xludf.DUMMYFUNCTION("""COMPUTED_VALUE"""),"harshboda111@gmail.com")</f>
        <v>harshboda111@gmail.com</v>
      </c>
    </row>
    <row r="2023" spans="1:19" ht="12.5" x14ac:dyDescent="0.25">
      <c r="A2023" s="2">
        <f ca="1">IFERROR(__xludf.DUMMYFUNCTION("""COMPUTED_VALUE"""),45063.0150941319)</f>
        <v>45063.015094131901</v>
      </c>
      <c r="B2023" s="1" t="str">
        <f ca="1">IFERROR(__xludf.DUMMYFUNCTION("""COMPUTED_VALUE"""),"India")</f>
        <v>India</v>
      </c>
      <c r="C2023" s="1">
        <f ca="1">IFERROR(__xludf.DUMMYFUNCTION("""COMPUTED_VALUE"""),484114)</f>
        <v>484114</v>
      </c>
      <c r="D2023" s="1" t="str">
        <f ca="1">IFERROR(__xludf.DUMMYFUNCTION("""COMPUTED_VALUE"""),"Female")</f>
        <v>Female</v>
      </c>
      <c r="E2023" s="1" t="str">
        <f ca="1">IFERROR(__xludf.DUMMYFUNCTION("""COMPUTED_VALUE"""),"Social Media like LinkedIn")</f>
        <v>Social Media like LinkedIn</v>
      </c>
      <c r="F2023" s="1" t="str">
        <f ca="1">IFERROR(__xludf.DUMMYFUNCTION("""COMPUTED_VALUE"""),"Yes, I will earn and do that")</f>
        <v>Yes, I will earn and do that</v>
      </c>
      <c r="G2023" s="1" t="str">
        <f ca="1">IFERROR(__xludf.DUMMYFUNCTION("""COMPUTED_VALUE"""),"This will be hard to do, but if it is the right company I would try")</f>
        <v>This will be hard to do, but if it is the right company I would try</v>
      </c>
      <c r="H2023" s="1" t="str">
        <f ca="1">IFERROR(__xludf.DUMMYFUNCTION("""COMPUTED_VALUE"""),"Yes")</f>
        <v>Yes</v>
      </c>
      <c r="I2023" s="1" t="str">
        <f ca="1">IFERROR(__xludf.DUMMYFUNCTION("""COMPUTED_VALUE"""),"Will NOT work for them")</f>
        <v>Will NOT work for them</v>
      </c>
      <c r="J2023" s="1">
        <f ca="1">IFERROR(__xludf.DUMMYFUNCTION("""COMPUTED_VALUE"""),8)</f>
        <v>8</v>
      </c>
      <c r="K2023" s="1" t="str">
        <f ca="1">IFERROR(__xludf.DUMMYFUNCTION("""COMPUTED_VALUE"""),"Fully Remote with Options to travel as and when needed")</f>
        <v>Fully Remote with Options to travel as and when needed</v>
      </c>
      <c r="L20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23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023" s="1" t="str">
        <f ca="1">IFERROR(__xludf.DUMMYFUNCTION("""COMPUTED_VALUE"""),"Business Operations in any organization, Build and develop a Team, Work as a freelancer and do my thing my way, I Want to sell things/Sales")</f>
        <v>Business Operations in any organization, Build and develop a Team, Work as a freelancer and do my thing my way, I Want to sell things/Sales</v>
      </c>
      <c r="O2023" s="1" t="str">
        <f ca="1">IFERROR(__xludf.DUMMYFUNCTION("""COMPUTED_VALUE"""),"Manager who sets goal and helps me achieve it")</f>
        <v>Manager who sets goal and helps me achieve it</v>
      </c>
      <c r="P2023" s="1" t="str">
        <f ca="1">IFERROR(__xludf.DUMMYFUNCTION("""COMPUTED_VALUE"""),"Work with 5 to 6 people in my team")</f>
        <v>Work with 5 to 6 people in my team</v>
      </c>
      <c r="Q2023" s="1" t="str">
        <f ca="1">IFERROR(__xludf.DUMMYFUNCTION("""COMPUTED_VALUE"""),"Yes, I Understand this is gonna happen everywhere")</f>
        <v>Yes, I Understand this is gonna happen everywhere</v>
      </c>
      <c r="R2023" s="1" t="str">
        <f ca="1">IFERROR(__xludf.DUMMYFUNCTION("""COMPUTED_VALUE"""),"This will be hard to do, but if it is the right company I would try")</f>
        <v>This will be hard to do, but if it is the right company I would try</v>
      </c>
      <c r="S2023" s="1" t="str">
        <f ca="1">IFERROR(__xludf.DUMMYFUNCTION("""COMPUTED_VALUE"""),"niharika.rawat96@gmail.com")</f>
        <v>niharika.rawat96@gmail.com</v>
      </c>
    </row>
    <row r="2024" spans="1:19" ht="12.5" x14ac:dyDescent="0.25">
      <c r="A2024" s="2">
        <f ca="1">IFERROR(__xludf.DUMMYFUNCTION("""COMPUTED_VALUE"""),45063.0185658796)</f>
        <v>45063.018565879604</v>
      </c>
      <c r="B2024" s="1" t="str">
        <f ca="1">IFERROR(__xludf.DUMMYFUNCTION("""COMPUTED_VALUE"""),"India")</f>
        <v>India</v>
      </c>
      <c r="C2024" s="1">
        <f ca="1">IFERROR(__xludf.DUMMYFUNCTION("""COMPUTED_VALUE"""),400710)</f>
        <v>400710</v>
      </c>
      <c r="D2024" s="1" t="str">
        <f ca="1">IFERROR(__xludf.DUMMYFUNCTION("""COMPUTED_VALUE"""),"Male")</f>
        <v>Male</v>
      </c>
      <c r="E2024" s="1" t="str">
        <f ca="1">IFERROR(__xludf.DUMMYFUNCTION("""COMPUTED_VALUE"""),"My Parents")</f>
        <v>My Parents</v>
      </c>
      <c r="F2024" s="1" t="str">
        <f ca="1">IFERROR(__xludf.DUMMYFUNCTION("""COMPUTED_VALUE"""),"Yes, I will earn and do that")</f>
        <v>Yes, I will earn and do that</v>
      </c>
      <c r="G2024" s="1" t="str">
        <f ca="1">IFERROR(__xludf.DUMMYFUNCTION("""COMPUTED_VALUE"""),"Will work for 3 years or more")</f>
        <v>Will work for 3 years or more</v>
      </c>
      <c r="H2024" s="1" t="str">
        <f ca="1">IFERROR(__xludf.DUMMYFUNCTION("""COMPUTED_VALUE"""),"Yes")</f>
        <v>Yes</v>
      </c>
      <c r="I2024" s="1" t="str">
        <f ca="1">IFERROR(__xludf.DUMMYFUNCTION("""COMPUTED_VALUE"""),"Will work for them")</f>
        <v>Will work for them</v>
      </c>
      <c r="J2024" s="1">
        <f ca="1">IFERROR(__xludf.DUMMYFUNCTION("""COMPUTED_VALUE"""),7)</f>
        <v>7</v>
      </c>
      <c r="K2024" s="1" t="str">
        <f ca="1">IFERROR(__xludf.DUMMYFUNCTION("""COMPUTED_VALUE"""),"Fully Remote with Options to travel as and when needed")</f>
        <v>Fully Remote with Options to travel as and when needed</v>
      </c>
      <c r="L2024" s="1" t="str">
        <f ca="1">IFERROR(__xludf.DUMMYFUNCTION("""COMPUTED_VALUE"""),"Employer who rewards learning and enables that environment")</f>
        <v>Employer who rewards learning and enables that environment</v>
      </c>
      <c r="M202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24" s="1" t="str">
        <f ca="1">IFERROR(__xludf.DUMMYFUNCTION("""COMPUTED_VALUE"""),"Business Operations in any organization, Build and develop a Team, Design and Develop amazing software, Entrepreneur or Start Up")</f>
        <v>Business Operations in any organization, Build and develop a Team, Design and Develop amazing software, Entrepreneur or Start Up</v>
      </c>
      <c r="O2024" s="1" t="str">
        <f ca="1">IFERROR(__xludf.DUMMYFUNCTION("""COMPUTED_VALUE"""),"Manager who explains what is expected, sets a goal and helps achieve it")</f>
        <v>Manager who explains what is expected, sets a goal and helps achieve it</v>
      </c>
      <c r="P2024" s="1" t="str">
        <f ca="1">IFERROR(__xludf.DUMMYFUNCTION("""COMPUTED_VALUE"""),"Work with 5 to 6 people in my team")</f>
        <v>Work with 5 to 6 people in my team</v>
      </c>
      <c r="Q2024" s="1" t="str">
        <f ca="1">IFERROR(__xludf.DUMMYFUNCTION("""COMPUTED_VALUE"""),"Yes, I Understand this is gonna happen everywhere")</f>
        <v>Yes, I Understand this is gonna happen everywhere</v>
      </c>
      <c r="R2024" s="1" t="str">
        <f ca="1">IFERROR(__xludf.DUMMYFUNCTION("""COMPUTED_VALUE"""),"No way")</f>
        <v>No way</v>
      </c>
      <c r="S2024" s="1" t="str">
        <f ca="1">IFERROR(__xludf.DUMMYFUNCTION("""COMPUTED_VALUE"""),"theakash.sardar@gmail.com")</f>
        <v>theakash.sardar@gmail.com</v>
      </c>
    </row>
    <row r="2025" spans="1:19" ht="12.5" x14ac:dyDescent="0.25">
      <c r="A2025" s="2">
        <f ca="1">IFERROR(__xludf.DUMMYFUNCTION("""COMPUTED_VALUE"""),45063.0318331134)</f>
        <v>45063.031833113397</v>
      </c>
      <c r="B2025" s="1" t="str">
        <f ca="1">IFERROR(__xludf.DUMMYFUNCTION("""COMPUTED_VALUE"""),"India")</f>
        <v>India</v>
      </c>
      <c r="C2025" s="1">
        <f ca="1">IFERROR(__xludf.DUMMYFUNCTION("""COMPUTED_VALUE"""),500090)</f>
        <v>500090</v>
      </c>
      <c r="D2025" s="1" t="str">
        <f ca="1">IFERROR(__xludf.DUMMYFUNCTION("""COMPUTED_VALUE"""),"Male")</f>
        <v>Male</v>
      </c>
      <c r="E2025" s="1" t="str">
        <f ca="1">IFERROR(__xludf.DUMMYFUNCTION("""COMPUTED_VALUE"""),"My Parents")</f>
        <v>My Parents</v>
      </c>
      <c r="F2025" s="1" t="str">
        <f ca="1">IFERROR(__xludf.DUMMYFUNCTION("""COMPUTED_VALUE"""),"No I would not be pursuing Higher Education outside of India")</f>
        <v>No I would not be pursuing Higher Education outside of India</v>
      </c>
      <c r="G2025" s="1" t="str">
        <f ca="1">IFERROR(__xludf.DUMMYFUNCTION("""COMPUTED_VALUE"""),"Will work for 3 years or more")</f>
        <v>Will work for 3 years or more</v>
      </c>
      <c r="H2025" s="1" t="str">
        <f ca="1">IFERROR(__xludf.DUMMYFUNCTION("""COMPUTED_VALUE"""),"No")</f>
        <v>No</v>
      </c>
      <c r="I2025" s="1" t="str">
        <f ca="1">IFERROR(__xludf.DUMMYFUNCTION("""COMPUTED_VALUE"""),"Will NOT work for them")</f>
        <v>Will NOT work for them</v>
      </c>
      <c r="J2025" s="1">
        <f ca="1">IFERROR(__xludf.DUMMYFUNCTION("""COMPUTED_VALUE"""),3)</f>
        <v>3</v>
      </c>
      <c r="K2025" s="1" t="str">
        <f ca="1">IFERROR(__xludf.DUMMYFUNCTION("""COMPUTED_VALUE"""),"Hybrid Working Environment with more than 15 days a month at office")</f>
        <v>Hybrid Working Environment with more than 15 days a month at office</v>
      </c>
      <c r="L2025" s="1" t="str">
        <f ca="1">IFERROR(__xludf.DUMMYFUNCTION("""COMPUTED_VALUE"""),"Employer who rewards learning and enables that environment")</f>
        <v>Employer who rewards learning and enables that environment</v>
      </c>
      <c r="M202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025" s="1" t="str">
        <f ca="1">IFERROR(__xludf.DUMMYFUNCTION("""COMPUTED_VALUE"""),"Design and Creative strategy in any company, Manage and drive End-to-End Projects or Products, Look deeply into Data and generate insights, Become a content Creator in some platform")</f>
        <v>Design and Creative strategy in any company, Manage and drive End-to-End Projects or Products, Look deeply into Data and generate insights, Become a content Creator in some platform</v>
      </c>
      <c r="O2025" s="1" t="str">
        <f ca="1">IFERROR(__xludf.DUMMYFUNCTION("""COMPUTED_VALUE"""),"Manager who explains what is expected, sets a goal and helps achieve it")</f>
        <v>Manager who explains what is expected, sets a goal and helps achieve it</v>
      </c>
      <c r="P2025" s="1" t="str">
        <f ca="1">IFERROR(__xludf.DUMMYFUNCTION("""COMPUTED_VALUE"""),"Work with more than 10 people in my team")</f>
        <v>Work with more than 10 people in my team</v>
      </c>
      <c r="Q2025" s="1" t="str">
        <f ca="1">IFERROR(__xludf.DUMMYFUNCTION("""COMPUTED_VALUE"""),"No")</f>
        <v>No</v>
      </c>
      <c r="R2025" s="1" t="str">
        <f ca="1">IFERROR(__xludf.DUMMYFUNCTION("""COMPUTED_VALUE"""),"This will be hard to do, but if it is the right company I would try")</f>
        <v>This will be hard to do, but if it is the right company I would try</v>
      </c>
      <c r="S2025" s="1" t="str">
        <f ca="1">IFERROR(__xludf.DUMMYFUNCTION("""COMPUTED_VALUE"""),"praveenpeddabudi@gmail.com")</f>
        <v>praveenpeddabudi@gmail.com</v>
      </c>
    </row>
    <row r="2026" spans="1:19" ht="12.5" x14ac:dyDescent="0.25">
      <c r="A2026" s="2">
        <f ca="1">IFERROR(__xludf.DUMMYFUNCTION("""COMPUTED_VALUE"""),45063.0346219444)</f>
        <v>45063.034621944404</v>
      </c>
      <c r="B2026" s="1" t="str">
        <f ca="1">IFERROR(__xludf.DUMMYFUNCTION("""COMPUTED_VALUE"""),"India")</f>
        <v>India</v>
      </c>
      <c r="C2026" s="1">
        <f ca="1">IFERROR(__xludf.DUMMYFUNCTION("""COMPUTED_VALUE"""),425405)</f>
        <v>425405</v>
      </c>
      <c r="D2026" s="1" t="str">
        <f ca="1">IFERROR(__xludf.DUMMYFUNCTION("""COMPUTED_VALUE"""),"Female")</f>
        <v>Female</v>
      </c>
      <c r="E2026" s="1" t="str">
        <f ca="1">IFERROR(__xludf.DUMMYFUNCTION("""COMPUTED_VALUE"""),"My Parents")</f>
        <v>My Parents</v>
      </c>
      <c r="F2026" s="1" t="str">
        <f ca="1">IFERROR(__xludf.DUMMYFUNCTION("""COMPUTED_VALUE"""),"Yes, I will earn and do that")</f>
        <v>Yes, I will earn and do that</v>
      </c>
      <c r="G2026" s="1" t="str">
        <f ca="1">IFERROR(__xludf.DUMMYFUNCTION("""COMPUTED_VALUE"""),"Will work for 3 years or more")</f>
        <v>Will work for 3 years or more</v>
      </c>
      <c r="H2026" s="1" t="str">
        <f ca="1">IFERROR(__xludf.DUMMYFUNCTION("""COMPUTED_VALUE"""),"No")</f>
        <v>No</v>
      </c>
      <c r="I2026" s="1" t="str">
        <f ca="1">IFERROR(__xludf.DUMMYFUNCTION("""COMPUTED_VALUE"""),"Will NOT work for them")</f>
        <v>Will NOT work for them</v>
      </c>
      <c r="J2026" s="1">
        <f ca="1">IFERROR(__xludf.DUMMYFUNCTION("""COMPUTED_VALUE"""),10)</f>
        <v>10</v>
      </c>
      <c r="K2026" s="1" t="str">
        <f ca="1">IFERROR(__xludf.DUMMYFUNCTION("""COMPUTED_VALUE"""),"Every Day Office Environment")</f>
        <v>Every Day Office Environment</v>
      </c>
      <c r="L2026" s="1" t="str">
        <f ca="1">IFERROR(__xludf.DUMMYFUNCTION("""COMPUTED_VALUE"""),"Employer who appreciates learning and enables that environment")</f>
        <v>Employer who appreciates learning and enables that environment</v>
      </c>
      <c r="M202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026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2026" s="1" t="str">
        <f ca="1">IFERROR(__xludf.DUMMYFUNCTION("""COMPUTED_VALUE"""),"Manager who explains what is expected, sets a goal and helps achieve it")</f>
        <v>Manager who explains what is expected, sets a goal and helps achieve it</v>
      </c>
      <c r="P2026" s="1" t="str">
        <f ca="1">IFERROR(__xludf.DUMMYFUNCTION("""COMPUTED_VALUE"""),"Work with 2 to 3 people in my team")</f>
        <v>Work with 2 to 3 people in my team</v>
      </c>
      <c r="Q2026" s="1" t="str">
        <f ca="1">IFERROR(__xludf.DUMMYFUNCTION("""COMPUTED_VALUE"""),"No")</f>
        <v>No</v>
      </c>
      <c r="R2026" s="1" t="str">
        <f ca="1">IFERROR(__xludf.DUMMYFUNCTION("""COMPUTED_VALUE"""),"This will be hard to do, but if it is the right company I would try")</f>
        <v>This will be hard to do, but if it is the right company I would try</v>
      </c>
      <c r="S2026" s="1" t="str">
        <f ca="1">IFERROR(__xludf.DUMMYFUNCTION("""COMPUTED_VALUE"""),"jagrutipotdar1808@gmail.com")</f>
        <v>jagrutipotdar1808@gmail.com</v>
      </c>
    </row>
    <row r="2027" spans="1:19" ht="12.5" x14ac:dyDescent="0.25">
      <c r="A2027" s="2">
        <f ca="1">IFERROR(__xludf.DUMMYFUNCTION("""COMPUTED_VALUE"""),45063.0355388194)</f>
        <v>45063.0355388194</v>
      </c>
      <c r="B2027" s="1" t="str">
        <f ca="1">IFERROR(__xludf.DUMMYFUNCTION("""COMPUTED_VALUE"""),"India")</f>
        <v>India</v>
      </c>
      <c r="C2027" s="1">
        <f ca="1">IFERROR(__xludf.DUMMYFUNCTION("""COMPUTED_VALUE"""),422009)</f>
        <v>422009</v>
      </c>
      <c r="D2027" s="1" t="str">
        <f ca="1">IFERROR(__xludf.DUMMYFUNCTION("""COMPUTED_VALUE"""),"Female")</f>
        <v>Female</v>
      </c>
      <c r="E2027" s="1" t="str">
        <f ca="1">IFERROR(__xludf.DUMMYFUNCTION("""COMPUTED_VALUE"""),"Social Media like LinkedIn")</f>
        <v>Social Media like LinkedIn</v>
      </c>
      <c r="F2027" s="1" t="str">
        <f ca="1">IFERROR(__xludf.DUMMYFUNCTION("""COMPUTED_VALUE"""),"Yes, I will earn and do that")</f>
        <v>Yes, I will earn and do that</v>
      </c>
      <c r="G2027" s="1" t="str">
        <f ca="1">IFERROR(__xludf.DUMMYFUNCTION("""COMPUTED_VALUE"""),"Will work for 3 years or more")</f>
        <v>Will work for 3 years or more</v>
      </c>
      <c r="H2027" s="1" t="str">
        <f ca="1">IFERROR(__xludf.DUMMYFUNCTION("""COMPUTED_VALUE"""),"No")</f>
        <v>No</v>
      </c>
      <c r="I2027" s="1" t="str">
        <f ca="1">IFERROR(__xludf.DUMMYFUNCTION("""COMPUTED_VALUE"""),"Will NOT work for them")</f>
        <v>Will NOT work for them</v>
      </c>
      <c r="J2027" s="1">
        <f ca="1">IFERROR(__xludf.DUMMYFUNCTION("""COMPUTED_VALUE"""),10)</f>
        <v>10</v>
      </c>
      <c r="K2027" s="1" t="str">
        <f ca="1">IFERROR(__xludf.DUMMYFUNCTION("""COMPUTED_VALUE"""),"Fully Remote with Options to travel as and when needed")</f>
        <v>Fully Remote with Options to travel as and when needed</v>
      </c>
      <c r="L2027" s="1" t="str">
        <f ca="1">IFERROR(__xludf.DUMMYFUNCTION("""COMPUTED_VALUE"""),"Employer who appreciates learning and enables that environment")</f>
        <v>Employer who appreciates learning and enables that environment</v>
      </c>
      <c r="M202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027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027" s="1" t="str">
        <f ca="1">IFERROR(__xludf.DUMMYFUNCTION("""COMPUTED_VALUE"""),"Manager who explains what is expected, sets a goal and helps achieve it")</f>
        <v>Manager who explains what is expected, sets a goal and helps achieve it</v>
      </c>
      <c r="P2027" s="1" t="str">
        <f ca="1">IFERROR(__xludf.DUMMYFUNCTION("""COMPUTED_VALUE"""),"Work with 5 to 6 people in my team")</f>
        <v>Work with 5 to 6 people in my team</v>
      </c>
      <c r="Q2027" s="1" t="str">
        <f ca="1">IFERROR(__xludf.DUMMYFUNCTION("""COMPUTED_VALUE"""),"No")</f>
        <v>No</v>
      </c>
      <c r="R2027" s="1" t="str">
        <f ca="1">IFERROR(__xludf.DUMMYFUNCTION("""COMPUTED_VALUE"""),"This will be hard to do, but if it is the right company I would try")</f>
        <v>This will be hard to do, but if it is the right company I would try</v>
      </c>
      <c r="S2027" s="1" t="str">
        <f ca="1">IFERROR(__xludf.DUMMYFUNCTION("""COMPUTED_VALUE"""),"jayshreesonar25@gmail.com")</f>
        <v>jayshreesonar25@gmail.com</v>
      </c>
    </row>
    <row r="2028" spans="1:19" ht="12.5" x14ac:dyDescent="0.25">
      <c r="A2028" s="2">
        <f ca="1">IFERROR(__xludf.DUMMYFUNCTION("""COMPUTED_VALUE"""),45063.038503206)</f>
        <v>45063.038503206</v>
      </c>
      <c r="B2028" s="1" t="str">
        <f ca="1">IFERROR(__xludf.DUMMYFUNCTION("""COMPUTED_VALUE"""),"India")</f>
        <v>India</v>
      </c>
      <c r="C2028" s="1">
        <f ca="1">IFERROR(__xludf.DUMMYFUNCTION("""COMPUTED_VALUE"""),462011)</f>
        <v>462011</v>
      </c>
      <c r="D2028" s="1" t="str">
        <f ca="1">IFERROR(__xludf.DUMMYFUNCTION("""COMPUTED_VALUE"""),"Female")</f>
        <v>Female</v>
      </c>
      <c r="E2028" s="1" t="str">
        <f ca="1">IFERROR(__xludf.DUMMYFUNCTION("""COMPUTED_VALUE"""),"People who have changed the world for better")</f>
        <v>People who have changed the world for better</v>
      </c>
      <c r="F2028" s="1" t="str">
        <f ca="1">IFERROR(__xludf.DUMMYFUNCTION("""COMPUTED_VALUE"""),"Yes, I will earn and do that")</f>
        <v>Yes, I will earn and do that</v>
      </c>
      <c r="G2028" s="1" t="str">
        <f ca="1">IFERROR(__xludf.DUMMYFUNCTION("""COMPUTED_VALUE"""),"Will work for 3 years or more")</f>
        <v>Will work for 3 years or more</v>
      </c>
      <c r="H2028" s="1" t="str">
        <f ca="1">IFERROR(__xludf.DUMMYFUNCTION("""COMPUTED_VALUE"""),"No")</f>
        <v>No</v>
      </c>
      <c r="I2028" s="1" t="str">
        <f ca="1">IFERROR(__xludf.DUMMYFUNCTION("""COMPUTED_VALUE"""),"Will NOT work for them")</f>
        <v>Will NOT work for them</v>
      </c>
      <c r="J2028" s="1">
        <f ca="1">IFERROR(__xludf.DUMMYFUNCTION("""COMPUTED_VALUE"""),3)</f>
        <v>3</v>
      </c>
      <c r="K2028" s="1" t="str">
        <f ca="1">IFERROR(__xludf.DUMMYFUNCTION("""COMPUTED_VALUE"""),"Fully Remote with Options to travel as and when needed")</f>
        <v>Fully Remote with Options to travel as and when needed</v>
      </c>
      <c r="L20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2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028" s="1" t="str">
        <f ca="1">IFERROR(__xludf.DUMMYFUNCTION("""COMPUTED_VALUE"""),"Design and Creative strategy in any company, Teaching in any of the institutes/colleges/online or offline, Design and Develop amazing software, Work as a freelancer and do my thing my way")</f>
        <v>Design and Creative strategy in any company, Teaching in any of the institutes/colleges/online or offline, Design and Develop amazing software, Work as a freelancer and do my thing my way</v>
      </c>
      <c r="O2028" s="1" t="str">
        <f ca="1">IFERROR(__xludf.DUMMYFUNCTION("""COMPUTED_VALUE"""),"Manager who clearly describes what she/he needs")</f>
        <v>Manager who clearly describes what she/he needs</v>
      </c>
      <c r="P2028" s="1" t="str">
        <f ca="1">IFERROR(__xludf.DUMMYFUNCTION("""COMPUTED_VALUE"""),"Work with 2 to 3 people in my team, Work with 5 to 6 people in my team")</f>
        <v>Work with 2 to 3 people in my team, Work with 5 to 6 people in my team</v>
      </c>
      <c r="Q2028" s="1" t="str">
        <f ca="1">IFERROR(__xludf.DUMMYFUNCTION("""COMPUTED_VALUE"""),"Yes, I Understand this is gonna happen everywhere")</f>
        <v>Yes, I Understand this is gonna happen everywhere</v>
      </c>
      <c r="R2028" s="1" t="str">
        <f ca="1">IFERROR(__xludf.DUMMYFUNCTION("""COMPUTED_VALUE"""),"This will be hard to do, but if it is the right company I would try")</f>
        <v>This will be hard to do, but if it is the right company I would try</v>
      </c>
      <c r="S2028" s="1" t="str">
        <f ca="1">IFERROR(__xludf.DUMMYFUNCTION("""COMPUTED_VALUE"""),"snehaparash96@gmail.com")</f>
        <v>snehaparash96@gmail.com</v>
      </c>
    </row>
    <row r="2029" spans="1:19" ht="12.5" x14ac:dyDescent="0.25">
      <c r="A2029" s="2">
        <f ca="1">IFERROR(__xludf.DUMMYFUNCTION("""COMPUTED_VALUE"""),45063.0431944444)</f>
        <v>45063.043194444399</v>
      </c>
      <c r="B2029" s="1" t="str">
        <f ca="1">IFERROR(__xludf.DUMMYFUNCTION("""COMPUTED_VALUE"""),"India")</f>
        <v>India</v>
      </c>
      <c r="C2029" s="1">
        <f ca="1">IFERROR(__xludf.DUMMYFUNCTION("""COMPUTED_VALUE"""),460001)</f>
        <v>460001</v>
      </c>
      <c r="D2029" s="1" t="str">
        <f ca="1">IFERROR(__xludf.DUMMYFUNCTION("""COMPUTED_VALUE"""),"Male")</f>
        <v>Male</v>
      </c>
      <c r="E2029" s="1" t="str">
        <f ca="1">IFERROR(__xludf.DUMMYFUNCTION("""COMPUTED_VALUE"""),"People who have changed the world for better")</f>
        <v>People who have changed the world for better</v>
      </c>
      <c r="F2029" s="1" t="str">
        <f ca="1">IFERROR(__xludf.DUMMYFUNCTION("""COMPUTED_VALUE"""),"Yes, I will earn and do that")</f>
        <v>Yes, I will earn and do that</v>
      </c>
      <c r="G2029" s="1" t="str">
        <f ca="1">IFERROR(__xludf.DUMMYFUNCTION("""COMPUTED_VALUE"""),"This will be hard to do, but if it is the right company I would try")</f>
        <v>This will be hard to do, but if it is the right company I would try</v>
      </c>
      <c r="H2029" s="1" t="str">
        <f ca="1">IFERROR(__xludf.DUMMYFUNCTION("""COMPUTED_VALUE"""),"Yes")</f>
        <v>Yes</v>
      </c>
      <c r="I2029" s="1" t="str">
        <f ca="1">IFERROR(__xludf.DUMMYFUNCTION("""COMPUTED_VALUE"""),"Will NOT work for them")</f>
        <v>Will NOT work for them</v>
      </c>
      <c r="J2029" s="1">
        <f ca="1">IFERROR(__xludf.DUMMYFUNCTION("""COMPUTED_VALUE"""),4)</f>
        <v>4</v>
      </c>
      <c r="K2029" s="1" t="str">
        <f ca="1">IFERROR(__xludf.DUMMYFUNCTION("""COMPUTED_VALUE"""),"Hybrid Working Environment with more than 15 days a month at office")</f>
        <v>Hybrid Working Environment with more than 15 days a month at office</v>
      </c>
      <c r="L20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2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029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029" s="1" t="str">
        <f ca="1">IFERROR(__xludf.DUMMYFUNCTION("""COMPUTED_VALUE"""),"Manager who explains what is expected, sets a goal and helps achieve it")</f>
        <v>Manager who explains what is expected, sets a goal and helps achieve it</v>
      </c>
      <c r="P2029" s="1" t="str">
        <f ca="1">IFERROR(__xludf.DUMMYFUNCTION("""COMPUTED_VALUE"""),"Work alone, Work with 5 to 6 people in my team")</f>
        <v>Work alone, Work with 5 to 6 people in my team</v>
      </c>
      <c r="Q2029" s="1" t="str">
        <f ca="1">IFERROR(__xludf.DUMMYFUNCTION("""COMPUTED_VALUE"""),"Yes")</f>
        <v>Yes</v>
      </c>
      <c r="R2029" s="1" t="str">
        <f ca="1">IFERROR(__xludf.DUMMYFUNCTION("""COMPUTED_VALUE"""),"No way")</f>
        <v>No way</v>
      </c>
      <c r="S2029" s="1" t="str">
        <f ca="1">IFERROR(__xludf.DUMMYFUNCTION("""COMPUTED_VALUE"""),"gaganpawar1992@gmail.com")</f>
        <v>gaganpawar1992@gmail.com</v>
      </c>
    </row>
    <row r="2030" spans="1:19" ht="12.5" x14ac:dyDescent="0.25">
      <c r="A2030" s="2">
        <f ca="1">IFERROR(__xludf.DUMMYFUNCTION("""COMPUTED_VALUE"""),45063.0487203125)</f>
        <v>45063.048720312501</v>
      </c>
      <c r="B2030" s="1" t="str">
        <f ca="1">IFERROR(__xludf.DUMMYFUNCTION("""COMPUTED_VALUE"""),"India")</f>
        <v>India</v>
      </c>
      <c r="C2030" s="1">
        <f ca="1">IFERROR(__xludf.DUMMYFUNCTION("""COMPUTED_VALUE"""),462026)</f>
        <v>462026</v>
      </c>
      <c r="D2030" s="1" t="str">
        <f ca="1">IFERROR(__xludf.DUMMYFUNCTION("""COMPUTED_VALUE"""),"Female")</f>
        <v>Female</v>
      </c>
      <c r="E2030" s="1" t="str">
        <f ca="1">IFERROR(__xludf.DUMMYFUNCTION("""COMPUTED_VALUE"""),"People from my circle, but not family members")</f>
        <v>People from my circle, but not family members</v>
      </c>
      <c r="F2030" s="1" t="str">
        <f ca="1">IFERROR(__xludf.DUMMYFUNCTION("""COMPUTED_VALUE"""),"Yes, I will earn and do that")</f>
        <v>Yes, I will earn and do that</v>
      </c>
      <c r="G2030" s="1" t="str">
        <f ca="1">IFERROR(__xludf.DUMMYFUNCTION("""COMPUTED_VALUE"""),"This will be hard to do, but if it is the right company I would try")</f>
        <v>This will be hard to do, but if it is the right company I would try</v>
      </c>
      <c r="H2030" s="1" t="str">
        <f ca="1">IFERROR(__xludf.DUMMYFUNCTION("""COMPUTED_VALUE"""),"Yes")</f>
        <v>Yes</v>
      </c>
      <c r="I2030" s="1" t="str">
        <f ca="1">IFERROR(__xludf.DUMMYFUNCTION("""COMPUTED_VALUE"""),"Will NOT work for them")</f>
        <v>Will NOT work for them</v>
      </c>
      <c r="J2030" s="1">
        <f ca="1">IFERROR(__xludf.DUMMYFUNCTION("""COMPUTED_VALUE"""),7)</f>
        <v>7</v>
      </c>
      <c r="K2030" s="1" t="str">
        <f ca="1">IFERROR(__xludf.DUMMYFUNCTION("""COMPUTED_VALUE"""),"Hybrid Working Environment with more than 15 days a month at office")</f>
        <v>Hybrid Working Environment with more than 15 days a month at office</v>
      </c>
      <c r="L20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3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030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2030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0" s="1" t="str">
        <f ca="1">IFERROR(__xludf.DUMMYFUNCTION("""COMPUTED_VALUE"""),"Work with 2 to 3 people in my team")</f>
        <v>Work with 2 to 3 people in my team</v>
      </c>
      <c r="Q2030" s="1" t="str">
        <f ca="1">IFERROR(__xludf.DUMMYFUNCTION("""COMPUTED_VALUE"""),"Yes")</f>
        <v>Yes</v>
      </c>
      <c r="R2030" s="1" t="str">
        <f ca="1">IFERROR(__xludf.DUMMYFUNCTION("""COMPUTED_VALUE"""),"No way")</f>
        <v>No way</v>
      </c>
      <c r="S2030" s="1" t="str">
        <f ca="1">IFERROR(__xludf.DUMMYFUNCTION("""COMPUTED_VALUE"""),"dolly.dollian@gmail.com")</f>
        <v>dolly.dollian@gmail.com</v>
      </c>
    </row>
    <row r="2031" spans="1:19" ht="12.5" x14ac:dyDescent="0.25">
      <c r="A2031" s="2">
        <f ca="1">IFERROR(__xludf.DUMMYFUNCTION("""COMPUTED_VALUE"""),45063.0522493981)</f>
        <v>45063.052249398097</v>
      </c>
      <c r="B2031" s="1" t="str">
        <f ca="1">IFERROR(__xludf.DUMMYFUNCTION("""COMPUTED_VALUE"""),"India")</f>
        <v>India</v>
      </c>
      <c r="C2031" s="1">
        <f ca="1">IFERROR(__xludf.DUMMYFUNCTION("""COMPUTED_VALUE"""),460001)</f>
        <v>460001</v>
      </c>
      <c r="D2031" s="1" t="str">
        <f ca="1">IFERROR(__xludf.DUMMYFUNCTION("""COMPUTED_VALUE"""),"Male")</f>
        <v>Male</v>
      </c>
      <c r="E2031" s="1" t="str">
        <f ca="1">IFERROR(__xludf.DUMMYFUNCTION("""COMPUTED_VALUE"""),"People who have changed the world for better")</f>
        <v>People who have changed the world for better</v>
      </c>
      <c r="F2031" s="1" t="str">
        <f ca="1">IFERROR(__xludf.DUMMYFUNCTION("""COMPUTED_VALUE"""),"Yes, I will earn and do that")</f>
        <v>Yes, I will earn and do that</v>
      </c>
      <c r="G2031" s="1" t="str">
        <f ca="1">IFERROR(__xludf.DUMMYFUNCTION("""COMPUTED_VALUE"""),"This will be hard to do, but if it is the right company I would try")</f>
        <v>This will be hard to do, but if it is the right company I would try</v>
      </c>
      <c r="H2031" s="1" t="str">
        <f ca="1">IFERROR(__xludf.DUMMYFUNCTION("""COMPUTED_VALUE"""),"No")</f>
        <v>No</v>
      </c>
      <c r="I2031" s="1" t="str">
        <f ca="1">IFERROR(__xludf.DUMMYFUNCTION("""COMPUTED_VALUE"""),"Will NOT work for them")</f>
        <v>Will NOT work for them</v>
      </c>
      <c r="J2031" s="1">
        <f ca="1">IFERROR(__xludf.DUMMYFUNCTION("""COMPUTED_VALUE"""),1)</f>
        <v>1</v>
      </c>
      <c r="K2031" s="1" t="str">
        <f ca="1">IFERROR(__xludf.DUMMYFUNCTION("""COMPUTED_VALUE"""),"Fully Remote with Options to travel as and when needed")</f>
        <v>Fully Remote with Options to travel as and when needed</v>
      </c>
      <c r="L2031" s="1" t="str">
        <f ca="1">IFERROR(__xludf.DUMMYFUNCTION("""COMPUTED_VALUE"""),"Employer who appreciates learning and enables that environment")</f>
        <v>Employer who appreciates learning and enables that environment</v>
      </c>
      <c r="M203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31" s="1" t="str">
        <f ca="1">IFERROR(__xludf.DUMMYFUNCTION("""COMPUTED_VALUE"""),"Manage and drive End-to-End Projects or Products, Design and Develop amazing software, Work as a freelancer and do my thing my way, An Artificial Intelligence Specialist / Talking to Robots")</f>
        <v>Manage and drive End-to-End Projects or Products, Design and Develop amazing software, Work as a freelancer and do my thing my way, An Artificial Intelligence Specialist / Talking to Robots</v>
      </c>
      <c r="O2031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1" s="1" t="str">
        <f ca="1">IFERROR(__xludf.DUMMYFUNCTION("""COMPUTED_VALUE"""),"Work with more than 10 people in my team")</f>
        <v>Work with more than 10 people in my team</v>
      </c>
      <c r="Q2031" s="1" t="str">
        <f ca="1">IFERROR(__xludf.DUMMYFUNCTION("""COMPUTED_VALUE"""),"Yes, I Understand this is gonna happen everywhere")</f>
        <v>Yes, I Understand this is gonna happen everywhere</v>
      </c>
      <c r="R2031" s="1" t="str">
        <f ca="1">IFERROR(__xludf.DUMMYFUNCTION("""COMPUTED_VALUE"""),"No way")</f>
        <v>No way</v>
      </c>
      <c r="S2031" s="1" t="str">
        <f ca="1">IFERROR(__xludf.DUMMYFUNCTION("""COMPUTED_VALUE"""),"piyushdigarse@gmail.com")</f>
        <v>piyushdigarse@gmail.com</v>
      </c>
    </row>
    <row r="2032" spans="1:19" ht="12.5" x14ac:dyDescent="0.25">
      <c r="A2032" s="2">
        <f ca="1">IFERROR(__xludf.DUMMYFUNCTION("""COMPUTED_VALUE"""),45063.0549819907)</f>
        <v>45063.054981990703</v>
      </c>
      <c r="B2032" s="1" t="str">
        <f ca="1">IFERROR(__xludf.DUMMYFUNCTION("""COMPUTED_VALUE"""),"India")</f>
        <v>India</v>
      </c>
      <c r="C2032" s="1">
        <f ca="1">IFERROR(__xludf.DUMMYFUNCTION("""COMPUTED_VALUE"""),600043)</f>
        <v>600043</v>
      </c>
      <c r="D2032" s="1" t="str">
        <f ca="1">IFERROR(__xludf.DUMMYFUNCTION("""COMPUTED_VALUE"""),"Male")</f>
        <v>Male</v>
      </c>
      <c r="E2032" s="1" t="str">
        <f ca="1">IFERROR(__xludf.DUMMYFUNCTION("""COMPUTED_VALUE"""),"People from my circle, but not family members")</f>
        <v>People from my circle, but not family members</v>
      </c>
      <c r="F2032" s="1" t="str">
        <f ca="1">IFERROR(__xludf.DUMMYFUNCTION("""COMPUTED_VALUE"""),"Yes, I will earn and do that")</f>
        <v>Yes, I will earn and do that</v>
      </c>
      <c r="G2032" s="1" t="str">
        <f ca="1">IFERROR(__xludf.DUMMYFUNCTION("""COMPUTED_VALUE"""),"This will be hard to do, but if it is the right company I would try")</f>
        <v>This will be hard to do, but if it is the right company I would try</v>
      </c>
      <c r="H2032" s="1" t="str">
        <f ca="1">IFERROR(__xludf.DUMMYFUNCTION("""COMPUTED_VALUE"""),"Yes")</f>
        <v>Yes</v>
      </c>
      <c r="I2032" s="1" t="str">
        <f ca="1">IFERROR(__xludf.DUMMYFUNCTION("""COMPUTED_VALUE"""),"Will work for them")</f>
        <v>Will work for them</v>
      </c>
      <c r="J2032" s="1">
        <f ca="1">IFERROR(__xludf.DUMMYFUNCTION("""COMPUTED_VALUE"""),6)</f>
        <v>6</v>
      </c>
      <c r="K2032" s="1" t="str">
        <f ca="1">IFERROR(__xludf.DUMMYFUNCTION("""COMPUTED_VALUE"""),"Hybrid Working Environment with more than 15 days a month at office")</f>
        <v>Hybrid Working Environment with more than 15 days a month at office</v>
      </c>
      <c r="L20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32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032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2032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2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032" s="1" t="str">
        <f ca="1">IFERROR(__xludf.DUMMYFUNCTION("""COMPUTED_VALUE"""),"Yes, I Understand this is gonna happen everywhere")</f>
        <v>Yes, I Understand this is gonna happen everywhere</v>
      </c>
      <c r="R2032" s="1" t="str">
        <f ca="1">IFERROR(__xludf.DUMMYFUNCTION("""COMPUTED_VALUE"""),"This will be hard to do, but if it is the right company I would try")</f>
        <v>This will be hard to do, but if it is the right company I would try</v>
      </c>
      <c r="S2032" s="1" t="str">
        <f ca="1">IFERROR(__xludf.DUMMYFUNCTION("""COMPUTED_VALUE"""),"alamshamshir3@gmail.com")</f>
        <v>alamshamshir3@gmail.com</v>
      </c>
    </row>
    <row r="2033" spans="1:19" ht="12.5" x14ac:dyDescent="0.25">
      <c r="A2033" s="2">
        <f ca="1">IFERROR(__xludf.DUMMYFUNCTION("""COMPUTED_VALUE"""),45063.0554015856)</f>
        <v>45063.055401585603</v>
      </c>
      <c r="B2033" s="1" t="str">
        <f ca="1">IFERROR(__xludf.DUMMYFUNCTION("""COMPUTED_VALUE"""),"India")</f>
        <v>India</v>
      </c>
      <c r="C2033" s="1">
        <f ca="1">IFERROR(__xludf.DUMMYFUNCTION("""COMPUTED_VALUE"""),607803)</f>
        <v>607803</v>
      </c>
      <c r="D2033" s="1" t="str">
        <f ca="1">IFERROR(__xludf.DUMMYFUNCTION("""COMPUTED_VALUE"""),"Female")</f>
        <v>Female</v>
      </c>
      <c r="E2033" s="1" t="str">
        <f ca="1">IFERROR(__xludf.DUMMYFUNCTION("""COMPUTED_VALUE"""),"People from my circle, but not family members")</f>
        <v>People from my circle, but not family members</v>
      </c>
      <c r="F2033" s="1" t="str">
        <f ca="1">IFERROR(__xludf.DUMMYFUNCTION("""COMPUTED_VALUE"""),"No, But if someone could bare the cost I will")</f>
        <v>No, But if someone could bare the cost I will</v>
      </c>
      <c r="G2033" s="1" t="str">
        <f ca="1">IFERROR(__xludf.DUMMYFUNCTION("""COMPUTED_VALUE"""),"Will work for 3 years or more")</f>
        <v>Will work for 3 years or more</v>
      </c>
      <c r="H2033" s="1" t="str">
        <f ca="1">IFERROR(__xludf.DUMMYFUNCTION("""COMPUTED_VALUE"""),"No")</f>
        <v>No</v>
      </c>
      <c r="I2033" s="1" t="str">
        <f ca="1">IFERROR(__xludf.DUMMYFUNCTION("""COMPUTED_VALUE"""),"Will NOT work for them")</f>
        <v>Will NOT work for them</v>
      </c>
      <c r="J2033" s="1">
        <f ca="1">IFERROR(__xludf.DUMMYFUNCTION("""COMPUTED_VALUE"""),6)</f>
        <v>6</v>
      </c>
      <c r="K2033" s="1" t="str">
        <f ca="1">IFERROR(__xludf.DUMMYFUNCTION("""COMPUTED_VALUE"""),"Every Day Office Environment")</f>
        <v>Every Day Office Environment</v>
      </c>
      <c r="L2033" s="1" t="str">
        <f ca="1">IFERROR(__xludf.DUMMYFUNCTION("""COMPUTED_VALUE"""),"Employer who rewards learning and enables that environment")</f>
        <v>Employer who rewards learning and enables that environment</v>
      </c>
      <c r="M203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033" s="1" t="str">
        <f ca="1">IFERROR(__xludf.DUMMYFUNCTION("""COMPUTED_VALUE"""),"Teaching in any of the institutes/colleges/online or offline, Build and develop a Team, Look deeply into Data and generate insights, Manufacturing / Oil and Gas/ Construction / Hard Physical Work related")</f>
        <v>Teaching in any of the institutes/colleges/online or offline, Build and develop a Team, Look deeply into Data and generate insights, Manufacturing / Oil and Gas/ Construction / Hard Physical Work related</v>
      </c>
      <c r="O2033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3" s="1" t="str">
        <f ca="1">IFERROR(__xludf.DUMMYFUNCTION("""COMPUTED_VALUE"""),"Work with 2 to 3 people in my team")</f>
        <v>Work with 2 to 3 people in my team</v>
      </c>
      <c r="Q2033" s="1" t="str">
        <f ca="1">IFERROR(__xludf.DUMMYFUNCTION("""COMPUTED_VALUE"""),"No")</f>
        <v>No</v>
      </c>
      <c r="R2033" s="1" t="str">
        <f ca="1">IFERROR(__xludf.DUMMYFUNCTION("""COMPUTED_VALUE"""),"This will be hard to do, but if it is the right company I would try")</f>
        <v>This will be hard to do, but if it is the right company I would try</v>
      </c>
      <c r="S2033" s="1" t="str">
        <f ca="1">IFERROR(__xludf.DUMMYFUNCTION("""COMPUTED_VALUE"""),"vinnykutty13@gmail.com")</f>
        <v>vinnykutty13@gmail.com</v>
      </c>
    </row>
    <row r="2034" spans="1:19" ht="12.5" x14ac:dyDescent="0.25">
      <c r="A2034" s="2">
        <f ca="1">IFERROR(__xludf.DUMMYFUNCTION("""COMPUTED_VALUE"""),45063.0572967361)</f>
        <v>45063.0572967361</v>
      </c>
      <c r="B2034" s="1" t="str">
        <f ca="1">IFERROR(__xludf.DUMMYFUNCTION("""COMPUTED_VALUE"""),"India")</f>
        <v>India</v>
      </c>
      <c r="C2034" s="1">
        <f ca="1">IFERROR(__xludf.DUMMYFUNCTION("""COMPUTED_VALUE"""),460001)</f>
        <v>460001</v>
      </c>
      <c r="D2034" s="1" t="str">
        <f ca="1">IFERROR(__xludf.DUMMYFUNCTION("""COMPUTED_VALUE"""),"Female")</f>
        <v>Female</v>
      </c>
      <c r="E2034" s="1" t="str">
        <f ca="1">IFERROR(__xludf.DUMMYFUNCTION("""COMPUTED_VALUE"""),"People from my circle, but not family members")</f>
        <v>People from my circle, but not family members</v>
      </c>
      <c r="F2034" s="1" t="str">
        <f ca="1">IFERROR(__xludf.DUMMYFUNCTION("""COMPUTED_VALUE"""),"No I would not be pursuing Higher Education outside of India")</f>
        <v>No I would not be pursuing Higher Education outside of India</v>
      </c>
      <c r="G2034" s="1" t="str">
        <f ca="1">IFERROR(__xludf.DUMMYFUNCTION("""COMPUTED_VALUE"""),"Will work for 3 years or more")</f>
        <v>Will work for 3 years or more</v>
      </c>
      <c r="H2034" s="1" t="str">
        <f ca="1">IFERROR(__xludf.DUMMYFUNCTION("""COMPUTED_VALUE"""),"No")</f>
        <v>No</v>
      </c>
      <c r="I2034" s="1" t="str">
        <f ca="1">IFERROR(__xludf.DUMMYFUNCTION("""COMPUTED_VALUE"""),"Will work for them")</f>
        <v>Will work for them</v>
      </c>
      <c r="J2034" s="1">
        <f ca="1">IFERROR(__xludf.DUMMYFUNCTION("""COMPUTED_VALUE"""),8)</f>
        <v>8</v>
      </c>
      <c r="K2034" s="1" t="str">
        <f ca="1">IFERROR(__xludf.DUMMYFUNCTION("""COMPUTED_VALUE"""),"Fully Remote with Options to travel as and when needed")</f>
        <v>Fully Remote with Options to travel as and when needed</v>
      </c>
      <c r="L20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3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34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2034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034" s="1" t="str">
        <f ca="1">IFERROR(__xludf.DUMMYFUNCTION("""COMPUTED_VALUE"""),"Yes, I Understand this is gonna happen everywhere")</f>
        <v>Yes, I Understand this is gonna happen everywhere</v>
      </c>
      <c r="R2034" s="1" t="str">
        <f ca="1">IFERROR(__xludf.DUMMYFUNCTION("""COMPUTED_VALUE"""),"This will be hard to do, but if it is the right company I would try")</f>
        <v>This will be hard to do, but if it is the right company I would try</v>
      </c>
      <c r="S2034" s="1" t="str">
        <f ca="1">IFERROR(__xludf.DUMMYFUNCTION("""COMPUTED_VALUE"""),"aayusheedigarse123@gmail.com")</f>
        <v>aayusheedigarse123@gmail.com</v>
      </c>
    </row>
    <row r="2035" spans="1:19" ht="12.5" x14ac:dyDescent="0.25">
      <c r="A2035" s="2">
        <f ca="1">IFERROR(__xludf.DUMMYFUNCTION("""COMPUTED_VALUE"""),45063.1046950347)</f>
        <v>45063.104695034701</v>
      </c>
      <c r="B2035" s="1" t="str">
        <f ca="1">IFERROR(__xludf.DUMMYFUNCTION("""COMPUTED_VALUE"""),"India")</f>
        <v>India</v>
      </c>
      <c r="C2035" s="1">
        <f ca="1">IFERROR(__xludf.DUMMYFUNCTION("""COMPUTED_VALUE"""),221003)</f>
        <v>221003</v>
      </c>
      <c r="D2035" s="1" t="str">
        <f ca="1">IFERROR(__xludf.DUMMYFUNCTION("""COMPUTED_VALUE"""),"Female")</f>
        <v>Female</v>
      </c>
      <c r="E2035" s="1" t="str">
        <f ca="1">IFERROR(__xludf.DUMMYFUNCTION("""COMPUTED_VALUE"""),"Influencers who had successful careers")</f>
        <v>Influencers who had successful careers</v>
      </c>
      <c r="F2035" s="1" t="str">
        <f ca="1">IFERROR(__xludf.DUMMYFUNCTION("""COMPUTED_VALUE"""),"Yes, I will earn and do that")</f>
        <v>Yes, I will earn and do that</v>
      </c>
      <c r="G2035" s="1" t="str">
        <f ca="1">IFERROR(__xludf.DUMMYFUNCTION("""COMPUTED_VALUE"""),"Will work for 3 years or more")</f>
        <v>Will work for 3 years or more</v>
      </c>
      <c r="H2035" s="1" t="str">
        <f ca="1">IFERROR(__xludf.DUMMYFUNCTION("""COMPUTED_VALUE"""),"No")</f>
        <v>No</v>
      </c>
      <c r="I2035" s="1" t="str">
        <f ca="1">IFERROR(__xludf.DUMMYFUNCTION("""COMPUTED_VALUE"""),"Will NOT work for them")</f>
        <v>Will NOT work for them</v>
      </c>
      <c r="J2035" s="1">
        <f ca="1">IFERROR(__xludf.DUMMYFUNCTION("""COMPUTED_VALUE"""),5)</f>
        <v>5</v>
      </c>
      <c r="K2035" s="1" t="str">
        <f ca="1">IFERROR(__xludf.DUMMYFUNCTION("""COMPUTED_VALUE"""),"Every Day Office Environment")</f>
        <v>Every Day Office Environment</v>
      </c>
      <c r="L2035" s="1" t="str">
        <f ca="1">IFERROR(__xludf.DUMMYFUNCTION("""COMPUTED_VALUE"""),"Employer who appreciates learning and enables that environment")</f>
        <v>Employer who appreciates learning and enables that environment</v>
      </c>
      <c r="M203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035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2035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5" s="1" t="str">
        <f ca="1">IFERROR(__xludf.DUMMYFUNCTION("""COMPUTED_VALUE"""),"Work with more than 10 people in my team")</f>
        <v>Work with more than 10 people in my team</v>
      </c>
      <c r="Q2035" s="1" t="str">
        <f ca="1">IFERROR(__xludf.DUMMYFUNCTION("""COMPUTED_VALUE"""),"Yes, I Understand this is gonna happen everywhere")</f>
        <v>Yes, I Understand this is gonna happen everywhere</v>
      </c>
      <c r="R2035" s="1" t="str">
        <f ca="1">IFERROR(__xludf.DUMMYFUNCTION("""COMPUTED_VALUE"""),"Will work for 7 years or more")</f>
        <v>Will work for 7 years or more</v>
      </c>
      <c r="S2035" s="1" t="str">
        <f ca="1">IFERROR(__xludf.DUMMYFUNCTION("""COMPUTED_VALUE"""),"simritapandey8@gmail.com")</f>
        <v>simritapandey8@gmail.com</v>
      </c>
    </row>
    <row r="2036" spans="1:19" ht="12.5" x14ac:dyDescent="0.25">
      <c r="A2036" s="2">
        <f ca="1">IFERROR(__xludf.DUMMYFUNCTION("""COMPUTED_VALUE"""),45063.134697581)</f>
        <v>45063.134697581001</v>
      </c>
      <c r="B2036" s="1" t="str">
        <f ca="1">IFERROR(__xludf.DUMMYFUNCTION("""COMPUTED_VALUE"""),"India")</f>
        <v>India</v>
      </c>
      <c r="C2036" s="1">
        <f ca="1">IFERROR(__xludf.DUMMYFUNCTION("""COMPUTED_VALUE"""),801505)</f>
        <v>801505</v>
      </c>
      <c r="D2036" s="1" t="str">
        <f ca="1">IFERROR(__xludf.DUMMYFUNCTION("""COMPUTED_VALUE"""),"Male")</f>
        <v>Male</v>
      </c>
      <c r="E2036" s="1" t="str">
        <f ca="1">IFERROR(__xludf.DUMMYFUNCTION("""COMPUTED_VALUE"""),"My Parents")</f>
        <v>My Parents</v>
      </c>
      <c r="F2036" s="1" t="str">
        <f ca="1">IFERROR(__xludf.DUMMYFUNCTION("""COMPUTED_VALUE"""),"Yes, I will earn and do that")</f>
        <v>Yes, I will earn and do that</v>
      </c>
      <c r="G2036" s="1" t="str">
        <f ca="1">IFERROR(__xludf.DUMMYFUNCTION("""COMPUTED_VALUE"""),"No way")</f>
        <v>No way</v>
      </c>
      <c r="H2036" s="1" t="str">
        <f ca="1">IFERROR(__xludf.DUMMYFUNCTION("""COMPUTED_VALUE"""),"Yes")</f>
        <v>Yes</v>
      </c>
      <c r="I2036" s="1" t="str">
        <f ca="1">IFERROR(__xludf.DUMMYFUNCTION("""COMPUTED_VALUE"""),"Will work for them")</f>
        <v>Will work for them</v>
      </c>
      <c r="J2036" s="1">
        <f ca="1">IFERROR(__xludf.DUMMYFUNCTION("""COMPUTED_VALUE"""),5)</f>
        <v>5</v>
      </c>
      <c r="K2036" s="1" t="str">
        <f ca="1">IFERROR(__xludf.DUMMYFUNCTION("""COMPUTED_VALUE"""),"Every Day Office Environment")</f>
        <v>Every Day Office Environment</v>
      </c>
      <c r="L2036" s="1" t="str">
        <f ca="1">IFERROR(__xludf.DUMMYFUNCTION("""COMPUTED_VALUE"""),"Employer who rewards learning and enables that environment")</f>
        <v>Employer who rewards learning and enables that environment</v>
      </c>
      <c r="M203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036" s="1" t="str">
        <f ca="1">IFERROR(__xludf.DUMMYFUNCTION("""COMPUTED_VALUE"""),"Design and Creative strategy in any company, Look deeply into Data and generate insights, Work as a freelancer and do my thing my way, Entrepreneur or Start Up")</f>
        <v>Design and Creative strategy in any company, Look deeply into Data and generate insights, Work as a freelancer and do my thing my way, Entrepreneur or Start Up</v>
      </c>
      <c r="O2036" s="1" t="str">
        <f ca="1">IFERROR(__xludf.DUMMYFUNCTION("""COMPUTED_VALUE"""),"Manager who sets goal and helps me achieve it")</f>
        <v>Manager who sets goal and helps me achieve it</v>
      </c>
      <c r="P2036" s="1" t="str">
        <f ca="1">IFERROR(__xludf.DUMMYFUNCTION("""COMPUTED_VALUE"""),"Work with 5 to 6 people in my team")</f>
        <v>Work with 5 to 6 people in my team</v>
      </c>
      <c r="Q2036" s="1" t="str">
        <f ca="1">IFERROR(__xludf.DUMMYFUNCTION("""COMPUTED_VALUE"""),"Yes")</f>
        <v>Yes</v>
      </c>
      <c r="R2036" s="1" t="str">
        <f ca="1">IFERROR(__xludf.DUMMYFUNCTION("""COMPUTED_VALUE"""),"No way")</f>
        <v>No way</v>
      </c>
      <c r="S2036" s="1" t="str">
        <f ca="1">IFERROR(__xludf.DUMMYFUNCTION("""COMPUTED_VALUE"""),"ahmarsayeed25@gmail.com")</f>
        <v>ahmarsayeed25@gmail.com</v>
      </c>
    </row>
    <row r="2037" spans="1:19" ht="12.5" x14ac:dyDescent="0.25">
      <c r="A2037" s="2">
        <f ca="1">IFERROR(__xludf.DUMMYFUNCTION("""COMPUTED_VALUE"""),45063.1384780439)</f>
        <v>45063.138478043897</v>
      </c>
      <c r="B2037" s="1" t="str">
        <f ca="1">IFERROR(__xludf.DUMMYFUNCTION("""COMPUTED_VALUE"""),"India")</f>
        <v>India</v>
      </c>
      <c r="C2037" s="1">
        <f ca="1">IFERROR(__xludf.DUMMYFUNCTION("""COMPUTED_VALUE"""),608001)</f>
        <v>608001</v>
      </c>
      <c r="D2037" s="1" t="str">
        <f ca="1">IFERROR(__xludf.DUMMYFUNCTION("""COMPUTED_VALUE"""),"Female")</f>
        <v>Female</v>
      </c>
      <c r="E2037" s="1" t="str">
        <f ca="1">IFERROR(__xludf.DUMMYFUNCTION("""COMPUTED_VALUE"""),"People from my circle, but not family members")</f>
        <v>People from my circle, but not family members</v>
      </c>
      <c r="F2037" s="1" t="str">
        <f ca="1">IFERROR(__xludf.DUMMYFUNCTION("""COMPUTED_VALUE"""),"No I would not be pursuing Higher Education outside of India")</f>
        <v>No I would not be pursuing Higher Education outside of India</v>
      </c>
      <c r="G2037" s="1" t="str">
        <f ca="1">IFERROR(__xludf.DUMMYFUNCTION("""COMPUTED_VALUE"""),"This will be hard to do, but if it is the right company I would try")</f>
        <v>This will be hard to do, but if it is the right company I would try</v>
      </c>
      <c r="H2037" s="1" t="str">
        <f ca="1">IFERROR(__xludf.DUMMYFUNCTION("""COMPUTED_VALUE"""),"Yes")</f>
        <v>Yes</v>
      </c>
      <c r="I2037" s="1" t="str">
        <f ca="1">IFERROR(__xludf.DUMMYFUNCTION("""COMPUTED_VALUE"""),"Will work for them")</f>
        <v>Will work for them</v>
      </c>
      <c r="J2037" s="1">
        <f ca="1">IFERROR(__xludf.DUMMYFUNCTION("""COMPUTED_VALUE"""),5)</f>
        <v>5</v>
      </c>
      <c r="K2037" s="1" t="str">
        <f ca="1">IFERROR(__xludf.DUMMYFUNCTION("""COMPUTED_VALUE"""),"Hybrid Working Environment with more than 15 days a month at office")</f>
        <v>Hybrid Working Environment with more than 15 days a month at office</v>
      </c>
      <c r="L20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3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37" s="1" t="str">
        <f ca="1">IFERROR(__xludf.DUMMYFUNCTION("""COMPUTED_VALUE"""),"Design and Creative strategy in any company, Business Operations in any organization, Entrepreneur or Start Up, I Want to sell things/Sales")</f>
        <v>Design and Creative strategy in any company, Business Operations in any organization, Entrepreneur or Start Up, I Want to sell things/Sales</v>
      </c>
      <c r="O2037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7" s="1" t="str">
        <f ca="1">IFERROR(__xludf.DUMMYFUNCTION("""COMPUTED_VALUE"""),"Work with 2 to 3 people in my team")</f>
        <v>Work with 2 to 3 people in my team</v>
      </c>
      <c r="Q2037" s="1" t="str">
        <f ca="1">IFERROR(__xludf.DUMMYFUNCTION("""COMPUTED_VALUE"""),"No")</f>
        <v>No</v>
      </c>
      <c r="R2037" s="1" t="str">
        <f ca="1">IFERROR(__xludf.DUMMYFUNCTION("""COMPUTED_VALUE"""),"No way")</f>
        <v>No way</v>
      </c>
      <c r="S2037" s="1" t="str">
        <f ca="1">IFERROR(__xludf.DUMMYFUNCTION("""COMPUTED_VALUE"""),"keerthanaram2004@gmail.com")</f>
        <v>keerthanaram2004@gmail.com</v>
      </c>
    </row>
    <row r="2038" spans="1:19" ht="12.5" x14ac:dyDescent="0.25">
      <c r="A2038" s="2">
        <f ca="1">IFERROR(__xludf.DUMMYFUNCTION("""COMPUTED_VALUE"""),45063.1758979629)</f>
        <v>45063.175897962901</v>
      </c>
      <c r="B2038" s="1" t="str">
        <f ca="1">IFERROR(__xludf.DUMMYFUNCTION("""COMPUTED_VALUE"""),"India")</f>
        <v>India</v>
      </c>
      <c r="C2038" s="1">
        <f ca="1">IFERROR(__xludf.DUMMYFUNCTION("""COMPUTED_VALUE"""),122001)</f>
        <v>122001</v>
      </c>
      <c r="D2038" s="1" t="str">
        <f ca="1">IFERROR(__xludf.DUMMYFUNCTION("""COMPUTED_VALUE"""),"Male")</f>
        <v>Male</v>
      </c>
      <c r="E2038" s="1" t="str">
        <f ca="1">IFERROR(__xludf.DUMMYFUNCTION("""COMPUTED_VALUE"""),"My Parents")</f>
        <v>My Parents</v>
      </c>
      <c r="F2038" s="1" t="str">
        <f ca="1">IFERROR(__xludf.DUMMYFUNCTION("""COMPUTED_VALUE"""),"Yes, I will earn and do that")</f>
        <v>Yes, I will earn and do that</v>
      </c>
      <c r="G2038" s="1" t="str">
        <f ca="1">IFERROR(__xludf.DUMMYFUNCTION("""COMPUTED_VALUE"""),"Will work for 3 years or more")</f>
        <v>Will work for 3 years or more</v>
      </c>
      <c r="H2038" s="1" t="str">
        <f ca="1">IFERROR(__xludf.DUMMYFUNCTION("""COMPUTED_VALUE"""),"Yes")</f>
        <v>Yes</v>
      </c>
      <c r="I2038" s="1" t="str">
        <f ca="1">IFERROR(__xludf.DUMMYFUNCTION("""COMPUTED_VALUE"""),"Will NOT work for them")</f>
        <v>Will NOT work for them</v>
      </c>
      <c r="J2038" s="1">
        <f ca="1">IFERROR(__xludf.DUMMYFUNCTION("""COMPUTED_VALUE"""),4)</f>
        <v>4</v>
      </c>
      <c r="K2038" s="1" t="str">
        <f ca="1">IFERROR(__xludf.DUMMYFUNCTION("""COMPUTED_VALUE"""),"Every Day Office Environment")</f>
        <v>Every Day Office Environment</v>
      </c>
      <c r="L20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3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38" s="1" t="str">
        <f ca="1">IFERROR(__xludf.DUMMYFUNCTION("""COMPUTED_VALUE"""),"Teaching in any of the institutes/colleges/online or offline, Manage and drive End-to-End Projects or Products, Build and develop a Team, Work as a freelancer and do my thing my way")</f>
        <v>Teaching in any of the institutes/colleges/online or offline, Manage and drive End-to-End Projects or Products, Build and develop a Team, Work as a freelancer and do my thing my way</v>
      </c>
      <c r="O2038" s="1" t="str">
        <f ca="1">IFERROR(__xludf.DUMMYFUNCTION("""COMPUTED_VALUE"""),"Manager who explains what is expected, sets a goal and helps achieve it")</f>
        <v>Manager who explains what is expected, sets a goal and helps achieve it</v>
      </c>
      <c r="P2038" s="1" t="str">
        <f ca="1">IFERROR(__xludf.DUMMYFUNCTION("""COMPUTED_VALUE"""),"Work with 5 to 6 people in my team")</f>
        <v>Work with 5 to 6 people in my team</v>
      </c>
      <c r="Q2038" s="1" t="str">
        <f ca="1">IFERROR(__xludf.DUMMYFUNCTION("""COMPUTED_VALUE"""),"Yes, I Understand this is gonna happen everywhere")</f>
        <v>Yes, I Understand this is gonna happen everywhere</v>
      </c>
      <c r="R2038" s="1" t="str">
        <f ca="1">IFERROR(__xludf.DUMMYFUNCTION("""COMPUTED_VALUE"""),"This will be hard to do, but if it is the right company I would try")</f>
        <v>This will be hard to do, but if it is the right company I would try</v>
      </c>
      <c r="S2038" s="1" t="str">
        <f ca="1">IFERROR(__xludf.DUMMYFUNCTION("""COMPUTED_VALUE"""),"jasbir.1115kaushik@gmail.com")</f>
        <v>jasbir.1115kaushik@gmail.com</v>
      </c>
    </row>
    <row r="2039" spans="1:19" ht="12.5" x14ac:dyDescent="0.25">
      <c r="A2039" s="2">
        <f ca="1">IFERROR(__xludf.DUMMYFUNCTION("""COMPUTED_VALUE"""),45063.2118282638)</f>
        <v>45063.211828263797</v>
      </c>
      <c r="B2039" s="1" t="str">
        <f ca="1">IFERROR(__xludf.DUMMYFUNCTION("""COMPUTED_VALUE"""),"India")</f>
        <v>India</v>
      </c>
      <c r="C2039" s="1">
        <f ca="1">IFERROR(__xludf.DUMMYFUNCTION("""COMPUTED_VALUE"""),221005)</f>
        <v>221005</v>
      </c>
      <c r="D2039" s="1" t="str">
        <f ca="1">IFERROR(__xludf.DUMMYFUNCTION("""COMPUTED_VALUE"""),"Female")</f>
        <v>Female</v>
      </c>
      <c r="E2039" s="1" t="str">
        <f ca="1">IFERROR(__xludf.DUMMYFUNCTION("""COMPUTED_VALUE"""),"Influencers who had successful careers")</f>
        <v>Influencers who had successful careers</v>
      </c>
      <c r="F2039" s="1" t="str">
        <f ca="1">IFERROR(__xludf.DUMMYFUNCTION("""COMPUTED_VALUE"""),"Yes, I will earn and do that")</f>
        <v>Yes, I will earn and do that</v>
      </c>
      <c r="G2039" s="1" t="str">
        <f ca="1">IFERROR(__xludf.DUMMYFUNCTION("""COMPUTED_VALUE"""),"Will work for 3 years or more")</f>
        <v>Will work for 3 years or more</v>
      </c>
      <c r="H2039" s="1" t="str">
        <f ca="1">IFERROR(__xludf.DUMMYFUNCTION("""COMPUTED_VALUE"""),"Yes")</f>
        <v>Yes</v>
      </c>
      <c r="I2039" s="1" t="str">
        <f ca="1">IFERROR(__xludf.DUMMYFUNCTION("""COMPUTED_VALUE"""),"Will work for them")</f>
        <v>Will work for them</v>
      </c>
      <c r="J2039" s="1">
        <f ca="1">IFERROR(__xludf.DUMMYFUNCTION("""COMPUTED_VALUE"""),3)</f>
        <v>3</v>
      </c>
      <c r="K2039" s="1" t="str">
        <f ca="1">IFERROR(__xludf.DUMMYFUNCTION("""COMPUTED_VALUE"""),"Fully Remote with Options to travel as and when needed")</f>
        <v>Fully Remote with Options to travel as and when needed</v>
      </c>
      <c r="L20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3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39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2039" s="1" t="str">
        <f ca="1">IFERROR(__xludf.DUMMYFUNCTION("""COMPUTED_VALUE"""),"Manager who clearly describes what she/he needs")</f>
        <v>Manager who clearly describes what she/he needs</v>
      </c>
      <c r="P2039" s="1" t="str">
        <f ca="1">IFERROR(__xludf.DUMMYFUNCTION("""COMPUTED_VALUE"""),"Work with 7 to 10 or more people in my team")</f>
        <v>Work with 7 to 10 or more people in my team</v>
      </c>
      <c r="Q2039" s="1" t="str">
        <f ca="1">IFERROR(__xludf.DUMMYFUNCTION("""COMPUTED_VALUE"""),"Yes")</f>
        <v>Yes</v>
      </c>
      <c r="R2039" s="1" t="str">
        <f ca="1">IFERROR(__xludf.DUMMYFUNCTION("""COMPUTED_VALUE"""),"Will work for 7 years or more")</f>
        <v>Will work for 7 years or more</v>
      </c>
      <c r="S2039" s="1" t="str">
        <f ca="1">IFERROR(__xludf.DUMMYFUNCTION("""COMPUTED_VALUE"""),"1nehatiwari2@gmail.com")</f>
        <v>1nehatiwari2@gmail.com</v>
      </c>
    </row>
    <row r="2040" spans="1:19" ht="12.5" x14ac:dyDescent="0.25">
      <c r="A2040" s="2">
        <f ca="1">IFERROR(__xludf.DUMMYFUNCTION("""COMPUTED_VALUE"""),45063.2174423379)</f>
        <v>45063.217442337897</v>
      </c>
      <c r="B2040" s="1" t="str">
        <f ca="1">IFERROR(__xludf.DUMMYFUNCTION("""COMPUTED_VALUE"""),"India")</f>
        <v>India</v>
      </c>
      <c r="C2040" s="1">
        <f ca="1">IFERROR(__xludf.DUMMYFUNCTION("""COMPUTED_VALUE"""),500085)</f>
        <v>500085</v>
      </c>
      <c r="D2040" s="1" t="str">
        <f ca="1">IFERROR(__xludf.DUMMYFUNCTION("""COMPUTED_VALUE"""),"Male")</f>
        <v>Male</v>
      </c>
      <c r="E2040" s="1" t="str">
        <f ca="1">IFERROR(__xludf.DUMMYFUNCTION("""COMPUTED_VALUE"""),"People who have changed the world for better")</f>
        <v>People who have changed the world for better</v>
      </c>
      <c r="F2040" s="1" t="str">
        <f ca="1">IFERROR(__xludf.DUMMYFUNCTION("""COMPUTED_VALUE"""),"No I would not be pursuing Higher Education outside of India")</f>
        <v>No I would not be pursuing Higher Education outside of India</v>
      </c>
      <c r="G2040" s="1" t="str">
        <f ca="1">IFERROR(__xludf.DUMMYFUNCTION("""COMPUTED_VALUE"""),"This will be hard to do, but if it is the right company I would try")</f>
        <v>This will be hard to do, but if it is the right company I would try</v>
      </c>
      <c r="H2040" s="1" t="str">
        <f ca="1">IFERROR(__xludf.DUMMYFUNCTION("""COMPUTED_VALUE"""),"No")</f>
        <v>No</v>
      </c>
      <c r="I2040" s="1" t="str">
        <f ca="1">IFERROR(__xludf.DUMMYFUNCTION("""COMPUTED_VALUE"""),"Will NOT work for them")</f>
        <v>Will NOT work for them</v>
      </c>
      <c r="J2040" s="1">
        <f ca="1">IFERROR(__xludf.DUMMYFUNCTION("""COMPUTED_VALUE"""),10)</f>
        <v>10</v>
      </c>
      <c r="K2040" s="1" t="str">
        <f ca="1">IFERROR(__xludf.DUMMYFUNCTION("""COMPUTED_VALUE"""),"Every Day Office Environment")</f>
        <v>Every Day Office Environment</v>
      </c>
      <c r="L2040" s="1" t="str">
        <f ca="1">IFERROR(__xludf.DUMMYFUNCTION("""COMPUTED_VALUE"""),"Employer who appreciates learning and enables that environment")</f>
        <v>Employer who appreciates learning and enables that environment</v>
      </c>
      <c r="M204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040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040" s="1" t="str">
        <f ca="1">IFERROR(__xludf.DUMMYFUNCTION("""COMPUTED_VALUE"""),"Manager who sets goal and helps me achieve it")</f>
        <v>Manager who sets goal and helps me achieve it</v>
      </c>
      <c r="P2040" s="1" t="str">
        <f ca="1">IFERROR(__xludf.DUMMYFUNCTION("""COMPUTED_VALUE"""),"Work with 7 to 10 or more people in my team")</f>
        <v>Work with 7 to 10 or more people in my team</v>
      </c>
      <c r="Q2040" s="1" t="str">
        <f ca="1">IFERROR(__xludf.DUMMYFUNCTION("""COMPUTED_VALUE"""),"Yes")</f>
        <v>Yes</v>
      </c>
      <c r="R2040" s="1" t="str">
        <f ca="1">IFERROR(__xludf.DUMMYFUNCTION("""COMPUTED_VALUE"""),"No way")</f>
        <v>No way</v>
      </c>
      <c r="S2040" s="1" t="str">
        <f ca="1">IFERROR(__xludf.DUMMYFUNCTION("""COMPUTED_VALUE"""),"manoharp1254@gmail.com")</f>
        <v>manoharp1254@gmail.com</v>
      </c>
    </row>
    <row r="2041" spans="1:19" ht="12.5" x14ac:dyDescent="0.25">
      <c r="A2041" s="2">
        <f ca="1">IFERROR(__xludf.DUMMYFUNCTION("""COMPUTED_VALUE"""),45063.26692625)</f>
        <v>45063.266926249999</v>
      </c>
      <c r="B2041" s="1" t="str">
        <f ca="1">IFERROR(__xludf.DUMMYFUNCTION("""COMPUTED_VALUE"""),"India")</f>
        <v>India</v>
      </c>
      <c r="C2041" s="1">
        <f ca="1">IFERROR(__xludf.DUMMYFUNCTION("""COMPUTED_VALUE"""),533401)</f>
        <v>533401</v>
      </c>
      <c r="D2041" s="1" t="str">
        <f ca="1">IFERROR(__xludf.DUMMYFUNCTION("""COMPUTED_VALUE"""),"Female")</f>
        <v>Female</v>
      </c>
      <c r="E2041" s="1" t="str">
        <f ca="1">IFERROR(__xludf.DUMMYFUNCTION("""COMPUTED_VALUE"""),"My Parents")</f>
        <v>My Parents</v>
      </c>
      <c r="F2041" s="1" t="str">
        <f ca="1">IFERROR(__xludf.DUMMYFUNCTION("""COMPUTED_VALUE"""),"No, But if someone could bare the cost I will")</f>
        <v>No, But if someone could bare the cost I will</v>
      </c>
      <c r="G2041" s="1" t="str">
        <f ca="1">IFERROR(__xludf.DUMMYFUNCTION("""COMPUTED_VALUE"""),"This will be hard to do, but if it is the right company I would try")</f>
        <v>This will be hard to do, but if it is the right company I would try</v>
      </c>
      <c r="H2041" s="1" t="str">
        <f ca="1">IFERROR(__xludf.DUMMYFUNCTION("""COMPUTED_VALUE"""),"No")</f>
        <v>No</v>
      </c>
      <c r="I2041" s="1" t="str">
        <f ca="1">IFERROR(__xludf.DUMMYFUNCTION("""COMPUTED_VALUE"""),"Will work for them")</f>
        <v>Will work for them</v>
      </c>
      <c r="J2041" s="1">
        <f ca="1">IFERROR(__xludf.DUMMYFUNCTION("""COMPUTED_VALUE"""),1)</f>
        <v>1</v>
      </c>
      <c r="K2041" s="1" t="str">
        <f ca="1">IFERROR(__xludf.DUMMYFUNCTION("""COMPUTED_VALUE"""),"Fully Remote with Options to travel as and when needed")</f>
        <v>Fully Remote with Options to travel as and when needed</v>
      </c>
      <c r="L2041" s="1" t="str">
        <f ca="1">IFERROR(__xludf.DUMMYFUNCTION("""COMPUTED_VALUE"""),"Employer who appreciates learning and enables that environment")</f>
        <v>Employer who appreciates learning and enables that environment</v>
      </c>
      <c r="M2041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041" s="1" t="str">
        <f ca="1">IFERROR(__xludf.DUMMYFUNCTION("""COMPUTED_VALUE"""),"Build and develop a Team, Design and Develop amazing software, Work as a freelancer and do my thing my way, Entrepreneur or Start Up")</f>
        <v>Build and develop a Team, Design and Develop amazing software, Work as a freelancer and do my thing my way, Entrepreneur or Start Up</v>
      </c>
      <c r="O2041" s="1" t="str">
        <f ca="1">IFERROR(__xludf.DUMMYFUNCTION("""COMPUTED_VALUE"""),"Manager who clearly describes what she/he needs")</f>
        <v>Manager who clearly describes what she/he needs</v>
      </c>
      <c r="P2041" s="1" t="str">
        <f ca="1">IFERROR(__xludf.DUMMYFUNCTION("""COMPUTED_VALUE"""),"Work with 5 to 6 people in my team")</f>
        <v>Work with 5 to 6 people in my team</v>
      </c>
      <c r="Q2041" s="1" t="str">
        <f ca="1">IFERROR(__xludf.DUMMYFUNCTION("""COMPUTED_VALUE"""),"Yes, I Understand this is gonna happen everywhere")</f>
        <v>Yes, I Understand this is gonna happen everywhere</v>
      </c>
      <c r="R2041" s="1" t="str">
        <f ca="1">IFERROR(__xludf.DUMMYFUNCTION("""COMPUTED_VALUE"""),"This will be hard to do, but if it is the right company I would try")</f>
        <v>This will be hard to do, but if it is the right company I would try</v>
      </c>
      <c r="S2041" s="1" t="str">
        <f ca="1">IFERROR(__xludf.DUMMYFUNCTION("""COMPUTED_VALUE"""),"ravisrikiran@gmail.com")</f>
        <v>ravisrikiran@gmail.com</v>
      </c>
    </row>
    <row r="2042" spans="1:19" ht="12.5" x14ac:dyDescent="0.25">
      <c r="A2042" s="2">
        <f ca="1">IFERROR(__xludf.DUMMYFUNCTION("""COMPUTED_VALUE"""),45063.2730032638)</f>
        <v>45063.273003263799</v>
      </c>
      <c r="B2042" s="1" t="str">
        <f ca="1">IFERROR(__xludf.DUMMYFUNCTION("""COMPUTED_VALUE"""),"India")</f>
        <v>India</v>
      </c>
      <c r="C2042" s="1">
        <f ca="1">IFERROR(__xludf.DUMMYFUNCTION("""COMPUTED_VALUE"""),533429)</f>
        <v>533429</v>
      </c>
      <c r="D2042" s="1" t="str">
        <f ca="1">IFERROR(__xludf.DUMMYFUNCTION("""COMPUTED_VALUE"""),"Male")</f>
        <v>Male</v>
      </c>
      <c r="E2042" s="1" t="str">
        <f ca="1">IFERROR(__xludf.DUMMYFUNCTION("""COMPUTED_VALUE"""),"My Parents")</f>
        <v>My Parents</v>
      </c>
      <c r="F2042" s="1" t="str">
        <f ca="1">IFERROR(__xludf.DUMMYFUNCTION("""COMPUTED_VALUE"""),"No, But if someone could bare the cost I will")</f>
        <v>No, But if someone could bare the cost I will</v>
      </c>
      <c r="G2042" s="1" t="str">
        <f ca="1">IFERROR(__xludf.DUMMYFUNCTION("""COMPUTED_VALUE"""),"This will be hard to do, but if it is the right company I would try")</f>
        <v>This will be hard to do, but if it is the right company I would try</v>
      </c>
      <c r="H2042" s="1" t="str">
        <f ca="1">IFERROR(__xludf.DUMMYFUNCTION("""COMPUTED_VALUE"""),"No")</f>
        <v>No</v>
      </c>
      <c r="I2042" s="1" t="str">
        <f ca="1">IFERROR(__xludf.DUMMYFUNCTION("""COMPUTED_VALUE"""),"Will NOT work for them")</f>
        <v>Will NOT work for them</v>
      </c>
      <c r="J2042" s="1">
        <f ca="1">IFERROR(__xludf.DUMMYFUNCTION("""COMPUTED_VALUE"""),5)</f>
        <v>5</v>
      </c>
      <c r="K2042" s="1" t="str">
        <f ca="1">IFERROR(__xludf.DUMMYFUNCTION("""COMPUTED_VALUE"""),"Fully Remote with Options to travel as and when needed")</f>
        <v>Fully Remote with Options to travel as and when needed</v>
      </c>
      <c r="L2042" s="1" t="str">
        <f ca="1">IFERROR(__xludf.DUMMYFUNCTION("""COMPUTED_VALUE"""),"Employer who appreciates learning and enables that environment")</f>
        <v>Employer who appreciates learning and enables that environment</v>
      </c>
      <c r="M204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42" s="1" t="str">
        <f ca="1">IFERROR(__xludf.DUMMYFUNCTION("""COMPUTED_VALUE"""),"Manage and drive End-to-End Projects or Products, Work as a freelancer and do my thing my way, Entrepreneur or Start Up, Manufacturing / Oil and Gas/ Construction / Hard Physical Work related")</f>
        <v>Manage and drive End-to-End Projects or Products, Work as a freelancer and do my thing my way, Entrepreneur or Start Up, Manufacturing / Oil and Gas/ Construction / Hard Physical Work related</v>
      </c>
      <c r="O2042" s="1" t="str">
        <f ca="1">IFERROR(__xludf.DUMMYFUNCTION("""COMPUTED_VALUE"""),"Manager who sets goal and helps me achieve it")</f>
        <v>Manager who sets goal and helps me achieve it</v>
      </c>
      <c r="P2042" s="1" t="str">
        <f ca="1">IFERROR(__xludf.DUMMYFUNCTION("""COMPUTED_VALUE"""),"Work with 2 to 3 people in my team")</f>
        <v>Work with 2 to 3 people in my team</v>
      </c>
      <c r="Q2042" s="1" t="str">
        <f ca="1">IFERROR(__xludf.DUMMYFUNCTION("""COMPUTED_VALUE"""),"Yes, I Understand this is gonna happen everywhere")</f>
        <v>Yes, I Understand this is gonna happen everywhere</v>
      </c>
      <c r="R2042" s="1" t="str">
        <f ca="1">IFERROR(__xludf.DUMMYFUNCTION("""COMPUTED_VALUE"""),"This will be hard to do, but if it is the right company I would try")</f>
        <v>This will be hard to do, but if it is the right company I would try</v>
      </c>
      <c r="S2042" s="1" t="str">
        <f ca="1">IFERROR(__xludf.DUMMYFUNCTION("""COMPUTED_VALUE"""),"yshiva.chinna18@gmail.com")</f>
        <v>yshiva.chinna18@gmail.com</v>
      </c>
    </row>
    <row r="2043" spans="1:19" ht="12.5" x14ac:dyDescent="0.25">
      <c r="A2043" s="2">
        <f ca="1">IFERROR(__xludf.DUMMYFUNCTION("""COMPUTED_VALUE"""),45063.2808364004)</f>
        <v>45063.280836400401</v>
      </c>
      <c r="B2043" s="1" t="str">
        <f ca="1">IFERROR(__xludf.DUMMYFUNCTION("""COMPUTED_VALUE"""),"India")</f>
        <v>India</v>
      </c>
      <c r="C2043" s="1">
        <f ca="1">IFERROR(__xludf.DUMMYFUNCTION("""COMPUTED_VALUE"""),632520)</f>
        <v>632520</v>
      </c>
      <c r="D2043" s="1" t="str">
        <f ca="1">IFERROR(__xludf.DUMMYFUNCTION("""COMPUTED_VALUE"""),"Female")</f>
        <v>Female</v>
      </c>
      <c r="E2043" s="1" t="str">
        <f ca="1">IFERROR(__xludf.DUMMYFUNCTION("""COMPUTED_VALUE"""),"My Parents")</f>
        <v>My Parents</v>
      </c>
      <c r="F2043" s="1" t="str">
        <f ca="1">IFERROR(__xludf.DUMMYFUNCTION("""COMPUTED_VALUE"""),"Yes, I will earn and do that")</f>
        <v>Yes, I will earn and do that</v>
      </c>
      <c r="G2043" s="1" t="str">
        <f ca="1">IFERROR(__xludf.DUMMYFUNCTION("""COMPUTED_VALUE"""),"This will be hard to do, but if it is the right company I would try")</f>
        <v>This will be hard to do, but if it is the right company I would try</v>
      </c>
      <c r="H2043" s="1" t="str">
        <f ca="1">IFERROR(__xludf.DUMMYFUNCTION("""COMPUTED_VALUE"""),"No")</f>
        <v>No</v>
      </c>
      <c r="I2043" s="1" t="str">
        <f ca="1">IFERROR(__xludf.DUMMYFUNCTION("""COMPUTED_VALUE"""),"Will NOT work for them")</f>
        <v>Will NOT work for them</v>
      </c>
      <c r="J2043" s="1">
        <f ca="1">IFERROR(__xludf.DUMMYFUNCTION("""COMPUTED_VALUE"""),1)</f>
        <v>1</v>
      </c>
      <c r="K2043" s="1" t="str">
        <f ca="1">IFERROR(__xludf.DUMMYFUNCTION("""COMPUTED_VALUE"""),"Every Day Office Environment")</f>
        <v>Every Day Office Environment</v>
      </c>
      <c r="L2043" s="1" t="str">
        <f ca="1">IFERROR(__xludf.DUMMYFUNCTION("""COMPUTED_VALUE"""),"Employer who appreciates learning and enables that environment")</f>
        <v>Employer who appreciates learning and enables that environment</v>
      </c>
      <c r="M204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43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2043" s="1" t="str">
        <f ca="1">IFERROR(__xludf.DUMMYFUNCTION("""COMPUTED_VALUE"""),"Manager who explains what is expected, sets a goal and helps achieve it")</f>
        <v>Manager who explains what is expected, sets a goal and helps achieve it</v>
      </c>
      <c r="P2043" s="1" t="str">
        <f ca="1">IFERROR(__xludf.DUMMYFUNCTION("""COMPUTED_VALUE"""),"Work with 2 to 3 people in my team")</f>
        <v>Work with 2 to 3 people in my team</v>
      </c>
      <c r="Q2043" s="1" t="str">
        <f ca="1">IFERROR(__xludf.DUMMYFUNCTION("""COMPUTED_VALUE"""),"Yes, I Understand this is gonna happen everywhere")</f>
        <v>Yes, I Understand this is gonna happen everywhere</v>
      </c>
      <c r="R2043" s="1" t="str">
        <f ca="1">IFERROR(__xludf.DUMMYFUNCTION("""COMPUTED_VALUE"""),"This will be hard to do, but if it is the right company I would try")</f>
        <v>This will be hard to do, but if it is the right company I would try</v>
      </c>
      <c r="S2043" s="1" t="str">
        <f ca="1">IFERROR(__xludf.DUMMYFUNCTION("""COMPUTED_VALUE"""),"nithya.d2020@vitstudent.ac.in")</f>
        <v>nithya.d2020@vitstudent.ac.in</v>
      </c>
    </row>
    <row r="2044" spans="1:19" ht="12.5" x14ac:dyDescent="0.25">
      <c r="A2044" s="2">
        <f ca="1">IFERROR(__xludf.DUMMYFUNCTION("""COMPUTED_VALUE"""),45063.2863822453)</f>
        <v>45063.2863822453</v>
      </c>
      <c r="B2044" s="1" t="str">
        <f ca="1">IFERROR(__xludf.DUMMYFUNCTION("""COMPUTED_VALUE"""),"India")</f>
        <v>India</v>
      </c>
      <c r="C2044" s="1">
        <f ca="1">IFERROR(__xludf.DUMMYFUNCTION("""COMPUTED_VALUE"""),515001)</f>
        <v>515001</v>
      </c>
      <c r="D2044" s="1" t="str">
        <f ca="1">IFERROR(__xludf.DUMMYFUNCTION("""COMPUTED_VALUE"""),"Male")</f>
        <v>Male</v>
      </c>
      <c r="E2044" s="1" t="str">
        <f ca="1">IFERROR(__xludf.DUMMYFUNCTION("""COMPUTED_VALUE"""),"Influencers who had successful careers")</f>
        <v>Influencers who had successful careers</v>
      </c>
      <c r="F2044" s="1" t="str">
        <f ca="1">IFERROR(__xludf.DUMMYFUNCTION("""COMPUTED_VALUE"""),"No, But if someone could bare the cost I will")</f>
        <v>No, But if someone could bare the cost I will</v>
      </c>
      <c r="G2044" s="1" t="str">
        <f ca="1">IFERROR(__xludf.DUMMYFUNCTION("""COMPUTED_VALUE"""),"Will work for 3 years or more")</f>
        <v>Will work for 3 years or more</v>
      </c>
      <c r="H2044" s="1" t="str">
        <f ca="1">IFERROR(__xludf.DUMMYFUNCTION("""COMPUTED_VALUE"""),"Yes")</f>
        <v>Yes</v>
      </c>
      <c r="I2044" s="1" t="str">
        <f ca="1">IFERROR(__xludf.DUMMYFUNCTION("""COMPUTED_VALUE"""),"Will NOT work for them")</f>
        <v>Will NOT work for them</v>
      </c>
      <c r="J2044" s="1">
        <f ca="1">IFERROR(__xludf.DUMMYFUNCTION("""COMPUTED_VALUE"""),8)</f>
        <v>8</v>
      </c>
      <c r="K2044" s="1" t="str">
        <f ca="1">IFERROR(__xludf.DUMMYFUNCTION("""COMPUTED_VALUE"""),"Hybrid Working Environment with less than 3 days a month at office")</f>
        <v>Hybrid Working Environment with less than 3 days a month at office</v>
      </c>
      <c r="L2044" s="1" t="str">
        <f ca="1">IFERROR(__xludf.DUMMYFUNCTION("""COMPUTED_VALUE"""),"Employer who rewards learning and enables that environment")</f>
        <v>Employer who rewards learning and enables that environment</v>
      </c>
      <c r="M2044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2044" s="1" t="str">
        <f ca="1">IFERROR(__xludf.DUMMYFUNCTION("""COMPUTED_VALUE"""),"Build and develop a Team, Work as a freelancer and do my thing my way, Entrepreneur or Start Up, An Artificial Intelligence Specialist / Talking to Robots")</f>
        <v>Build and develop a Team, Work as a freelancer and do my thing my way, Entrepreneur or Start Up, An Artificial Intelligence Specialist / Talking to Robots</v>
      </c>
      <c r="O2044" s="1" t="str">
        <f ca="1">IFERROR(__xludf.DUMMYFUNCTION("""COMPUTED_VALUE"""),"Manager who explains what is expected, sets a goal and helps achieve it")</f>
        <v>Manager who explains what is expected, sets a goal and helps achieve it</v>
      </c>
      <c r="P2044" s="1" t="str">
        <f ca="1">IFERROR(__xludf.DUMMYFUNCTION("""COMPUTED_VALUE"""),"Work with 5 to 6 people in my team")</f>
        <v>Work with 5 to 6 people in my team</v>
      </c>
      <c r="Q2044" s="1" t="str">
        <f ca="1">IFERROR(__xludf.DUMMYFUNCTION("""COMPUTED_VALUE"""),"Yes, I Understand this is gonna happen everywhere")</f>
        <v>Yes, I Understand this is gonna happen everywhere</v>
      </c>
      <c r="R2044" s="1" t="str">
        <f ca="1">IFERROR(__xludf.DUMMYFUNCTION("""COMPUTED_VALUE"""),"No way")</f>
        <v>No way</v>
      </c>
      <c r="S2044" s="1" t="str">
        <f ca="1">IFERROR(__xludf.DUMMYFUNCTION("""COMPUTED_VALUE"""),"nasheerbasha.k@gmail.com")</f>
        <v>nasheerbasha.k@gmail.com</v>
      </c>
    </row>
    <row r="2045" spans="1:19" ht="12.5" x14ac:dyDescent="0.25">
      <c r="A2045" s="2">
        <f ca="1">IFERROR(__xludf.DUMMYFUNCTION("""COMPUTED_VALUE"""),45063.2977002083)</f>
        <v>45063.297700208299</v>
      </c>
      <c r="B2045" s="1" t="str">
        <f ca="1">IFERROR(__xludf.DUMMYFUNCTION("""COMPUTED_VALUE"""),"India")</f>
        <v>India</v>
      </c>
      <c r="C2045" s="1">
        <f ca="1">IFERROR(__xludf.DUMMYFUNCTION("""COMPUTED_VALUE"""),533429)</f>
        <v>533429</v>
      </c>
      <c r="D2045" s="1" t="str">
        <f ca="1">IFERROR(__xludf.DUMMYFUNCTION("""COMPUTED_VALUE"""),"Female")</f>
        <v>Female</v>
      </c>
      <c r="E2045" s="1" t="str">
        <f ca="1">IFERROR(__xludf.DUMMYFUNCTION("""COMPUTED_VALUE"""),"My Parents")</f>
        <v>My Parents</v>
      </c>
      <c r="F2045" s="1" t="str">
        <f ca="1">IFERROR(__xludf.DUMMYFUNCTION("""COMPUTED_VALUE"""),"No I would not be pursuing Higher Education outside of India")</f>
        <v>No I would not be pursuing Higher Education outside of India</v>
      </c>
      <c r="G2045" s="1" t="str">
        <f ca="1">IFERROR(__xludf.DUMMYFUNCTION("""COMPUTED_VALUE"""),"This will be hard to do, but if it is the right company I would try")</f>
        <v>This will be hard to do, but if it is the right company I would try</v>
      </c>
      <c r="H2045" s="1" t="str">
        <f ca="1">IFERROR(__xludf.DUMMYFUNCTION("""COMPUTED_VALUE"""),"No")</f>
        <v>No</v>
      </c>
      <c r="I2045" s="1" t="str">
        <f ca="1">IFERROR(__xludf.DUMMYFUNCTION("""COMPUTED_VALUE"""),"Will work for them")</f>
        <v>Will work for them</v>
      </c>
      <c r="J2045" s="1">
        <f ca="1">IFERROR(__xludf.DUMMYFUNCTION("""COMPUTED_VALUE"""),10)</f>
        <v>10</v>
      </c>
      <c r="K2045" s="1" t="str">
        <f ca="1">IFERROR(__xludf.DUMMYFUNCTION("""COMPUTED_VALUE"""),"Every Day Office Environment")</f>
        <v>Every Day Office Environment</v>
      </c>
      <c r="L2045" s="1" t="str">
        <f ca="1">IFERROR(__xludf.DUMMYFUNCTION("""COMPUTED_VALUE"""),"Employer who appreciates learning and enables that environment")</f>
        <v>Employer who appreciates learning and enables that environment</v>
      </c>
      <c r="M204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45" s="1" t="str">
        <f ca="1">IFERROR(__xludf.DUMMYFUNCTION("""COMPUTED_VALUE"""),"Design and Creative strategy in any company, Teaching in any of the institutes/colleges/online or offline, Look deeply into Data and generate insights, Work as a freelancer and do my thing my way")</f>
        <v>Design and Creative strategy in any company, Teaching in any of the institutes/colleges/online or offline, Look deeply into Data and generate insights, Work as a freelancer and do my thing my way</v>
      </c>
      <c r="O2045" s="1" t="str">
        <f ca="1">IFERROR(__xludf.DUMMYFUNCTION("""COMPUTED_VALUE"""),"Manager who sets goal and helps me achieve it")</f>
        <v>Manager who sets goal and helps me achieve it</v>
      </c>
      <c r="P2045" s="1" t="str">
        <f ca="1">IFERROR(__xludf.DUMMYFUNCTION("""COMPUTED_VALUE"""),"Work with 2 to 3 people in my team")</f>
        <v>Work with 2 to 3 people in my team</v>
      </c>
      <c r="Q2045" s="1" t="str">
        <f ca="1">IFERROR(__xludf.DUMMYFUNCTION("""COMPUTED_VALUE"""),"No")</f>
        <v>No</v>
      </c>
      <c r="R2045" s="1" t="str">
        <f ca="1">IFERROR(__xludf.DUMMYFUNCTION("""COMPUTED_VALUE"""),"This will be hard to do, but if it is the right company I would try")</f>
        <v>This will be hard to do, but if it is the right company I would try</v>
      </c>
      <c r="S2045" s="1" t="str">
        <f ca="1">IFERROR(__xludf.DUMMYFUNCTION("""COMPUTED_VALUE"""),"umavenkateswari05@gmail.com")</f>
        <v>umavenkateswari05@gmail.com</v>
      </c>
    </row>
    <row r="2046" spans="1:19" ht="12.5" x14ac:dyDescent="0.25">
      <c r="A2046" s="2">
        <f ca="1">IFERROR(__xludf.DUMMYFUNCTION("""COMPUTED_VALUE"""),45063.305891956)</f>
        <v>45063.305891955999</v>
      </c>
      <c r="B2046" s="1" t="str">
        <f ca="1">IFERROR(__xludf.DUMMYFUNCTION("""COMPUTED_VALUE"""),"India")</f>
        <v>India</v>
      </c>
      <c r="C2046" s="1">
        <f ca="1">IFERROR(__xludf.DUMMYFUNCTION("""COMPUTED_VALUE"""),533429)</f>
        <v>533429</v>
      </c>
      <c r="D2046" s="1" t="str">
        <f ca="1">IFERROR(__xludf.DUMMYFUNCTION("""COMPUTED_VALUE"""),"Male")</f>
        <v>Male</v>
      </c>
      <c r="E2046" s="1" t="str">
        <f ca="1">IFERROR(__xludf.DUMMYFUNCTION("""COMPUTED_VALUE"""),"People who have changed the world for better")</f>
        <v>People who have changed the world for better</v>
      </c>
      <c r="F2046" s="1" t="str">
        <f ca="1">IFERROR(__xludf.DUMMYFUNCTION("""COMPUTED_VALUE"""),"No I would not be pursuing Higher Education outside of India")</f>
        <v>No I would not be pursuing Higher Education outside of India</v>
      </c>
      <c r="G2046" s="1" t="str">
        <f ca="1">IFERROR(__xludf.DUMMYFUNCTION("""COMPUTED_VALUE"""),"Will work for 3 years or more")</f>
        <v>Will work for 3 years or more</v>
      </c>
      <c r="H2046" s="1" t="str">
        <f ca="1">IFERROR(__xludf.DUMMYFUNCTION("""COMPUTED_VALUE"""),"No")</f>
        <v>No</v>
      </c>
      <c r="I2046" s="1" t="str">
        <f ca="1">IFERROR(__xludf.DUMMYFUNCTION("""COMPUTED_VALUE"""),"Will NOT work for them")</f>
        <v>Will NOT work for them</v>
      </c>
      <c r="J2046" s="1">
        <f ca="1">IFERROR(__xludf.DUMMYFUNCTION("""COMPUTED_VALUE"""),3)</f>
        <v>3</v>
      </c>
      <c r="K2046" s="1" t="str">
        <f ca="1">IFERROR(__xludf.DUMMYFUNCTION("""COMPUTED_VALUE"""),"Every Day Office Environment")</f>
        <v>Every Day Office Environment</v>
      </c>
      <c r="L20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4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046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046" s="1" t="str">
        <f ca="1">IFERROR(__xludf.DUMMYFUNCTION("""COMPUTED_VALUE"""),"Manager who clearly describes what she/he needs")</f>
        <v>Manager who clearly describes what she/he needs</v>
      </c>
      <c r="P204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046" s="1" t="str">
        <f ca="1">IFERROR(__xludf.DUMMYFUNCTION("""COMPUTED_VALUE"""),"Yes")</f>
        <v>Yes</v>
      </c>
      <c r="R2046" s="1" t="str">
        <f ca="1">IFERROR(__xludf.DUMMYFUNCTION("""COMPUTED_VALUE"""),"Will work for 7 years or more")</f>
        <v>Will work for 7 years or more</v>
      </c>
      <c r="S2046" s="1" t="str">
        <f ca="1">IFERROR(__xludf.DUMMYFUNCTION("""COMPUTED_VALUE"""),"sivasankarveeramreddy@gmail.com")</f>
        <v>sivasankarveeramreddy@gmail.com</v>
      </c>
    </row>
    <row r="2047" spans="1:19" ht="12.5" x14ac:dyDescent="0.25">
      <c r="A2047" s="2">
        <f ca="1">IFERROR(__xludf.DUMMYFUNCTION("""COMPUTED_VALUE"""),45063.3113822453)</f>
        <v>45063.311382245302</v>
      </c>
      <c r="B2047" s="1" t="str">
        <f ca="1">IFERROR(__xludf.DUMMYFUNCTION("""COMPUTED_VALUE"""),"India")</f>
        <v>India</v>
      </c>
      <c r="C2047" s="1">
        <f ca="1">IFERROR(__xludf.DUMMYFUNCTION("""COMPUTED_VALUE"""),533429)</f>
        <v>533429</v>
      </c>
      <c r="D2047" s="1" t="str">
        <f ca="1">IFERROR(__xludf.DUMMYFUNCTION("""COMPUTED_VALUE"""),"Female")</f>
        <v>Female</v>
      </c>
      <c r="E2047" s="1" t="str">
        <f ca="1">IFERROR(__xludf.DUMMYFUNCTION("""COMPUTED_VALUE"""),"My Parents")</f>
        <v>My Parents</v>
      </c>
      <c r="F2047" s="1" t="str">
        <f ca="1">IFERROR(__xludf.DUMMYFUNCTION("""COMPUTED_VALUE"""),"No I would not be pursuing Higher Education outside of India")</f>
        <v>No I would not be pursuing Higher Education outside of India</v>
      </c>
      <c r="G2047" s="1" t="str">
        <f ca="1">IFERROR(__xludf.DUMMYFUNCTION("""COMPUTED_VALUE"""),"This will be hard to do, but if it is the right company I would try")</f>
        <v>This will be hard to do, but if it is the right company I would try</v>
      </c>
      <c r="H2047" s="1" t="str">
        <f ca="1">IFERROR(__xludf.DUMMYFUNCTION("""COMPUTED_VALUE"""),"No")</f>
        <v>No</v>
      </c>
      <c r="I2047" s="1" t="str">
        <f ca="1">IFERROR(__xludf.DUMMYFUNCTION("""COMPUTED_VALUE"""),"Will NOT work for them")</f>
        <v>Will NOT work for them</v>
      </c>
      <c r="J2047" s="1">
        <f ca="1">IFERROR(__xludf.DUMMYFUNCTION("""COMPUTED_VALUE"""),8)</f>
        <v>8</v>
      </c>
      <c r="K2047" s="1" t="str">
        <f ca="1">IFERROR(__xludf.DUMMYFUNCTION("""COMPUTED_VALUE"""),"Every Day Office Environment")</f>
        <v>Every Day Office Environment</v>
      </c>
      <c r="L2047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04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47" s="1" t="str">
        <f ca="1">IFERROR(__xludf.DUMMYFUNCTION("""COMPUTED_VALUE"""),"Design and Creative strategy in any company, Manage and drive End-to-End Projects or Products, Design and Develop amazing software, Entrepreneur or Start Up")</f>
        <v>Design and Creative strategy in any company, Manage and drive End-to-End Projects or Products, Design and Develop amazing software, Entrepreneur or Start Up</v>
      </c>
      <c r="O2047" s="1" t="str">
        <f ca="1">IFERROR(__xludf.DUMMYFUNCTION("""COMPUTED_VALUE"""),"Manager who sets targets and expects me to achieve it")</f>
        <v>Manager who sets targets and expects me to achieve it</v>
      </c>
      <c r="P2047" s="1" t="str">
        <f ca="1">IFERROR(__xludf.DUMMYFUNCTION("""COMPUTED_VALUE"""),"Work alone")</f>
        <v>Work alone</v>
      </c>
      <c r="Q2047" s="1" t="str">
        <f ca="1">IFERROR(__xludf.DUMMYFUNCTION("""COMPUTED_VALUE"""),"Yes")</f>
        <v>Yes</v>
      </c>
      <c r="R2047" s="1" t="str">
        <f ca="1">IFERROR(__xludf.DUMMYFUNCTION("""COMPUTED_VALUE"""),"This will be hard to do, but if it is the right company I would try")</f>
        <v>This will be hard to do, but if it is the right company I would try</v>
      </c>
      <c r="S2047" s="1" t="str">
        <f ca="1">IFERROR(__xludf.DUMMYFUNCTION("""COMPUTED_VALUE"""),"avndurga8@gmail.com")</f>
        <v>avndurga8@gmail.com</v>
      </c>
    </row>
    <row r="2048" spans="1:19" ht="12.5" x14ac:dyDescent="0.25">
      <c r="A2048" s="2">
        <f ca="1">IFERROR(__xludf.DUMMYFUNCTION("""COMPUTED_VALUE"""),45063.311429074)</f>
        <v>45063.311429073998</v>
      </c>
      <c r="B2048" s="1" t="str">
        <f ca="1">IFERROR(__xludf.DUMMYFUNCTION("""COMPUTED_VALUE"""),"India")</f>
        <v>India</v>
      </c>
      <c r="C2048" s="1">
        <f ca="1">IFERROR(__xludf.DUMMYFUNCTION("""COMPUTED_VALUE"""),620007)</f>
        <v>620007</v>
      </c>
      <c r="D2048" s="1" t="str">
        <f ca="1">IFERROR(__xludf.DUMMYFUNCTION("""COMPUTED_VALUE"""),"Female")</f>
        <v>Female</v>
      </c>
      <c r="E2048" s="1" t="str">
        <f ca="1">IFERROR(__xludf.DUMMYFUNCTION("""COMPUTED_VALUE"""),"People from my circle, but not family members")</f>
        <v>People from my circle, but not family members</v>
      </c>
      <c r="F2048" s="1" t="str">
        <f ca="1">IFERROR(__xludf.DUMMYFUNCTION("""COMPUTED_VALUE"""),"Yes, I will earn and do that")</f>
        <v>Yes, I will earn and do that</v>
      </c>
      <c r="G2048" s="1" t="str">
        <f ca="1">IFERROR(__xludf.DUMMYFUNCTION("""COMPUTED_VALUE"""),"This will be hard to do, but if it is the right company I would try")</f>
        <v>This will be hard to do, but if it is the right company I would try</v>
      </c>
      <c r="H2048" s="1" t="str">
        <f ca="1">IFERROR(__xludf.DUMMYFUNCTION("""COMPUTED_VALUE"""),"Yes")</f>
        <v>Yes</v>
      </c>
      <c r="I2048" s="1" t="str">
        <f ca="1">IFERROR(__xludf.DUMMYFUNCTION("""COMPUTED_VALUE"""),"Will work for them")</f>
        <v>Will work for them</v>
      </c>
      <c r="J2048" s="1">
        <f ca="1">IFERROR(__xludf.DUMMYFUNCTION("""COMPUTED_VALUE"""),5)</f>
        <v>5</v>
      </c>
      <c r="K2048" s="1" t="str">
        <f ca="1">IFERROR(__xludf.DUMMYFUNCTION("""COMPUTED_VALUE"""),"Hybrid Working Environment with more than 15 days a month at office")</f>
        <v>Hybrid Working Environment with more than 15 days a month at office</v>
      </c>
      <c r="L2048" s="1" t="str">
        <f ca="1">IFERROR(__xludf.DUMMYFUNCTION("""COMPUTED_VALUE"""),"Employer who rewards learning and enables that environment")</f>
        <v>Employer who rewards learning and enables that environment</v>
      </c>
      <c r="M204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048" s="1" t="str">
        <f ca="1">IFERROR(__xludf.DUMMYFUNCTION("""COMPUTED_VALUE"""),"Business Operations in any organization, Work in a BPO setup for some well known client, Entrepreneur or Start Up, I Want to sell things/Sales")</f>
        <v>Business Operations in any organization, Work in a BPO setup for some well known client, Entrepreneur or Start Up, I Want to sell things/Sales</v>
      </c>
      <c r="O2048" s="1" t="str">
        <f ca="1">IFERROR(__xludf.DUMMYFUNCTION("""COMPUTED_VALUE"""),"Manager who explains what is expected, sets a goal and helps achieve it")</f>
        <v>Manager who explains what is expected, sets a goal and helps achieve it</v>
      </c>
      <c r="P2048" s="1" t="str">
        <f ca="1">IFERROR(__xludf.DUMMYFUNCTION("""COMPUTED_VALUE"""),"Work with 2 to 3 people in my team")</f>
        <v>Work with 2 to 3 people in my team</v>
      </c>
      <c r="Q2048" s="1" t="str">
        <f ca="1">IFERROR(__xludf.DUMMYFUNCTION("""COMPUTED_VALUE"""),"Yes, I Understand this is gonna happen everywhere")</f>
        <v>Yes, I Understand this is gonna happen everywhere</v>
      </c>
      <c r="R2048" s="1" t="str">
        <f ca="1">IFERROR(__xludf.DUMMYFUNCTION("""COMPUTED_VALUE"""),"This will be hard to do, but if it is the right company I would try")</f>
        <v>This will be hard to do, but if it is the right company I would try</v>
      </c>
      <c r="S2048" s="1" t="str">
        <f ca="1">IFERROR(__xludf.DUMMYFUNCTION("""COMPUTED_VALUE"""),"denilasamreen.arockiasamy@gmail.com")</f>
        <v>denilasamreen.arockiasamy@gmail.com</v>
      </c>
    </row>
    <row r="2049" spans="1:19" ht="12.5" x14ac:dyDescent="0.25">
      <c r="A2049" s="2">
        <f ca="1">IFERROR(__xludf.DUMMYFUNCTION("""COMPUTED_VALUE"""),45063.3134684953)</f>
        <v>45063.313468495297</v>
      </c>
      <c r="B2049" s="1" t="str">
        <f ca="1">IFERROR(__xludf.DUMMYFUNCTION("""COMPUTED_VALUE"""),"India")</f>
        <v>India</v>
      </c>
      <c r="C2049" s="1">
        <f ca="1">IFERROR(__xludf.DUMMYFUNCTION("""COMPUTED_VALUE"""),637503)</f>
        <v>637503</v>
      </c>
      <c r="D2049" s="1" t="str">
        <f ca="1">IFERROR(__xludf.DUMMYFUNCTION("""COMPUTED_VALUE"""),"Male")</f>
        <v>Male</v>
      </c>
      <c r="E2049" s="1" t="str">
        <f ca="1">IFERROR(__xludf.DUMMYFUNCTION("""COMPUTED_VALUE"""),"Influencers who had successful careers")</f>
        <v>Influencers who had successful careers</v>
      </c>
      <c r="F2049" s="1" t="str">
        <f ca="1">IFERROR(__xludf.DUMMYFUNCTION("""COMPUTED_VALUE"""),"No I would not be pursuing Higher Education outside of India")</f>
        <v>No I would not be pursuing Higher Education outside of India</v>
      </c>
      <c r="G2049" s="1" t="str">
        <f ca="1">IFERROR(__xludf.DUMMYFUNCTION("""COMPUTED_VALUE"""),"This will be hard to do, but if it is the right company I would try")</f>
        <v>This will be hard to do, but if it is the right company I would try</v>
      </c>
      <c r="H2049" s="1" t="str">
        <f ca="1">IFERROR(__xludf.DUMMYFUNCTION("""COMPUTED_VALUE"""),"Yes")</f>
        <v>Yes</v>
      </c>
      <c r="I2049" s="1" t="str">
        <f ca="1">IFERROR(__xludf.DUMMYFUNCTION("""COMPUTED_VALUE"""),"Will NOT work for them")</f>
        <v>Will NOT work for them</v>
      </c>
      <c r="J2049" s="1">
        <f ca="1">IFERROR(__xludf.DUMMYFUNCTION("""COMPUTED_VALUE"""),8)</f>
        <v>8</v>
      </c>
      <c r="K2049" s="1" t="str">
        <f ca="1">IFERROR(__xludf.DUMMYFUNCTION("""COMPUTED_VALUE"""),"Hybrid Working Environment with more than 15 days a month at office")</f>
        <v>Hybrid Working Environment with more than 15 days a month at office</v>
      </c>
      <c r="L2049" s="1" t="str">
        <f ca="1">IFERROR(__xludf.DUMMYFUNCTION("""COMPUTED_VALUE"""),"Employer who rewards learning and enables that environment")</f>
        <v>Employer who rewards learning and enables that environment</v>
      </c>
      <c r="M204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49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049" s="1" t="str">
        <f ca="1">IFERROR(__xludf.DUMMYFUNCTION("""COMPUTED_VALUE"""),"Manager who explains what is expected, sets a goal and helps achieve it")</f>
        <v>Manager who explains what is expected, sets a goal and helps achieve it</v>
      </c>
      <c r="P2049" s="1" t="str">
        <f ca="1">IFERROR(__xludf.DUMMYFUNCTION("""COMPUTED_VALUE"""),"Work with 2 to 3 people in my team")</f>
        <v>Work with 2 to 3 people in my team</v>
      </c>
      <c r="Q2049" s="1" t="str">
        <f ca="1">IFERROR(__xludf.DUMMYFUNCTION("""COMPUTED_VALUE"""),"Yes, I Understand this is gonna happen everywhere")</f>
        <v>Yes, I Understand this is gonna happen everywhere</v>
      </c>
      <c r="R2049" s="1" t="str">
        <f ca="1">IFERROR(__xludf.DUMMYFUNCTION("""COMPUTED_VALUE"""),"This will be hard to do, but if it is the right company I would try")</f>
        <v>This will be hard to do, but if it is the right company I would try</v>
      </c>
      <c r="S2049" s="1" t="str">
        <f ca="1">IFERROR(__xludf.DUMMYFUNCTION("""COMPUTED_VALUE"""),"suriyamallai2002@gmail.com")</f>
        <v>suriyamallai2002@gmail.com</v>
      </c>
    </row>
    <row r="2050" spans="1:19" ht="12.5" x14ac:dyDescent="0.25">
      <c r="A2050" s="2">
        <f ca="1">IFERROR(__xludf.DUMMYFUNCTION("""COMPUTED_VALUE"""),45063.3155574884)</f>
        <v>45063.3155574884</v>
      </c>
      <c r="B2050" s="1" t="str">
        <f ca="1">IFERROR(__xludf.DUMMYFUNCTION("""COMPUTED_VALUE"""),"India")</f>
        <v>India</v>
      </c>
      <c r="C2050" s="1">
        <f ca="1">IFERROR(__xludf.DUMMYFUNCTION("""COMPUTED_VALUE"""),632007)</f>
        <v>632007</v>
      </c>
      <c r="D2050" s="1" t="str">
        <f ca="1">IFERROR(__xludf.DUMMYFUNCTION("""COMPUTED_VALUE"""),"Male")</f>
        <v>Male</v>
      </c>
      <c r="E2050" s="1" t="str">
        <f ca="1">IFERROR(__xludf.DUMMYFUNCTION("""COMPUTED_VALUE"""),"People who have changed the world for better")</f>
        <v>People who have changed the world for better</v>
      </c>
      <c r="F2050" s="1" t="str">
        <f ca="1">IFERROR(__xludf.DUMMYFUNCTION("""COMPUTED_VALUE"""),"Yes, I will earn and do that")</f>
        <v>Yes, I will earn and do that</v>
      </c>
      <c r="G2050" s="1" t="str">
        <f ca="1">IFERROR(__xludf.DUMMYFUNCTION("""COMPUTED_VALUE"""),"No way")</f>
        <v>No way</v>
      </c>
      <c r="H2050" s="1" t="str">
        <f ca="1">IFERROR(__xludf.DUMMYFUNCTION("""COMPUTED_VALUE"""),"No")</f>
        <v>No</v>
      </c>
      <c r="I2050" s="1" t="str">
        <f ca="1">IFERROR(__xludf.DUMMYFUNCTION("""COMPUTED_VALUE"""),"Will NOT work for them")</f>
        <v>Will NOT work for them</v>
      </c>
      <c r="J2050" s="1">
        <f ca="1">IFERROR(__xludf.DUMMYFUNCTION("""COMPUTED_VALUE"""),5)</f>
        <v>5</v>
      </c>
      <c r="K2050" s="1" t="str">
        <f ca="1">IFERROR(__xludf.DUMMYFUNCTION("""COMPUTED_VALUE"""),"Hybrid Working Environment with more than 15 days a month at office")</f>
        <v>Hybrid Working Environment with more than 15 days a month at office</v>
      </c>
      <c r="L20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5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50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050" s="1" t="str">
        <f ca="1">IFERROR(__xludf.DUMMYFUNCTION("""COMPUTED_VALUE"""),"Manager who explains what is expected, sets a goal and helps achieve it")</f>
        <v>Manager who explains what is expected, sets a goal and helps achieve it</v>
      </c>
      <c r="P2050" s="1" t="str">
        <f ca="1">IFERROR(__xludf.DUMMYFUNCTION("""COMPUTED_VALUE"""),"Work with 5 to 6 people in my team")</f>
        <v>Work with 5 to 6 people in my team</v>
      </c>
      <c r="Q2050" s="1" t="str">
        <f ca="1">IFERROR(__xludf.DUMMYFUNCTION("""COMPUTED_VALUE"""),"No")</f>
        <v>No</v>
      </c>
      <c r="R2050" s="1" t="str">
        <f ca="1">IFERROR(__xludf.DUMMYFUNCTION("""COMPUTED_VALUE"""),"No way")</f>
        <v>No way</v>
      </c>
      <c r="S2050" s="1" t="str">
        <f ca="1">IFERROR(__xludf.DUMMYFUNCTION("""COMPUTED_VALUE"""),"balajbaalu@gmail.com")</f>
        <v>balajbaalu@gmail.com</v>
      </c>
    </row>
    <row r="2051" spans="1:19" ht="12.5" x14ac:dyDescent="0.25">
      <c r="A2051" s="2">
        <f ca="1">IFERROR(__xludf.DUMMYFUNCTION("""COMPUTED_VALUE"""),45063.3244409143)</f>
        <v>45063.324440914301</v>
      </c>
      <c r="B2051" s="1" t="str">
        <f ca="1">IFERROR(__xludf.DUMMYFUNCTION("""COMPUTED_VALUE"""),"India")</f>
        <v>India</v>
      </c>
      <c r="C2051" s="1">
        <f ca="1">IFERROR(__xludf.DUMMYFUNCTION("""COMPUTED_VALUE"""),620001)</f>
        <v>620001</v>
      </c>
      <c r="D2051" s="1" t="str">
        <f ca="1">IFERROR(__xludf.DUMMYFUNCTION("""COMPUTED_VALUE"""),"Male")</f>
        <v>Male</v>
      </c>
      <c r="E2051" s="1" t="str">
        <f ca="1">IFERROR(__xludf.DUMMYFUNCTION("""COMPUTED_VALUE"""),"People who have changed the world for better")</f>
        <v>People who have changed the world for better</v>
      </c>
      <c r="F2051" s="1" t="str">
        <f ca="1">IFERROR(__xludf.DUMMYFUNCTION("""COMPUTED_VALUE"""),"Yes, I will earn and do that")</f>
        <v>Yes, I will earn and do that</v>
      </c>
      <c r="G2051" s="1" t="str">
        <f ca="1">IFERROR(__xludf.DUMMYFUNCTION("""COMPUTED_VALUE"""),"No way")</f>
        <v>No way</v>
      </c>
      <c r="H2051" s="1" t="str">
        <f ca="1">IFERROR(__xludf.DUMMYFUNCTION("""COMPUTED_VALUE"""),"No")</f>
        <v>No</v>
      </c>
      <c r="I2051" s="1" t="str">
        <f ca="1">IFERROR(__xludf.DUMMYFUNCTION("""COMPUTED_VALUE"""),"Will NOT work for them")</f>
        <v>Will NOT work for them</v>
      </c>
      <c r="J2051" s="1">
        <f ca="1">IFERROR(__xludf.DUMMYFUNCTION("""COMPUTED_VALUE"""),10)</f>
        <v>10</v>
      </c>
      <c r="K2051" s="1" t="str">
        <f ca="1">IFERROR(__xludf.DUMMYFUNCTION("""COMPUTED_VALUE"""),"Every Day Office Environment")</f>
        <v>Every Day Office Environment</v>
      </c>
      <c r="L2051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051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051" s="1" t="str">
        <f ca="1">IFERROR(__xludf.DUMMYFUNCTION("""COMPUTED_VALUE"""),"Design and Creative strategy in any company, Manage and drive End-to-End Projects or Products, Build and develop a Team, Work in a BPO setup for some well known client")</f>
        <v>Design and Creative strategy in any company, Manage and drive End-to-End Projects or Products, Build and develop a Team, Work in a BPO setup for some well known client</v>
      </c>
      <c r="O2051" s="1" t="str">
        <f ca="1">IFERROR(__xludf.DUMMYFUNCTION("""COMPUTED_VALUE"""),"Manager who sets goal and helps me achieve it")</f>
        <v>Manager who sets goal and helps me achieve it</v>
      </c>
      <c r="P2051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051" s="1" t="str">
        <f ca="1">IFERROR(__xludf.DUMMYFUNCTION("""COMPUTED_VALUE"""),"Yes")</f>
        <v>Yes</v>
      </c>
      <c r="R2051" s="1" t="str">
        <f ca="1">IFERROR(__xludf.DUMMYFUNCTION("""COMPUTED_VALUE"""),"No way")</f>
        <v>No way</v>
      </c>
      <c r="S2051" s="1" t="str">
        <f ca="1">IFERROR(__xludf.DUMMYFUNCTION("""COMPUTED_VALUE"""),"rammer54804@gmail.com")</f>
        <v>rammer54804@gmail.com</v>
      </c>
    </row>
    <row r="2052" spans="1:19" ht="12.5" x14ac:dyDescent="0.25">
      <c r="A2052" s="2">
        <f ca="1">IFERROR(__xludf.DUMMYFUNCTION("""COMPUTED_VALUE"""),45063.3383965972)</f>
        <v>45063.338396597203</v>
      </c>
      <c r="B2052" s="1" t="str">
        <f ca="1">IFERROR(__xludf.DUMMYFUNCTION("""COMPUTED_VALUE"""),"India")</f>
        <v>India</v>
      </c>
      <c r="C2052" s="1">
        <f ca="1">IFERROR(__xludf.DUMMYFUNCTION("""COMPUTED_VALUE"""),612001)</f>
        <v>612001</v>
      </c>
      <c r="D2052" s="1" t="str">
        <f ca="1">IFERROR(__xludf.DUMMYFUNCTION("""COMPUTED_VALUE"""),"Male")</f>
        <v>Male</v>
      </c>
      <c r="E2052" s="1" t="str">
        <f ca="1">IFERROR(__xludf.DUMMYFUNCTION("""COMPUTED_VALUE"""),"Influencers who had successful careers")</f>
        <v>Influencers who had successful careers</v>
      </c>
      <c r="F2052" s="1" t="str">
        <f ca="1">IFERROR(__xludf.DUMMYFUNCTION("""COMPUTED_VALUE"""),"Yes, I will earn and do that")</f>
        <v>Yes, I will earn and do that</v>
      </c>
      <c r="G2052" s="1" t="str">
        <f ca="1">IFERROR(__xludf.DUMMYFUNCTION("""COMPUTED_VALUE"""),"No way")</f>
        <v>No way</v>
      </c>
      <c r="H2052" s="1" t="str">
        <f ca="1">IFERROR(__xludf.DUMMYFUNCTION("""COMPUTED_VALUE"""),"No")</f>
        <v>No</v>
      </c>
      <c r="I2052" s="1" t="str">
        <f ca="1">IFERROR(__xludf.DUMMYFUNCTION("""COMPUTED_VALUE"""),"Will NOT work for them")</f>
        <v>Will NOT work for them</v>
      </c>
      <c r="J2052" s="1">
        <f ca="1">IFERROR(__xludf.DUMMYFUNCTION("""COMPUTED_VALUE"""),8)</f>
        <v>8</v>
      </c>
      <c r="K2052" s="1" t="str">
        <f ca="1">IFERROR(__xludf.DUMMYFUNCTION("""COMPUTED_VALUE"""),"Hybrid Working Environment with less than 3 days a month at office")</f>
        <v>Hybrid Working Environment with less than 3 days a month at office</v>
      </c>
      <c r="L2052" s="1" t="str">
        <f ca="1">IFERROR(__xludf.DUMMYFUNCTION("""COMPUTED_VALUE"""),"Employer who appreciates learning and enables that environment")</f>
        <v>Employer who appreciates learning and enables that environment</v>
      </c>
      <c r="M205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052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052" s="1" t="str">
        <f ca="1">IFERROR(__xludf.DUMMYFUNCTION("""COMPUTED_VALUE"""),"Manager who explains what is expected, sets a goal and helps achieve it")</f>
        <v>Manager who explains what is expected, sets a goal and helps achieve it</v>
      </c>
      <c r="P2052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2052" s="1" t="str">
        <f ca="1">IFERROR(__xludf.DUMMYFUNCTION("""COMPUTED_VALUE"""),"Yes")</f>
        <v>Yes</v>
      </c>
      <c r="R2052" s="1" t="str">
        <f ca="1">IFERROR(__xludf.DUMMYFUNCTION("""COMPUTED_VALUE"""),"Will work for 7 years or more")</f>
        <v>Will work for 7 years or more</v>
      </c>
      <c r="S2052" s="1" t="str">
        <f ca="1">IFERROR(__xludf.DUMMYFUNCTION("""COMPUTED_VALUE"""),"balaroobankm@gmail.com")</f>
        <v>balaroobankm@gmail.com</v>
      </c>
    </row>
    <row r="2053" spans="1:19" ht="12.5" x14ac:dyDescent="0.25">
      <c r="A2053" s="2">
        <f ca="1">IFERROR(__xludf.DUMMYFUNCTION("""COMPUTED_VALUE"""),45063.3436665046)</f>
        <v>45063.343666504603</v>
      </c>
      <c r="B2053" s="1" t="str">
        <f ca="1">IFERROR(__xludf.DUMMYFUNCTION("""COMPUTED_VALUE"""),"India")</f>
        <v>India</v>
      </c>
      <c r="C2053" s="1">
        <f ca="1">IFERROR(__xludf.DUMMYFUNCTION("""COMPUTED_VALUE"""),416002)</f>
        <v>416002</v>
      </c>
      <c r="D2053" s="1" t="str">
        <f ca="1">IFERROR(__xludf.DUMMYFUNCTION("""COMPUTED_VALUE"""),"Male")</f>
        <v>Male</v>
      </c>
      <c r="E2053" s="1" t="str">
        <f ca="1">IFERROR(__xludf.DUMMYFUNCTION("""COMPUTED_VALUE"""),"People from my circle, but not family members")</f>
        <v>People from my circle, but not family members</v>
      </c>
      <c r="F2053" s="1" t="str">
        <f ca="1">IFERROR(__xludf.DUMMYFUNCTION("""COMPUTED_VALUE"""),"No, But if someone could bare the cost I will")</f>
        <v>No, But if someone could bare the cost I will</v>
      </c>
      <c r="G2053" s="1" t="str">
        <f ca="1">IFERROR(__xludf.DUMMYFUNCTION("""COMPUTED_VALUE"""),"Will work for 3 years or more")</f>
        <v>Will work for 3 years or more</v>
      </c>
      <c r="H2053" s="1" t="str">
        <f ca="1">IFERROR(__xludf.DUMMYFUNCTION("""COMPUTED_VALUE"""),"Yes")</f>
        <v>Yes</v>
      </c>
      <c r="I2053" s="1" t="str">
        <f ca="1">IFERROR(__xludf.DUMMYFUNCTION("""COMPUTED_VALUE"""),"Will NOT work for them")</f>
        <v>Will NOT work for them</v>
      </c>
      <c r="J2053" s="1">
        <f ca="1">IFERROR(__xludf.DUMMYFUNCTION("""COMPUTED_VALUE"""),4)</f>
        <v>4</v>
      </c>
      <c r="K2053" s="1" t="str">
        <f ca="1">IFERROR(__xludf.DUMMYFUNCTION("""COMPUTED_VALUE"""),"Fully Remote with Options to travel as and when needed")</f>
        <v>Fully Remote with Options to travel as and when needed</v>
      </c>
      <c r="L20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53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05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053" s="1" t="str">
        <f ca="1">IFERROR(__xludf.DUMMYFUNCTION("""COMPUTED_VALUE"""),"Manager who clearly describes what she/he needs")</f>
        <v>Manager who clearly describes what she/he needs</v>
      </c>
      <c r="P2053" s="1" t="str">
        <f ca="1">IFERROR(__xludf.DUMMYFUNCTION("""COMPUTED_VALUE"""),"Work with 5 to 6 people in my team")</f>
        <v>Work with 5 to 6 people in my team</v>
      </c>
      <c r="Q2053" s="1" t="str">
        <f ca="1">IFERROR(__xludf.DUMMYFUNCTION("""COMPUTED_VALUE"""),"Yes, I Understand this is gonna happen everywhere")</f>
        <v>Yes, I Understand this is gonna happen everywhere</v>
      </c>
      <c r="R2053" s="1" t="str">
        <f ca="1">IFERROR(__xludf.DUMMYFUNCTION("""COMPUTED_VALUE"""),"This will be hard to do, but if it is the right company I would try")</f>
        <v>This will be hard to do, but if it is the right company I would try</v>
      </c>
      <c r="S2053" s="1" t="str">
        <f ca="1">IFERROR(__xludf.DUMMYFUNCTION("""COMPUTED_VALUE"""),"rohitkoli8407@gmail.com")</f>
        <v>rohitkoli8407@gmail.com</v>
      </c>
    </row>
    <row r="2054" spans="1:19" ht="12.5" x14ac:dyDescent="0.25">
      <c r="A2054" s="2">
        <f ca="1">IFERROR(__xludf.DUMMYFUNCTION("""COMPUTED_VALUE"""),45063.3474300463)</f>
        <v>45063.347430046299</v>
      </c>
      <c r="B2054" s="1" t="str">
        <f ca="1">IFERROR(__xludf.DUMMYFUNCTION("""COMPUTED_VALUE"""),"India")</f>
        <v>India</v>
      </c>
      <c r="C2054" s="1">
        <f ca="1">IFERROR(__xludf.DUMMYFUNCTION("""COMPUTED_VALUE"""),221003)</f>
        <v>221003</v>
      </c>
      <c r="D2054" s="1" t="str">
        <f ca="1">IFERROR(__xludf.DUMMYFUNCTION("""COMPUTED_VALUE"""),"Male")</f>
        <v>Male</v>
      </c>
      <c r="E2054" s="1" t="str">
        <f ca="1">IFERROR(__xludf.DUMMYFUNCTION("""COMPUTED_VALUE"""),"People who have changed the world for better")</f>
        <v>People who have changed the world for better</v>
      </c>
      <c r="F2054" s="1" t="str">
        <f ca="1">IFERROR(__xludf.DUMMYFUNCTION("""COMPUTED_VALUE"""),"No I would not be pursuing Higher Education outside of India")</f>
        <v>No I would not be pursuing Higher Education outside of India</v>
      </c>
      <c r="G2054" s="1" t="str">
        <f ca="1">IFERROR(__xludf.DUMMYFUNCTION("""COMPUTED_VALUE"""),"This will be hard to do, but if it is the right company I would try")</f>
        <v>This will be hard to do, but if it is the right company I would try</v>
      </c>
      <c r="H2054" s="1" t="str">
        <f ca="1">IFERROR(__xludf.DUMMYFUNCTION("""COMPUTED_VALUE"""),"No")</f>
        <v>No</v>
      </c>
      <c r="I2054" s="1" t="str">
        <f ca="1">IFERROR(__xludf.DUMMYFUNCTION("""COMPUTED_VALUE"""),"Will NOT work for them")</f>
        <v>Will NOT work for them</v>
      </c>
      <c r="J2054" s="1">
        <f ca="1">IFERROR(__xludf.DUMMYFUNCTION("""COMPUTED_VALUE"""),6)</f>
        <v>6</v>
      </c>
      <c r="K2054" s="1" t="str">
        <f ca="1">IFERROR(__xludf.DUMMYFUNCTION("""COMPUTED_VALUE"""),"Fully Remote with Options to travel as and when needed")</f>
        <v>Fully Remote with Options to travel as and when needed</v>
      </c>
      <c r="L2054" s="1" t="str">
        <f ca="1">IFERROR(__xludf.DUMMYFUNCTION("""COMPUTED_VALUE"""),"Employer who rewards learning and enables that environment")</f>
        <v>Employer who rewards learning and enables that environment</v>
      </c>
      <c r="M205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54" s="1" t="str">
        <f ca="1">IFERROR(__xludf.DUMMYFUNCTION("""COMPUTED_VALUE"""),"Design and Creative strategy in any company, Business Operations in any organization, Design and Develop amazing software, Entrepreneur or Start Up")</f>
        <v>Design and Creative strategy in any company, Business Operations in any organization, Design and Develop amazing software, Entrepreneur or Start Up</v>
      </c>
      <c r="O2054" s="1" t="str">
        <f ca="1">IFERROR(__xludf.DUMMYFUNCTION("""COMPUTED_VALUE"""),"Manager who explains what is expected, sets a goal and helps achieve it")</f>
        <v>Manager who explains what is expected, sets a goal and helps achieve it</v>
      </c>
      <c r="P2054" s="1" t="str">
        <f ca="1">IFERROR(__xludf.DUMMYFUNCTION("""COMPUTED_VALUE"""),"Work with 5 to 6 people in my team")</f>
        <v>Work with 5 to 6 people in my team</v>
      </c>
      <c r="Q2054" s="1" t="str">
        <f ca="1">IFERROR(__xludf.DUMMYFUNCTION("""COMPUTED_VALUE"""),"No")</f>
        <v>No</v>
      </c>
      <c r="R2054" s="1" t="str">
        <f ca="1">IFERROR(__xludf.DUMMYFUNCTION("""COMPUTED_VALUE"""),"No way")</f>
        <v>No way</v>
      </c>
      <c r="S2054" s="1" t="str">
        <f ca="1">IFERROR(__xludf.DUMMYFUNCTION("""COMPUTED_VALUE"""),"archnapandey1781@gmail.com")</f>
        <v>archnapandey1781@gmail.com</v>
      </c>
    </row>
    <row r="2055" spans="1:19" ht="12.5" x14ac:dyDescent="0.25">
      <c r="A2055" s="2">
        <f ca="1">IFERROR(__xludf.DUMMYFUNCTION("""COMPUTED_VALUE"""),45063.3492480092)</f>
        <v>45063.349248009203</v>
      </c>
      <c r="B2055" s="1" t="str">
        <f ca="1">IFERROR(__xludf.DUMMYFUNCTION("""COMPUTED_VALUE"""),"India")</f>
        <v>India</v>
      </c>
      <c r="C2055" s="1">
        <f ca="1">IFERROR(__xludf.DUMMYFUNCTION("""COMPUTED_VALUE"""),624003)</f>
        <v>624003</v>
      </c>
      <c r="D2055" s="1" t="str">
        <f ca="1">IFERROR(__xludf.DUMMYFUNCTION("""COMPUTED_VALUE"""),"Female")</f>
        <v>Female</v>
      </c>
      <c r="E2055" s="1" t="str">
        <f ca="1">IFERROR(__xludf.DUMMYFUNCTION("""COMPUTED_VALUE"""),"People from my circle, but not family members")</f>
        <v>People from my circle, but not family members</v>
      </c>
      <c r="F2055" s="1" t="str">
        <f ca="1">IFERROR(__xludf.DUMMYFUNCTION("""COMPUTED_VALUE"""),"No I would not be pursuing Higher Education outside of India")</f>
        <v>No I would not be pursuing Higher Education outside of India</v>
      </c>
      <c r="G2055" s="1" t="str">
        <f ca="1">IFERROR(__xludf.DUMMYFUNCTION("""COMPUTED_VALUE"""),"Will work for 3 years or more")</f>
        <v>Will work for 3 years or more</v>
      </c>
      <c r="H2055" s="1" t="str">
        <f ca="1">IFERROR(__xludf.DUMMYFUNCTION("""COMPUTED_VALUE"""),"No")</f>
        <v>No</v>
      </c>
      <c r="I2055" s="1" t="str">
        <f ca="1">IFERROR(__xludf.DUMMYFUNCTION("""COMPUTED_VALUE"""),"Will NOT work for them")</f>
        <v>Will NOT work for them</v>
      </c>
      <c r="J2055" s="1">
        <f ca="1">IFERROR(__xludf.DUMMYFUNCTION("""COMPUTED_VALUE"""),1)</f>
        <v>1</v>
      </c>
      <c r="K2055" s="1" t="str">
        <f ca="1">IFERROR(__xludf.DUMMYFUNCTION("""COMPUTED_VALUE"""),"Every Day Office Environment")</f>
        <v>Every Day Office Environment</v>
      </c>
      <c r="L2055" s="1" t="str">
        <f ca="1">IFERROR(__xludf.DUMMYFUNCTION("""COMPUTED_VALUE"""),"Employer who appreciates learning and enables that environment")</f>
        <v>Employer who appreciates learning and enables that environment</v>
      </c>
      <c r="M2055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055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2055" s="1" t="str">
        <f ca="1">IFERROR(__xludf.DUMMYFUNCTION("""COMPUTED_VALUE"""),"Manager who clearly describes what she/he needs")</f>
        <v>Manager who clearly describes what she/he needs</v>
      </c>
      <c r="P2055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055" s="1" t="str">
        <f ca="1">IFERROR(__xludf.DUMMYFUNCTION("""COMPUTED_VALUE"""),"No")</f>
        <v>No</v>
      </c>
      <c r="R2055" s="1" t="str">
        <f ca="1">IFERROR(__xludf.DUMMYFUNCTION("""COMPUTED_VALUE"""),"Will work for 7 years or more")</f>
        <v>Will work for 7 years or more</v>
      </c>
      <c r="S2055" s="1" t="str">
        <f ca="1">IFERROR(__xludf.DUMMYFUNCTION("""COMPUTED_VALUE"""),"www.gasperraj.2005@gmail.com")</f>
        <v>www.gasperraj.2005@gmail.com</v>
      </c>
    </row>
    <row r="2056" spans="1:19" ht="12.5" x14ac:dyDescent="0.25">
      <c r="A2056" s="2">
        <f ca="1">IFERROR(__xludf.DUMMYFUNCTION("""COMPUTED_VALUE"""),45063.3554672684)</f>
        <v>45063.355467268499</v>
      </c>
      <c r="B2056" s="1" t="str">
        <f ca="1">IFERROR(__xludf.DUMMYFUNCTION("""COMPUTED_VALUE"""),"India")</f>
        <v>India</v>
      </c>
      <c r="C2056" s="1">
        <f ca="1">IFERROR(__xludf.DUMMYFUNCTION("""COMPUTED_VALUE"""),632509)</f>
        <v>632509</v>
      </c>
      <c r="D2056" s="1" t="str">
        <f ca="1">IFERROR(__xludf.DUMMYFUNCTION("""COMPUTED_VALUE"""),"Male")</f>
        <v>Male</v>
      </c>
      <c r="E2056" s="1" t="str">
        <f ca="1">IFERROR(__xludf.DUMMYFUNCTION("""COMPUTED_VALUE"""),"My Parents")</f>
        <v>My Parents</v>
      </c>
      <c r="F2056" s="1" t="str">
        <f ca="1">IFERROR(__xludf.DUMMYFUNCTION("""COMPUTED_VALUE"""),"No, But if someone could bare the cost I will")</f>
        <v>No, But if someone could bare the cost I will</v>
      </c>
      <c r="G2056" s="1" t="str">
        <f ca="1">IFERROR(__xludf.DUMMYFUNCTION("""COMPUTED_VALUE"""),"Will work for 3 years or more")</f>
        <v>Will work for 3 years or more</v>
      </c>
      <c r="H2056" s="1" t="str">
        <f ca="1">IFERROR(__xludf.DUMMYFUNCTION("""COMPUTED_VALUE"""),"Yes")</f>
        <v>Yes</v>
      </c>
      <c r="I2056" s="1" t="str">
        <f ca="1">IFERROR(__xludf.DUMMYFUNCTION("""COMPUTED_VALUE"""),"Will NOT work for them")</f>
        <v>Will NOT work for them</v>
      </c>
      <c r="J2056" s="1">
        <f ca="1">IFERROR(__xludf.DUMMYFUNCTION("""COMPUTED_VALUE"""),7)</f>
        <v>7</v>
      </c>
      <c r="K2056" s="1" t="str">
        <f ca="1">IFERROR(__xludf.DUMMYFUNCTION("""COMPUTED_VALUE"""),"Fully Remote with Options to travel as and when needed")</f>
        <v>Fully Remote with Options to travel as and when needed</v>
      </c>
      <c r="L2056" s="1" t="str">
        <f ca="1">IFERROR(__xludf.DUMMYFUNCTION("""COMPUTED_VALUE"""),"Employer who appreciates learning and enables that environment")</f>
        <v>Employer who appreciates learning and enables that environment</v>
      </c>
      <c r="M205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056" s="1" t="str">
        <f ca="1">IFERROR(__xludf.DUMMYFUNCTION("""COMPUTED_VALUE"""),"Design and Creative strategy in any company, Work as a freelancer and do my thing my way, Entrepreneur or Start Up, An Artificial Intelligence Specialist / Talking to Robots")</f>
        <v>Design and Creative strategy in any company, Work as a freelancer and do my thing my way, Entrepreneur or Start Up, An Artificial Intelligence Specialist / Talking to Robots</v>
      </c>
      <c r="O2056" s="1" t="str">
        <f ca="1">IFERROR(__xludf.DUMMYFUNCTION("""COMPUTED_VALUE"""),"Manager who sets goal and helps me achieve it")</f>
        <v>Manager who sets goal and helps me achieve it</v>
      </c>
      <c r="P2056" s="1" t="str">
        <f ca="1">IFERROR(__xludf.DUMMYFUNCTION("""COMPUTED_VALUE"""),"Work alone, Work with 2 to 3 people in my team, Work with 5 to 6 people in my team, Work with 7 to 10 or more people in my team")</f>
        <v>Work alone, Work with 2 to 3 people in my team, Work with 5 to 6 people in my team, Work with 7 to 10 or more people in my team</v>
      </c>
      <c r="Q2056" s="1" t="str">
        <f ca="1">IFERROR(__xludf.DUMMYFUNCTION("""COMPUTED_VALUE"""),"No")</f>
        <v>No</v>
      </c>
      <c r="R2056" s="1" t="str">
        <f ca="1">IFERROR(__xludf.DUMMYFUNCTION("""COMPUTED_VALUE"""),"Will work for 7 years or more")</f>
        <v>Will work for 7 years or more</v>
      </c>
      <c r="S2056" s="1" t="str">
        <f ca="1">IFERROR(__xludf.DUMMYFUNCTION("""COMPUTED_VALUE"""),"mohammedaffanshariff007@gmail.com")</f>
        <v>mohammedaffanshariff007@gmail.com</v>
      </c>
    </row>
    <row r="2057" spans="1:19" ht="12.5" x14ac:dyDescent="0.25">
      <c r="A2057" s="2">
        <f ca="1">IFERROR(__xludf.DUMMYFUNCTION("""COMPUTED_VALUE"""),45063.3615466319)</f>
        <v>45063.361546631902</v>
      </c>
      <c r="B2057" s="1" t="str">
        <f ca="1">IFERROR(__xludf.DUMMYFUNCTION("""COMPUTED_VALUE"""),"India")</f>
        <v>India</v>
      </c>
      <c r="C2057" s="1">
        <f ca="1">IFERROR(__xludf.DUMMYFUNCTION("""COMPUTED_VALUE"""),208021)</f>
        <v>208021</v>
      </c>
      <c r="D2057" s="1" t="str">
        <f ca="1">IFERROR(__xludf.DUMMYFUNCTION("""COMPUTED_VALUE"""),"Male")</f>
        <v>Male</v>
      </c>
      <c r="E2057" s="1" t="str">
        <f ca="1">IFERROR(__xludf.DUMMYFUNCTION("""COMPUTED_VALUE"""),"People who have changed the world for better")</f>
        <v>People who have changed the world for better</v>
      </c>
      <c r="F2057" s="1" t="str">
        <f ca="1">IFERROR(__xludf.DUMMYFUNCTION("""COMPUTED_VALUE"""),"No I would not be pursuing Higher Education outside of India")</f>
        <v>No I would not be pursuing Higher Education outside of India</v>
      </c>
      <c r="G2057" s="1" t="str">
        <f ca="1">IFERROR(__xludf.DUMMYFUNCTION("""COMPUTED_VALUE"""),"This will be hard to do, but if it is the right company I would try")</f>
        <v>This will be hard to do, but if it is the right company I would try</v>
      </c>
      <c r="H2057" s="1" t="str">
        <f ca="1">IFERROR(__xludf.DUMMYFUNCTION("""COMPUTED_VALUE"""),"No")</f>
        <v>No</v>
      </c>
      <c r="I2057" s="1" t="str">
        <f ca="1">IFERROR(__xludf.DUMMYFUNCTION("""COMPUTED_VALUE"""),"Will NOT work for them")</f>
        <v>Will NOT work for them</v>
      </c>
      <c r="J2057" s="1">
        <f ca="1">IFERROR(__xludf.DUMMYFUNCTION("""COMPUTED_VALUE"""),8)</f>
        <v>8</v>
      </c>
      <c r="K2057" s="1" t="str">
        <f ca="1">IFERROR(__xludf.DUMMYFUNCTION("""COMPUTED_VALUE"""),"Fully Remote with Options to travel as and when needed")</f>
        <v>Fully Remote with Options to travel as and when needed</v>
      </c>
      <c r="L2057" s="1" t="str">
        <f ca="1">IFERROR(__xludf.DUMMYFUNCTION("""COMPUTED_VALUE"""),"Employer who appreciates learning and enables that environment")</f>
        <v>Employer who appreciates learning and enables that environment</v>
      </c>
      <c r="M2057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057" s="1" t="str">
        <f ca="1">IFERROR(__xludf.DUMMYFUNCTION("""COMPUTED_VALUE"""),"Build and develop a Team, Design and Develop amazing software, Work as a freelancer and do my thing my way, Entrepreneur or Start Up")</f>
        <v>Build and develop a Team, Design and Develop amazing software, Work as a freelancer and do my thing my way, Entrepreneur or Start Up</v>
      </c>
      <c r="O2057" s="1" t="str">
        <f ca="1">IFERROR(__xludf.DUMMYFUNCTION("""COMPUTED_VALUE"""),"Manager who explains what is expected, sets a goal and helps achieve it")</f>
        <v>Manager who explains what is expected, sets a goal and helps achieve it</v>
      </c>
      <c r="P205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057" s="1" t="str">
        <f ca="1">IFERROR(__xludf.DUMMYFUNCTION("""COMPUTED_VALUE"""),"Yes")</f>
        <v>Yes</v>
      </c>
      <c r="R2057" s="1" t="str">
        <f ca="1">IFERROR(__xludf.DUMMYFUNCTION("""COMPUTED_VALUE"""),"This will be hard to do, but if it is the right company I would try")</f>
        <v>This will be hard to do, but if it is the right company I would try</v>
      </c>
      <c r="S2057" s="1" t="str">
        <f ca="1">IFERROR(__xludf.DUMMYFUNCTION("""COMPUTED_VALUE"""),"rajat.tcp@gmail.com")</f>
        <v>rajat.tcp@gmail.com</v>
      </c>
    </row>
    <row r="2058" spans="1:19" ht="12.5" x14ac:dyDescent="0.25">
      <c r="A2058" s="2">
        <f ca="1">IFERROR(__xludf.DUMMYFUNCTION("""COMPUTED_VALUE"""),45063.3651348263)</f>
        <v>45063.365134826301</v>
      </c>
      <c r="B2058" s="1" t="str">
        <f ca="1">IFERROR(__xludf.DUMMYFUNCTION("""COMPUTED_VALUE"""),"India")</f>
        <v>India</v>
      </c>
      <c r="C2058" s="1">
        <f ca="1">IFERROR(__xludf.DUMMYFUNCTION("""COMPUTED_VALUE"""),632014)</f>
        <v>632014</v>
      </c>
      <c r="D2058" s="1" t="str">
        <f ca="1">IFERROR(__xludf.DUMMYFUNCTION("""COMPUTED_VALUE"""),"Male")</f>
        <v>Male</v>
      </c>
      <c r="E2058" s="1" t="str">
        <f ca="1">IFERROR(__xludf.DUMMYFUNCTION("""COMPUTED_VALUE"""),"My Parents")</f>
        <v>My Parents</v>
      </c>
      <c r="F2058" s="1" t="str">
        <f ca="1">IFERROR(__xludf.DUMMYFUNCTION("""COMPUTED_VALUE"""),"No I would not be pursuing Higher Education outside of India")</f>
        <v>No I would not be pursuing Higher Education outside of India</v>
      </c>
      <c r="G2058" s="1" t="str">
        <f ca="1">IFERROR(__xludf.DUMMYFUNCTION("""COMPUTED_VALUE"""),"This will be hard to do, but if it is the right company I would try")</f>
        <v>This will be hard to do, but if it is the right company I would try</v>
      </c>
      <c r="H2058" s="1" t="str">
        <f ca="1">IFERROR(__xludf.DUMMYFUNCTION("""COMPUTED_VALUE"""),"No")</f>
        <v>No</v>
      </c>
      <c r="I2058" s="1" t="str">
        <f ca="1">IFERROR(__xludf.DUMMYFUNCTION("""COMPUTED_VALUE"""),"Will NOT work for them")</f>
        <v>Will NOT work for them</v>
      </c>
      <c r="J2058" s="1">
        <f ca="1">IFERROR(__xludf.DUMMYFUNCTION("""COMPUTED_VALUE"""),10)</f>
        <v>10</v>
      </c>
      <c r="K2058" s="1" t="str">
        <f ca="1">IFERROR(__xludf.DUMMYFUNCTION("""COMPUTED_VALUE"""),"Hybrid Working Environment with more than 15 days a month at office")</f>
        <v>Hybrid Working Environment with more than 15 days a month at office</v>
      </c>
      <c r="L2058" s="1" t="str">
        <f ca="1">IFERROR(__xludf.DUMMYFUNCTION("""COMPUTED_VALUE"""),"Employer who rewards learning and enables that environment")</f>
        <v>Employer who rewards learning and enables that environment</v>
      </c>
      <c r="M205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058" s="1" t="str">
        <f ca="1">IFERROR(__xludf.DUMMYFUNCTION("""COMPUTED_VALUE"""),"Business Operations in any organization, Become a content Creator in some platform, Entrepreneur or Start Up, An Artificial Intelligence Specialist / Talking to Robots")</f>
        <v>Business Operations in any organization, Become a content Creator in some platform, Entrepreneur or Start Up, An Artificial Intelligence Specialist / Talking to Robots</v>
      </c>
      <c r="O2058" s="1" t="str">
        <f ca="1">IFERROR(__xludf.DUMMYFUNCTION("""COMPUTED_VALUE"""),"Manager who sets goal and helps me achieve it")</f>
        <v>Manager who sets goal and helps me achieve it</v>
      </c>
      <c r="P2058" s="1" t="str">
        <f ca="1">IFERROR(__xludf.DUMMYFUNCTION("""COMPUTED_VALUE"""),"Work with 5 to 6 people in my team")</f>
        <v>Work with 5 to 6 people in my team</v>
      </c>
      <c r="Q2058" s="1" t="str">
        <f ca="1">IFERROR(__xludf.DUMMYFUNCTION("""COMPUTED_VALUE"""),"No")</f>
        <v>No</v>
      </c>
      <c r="R2058" s="1" t="str">
        <f ca="1">IFERROR(__xludf.DUMMYFUNCTION("""COMPUTED_VALUE"""),"This will be hard to do, but if it is the right company I would try")</f>
        <v>This will be hard to do, but if it is the right company I would try</v>
      </c>
      <c r="S2058" s="1" t="str">
        <f ca="1">IFERROR(__xludf.DUMMYFUNCTION("""COMPUTED_VALUE"""),"usaanush@gmail.com")</f>
        <v>usaanush@gmail.com</v>
      </c>
    </row>
    <row r="2059" spans="1:19" ht="12.5" x14ac:dyDescent="0.25">
      <c r="A2059" s="2">
        <f ca="1">IFERROR(__xludf.DUMMYFUNCTION("""COMPUTED_VALUE"""),45063.3655568171)</f>
        <v>45063.365556817102</v>
      </c>
      <c r="B2059" s="1" t="str">
        <f ca="1">IFERROR(__xludf.DUMMYFUNCTION("""COMPUTED_VALUE"""),"India")</f>
        <v>India</v>
      </c>
      <c r="C2059" s="1">
        <f ca="1">IFERROR(__xludf.DUMMYFUNCTION("""COMPUTED_VALUE"""),606401)</f>
        <v>606401</v>
      </c>
      <c r="D2059" s="1" t="str">
        <f ca="1">IFERROR(__xludf.DUMMYFUNCTION("""COMPUTED_VALUE"""),"Female")</f>
        <v>Female</v>
      </c>
      <c r="E2059" s="1" t="str">
        <f ca="1">IFERROR(__xludf.DUMMYFUNCTION("""COMPUTED_VALUE"""),"Influencers who had successful careers")</f>
        <v>Influencers who had successful careers</v>
      </c>
      <c r="F2059" s="1" t="str">
        <f ca="1">IFERROR(__xludf.DUMMYFUNCTION("""COMPUTED_VALUE"""),"Yes, I will earn and do that")</f>
        <v>Yes, I will earn and do that</v>
      </c>
      <c r="G2059" s="1" t="str">
        <f ca="1">IFERROR(__xludf.DUMMYFUNCTION("""COMPUTED_VALUE"""),"Will work for 3 years or more")</f>
        <v>Will work for 3 years or more</v>
      </c>
      <c r="H2059" s="1" t="str">
        <f ca="1">IFERROR(__xludf.DUMMYFUNCTION("""COMPUTED_VALUE"""),"No")</f>
        <v>No</v>
      </c>
      <c r="I2059" s="1" t="str">
        <f ca="1">IFERROR(__xludf.DUMMYFUNCTION("""COMPUTED_VALUE"""),"Will work for them")</f>
        <v>Will work for them</v>
      </c>
      <c r="J2059" s="1">
        <f ca="1">IFERROR(__xludf.DUMMYFUNCTION("""COMPUTED_VALUE"""),6)</f>
        <v>6</v>
      </c>
      <c r="K2059" s="1" t="str">
        <f ca="1">IFERROR(__xludf.DUMMYFUNCTION("""COMPUTED_VALUE"""),"Every Day Office Environment")</f>
        <v>Every Day Office Environment</v>
      </c>
      <c r="L2059" s="1" t="str">
        <f ca="1">IFERROR(__xludf.DUMMYFUNCTION("""COMPUTED_VALUE"""),"Employer who appreciates learning and enables that environment")</f>
        <v>Employer who appreciates learning and enables that environment</v>
      </c>
      <c r="M205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59" s="1" t="str">
        <f ca="1">IFERROR(__xludf.DUMMYFUNCTION("""COMPUTED_VALUE"""),"Design and Creative strategy in any company, Business Operations in any organization, Entrepreneur or Start Up, An Artificial Intelligence Specialist / Talking to Robots")</f>
        <v>Design and Creative strategy in any company, Business Operations in any organization, Entrepreneur or Start Up, An Artificial Intelligence Specialist / Talking to Robots</v>
      </c>
      <c r="O2059" s="1" t="str">
        <f ca="1">IFERROR(__xludf.DUMMYFUNCTION("""COMPUTED_VALUE"""),"Manager who clearly describes what she/he needs")</f>
        <v>Manager who clearly describes what she/he needs</v>
      </c>
      <c r="P2059" s="1" t="str">
        <f ca="1">IFERROR(__xludf.DUMMYFUNCTION("""COMPUTED_VALUE"""),"Work with more than 10 people in my team")</f>
        <v>Work with more than 10 people in my team</v>
      </c>
      <c r="Q2059" s="1" t="str">
        <f ca="1">IFERROR(__xludf.DUMMYFUNCTION("""COMPUTED_VALUE"""),"Yes, I Understand this is gonna happen everywhere")</f>
        <v>Yes, I Understand this is gonna happen everywhere</v>
      </c>
      <c r="R2059" s="1" t="str">
        <f ca="1">IFERROR(__xludf.DUMMYFUNCTION("""COMPUTED_VALUE"""),"No way")</f>
        <v>No way</v>
      </c>
      <c r="S2059" s="1" t="str">
        <f ca="1">IFERROR(__xludf.DUMMYFUNCTION("""COMPUTED_VALUE"""),"sangeethakp56@gmail.com")</f>
        <v>sangeethakp56@gmail.com</v>
      </c>
    </row>
    <row r="2060" spans="1:19" ht="12.5" x14ac:dyDescent="0.25">
      <c r="A2060" s="2">
        <f ca="1">IFERROR(__xludf.DUMMYFUNCTION("""COMPUTED_VALUE"""),45063.3721912152)</f>
        <v>45063.372191215203</v>
      </c>
      <c r="B2060" s="1" t="str">
        <f ca="1">IFERROR(__xludf.DUMMYFUNCTION("""COMPUTED_VALUE"""),"India")</f>
        <v>India</v>
      </c>
      <c r="C2060" s="1">
        <f ca="1">IFERROR(__xludf.DUMMYFUNCTION("""COMPUTED_VALUE"""),624001)</f>
        <v>624001</v>
      </c>
      <c r="D2060" s="1" t="str">
        <f ca="1">IFERROR(__xludf.DUMMYFUNCTION("""COMPUTED_VALUE"""),"Male")</f>
        <v>Male</v>
      </c>
      <c r="E2060" s="1" t="str">
        <f ca="1">IFERROR(__xludf.DUMMYFUNCTION("""COMPUTED_VALUE"""),"Social Media like LinkedIn")</f>
        <v>Social Media like LinkedIn</v>
      </c>
      <c r="F2060" s="1" t="str">
        <f ca="1">IFERROR(__xludf.DUMMYFUNCTION("""COMPUTED_VALUE"""),"Yes, I will earn and do that")</f>
        <v>Yes, I will earn and do that</v>
      </c>
      <c r="G2060" s="1" t="str">
        <f ca="1">IFERROR(__xludf.DUMMYFUNCTION("""COMPUTED_VALUE"""),"This will be hard to do, but if it is the right company I would try")</f>
        <v>This will be hard to do, but if it is the right company I would try</v>
      </c>
      <c r="H2060" s="1" t="str">
        <f ca="1">IFERROR(__xludf.DUMMYFUNCTION("""COMPUTED_VALUE"""),"No")</f>
        <v>No</v>
      </c>
      <c r="I2060" s="1" t="str">
        <f ca="1">IFERROR(__xludf.DUMMYFUNCTION("""COMPUTED_VALUE"""),"Will NOT work for them")</f>
        <v>Will NOT work for them</v>
      </c>
      <c r="J2060" s="1">
        <f ca="1">IFERROR(__xludf.DUMMYFUNCTION("""COMPUTED_VALUE"""),3)</f>
        <v>3</v>
      </c>
      <c r="K2060" s="1" t="str">
        <f ca="1">IFERROR(__xludf.DUMMYFUNCTION("""COMPUTED_VALUE"""),"Hybrid Working Environment with more than 15 days a month at office")</f>
        <v>Hybrid Working Environment with more than 15 days a month at office</v>
      </c>
      <c r="L2060" s="1" t="str">
        <f ca="1">IFERROR(__xludf.DUMMYFUNCTION("""COMPUTED_VALUE"""),"Employer who appreciates learning and enables that environment")</f>
        <v>Employer who appreciates learning and enables that environment</v>
      </c>
      <c r="M2060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060" s="1" t="str">
        <f ca="1">IFERROR(__xludf.DUMMYFUNCTION("""COMPUTED_VALUE"""),"Teaching in any of the institutes/colleges/online or offline, Business Operations in any organization, Look deeply into Data and generate insights, An Artificial Intelligence Specialist / Talking to Robots")</f>
        <v>Teaching in any of the institutes/colleges/online or offline, Business Operations in any organization, Look deeply into Data and generate insights, An Artificial Intelligence Specialist / Talking to Robots</v>
      </c>
      <c r="O2060" s="1" t="str">
        <f ca="1">IFERROR(__xludf.DUMMYFUNCTION("""COMPUTED_VALUE"""),"Manager who clearly describes what she/he needs")</f>
        <v>Manager who clearly describes what she/he needs</v>
      </c>
      <c r="P2060" s="1" t="str">
        <f ca="1">IFERROR(__xludf.DUMMYFUNCTION("""COMPUTED_VALUE"""),"Work with more than 10 people in my team")</f>
        <v>Work with more than 10 people in my team</v>
      </c>
      <c r="Q2060" s="1" t="str">
        <f ca="1">IFERROR(__xludf.DUMMYFUNCTION("""COMPUTED_VALUE"""),"Yes, I Understand this is gonna happen everywhere")</f>
        <v>Yes, I Understand this is gonna happen everywhere</v>
      </c>
      <c r="R2060" s="1" t="str">
        <f ca="1">IFERROR(__xludf.DUMMYFUNCTION("""COMPUTED_VALUE"""),"Will work for 7 years or more")</f>
        <v>Will work for 7 years or more</v>
      </c>
      <c r="S2060" s="1" t="str">
        <f ca="1">IFERROR(__xludf.DUMMYFUNCTION("""COMPUTED_VALUE"""),"sudhanyacob@gmail.com")</f>
        <v>sudhanyacob@gmail.com</v>
      </c>
    </row>
    <row r="2061" spans="1:19" ht="12.5" x14ac:dyDescent="0.25">
      <c r="A2061" s="2">
        <f ca="1">IFERROR(__xludf.DUMMYFUNCTION("""COMPUTED_VALUE"""),45063.3725902893)</f>
        <v>45063.372590289298</v>
      </c>
      <c r="B2061" s="1" t="str">
        <f ca="1">IFERROR(__xludf.DUMMYFUNCTION("""COMPUTED_VALUE"""),"India")</f>
        <v>India</v>
      </c>
      <c r="C2061" s="1">
        <f ca="1">IFERROR(__xludf.DUMMYFUNCTION("""COMPUTED_VALUE"""),620008)</f>
        <v>620008</v>
      </c>
      <c r="D2061" s="1" t="str">
        <f ca="1">IFERROR(__xludf.DUMMYFUNCTION("""COMPUTED_VALUE"""),"Male")</f>
        <v>Male</v>
      </c>
      <c r="E2061" s="1" t="str">
        <f ca="1">IFERROR(__xludf.DUMMYFUNCTION("""COMPUTED_VALUE"""),"Influencers who had successful careers")</f>
        <v>Influencers who had successful careers</v>
      </c>
      <c r="F2061" s="1" t="str">
        <f ca="1">IFERROR(__xludf.DUMMYFUNCTION("""COMPUTED_VALUE"""),"No, But if someone could bare the cost I will")</f>
        <v>No, But if someone could bare the cost I will</v>
      </c>
      <c r="G2061" s="1" t="str">
        <f ca="1">IFERROR(__xludf.DUMMYFUNCTION("""COMPUTED_VALUE"""),"Will work for 3 years or more")</f>
        <v>Will work for 3 years or more</v>
      </c>
      <c r="H2061" s="1" t="str">
        <f ca="1">IFERROR(__xludf.DUMMYFUNCTION("""COMPUTED_VALUE"""),"Yes")</f>
        <v>Yes</v>
      </c>
      <c r="I2061" s="1" t="str">
        <f ca="1">IFERROR(__xludf.DUMMYFUNCTION("""COMPUTED_VALUE"""),"Will work for them")</f>
        <v>Will work for them</v>
      </c>
      <c r="J2061" s="1">
        <f ca="1">IFERROR(__xludf.DUMMYFUNCTION("""COMPUTED_VALUE"""),3)</f>
        <v>3</v>
      </c>
      <c r="K2061" s="1" t="str">
        <f ca="1">IFERROR(__xludf.DUMMYFUNCTION("""COMPUTED_VALUE"""),"Every Day Office Environment")</f>
        <v>Every Day Office Environment</v>
      </c>
      <c r="L2061" s="1" t="str">
        <f ca="1">IFERROR(__xludf.DUMMYFUNCTION("""COMPUTED_VALUE"""),"Employer who rewards learning and enables that environment")</f>
        <v>Employer who rewards learning and enables that environment</v>
      </c>
      <c r="M2061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061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2061" s="1" t="str">
        <f ca="1">IFERROR(__xludf.DUMMYFUNCTION("""COMPUTED_VALUE"""),"Manager who sets goal and helps me achieve it")</f>
        <v>Manager who sets goal and helps me achieve it</v>
      </c>
      <c r="P2061" s="1" t="str">
        <f ca="1">IFERROR(__xludf.DUMMYFUNCTION("""COMPUTED_VALUE"""),"Work with 5 to 6 people in my team")</f>
        <v>Work with 5 to 6 people in my team</v>
      </c>
      <c r="Q2061" s="1" t="str">
        <f ca="1">IFERROR(__xludf.DUMMYFUNCTION("""COMPUTED_VALUE"""),"No")</f>
        <v>No</v>
      </c>
      <c r="R2061" s="1" t="str">
        <f ca="1">IFERROR(__xludf.DUMMYFUNCTION("""COMPUTED_VALUE"""),"No way")</f>
        <v>No way</v>
      </c>
      <c r="S2061" s="1" t="str">
        <f ca="1">IFERROR(__xludf.DUMMYFUNCTION("""COMPUTED_VALUE"""),"vjlakshmiraj2005@gmail.com")</f>
        <v>vjlakshmiraj2005@gmail.com</v>
      </c>
    </row>
    <row r="2062" spans="1:19" ht="12.5" x14ac:dyDescent="0.25">
      <c r="A2062" s="2">
        <f ca="1">IFERROR(__xludf.DUMMYFUNCTION("""COMPUTED_VALUE"""),45063.3729723495)</f>
        <v>45063.372972349498</v>
      </c>
      <c r="B2062" s="1" t="str">
        <f ca="1">IFERROR(__xludf.DUMMYFUNCTION("""COMPUTED_VALUE"""),"India")</f>
        <v>India</v>
      </c>
      <c r="C2062" s="1">
        <f ca="1">IFERROR(__xludf.DUMMYFUNCTION("""COMPUTED_VALUE"""),632007)</f>
        <v>632007</v>
      </c>
      <c r="D2062" s="1" t="str">
        <f ca="1">IFERROR(__xludf.DUMMYFUNCTION("""COMPUTED_VALUE"""),"Male")</f>
        <v>Male</v>
      </c>
      <c r="E2062" s="1" t="str">
        <f ca="1">IFERROR(__xludf.DUMMYFUNCTION("""COMPUTED_VALUE"""),"Influencers who had successful careers")</f>
        <v>Influencers who had successful careers</v>
      </c>
      <c r="F2062" s="1" t="str">
        <f ca="1">IFERROR(__xludf.DUMMYFUNCTION("""COMPUTED_VALUE"""),"Yes, I will earn and do that")</f>
        <v>Yes, I will earn and do that</v>
      </c>
      <c r="G2062" s="1" t="str">
        <f ca="1">IFERROR(__xludf.DUMMYFUNCTION("""COMPUTED_VALUE"""),"No way")</f>
        <v>No way</v>
      </c>
      <c r="H2062" s="1" t="str">
        <f ca="1">IFERROR(__xludf.DUMMYFUNCTION("""COMPUTED_VALUE"""),"No")</f>
        <v>No</v>
      </c>
      <c r="I2062" s="1" t="str">
        <f ca="1">IFERROR(__xludf.DUMMYFUNCTION("""COMPUTED_VALUE"""),"Will work for them")</f>
        <v>Will work for them</v>
      </c>
      <c r="J2062" s="1">
        <f ca="1">IFERROR(__xludf.DUMMYFUNCTION("""COMPUTED_VALUE"""),5)</f>
        <v>5</v>
      </c>
      <c r="K2062" s="1" t="str">
        <f ca="1">IFERROR(__xludf.DUMMYFUNCTION("""COMPUTED_VALUE"""),"Fully Remote with Options to travel as and when needed")</f>
        <v>Fully Remote with Options to travel as and when needed</v>
      </c>
      <c r="L2062" s="1" t="str">
        <f ca="1">IFERROR(__xludf.DUMMYFUNCTION("""COMPUTED_VALUE"""),"Employer who appreciates learning and enables that environment")</f>
        <v>Employer who appreciates learning and enables that environment</v>
      </c>
      <c r="M206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062" s="1" t="str">
        <f ca="1">IFERROR(__xludf.DUMMYFUNCTION("""COMPUTED_VALUE"""),"Business Operations in any organization, Design and Develop amazing software, Look deeply into Data and generate insights, Entrepreneur or Start Up")</f>
        <v>Business Operations in any organization, Design and Develop amazing software, Look deeply into Data and generate insights, Entrepreneur or Start Up</v>
      </c>
      <c r="O2062" s="1" t="str">
        <f ca="1">IFERROR(__xludf.DUMMYFUNCTION("""COMPUTED_VALUE"""),"Manager who sets goal and helps me achieve it")</f>
        <v>Manager who sets goal and helps me achieve it</v>
      </c>
      <c r="P2062" s="1" t="str">
        <f ca="1">IFERROR(__xludf.DUMMYFUNCTION("""COMPUTED_VALUE"""),"Work with 5 to 6 people in my team")</f>
        <v>Work with 5 to 6 people in my team</v>
      </c>
      <c r="Q2062" s="1" t="str">
        <f ca="1">IFERROR(__xludf.DUMMYFUNCTION("""COMPUTED_VALUE"""),"Yes, I Understand this is gonna happen everywhere")</f>
        <v>Yes, I Understand this is gonna happen everywhere</v>
      </c>
      <c r="R2062" s="1" t="str">
        <f ca="1">IFERROR(__xludf.DUMMYFUNCTION("""COMPUTED_VALUE"""),"No way")</f>
        <v>No way</v>
      </c>
      <c r="S2062" s="1" t="str">
        <f ca="1">IFERROR(__xludf.DUMMYFUNCTION("""COMPUTED_VALUE"""),"orangepvnkumaar777@gmail.com")</f>
        <v>orangepvnkumaar777@gmail.com</v>
      </c>
    </row>
    <row r="2063" spans="1:19" ht="12.5" x14ac:dyDescent="0.25">
      <c r="A2063" s="2">
        <f ca="1">IFERROR(__xludf.DUMMYFUNCTION("""COMPUTED_VALUE"""),45063.3734135532)</f>
        <v>45063.373413553199</v>
      </c>
      <c r="B2063" s="1" t="str">
        <f ca="1">IFERROR(__xludf.DUMMYFUNCTION("""COMPUTED_VALUE"""),"India")</f>
        <v>India</v>
      </c>
      <c r="C2063" s="1">
        <f ca="1">IFERROR(__xludf.DUMMYFUNCTION("""COMPUTED_VALUE"""),622515)</f>
        <v>622515</v>
      </c>
      <c r="D2063" s="1" t="str">
        <f ca="1">IFERROR(__xludf.DUMMYFUNCTION("""COMPUTED_VALUE"""),"Female")</f>
        <v>Female</v>
      </c>
      <c r="E2063" s="1" t="str">
        <f ca="1">IFERROR(__xludf.DUMMYFUNCTION("""COMPUTED_VALUE"""),"My Parents")</f>
        <v>My Parents</v>
      </c>
      <c r="F2063" s="1" t="str">
        <f ca="1">IFERROR(__xludf.DUMMYFUNCTION("""COMPUTED_VALUE"""),"No I would not be pursuing Higher Education outside of India")</f>
        <v>No I would not be pursuing Higher Education outside of India</v>
      </c>
      <c r="G2063" s="1" t="str">
        <f ca="1">IFERROR(__xludf.DUMMYFUNCTION("""COMPUTED_VALUE"""),"Will work for 3 years or more")</f>
        <v>Will work for 3 years or more</v>
      </c>
      <c r="H2063" s="1" t="str">
        <f ca="1">IFERROR(__xludf.DUMMYFUNCTION("""COMPUTED_VALUE"""),"No")</f>
        <v>No</v>
      </c>
      <c r="I2063" s="1" t="str">
        <f ca="1">IFERROR(__xludf.DUMMYFUNCTION("""COMPUTED_VALUE"""),"Will NOT work for them")</f>
        <v>Will NOT work for them</v>
      </c>
      <c r="J2063" s="1">
        <f ca="1">IFERROR(__xludf.DUMMYFUNCTION("""COMPUTED_VALUE"""),3)</f>
        <v>3</v>
      </c>
      <c r="K2063" s="1" t="str">
        <f ca="1">IFERROR(__xludf.DUMMYFUNCTION("""COMPUTED_VALUE"""),"Every Day Office Environment")</f>
        <v>Every Day Office Environment</v>
      </c>
      <c r="L2063" s="1" t="str">
        <f ca="1">IFERROR(__xludf.DUMMYFUNCTION("""COMPUTED_VALUE"""),"Employer who rewards learning and enables that environment")</f>
        <v>Employer who rewards learning and enables that environment</v>
      </c>
      <c r="M206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63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2063" s="1" t="str">
        <f ca="1">IFERROR(__xludf.DUMMYFUNCTION("""COMPUTED_VALUE"""),"Manager who clearly describes what she/he needs")</f>
        <v>Manager who clearly describes what she/he needs</v>
      </c>
      <c r="P2063" s="1" t="str">
        <f ca="1">IFERROR(__xludf.DUMMYFUNCTION("""COMPUTED_VALUE"""),"Work with more than 10 people in my team")</f>
        <v>Work with more than 10 people in my team</v>
      </c>
      <c r="Q2063" s="1" t="str">
        <f ca="1">IFERROR(__xludf.DUMMYFUNCTION("""COMPUTED_VALUE"""),"Yes, I Understand this is gonna happen everywhere")</f>
        <v>Yes, I Understand this is gonna happen everywhere</v>
      </c>
      <c r="R2063" s="1" t="str">
        <f ca="1">IFERROR(__xludf.DUMMYFUNCTION("""COMPUTED_VALUE"""),"This will be hard to do, but if it is the right company I would try")</f>
        <v>This will be hard to do, but if it is the right company I would try</v>
      </c>
      <c r="S2063" s="1" t="str">
        <f ca="1">IFERROR(__xludf.DUMMYFUNCTION("""COMPUTED_VALUE"""),"jaisreesivanantham@gmail.com")</f>
        <v>jaisreesivanantham@gmail.com</v>
      </c>
    </row>
    <row r="2064" spans="1:19" ht="12.5" x14ac:dyDescent="0.25">
      <c r="A2064" s="2">
        <f ca="1">IFERROR(__xludf.DUMMYFUNCTION("""COMPUTED_VALUE"""),45063.3750899305)</f>
        <v>45063.375089930501</v>
      </c>
      <c r="B2064" s="1" t="str">
        <f ca="1">IFERROR(__xludf.DUMMYFUNCTION("""COMPUTED_VALUE"""),"India")</f>
        <v>India</v>
      </c>
      <c r="C2064" s="1">
        <f ca="1">IFERROR(__xludf.DUMMYFUNCTION("""COMPUTED_VALUE"""),622002)</f>
        <v>622002</v>
      </c>
      <c r="D2064" s="1" t="str">
        <f ca="1">IFERROR(__xludf.DUMMYFUNCTION("""COMPUTED_VALUE"""),"Male")</f>
        <v>Male</v>
      </c>
      <c r="E2064" s="1" t="str">
        <f ca="1">IFERROR(__xludf.DUMMYFUNCTION("""COMPUTED_VALUE"""),"People who have changed the world for better")</f>
        <v>People who have changed the world for better</v>
      </c>
      <c r="F2064" s="1" t="str">
        <f ca="1">IFERROR(__xludf.DUMMYFUNCTION("""COMPUTED_VALUE"""),"No, But if someone could bare the cost I will")</f>
        <v>No, But if someone could bare the cost I will</v>
      </c>
      <c r="G2064" s="1" t="str">
        <f ca="1">IFERROR(__xludf.DUMMYFUNCTION("""COMPUTED_VALUE"""),"This will be hard to do, but if it is the right company I would try")</f>
        <v>This will be hard to do, but if it is the right company I would try</v>
      </c>
      <c r="H2064" s="1" t="str">
        <f ca="1">IFERROR(__xludf.DUMMYFUNCTION("""COMPUTED_VALUE"""),"No")</f>
        <v>No</v>
      </c>
      <c r="I2064" s="1" t="str">
        <f ca="1">IFERROR(__xludf.DUMMYFUNCTION("""COMPUTED_VALUE"""),"Will NOT work for them")</f>
        <v>Will NOT work for them</v>
      </c>
      <c r="J2064" s="1">
        <f ca="1">IFERROR(__xludf.DUMMYFUNCTION("""COMPUTED_VALUE"""),1)</f>
        <v>1</v>
      </c>
      <c r="K2064" s="1" t="str">
        <f ca="1">IFERROR(__xludf.DUMMYFUNCTION("""COMPUTED_VALUE"""),"Fully Remote with No option to visit offices")</f>
        <v>Fully Remote with No option to visit offices</v>
      </c>
      <c r="L2064" s="1" t="str">
        <f ca="1">IFERROR(__xludf.DUMMYFUNCTION("""COMPUTED_VALUE"""),"Employer who rewards learning and enables that environment")</f>
        <v>Employer who rewards learning and enables that environment</v>
      </c>
      <c r="M206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64" s="1" t="str">
        <f ca="1">IFERROR(__xludf.DUMMYFUNCTION("""COMPUTED_VALUE"""),"Teaching in any of the institutes/colleges/online or offline, Become a content Creator in some platform, Entrepreneur or Start Up, An Artificial Intelligence Specialist / Talking to Robots")</f>
        <v>Teaching in any of the institutes/colleges/online or offline, Become a content Creator in some platform, Entrepreneur or Start Up, An Artificial Intelligence Specialist / Talking to Robots</v>
      </c>
      <c r="O2064" s="1" t="str">
        <f ca="1">IFERROR(__xludf.DUMMYFUNCTION("""COMPUTED_VALUE"""),"Manager who explains what is expected, sets a goal and helps achieve it")</f>
        <v>Manager who explains what is expected, sets a goal and helps achieve it</v>
      </c>
      <c r="P2064" s="1" t="str">
        <f ca="1">IFERROR(__xludf.DUMMYFUNCTION("""COMPUTED_VALUE"""),"Work alone, Work with 2 to 3 people in my team")</f>
        <v>Work alone, Work with 2 to 3 people in my team</v>
      </c>
      <c r="Q2064" s="1" t="str">
        <f ca="1">IFERROR(__xludf.DUMMYFUNCTION("""COMPUTED_VALUE"""),"Yes, I Understand this is gonna happen everywhere")</f>
        <v>Yes, I Understand this is gonna happen everywhere</v>
      </c>
      <c r="R2064" s="1" t="str">
        <f ca="1">IFERROR(__xludf.DUMMYFUNCTION("""COMPUTED_VALUE"""),"This will be hard to do, but if it is the right company I would try")</f>
        <v>This will be hard to do, but if it is the right company I would try</v>
      </c>
      <c r="S2064" s="1" t="str">
        <f ca="1">IFERROR(__xludf.DUMMYFUNCTION("""COMPUTED_VALUE"""),"subrabharathi4@gmail.com")</f>
        <v>subrabharathi4@gmail.com</v>
      </c>
    </row>
    <row r="2065" spans="1:19" ht="12.5" x14ac:dyDescent="0.25">
      <c r="A2065" s="2">
        <f ca="1">IFERROR(__xludf.DUMMYFUNCTION("""COMPUTED_VALUE"""),45063.3754882175)</f>
        <v>45063.375488217498</v>
      </c>
      <c r="B2065" s="1" t="str">
        <f ca="1">IFERROR(__xludf.DUMMYFUNCTION("""COMPUTED_VALUE"""),"India")</f>
        <v>India</v>
      </c>
      <c r="C2065" s="1">
        <f ca="1">IFERROR(__xludf.DUMMYFUNCTION("""COMPUTED_VALUE"""),620008)</f>
        <v>620008</v>
      </c>
      <c r="D2065" s="1" t="str">
        <f ca="1">IFERROR(__xludf.DUMMYFUNCTION("""COMPUTED_VALUE"""),"Male")</f>
        <v>Male</v>
      </c>
      <c r="E2065" s="1" t="str">
        <f ca="1">IFERROR(__xludf.DUMMYFUNCTION("""COMPUTED_VALUE"""),"My Parents")</f>
        <v>My Parents</v>
      </c>
      <c r="F2065" s="1" t="str">
        <f ca="1">IFERROR(__xludf.DUMMYFUNCTION("""COMPUTED_VALUE"""),"No, But if someone could bare the cost I will")</f>
        <v>No, But if someone could bare the cost I will</v>
      </c>
      <c r="G2065" s="1" t="str">
        <f ca="1">IFERROR(__xludf.DUMMYFUNCTION("""COMPUTED_VALUE"""),"This will be hard to do, but if it is the right company I would try")</f>
        <v>This will be hard to do, but if it is the right company I would try</v>
      </c>
      <c r="H2065" s="1" t="str">
        <f ca="1">IFERROR(__xludf.DUMMYFUNCTION("""COMPUTED_VALUE"""),"No")</f>
        <v>No</v>
      </c>
      <c r="I2065" s="1" t="str">
        <f ca="1">IFERROR(__xludf.DUMMYFUNCTION("""COMPUTED_VALUE"""),"Will NOT work for them")</f>
        <v>Will NOT work for them</v>
      </c>
      <c r="J2065" s="1">
        <f ca="1">IFERROR(__xludf.DUMMYFUNCTION("""COMPUTED_VALUE"""),2)</f>
        <v>2</v>
      </c>
      <c r="K2065" s="1" t="str">
        <f ca="1">IFERROR(__xludf.DUMMYFUNCTION("""COMPUTED_VALUE"""),"Fully Remote with No option to visit offices")</f>
        <v>Fully Remote with No option to visit offices</v>
      </c>
      <c r="L20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6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065" s="1" t="str">
        <f ca="1">IFERROR(__xludf.DUMMYFUNCTION("""COMPUTED_VALUE"""),"Design and Creative strategy in any company, Manage and drive End-to-End Projects or Products, Entrepreneur or Start Up, Manufacturing / Oil and Gas/ Construction / Hard Physical Work related")</f>
        <v>Design and Creative strategy in any company, Manage and drive End-to-End Projects or Products, Entrepreneur or Start Up, Manufacturing / Oil and Gas/ Construction / Hard Physical Work related</v>
      </c>
      <c r="O2065" s="1" t="str">
        <f ca="1">IFERROR(__xludf.DUMMYFUNCTION("""COMPUTED_VALUE"""),"Manager who explains what is expected, sets a goal and helps achieve it")</f>
        <v>Manager who explains what is expected, sets a goal and helps achieve it</v>
      </c>
      <c r="P2065" s="1" t="str">
        <f ca="1">IFERROR(__xludf.DUMMYFUNCTION("""COMPUTED_VALUE"""),"Work with 5 to 6 people in my team")</f>
        <v>Work with 5 to 6 people in my team</v>
      </c>
      <c r="Q2065" s="1" t="str">
        <f ca="1">IFERROR(__xludf.DUMMYFUNCTION("""COMPUTED_VALUE"""),"Yes, I Understand this is gonna happen everywhere")</f>
        <v>Yes, I Understand this is gonna happen everywhere</v>
      </c>
      <c r="R2065" s="1" t="str">
        <f ca="1">IFERROR(__xludf.DUMMYFUNCTION("""COMPUTED_VALUE"""),"No way")</f>
        <v>No way</v>
      </c>
      <c r="S2065" s="1" t="str">
        <f ca="1">IFERROR(__xludf.DUMMYFUNCTION("""COMPUTED_VALUE"""),"ksvsiddarth@gmail.com")</f>
        <v>ksvsiddarth@gmail.com</v>
      </c>
    </row>
    <row r="2066" spans="1:19" ht="12.5" x14ac:dyDescent="0.25">
      <c r="A2066" s="2">
        <f ca="1">IFERROR(__xludf.DUMMYFUNCTION("""COMPUTED_VALUE"""),45063.3765595601)</f>
        <v>45063.3765595601</v>
      </c>
      <c r="B2066" s="1" t="str">
        <f ca="1">IFERROR(__xludf.DUMMYFUNCTION("""COMPUTED_VALUE"""),"India")</f>
        <v>India</v>
      </c>
      <c r="C2066" s="1">
        <f ca="1">IFERROR(__xludf.DUMMYFUNCTION("""COMPUTED_VALUE"""),606710)</f>
        <v>606710</v>
      </c>
      <c r="D2066" s="1" t="str">
        <f ca="1">IFERROR(__xludf.DUMMYFUNCTION("""COMPUTED_VALUE"""),"Male")</f>
        <v>Male</v>
      </c>
      <c r="E2066" s="1" t="str">
        <f ca="1">IFERROR(__xludf.DUMMYFUNCTION("""COMPUTED_VALUE"""),"My Parents")</f>
        <v>My Parents</v>
      </c>
      <c r="F2066" s="1" t="str">
        <f ca="1">IFERROR(__xludf.DUMMYFUNCTION("""COMPUTED_VALUE"""),"No I would not be pursuing Higher Education outside of India")</f>
        <v>No I would not be pursuing Higher Education outside of India</v>
      </c>
      <c r="G2066" s="1" t="str">
        <f ca="1">IFERROR(__xludf.DUMMYFUNCTION("""COMPUTED_VALUE"""),"This will be hard to do, but if it is the right company I would try")</f>
        <v>This will be hard to do, but if it is the right company I would try</v>
      </c>
      <c r="H2066" s="1" t="str">
        <f ca="1">IFERROR(__xludf.DUMMYFUNCTION("""COMPUTED_VALUE"""),"No")</f>
        <v>No</v>
      </c>
      <c r="I2066" s="1" t="str">
        <f ca="1">IFERROR(__xludf.DUMMYFUNCTION("""COMPUTED_VALUE"""),"Will NOT work for them")</f>
        <v>Will NOT work for them</v>
      </c>
      <c r="J2066" s="1">
        <f ca="1">IFERROR(__xludf.DUMMYFUNCTION("""COMPUTED_VALUE"""),5)</f>
        <v>5</v>
      </c>
      <c r="K2066" s="1" t="str">
        <f ca="1">IFERROR(__xludf.DUMMYFUNCTION("""COMPUTED_VALUE"""),"Hybrid Working Environment with more than 15 days a month at office")</f>
        <v>Hybrid Working Environment with more than 15 days a month at office</v>
      </c>
      <c r="L2066" s="1" t="str">
        <f ca="1">IFERROR(__xludf.DUMMYFUNCTION("""COMPUTED_VALUE"""),"Employer who appreciates learning and enables that environment")</f>
        <v>Employer who appreciates learning and enables that environment</v>
      </c>
      <c r="M206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66" s="1" t="str">
        <f ca="1">IFERROR(__xludf.DUMMYFUNCTION("""COMPUTED_VALUE"""),"Design and Creative strategy in any company, Build and develop a Team, Entrepreneur or Start Up, Manufacturing / Oil and Gas/ Construction / Hard Physical Work related")</f>
        <v>Design and Creative strategy in any company, Build and develop a Team, Entrepreneur or Start Up, Manufacturing / Oil and Gas/ Construction / Hard Physical Work related</v>
      </c>
      <c r="O2066" s="1" t="str">
        <f ca="1">IFERROR(__xludf.DUMMYFUNCTION("""COMPUTED_VALUE"""),"Manager who explains what is expected, sets a goal and helps achieve it")</f>
        <v>Manager who explains what is expected, sets a goal and helps achieve it</v>
      </c>
      <c r="P2066" s="1" t="str">
        <f ca="1">IFERROR(__xludf.DUMMYFUNCTION("""COMPUTED_VALUE"""),"Work with 5 to 6 people in my team")</f>
        <v>Work with 5 to 6 people in my team</v>
      </c>
      <c r="Q2066" s="1" t="str">
        <f ca="1">IFERROR(__xludf.DUMMYFUNCTION("""COMPUTED_VALUE"""),"Yes, I Understand this is gonna happen everywhere")</f>
        <v>Yes, I Understand this is gonna happen everywhere</v>
      </c>
      <c r="R2066" s="1" t="str">
        <f ca="1">IFERROR(__xludf.DUMMYFUNCTION("""COMPUTED_VALUE"""),"No way")</f>
        <v>No way</v>
      </c>
      <c r="S2066" s="1" t="str">
        <f ca="1">IFERROR(__xludf.DUMMYFUNCTION("""COMPUTED_VALUE"""),"elangopalani07@gmail.com")</f>
        <v>elangopalani07@gmail.com</v>
      </c>
    </row>
    <row r="2067" spans="1:19" ht="12.5" x14ac:dyDescent="0.25">
      <c r="A2067" s="2">
        <f ca="1">IFERROR(__xludf.DUMMYFUNCTION("""COMPUTED_VALUE"""),45063.3787850347)</f>
        <v>45063.3787850347</v>
      </c>
      <c r="B2067" s="1" t="str">
        <f ca="1">IFERROR(__xludf.DUMMYFUNCTION("""COMPUTED_VALUE"""),"India")</f>
        <v>India</v>
      </c>
      <c r="C2067" s="1">
        <f ca="1">IFERROR(__xludf.DUMMYFUNCTION("""COMPUTED_VALUE"""),621316)</f>
        <v>621316</v>
      </c>
      <c r="D2067" s="1" t="str">
        <f ca="1">IFERROR(__xludf.DUMMYFUNCTION("""COMPUTED_VALUE"""),"Male")</f>
        <v>Male</v>
      </c>
      <c r="E2067" s="1" t="str">
        <f ca="1">IFERROR(__xludf.DUMMYFUNCTION("""COMPUTED_VALUE"""),"My Parents")</f>
        <v>My Parents</v>
      </c>
      <c r="F2067" s="1" t="str">
        <f ca="1">IFERROR(__xludf.DUMMYFUNCTION("""COMPUTED_VALUE"""),"No I would not be pursuing Higher Education outside of India")</f>
        <v>No I would not be pursuing Higher Education outside of India</v>
      </c>
      <c r="G2067" s="1" t="str">
        <f ca="1">IFERROR(__xludf.DUMMYFUNCTION("""COMPUTED_VALUE"""),"Will work for 3 years or more")</f>
        <v>Will work for 3 years or more</v>
      </c>
      <c r="H2067" s="1" t="str">
        <f ca="1">IFERROR(__xludf.DUMMYFUNCTION("""COMPUTED_VALUE"""),"Yes")</f>
        <v>Yes</v>
      </c>
      <c r="I2067" s="1" t="str">
        <f ca="1">IFERROR(__xludf.DUMMYFUNCTION("""COMPUTED_VALUE"""),"Will work for them")</f>
        <v>Will work for them</v>
      </c>
      <c r="J2067" s="1">
        <f ca="1">IFERROR(__xludf.DUMMYFUNCTION("""COMPUTED_VALUE"""),9)</f>
        <v>9</v>
      </c>
      <c r="K2067" s="1" t="str">
        <f ca="1">IFERROR(__xludf.DUMMYFUNCTION("""COMPUTED_VALUE"""),"Fully Remote with No option to visit offices")</f>
        <v>Fully Remote with No option to visit offices</v>
      </c>
      <c r="L20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6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067" s="1" t="str">
        <f ca="1">IFERROR(__xludf.DUMMYFUNCTION("""COMPUTED_VALUE"""),"Build and develop a Team, Become a content Creator in some platform, I Want to sell things/Sales, Manufacturing / Oil and Gas/ Construction / Hard Physical Work related")</f>
        <v>Build and develop a Team, Become a content Creator in some platform, I Want to sell things/Sales, Manufacturing / Oil and Gas/ Construction / Hard Physical Work related</v>
      </c>
      <c r="O2067" s="1" t="str">
        <f ca="1">IFERROR(__xludf.DUMMYFUNCTION("""COMPUTED_VALUE"""),"Manager who sets goal and helps me achieve it")</f>
        <v>Manager who sets goal and helps me achieve it</v>
      </c>
      <c r="P2067" s="1" t="str">
        <f ca="1">IFERROR(__xludf.DUMMYFUNCTION("""COMPUTED_VALUE"""),"Work alone")</f>
        <v>Work alone</v>
      </c>
      <c r="Q2067" s="1" t="str">
        <f ca="1">IFERROR(__xludf.DUMMYFUNCTION("""COMPUTED_VALUE"""),"Yes, I Understand this is gonna happen everywhere")</f>
        <v>Yes, I Understand this is gonna happen everywhere</v>
      </c>
      <c r="R2067" s="1" t="str">
        <f ca="1">IFERROR(__xludf.DUMMYFUNCTION("""COMPUTED_VALUE"""),"Will work for 7 years or more")</f>
        <v>Will work for 7 years or more</v>
      </c>
      <c r="S2067" s="1" t="str">
        <f ca="1">IFERROR(__xludf.DUMMYFUNCTION("""COMPUTED_VALUE"""),"nelsonrubert865@gmail.com")</f>
        <v>nelsonrubert865@gmail.com</v>
      </c>
    </row>
    <row r="2068" spans="1:19" ht="12.5" x14ac:dyDescent="0.25">
      <c r="A2068" s="2">
        <f ca="1">IFERROR(__xludf.DUMMYFUNCTION("""COMPUTED_VALUE"""),45063.3790768634)</f>
        <v>45063.379076863399</v>
      </c>
      <c r="B2068" s="1" t="str">
        <f ca="1">IFERROR(__xludf.DUMMYFUNCTION("""COMPUTED_VALUE"""),"India")</f>
        <v>India</v>
      </c>
      <c r="C2068" s="1">
        <f ca="1">IFERROR(__xludf.DUMMYFUNCTION("""COMPUTED_VALUE"""),625521)</f>
        <v>625521</v>
      </c>
      <c r="D2068" s="1" t="str">
        <f ca="1">IFERROR(__xludf.DUMMYFUNCTION("""COMPUTED_VALUE"""),"Male")</f>
        <v>Male</v>
      </c>
      <c r="E2068" s="1" t="str">
        <f ca="1">IFERROR(__xludf.DUMMYFUNCTION("""COMPUTED_VALUE"""),"People from my circle, but not family members")</f>
        <v>People from my circle, but not family members</v>
      </c>
      <c r="F2068" s="1" t="str">
        <f ca="1">IFERROR(__xludf.DUMMYFUNCTION("""COMPUTED_VALUE"""),"Yes, I will earn and do that")</f>
        <v>Yes, I will earn and do that</v>
      </c>
      <c r="G2068" s="1" t="str">
        <f ca="1">IFERROR(__xludf.DUMMYFUNCTION("""COMPUTED_VALUE"""),"This will be hard to do, but if it is the right company I would try")</f>
        <v>This will be hard to do, but if it is the right company I would try</v>
      </c>
      <c r="H2068" s="1" t="str">
        <f ca="1">IFERROR(__xludf.DUMMYFUNCTION("""COMPUTED_VALUE"""),"Yes")</f>
        <v>Yes</v>
      </c>
      <c r="I2068" s="1" t="str">
        <f ca="1">IFERROR(__xludf.DUMMYFUNCTION("""COMPUTED_VALUE"""),"Will NOT work for them")</f>
        <v>Will NOT work for them</v>
      </c>
      <c r="J2068" s="1">
        <f ca="1">IFERROR(__xludf.DUMMYFUNCTION("""COMPUTED_VALUE"""),2)</f>
        <v>2</v>
      </c>
      <c r="K2068" s="1" t="str">
        <f ca="1">IFERROR(__xludf.DUMMYFUNCTION("""COMPUTED_VALUE"""),"Hybrid Working Environment with more than 15 days a month at office")</f>
        <v>Hybrid Working Environment with more than 15 days a month at office</v>
      </c>
      <c r="L2068" s="1" t="str">
        <f ca="1">IFERROR(__xludf.DUMMYFUNCTION("""COMPUTED_VALUE"""),"Employer who appreciates learning and enables that environment")</f>
        <v>Employer who appreciates learning and enables that environment</v>
      </c>
      <c r="M206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068" s="1" t="str">
        <f ca="1">IFERROR(__xludf.DUMMYFUNCTION("""COMPUTED_VALUE"""),"Design and Creative strategy in any company, Entrepreneur or Start Up, An Artificial Intelligence Specialist / Talking to Robots, Manufacturing / Oil and Gas/ Construction / Hard Physical Work related")</f>
        <v>Design and Creative strategy in any company, Entrepreneur or Start Up, An Artificial Intelligence Specialist / Talking to Robots, Manufacturing / Oil and Gas/ Construction / Hard Physical Work related</v>
      </c>
      <c r="O2068" s="1" t="str">
        <f ca="1">IFERROR(__xludf.DUMMYFUNCTION("""COMPUTED_VALUE"""),"Manager who sets goal and helps me achieve it")</f>
        <v>Manager who sets goal and helps me achieve it</v>
      </c>
      <c r="P2068" s="1" t="str">
        <f ca="1">IFERROR(__xludf.DUMMYFUNCTION("""COMPUTED_VALUE"""),"Work with 2 to 3 people in my team")</f>
        <v>Work with 2 to 3 people in my team</v>
      </c>
      <c r="Q2068" s="1" t="str">
        <f ca="1">IFERROR(__xludf.DUMMYFUNCTION("""COMPUTED_VALUE"""),"Yes, I Understand this is gonna happen everywhere")</f>
        <v>Yes, I Understand this is gonna happen everywhere</v>
      </c>
      <c r="R2068" s="1" t="str">
        <f ca="1">IFERROR(__xludf.DUMMYFUNCTION("""COMPUTED_VALUE"""),"This will be hard to do, but if it is the right company I would try")</f>
        <v>This will be hard to do, but if it is the right company I would try</v>
      </c>
      <c r="S2068" s="1" t="str">
        <f ca="1">IFERROR(__xludf.DUMMYFUNCTION("""COMPUTED_VALUE"""),"21uph213@mail.sjctni.edu")</f>
        <v>21uph213@mail.sjctni.edu</v>
      </c>
    </row>
    <row r="2069" spans="1:19" ht="12.5" x14ac:dyDescent="0.25">
      <c r="A2069" s="2">
        <f ca="1">IFERROR(__xludf.DUMMYFUNCTION("""COMPUTED_VALUE"""),45063.3798601157)</f>
        <v>45063.379860115703</v>
      </c>
      <c r="B2069" s="1" t="str">
        <f ca="1">IFERROR(__xludf.DUMMYFUNCTION("""COMPUTED_VALUE"""),"India")</f>
        <v>India</v>
      </c>
      <c r="C2069" s="1">
        <f ca="1">IFERROR(__xludf.DUMMYFUNCTION("""COMPUTED_VALUE"""),635109)</f>
        <v>635109</v>
      </c>
      <c r="D2069" s="1" t="str">
        <f ca="1">IFERROR(__xludf.DUMMYFUNCTION("""COMPUTED_VALUE"""),"Male")</f>
        <v>Male</v>
      </c>
      <c r="E2069" s="1" t="str">
        <f ca="1">IFERROR(__xludf.DUMMYFUNCTION("""COMPUTED_VALUE"""),"Influencers who had successful careers")</f>
        <v>Influencers who had successful careers</v>
      </c>
      <c r="F2069" s="1" t="str">
        <f ca="1">IFERROR(__xludf.DUMMYFUNCTION("""COMPUTED_VALUE"""),"Yes, I will earn and do that")</f>
        <v>Yes, I will earn and do that</v>
      </c>
      <c r="G2069" s="1" t="str">
        <f ca="1">IFERROR(__xludf.DUMMYFUNCTION("""COMPUTED_VALUE"""),"Will work for 3 years or more")</f>
        <v>Will work for 3 years or more</v>
      </c>
      <c r="H2069" s="1" t="str">
        <f ca="1">IFERROR(__xludf.DUMMYFUNCTION("""COMPUTED_VALUE"""),"No")</f>
        <v>No</v>
      </c>
      <c r="I2069" s="1" t="str">
        <f ca="1">IFERROR(__xludf.DUMMYFUNCTION("""COMPUTED_VALUE"""),"Will NOT work for them")</f>
        <v>Will NOT work for them</v>
      </c>
      <c r="J2069" s="1">
        <f ca="1">IFERROR(__xludf.DUMMYFUNCTION("""COMPUTED_VALUE"""),3)</f>
        <v>3</v>
      </c>
      <c r="K2069" s="1" t="str">
        <f ca="1">IFERROR(__xludf.DUMMYFUNCTION("""COMPUTED_VALUE"""),"Hybrid Working Environment with more than 15 days a month at office")</f>
        <v>Hybrid Working Environment with more than 15 days a month at office</v>
      </c>
      <c r="L20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6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69" s="1" t="str">
        <f ca="1">IFERROR(__xludf.DUMMYFUNCTION("""COMPUTED_VALUE"""),"Build and develop a Team, Design and Develop amazing software, Work as a freelancer and do my thing my way, An Artificial Intelligence Specialist / Talking to Robots")</f>
        <v>Build and develop a Team, Design and Develop amazing software, Work as a freelancer and do my thing my way, An Artificial Intelligence Specialist / Talking to Robots</v>
      </c>
      <c r="O2069" s="1" t="str">
        <f ca="1">IFERROR(__xludf.DUMMYFUNCTION("""COMPUTED_VALUE"""),"Manager who explains what is expected, sets a goal and helps achieve it")</f>
        <v>Manager who explains what is expected, sets a goal and helps achieve it</v>
      </c>
      <c r="P2069" s="1" t="str">
        <f ca="1">IFERROR(__xludf.DUMMYFUNCTION("""COMPUTED_VALUE"""),"Work alone, Work with 2 to 3 people in my team")</f>
        <v>Work alone, Work with 2 to 3 people in my team</v>
      </c>
      <c r="Q2069" s="1" t="str">
        <f ca="1">IFERROR(__xludf.DUMMYFUNCTION("""COMPUTED_VALUE"""),"Yes, I Understand this is gonna happen everywhere")</f>
        <v>Yes, I Understand this is gonna happen everywhere</v>
      </c>
      <c r="R2069" s="1" t="str">
        <f ca="1">IFERROR(__xludf.DUMMYFUNCTION("""COMPUTED_VALUE"""),"This will be hard to do, but if it is the right company I would try")</f>
        <v>This will be hard to do, but if it is the right company I would try</v>
      </c>
      <c r="S2069" s="1" t="str">
        <f ca="1">IFERROR(__xludf.DUMMYFUNCTION("""COMPUTED_VALUE"""),"vinith.jb318@gmail.com")</f>
        <v>vinith.jb318@gmail.com</v>
      </c>
    </row>
    <row r="2070" spans="1:19" ht="12.5" x14ac:dyDescent="0.25">
      <c r="A2070" s="2">
        <f ca="1">IFERROR(__xludf.DUMMYFUNCTION("""COMPUTED_VALUE"""),45063.3819933217)</f>
        <v>45063.381993321702</v>
      </c>
      <c r="B2070" s="1" t="str">
        <f ca="1">IFERROR(__xludf.DUMMYFUNCTION("""COMPUTED_VALUE"""),"India")</f>
        <v>India</v>
      </c>
      <c r="C2070" s="1">
        <f ca="1">IFERROR(__xludf.DUMMYFUNCTION("""COMPUTED_VALUE"""),628721)</f>
        <v>628721</v>
      </c>
      <c r="D2070" s="1" t="str">
        <f ca="1">IFERROR(__xludf.DUMMYFUNCTION("""COMPUTED_VALUE"""),"Male")</f>
        <v>Male</v>
      </c>
      <c r="E2070" s="1" t="str">
        <f ca="1">IFERROR(__xludf.DUMMYFUNCTION("""COMPUTED_VALUE"""),"My Parents")</f>
        <v>My Parents</v>
      </c>
      <c r="F2070" s="1" t="str">
        <f ca="1">IFERROR(__xludf.DUMMYFUNCTION("""COMPUTED_VALUE"""),"No, But if someone could bare the cost I will")</f>
        <v>No, But if someone could bare the cost I will</v>
      </c>
      <c r="G2070" s="1" t="str">
        <f ca="1">IFERROR(__xludf.DUMMYFUNCTION("""COMPUTED_VALUE"""),"This will be hard to do, but if it is the right company I would try")</f>
        <v>This will be hard to do, but if it is the right company I would try</v>
      </c>
      <c r="H2070" s="1" t="str">
        <f ca="1">IFERROR(__xludf.DUMMYFUNCTION("""COMPUTED_VALUE"""),"No")</f>
        <v>No</v>
      </c>
      <c r="I2070" s="1" t="str">
        <f ca="1">IFERROR(__xludf.DUMMYFUNCTION("""COMPUTED_VALUE"""),"Will work for them")</f>
        <v>Will work for them</v>
      </c>
      <c r="J2070" s="1">
        <f ca="1">IFERROR(__xludf.DUMMYFUNCTION("""COMPUTED_VALUE"""),4)</f>
        <v>4</v>
      </c>
      <c r="K2070" s="1" t="str">
        <f ca="1">IFERROR(__xludf.DUMMYFUNCTION("""COMPUTED_VALUE"""),"Every Day Office Environment")</f>
        <v>Every Day Office Environment</v>
      </c>
      <c r="L20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70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070" s="1" t="str">
        <f ca="1">IFERROR(__xludf.DUMMYFUNCTION("""COMPUTED_VALUE"""),"Business Operations in any organization, Manage and drive End-to-End Projects or Products, Build and develop a Team, Work as a freelancer and do my thing my way")</f>
        <v>Business Operations in any organization, Manage and drive End-to-End Projects or Products, Build and develop a Team, Work as a freelancer and do my thing my way</v>
      </c>
      <c r="O2070" s="1" t="str">
        <f ca="1">IFERROR(__xludf.DUMMYFUNCTION("""COMPUTED_VALUE"""),"Manager who sets targets and expects me to achieve it")</f>
        <v>Manager who sets targets and expects me to achieve it</v>
      </c>
      <c r="P2070" s="1" t="str">
        <f ca="1">IFERROR(__xludf.DUMMYFUNCTION("""COMPUTED_VALUE"""),"Work with 2 to 3 people in my team")</f>
        <v>Work with 2 to 3 people in my team</v>
      </c>
      <c r="Q2070" s="1" t="str">
        <f ca="1">IFERROR(__xludf.DUMMYFUNCTION("""COMPUTED_VALUE"""),"Yes, I Understand this is gonna happen everywhere")</f>
        <v>Yes, I Understand this is gonna happen everywhere</v>
      </c>
      <c r="R2070" s="1" t="str">
        <f ca="1">IFERROR(__xludf.DUMMYFUNCTION("""COMPUTED_VALUE"""),"This will be hard to do, but if it is the right company I would try")</f>
        <v>This will be hard to do, but if it is the right company I would try</v>
      </c>
      <c r="S2070" s="1" t="str">
        <f ca="1">IFERROR(__xludf.DUMMYFUNCTION("""COMPUTED_VALUE"""),"santhoshragavan87@gmail.com")</f>
        <v>santhoshragavan87@gmail.com</v>
      </c>
    </row>
    <row r="2071" spans="1:19" ht="12.5" x14ac:dyDescent="0.25">
      <c r="A2071" s="2">
        <f ca="1">IFERROR(__xludf.DUMMYFUNCTION("""COMPUTED_VALUE"""),45063.3895825115)</f>
        <v>45063.389582511503</v>
      </c>
      <c r="B2071" s="1" t="str">
        <f ca="1">IFERROR(__xludf.DUMMYFUNCTION("""COMPUTED_VALUE"""),"India")</f>
        <v>India</v>
      </c>
      <c r="C2071" s="1">
        <f ca="1">IFERROR(__xludf.DUMMYFUNCTION("""COMPUTED_VALUE"""),624621)</f>
        <v>624621</v>
      </c>
      <c r="D2071" s="1" t="str">
        <f ca="1">IFERROR(__xludf.DUMMYFUNCTION("""COMPUTED_VALUE"""),"Male")</f>
        <v>Male</v>
      </c>
      <c r="E2071" s="1" t="str">
        <f ca="1">IFERROR(__xludf.DUMMYFUNCTION("""COMPUTED_VALUE"""),"My Parents")</f>
        <v>My Parents</v>
      </c>
      <c r="F2071" s="1" t="str">
        <f ca="1">IFERROR(__xludf.DUMMYFUNCTION("""COMPUTED_VALUE"""),"No, But if someone could bare the cost I will")</f>
        <v>No, But if someone could bare the cost I will</v>
      </c>
      <c r="G2071" s="1" t="str">
        <f ca="1">IFERROR(__xludf.DUMMYFUNCTION("""COMPUTED_VALUE"""),"Will work for 3 years or more")</f>
        <v>Will work for 3 years or more</v>
      </c>
      <c r="H2071" s="1" t="str">
        <f ca="1">IFERROR(__xludf.DUMMYFUNCTION("""COMPUTED_VALUE"""),"Yes")</f>
        <v>Yes</v>
      </c>
      <c r="I2071" s="1" t="str">
        <f ca="1">IFERROR(__xludf.DUMMYFUNCTION("""COMPUTED_VALUE"""),"Will NOT work for them")</f>
        <v>Will NOT work for them</v>
      </c>
      <c r="J2071" s="1">
        <f ca="1">IFERROR(__xludf.DUMMYFUNCTION("""COMPUTED_VALUE"""),5)</f>
        <v>5</v>
      </c>
      <c r="K2071" s="1" t="str">
        <f ca="1">IFERROR(__xludf.DUMMYFUNCTION("""COMPUTED_VALUE"""),"Every Day Office Environment")</f>
        <v>Every Day Office Environment</v>
      </c>
      <c r="L2071" s="1" t="str">
        <f ca="1">IFERROR(__xludf.DUMMYFUNCTION("""COMPUTED_VALUE"""),"Employer who appreciates learning and enables that environment")</f>
        <v>Employer who appreciates learning and enables that environment</v>
      </c>
      <c r="M207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071" s="1" t="str">
        <f ca="1">IFERROR(__xludf.DUMMYFUNCTION("""COMPUTED_VALUE"""),"Design and Creative strategy in any company, Manage and drive End-to-End Projects or Products, Design and Develop amazing software, An Artificial Intelligence Specialist / Talking to Robots")</f>
        <v>Design and Creative strategy in any company, Manage and drive End-to-End Projects or Products, Design and Develop amazing software, An Artificial Intelligence Specialist / Talking to Robots</v>
      </c>
      <c r="O2071" s="1" t="str">
        <f ca="1">IFERROR(__xludf.DUMMYFUNCTION("""COMPUTED_VALUE"""),"Manager who clearly describes what she/he needs")</f>
        <v>Manager who clearly describes what she/he needs</v>
      </c>
      <c r="P2071" s="1" t="str">
        <f ca="1">IFERROR(__xludf.DUMMYFUNCTION("""COMPUTED_VALUE"""),"Work with 5 to 6 people in my team")</f>
        <v>Work with 5 to 6 people in my team</v>
      </c>
      <c r="Q2071" s="1" t="str">
        <f ca="1">IFERROR(__xludf.DUMMYFUNCTION("""COMPUTED_VALUE"""),"Yes, I Understand this is gonna happen everywhere")</f>
        <v>Yes, I Understand this is gonna happen everywhere</v>
      </c>
      <c r="R2071" s="1" t="str">
        <f ca="1">IFERROR(__xludf.DUMMYFUNCTION("""COMPUTED_VALUE"""),"Will work for 7 years or more")</f>
        <v>Will work for 7 years or more</v>
      </c>
      <c r="S2071" s="1" t="str">
        <f ca="1">IFERROR(__xludf.DUMMYFUNCTION("""COMPUTED_VALUE"""),"sa7010618@gmail.com")</f>
        <v>sa7010618@gmail.com</v>
      </c>
    </row>
    <row r="2072" spans="1:19" ht="12.5" x14ac:dyDescent="0.25">
      <c r="A2072" s="2">
        <f ca="1">IFERROR(__xludf.DUMMYFUNCTION("""COMPUTED_VALUE"""),45063.3931226388)</f>
        <v>45063.393122638801</v>
      </c>
      <c r="B2072" s="1" t="str">
        <f ca="1">IFERROR(__xludf.DUMMYFUNCTION("""COMPUTED_VALUE"""),"India")</f>
        <v>India</v>
      </c>
      <c r="C2072" s="1">
        <f ca="1">IFERROR(__xludf.DUMMYFUNCTION("""COMPUTED_VALUE"""),474001)</f>
        <v>474001</v>
      </c>
      <c r="D2072" s="1" t="str">
        <f ca="1">IFERROR(__xludf.DUMMYFUNCTION("""COMPUTED_VALUE"""),"Female")</f>
        <v>Female</v>
      </c>
      <c r="E2072" s="1" t="str">
        <f ca="1">IFERROR(__xludf.DUMMYFUNCTION("""COMPUTED_VALUE"""),"My Parents")</f>
        <v>My Parents</v>
      </c>
      <c r="F2072" s="1" t="str">
        <f ca="1">IFERROR(__xludf.DUMMYFUNCTION("""COMPUTED_VALUE"""),"No I would not be pursuing Higher Education outside of India")</f>
        <v>No I would not be pursuing Higher Education outside of India</v>
      </c>
      <c r="G2072" s="1" t="str">
        <f ca="1">IFERROR(__xludf.DUMMYFUNCTION("""COMPUTED_VALUE"""),"Will work for 3 years or more")</f>
        <v>Will work for 3 years or more</v>
      </c>
      <c r="H2072" s="1" t="str">
        <f ca="1">IFERROR(__xludf.DUMMYFUNCTION("""COMPUTED_VALUE"""),"No")</f>
        <v>No</v>
      </c>
      <c r="I2072" s="1" t="str">
        <f ca="1">IFERROR(__xludf.DUMMYFUNCTION("""COMPUTED_VALUE"""),"Will NOT work for them")</f>
        <v>Will NOT work for them</v>
      </c>
      <c r="J2072" s="1">
        <f ca="1">IFERROR(__xludf.DUMMYFUNCTION("""COMPUTED_VALUE"""),8)</f>
        <v>8</v>
      </c>
      <c r="K2072" s="1" t="str">
        <f ca="1">IFERROR(__xludf.DUMMYFUNCTION("""COMPUTED_VALUE"""),"Fully Remote with Options to travel as and when needed")</f>
        <v>Fully Remote with Options to travel as and when needed</v>
      </c>
      <c r="L20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7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72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2072" s="1" t="str">
        <f ca="1">IFERROR(__xludf.DUMMYFUNCTION("""COMPUTED_VALUE"""),"Manager who clearly describes what she/he needs")</f>
        <v>Manager who clearly describes what she/he needs</v>
      </c>
      <c r="P2072" s="1" t="str">
        <f ca="1">IFERROR(__xludf.DUMMYFUNCTION("""COMPUTED_VALUE"""),"Work with 2 to 3 people in my team")</f>
        <v>Work with 2 to 3 people in my team</v>
      </c>
      <c r="Q2072" s="1" t="str">
        <f ca="1">IFERROR(__xludf.DUMMYFUNCTION("""COMPUTED_VALUE"""),"No")</f>
        <v>No</v>
      </c>
      <c r="R2072" s="1" t="str">
        <f ca="1">IFERROR(__xludf.DUMMYFUNCTION("""COMPUTED_VALUE"""),"This will be hard to do, but if it is the right company I would try")</f>
        <v>This will be hard to do, but if it is the right company I would try</v>
      </c>
      <c r="S2072" s="1" t="str">
        <f ca="1">IFERROR(__xludf.DUMMYFUNCTION("""COMPUTED_VALUE"""),"guptasomya743@gmail.com")</f>
        <v>guptasomya743@gmail.com</v>
      </c>
    </row>
    <row r="2073" spans="1:19" ht="12.5" x14ac:dyDescent="0.25">
      <c r="A2073" s="2">
        <f ca="1">IFERROR(__xludf.DUMMYFUNCTION("""COMPUTED_VALUE"""),45063.3958042939)</f>
        <v>45063.395804293898</v>
      </c>
      <c r="B2073" s="1" t="str">
        <f ca="1">IFERROR(__xludf.DUMMYFUNCTION("""COMPUTED_VALUE"""),"India")</f>
        <v>India</v>
      </c>
      <c r="C2073" s="1">
        <f ca="1">IFERROR(__xludf.DUMMYFUNCTION("""COMPUTED_VALUE"""),781013)</f>
        <v>781013</v>
      </c>
      <c r="D2073" s="1" t="str">
        <f ca="1">IFERROR(__xludf.DUMMYFUNCTION("""COMPUTED_VALUE"""),"Male")</f>
        <v>Male</v>
      </c>
      <c r="E2073" s="1" t="str">
        <f ca="1">IFERROR(__xludf.DUMMYFUNCTION("""COMPUTED_VALUE"""),"People who have changed the world for better")</f>
        <v>People who have changed the world for better</v>
      </c>
      <c r="F2073" s="1" t="str">
        <f ca="1">IFERROR(__xludf.DUMMYFUNCTION("""COMPUTED_VALUE"""),"Yes, I will earn and do that")</f>
        <v>Yes, I will earn and do that</v>
      </c>
      <c r="G2073" s="1" t="str">
        <f ca="1">IFERROR(__xludf.DUMMYFUNCTION("""COMPUTED_VALUE"""),"Will work for 3 years or more")</f>
        <v>Will work for 3 years or more</v>
      </c>
      <c r="H2073" s="1" t="str">
        <f ca="1">IFERROR(__xludf.DUMMYFUNCTION("""COMPUTED_VALUE"""),"No")</f>
        <v>No</v>
      </c>
      <c r="I2073" s="1" t="str">
        <f ca="1">IFERROR(__xludf.DUMMYFUNCTION("""COMPUTED_VALUE"""),"Will NOT work for them")</f>
        <v>Will NOT work for them</v>
      </c>
      <c r="J2073" s="1">
        <f ca="1">IFERROR(__xludf.DUMMYFUNCTION("""COMPUTED_VALUE"""),4)</f>
        <v>4</v>
      </c>
      <c r="K2073" s="1" t="str">
        <f ca="1">IFERROR(__xludf.DUMMYFUNCTION("""COMPUTED_VALUE"""),"Hybrid Working Environment with more than 15 days a month at office")</f>
        <v>Hybrid Working Environment with more than 15 days a month at office</v>
      </c>
      <c r="L2073" s="1" t="str">
        <f ca="1">IFERROR(__xludf.DUMMYFUNCTION("""COMPUTED_VALUE"""),"Employer who appreciates learning and enables that environment")</f>
        <v>Employer who appreciates learning and enables that environment</v>
      </c>
      <c r="M207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073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073" s="1" t="str">
        <f ca="1">IFERROR(__xludf.DUMMYFUNCTION("""COMPUTED_VALUE"""),"Manager who sets goal and helps me achieve it")</f>
        <v>Manager who sets goal and helps me achieve it</v>
      </c>
      <c r="P2073" s="1" t="str">
        <f ca="1">IFERROR(__xludf.DUMMYFUNCTION("""COMPUTED_VALUE"""),"Work with 2 to 3 people in my team")</f>
        <v>Work with 2 to 3 people in my team</v>
      </c>
      <c r="Q2073" s="1" t="str">
        <f ca="1">IFERROR(__xludf.DUMMYFUNCTION("""COMPUTED_VALUE"""),"Yes, I Understand this is gonna happen everywhere")</f>
        <v>Yes, I Understand this is gonna happen everywhere</v>
      </c>
      <c r="R2073" s="1" t="str">
        <f ca="1">IFERROR(__xludf.DUMMYFUNCTION("""COMPUTED_VALUE"""),"Will work for 7 years or more")</f>
        <v>Will work for 7 years or more</v>
      </c>
      <c r="S2073" s="1" t="str">
        <f ca="1">IFERROR(__xludf.DUMMYFUNCTION("""COMPUTED_VALUE"""),"aniketverma411435@gmail.com")</f>
        <v>aniketverma411435@gmail.com</v>
      </c>
    </row>
    <row r="2074" spans="1:19" ht="12.5" x14ac:dyDescent="0.25">
      <c r="A2074" s="2">
        <f ca="1">IFERROR(__xludf.DUMMYFUNCTION("""COMPUTED_VALUE"""),45063.3970146296)</f>
        <v>45063.397014629598</v>
      </c>
      <c r="B2074" s="1" t="str">
        <f ca="1">IFERROR(__xludf.DUMMYFUNCTION("""COMPUTED_VALUE"""),"India")</f>
        <v>India</v>
      </c>
      <c r="C2074" s="1">
        <f ca="1">IFERROR(__xludf.DUMMYFUNCTION("""COMPUTED_VALUE"""),121002)</f>
        <v>121002</v>
      </c>
      <c r="D2074" s="1" t="str">
        <f ca="1">IFERROR(__xludf.DUMMYFUNCTION("""COMPUTED_VALUE"""),"Male")</f>
        <v>Male</v>
      </c>
      <c r="E2074" s="1" t="str">
        <f ca="1">IFERROR(__xludf.DUMMYFUNCTION("""COMPUTED_VALUE"""),"People from my circle, but not family members")</f>
        <v>People from my circle, but not family members</v>
      </c>
      <c r="F2074" s="1" t="str">
        <f ca="1">IFERROR(__xludf.DUMMYFUNCTION("""COMPUTED_VALUE"""),"Yes, I will earn and do that")</f>
        <v>Yes, I will earn and do that</v>
      </c>
      <c r="G2074" s="1" t="str">
        <f ca="1">IFERROR(__xludf.DUMMYFUNCTION("""COMPUTED_VALUE"""),"This will be hard to do, but if it is the right company I would try")</f>
        <v>This will be hard to do, but if it is the right company I would try</v>
      </c>
      <c r="H2074" s="1" t="str">
        <f ca="1">IFERROR(__xludf.DUMMYFUNCTION("""COMPUTED_VALUE"""),"No")</f>
        <v>No</v>
      </c>
      <c r="I2074" s="1" t="str">
        <f ca="1">IFERROR(__xludf.DUMMYFUNCTION("""COMPUTED_VALUE"""),"Will NOT work for them")</f>
        <v>Will NOT work for them</v>
      </c>
      <c r="J2074" s="1">
        <f ca="1">IFERROR(__xludf.DUMMYFUNCTION("""COMPUTED_VALUE"""),7)</f>
        <v>7</v>
      </c>
      <c r="K2074" s="1" t="str">
        <f ca="1">IFERROR(__xludf.DUMMYFUNCTION("""COMPUTED_VALUE"""),"Hybrid Working Environment with more than 15 days a month at office")</f>
        <v>Hybrid Working Environment with more than 15 days a month at office</v>
      </c>
      <c r="L20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7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074" s="1" t="str">
        <f ca="1">IFERROR(__xludf.DUMMYFUNCTION("""COMPUTED_VALUE"""),"Design and Creative strategy in any company, Teaching in any of the institutes/colleges/online or offline, Manage and drive End-to-End Projects or Products, Look deeply into Data and generate insights")</f>
        <v>Design and Creative strategy in any company, Teaching in any of the institutes/colleges/online or offline, Manage and drive End-to-End Projects or Products, Look deeply into Data and generate insights</v>
      </c>
      <c r="O2074" s="1" t="str">
        <f ca="1">IFERROR(__xludf.DUMMYFUNCTION("""COMPUTED_VALUE"""),"Manager who sets targets and expects me to achieve it")</f>
        <v>Manager who sets targets and expects me to achieve it</v>
      </c>
      <c r="P2074" s="1" t="str">
        <f ca="1">IFERROR(__xludf.DUMMYFUNCTION("""COMPUTED_VALUE"""),"Work with 5 to 6 people in my team")</f>
        <v>Work with 5 to 6 people in my team</v>
      </c>
      <c r="Q2074" s="1" t="str">
        <f ca="1">IFERROR(__xludf.DUMMYFUNCTION("""COMPUTED_VALUE"""),"Yes, I Understand this is gonna happen everywhere")</f>
        <v>Yes, I Understand this is gonna happen everywhere</v>
      </c>
      <c r="R2074" s="1" t="str">
        <f ca="1">IFERROR(__xludf.DUMMYFUNCTION("""COMPUTED_VALUE"""),"No way")</f>
        <v>No way</v>
      </c>
      <c r="S2074" s="1" t="str">
        <f ca="1">IFERROR(__xludf.DUMMYFUNCTION("""COMPUTED_VALUE"""),"bhanu1766@gmail.com")</f>
        <v>bhanu1766@gmail.com</v>
      </c>
    </row>
    <row r="2075" spans="1:19" ht="12.5" x14ac:dyDescent="0.25">
      <c r="A2075" s="2">
        <f ca="1">IFERROR(__xludf.DUMMYFUNCTION("""COMPUTED_VALUE"""),45063.4002356365)</f>
        <v>45063.400235636502</v>
      </c>
      <c r="B2075" s="1" t="str">
        <f ca="1">IFERROR(__xludf.DUMMYFUNCTION("""COMPUTED_VALUE"""),"India")</f>
        <v>India</v>
      </c>
      <c r="C2075" s="1">
        <f ca="1">IFERROR(__xludf.DUMMYFUNCTION("""COMPUTED_VALUE"""),743166)</f>
        <v>743166</v>
      </c>
      <c r="D2075" s="1" t="str">
        <f ca="1">IFERROR(__xludf.DUMMYFUNCTION("""COMPUTED_VALUE"""),"Male")</f>
        <v>Male</v>
      </c>
      <c r="E2075" s="1" t="str">
        <f ca="1">IFERROR(__xludf.DUMMYFUNCTION("""COMPUTED_VALUE"""),"Influencers who had successful careers")</f>
        <v>Influencers who had successful careers</v>
      </c>
      <c r="F2075" s="1" t="str">
        <f ca="1">IFERROR(__xludf.DUMMYFUNCTION("""COMPUTED_VALUE"""),"Yes, I will earn and do that")</f>
        <v>Yes, I will earn and do that</v>
      </c>
      <c r="G2075" s="1" t="str">
        <f ca="1">IFERROR(__xludf.DUMMYFUNCTION("""COMPUTED_VALUE"""),"Will work for 3 years or more")</f>
        <v>Will work for 3 years or more</v>
      </c>
      <c r="H2075" s="1" t="str">
        <f ca="1">IFERROR(__xludf.DUMMYFUNCTION("""COMPUTED_VALUE"""),"Yes")</f>
        <v>Yes</v>
      </c>
      <c r="I2075" s="1" t="str">
        <f ca="1">IFERROR(__xludf.DUMMYFUNCTION("""COMPUTED_VALUE"""),"Will work for them")</f>
        <v>Will work for them</v>
      </c>
      <c r="J2075" s="1">
        <f ca="1">IFERROR(__xludf.DUMMYFUNCTION("""COMPUTED_VALUE"""),8)</f>
        <v>8</v>
      </c>
      <c r="K2075" s="1" t="str">
        <f ca="1">IFERROR(__xludf.DUMMYFUNCTION("""COMPUTED_VALUE"""),"Every Day Office Environment")</f>
        <v>Every Day Office Environment</v>
      </c>
      <c r="L20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75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075" s="1" t="str">
        <f ca="1">IFERROR(__xludf.DUMMYFUNCTION("""COMPUTED_VALUE"""),"Manage and drive End-to-End Projects or Products, Look deeply into Data and generate insights, Work as a freelancer and do my thing my way, An Artificial Intelligence Specialist / Talking to Robots")</f>
        <v>Manage and drive End-to-End Projects or Products, Look deeply into Data and generate insights, Work as a freelancer and do my thing my way, An Artificial Intelligence Specialist / Talking to Robots</v>
      </c>
      <c r="O2075" s="1" t="str">
        <f ca="1">IFERROR(__xludf.DUMMYFUNCTION("""COMPUTED_VALUE"""),"Manager who explains what is expected, sets a goal and helps achieve it")</f>
        <v>Manager who explains what is expected, sets a goal and helps achieve it</v>
      </c>
      <c r="P2075" s="1" t="str">
        <f ca="1">IFERROR(__xludf.DUMMYFUNCTION("""COMPUTED_VALUE"""),"Work with 7 to 10 or more people in my team")</f>
        <v>Work with 7 to 10 or more people in my team</v>
      </c>
      <c r="Q2075" s="1" t="str">
        <f ca="1">IFERROR(__xludf.DUMMYFUNCTION("""COMPUTED_VALUE"""),"Yes, I Understand this is gonna happen everywhere")</f>
        <v>Yes, I Understand this is gonna happen everywhere</v>
      </c>
      <c r="R2075" s="1" t="str">
        <f ca="1">IFERROR(__xludf.DUMMYFUNCTION("""COMPUTED_VALUE"""),"This will be hard to do, but if it is the right company I would try")</f>
        <v>This will be hard to do, but if it is the right company I would try</v>
      </c>
      <c r="S2075" s="1" t="str">
        <f ca="1">IFERROR(__xludf.DUMMYFUNCTION("""COMPUTED_VALUE"""),"sudipta1986nath@gmail.com")</f>
        <v>sudipta1986nath@gmail.com</v>
      </c>
    </row>
    <row r="2076" spans="1:19" ht="12.5" x14ac:dyDescent="0.25">
      <c r="A2076" s="2">
        <f ca="1">IFERROR(__xludf.DUMMYFUNCTION("""COMPUTED_VALUE"""),45063.4099059259)</f>
        <v>45063.409905925902</v>
      </c>
      <c r="B2076" s="1" t="str">
        <f ca="1">IFERROR(__xludf.DUMMYFUNCTION("""COMPUTED_VALUE"""),"India")</f>
        <v>India</v>
      </c>
      <c r="C2076" s="1">
        <f ca="1">IFERROR(__xludf.DUMMYFUNCTION("""COMPUTED_VALUE"""),711203)</f>
        <v>711203</v>
      </c>
      <c r="D2076" s="1" t="str">
        <f ca="1">IFERROR(__xludf.DUMMYFUNCTION("""COMPUTED_VALUE"""),"Male")</f>
        <v>Male</v>
      </c>
      <c r="E2076" s="1" t="str">
        <f ca="1">IFERROR(__xludf.DUMMYFUNCTION("""COMPUTED_VALUE"""),"My Parents")</f>
        <v>My Parents</v>
      </c>
      <c r="F2076" s="1" t="str">
        <f ca="1">IFERROR(__xludf.DUMMYFUNCTION("""COMPUTED_VALUE"""),"Yes, I will earn and do that")</f>
        <v>Yes, I will earn and do that</v>
      </c>
      <c r="G2076" s="1" t="str">
        <f ca="1">IFERROR(__xludf.DUMMYFUNCTION("""COMPUTED_VALUE"""),"No way")</f>
        <v>No way</v>
      </c>
      <c r="H2076" s="1" t="str">
        <f ca="1">IFERROR(__xludf.DUMMYFUNCTION("""COMPUTED_VALUE"""),"No")</f>
        <v>No</v>
      </c>
      <c r="I2076" s="1" t="str">
        <f ca="1">IFERROR(__xludf.DUMMYFUNCTION("""COMPUTED_VALUE"""),"Will NOT work for them")</f>
        <v>Will NOT work for them</v>
      </c>
      <c r="J2076" s="1">
        <f ca="1">IFERROR(__xludf.DUMMYFUNCTION("""COMPUTED_VALUE"""),5)</f>
        <v>5</v>
      </c>
      <c r="K2076" s="1" t="str">
        <f ca="1">IFERROR(__xludf.DUMMYFUNCTION("""COMPUTED_VALUE"""),"Hybrid Working Environment with more than 15 days a month at office")</f>
        <v>Hybrid Working Environment with more than 15 days a month at office</v>
      </c>
      <c r="L2076" s="1" t="str">
        <f ca="1">IFERROR(__xludf.DUMMYFUNCTION("""COMPUTED_VALUE"""),"Employer who appreciates learning and enables that environment")</f>
        <v>Employer who appreciates learning and enables that environment</v>
      </c>
      <c r="M207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076" s="1" t="str">
        <f ca="1">IFERROR(__xludf.DUMMYFUNCTION("""COMPUTED_VALUE"""),"Teaching in any of the institutes/colleges/online or offline, Manage and drive End-to-End Projects or Products, Design and Develop amazing software, Look deeply into Data and generate insights")</f>
        <v>Teaching in any of the institutes/colleges/online or offline, Manage and drive End-to-End Projects or Products, Design and Develop amazing software, Look deeply into Data and generate insights</v>
      </c>
      <c r="O2076" s="1" t="str">
        <f ca="1">IFERROR(__xludf.DUMMYFUNCTION("""COMPUTED_VALUE"""),"Manager who sets unrealistic targets")</f>
        <v>Manager who sets unrealistic targets</v>
      </c>
      <c r="P2076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2076" s="1" t="str">
        <f ca="1">IFERROR(__xludf.DUMMYFUNCTION("""COMPUTED_VALUE"""),"No")</f>
        <v>No</v>
      </c>
      <c r="R2076" s="1" t="str">
        <f ca="1">IFERROR(__xludf.DUMMYFUNCTION("""COMPUTED_VALUE"""),"No way")</f>
        <v>No way</v>
      </c>
      <c r="S2076" s="1" t="str">
        <f ca="1">IFERROR(__xludf.DUMMYFUNCTION("""COMPUTED_VALUE"""),"768700roshan@gmail.com")</f>
        <v>768700roshan@gmail.com</v>
      </c>
    </row>
    <row r="2077" spans="1:19" ht="12.5" x14ac:dyDescent="0.25">
      <c r="A2077" s="2">
        <f ca="1">IFERROR(__xludf.DUMMYFUNCTION("""COMPUTED_VALUE"""),45063.4124071759)</f>
        <v>45063.4124071759</v>
      </c>
      <c r="B2077" s="1" t="str">
        <f ca="1">IFERROR(__xludf.DUMMYFUNCTION("""COMPUTED_VALUE"""),"India")</f>
        <v>India</v>
      </c>
      <c r="C2077" s="1">
        <f ca="1">IFERROR(__xludf.DUMMYFUNCTION("""COMPUTED_VALUE"""),628002)</f>
        <v>628002</v>
      </c>
      <c r="D2077" s="1" t="str">
        <f ca="1">IFERROR(__xludf.DUMMYFUNCTION("""COMPUTED_VALUE"""),"Female")</f>
        <v>Female</v>
      </c>
      <c r="E2077" s="1" t="str">
        <f ca="1">IFERROR(__xludf.DUMMYFUNCTION("""COMPUTED_VALUE"""),"Influencers who had successful careers")</f>
        <v>Influencers who had successful careers</v>
      </c>
      <c r="F2077" s="1" t="str">
        <f ca="1">IFERROR(__xludf.DUMMYFUNCTION("""COMPUTED_VALUE"""),"No, But if someone could bare the cost I will")</f>
        <v>No, But if someone could bare the cost I will</v>
      </c>
      <c r="G2077" s="1" t="str">
        <f ca="1">IFERROR(__xludf.DUMMYFUNCTION("""COMPUTED_VALUE"""),"Will work for 3 years or more")</f>
        <v>Will work for 3 years or more</v>
      </c>
      <c r="H2077" s="1" t="str">
        <f ca="1">IFERROR(__xludf.DUMMYFUNCTION("""COMPUTED_VALUE"""),"Yes")</f>
        <v>Yes</v>
      </c>
      <c r="I2077" s="1" t="str">
        <f ca="1">IFERROR(__xludf.DUMMYFUNCTION("""COMPUTED_VALUE"""),"Will NOT work for them")</f>
        <v>Will NOT work for them</v>
      </c>
      <c r="J2077" s="1">
        <f ca="1">IFERROR(__xludf.DUMMYFUNCTION("""COMPUTED_VALUE"""),5)</f>
        <v>5</v>
      </c>
      <c r="K2077" s="1" t="str">
        <f ca="1">IFERROR(__xludf.DUMMYFUNCTION("""COMPUTED_VALUE"""),"Hybrid Working Environment with more than 15 days a month at office")</f>
        <v>Hybrid Working Environment with more than 15 days a month at office</v>
      </c>
      <c r="L2077" s="1" t="str">
        <f ca="1">IFERROR(__xludf.DUMMYFUNCTION("""COMPUTED_VALUE"""),"Employer who rewards learning and enables that environment")</f>
        <v>Employer who rewards learning and enables that environment</v>
      </c>
      <c r="M207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77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2077" s="1" t="str">
        <f ca="1">IFERROR(__xludf.DUMMYFUNCTION("""COMPUTED_VALUE"""),"Manager who explains what is expected, sets a goal and helps achieve it")</f>
        <v>Manager who explains what is expected, sets a goal and helps achieve it</v>
      </c>
      <c r="P207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077" s="1" t="str">
        <f ca="1">IFERROR(__xludf.DUMMYFUNCTION("""COMPUTED_VALUE"""),"Yes, I Understand this is gonna happen everywhere")</f>
        <v>Yes, I Understand this is gonna happen everywhere</v>
      </c>
      <c r="R2077" s="1" t="str">
        <f ca="1">IFERROR(__xludf.DUMMYFUNCTION("""COMPUTED_VALUE"""),"No way")</f>
        <v>No way</v>
      </c>
      <c r="S2077" s="1" t="str">
        <f ca="1">IFERROR(__xludf.DUMMYFUNCTION("""COMPUTED_VALUE"""),"jeyaaishwarya781@gmail.com")</f>
        <v>jeyaaishwarya781@gmail.com</v>
      </c>
    </row>
    <row r="2078" spans="1:19" ht="12.5" x14ac:dyDescent="0.25">
      <c r="A2078" s="2">
        <f ca="1">IFERROR(__xludf.DUMMYFUNCTION("""COMPUTED_VALUE"""),45063.4148819328)</f>
        <v>45063.414881932797</v>
      </c>
      <c r="B2078" s="1" t="str">
        <f ca="1">IFERROR(__xludf.DUMMYFUNCTION("""COMPUTED_VALUE"""),"India")</f>
        <v>India</v>
      </c>
      <c r="C2078" s="1">
        <f ca="1">IFERROR(__xludf.DUMMYFUNCTION("""COMPUTED_VALUE"""),712247)</f>
        <v>712247</v>
      </c>
      <c r="D2078" s="1" t="str">
        <f ca="1">IFERROR(__xludf.DUMMYFUNCTION("""COMPUTED_VALUE"""),"Female")</f>
        <v>Female</v>
      </c>
      <c r="E2078" s="1" t="str">
        <f ca="1">IFERROR(__xludf.DUMMYFUNCTION("""COMPUTED_VALUE"""),"My Parents")</f>
        <v>My Parents</v>
      </c>
      <c r="F2078" s="1" t="str">
        <f ca="1">IFERROR(__xludf.DUMMYFUNCTION("""COMPUTED_VALUE"""),"No I would not be pursuing Higher Education outside of India")</f>
        <v>No I would not be pursuing Higher Education outside of India</v>
      </c>
      <c r="G2078" s="1" t="str">
        <f ca="1">IFERROR(__xludf.DUMMYFUNCTION("""COMPUTED_VALUE"""),"This will be hard to do, but if it is the right company I would try")</f>
        <v>This will be hard to do, but if it is the right company I would try</v>
      </c>
      <c r="H2078" s="1" t="str">
        <f ca="1">IFERROR(__xludf.DUMMYFUNCTION("""COMPUTED_VALUE"""),"No")</f>
        <v>No</v>
      </c>
      <c r="I2078" s="1" t="str">
        <f ca="1">IFERROR(__xludf.DUMMYFUNCTION("""COMPUTED_VALUE"""),"Will work for them")</f>
        <v>Will work for them</v>
      </c>
      <c r="J2078" s="1">
        <f ca="1">IFERROR(__xludf.DUMMYFUNCTION("""COMPUTED_VALUE"""),3)</f>
        <v>3</v>
      </c>
      <c r="K2078" s="1" t="str">
        <f ca="1">IFERROR(__xludf.DUMMYFUNCTION("""COMPUTED_VALUE"""),"Fully Remote with Options to travel as and when needed")</f>
        <v>Fully Remote with Options to travel as and when needed</v>
      </c>
      <c r="L20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78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078" s="1" t="str">
        <f ca="1">IFERROR(__xludf.DUMMYFUNCTION("""COMPUTED_VALUE"""),"Design and Creative strategy in any company, Build and develop a Team, Become a content Creator in some platform, Entrepreneur or Start Up")</f>
        <v>Design and Creative strategy in any company, Build and develop a Team, Become a content Creator in some platform, Entrepreneur or Start Up</v>
      </c>
      <c r="O2078" s="1" t="str">
        <f ca="1">IFERROR(__xludf.DUMMYFUNCTION("""COMPUTED_VALUE"""),"Manager who explains what is expected, sets a goal and helps achieve it")</f>
        <v>Manager who explains what is expected, sets a goal and helps achieve it</v>
      </c>
      <c r="P2078" s="1" t="str">
        <f ca="1">IFERROR(__xludf.DUMMYFUNCTION("""COMPUTED_VALUE"""),"Work with 5 to 6 people in my team")</f>
        <v>Work with 5 to 6 people in my team</v>
      </c>
      <c r="Q2078" s="1" t="str">
        <f ca="1">IFERROR(__xludf.DUMMYFUNCTION("""COMPUTED_VALUE"""),"Yes, I Understand this is gonna happen everywhere")</f>
        <v>Yes, I Understand this is gonna happen everywhere</v>
      </c>
      <c r="R2078" s="1" t="str">
        <f ca="1">IFERROR(__xludf.DUMMYFUNCTION("""COMPUTED_VALUE"""),"This will be hard to do, but if it is the right company I would try")</f>
        <v>This will be hard to do, but if it is the right company I would try</v>
      </c>
      <c r="S2078" s="1" t="str">
        <f ca="1">IFERROR(__xludf.DUMMYFUNCTION("""COMPUTED_VALUE"""),"shreyajha2808@gmail.com")</f>
        <v>shreyajha2808@gmail.com</v>
      </c>
    </row>
    <row r="2079" spans="1:19" ht="12.5" x14ac:dyDescent="0.25">
      <c r="A2079" s="2">
        <f ca="1">IFERROR(__xludf.DUMMYFUNCTION("""COMPUTED_VALUE"""),45063.4159253009)</f>
        <v>45063.415925300898</v>
      </c>
      <c r="B2079" s="1" t="str">
        <f ca="1">IFERROR(__xludf.DUMMYFUNCTION("""COMPUTED_VALUE"""),"India")</f>
        <v>India</v>
      </c>
      <c r="C2079" s="1">
        <f ca="1">IFERROR(__xludf.DUMMYFUNCTION("""COMPUTED_VALUE"""),390008)</f>
        <v>390008</v>
      </c>
      <c r="D2079" s="1" t="str">
        <f ca="1">IFERROR(__xludf.DUMMYFUNCTION("""COMPUTED_VALUE"""),"Female")</f>
        <v>Female</v>
      </c>
      <c r="E2079" s="1" t="str">
        <f ca="1">IFERROR(__xludf.DUMMYFUNCTION("""COMPUTED_VALUE"""),"People who have changed the world for better")</f>
        <v>People who have changed the world for better</v>
      </c>
      <c r="F2079" s="1" t="str">
        <f ca="1">IFERROR(__xludf.DUMMYFUNCTION("""COMPUTED_VALUE"""),"No I would not be pursuing Higher Education outside of India")</f>
        <v>No I would not be pursuing Higher Education outside of India</v>
      </c>
      <c r="G2079" s="1" t="str">
        <f ca="1">IFERROR(__xludf.DUMMYFUNCTION("""COMPUTED_VALUE"""),"Will work for 3 years or more")</f>
        <v>Will work for 3 years or more</v>
      </c>
      <c r="H2079" s="1" t="str">
        <f ca="1">IFERROR(__xludf.DUMMYFUNCTION("""COMPUTED_VALUE"""),"No")</f>
        <v>No</v>
      </c>
      <c r="I2079" s="1" t="str">
        <f ca="1">IFERROR(__xludf.DUMMYFUNCTION("""COMPUTED_VALUE"""),"Will NOT work for them")</f>
        <v>Will NOT work for them</v>
      </c>
      <c r="J2079" s="1">
        <f ca="1">IFERROR(__xludf.DUMMYFUNCTION("""COMPUTED_VALUE"""),5)</f>
        <v>5</v>
      </c>
      <c r="K2079" s="1" t="str">
        <f ca="1">IFERROR(__xludf.DUMMYFUNCTION("""COMPUTED_VALUE"""),"Hybrid Working Environment with more than 15 days a month at office")</f>
        <v>Hybrid Working Environment with more than 15 days a month at office</v>
      </c>
      <c r="L20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7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79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2079" s="1" t="str">
        <f ca="1">IFERROR(__xludf.DUMMYFUNCTION("""COMPUTED_VALUE"""),"Manager who explains what is expected, sets a goal and helps achieve it")</f>
        <v>Manager who explains what is expected, sets a goal and helps achieve it</v>
      </c>
      <c r="P2079" s="1" t="str">
        <f ca="1">IFERROR(__xludf.DUMMYFUNCTION("""COMPUTED_VALUE"""),"Work with 5 to 6 people in my team")</f>
        <v>Work with 5 to 6 people in my team</v>
      </c>
      <c r="Q2079" s="1" t="str">
        <f ca="1">IFERROR(__xludf.DUMMYFUNCTION("""COMPUTED_VALUE"""),"No")</f>
        <v>No</v>
      </c>
      <c r="R2079" s="1" t="str">
        <f ca="1">IFERROR(__xludf.DUMMYFUNCTION("""COMPUTED_VALUE"""),"This will be hard to do, but if it is the right company I would try")</f>
        <v>This will be hard to do, but if it is the right company I would try</v>
      </c>
      <c r="S2079" s="1" t="str">
        <f ca="1">IFERROR(__xludf.DUMMYFUNCTION("""COMPUTED_VALUE"""),"joshikalyani7398@gmail.com")</f>
        <v>joshikalyani7398@gmail.com</v>
      </c>
    </row>
    <row r="2080" spans="1:19" ht="12.5" x14ac:dyDescent="0.25">
      <c r="A2080" s="2">
        <f ca="1">IFERROR(__xludf.DUMMYFUNCTION("""COMPUTED_VALUE"""),45063.416340868)</f>
        <v>45063.416340868003</v>
      </c>
      <c r="B2080" s="1" t="str">
        <f ca="1">IFERROR(__xludf.DUMMYFUNCTION("""COMPUTED_VALUE"""),"India")</f>
        <v>India</v>
      </c>
      <c r="C2080" s="1">
        <f ca="1">IFERROR(__xludf.DUMMYFUNCTION("""COMPUTED_VALUE"""),132103)</f>
        <v>132103</v>
      </c>
      <c r="D2080" s="1" t="str">
        <f ca="1">IFERROR(__xludf.DUMMYFUNCTION("""COMPUTED_VALUE"""),"Male")</f>
        <v>Male</v>
      </c>
      <c r="E2080" s="1" t="str">
        <f ca="1">IFERROR(__xludf.DUMMYFUNCTION("""COMPUTED_VALUE"""),"My Parents")</f>
        <v>My Parents</v>
      </c>
      <c r="F2080" s="1" t="str">
        <f ca="1">IFERROR(__xludf.DUMMYFUNCTION("""COMPUTED_VALUE"""),"No I would not be pursuing Higher Education outside of India")</f>
        <v>No I would not be pursuing Higher Education outside of India</v>
      </c>
      <c r="G2080" s="1" t="str">
        <f ca="1">IFERROR(__xludf.DUMMYFUNCTION("""COMPUTED_VALUE"""),"This will be hard to do, but if it is the right company I would try")</f>
        <v>This will be hard to do, but if it is the right company I would try</v>
      </c>
      <c r="H2080" s="1" t="str">
        <f ca="1">IFERROR(__xludf.DUMMYFUNCTION("""COMPUTED_VALUE"""),"Yes")</f>
        <v>Yes</v>
      </c>
      <c r="I2080" s="1" t="str">
        <f ca="1">IFERROR(__xludf.DUMMYFUNCTION("""COMPUTED_VALUE"""),"Will NOT work for them")</f>
        <v>Will NOT work for them</v>
      </c>
      <c r="J2080" s="1">
        <f ca="1">IFERROR(__xludf.DUMMYFUNCTION("""COMPUTED_VALUE"""),10)</f>
        <v>10</v>
      </c>
      <c r="K2080" s="1" t="str">
        <f ca="1">IFERROR(__xludf.DUMMYFUNCTION("""COMPUTED_VALUE"""),"Every Day Office Environment")</f>
        <v>Every Day Office Environment</v>
      </c>
      <c r="L2080" s="1" t="str">
        <f ca="1">IFERROR(__xludf.DUMMYFUNCTION("""COMPUTED_VALUE"""),"Employer who rewards learning and enables that environment")</f>
        <v>Employer who rewards learning and enables that environment</v>
      </c>
      <c r="M208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80" s="1" t="str">
        <f ca="1">IFERROR(__xludf.DUMMYFUNCTION("""COMPUTED_VALUE"""),"Teaching in any of the institutes/colleges/online or offline, Business Operations in any organization, Design and Develop amazing software, Manufacturing / Oil and Gas/ Construction / Hard Physical Work related")</f>
        <v>Teaching in any of the institutes/colleges/online or offline, Business Operations in any organization, Design and Develop amazing software, Manufacturing / Oil and Gas/ Construction / Hard Physical Work related</v>
      </c>
      <c r="O2080" s="1" t="str">
        <f ca="1">IFERROR(__xludf.DUMMYFUNCTION("""COMPUTED_VALUE"""),"Manager who sets goal and helps me achieve it")</f>
        <v>Manager who sets goal and helps me achieve it</v>
      </c>
      <c r="P2080" s="1" t="str">
        <f ca="1">IFERROR(__xludf.DUMMYFUNCTION("""COMPUTED_VALUE"""),"Work with 7 to 10 or more people in my team")</f>
        <v>Work with 7 to 10 or more people in my team</v>
      </c>
      <c r="Q2080" s="1" t="str">
        <f ca="1">IFERROR(__xludf.DUMMYFUNCTION("""COMPUTED_VALUE"""),"No")</f>
        <v>No</v>
      </c>
      <c r="R2080" s="1" t="str">
        <f ca="1">IFERROR(__xludf.DUMMYFUNCTION("""COMPUTED_VALUE"""),"This will be hard to do, but if it is the right company I would try")</f>
        <v>This will be hard to do, but if it is the right company I would try</v>
      </c>
      <c r="S2080" s="1" t="str">
        <f ca="1">IFERROR(__xludf.DUMMYFUNCTION("""COMPUTED_VALUE"""),"abhisheksharma142686@gmail.com")</f>
        <v>abhisheksharma142686@gmail.com</v>
      </c>
    </row>
    <row r="2081" spans="1:19" ht="12.5" x14ac:dyDescent="0.25">
      <c r="A2081" s="2">
        <f ca="1">IFERROR(__xludf.DUMMYFUNCTION("""COMPUTED_VALUE"""),45063.4172225231)</f>
        <v>45063.417222523101</v>
      </c>
      <c r="B2081" s="1" t="str">
        <f ca="1">IFERROR(__xludf.DUMMYFUNCTION("""COMPUTED_VALUE"""),"India")</f>
        <v>India</v>
      </c>
      <c r="C2081" s="1">
        <f ca="1">IFERROR(__xludf.DUMMYFUNCTION("""COMPUTED_VALUE"""),411057)</f>
        <v>411057</v>
      </c>
      <c r="D2081" s="1" t="str">
        <f ca="1">IFERROR(__xludf.DUMMYFUNCTION("""COMPUTED_VALUE"""),"Male")</f>
        <v>Male</v>
      </c>
      <c r="E2081" s="1" t="str">
        <f ca="1">IFERROR(__xludf.DUMMYFUNCTION("""COMPUTED_VALUE"""),"Social Media like LinkedIn")</f>
        <v>Social Media like LinkedIn</v>
      </c>
      <c r="F2081" s="1" t="str">
        <f ca="1">IFERROR(__xludf.DUMMYFUNCTION("""COMPUTED_VALUE"""),"Yes, I will earn and do that")</f>
        <v>Yes, I will earn and do that</v>
      </c>
      <c r="G2081" s="1" t="str">
        <f ca="1">IFERROR(__xludf.DUMMYFUNCTION("""COMPUTED_VALUE"""),"This will be hard to do, but if it is the right company I would try")</f>
        <v>This will be hard to do, but if it is the right company I would try</v>
      </c>
      <c r="H2081" s="1" t="str">
        <f ca="1">IFERROR(__xludf.DUMMYFUNCTION("""COMPUTED_VALUE"""),"Yes")</f>
        <v>Yes</v>
      </c>
      <c r="I2081" s="1" t="str">
        <f ca="1">IFERROR(__xludf.DUMMYFUNCTION("""COMPUTED_VALUE"""),"Will work for them")</f>
        <v>Will work for them</v>
      </c>
      <c r="J2081" s="1">
        <f ca="1">IFERROR(__xludf.DUMMYFUNCTION("""COMPUTED_VALUE"""),8)</f>
        <v>8</v>
      </c>
      <c r="K2081" s="1" t="str">
        <f ca="1">IFERROR(__xludf.DUMMYFUNCTION("""COMPUTED_VALUE"""),"Hybrid Working Environment with more than 15 days a month at office")</f>
        <v>Hybrid Working Environment with more than 15 days a month at office</v>
      </c>
      <c r="L2081" s="1" t="str">
        <f ca="1">IFERROR(__xludf.DUMMYFUNCTION("""COMPUTED_VALUE"""),"Employer who rewards learning and enables that environment")</f>
        <v>Employer who rewards learning and enables that environment</v>
      </c>
      <c r="M208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81" s="1" t="str">
        <f ca="1">IFERROR(__xludf.DUMMYFUNCTION("""COMPUTED_VALUE"""),"Business Operations in any organization, Look deeply into Data and generate insights, Become a content Creator in some platform, Entrepreneur or Start Up")</f>
        <v>Business Operations in any organization, Look deeply into Data and generate insights, Become a content Creator in some platform, Entrepreneur or Start Up</v>
      </c>
      <c r="O2081" s="1" t="str">
        <f ca="1">IFERROR(__xludf.DUMMYFUNCTION("""COMPUTED_VALUE"""),"Manager who sets goal and helps me achieve it")</f>
        <v>Manager who sets goal and helps me achieve it</v>
      </c>
      <c r="P2081" s="1" t="str">
        <f ca="1">IFERROR(__xludf.DUMMYFUNCTION("""COMPUTED_VALUE"""),"Work with 2 to 3 people in my team, Work with 5 to 6 people in my team")</f>
        <v>Work with 2 to 3 people in my team, Work with 5 to 6 people in my team</v>
      </c>
      <c r="Q2081" s="1" t="str">
        <f ca="1">IFERROR(__xludf.DUMMYFUNCTION("""COMPUTED_VALUE"""),"Yes, I Understand this is gonna happen everywhere")</f>
        <v>Yes, I Understand this is gonna happen everywhere</v>
      </c>
      <c r="R2081" s="1" t="str">
        <f ca="1">IFERROR(__xludf.DUMMYFUNCTION("""COMPUTED_VALUE"""),"This will be hard to do, but if it is the right company I would try")</f>
        <v>This will be hard to do, but if it is the right company I would try</v>
      </c>
      <c r="S2081" s="1" t="str">
        <f ca="1">IFERROR(__xludf.DUMMYFUNCTION("""COMPUTED_VALUE"""),"digvijaydp12599@gmail.com")</f>
        <v>digvijaydp12599@gmail.com</v>
      </c>
    </row>
    <row r="2082" spans="1:19" ht="12.5" x14ac:dyDescent="0.25">
      <c r="A2082" s="2">
        <f ca="1">IFERROR(__xludf.DUMMYFUNCTION("""COMPUTED_VALUE"""),45063.4192962384)</f>
        <v>45063.419296238397</v>
      </c>
      <c r="B2082" s="1" t="str">
        <f ca="1">IFERROR(__xludf.DUMMYFUNCTION("""COMPUTED_VALUE"""),"India")</f>
        <v>India</v>
      </c>
      <c r="C2082" s="1">
        <f ca="1">IFERROR(__xludf.DUMMYFUNCTION("""COMPUTED_VALUE"""),627501)</f>
        <v>627501</v>
      </c>
      <c r="D2082" s="1" t="str">
        <f ca="1">IFERROR(__xludf.DUMMYFUNCTION("""COMPUTED_VALUE"""),"Female")</f>
        <v>Female</v>
      </c>
      <c r="E2082" s="1" t="str">
        <f ca="1">IFERROR(__xludf.DUMMYFUNCTION("""COMPUTED_VALUE"""),"My Parents")</f>
        <v>My Parents</v>
      </c>
      <c r="F2082" s="1" t="str">
        <f ca="1">IFERROR(__xludf.DUMMYFUNCTION("""COMPUTED_VALUE"""),"No I would not be pursuing Higher Education outside of India")</f>
        <v>No I would not be pursuing Higher Education outside of India</v>
      </c>
      <c r="G2082" s="1" t="str">
        <f ca="1">IFERROR(__xludf.DUMMYFUNCTION("""COMPUTED_VALUE"""),"This will be hard to do, but if it is the right company I would try")</f>
        <v>This will be hard to do, but if it is the right company I would try</v>
      </c>
      <c r="H2082" s="1" t="str">
        <f ca="1">IFERROR(__xludf.DUMMYFUNCTION("""COMPUTED_VALUE"""),"No")</f>
        <v>No</v>
      </c>
      <c r="I2082" s="1" t="str">
        <f ca="1">IFERROR(__xludf.DUMMYFUNCTION("""COMPUTED_VALUE"""),"Will NOT work for them")</f>
        <v>Will NOT work for them</v>
      </c>
      <c r="J2082" s="1">
        <f ca="1">IFERROR(__xludf.DUMMYFUNCTION("""COMPUTED_VALUE"""),1)</f>
        <v>1</v>
      </c>
      <c r="K2082" s="1" t="str">
        <f ca="1">IFERROR(__xludf.DUMMYFUNCTION("""COMPUTED_VALUE"""),"Every Day Office Environment")</f>
        <v>Every Day Office Environment</v>
      </c>
      <c r="L2082" s="1" t="str">
        <f ca="1">IFERROR(__xludf.DUMMYFUNCTION("""COMPUTED_VALUE"""),"Employer who appreciates learning and enables that environment")</f>
        <v>Employer who appreciates learning and enables that environment</v>
      </c>
      <c r="M208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82" s="1" t="str">
        <f ca="1">IFERROR(__xludf.DUMMYFUNCTION("""COMPUTED_VALUE"""),"Business Operations in any organization, Manage and drive End-to-End Projects or Products, Entrepreneur or Start Up, An Artificial Intelligence Specialist / Talking to Robots")</f>
        <v>Business Operations in any organization, Manage and drive End-to-End Projects or Products, Entrepreneur or Start Up, An Artificial Intelligence Specialist / Talking to Robots</v>
      </c>
      <c r="O2082" s="1" t="str">
        <f ca="1">IFERROR(__xludf.DUMMYFUNCTION("""COMPUTED_VALUE"""),"Manager who explains what is expected, sets a goal and helps achieve it")</f>
        <v>Manager who explains what is expected, sets a goal and helps achieve it</v>
      </c>
      <c r="P2082" s="1" t="str">
        <f ca="1">IFERROR(__xludf.DUMMYFUNCTION("""COMPUTED_VALUE"""),"Work with more than 10 people in my team")</f>
        <v>Work with more than 10 people in my team</v>
      </c>
      <c r="Q2082" s="1" t="str">
        <f ca="1">IFERROR(__xludf.DUMMYFUNCTION("""COMPUTED_VALUE"""),"Yes, I Understand this is gonna happen everywhere")</f>
        <v>Yes, I Understand this is gonna happen everywhere</v>
      </c>
      <c r="R2082" s="1" t="str">
        <f ca="1">IFERROR(__xludf.DUMMYFUNCTION("""COMPUTED_VALUE"""),"Will work for 7 years or more")</f>
        <v>Will work for 7 years or more</v>
      </c>
      <c r="S2082" s="1" t="str">
        <f ca="1">IFERROR(__xludf.DUMMYFUNCTION("""COMPUTED_VALUE"""),"22ucr529@mail.sjctni.edu")</f>
        <v>22ucr529@mail.sjctni.edu</v>
      </c>
    </row>
    <row r="2083" spans="1:19" ht="12.5" x14ac:dyDescent="0.25">
      <c r="A2083" s="2">
        <f ca="1">IFERROR(__xludf.DUMMYFUNCTION("""COMPUTED_VALUE"""),45063.4233132175)</f>
        <v>45063.4233132175</v>
      </c>
      <c r="B2083" s="1" t="str">
        <f ca="1">IFERROR(__xludf.DUMMYFUNCTION("""COMPUTED_VALUE"""),"India")</f>
        <v>India</v>
      </c>
      <c r="C2083" s="1">
        <f ca="1">IFERROR(__xludf.DUMMYFUNCTION("""COMPUTED_VALUE"""),632007)</f>
        <v>632007</v>
      </c>
      <c r="D2083" s="1" t="str">
        <f ca="1">IFERROR(__xludf.DUMMYFUNCTION("""COMPUTED_VALUE"""),"Male")</f>
        <v>Male</v>
      </c>
      <c r="E2083" s="1" t="str">
        <f ca="1">IFERROR(__xludf.DUMMYFUNCTION("""COMPUTED_VALUE"""),"People who have changed the world for better")</f>
        <v>People who have changed the world for better</v>
      </c>
      <c r="F2083" s="1" t="str">
        <f ca="1">IFERROR(__xludf.DUMMYFUNCTION("""COMPUTED_VALUE"""),"No I would not be pursuing Higher Education outside of India")</f>
        <v>No I would not be pursuing Higher Education outside of India</v>
      </c>
      <c r="G2083" s="1" t="str">
        <f ca="1">IFERROR(__xludf.DUMMYFUNCTION("""COMPUTED_VALUE"""),"Will work for 3 years or more")</f>
        <v>Will work for 3 years or more</v>
      </c>
      <c r="H2083" s="1" t="str">
        <f ca="1">IFERROR(__xludf.DUMMYFUNCTION("""COMPUTED_VALUE"""),"Yes")</f>
        <v>Yes</v>
      </c>
      <c r="I2083" s="1" t="str">
        <f ca="1">IFERROR(__xludf.DUMMYFUNCTION("""COMPUTED_VALUE"""),"Will NOT work for them")</f>
        <v>Will NOT work for them</v>
      </c>
      <c r="J2083" s="1">
        <f ca="1">IFERROR(__xludf.DUMMYFUNCTION("""COMPUTED_VALUE"""),10)</f>
        <v>10</v>
      </c>
      <c r="K2083" s="1" t="str">
        <f ca="1">IFERROR(__xludf.DUMMYFUNCTION("""COMPUTED_VALUE"""),"Hybrid Working Environment with more than 15 days a month at office")</f>
        <v>Hybrid Working Environment with more than 15 days a month at office</v>
      </c>
      <c r="L2083" s="1" t="str">
        <f ca="1">IFERROR(__xludf.DUMMYFUNCTION("""COMPUTED_VALUE"""),"Employer who rewards learning and enables that environment")</f>
        <v>Employer who rewards learning and enables that environment</v>
      </c>
      <c r="M2083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083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083" s="1" t="str">
        <f ca="1">IFERROR(__xludf.DUMMYFUNCTION("""COMPUTED_VALUE"""),"Manager who clearly describes what she/he needs")</f>
        <v>Manager who clearly describes what she/he needs</v>
      </c>
      <c r="P2083" s="1" t="str">
        <f ca="1">IFERROR(__xludf.DUMMYFUNCTION("""COMPUTED_VALUE"""),"Work alone")</f>
        <v>Work alone</v>
      </c>
      <c r="Q2083" s="1" t="str">
        <f ca="1">IFERROR(__xludf.DUMMYFUNCTION("""COMPUTED_VALUE"""),"Yes, I Understand this is gonna happen everywhere")</f>
        <v>Yes, I Understand this is gonna happen everywhere</v>
      </c>
      <c r="R2083" s="1" t="str">
        <f ca="1">IFERROR(__xludf.DUMMYFUNCTION("""COMPUTED_VALUE"""),"No way")</f>
        <v>No way</v>
      </c>
      <c r="S2083" s="1" t="str">
        <f ca="1">IFERROR(__xludf.DUMMYFUNCTION("""COMPUTED_VALUE"""),"jaykumar101293@gmail.com")</f>
        <v>jaykumar101293@gmail.com</v>
      </c>
    </row>
    <row r="2084" spans="1:19" ht="12.5" x14ac:dyDescent="0.25">
      <c r="A2084" s="2">
        <f ca="1">IFERROR(__xludf.DUMMYFUNCTION("""COMPUTED_VALUE"""),45063.4348398726)</f>
        <v>45063.4348398726</v>
      </c>
      <c r="B2084" s="1" t="str">
        <f ca="1">IFERROR(__xludf.DUMMYFUNCTION("""COMPUTED_VALUE"""),"India")</f>
        <v>India</v>
      </c>
      <c r="C2084" s="1">
        <f ca="1">IFERROR(__xludf.DUMMYFUNCTION("""COMPUTED_VALUE"""),700055)</f>
        <v>700055</v>
      </c>
      <c r="D2084" s="1" t="str">
        <f ca="1">IFERROR(__xludf.DUMMYFUNCTION("""COMPUTED_VALUE"""),"Female")</f>
        <v>Female</v>
      </c>
      <c r="E2084" s="1" t="str">
        <f ca="1">IFERROR(__xludf.DUMMYFUNCTION("""COMPUTED_VALUE"""),"Influencers who had successful careers")</f>
        <v>Influencers who had successful careers</v>
      </c>
      <c r="F2084" s="1" t="str">
        <f ca="1">IFERROR(__xludf.DUMMYFUNCTION("""COMPUTED_VALUE"""),"No I would not be pursuing Higher Education outside of India")</f>
        <v>No I would not be pursuing Higher Education outside of India</v>
      </c>
      <c r="G2084" s="1" t="str">
        <f ca="1">IFERROR(__xludf.DUMMYFUNCTION("""COMPUTED_VALUE"""),"This will be hard to do, but if it is the right company I would try")</f>
        <v>This will be hard to do, but if it is the right company I would try</v>
      </c>
      <c r="H2084" s="1" t="str">
        <f ca="1">IFERROR(__xludf.DUMMYFUNCTION("""COMPUTED_VALUE"""),"No")</f>
        <v>No</v>
      </c>
      <c r="I2084" s="1" t="str">
        <f ca="1">IFERROR(__xludf.DUMMYFUNCTION("""COMPUTED_VALUE"""),"Will NOT work for them")</f>
        <v>Will NOT work for them</v>
      </c>
      <c r="J2084" s="1">
        <f ca="1">IFERROR(__xludf.DUMMYFUNCTION("""COMPUTED_VALUE"""),8)</f>
        <v>8</v>
      </c>
      <c r="K2084" s="1" t="str">
        <f ca="1">IFERROR(__xludf.DUMMYFUNCTION("""COMPUTED_VALUE"""),"Hybrid Working Environment with more than 15 days a month at office")</f>
        <v>Hybrid Working Environment with more than 15 days a month at office</v>
      </c>
      <c r="L20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84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084" s="1" t="str">
        <f ca="1">IFERROR(__xludf.DUMMYFUNCTION("""COMPUTED_VALUE"""),"Build and develop a Team, Look deeply into Data and generate insights, Work in a BPO setup for some well known client, Work as a freelancer and do my thing my way")</f>
        <v>Build and develop a Team, Look deeply into Data and generate insights, Work in a BPO setup for some well known client, Work as a freelancer and do my thing my way</v>
      </c>
      <c r="O2084" s="1" t="str">
        <f ca="1">IFERROR(__xludf.DUMMYFUNCTION("""COMPUTED_VALUE"""),"Manager who explains what is expected, sets a goal and helps achieve it")</f>
        <v>Manager who explains what is expected, sets a goal and helps achieve it</v>
      </c>
      <c r="P2084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084" s="1" t="str">
        <f ca="1">IFERROR(__xludf.DUMMYFUNCTION("""COMPUTED_VALUE"""),"Yes, I Understand this is gonna happen everywhere")</f>
        <v>Yes, I Understand this is gonna happen everywhere</v>
      </c>
      <c r="R2084" s="1" t="str">
        <f ca="1">IFERROR(__xludf.DUMMYFUNCTION("""COMPUTED_VALUE"""),"This will be hard to do, but if it is the right company I would try")</f>
        <v>This will be hard to do, but if it is the right company I would try</v>
      </c>
      <c r="S2084" s="1" t="str">
        <f ca="1">IFERROR(__xludf.DUMMYFUNCTION("""COMPUTED_VALUE"""),"saptaparni25@gmail.com")</f>
        <v>saptaparni25@gmail.com</v>
      </c>
    </row>
    <row r="2085" spans="1:19" ht="12.5" x14ac:dyDescent="0.25">
      <c r="A2085" s="2">
        <f ca="1">IFERROR(__xludf.DUMMYFUNCTION("""COMPUTED_VALUE"""),45063.4371674074)</f>
        <v>45063.437167407399</v>
      </c>
      <c r="B2085" s="1" t="str">
        <f ca="1">IFERROR(__xludf.DUMMYFUNCTION("""COMPUTED_VALUE"""),"India")</f>
        <v>India</v>
      </c>
      <c r="C2085" s="1">
        <f ca="1">IFERROR(__xludf.DUMMYFUNCTION("""COMPUTED_VALUE"""),480001)</f>
        <v>480001</v>
      </c>
      <c r="D2085" s="1" t="str">
        <f ca="1">IFERROR(__xludf.DUMMYFUNCTION("""COMPUTED_VALUE"""),"Male")</f>
        <v>Male</v>
      </c>
      <c r="E2085" s="1" t="str">
        <f ca="1">IFERROR(__xludf.DUMMYFUNCTION("""COMPUTED_VALUE"""),"My Parents")</f>
        <v>My Parents</v>
      </c>
      <c r="F2085" s="1" t="str">
        <f ca="1">IFERROR(__xludf.DUMMYFUNCTION("""COMPUTED_VALUE"""),"Yes, I will earn and do that")</f>
        <v>Yes, I will earn and do that</v>
      </c>
      <c r="G2085" s="1" t="str">
        <f ca="1">IFERROR(__xludf.DUMMYFUNCTION("""COMPUTED_VALUE"""),"Will work for 3 years or more")</f>
        <v>Will work for 3 years or more</v>
      </c>
      <c r="H2085" s="1" t="str">
        <f ca="1">IFERROR(__xludf.DUMMYFUNCTION("""COMPUTED_VALUE"""),"Yes")</f>
        <v>Yes</v>
      </c>
      <c r="I2085" s="1" t="str">
        <f ca="1">IFERROR(__xludf.DUMMYFUNCTION("""COMPUTED_VALUE"""),"Will work for them")</f>
        <v>Will work for them</v>
      </c>
      <c r="J2085" s="1">
        <f ca="1">IFERROR(__xludf.DUMMYFUNCTION("""COMPUTED_VALUE"""),10)</f>
        <v>10</v>
      </c>
      <c r="K2085" s="1" t="str">
        <f ca="1">IFERROR(__xludf.DUMMYFUNCTION("""COMPUTED_VALUE"""),"Every Day Office Environment")</f>
        <v>Every Day Office Environment</v>
      </c>
      <c r="L2085" s="1" t="str">
        <f ca="1">IFERROR(__xludf.DUMMYFUNCTION("""COMPUTED_VALUE"""),"Employer who appreciates learning and enables that environment")</f>
        <v>Employer who appreciates learning and enables that environment</v>
      </c>
      <c r="M208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85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085" s="1" t="str">
        <f ca="1">IFERROR(__xludf.DUMMYFUNCTION("""COMPUTED_VALUE"""),"Manager who explains what is expected, sets a goal and helps achieve it")</f>
        <v>Manager who explains what is expected, sets a goal and helps achieve it</v>
      </c>
      <c r="P2085" s="1" t="str">
        <f ca="1">IFERROR(__xludf.DUMMYFUNCTION("""COMPUTED_VALUE"""),"Work with 5 to 6 people in my team")</f>
        <v>Work with 5 to 6 people in my team</v>
      </c>
      <c r="Q2085" s="1" t="str">
        <f ca="1">IFERROR(__xludf.DUMMYFUNCTION("""COMPUTED_VALUE"""),"Yes")</f>
        <v>Yes</v>
      </c>
      <c r="R2085" s="1" t="str">
        <f ca="1">IFERROR(__xludf.DUMMYFUNCTION("""COMPUTED_VALUE"""),"This will be hard to do, but if it is the right company I would try")</f>
        <v>This will be hard to do, but if it is the right company I would try</v>
      </c>
      <c r="S2085" s="1" t="str">
        <f ca="1">IFERROR(__xludf.DUMMYFUNCTION("""COMPUTED_VALUE"""),"akhileshverma6991@gmail.com")</f>
        <v>akhileshverma6991@gmail.com</v>
      </c>
    </row>
    <row r="2086" spans="1:19" ht="12.5" x14ac:dyDescent="0.25">
      <c r="A2086" s="2">
        <f ca="1">IFERROR(__xludf.DUMMYFUNCTION("""COMPUTED_VALUE"""),45063.4373640277)</f>
        <v>45063.437364027697</v>
      </c>
      <c r="B2086" s="1" t="str">
        <f ca="1">IFERROR(__xludf.DUMMYFUNCTION("""COMPUTED_VALUE"""),"India")</f>
        <v>India</v>
      </c>
      <c r="C2086" s="1">
        <f ca="1">IFERROR(__xludf.DUMMYFUNCTION("""COMPUTED_VALUE"""),502032)</f>
        <v>502032</v>
      </c>
      <c r="D2086" s="1" t="str">
        <f ca="1">IFERROR(__xludf.DUMMYFUNCTION("""COMPUTED_VALUE"""),"Female")</f>
        <v>Female</v>
      </c>
      <c r="E2086" s="1" t="str">
        <f ca="1">IFERROR(__xludf.DUMMYFUNCTION("""COMPUTED_VALUE"""),"My Parents")</f>
        <v>My Parents</v>
      </c>
      <c r="F2086" s="1" t="str">
        <f ca="1">IFERROR(__xludf.DUMMYFUNCTION("""COMPUTED_VALUE"""),"No, But if someone could bare the cost I will")</f>
        <v>No, But if someone could bare the cost I will</v>
      </c>
      <c r="G2086" s="1" t="str">
        <f ca="1">IFERROR(__xludf.DUMMYFUNCTION("""COMPUTED_VALUE"""),"This will be hard to do, but if it is the right company I would try")</f>
        <v>This will be hard to do, but if it is the right company I would try</v>
      </c>
      <c r="H2086" s="1" t="str">
        <f ca="1">IFERROR(__xludf.DUMMYFUNCTION("""COMPUTED_VALUE"""),"No")</f>
        <v>No</v>
      </c>
      <c r="I2086" s="1" t="str">
        <f ca="1">IFERROR(__xludf.DUMMYFUNCTION("""COMPUTED_VALUE"""),"Will NOT work for them")</f>
        <v>Will NOT work for them</v>
      </c>
      <c r="J2086" s="1">
        <f ca="1">IFERROR(__xludf.DUMMYFUNCTION("""COMPUTED_VALUE"""),5)</f>
        <v>5</v>
      </c>
      <c r="K2086" s="1" t="str">
        <f ca="1">IFERROR(__xludf.DUMMYFUNCTION("""COMPUTED_VALUE"""),"Fully Remote with Options to travel as and when needed")</f>
        <v>Fully Remote with Options to travel as and when needed</v>
      </c>
      <c r="L2086" s="1" t="str">
        <f ca="1">IFERROR(__xludf.DUMMYFUNCTION("""COMPUTED_VALUE"""),"Employer who appreciates learning and enables that environment")</f>
        <v>Employer who appreciates learning and enables that environment</v>
      </c>
      <c r="M2086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086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2086" s="1" t="str">
        <f ca="1">IFERROR(__xludf.DUMMYFUNCTION("""COMPUTED_VALUE"""),"Manager who sets goal and helps me achieve it")</f>
        <v>Manager who sets goal and helps me achieve it</v>
      </c>
      <c r="P208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086" s="1" t="str">
        <f ca="1">IFERROR(__xludf.DUMMYFUNCTION("""COMPUTED_VALUE"""),"Yes, I Understand this is gonna happen everywhere")</f>
        <v>Yes, I Understand this is gonna happen everywhere</v>
      </c>
      <c r="R2086" s="1" t="str">
        <f ca="1">IFERROR(__xludf.DUMMYFUNCTION("""COMPUTED_VALUE"""),"This will be hard to do, but if it is the right company I would try")</f>
        <v>This will be hard to do, but if it is the right company I would try</v>
      </c>
      <c r="S2086" s="1" t="str">
        <f ca="1">IFERROR(__xludf.DUMMYFUNCTION("""COMPUTED_VALUE"""),"manasa.9427@gmail.com")</f>
        <v>manasa.9427@gmail.com</v>
      </c>
    </row>
    <row r="2087" spans="1:19" ht="12.5" x14ac:dyDescent="0.25">
      <c r="A2087" s="2">
        <f ca="1">IFERROR(__xludf.DUMMYFUNCTION("""COMPUTED_VALUE"""),45063.437367037)</f>
        <v>45063.437367036997</v>
      </c>
      <c r="B2087" s="1" t="str">
        <f ca="1">IFERROR(__xludf.DUMMYFUNCTION("""COMPUTED_VALUE"""),"India")</f>
        <v>India</v>
      </c>
      <c r="C2087" s="1">
        <f ca="1">IFERROR(__xludf.DUMMYFUNCTION("""COMPUTED_VALUE"""),110084)</f>
        <v>110084</v>
      </c>
      <c r="D2087" s="1" t="str">
        <f ca="1">IFERROR(__xludf.DUMMYFUNCTION("""COMPUTED_VALUE"""),"Female")</f>
        <v>Female</v>
      </c>
      <c r="E2087" s="1" t="str">
        <f ca="1">IFERROR(__xludf.DUMMYFUNCTION("""COMPUTED_VALUE"""),"My Parents")</f>
        <v>My Parents</v>
      </c>
      <c r="F2087" s="1" t="str">
        <f ca="1">IFERROR(__xludf.DUMMYFUNCTION("""COMPUTED_VALUE"""),"Yes, I will earn and do that")</f>
        <v>Yes, I will earn and do that</v>
      </c>
      <c r="G2087" s="1" t="str">
        <f ca="1">IFERROR(__xludf.DUMMYFUNCTION("""COMPUTED_VALUE"""),"This will be hard to do, but if it is the right company I would try")</f>
        <v>This will be hard to do, but if it is the right company I would try</v>
      </c>
      <c r="H2087" s="1" t="str">
        <f ca="1">IFERROR(__xludf.DUMMYFUNCTION("""COMPUTED_VALUE"""),"No")</f>
        <v>No</v>
      </c>
      <c r="I2087" s="1" t="str">
        <f ca="1">IFERROR(__xludf.DUMMYFUNCTION("""COMPUTED_VALUE"""),"Will NOT work for them")</f>
        <v>Will NOT work for them</v>
      </c>
      <c r="J2087" s="1">
        <f ca="1">IFERROR(__xludf.DUMMYFUNCTION("""COMPUTED_VALUE"""),4)</f>
        <v>4</v>
      </c>
      <c r="K2087" s="1" t="str">
        <f ca="1">IFERROR(__xludf.DUMMYFUNCTION("""COMPUTED_VALUE"""),"Hybrid Working Environment with more than 15 days a month at office")</f>
        <v>Hybrid Working Environment with more than 15 days a month at office</v>
      </c>
      <c r="L20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8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87" s="1" t="str">
        <f ca="1">IFERROR(__xludf.DUMMYFUNCTION("""COMPUTED_VALUE"""),"Design and Creative strategy in any company, Teaching in any of the institutes/colleges/online or offline, Manage and drive End-to-End Projects or Products, Work as a freelancer and do my thing my way")</f>
        <v>Design and Creative strategy in any company, Teaching in any of the institutes/colleges/online or offline, Manage and drive End-to-End Projects or Products, Work as a freelancer and do my thing my way</v>
      </c>
      <c r="O2087" s="1" t="str">
        <f ca="1">IFERROR(__xludf.DUMMYFUNCTION("""COMPUTED_VALUE"""),"Manager who explains what is expected, sets a goal and helps achieve it")</f>
        <v>Manager who explains what is expected, sets a goal and helps achieve it</v>
      </c>
      <c r="P2087" s="1" t="str">
        <f ca="1">IFERROR(__xludf.DUMMYFUNCTION("""COMPUTED_VALUE"""),"Work with 5 to 6 people in my team")</f>
        <v>Work with 5 to 6 people in my team</v>
      </c>
      <c r="Q2087" s="1" t="str">
        <f ca="1">IFERROR(__xludf.DUMMYFUNCTION("""COMPUTED_VALUE"""),"Yes, I Understand this is gonna happen everywhere")</f>
        <v>Yes, I Understand this is gonna happen everywhere</v>
      </c>
      <c r="R2087" s="1" t="str">
        <f ca="1">IFERROR(__xludf.DUMMYFUNCTION("""COMPUTED_VALUE"""),"This will be hard to do, but if it is the right company I would try")</f>
        <v>This will be hard to do, but if it is the right company I would try</v>
      </c>
      <c r="S2087" s="1" t="str">
        <f ca="1">IFERROR(__xludf.DUMMYFUNCTION("""COMPUTED_VALUE"""),"kaimmansi27@gmail.com")</f>
        <v>kaimmansi27@gmail.com</v>
      </c>
    </row>
    <row r="2088" spans="1:19" ht="12.5" x14ac:dyDescent="0.25">
      <c r="A2088" s="2">
        <f ca="1">IFERROR(__xludf.DUMMYFUNCTION("""COMPUTED_VALUE"""),45063.4373758101)</f>
        <v>45063.437375810099</v>
      </c>
      <c r="B2088" s="1" t="str">
        <f ca="1">IFERROR(__xludf.DUMMYFUNCTION("""COMPUTED_VALUE"""),"India")</f>
        <v>India</v>
      </c>
      <c r="C2088" s="1">
        <f ca="1">IFERROR(__xludf.DUMMYFUNCTION("""COMPUTED_VALUE"""),416001)</f>
        <v>416001</v>
      </c>
      <c r="D2088" s="1" t="str">
        <f ca="1">IFERROR(__xludf.DUMMYFUNCTION("""COMPUTED_VALUE"""),"Female")</f>
        <v>Female</v>
      </c>
      <c r="E2088" s="1" t="str">
        <f ca="1">IFERROR(__xludf.DUMMYFUNCTION("""COMPUTED_VALUE"""),"My Parents")</f>
        <v>My Parents</v>
      </c>
      <c r="F2088" s="1" t="str">
        <f ca="1">IFERROR(__xludf.DUMMYFUNCTION("""COMPUTED_VALUE"""),"No I would not be pursuing Higher Education outside of India")</f>
        <v>No I would not be pursuing Higher Education outside of India</v>
      </c>
      <c r="G2088" s="1" t="str">
        <f ca="1">IFERROR(__xludf.DUMMYFUNCTION("""COMPUTED_VALUE"""),"This will be hard to do, but if it is the right company I would try")</f>
        <v>This will be hard to do, but if it is the right company I would try</v>
      </c>
      <c r="H2088" s="1" t="str">
        <f ca="1">IFERROR(__xludf.DUMMYFUNCTION("""COMPUTED_VALUE"""),"No")</f>
        <v>No</v>
      </c>
      <c r="I2088" s="1" t="str">
        <f ca="1">IFERROR(__xludf.DUMMYFUNCTION("""COMPUTED_VALUE"""),"Will NOT work for them")</f>
        <v>Will NOT work for them</v>
      </c>
      <c r="J2088" s="1">
        <f ca="1">IFERROR(__xludf.DUMMYFUNCTION("""COMPUTED_VALUE"""),5)</f>
        <v>5</v>
      </c>
      <c r="K2088" s="1" t="str">
        <f ca="1">IFERROR(__xludf.DUMMYFUNCTION("""COMPUTED_VALUE"""),"Hybrid Working Environment with more than 15 days a month at office")</f>
        <v>Hybrid Working Environment with more than 15 days a month at office</v>
      </c>
      <c r="L2088" s="1" t="str">
        <f ca="1">IFERROR(__xludf.DUMMYFUNCTION("""COMPUTED_VALUE"""),"Employer who appreciates learning and enables that environment")</f>
        <v>Employer who appreciates learning and enables that environment</v>
      </c>
      <c r="M208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88" s="1" t="str">
        <f ca="1">IFERROR(__xludf.DUMMYFUNCTION("""COMPUTED_VALUE"""),"Design and Creative strategy in any company, Teaching in any of the institutes/colleges/online or offline, Build and develop a Team, I Want to sell things/Sales")</f>
        <v>Design and Creative strategy in any company, Teaching in any of the institutes/colleges/online or offline, Build and develop a Team, I Want to sell things/Sales</v>
      </c>
      <c r="O2088" s="1" t="str">
        <f ca="1">IFERROR(__xludf.DUMMYFUNCTION("""COMPUTED_VALUE"""),"Manager who sets targets and expects me to achieve it")</f>
        <v>Manager who sets targets and expects me to achieve it</v>
      </c>
      <c r="P2088" s="1" t="str">
        <f ca="1">IFERROR(__xludf.DUMMYFUNCTION("""COMPUTED_VALUE"""),"Work with 2 to 3 people in my team, Work with 5 to 6 people in my team")</f>
        <v>Work with 2 to 3 people in my team, Work with 5 to 6 people in my team</v>
      </c>
      <c r="Q2088" s="1" t="str">
        <f ca="1">IFERROR(__xludf.DUMMYFUNCTION("""COMPUTED_VALUE"""),"No")</f>
        <v>No</v>
      </c>
      <c r="R2088" s="1" t="str">
        <f ca="1">IFERROR(__xludf.DUMMYFUNCTION("""COMPUTED_VALUE"""),"This will be hard to do, but if it is the right company I would try")</f>
        <v>This will be hard to do, but if it is the right company I would try</v>
      </c>
      <c r="S2088" s="1" t="str">
        <f ca="1">IFERROR(__xludf.DUMMYFUNCTION("""COMPUTED_VALUE"""),"tejakakade5@gmail.com")</f>
        <v>tejakakade5@gmail.com</v>
      </c>
    </row>
    <row r="2089" spans="1:19" ht="12.5" x14ac:dyDescent="0.25">
      <c r="A2089" s="2">
        <f ca="1">IFERROR(__xludf.DUMMYFUNCTION("""COMPUTED_VALUE"""),45063.4396708912)</f>
        <v>45063.439670891203</v>
      </c>
      <c r="B2089" s="1" t="str">
        <f ca="1">IFERROR(__xludf.DUMMYFUNCTION("""COMPUTED_VALUE"""),"India")</f>
        <v>India</v>
      </c>
      <c r="C2089" s="1">
        <f ca="1">IFERROR(__xludf.DUMMYFUNCTION("""COMPUTED_VALUE"""),622515)</f>
        <v>622515</v>
      </c>
      <c r="D2089" s="1" t="str">
        <f ca="1">IFERROR(__xludf.DUMMYFUNCTION("""COMPUTED_VALUE"""),"Male")</f>
        <v>Male</v>
      </c>
      <c r="E2089" s="1" t="str">
        <f ca="1">IFERROR(__xludf.DUMMYFUNCTION("""COMPUTED_VALUE"""),"People who have changed the world for better")</f>
        <v>People who have changed the world for better</v>
      </c>
      <c r="F2089" s="1" t="str">
        <f ca="1">IFERROR(__xludf.DUMMYFUNCTION("""COMPUTED_VALUE"""),"No, But if someone could bare the cost I will")</f>
        <v>No, But if someone could bare the cost I will</v>
      </c>
      <c r="G2089" s="1" t="str">
        <f ca="1">IFERROR(__xludf.DUMMYFUNCTION("""COMPUTED_VALUE"""),"This will be hard to do, but if it is the right company I would try")</f>
        <v>This will be hard to do, but if it is the right company I would try</v>
      </c>
      <c r="H2089" s="1" t="str">
        <f ca="1">IFERROR(__xludf.DUMMYFUNCTION("""COMPUTED_VALUE"""),"No")</f>
        <v>No</v>
      </c>
      <c r="I2089" s="1" t="str">
        <f ca="1">IFERROR(__xludf.DUMMYFUNCTION("""COMPUTED_VALUE"""),"Will NOT work for them")</f>
        <v>Will NOT work for them</v>
      </c>
      <c r="J2089" s="1">
        <f ca="1">IFERROR(__xludf.DUMMYFUNCTION("""COMPUTED_VALUE"""),6)</f>
        <v>6</v>
      </c>
      <c r="K2089" s="1" t="str">
        <f ca="1">IFERROR(__xludf.DUMMYFUNCTION("""COMPUTED_VALUE"""),"Hybrid Working Environment with more than 15 days a month at office")</f>
        <v>Hybrid Working Environment with more than 15 days a month at office</v>
      </c>
      <c r="L20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8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089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2089" s="1" t="str">
        <f ca="1">IFERROR(__xludf.DUMMYFUNCTION("""COMPUTED_VALUE"""),"Manager who explains what is expected, sets a goal and helps achieve it")</f>
        <v>Manager who explains what is expected, sets a goal and helps achieve it</v>
      </c>
      <c r="P2089" s="1" t="str">
        <f ca="1">IFERROR(__xludf.DUMMYFUNCTION("""COMPUTED_VALUE"""),"Work with more than 10 people in my team")</f>
        <v>Work with more than 10 people in my team</v>
      </c>
      <c r="Q2089" s="1" t="str">
        <f ca="1">IFERROR(__xludf.DUMMYFUNCTION("""COMPUTED_VALUE"""),"No")</f>
        <v>No</v>
      </c>
      <c r="R2089" s="1" t="str">
        <f ca="1">IFERROR(__xludf.DUMMYFUNCTION("""COMPUTED_VALUE"""),"This will be hard to do, but if it is the right company I would try")</f>
        <v>This will be hard to do, but if it is the right company I would try</v>
      </c>
      <c r="S2089" s="1" t="str">
        <f ca="1">IFERROR(__xludf.DUMMYFUNCTION("""COMPUTED_VALUE"""),"physicistavinash17@gmail.com")</f>
        <v>physicistavinash17@gmail.com</v>
      </c>
    </row>
    <row r="2090" spans="1:19" ht="12.5" x14ac:dyDescent="0.25">
      <c r="A2090" s="2">
        <f ca="1">IFERROR(__xludf.DUMMYFUNCTION("""COMPUTED_VALUE"""),45063.4592678125)</f>
        <v>45063.459267812497</v>
      </c>
      <c r="B2090" s="1" t="str">
        <f ca="1">IFERROR(__xludf.DUMMYFUNCTION("""COMPUTED_VALUE"""),"India")</f>
        <v>India</v>
      </c>
      <c r="C2090" s="1">
        <f ca="1">IFERROR(__xludf.DUMMYFUNCTION("""COMPUTED_VALUE"""),457331)</f>
        <v>457331</v>
      </c>
      <c r="D2090" s="1" t="str">
        <f ca="1">IFERROR(__xludf.DUMMYFUNCTION("""COMPUTED_VALUE"""),"Male")</f>
        <v>Male</v>
      </c>
      <c r="E2090" s="1" t="str">
        <f ca="1">IFERROR(__xludf.DUMMYFUNCTION("""COMPUTED_VALUE"""),"People from my circle, but not family members")</f>
        <v>People from my circle, but not family members</v>
      </c>
      <c r="F2090" s="1" t="str">
        <f ca="1">IFERROR(__xludf.DUMMYFUNCTION("""COMPUTED_VALUE"""),"No, But if someone could bare the cost I will")</f>
        <v>No, But if someone could bare the cost I will</v>
      </c>
      <c r="G2090" s="1" t="str">
        <f ca="1">IFERROR(__xludf.DUMMYFUNCTION("""COMPUTED_VALUE"""),"No way")</f>
        <v>No way</v>
      </c>
      <c r="H2090" s="1" t="str">
        <f ca="1">IFERROR(__xludf.DUMMYFUNCTION("""COMPUTED_VALUE"""),"No")</f>
        <v>No</v>
      </c>
      <c r="I2090" s="1" t="str">
        <f ca="1">IFERROR(__xludf.DUMMYFUNCTION("""COMPUTED_VALUE"""),"Will NOT work for them")</f>
        <v>Will NOT work for them</v>
      </c>
      <c r="J2090" s="1">
        <f ca="1">IFERROR(__xludf.DUMMYFUNCTION("""COMPUTED_VALUE"""),3)</f>
        <v>3</v>
      </c>
      <c r="K2090" s="1" t="str">
        <f ca="1">IFERROR(__xludf.DUMMYFUNCTION("""COMPUTED_VALUE"""),"Hybrid Working Environment with more than 15 days a month at office")</f>
        <v>Hybrid Working Environment with more than 15 days a month at office</v>
      </c>
      <c r="L2090" s="1" t="str">
        <f ca="1">IFERROR(__xludf.DUMMYFUNCTION("""COMPUTED_VALUE"""),"Employer who rewards learning and enables that environment")</f>
        <v>Employer who rewards learning and enables that environment</v>
      </c>
      <c r="M209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90" s="1" t="str">
        <f ca="1">IFERROR(__xludf.DUMMYFUNCTION("""COMPUTED_VALUE"""),"Teaching in any of the institutes/colleges/online or offline, Work as a freelancer and do my thing my way, Entrepreneur or Start Up, An Artificial Intelligence Specialist / Talking to Robots")</f>
        <v>Teaching in any of the institutes/colleges/online or offline, Work as a freelancer and do my thing my way, Entrepreneur or Start Up, An Artificial Intelligence Specialist / Talking to Robots</v>
      </c>
      <c r="O2090" s="1" t="str">
        <f ca="1">IFERROR(__xludf.DUMMYFUNCTION("""COMPUTED_VALUE"""),"Manager who clearly describes what she/he needs")</f>
        <v>Manager who clearly describes what she/he needs</v>
      </c>
      <c r="P2090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090" s="1" t="str">
        <f ca="1">IFERROR(__xludf.DUMMYFUNCTION("""COMPUTED_VALUE"""),"Yes, I Understand this is gonna happen everywhere")</f>
        <v>Yes, I Understand this is gonna happen everywhere</v>
      </c>
      <c r="R2090" s="1" t="str">
        <f ca="1">IFERROR(__xludf.DUMMYFUNCTION("""COMPUTED_VALUE"""),"No way")</f>
        <v>No way</v>
      </c>
      <c r="S2090" s="1" t="str">
        <f ca="1">IFERROR(__xludf.DUMMYFUNCTION("""COMPUTED_VALUE"""),"abhishekv74@gmail.com")</f>
        <v>abhishekv74@gmail.com</v>
      </c>
    </row>
    <row r="2091" spans="1:19" ht="12.5" x14ac:dyDescent="0.25">
      <c r="A2091" s="2">
        <f ca="1">IFERROR(__xludf.DUMMYFUNCTION("""COMPUTED_VALUE"""),45063.4596992129)</f>
        <v>45063.459699212901</v>
      </c>
      <c r="B2091" s="1" t="str">
        <f ca="1">IFERROR(__xludf.DUMMYFUNCTION("""COMPUTED_VALUE"""),"India")</f>
        <v>India</v>
      </c>
      <c r="C2091" s="1">
        <f ca="1">IFERROR(__xludf.DUMMYFUNCTION("""COMPUTED_VALUE"""),481661)</f>
        <v>481661</v>
      </c>
      <c r="D2091" s="1" t="str">
        <f ca="1">IFERROR(__xludf.DUMMYFUNCTION("""COMPUTED_VALUE"""),"Male")</f>
        <v>Male</v>
      </c>
      <c r="E2091" s="1" t="str">
        <f ca="1">IFERROR(__xludf.DUMMYFUNCTION("""COMPUTED_VALUE"""),"Social Media like LinkedIn")</f>
        <v>Social Media like LinkedIn</v>
      </c>
      <c r="F2091" s="1" t="str">
        <f ca="1">IFERROR(__xludf.DUMMYFUNCTION("""COMPUTED_VALUE"""),"Yes, I will earn and do that")</f>
        <v>Yes, I will earn and do that</v>
      </c>
      <c r="G2091" s="1" t="str">
        <f ca="1">IFERROR(__xludf.DUMMYFUNCTION("""COMPUTED_VALUE"""),"This will be hard to do, but if it is the right company I would try")</f>
        <v>This will be hard to do, but if it is the right company I would try</v>
      </c>
      <c r="H2091" s="1" t="str">
        <f ca="1">IFERROR(__xludf.DUMMYFUNCTION("""COMPUTED_VALUE"""),"No")</f>
        <v>No</v>
      </c>
      <c r="I2091" s="1" t="str">
        <f ca="1">IFERROR(__xludf.DUMMYFUNCTION("""COMPUTED_VALUE"""),"Will NOT work for them")</f>
        <v>Will NOT work for them</v>
      </c>
      <c r="J2091" s="1">
        <f ca="1">IFERROR(__xludf.DUMMYFUNCTION("""COMPUTED_VALUE"""),6)</f>
        <v>6</v>
      </c>
      <c r="K2091" s="1" t="str">
        <f ca="1">IFERROR(__xludf.DUMMYFUNCTION("""COMPUTED_VALUE"""),"Fully Remote with Options to travel as and when needed")</f>
        <v>Fully Remote with Options to travel as and when needed</v>
      </c>
      <c r="L2091" s="1" t="str">
        <f ca="1">IFERROR(__xludf.DUMMYFUNCTION("""COMPUTED_VALUE"""),"Employer who rewards learning and enables that environment")</f>
        <v>Employer who rewards learning and enables that environment</v>
      </c>
      <c r="M209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91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091" s="1" t="str">
        <f ca="1">IFERROR(__xludf.DUMMYFUNCTION("""COMPUTED_VALUE"""),"Manager who explains what is expected, sets a goal and helps achieve it")</f>
        <v>Manager who explains what is expected, sets a goal and helps achieve it</v>
      </c>
      <c r="P2091" s="1" t="str">
        <f ca="1">IFERROR(__xludf.DUMMYFUNCTION("""COMPUTED_VALUE"""),"Work with 2 to 3 people in my team")</f>
        <v>Work with 2 to 3 people in my team</v>
      </c>
      <c r="Q2091" s="1" t="str">
        <f ca="1">IFERROR(__xludf.DUMMYFUNCTION("""COMPUTED_VALUE"""),"Yes, I Understand this is gonna happen everywhere")</f>
        <v>Yes, I Understand this is gonna happen everywhere</v>
      </c>
      <c r="R2091" s="1" t="str">
        <f ca="1">IFERROR(__xludf.DUMMYFUNCTION("""COMPUTED_VALUE"""),"This will be hard to do, but if it is the right company I would try")</f>
        <v>This will be hard to do, but if it is the right company I would try</v>
      </c>
      <c r="S2091" s="1" t="str">
        <f ca="1">IFERROR(__xludf.DUMMYFUNCTION("""COMPUTED_VALUE"""),"mr.ajitesh001@gmail.com")</f>
        <v>mr.ajitesh001@gmail.com</v>
      </c>
    </row>
    <row r="2092" spans="1:19" ht="12.5" x14ac:dyDescent="0.25">
      <c r="A2092" s="2">
        <f ca="1">IFERROR(__xludf.DUMMYFUNCTION("""COMPUTED_VALUE"""),45063.4609496296)</f>
        <v>45063.460949629603</v>
      </c>
      <c r="B2092" s="1" t="str">
        <f ca="1">IFERROR(__xludf.DUMMYFUNCTION("""COMPUTED_VALUE"""),"India")</f>
        <v>India</v>
      </c>
      <c r="C2092" s="1">
        <f ca="1">IFERROR(__xludf.DUMMYFUNCTION("""COMPUTED_VALUE"""),637001)</f>
        <v>637001</v>
      </c>
      <c r="D2092" s="1" t="str">
        <f ca="1">IFERROR(__xludf.DUMMYFUNCTION("""COMPUTED_VALUE"""),"Female")</f>
        <v>Female</v>
      </c>
      <c r="E2092" s="1" t="str">
        <f ca="1">IFERROR(__xludf.DUMMYFUNCTION("""COMPUTED_VALUE"""),"My Parents")</f>
        <v>My Parents</v>
      </c>
      <c r="F2092" s="1" t="str">
        <f ca="1">IFERROR(__xludf.DUMMYFUNCTION("""COMPUTED_VALUE"""),"Yes, I will earn and do that")</f>
        <v>Yes, I will earn and do that</v>
      </c>
      <c r="G2092" s="1" t="str">
        <f ca="1">IFERROR(__xludf.DUMMYFUNCTION("""COMPUTED_VALUE"""),"This will be hard to do, but if it is the right company I would try")</f>
        <v>This will be hard to do, but if it is the right company I would try</v>
      </c>
      <c r="H2092" s="1" t="str">
        <f ca="1">IFERROR(__xludf.DUMMYFUNCTION("""COMPUTED_VALUE"""),"No")</f>
        <v>No</v>
      </c>
      <c r="I2092" s="1" t="str">
        <f ca="1">IFERROR(__xludf.DUMMYFUNCTION("""COMPUTED_VALUE"""),"Will NOT work for them")</f>
        <v>Will NOT work for them</v>
      </c>
      <c r="J2092" s="1">
        <f ca="1">IFERROR(__xludf.DUMMYFUNCTION("""COMPUTED_VALUE"""),5)</f>
        <v>5</v>
      </c>
      <c r="K2092" s="1" t="str">
        <f ca="1">IFERROR(__xludf.DUMMYFUNCTION("""COMPUTED_VALUE"""),"Hybrid Working Environment with less than 3 days a month at office")</f>
        <v>Hybrid Working Environment with less than 3 days a month at office</v>
      </c>
      <c r="L2092" s="1" t="str">
        <f ca="1">IFERROR(__xludf.DUMMYFUNCTION("""COMPUTED_VALUE"""),"Employer who appreciates learning and enables that environment")</f>
        <v>Employer who appreciates learning and enables that environment</v>
      </c>
      <c r="M209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092" s="1" t="str">
        <f ca="1">IFERROR(__xludf.DUMMYFUNCTION("""COMPUTED_VALUE"""),"Design and Creative strategy in any company, Design and Develop amazing software, Become a content Creator in some platform, I Want to sell things/Sales")</f>
        <v>Design and Creative strategy in any company, Design and Develop amazing software, Become a content Creator in some platform, I Want to sell things/Sales</v>
      </c>
      <c r="O2092" s="1" t="str">
        <f ca="1">IFERROR(__xludf.DUMMYFUNCTION("""COMPUTED_VALUE"""),"Manager who explains what is expected, sets a goal and helps achieve it")</f>
        <v>Manager who explains what is expected, sets a goal and helps achieve it</v>
      </c>
      <c r="P2092" s="1" t="str">
        <f ca="1">IFERROR(__xludf.DUMMYFUNCTION("""COMPUTED_VALUE"""),"Work alone, Work with 2 to 3 people in my team, Work with more than 10 people in my team")</f>
        <v>Work alone, Work with 2 to 3 people in my team, Work with more than 10 people in my team</v>
      </c>
      <c r="Q2092" s="1" t="str">
        <f ca="1">IFERROR(__xludf.DUMMYFUNCTION("""COMPUTED_VALUE"""),"Yes")</f>
        <v>Yes</v>
      </c>
      <c r="R2092" s="1" t="str">
        <f ca="1">IFERROR(__xludf.DUMMYFUNCTION("""COMPUTED_VALUE"""),"This will be hard to do, but if it is the right company I would try")</f>
        <v>This will be hard to do, but if it is the right company I would try</v>
      </c>
      <c r="S2092" s="1" t="str">
        <f ca="1">IFERROR(__xludf.DUMMYFUNCTION("""COMPUTED_VALUE"""),"nandhiniagsk@gmail.com")</f>
        <v>nandhiniagsk@gmail.com</v>
      </c>
    </row>
    <row r="2093" spans="1:19" ht="12.5" x14ac:dyDescent="0.25">
      <c r="A2093" s="2">
        <f ca="1">IFERROR(__xludf.DUMMYFUNCTION("""COMPUTED_VALUE"""),45063.4620243518)</f>
        <v>45063.4620243518</v>
      </c>
      <c r="B2093" s="1" t="str">
        <f ca="1">IFERROR(__xludf.DUMMYFUNCTION("""COMPUTED_VALUE"""),"India")</f>
        <v>India</v>
      </c>
      <c r="C2093" s="1">
        <f ca="1">IFERROR(__xludf.DUMMYFUNCTION("""COMPUTED_VALUE"""),643212)</f>
        <v>643212</v>
      </c>
      <c r="D2093" s="1" t="str">
        <f ca="1">IFERROR(__xludf.DUMMYFUNCTION("""COMPUTED_VALUE"""),"Female")</f>
        <v>Female</v>
      </c>
      <c r="E2093" s="1" t="str">
        <f ca="1">IFERROR(__xludf.DUMMYFUNCTION("""COMPUTED_VALUE"""),"People who have changed the world for better")</f>
        <v>People who have changed the world for better</v>
      </c>
      <c r="F2093" s="1" t="str">
        <f ca="1">IFERROR(__xludf.DUMMYFUNCTION("""COMPUTED_VALUE"""),"Yes, I will earn and do that")</f>
        <v>Yes, I will earn and do that</v>
      </c>
      <c r="G2093" s="1" t="str">
        <f ca="1">IFERROR(__xludf.DUMMYFUNCTION("""COMPUTED_VALUE"""),"This will be hard to do, but if it is the right company I would try")</f>
        <v>This will be hard to do, but if it is the right company I would try</v>
      </c>
      <c r="H2093" s="1" t="str">
        <f ca="1">IFERROR(__xludf.DUMMYFUNCTION("""COMPUTED_VALUE"""),"Yes")</f>
        <v>Yes</v>
      </c>
      <c r="I2093" s="1" t="str">
        <f ca="1">IFERROR(__xludf.DUMMYFUNCTION("""COMPUTED_VALUE"""),"Will NOT work for them")</f>
        <v>Will NOT work for them</v>
      </c>
      <c r="J2093" s="1">
        <f ca="1">IFERROR(__xludf.DUMMYFUNCTION("""COMPUTED_VALUE"""),5)</f>
        <v>5</v>
      </c>
      <c r="K2093" s="1" t="str">
        <f ca="1">IFERROR(__xludf.DUMMYFUNCTION("""COMPUTED_VALUE"""),"Every Day Office Environment")</f>
        <v>Every Day Office Environment</v>
      </c>
      <c r="L2093" s="1" t="str">
        <f ca="1">IFERROR(__xludf.DUMMYFUNCTION("""COMPUTED_VALUE"""),"Employer who appreciates learning and enables that environment")</f>
        <v>Employer who appreciates learning and enables that environment</v>
      </c>
      <c r="M209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093" s="1" t="str">
        <f ca="1">IFERROR(__xludf.DUMMYFUNCTION("""COMPUTED_VALUE"""),"Build and develop a Team, Entrepreneur or Start Up, An Artificial Intelligence Specialist / Talking to Robots, Manufacturing / Oil and Gas/ Construction / Hard Physical Work related")</f>
        <v>Build and develop a Team, Entrepreneur or Start Up, An Artificial Intelligence Specialist / Talking to Robots, Manufacturing / Oil and Gas/ Construction / Hard Physical Work related</v>
      </c>
      <c r="O2093" s="1" t="str">
        <f ca="1">IFERROR(__xludf.DUMMYFUNCTION("""COMPUTED_VALUE"""),"Manager who explains what is expected, sets a goal and helps achieve it")</f>
        <v>Manager who explains what is expected, sets a goal and helps achieve it</v>
      </c>
      <c r="P2093" s="1" t="str">
        <f ca="1">IFERROR(__xludf.DUMMYFUNCTION("""COMPUTED_VALUE"""),"Work with 5 to 6 people in my team")</f>
        <v>Work with 5 to 6 people in my team</v>
      </c>
      <c r="Q2093" s="1" t="str">
        <f ca="1">IFERROR(__xludf.DUMMYFUNCTION("""COMPUTED_VALUE"""),"Yes, I Understand this is gonna happen everywhere")</f>
        <v>Yes, I Understand this is gonna happen everywhere</v>
      </c>
      <c r="R2093" s="1" t="str">
        <f ca="1">IFERROR(__xludf.DUMMYFUNCTION("""COMPUTED_VALUE"""),"This will be hard to do, but if it is the right company I would try")</f>
        <v>This will be hard to do, but if it is the right company I would try</v>
      </c>
      <c r="S2093" s="1" t="str">
        <f ca="1">IFERROR(__xludf.DUMMYFUNCTION("""COMPUTED_VALUE"""),"anushabiju82@gmail.com")</f>
        <v>anushabiju82@gmail.com</v>
      </c>
    </row>
    <row r="2094" spans="1:19" ht="12.5" x14ac:dyDescent="0.25">
      <c r="A2094" s="2">
        <f ca="1">IFERROR(__xludf.DUMMYFUNCTION("""COMPUTED_VALUE"""),45063.4660985648)</f>
        <v>45063.466098564801</v>
      </c>
      <c r="B2094" s="1" t="str">
        <f ca="1">IFERROR(__xludf.DUMMYFUNCTION("""COMPUTED_VALUE"""),"India")</f>
        <v>India</v>
      </c>
      <c r="C2094" s="1">
        <f ca="1">IFERROR(__xludf.DUMMYFUNCTION("""COMPUTED_VALUE"""),444005)</f>
        <v>444005</v>
      </c>
      <c r="D2094" s="1" t="str">
        <f ca="1">IFERROR(__xludf.DUMMYFUNCTION("""COMPUTED_VALUE"""),"Male")</f>
        <v>Male</v>
      </c>
      <c r="E2094" s="1" t="str">
        <f ca="1">IFERROR(__xludf.DUMMYFUNCTION("""COMPUTED_VALUE"""),"People who have changed the world for better")</f>
        <v>People who have changed the world for better</v>
      </c>
      <c r="F2094" s="1" t="str">
        <f ca="1">IFERROR(__xludf.DUMMYFUNCTION("""COMPUTED_VALUE"""),"Yes, I will earn and do that")</f>
        <v>Yes, I will earn and do that</v>
      </c>
      <c r="G2094" s="1" t="str">
        <f ca="1">IFERROR(__xludf.DUMMYFUNCTION("""COMPUTED_VALUE"""),"This will be hard to do, but if it is the right company I would try")</f>
        <v>This will be hard to do, but if it is the right company I would try</v>
      </c>
      <c r="H2094" s="1" t="str">
        <f ca="1">IFERROR(__xludf.DUMMYFUNCTION("""COMPUTED_VALUE"""),"Yes")</f>
        <v>Yes</v>
      </c>
      <c r="I2094" s="1" t="str">
        <f ca="1">IFERROR(__xludf.DUMMYFUNCTION("""COMPUTED_VALUE"""),"Will NOT work for them")</f>
        <v>Will NOT work for them</v>
      </c>
      <c r="J2094" s="1">
        <f ca="1">IFERROR(__xludf.DUMMYFUNCTION("""COMPUTED_VALUE"""),7)</f>
        <v>7</v>
      </c>
      <c r="K2094" s="1" t="str">
        <f ca="1">IFERROR(__xludf.DUMMYFUNCTION("""COMPUTED_VALUE"""),"Hybrid Working Environment with more than 15 days a month at office")</f>
        <v>Hybrid Working Environment with more than 15 days a month at office</v>
      </c>
      <c r="L20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9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094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2094" s="1" t="str">
        <f ca="1">IFERROR(__xludf.DUMMYFUNCTION("""COMPUTED_VALUE"""),"Manager who explains what is expected, sets a goal and helps achieve it")</f>
        <v>Manager who explains what is expected, sets a goal and helps achieve it</v>
      </c>
      <c r="P2094" s="1" t="str">
        <f ca="1">IFERROR(__xludf.DUMMYFUNCTION("""COMPUTED_VALUE"""),"Work with 2 to 3 people in my team")</f>
        <v>Work with 2 to 3 people in my team</v>
      </c>
      <c r="Q2094" s="1" t="str">
        <f ca="1">IFERROR(__xludf.DUMMYFUNCTION("""COMPUTED_VALUE"""),"Yes")</f>
        <v>Yes</v>
      </c>
      <c r="R2094" s="1" t="str">
        <f ca="1">IFERROR(__xludf.DUMMYFUNCTION("""COMPUTED_VALUE"""),"This will be hard to do, but if it is the right company I would try")</f>
        <v>This will be hard to do, but if it is the right company I would try</v>
      </c>
      <c r="S2094" s="1" t="str">
        <f ca="1">IFERROR(__xludf.DUMMYFUNCTION("""COMPUTED_VALUE"""),"pratikemahale@gmail.com")</f>
        <v>pratikemahale@gmail.com</v>
      </c>
    </row>
    <row r="2095" spans="1:19" ht="12.5" x14ac:dyDescent="0.25">
      <c r="A2095" s="2">
        <f ca="1">IFERROR(__xludf.DUMMYFUNCTION("""COMPUTED_VALUE"""),45063.4669207754)</f>
        <v>45063.466920775398</v>
      </c>
      <c r="B2095" s="1" t="str">
        <f ca="1">IFERROR(__xludf.DUMMYFUNCTION("""COMPUTED_VALUE"""),"India")</f>
        <v>India</v>
      </c>
      <c r="C2095" s="1">
        <f ca="1">IFERROR(__xludf.DUMMYFUNCTION("""COMPUTED_VALUE"""),444801)</f>
        <v>444801</v>
      </c>
      <c r="D2095" s="1" t="str">
        <f ca="1">IFERROR(__xludf.DUMMYFUNCTION("""COMPUTED_VALUE"""),"Male")</f>
        <v>Male</v>
      </c>
      <c r="E2095" s="1" t="str">
        <f ca="1">IFERROR(__xludf.DUMMYFUNCTION("""COMPUTED_VALUE"""),"People from my circle, but not family members")</f>
        <v>People from my circle, but not family members</v>
      </c>
      <c r="F2095" s="1" t="str">
        <f ca="1">IFERROR(__xludf.DUMMYFUNCTION("""COMPUTED_VALUE"""),"Yes, I will earn and do that")</f>
        <v>Yes, I will earn and do that</v>
      </c>
      <c r="G2095" s="1" t="str">
        <f ca="1">IFERROR(__xludf.DUMMYFUNCTION("""COMPUTED_VALUE"""),"This will be hard to do, but if it is the right company I would try")</f>
        <v>This will be hard to do, but if it is the right company I would try</v>
      </c>
      <c r="H2095" s="1" t="str">
        <f ca="1">IFERROR(__xludf.DUMMYFUNCTION("""COMPUTED_VALUE"""),"No")</f>
        <v>No</v>
      </c>
      <c r="I2095" s="1" t="str">
        <f ca="1">IFERROR(__xludf.DUMMYFUNCTION("""COMPUTED_VALUE"""),"Will NOT work for them")</f>
        <v>Will NOT work for them</v>
      </c>
      <c r="J2095" s="1">
        <f ca="1">IFERROR(__xludf.DUMMYFUNCTION("""COMPUTED_VALUE"""),8)</f>
        <v>8</v>
      </c>
      <c r="K2095" s="1" t="str">
        <f ca="1">IFERROR(__xludf.DUMMYFUNCTION("""COMPUTED_VALUE"""),"Fully Remote with No option to visit offices")</f>
        <v>Fully Remote with No option to visit offices</v>
      </c>
      <c r="L20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9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095" s="1" t="str">
        <f ca="1">IFERROR(__xludf.DUMMYFUNCTION("""COMPUTED_VALUE"""),"Design and Develop amazing software, Work as a freelancer and do my thing my way, Become a content Creator in some platform, An Artificial Intelligence Specialist / Talking to Robots")</f>
        <v>Design and Develop amazing software, Work as a freelancer and do my thing my way, Become a content Creator in some platform, An Artificial Intelligence Specialist / Talking to Robots</v>
      </c>
      <c r="O2095" s="1" t="str">
        <f ca="1">IFERROR(__xludf.DUMMYFUNCTION("""COMPUTED_VALUE"""),"Manager who sets goal and helps me achieve it")</f>
        <v>Manager who sets goal and helps me achieve it</v>
      </c>
      <c r="P2095" s="1" t="str">
        <f ca="1">IFERROR(__xludf.DUMMYFUNCTION("""COMPUTED_VALUE"""),"Work with 2 to 3 people in my team")</f>
        <v>Work with 2 to 3 people in my team</v>
      </c>
      <c r="Q2095" s="1" t="str">
        <f ca="1">IFERROR(__xludf.DUMMYFUNCTION("""COMPUTED_VALUE"""),"Yes, I Understand this is gonna happen everywhere")</f>
        <v>Yes, I Understand this is gonna happen everywhere</v>
      </c>
      <c r="R2095" s="1" t="str">
        <f ca="1">IFERROR(__xludf.DUMMYFUNCTION("""COMPUTED_VALUE"""),"This will be hard to do, but if it is the right company I would try")</f>
        <v>This will be hard to do, but if it is the right company I would try</v>
      </c>
      <c r="S2095" s="1" t="str">
        <f ca="1">IFERROR(__xludf.DUMMYFUNCTION("""COMPUTED_VALUE"""),"sameerbobade1312@gmail.com")</f>
        <v>sameerbobade1312@gmail.com</v>
      </c>
    </row>
    <row r="2096" spans="1:19" ht="12.5" x14ac:dyDescent="0.25">
      <c r="A2096" s="2">
        <f ca="1">IFERROR(__xludf.DUMMYFUNCTION("""COMPUTED_VALUE"""),45063.4676058333)</f>
        <v>45063.467605833299</v>
      </c>
      <c r="B2096" s="1" t="str">
        <f ca="1">IFERROR(__xludf.DUMMYFUNCTION("""COMPUTED_VALUE"""),"India")</f>
        <v>India</v>
      </c>
      <c r="C2096" s="1">
        <f ca="1">IFERROR(__xludf.DUMMYFUNCTION("""COMPUTED_VALUE"""),638154)</f>
        <v>638154</v>
      </c>
      <c r="D2096" s="1" t="str">
        <f ca="1">IFERROR(__xludf.DUMMYFUNCTION("""COMPUTED_VALUE"""),"Male")</f>
        <v>Male</v>
      </c>
      <c r="E2096" s="1" t="str">
        <f ca="1">IFERROR(__xludf.DUMMYFUNCTION("""COMPUTED_VALUE"""),"My Parents")</f>
        <v>My Parents</v>
      </c>
      <c r="F2096" s="1" t="str">
        <f ca="1">IFERROR(__xludf.DUMMYFUNCTION("""COMPUTED_VALUE"""),"Yes, I will earn and do that")</f>
        <v>Yes, I will earn and do that</v>
      </c>
      <c r="G2096" s="1" t="str">
        <f ca="1">IFERROR(__xludf.DUMMYFUNCTION("""COMPUTED_VALUE"""),"This will be hard to do, but if it is the right company I would try")</f>
        <v>This will be hard to do, but if it is the right company I would try</v>
      </c>
      <c r="H2096" s="1" t="str">
        <f ca="1">IFERROR(__xludf.DUMMYFUNCTION("""COMPUTED_VALUE"""),"No")</f>
        <v>No</v>
      </c>
      <c r="I2096" s="1" t="str">
        <f ca="1">IFERROR(__xludf.DUMMYFUNCTION("""COMPUTED_VALUE"""),"Will NOT work for them")</f>
        <v>Will NOT work for them</v>
      </c>
      <c r="J2096" s="1">
        <f ca="1">IFERROR(__xludf.DUMMYFUNCTION("""COMPUTED_VALUE"""),1)</f>
        <v>1</v>
      </c>
      <c r="K2096" s="1" t="str">
        <f ca="1">IFERROR(__xludf.DUMMYFUNCTION("""COMPUTED_VALUE"""),"Every Day Office Environment")</f>
        <v>Every Day Office Environment</v>
      </c>
      <c r="L2096" s="1" t="str">
        <f ca="1">IFERROR(__xludf.DUMMYFUNCTION("""COMPUTED_VALUE"""),"Employer who rewards learning and enables that environment")</f>
        <v>Employer who rewards learning and enables that environment</v>
      </c>
      <c r="M209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096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2096" s="1" t="str">
        <f ca="1">IFERROR(__xludf.DUMMYFUNCTION("""COMPUTED_VALUE"""),"Manager who explains what is expected, sets a goal and helps achieve it")</f>
        <v>Manager who explains what is expected, sets a goal and helps achieve it</v>
      </c>
      <c r="P2096" s="1" t="str">
        <f ca="1">IFERROR(__xludf.DUMMYFUNCTION("""COMPUTED_VALUE"""),"Work alone, Work with 5 to 6 people in my team")</f>
        <v>Work alone, Work with 5 to 6 people in my team</v>
      </c>
      <c r="Q2096" s="1" t="str">
        <f ca="1">IFERROR(__xludf.DUMMYFUNCTION("""COMPUTED_VALUE"""),"Yes, I Understand this is gonna happen everywhere")</f>
        <v>Yes, I Understand this is gonna happen everywhere</v>
      </c>
      <c r="R2096" s="1" t="str">
        <f ca="1">IFERROR(__xludf.DUMMYFUNCTION("""COMPUTED_VALUE"""),"This will be hard to do, but if it is the right company I would try")</f>
        <v>This will be hard to do, but if it is the right company I would try</v>
      </c>
      <c r="S2096" s="1" t="str">
        <f ca="1">IFERROR(__xludf.DUMMYFUNCTION("""COMPUTED_VALUE"""),"22ucr503@mail.sjctni.edu")</f>
        <v>22ucr503@mail.sjctni.edu</v>
      </c>
    </row>
    <row r="2097" spans="1:19" ht="12.5" x14ac:dyDescent="0.25">
      <c r="A2097" s="2">
        <f ca="1">IFERROR(__xludf.DUMMYFUNCTION("""COMPUTED_VALUE"""),45063.4691118981)</f>
        <v>45063.469111898099</v>
      </c>
      <c r="B2097" s="1" t="str">
        <f ca="1">IFERROR(__xludf.DUMMYFUNCTION("""COMPUTED_VALUE"""),"India")</f>
        <v>India</v>
      </c>
      <c r="C2097" s="1">
        <f ca="1">IFERROR(__xludf.DUMMYFUNCTION("""COMPUTED_VALUE"""),481661)</f>
        <v>481661</v>
      </c>
      <c r="D2097" s="1" t="str">
        <f ca="1">IFERROR(__xludf.DUMMYFUNCTION("""COMPUTED_VALUE"""),"Female")</f>
        <v>Female</v>
      </c>
      <c r="E2097" s="1" t="str">
        <f ca="1">IFERROR(__xludf.DUMMYFUNCTION("""COMPUTED_VALUE"""),"My Parents")</f>
        <v>My Parents</v>
      </c>
      <c r="F2097" s="1" t="str">
        <f ca="1">IFERROR(__xludf.DUMMYFUNCTION("""COMPUTED_VALUE"""),"No I would not be pursuing Higher Education outside of India")</f>
        <v>No I would not be pursuing Higher Education outside of India</v>
      </c>
      <c r="G2097" s="1" t="str">
        <f ca="1">IFERROR(__xludf.DUMMYFUNCTION("""COMPUTED_VALUE"""),"This will be hard to do, but if it is the right company I would try")</f>
        <v>This will be hard to do, but if it is the right company I would try</v>
      </c>
      <c r="H2097" s="1" t="str">
        <f ca="1">IFERROR(__xludf.DUMMYFUNCTION("""COMPUTED_VALUE"""),"Yes")</f>
        <v>Yes</v>
      </c>
      <c r="I2097" s="1" t="str">
        <f ca="1">IFERROR(__xludf.DUMMYFUNCTION("""COMPUTED_VALUE"""),"Will NOT work for them")</f>
        <v>Will NOT work for them</v>
      </c>
      <c r="J2097" s="1">
        <f ca="1">IFERROR(__xludf.DUMMYFUNCTION("""COMPUTED_VALUE"""),5)</f>
        <v>5</v>
      </c>
      <c r="K2097" s="1" t="str">
        <f ca="1">IFERROR(__xludf.DUMMYFUNCTION("""COMPUTED_VALUE"""),"Fully Remote with Options to travel as and when needed")</f>
        <v>Fully Remote with Options to travel as and when needed</v>
      </c>
      <c r="L2097" s="1" t="str">
        <f ca="1">IFERROR(__xludf.DUMMYFUNCTION("""COMPUTED_VALUE"""),"Employer who appreciates learning and enables that environment")</f>
        <v>Employer who appreciates learning and enables that environment</v>
      </c>
      <c r="M209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097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097" s="1" t="str">
        <f ca="1">IFERROR(__xludf.DUMMYFUNCTION("""COMPUTED_VALUE"""),"Manager who sets goal and helps me achieve it")</f>
        <v>Manager who sets goal and helps me achieve it</v>
      </c>
      <c r="P2097" s="1" t="str">
        <f ca="1">IFERROR(__xludf.DUMMYFUNCTION("""COMPUTED_VALUE"""),"Work with 5 to 6 people in my team")</f>
        <v>Work with 5 to 6 people in my team</v>
      </c>
      <c r="Q2097" s="1" t="str">
        <f ca="1">IFERROR(__xludf.DUMMYFUNCTION("""COMPUTED_VALUE"""),"I have NO other choice")</f>
        <v>I have NO other choice</v>
      </c>
      <c r="R2097" s="1" t="str">
        <f ca="1">IFERROR(__xludf.DUMMYFUNCTION("""COMPUTED_VALUE"""),"No way")</f>
        <v>No way</v>
      </c>
      <c r="S2097" s="1" t="str">
        <f ca="1">IFERROR(__xludf.DUMMYFUNCTION("""COMPUTED_VALUE"""),"dubeymansi51@gmail.com")</f>
        <v>dubeymansi51@gmail.com</v>
      </c>
    </row>
    <row r="2098" spans="1:19" ht="12.5" x14ac:dyDescent="0.25">
      <c r="A2098" s="2">
        <f ca="1">IFERROR(__xludf.DUMMYFUNCTION("""COMPUTED_VALUE"""),45063.4704210763)</f>
        <v>45063.470421076301</v>
      </c>
      <c r="B2098" s="1" t="str">
        <f ca="1">IFERROR(__xludf.DUMMYFUNCTION("""COMPUTED_VALUE"""),"India")</f>
        <v>India</v>
      </c>
      <c r="C2098" s="1">
        <f ca="1">IFERROR(__xludf.DUMMYFUNCTION("""COMPUTED_VALUE"""),533429)</f>
        <v>533429</v>
      </c>
      <c r="D2098" s="1" t="str">
        <f ca="1">IFERROR(__xludf.DUMMYFUNCTION("""COMPUTED_VALUE"""),"Female")</f>
        <v>Female</v>
      </c>
      <c r="E2098" s="1" t="str">
        <f ca="1">IFERROR(__xludf.DUMMYFUNCTION("""COMPUTED_VALUE"""),"Social Media like LinkedIn")</f>
        <v>Social Media like LinkedIn</v>
      </c>
      <c r="F2098" s="1" t="str">
        <f ca="1">IFERROR(__xludf.DUMMYFUNCTION("""COMPUTED_VALUE"""),"No I would not be pursuing Higher Education outside of India")</f>
        <v>No I would not be pursuing Higher Education outside of India</v>
      </c>
      <c r="G2098" s="1" t="str">
        <f ca="1">IFERROR(__xludf.DUMMYFUNCTION("""COMPUTED_VALUE"""),"This will be hard to do, but if it is the right company I would try")</f>
        <v>This will be hard to do, but if it is the right company I would try</v>
      </c>
      <c r="H2098" s="1" t="str">
        <f ca="1">IFERROR(__xludf.DUMMYFUNCTION("""COMPUTED_VALUE"""),"No")</f>
        <v>No</v>
      </c>
      <c r="I2098" s="1" t="str">
        <f ca="1">IFERROR(__xludf.DUMMYFUNCTION("""COMPUTED_VALUE"""),"Will NOT work for them")</f>
        <v>Will NOT work for them</v>
      </c>
      <c r="J2098" s="1">
        <f ca="1">IFERROR(__xludf.DUMMYFUNCTION("""COMPUTED_VALUE"""),1)</f>
        <v>1</v>
      </c>
      <c r="K2098" s="1" t="str">
        <f ca="1">IFERROR(__xludf.DUMMYFUNCTION("""COMPUTED_VALUE"""),"Hybrid Working Environment with less than 3 days a month at office")</f>
        <v>Hybrid Working Environment with less than 3 days a month at office</v>
      </c>
      <c r="L2098" s="1" t="str">
        <f ca="1">IFERROR(__xludf.DUMMYFUNCTION("""COMPUTED_VALUE"""),"Employer who appreciates learning and enables that environment")</f>
        <v>Employer who appreciates learning and enables that environment</v>
      </c>
      <c r="M209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098" s="1" t="str">
        <f ca="1">IFERROR(__xludf.DUMMYFUNCTION("""COMPUTED_VALUE"""),"Design and Creative strategy in any company, Teaching in any of the institutes/colleges/online or offline, Build and develop a Team, Work as a freelancer and do my thing my way")</f>
        <v>Design and Creative strategy in any company, Teaching in any of the institutes/colleges/online or offline, Build and develop a Team, Work as a freelancer and do my thing my way</v>
      </c>
      <c r="O2098" s="1" t="str">
        <f ca="1">IFERROR(__xludf.DUMMYFUNCTION("""COMPUTED_VALUE"""),"Manager who clearly describes what she/he needs")</f>
        <v>Manager who clearly describes what she/he needs</v>
      </c>
      <c r="P2098" s="1" t="str">
        <f ca="1">IFERROR(__xludf.DUMMYFUNCTION("""COMPUTED_VALUE"""),"Work with 2 to 3 people in my team, Work with 7 to 10 or more people in my team")</f>
        <v>Work with 2 to 3 people in my team, Work with 7 to 10 or more people in my team</v>
      </c>
      <c r="Q2098" s="1" t="str">
        <f ca="1">IFERROR(__xludf.DUMMYFUNCTION("""COMPUTED_VALUE"""),"No")</f>
        <v>No</v>
      </c>
      <c r="R2098" s="1" t="str">
        <f ca="1">IFERROR(__xludf.DUMMYFUNCTION("""COMPUTED_VALUE"""),"This will be hard to do, but if it is the right company I would try")</f>
        <v>This will be hard to do, but if it is the right company I would try</v>
      </c>
      <c r="S2098" s="1" t="str">
        <f ca="1">IFERROR(__xludf.DUMMYFUNCTION("""COMPUTED_VALUE"""),"dhanu.bheemuni@gmail.com")</f>
        <v>dhanu.bheemuni@gmail.com</v>
      </c>
    </row>
    <row r="2099" spans="1:19" ht="12.5" x14ac:dyDescent="0.25">
      <c r="A2099" s="2">
        <f ca="1">IFERROR(__xludf.DUMMYFUNCTION("""COMPUTED_VALUE"""),45063.4741192476)</f>
        <v>45063.474119247599</v>
      </c>
      <c r="B2099" s="1" t="str">
        <f ca="1">IFERROR(__xludf.DUMMYFUNCTION("""COMPUTED_VALUE"""),"India")</f>
        <v>India</v>
      </c>
      <c r="C2099" s="1">
        <f ca="1">IFERROR(__xludf.DUMMYFUNCTION("""COMPUTED_VALUE"""),416115)</f>
        <v>416115</v>
      </c>
      <c r="D2099" s="1" t="str">
        <f ca="1">IFERROR(__xludf.DUMMYFUNCTION("""COMPUTED_VALUE"""),"Male")</f>
        <v>Male</v>
      </c>
      <c r="E2099" s="1" t="str">
        <f ca="1">IFERROR(__xludf.DUMMYFUNCTION("""COMPUTED_VALUE"""),"Influencers who had successful careers")</f>
        <v>Influencers who had successful careers</v>
      </c>
      <c r="F2099" s="1" t="str">
        <f ca="1">IFERROR(__xludf.DUMMYFUNCTION("""COMPUTED_VALUE"""),"No I would not be pursuing Higher Education outside of India")</f>
        <v>No I would not be pursuing Higher Education outside of India</v>
      </c>
      <c r="G2099" s="1" t="str">
        <f ca="1">IFERROR(__xludf.DUMMYFUNCTION("""COMPUTED_VALUE"""),"No way")</f>
        <v>No way</v>
      </c>
      <c r="H2099" s="1" t="str">
        <f ca="1">IFERROR(__xludf.DUMMYFUNCTION("""COMPUTED_VALUE"""),"No")</f>
        <v>No</v>
      </c>
      <c r="I2099" s="1" t="str">
        <f ca="1">IFERROR(__xludf.DUMMYFUNCTION("""COMPUTED_VALUE"""),"Will NOT work for them")</f>
        <v>Will NOT work for them</v>
      </c>
      <c r="J2099" s="1">
        <f ca="1">IFERROR(__xludf.DUMMYFUNCTION("""COMPUTED_VALUE"""),7)</f>
        <v>7</v>
      </c>
      <c r="K2099" s="1" t="str">
        <f ca="1">IFERROR(__xludf.DUMMYFUNCTION("""COMPUTED_VALUE"""),"Hybrid Working Environment with less than 3 days a month at office")</f>
        <v>Hybrid Working Environment with less than 3 days a month at office</v>
      </c>
      <c r="L20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09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099" s="1" t="str">
        <f ca="1">IFERROR(__xludf.DUMMYFUNCTION("""COMPUTED_VALUE"""),"Design and Creative strategy in any company, Become a content Creator in some platform, Entrepreneur or Start Up, I Want to sell things/Sales")</f>
        <v>Design and Creative strategy in any company, Become a content Creator in some platform, Entrepreneur or Start Up, I Want to sell things/Sales</v>
      </c>
      <c r="O2099" s="1" t="str">
        <f ca="1">IFERROR(__xludf.DUMMYFUNCTION("""COMPUTED_VALUE"""),"Manager who explains what is expected, sets a goal and helps achieve it")</f>
        <v>Manager who explains what is expected, sets a goal and helps achieve it</v>
      </c>
      <c r="P2099" s="1" t="str">
        <f ca="1">IFERROR(__xludf.DUMMYFUNCTION("""COMPUTED_VALUE"""),"Work with 5 to 6 people in my team")</f>
        <v>Work with 5 to 6 people in my team</v>
      </c>
      <c r="Q2099" s="1" t="str">
        <f ca="1">IFERROR(__xludf.DUMMYFUNCTION("""COMPUTED_VALUE"""),"Yes")</f>
        <v>Yes</v>
      </c>
      <c r="R2099" s="1" t="str">
        <f ca="1">IFERROR(__xludf.DUMMYFUNCTION("""COMPUTED_VALUE"""),"No way")</f>
        <v>No way</v>
      </c>
      <c r="S2099" s="1" t="str">
        <f ca="1">IFERROR(__xludf.DUMMYFUNCTION("""COMPUTED_VALUE"""),"abhinandankolekar03577@gmail.com")</f>
        <v>abhinandankolekar03577@gmail.com</v>
      </c>
    </row>
    <row r="2100" spans="1:19" ht="12.5" x14ac:dyDescent="0.25">
      <c r="A2100" s="2">
        <f ca="1">IFERROR(__xludf.DUMMYFUNCTION("""COMPUTED_VALUE"""),45063.4779607175)</f>
        <v>45063.477960717501</v>
      </c>
      <c r="B2100" s="1" t="str">
        <f ca="1">IFERROR(__xludf.DUMMYFUNCTION("""COMPUTED_VALUE"""),"India")</f>
        <v>India</v>
      </c>
      <c r="C2100" s="1">
        <f ca="1">IFERROR(__xludf.DUMMYFUNCTION("""COMPUTED_VALUE"""),625020)</f>
        <v>625020</v>
      </c>
      <c r="D2100" s="1" t="str">
        <f ca="1">IFERROR(__xludf.DUMMYFUNCTION("""COMPUTED_VALUE"""),"Male")</f>
        <v>Male</v>
      </c>
      <c r="E2100" s="1" t="str">
        <f ca="1">IFERROR(__xludf.DUMMYFUNCTION("""COMPUTED_VALUE"""),"People who have changed the world for better")</f>
        <v>People who have changed the world for better</v>
      </c>
      <c r="F2100" s="1" t="str">
        <f ca="1">IFERROR(__xludf.DUMMYFUNCTION("""COMPUTED_VALUE"""),"Yes, I will earn and do that")</f>
        <v>Yes, I will earn and do that</v>
      </c>
      <c r="G2100" s="1" t="str">
        <f ca="1">IFERROR(__xludf.DUMMYFUNCTION("""COMPUTED_VALUE"""),"Will work for 3 years or more")</f>
        <v>Will work for 3 years or more</v>
      </c>
      <c r="H2100" s="1" t="str">
        <f ca="1">IFERROR(__xludf.DUMMYFUNCTION("""COMPUTED_VALUE"""),"No")</f>
        <v>No</v>
      </c>
      <c r="I2100" s="1" t="str">
        <f ca="1">IFERROR(__xludf.DUMMYFUNCTION("""COMPUTED_VALUE"""),"Will NOT work for them")</f>
        <v>Will NOT work for them</v>
      </c>
      <c r="J2100" s="1">
        <f ca="1">IFERROR(__xludf.DUMMYFUNCTION("""COMPUTED_VALUE"""),3)</f>
        <v>3</v>
      </c>
      <c r="K2100" s="1" t="str">
        <f ca="1">IFERROR(__xludf.DUMMYFUNCTION("""COMPUTED_VALUE"""),"Every Day Office Environment")</f>
        <v>Every Day Office Environment</v>
      </c>
      <c r="L21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00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100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2100" s="1" t="str">
        <f ca="1">IFERROR(__xludf.DUMMYFUNCTION("""COMPUTED_VALUE"""),"Manager who clearly describes what she/he needs")</f>
        <v>Manager who clearly describes what she/he needs</v>
      </c>
      <c r="P2100" s="1" t="str">
        <f ca="1">IFERROR(__xludf.DUMMYFUNCTION("""COMPUTED_VALUE"""),"Work with 7 to 10 or more people in my team")</f>
        <v>Work with 7 to 10 or more people in my team</v>
      </c>
      <c r="Q2100" s="1" t="str">
        <f ca="1">IFERROR(__xludf.DUMMYFUNCTION("""COMPUTED_VALUE"""),"I have NO other choice")</f>
        <v>I have NO other choice</v>
      </c>
      <c r="R2100" s="1" t="str">
        <f ca="1">IFERROR(__xludf.DUMMYFUNCTION("""COMPUTED_VALUE"""),"Will work for 7 years or more")</f>
        <v>Will work for 7 years or more</v>
      </c>
      <c r="S2100" s="1" t="str">
        <f ca="1">IFERROR(__xludf.DUMMYFUNCTION("""COMPUTED_VALUE"""),"abdulahad.ashraftayub@gmail.com")</f>
        <v>abdulahad.ashraftayub@gmail.com</v>
      </c>
    </row>
    <row r="2101" spans="1:19" ht="12.5" x14ac:dyDescent="0.25">
      <c r="A2101" s="2">
        <f ca="1">IFERROR(__xludf.DUMMYFUNCTION("""COMPUTED_VALUE"""),45063.4782602083)</f>
        <v>45063.4782602083</v>
      </c>
      <c r="B2101" s="1" t="str">
        <f ca="1">IFERROR(__xludf.DUMMYFUNCTION("""COMPUTED_VALUE"""),"India")</f>
        <v>India</v>
      </c>
      <c r="C2101" s="1">
        <f ca="1">IFERROR(__xludf.DUMMYFUNCTION("""COMPUTED_VALUE"""),620013)</f>
        <v>620013</v>
      </c>
      <c r="D2101" s="1" t="str">
        <f ca="1">IFERROR(__xludf.DUMMYFUNCTION("""COMPUTED_VALUE"""),"Male")</f>
        <v>Male</v>
      </c>
      <c r="E2101" s="1" t="str">
        <f ca="1">IFERROR(__xludf.DUMMYFUNCTION("""COMPUTED_VALUE"""),"Influencers who had successful careers")</f>
        <v>Influencers who had successful careers</v>
      </c>
      <c r="F2101" s="1" t="str">
        <f ca="1">IFERROR(__xludf.DUMMYFUNCTION("""COMPUTED_VALUE"""),"No, But if someone could bare the cost I will")</f>
        <v>No, But if someone could bare the cost I will</v>
      </c>
      <c r="G2101" s="1" t="str">
        <f ca="1">IFERROR(__xludf.DUMMYFUNCTION("""COMPUTED_VALUE"""),"This will be hard to do, but if it is the right company I would try")</f>
        <v>This will be hard to do, but if it is the right company I would try</v>
      </c>
      <c r="H2101" s="1" t="str">
        <f ca="1">IFERROR(__xludf.DUMMYFUNCTION("""COMPUTED_VALUE"""),"Yes")</f>
        <v>Yes</v>
      </c>
      <c r="I2101" s="1" t="str">
        <f ca="1">IFERROR(__xludf.DUMMYFUNCTION("""COMPUTED_VALUE"""),"Will NOT work for them")</f>
        <v>Will NOT work for them</v>
      </c>
      <c r="J2101" s="1">
        <f ca="1">IFERROR(__xludf.DUMMYFUNCTION("""COMPUTED_VALUE"""),9)</f>
        <v>9</v>
      </c>
      <c r="K2101" s="1" t="str">
        <f ca="1">IFERROR(__xludf.DUMMYFUNCTION("""COMPUTED_VALUE"""),"Hybrid Working Environment with more than 15 days a month at office")</f>
        <v>Hybrid Working Environment with more than 15 days a month at office</v>
      </c>
      <c r="L2101" s="1" t="str">
        <f ca="1">IFERROR(__xludf.DUMMYFUNCTION("""COMPUTED_VALUE"""),"Employer who appreciates learning and enables that environment")</f>
        <v>Employer who appreciates learning and enables that environment</v>
      </c>
      <c r="M210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01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2101" s="1" t="str">
        <f ca="1">IFERROR(__xludf.DUMMYFUNCTION("""COMPUTED_VALUE"""),"Manager who sets targets and expects me to achieve it")</f>
        <v>Manager who sets targets and expects me to achieve it</v>
      </c>
      <c r="P2101" s="1" t="str">
        <f ca="1">IFERROR(__xludf.DUMMYFUNCTION("""COMPUTED_VALUE"""),"Work with 5 to 6 people in my team")</f>
        <v>Work with 5 to 6 people in my team</v>
      </c>
      <c r="Q2101" s="1" t="str">
        <f ca="1">IFERROR(__xludf.DUMMYFUNCTION("""COMPUTED_VALUE"""),"Yes, I Understand this is gonna happen everywhere")</f>
        <v>Yes, I Understand this is gonna happen everywhere</v>
      </c>
      <c r="R2101" s="1" t="str">
        <f ca="1">IFERROR(__xludf.DUMMYFUNCTION("""COMPUTED_VALUE"""),"This will be hard to do, but if it is the right company I would try")</f>
        <v>This will be hard to do, but if it is the right company I would try</v>
      </c>
      <c r="S2101" s="1" t="str">
        <f ca="1">IFERROR(__xludf.DUMMYFUNCTION("""COMPUTED_VALUE"""),"vasanthakumard984@gmail.com")</f>
        <v>vasanthakumard984@gmail.com</v>
      </c>
    </row>
    <row r="2102" spans="1:19" ht="12.5" x14ac:dyDescent="0.25">
      <c r="A2102" s="2">
        <f ca="1">IFERROR(__xludf.DUMMYFUNCTION("""COMPUTED_VALUE"""),45063.4797769907)</f>
        <v>45063.479776990702</v>
      </c>
      <c r="B2102" s="1" t="str">
        <f ca="1">IFERROR(__xludf.DUMMYFUNCTION("""COMPUTED_VALUE"""),"India")</f>
        <v>India</v>
      </c>
      <c r="C2102" s="1">
        <f ca="1">IFERROR(__xludf.DUMMYFUNCTION("""COMPUTED_VALUE"""),110085)</f>
        <v>110085</v>
      </c>
      <c r="D2102" s="1" t="str">
        <f ca="1">IFERROR(__xludf.DUMMYFUNCTION("""COMPUTED_VALUE"""),"Female")</f>
        <v>Female</v>
      </c>
      <c r="E2102" s="1" t="str">
        <f ca="1">IFERROR(__xludf.DUMMYFUNCTION("""COMPUTED_VALUE"""),"My Parents")</f>
        <v>My Parents</v>
      </c>
      <c r="F2102" s="1" t="str">
        <f ca="1">IFERROR(__xludf.DUMMYFUNCTION("""COMPUTED_VALUE"""),"No I would not be pursuing Higher Education outside of India")</f>
        <v>No I would not be pursuing Higher Education outside of India</v>
      </c>
      <c r="G2102" s="1" t="str">
        <f ca="1">IFERROR(__xludf.DUMMYFUNCTION("""COMPUTED_VALUE"""),"Will work for 3 years or more")</f>
        <v>Will work for 3 years or more</v>
      </c>
      <c r="H2102" s="1" t="str">
        <f ca="1">IFERROR(__xludf.DUMMYFUNCTION("""COMPUTED_VALUE"""),"No")</f>
        <v>No</v>
      </c>
      <c r="I2102" s="1" t="str">
        <f ca="1">IFERROR(__xludf.DUMMYFUNCTION("""COMPUTED_VALUE"""),"Will NOT work for them")</f>
        <v>Will NOT work for them</v>
      </c>
      <c r="J2102" s="1">
        <f ca="1">IFERROR(__xludf.DUMMYFUNCTION("""COMPUTED_VALUE"""),7)</f>
        <v>7</v>
      </c>
      <c r="K2102" s="1" t="str">
        <f ca="1">IFERROR(__xludf.DUMMYFUNCTION("""COMPUTED_VALUE"""),"Hybrid Working Environment with more than 15 days a month at office")</f>
        <v>Hybrid Working Environment with more than 15 days a month at office</v>
      </c>
      <c r="L21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0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102" s="1" t="str">
        <f ca="1">IFERROR(__xludf.DUMMYFUNCTION("""COMPUTED_VALUE"""),"Design and Creative strategy in any company, Teaching in any of the institutes/colleges/online or offline, Work as a freelancer and do my thing my way, Become a content Creator in some platform")</f>
        <v>Design and Creative strategy in any company, Teaching in any of the institutes/colleges/online or offline, Work as a freelancer and do my thing my way, Become a content Creator in some platform</v>
      </c>
      <c r="O2102" s="1" t="str">
        <f ca="1">IFERROR(__xludf.DUMMYFUNCTION("""COMPUTED_VALUE"""),"Manager who explains what is expected, sets a goal and helps achieve it")</f>
        <v>Manager who explains what is expected, sets a goal and helps achieve it</v>
      </c>
      <c r="P2102" s="1" t="str">
        <f ca="1">IFERROR(__xludf.DUMMYFUNCTION("""COMPUTED_VALUE"""),"Work with 2 to 3 people in my team, Work with 5 to 6 people in my team")</f>
        <v>Work with 2 to 3 people in my team, Work with 5 to 6 people in my team</v>
      </c>
      <c r="Q2102" s="1" t="str">
        <f ca="1">IFERROR(__xludf.DUMMYFUNCTION("""COMPUTED_VALUE"""),"Yes, I Understand this is gonna happen everywhere")</f>
        <v>Yes, I Understand this is gonna happen everywhere</v>
      </c>
      <c r="R2102" s="1" t="str">
        <f ca="1">IFERROR(__xludf.DUMMYFUNCTION("""COMPUTED_VALUE"""),"Will work for 7 years or more")</f>
        <v>Will work for 7 years or more</v>
      </c>
      <c r="S2102" s="1" t="str">
        <f ca="1">IFERROR(__xludf.DUMMYFUNCTION("""COMPUTED_VALUE"""),"nikitasud04@gmail.com")</f>
        <v>nikitasud04@gmail.com</v>
      </c>
    </row>
    <row r="2103" spans="1:19" ht="12.5" x14ac:dyDescent="0.25">
      <c r="A2103" s="2">
        <f ca="1">IFERROR(__xludf.DUMMYFUNCTION("""COMPUTED_VALUE"""),45063.4805318287)</f>
        <v>45063.480531828704</v>
      </c>
      <c r="B2103" s="1" t="str">
        <f ca="1">IFERROR(__xludf.DUMMYFUNCTION("""COMPUTED_VALUE"""),"India")</f>
        <v>India</v>
      </c>
      <c r="C2103" s="1">
        <f ca="1">IFERROR(__xludf.DUMMYFUNCTION("""COMPUTED_VALUE"""),800024)</f>
        <v>800024</v>
      </c>
      <c r="D2103" s="1" t="str">
        <f ca="1">IFERROR(__xludf.DUMMYFUNCTION("""COMPUTED_VALUE"""),"Female")</f>
        <v>Female</v>
      </c>
      <c r="E2103" s="1" t="str">
        <f ca="1">IFERROR(__xludf.DUMMYFUNCTION("""COMPUTED_VALUE"""),"My Parents")</f>
        <v>My Parents</v>
      </c>
      <c r="F2103" s="1" t="str">
        <f ca="1">IFERROR(__xludf.DUMMYFUNCTION("""COMPUTED_VALUE"""),"No, But if someone could bare the cost I will")</f>
        <v>No, But if someone could bare the cost I will</v>
      </c>
      <c r="G2103" s="1" t="str">
        <f ca="1">IFERROR(__xludf.DUMMYFUNCTION("""COMPUTED_VALUE"""),"This will be hard to do, but if it is the right company I would try")</f>
        <v>This will be hard to do, but if it is the right company I would try</v>
      </c>
      <c r="H2103" s="1" t="str">
        <f ca="1">IFERROR(__xludf.DUMMYFUNCTION("""COMPUTED_VALUE"""),"No")</f>
        <v>No</v>
      </c>
      <c r="I2103" s="1" t="str">
        <f ca="1">IFERROR(__xludf.DUMMYFUNCTION("""COMPUTED_VALUE"""),"Will NOT work for them")</f>
        <v>Will NOT work for them</v>
      </c>
      <c r="J2103" s="1">
        <f ca="1">IFERROR(__xludf.DUMMYFUNCTION("""COMPUTED_VALUE"""),3)</f>
        <v>3</v>
      </c>
      <c r="K2103" s="1" t="str">
        <f ca="1">IFERROR(__xludf.DUMMYFUNCTION("""COMPUTED_VALUE"""),"Hybrid Working Environment with more than 15 days a month at office")</f>
        <v>Hybrid Working Environment with more than 15 days a month at office</v>
      </c>
      <c r="L21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0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03" s="1" t="str">
        <f ca="1">IFERROR(__xludf.DUMMYFUNCTION("""COMPUTED_VALUE"""),"Design and Creative strategy in any company, Build and develop a Team, Become a content Creator in some platform, Entrepreneur or Start Up")</f>
        <v>Design and Creative strategy in any company, Build and develop a Team, Become a content Creator in some platform, Entrepreneur or Start Up</v>
      </c>
      <c r="O210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03" s="1" t="str">
        <f ca="1">IFERROR(__xludf.DUMMYFUNCTION("""COMPUTED_VALUE"""),"Work with 2 to 3 people in my team")</f>
        <v>Work with 2 to 3 people in my team</v>
      </c>
      <c r="Q2103" s="1" t="str">
        <f ca="1">IFERROR(__xludf.DUMMYFUNCTION("""COMPUTED_VALUE"""),"Yes, I Understand this is gonna happen everywhere")</f>
        <v>Yes, I Understand this is gonna happen everywhere</v>
      </c>
      <c r="R2103" s="1" t="str">
        <f ca="1">IFERROR(__xludf.DUMMYFUNCTION("""COMPUTED_VALUE"""),"No way")</f>
        <v>No way</v>
      </c>
      <c r="S2103" s="1" t="str">
        <f ca="1">IFERROR(__xludf.DUMMYFUNCTION("""COMPUTED_VALUE"""),"shubhangigupta053@gmail.com")</f>
        <v>shubhangigupta053@gmail.com</v>
      </c>
    </row>
    <row r="2104" spans="1:19" ht="12.5" x14ac:dyDescent="0.25">
      <c r="A2104" s="2">
        <f ca="1">IFERROR(__xludf.DUMMYFUNCTION("""COMPUTED_VALUE"""),45063.4840383564)</f>
        <v>45063.484038356401</v>
      </c>
      <c r="B2104" s="1" t="str">
        <f ca="1">IFERROR(__xludf.DUMMYFUNCTION("""COMPUTED_VALUE"""),"India")</f>
        <v>India</v>
      </c>
      <c r="C2104" s="1">
        <f ca="1">IFERROR(__xludf.DUMMYFUNCTION("""COMPUTED_VALUE"""),110005)</f>
        <v>110005</v>
      </c>
      <c r="D2104" s="1" t="str">
        <f ca="1">IFERROR(__xludf.DUMMYFUNCTION("""COMPUTED_VALUE"""),"Female")</f>
        <v>Female</v>
      </c>
      <c r="E2104" s="1" t="str">
        <f ca="1">IFERROR(__xludf.DUMMYFUNCTION("""COMPUTED_VALUE"""),"My Parents")</f>
        <v>My Parents</v>
      </c>
      <c r="F2104" s="1" t="str">
        <f ca="1">IFERROR(__xludf.DUMMYFUNCTION("""COMPUTED_VALUE"""),"No, But if someone could bare the cost I will")</f>
        <v>No, But if someone could bare the cost I will</v>
      </c>
      <c r="G2104" s="1" t="str">
        <f ca="1">IFERROR(__xludf.DUMMYFUNCTION("""COMPUTED_VALUE"""),"This will be hard to do, but if it is the right company I would try")</f>
        <v>This will be hard to do, but if it is the right company I would try</v>
      </c>
      <c r="H2104" s="1" t="str">
        <f ca="1">IFERROR(__xludf.DUMMYFUNCTION("""COMPUTED_VALUE"""),"No")</f>
        <v>No</v>
      </c>
      <c r="I2104" s="1" t="str">
        <f ca="1">IFERROR(__xludf.DUMMYFUNCTION("""COMPUTED_VALUE"""),"Will NOT work for them")</f>
        <v>Will NOT work for them</v>
      </c>
      <c r="J2104" s="1">
        <f ca="1">IFERROR(__xludf.DUMMYFUNCTION("""COMPUTED_VALUE"""),1)</f>
        <v>1</v>
      </c>
      <c r="K2104" s="1" t="str">
        <f ca="1">IFERROR(__xludf.DUMMYFUNCTION("""COMPUTED_VALUE"""),"Fully Remote with Options to travel as and when needed")</f>
        <v>Fully Remote with Options to travel as and when needed</v>
      </c>
      <c r="L2104" s="1" t="str">
        <f ca="1">IFERROR(__xludf.DUMMYFUNCTION("""COMPUTED_VALUE"""),"Employer who appreciates learning and enables that environment")</f>
        <v>Employer who appreciates learning and enables that environment</v>
      </c>
      <c r="M2104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104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2104" s="1" t="str">
        <f ca="1">IFERROR(__xludf.DUMMYFUNCTION("""COMPUTED_VALUE"""),"Manager who explains what is expected, sets a goal and helps achieve it")</f>
        <v>Manager who explains what is expected, sets a goal and helps achieve it</v>
      </c>
      <c r="P2104" s="1" t="str">
        <f ca="1">IFERROR(__xludf.DUMMYFUNCTION("""COMPUTED_VALUE"""),"Work with more than 10 people in my team")</f>
        <v>Work with more than 10 people in my team</v>
      </c>
      <c r="Q2104" s="1" t="str">
        <f ca="1">IFERROR(__xludf.DUMMYFUNCTION("""COMPUTED_VALUE"""),"I have NO other choice")</f>
        <v>I have NO other choice</v>
      </c>
      <c r="R2104" s="1" t="str">
        <f ca="1">IFERROR(__xludf.DUMMYFUNCTION("""COMPUTED_VALUE"""),"This will be hard to do, but if it is the right company I would try")</f>
        <v>This will be hard to do, but if it is the right company I would try</v>
      </c>
      <c r="S2104" s="1" t="str">
        <f ca="1">IFERROR(__xludf.DUMMYFUNCTION("""COMPUTED_VALUE"""),"dikshapuri1503@gmail.com")</f>
        <v>dikshapuri1503@gmail.com</v>
      </c>
    </row>
    <row r="2105" spans="1:19" ht="12.5" x14ac:dyDescent="0.25">
      <c r="A2105" s="2">
        <f ca="1">IFERROR(__xludf.DUMMYFUNCTION("""COMPUTED_VALUE"""),45063.4850742708)</f>
        <v>45063.4850742708</v>
      </c>
      <c r="B2105" s="1" t="str">
        <f ca="1">IFERROR(__xludf.DUMMYFUNCTION("""COMPUTED_VALUE"""),"India")</f>
        <v>India</v>
      </c>
      <c r="C2105" s="1">
        <f ca="1">IFERROR(__xludf.DUMMYFUNCTION("""COMPUTED_VALUE"""),411007)</f>
        <v>411007</v>
      </c>
      <c r="D2105" s="1" t="str">
        <f ca="1">IFERROR(__xludf.DUMMYFUNCTION("""COMPUTED_VALUE"""),"Male")</f>
        <v>Male</v>
      </c>
      <c r="E2105" s="1" t="str">
        <f ca="1">IFERROR(__xludf.DUMMYFUNCTION("""COMPUTED_VALUE"""),"People who have changed the world for better")</f>
        <v>People who have changed the world for better</v>
      </c>
      <c r="F2105" s="1" t="str">
        <f ca="1">IFERROR(__xludf.DUMMYFUNCTION("""COMPUTED_VALUE"""),"No I would not be pursuing Higher Education outside of India")</f>
        <v>No I would not be pursuing Higher Education outside of India</v>
      </c>
      <c r="G2105" s="1" t="str">
        <f ca="1">IFERROR(__xludf.DUMMYFUNCTION("""COMPUTED_VALUE"""),"Will work for 3 years or more")</f>
        <v>Will work for 3 years or more</v>
      </c>
      <c r="H2105" s="1" t="str">
        <f ca="1">IFERROR(__xludf.DUMMYFUNCTION("""COMPUTED_VALUE"""),"No")</f>
        <v>No</v>
      </c>
      <c r="I2105" s="1" t="str">
        <f ca="1">IFERROR(__xludf.DUMMYFUNCTION("""COMPUTED_VALUE"""),"Will NOT work for them")</f>
        <v>Will NOT work for them</v>
      </c>
      <c r="J2105" s="1">
        <f ca="1">IFERROR(__xludf.DUMMYFUNCTION("""COMPUTED_VALUE"""),8)</f>
        <v>8</v>
      </c>
      <c r="K2105" s="1" t="str">
        <f ca="1">IFERROR(__xludf.DUMMYFUNCTION("""COMPUTED_VALUE"""),"Hybrid Working Environment with more than 15 days a month at office")</f>
        <v>Hybrid Working Environment with more than 15 days a month at office</v>
      </c>
      <c r="L21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0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05" s="1" t="str">
        <f ca="1">IFERROR(__xludf.DUMMYFUNCTION("""COMPUTED_VALUE"""),"Build and develop a Team, Design and Develop amazing software, Work as a freelancer and do my thing my way, Become a content Creator in some platform")</f>
        <v>Build and develop a Team, Design and Develop amazing software, Work as a freelancer and do my thing my way, Become a content Creator in some platform</v>
      </c>
      <c r="O2105" s="1" t="str">
        <f ca="1">IFERROR(__xludf.DUMMYFUNCTION("""COMPUTED_VALUE"""),"Manager who explains what is expected, sets a goal and helps achieve it")</f>
        <v>Manager who explains what is expected, sets a goal and helps achieve it</v>
      </c>
      <c r="P2105" s="1" t="str">
        <f ca="1">IFERROR(__xludf.DUMMYFUNCTION("""COMPUTED_VALUE"""),"Work with 5 to 6 people in my team")</f>
        <v>Work with 5 to 6 people in my team</v>
      </c>
      <c r="Q2105" s="1" t="str">
        <f ca="1">IFERROR(__xludf.DUMMYFUNCTION("""COMPUTED_VALUE"""),"No")</f>
        <v>No</v>
      </c>
      <c r="R2105" s="1" t="str">
        <f ca="1">IFERROR(__xludf.DUMMYFUNCTION("""COMPUTED_VALUE"""),"Will work for 7 years or more")</f>
        <v>Will work for 7 years or more</v>
      </c>
      <c r="S2105" s="1" t="str">
        <f ca="1">IFERROR(__xludf.DUMMYFUNCTION("""COMPUTED_VALUE"""),"amey27596@gmail.com")</f>
        <v>amey27596@gmail.com</v>
      </c>
    </row>
    <row r="2106" spans="1:19" ht="12.5" x14ac:dyDescent="0.25">
      <c r="A2106" s="2">
        <f ca="1">IFERROR(__xludf.DUMMYFUNCTION("""COMPUTED_VALUE"""),45063.4854842129)</f>
        <v>45063.485484212899</v>
      </c>
      <c r="B2106" s="1" t="str">
        <f ca="1">IFERROR(__xludf.DUMMYFUNCTION("""COMPUTED_VALUE"""),"India")</f>
        <v>India</v>
      </c>
      <c r="C2106" s="1">
        <f ca="1">IFERROR(__xludf.DUMMYFUNCTION("""COMPUTED_VALUE"""),122102)</f>
        <v>122102</v>
      </c>
      <c r="D2106" s="1" t="str">
        <f ca="1">IFERROR(__xludf.DUMMYFUNCTION("""COMPUTED_VALUE"""),"Female")</f>
        <v>Female</v>
      </c>
      <c r="E2106" s="1" t="str">
        <f ca="1">IFERROR(__xludf.DUMMYFUNCTION("""COMPUTED_VALUE"""),"People from my circle, but not family members")</f>
        <v>People from my circle, but not family members</v>
      </c>
      <c r="F2106" s="1" t="str">
        <f ca="1">IFERROR(__xludf.DUMMYFUNCTION("""COMPUTED_VALUE"""),"Yes, I will earn and do that")</f>
        <v>Yes, I will earn and do that</v>
      </c>
      <c r="G2106" s="1" t="str">
        <f ca="1">IFERROR(__xludf.DUMMYFUNCTION("""COMPUTED_VALUE"""),"Will work for 3 years or more")</f>
        <v>Will work for 3 years or more</v>
      </c>
      <c r="H2106" s="1" t="str">
        <f ca="1">IFERROR(__xludf.DUMMYFUNCTION("""COMPUTED_VALUE"""),"No")</f>
        <v>No</v>
      </c>
      <c r="I2106" s="1" t="str">
        <f ca="1">IFERROR(__xludf.DUMMYFUNCTION("""COMPUTED_VALUE"""),"Will NOT work for them")</f>
        <v>Will NOT work for them</v>
      </c>
      <c r="J2106" s="1">
        <f ca="1">IFERROR(__xludf.DUMMYFUNCTION("""COMPUTED_VALUE"""),2)</f>
        <v>2</v>
      </c>
      <c r="K2106" s="1" t="str">
        <f ca="1">IFERROR(__xludf.DUMMYFUNCTION("""COMPUTED_VALUE"""),"Every Day Office Environment")</f>
        <v>Every Day Office Environment</v>
      </c>
      <c r="L2106" s="1" t="str">
        <f ca="1">IFERROR(__xludf.DUMMYFUNCTION("""COMPUTED_VALUE"""),"Employer who appreciates learning and enables that environment")</f>
        <v>Employer who appreciates learning and enables that environment</v>
      </c>
      <c r="M210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06" s="1" t="str">
        <f ca="1">IFERROR(__xludf.DUMMYFUNCTION("""COMPUTED_VALUE"""),"Teaching in any of the institutes/colleges/online or offline, Manage and drive End-to-End Projects or Products, Entrepreneur or Start Up, An Artificial Intelligence Specialist / Talking to Robots")</f>
        <v>Teaching in any of the institutes/colleges/online or offline, Manage and drive End-to-End Projects or Products, Entrepreneur or Start Up, An Artificial Intelligence Specialist / Talking to Robots</v>
      </c>
      <c r="O2106" s="1" t="str">
        <f ca="1">IFERROR(__xludf.DUMMYFUNCTION("""COMPUTED_VALUE"""),"Manager who explains what is expected, sets a goal and helps achieve it")</f>
        <v>Manager who explains what is expected, sets a goal and helps achieve it</v>
      </c>
      <c r="P2106" s="1" t="str">
        <f ca="1">IFERROR(__xludf.DUMMYFUNCTION("""COMPUTED_VALUE"""),"Work with 2 to 3 people in my team")</f>
        <v>Work with 2 to 3 people in my team</v>
      </c>
      <c r="Q2106" s="1" t="str">
        <f ca="1">IFERROR(__xludf.DUMMYFUNCTION("""COMPUTED_VALUE"""),"Yes, I Understand this is gonna happen everywhere")</f>
        <v>Yes, I Understand this is gonna happen everywhere</v>
      </c>
      <c r="R2106" s="1" t="str">
        <f ca="1">IFERROR(__xludf.DUMMYFUNCTION("""COMPUTED_VALUE"""),"This will be hard to do, but if it is the right company I would try")</f>
        <v>This will be hard to do, but if it is the right company I would try</v>
      </c>
      <c r="S2106" s="1" t="str">
        <f ca="1">IFERROR(__xludf.DUMMYFUNCTION("""COMPUTED_VALUE"""),"bhawnaraghav369@gmail.com")</f>
        <v>bhawnaraghav369@gmail.com</v>
      </c>
    </row>
    <row r="2107" spans="1:19" ht="12.5" x14ac:dyDescent="0.25">
      <c r="A2107" s="2">
        <f ca="1">IFERROR(__xludf.DUMMYFUNCTION("""COMPUTED_VALUE"""),45063.4864363657)</f>
        <v>45063.486436365703</v>
      </c>
      <c r="B2107" s="1" t="str">
        <f ca="1">IFERROR(__xludf.DUMMYFUNCTION("""COMPUTED_VALUE"""),"India")</f>
        <v>India</v>
      </c>
      <c r="C2107" s="1">
        <f ca="1">IFERROR(__xludf.DUMMYFUNCTION("""COMPUTED_VALUE"""),462033)</f>
        <v>462033</v>
      </c>
      <c r="D2107" s="1" t="str">
        <f ca="1">IFERROR(__xludf.DUMMYFUNCTION("""COMPUTED_VALUE"""),"Female")</f>
        <v>Female</v>
      </c>
      <c r="E2107" s="1" t="str">
        <f ca="1">IFERROR(__xludf.DUMMYFUNCTION("""COMPUTED_VALUE"""),"People who have changed the world for better")</f>
        <v>People who have changed the world for better</v>
      </c>
      <c r="F2107" s="1" t="str">
        <f ca="1">IFERROR(__xludf.DUMMYFUNCTION("""COMPUTED_VALUE"""),"Yes, I will earn and do that")</f>
        <v>Yes, I will earn and do that</v>
      </c>
      <c r="G2107" s="1" t="str">
        <f ca="1">IFERROR(__xludf.DUMMYFUNCTION("""COMPUTED_VALUE"""),"This will be hard to do, but if it is the right company I would try")</f>
        <v>This will be hard to do, but if it is the right company I would try</v>
      </c>
      <c r="H2107" s="1" t="str">
        <f ca="1">IFERROR(__xludf.DUMMYFUNCTION("""COMPUTED_VALUE"""),"No")</f>
        <v>No</v>
      </c>
      <c r="I2107" s="1" t="str">
        <f ca="1">IFERROR(__xludf.DUMMYFUNCTION("""COMPUTED_VALUE"""),"Will NOT work for them")</f>
        <v>Will NOT work for them</v>
      </c>
      <c r="J2107" s="1">
        <f ca="1">IFERROR(__xludf.DUMMYFUNCTION("""COMPUTED_VALUE"""),4)</f>
        <v>4</v>
      </c>
      <c r="K2107" s="1" t="str">
        <f ca="1">IFERROR(__xludf.DUMMYFUNCTION("""COMPUTED_VALUE"""),"Hybrid Working Environment with more than 15 days a month at office")</f>
        <v>Hybrid Working Environment with more than 15 days a month at office</v>
      </c>
      <c r="L21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07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107" s="1" t="str">
        <f ca="1">IFERROR(__xludf.DUMMYFUNCTION("""COMPUTED_VALUE"""),"Manager who sets goal and helps me achieve it")</f>
        <v>Manager who sets goal and helps me achieve it</v>
      </c>
      <c r="P2107" s="1" t="str">
        <f ca="1">IFERROR(__xludf.DUMMYFUNCTION("""COMPUTED_VALUE"""),"Work with 2 to 3 people in my team")</f>
        <v>Work with 2 to 3 people in my team</v>
      </c>
      <c r="Q2107" s="1" t="str">
        <f ca="1">IFERROR(__xludf.DUMMYFUNCTION("""COMPUTED_VALUE"""),"Yes")</f>
        <v>Yes</v>
      </c>
      <c r="R2107" s="1" t="str">
        <f ca="1">IFERROR(__xludf.DUMMYFUNCTION("""COMPUTED_VALUE"""),"This will be hard to do, but if it is the right company I would try")</f>
        <v>This will be hard to do, but if it is the right company I would try</v>
      </c>
      <c r="S2107" s="1" t="str">
        <f ca="1">IFERROR(__xludf.DUMMYFUNCTION("""COMPUTED_VALUE"""),"moulidubey07@gmail.com")</f>
        <v>moulidubey07@gmail.com</v>
      </c>
    </row>
    <row r="2108" spans="1:19" ht="12.5" x14ac:dyDescent="0.25">
      <c r="A2108" s="2">
        <f ca="1">IFERROR(__xludf.DUMMYFUNCTION("""COMPUTED_VALUE"""),45063.4874960763)</f>
        <v>45063.487496076297</v>
      </c>
      <c r="B2108" s="1" t="str">
        <f ca="1">IFERROR(__xludf.DUMMYFUNCTION("""COMPUTED_VALUE"""),"India")</f>
        <v>India</v>
      </c>
      <c r="C2108" s="1">
        <f ca="1">IFERROR(__xludf.DUMMYFUNCTION("""COMPUTED_VALUE"""),500097)</f>
        <v>500097</v>
      </c>
      <c r="D2108" s="1" t="str">
        <f ca="1">IFERROR(__xludf.DUMMYFUNCTION("""COMPUTED_VALUE"""),"Male")</f>
        <v>Male</v>
      </c>
      <c r="E2108" s="1" t="str">
        <f ca="1">IFERROR(__xludf.DUMMYFUNCTION("""COMPUTED_VALUE"""),"Influencers who had successful careers")</f>
        <v>Influencers who had successful careers</v>
      </c>
      <c r="F2108" s="1" t="str">
        <f ca="1">IFERROR(__xludf.DUMMYFUNCTION("""COMPUTED_VALUE"""),"No I would not be pursuing Higher Education outside of India")</f>
        <v>No I would not be pursuing Higher Education outside of India</v>
      </c>
      <c r="G2108" s="1" t="str">
        <f ca="1">IFERROR(__xludf.DUMMYFUNCTION("""COMPUTED_VALUE"""),"Will work for 3 years or more")</f>
        <v>Will work for 3 years or more</v>
      </c>
      <c r="H2108" s="1" t="str">
        <f ca="1">IFERROR(__xludf.DUMMYFUNCTION("""COMPUTED_VALUE"""),"Yes")</f>
        <v>Yes</v>
      </c>
      <c r="I2108" s="1" t="str">
        <f ca="1">IFERROR(__xludf.DUMMYFUNCTION("""COMPUTED_VALUE"""),"Will work for them")</f>
        <v>Will work for them</v>
      </c>
      <c r="J2108" s="1">
        <f ca="1">IFERROR(__xludf.DUMMYFUNCTION("""COMPUTED_VALUE"""),7)</f>
        <v>7</v>
      </c>
      <c r="K2108" s="1" t="str">
        <f ca="1">IFERROR(__xludf.DUMMYFUNCTION("""COMPUTED_VALUE"""),"Hybrid Working Environment with more than 15 days a month at office")</f>
        <v>Hybrid Working Environment with more than 15 days a month at office</v>
      </c>
      <c r="L2108" s="1" t="str">
        <f ca="1">IFERROR(__xludf.DUMMYFUNCTION("""COMPUTED_VALUE"""),"Employer who appreciates learning and enables that environment")</f>
        <v>Employer who appreciates learning and enables that environment</v>
      </c>
      <c r="M210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108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108" s="1" t="str">
        <f ca="1">IFERROR(__xludf.DUMMYFUNCTION("""COMPUTED_VALUE"""),"Manager who sets goal and helps me achieve it")</f>
        <v>Manager who sets goal and helps me achieve it</v>
      </c>
      <c r="P2108" s="1" t="str">
        <f ca="1">IFERROR(__xludf.DUMMYFUNCTION("""COMPUTED_VALUE"""),"Work with 2 to 3 people in my team")</f>
        <v>Work with 2 to 3 people in my team</v>
      </c>
      <c r="Q2108" s="1" t="str">
        <f ca="1">IFERROR(__xludf.DUMMYFUNCTION("""COMPUTED_VALUE"""),"No")</f>
        <v>No</v>
      </c>
      <c r="R2108" s="1" t="str">
        <f ca="1">IFERROR(__xludf.DUMMYFUNCTION("""COMPUTED_VALUE"""),"Will work for 7 years or more")</f>
        <v>Will work for 7 years or more</v>
      </c>
      <c r="S2108" s="1" t="str">
        <f ca="1">IFERROR(__xludf.DUMMYFUNCTION("""COMPUTED_VALUE"""),"jagan.rampalli209@gmail.com")</f>
        <v>jagan.rampalli209@gmail.com</v>
      </c>
    </row>
    <row r="2109" spans="1:19" ht="12.5" x14ac:dyDescent="0.25">
      <c r="A2109" s="2">
        <f ca="1">IFERROR(__xludf.DUMMYFUNCTION("""COMPUTED_VALUE"""),45063.4919115277)</f>
        <v>45063.491911527701</v>
      </c>
      <c r="B2109" s="1" t="str">
        <f ca="1">IFERROR(__xludf.DUMMYFUNCTION("""COMPUTED_VALUE"""),"India")</f>
        <v>India</v>
      </c>
      <c r="C2109" s="1">
        <f ca="1">IFERROR(__xludf.DUMMYFUNCTION("""COMPUTED_VALUE"""),533242)</f>
        <v>533242</v>
      </c>
      <c r="D2109" s="1" t="str">
        <f ca="1">IFERROR(__xludf.DUMMYFUNCTION("""COMPUTED_VALUE"""),"Female")</f>
        <v>Female</v>
      </c>
      <c r="E2109" s="1" t="str">
        <f ca="1">IFERROR(__xludf.DUMMYFUNCTION("""COMPUTED_VALUE"""),"People who have changed the world for better")</f>
        <v>People who have changed the world for better</v>
      </c>
      <c r="F2109" s="1" t="str">
        <f ca="1">IFERROR(__xludf.DUMMYFUNCTION("""COMPUTED_VALUE"""),"No I would not be pursuing Higher Education outside of India")</f>
        <v>No I would not be pursuing Higher Education outside of India</v>
      </c>
      <c r="G2109" s="1" t="str">
        <f ca="1">IFERROR(__xludf.DUMMYFUNCTION("""COMPUTED_VALUE"""),"This will be hard to do, but if it is the right company I would try")</f>
        <v>This will be hard to do, but if it is the right company I would try</v>
      </c>
      <c r="H2109" s="1" t="str">
        <f ca="1">IFERROR(__xludf.DUMMYFUNCTION("""COMPUTED_VALUE"""),"No")</f>
        <v>No</v>
      </c>
      <c r="I2109" s="1" t="str">
        <f ca="1">IFERROR(__xludf.DUMMYFUNCTION("""COMPUTED_VALUE"""),"Will NOT work for them")</f>
        <v>Will NOT work for them</v>
      </c>
      <c r="J2109" s="1">
        <f ca="1">IFERROR(__xludf.DUMMYFUNCTION("""COMPUTED_VALUE"""),1)</f>
        <v>1</v>
      </c>
      <c r="K2109" s="1" t="str">
        <f ca="1">IFERROR(__xludf.DUMMYFUNCTION("""COMPUTED_VALUE"""),"Every Day Office Environment")</f>
        <v>Every Day Office Environment</v>
      </c>
      <c r="L21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09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2109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2109" s="1" t="str">
        <f ca="1">IFERROR(__xludf.DUMMYFUNCTION("""COMPUTED_VALUE"""),"Manager who explains what is expected, sets a goal and helps achieve it")</f>
        <v>Manager who explains what is expected, sets a goal and helps achieve it</v>
      </c>
      <c r="P2109" s="1" t="str">
        <f ca="1">IFERROR(__xludf.DUMMYFUNCTION("""COMPUTED_VALUE"""),"Work with 5 to 6 people in my team")</f>
        <v>Work with 5 to 6 people in my team</v>
      </c>
      <c r="Q2109" s="1" t="str">
        <f ca="1">IFERROR(__xludf.DUMMYFUNCTION("""COMPUTED_VALUE"""),"Yes, I Understand this is gonna happen everywhere")</f>
        <v>Yes, I Understand this is gonna happen everywhere</v>
      </c>
      <c r="R2109" s="1" t="str">
        <f ca="1">IFERROR(__xludf.DUMMYFUNCTION("""COMPUTED_VALUE"""),"This will be hard to do, but if it is the right company I would try")</f>
        <v>This will be hard to do, but if it is the right company I would try</v>
      </c>
      <c r="S2109" s="1" t="str">
        <f ca="1">IFERROR(__xludf.DUMMYFUNCTION("""COMPUTED_VALUE"""),"kbsskala99@gmail.com")</f>
        <v>kbsskala99@gmail.com</v>
      </c>
    </row>
    <row r="2110" spans="1:19" ht="12.5" x14ac:dyDescent="0.25">
      <c r="A2110" s="2">
        <f ca="1">IFERROR(__xludf.DUMMYFUNCTION("""COMPUTED_VALUE"""),45063.4920663194)</f>
        <v>45063.492066319399</v>
      </c>
      <c r="B2110" s="1" t="str">
        <f ca="1">IFERROR(__xludf.DUMMYFUNCTION("""COMPUTED_VALUE"""),"India")</f>
        <v>India</v>
      </c>
      <c r="C2110" s="1">
        <f ca="1">IFERROR(__xludf.DUMMYFUNCTION("""COMPUTED_VALUE"""),444704)</f>
        <v>444704</v>
      </c>
      <c r="D2110" s="1" t="str">
        <f ca="1">IFERROR(__xludf.DUMMYFUNCTION("""COMPUTED_VALUE"""),"Female")</f>
        <v>Female</v>
      </c>
      <c r="E2110" s="1" t="str">
        <f ca="1">IFERROR(__xludf.DUMMYFUNCTION("""COMPUTED_VALUE"""),"People from my circle, but not family members")</f>
        <v>People from my circle, but not family members</v>
      </c>
      <c r="F2110" s="1" t="str">
        <f ca="1">IFERROR(__xludf.DUMMYFUNCTION("""COMPUTED_VALUE"""),"No I would not be pursuing Higher Education outside of India")</f>
        <v>No I would not be pursuing Higher Education outside of India</v>
      </c>
      <c r="G2110" s="1" t="str">
        <f ca="1">IFERROR(__xludf.DUMMYFUNCTION("""COMPUTED_VALUE"""),"This will be hard to do, but if it is the right company I would try")</f>
        <v>This will be hard to do, but if it is the right company I would try</v>
      </c>
      <c r="H2110" s="1" t="str">
        <f ca="1">IFERROR(__xludf.DUMMYFUNCTION("""COMPUTED_VALUE"""),"No")</f>
        <v>No</v>
      </c>
      <c r="I2110" s="1" t="str">
        <f ca="1">IFERROR(__xludf.DUMMYFUNCTION("""COMPUTED_VALUE"""),"Will NOT work for them")</f>
        <v>Will NOT work for them</v>
      </c>
      <c r="J2110" s="1">
        <f ca="1">IFERROR(__xludf.DUMMYFUNCTION("""COMPUTED_VALUE"""),1)</f>
        <v>1</v>
      </c>
      <c r="K2110" s="1" t="str">
        <f ca="1">IFERROR(__xludf.DUMMYFUNCTION("""COMPUTED_VALUE"""),"Fully Remote with No option to visit offices")</f>
        <v>Fully Remote with No option to visit offices</v>
      </c>
      <c r="L21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1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10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2110" s="1" t="str">
        <f ca="1">IFERROR(__xludf.DUMMYFUNCTION("""COMPUTED_VALUE"""),"Manager who clearly describes what she/he needs")</f>
        <v>Manager who clearly describes what she/he needs</v>
      </c>
      <c r="P211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110" s="1" t="str">
        <f ca="1">IFERROR(__xludf.DUMMYFUNCTION("""COMPUTED_VALUE"""),"No")</f>
        <v>No</v>
      </c>
      <c r="R2110" s="1" t="str">
        <f ca="1">IFERROR(__xludf.DUMMYFUNCTION("""COMPUTED_VALUE"""),"No way")</f>
        <v>No way</v>
      </c>
      <c r="S2110" s="1" t="str">
        <f ca="1">IFERROR(__xludf.DUMMYFUNCTION("""COMPUTED_VALUE"""),"manishatayade6@gmail.com")</f>
        <v>manishatayade6@gmail.com</v>
      </c>
    </row>
    <row r="2111" spans="1:19" ht="12.5" x14ac:dyDescent="0.25">
      <c r="A2111" s="2">
        <f ca="1">IFERROR(__xludf.DUMMYFUNCTION("""COMPUTED_VALUE"""),45063.497156331)</f>
        <v>45063.497156331003</v>
      </c>
      <c r="B2111" s="1" t="str">
        <f ca="1">IFERROR(__xludf.DUMMYFUNCTION("""COMPUTED_VALUE"""),"India")</f>
        <v>India</v>
      </c>
      <c r="C2111" s="1">
        <f ca="1">IFERROR(__xludf.DUMMYFUNCTION("""COMPUTED_VALUE"""),462042)</f>
        <v>462042</v>
      </c>
      <c r="D2111" s="1" t="str">
        <f ca="1">IFERROR(__xludf.DUMMYFUNCTION("""COMPUTED_VALUE"""),"Male")</f>
        <v>Male</v>
      </c>
      <c r="E2111" s="1" t="str">
        <f ca="1">IFERROR(__xludf.DUMMYFUNCTION("""COMPUTED_VALUE"""),"My Parents")</f>
        <v>My Parents</v>
      </c>
      <c r="F2111" s="1" t="str">
        <f ca="1">IFERROR(__xludf.DUMMYFUNCTION("""COMPUTED_VALUE"""),"Yes, I will earn and do that")</f>
        <v>Yes, I will earn and do that</v>
      </c>
      <c r="G2111" s="1" t="str">
        <f ca="1">IFERROR(__xludf.DUMMYFUNCTION("""COMPUTED_VALUE"""),"No way")</f>
        <v>No way</v>
      </c>
      <c r="H2111" s="1" t="str">
        <f ca="1">IFERROR(__xludf.DUMMYFUNCTION("""COMPUTED_VALUE"""),"No")</f>
        <v>No</v>
      </c>
      <c r="I2111" s="1" t="str">
        <f ca="1">IFERROR(__xludf.DUMMYFUNCTION("""COMPUTED_VALUE"""),"Will NOT work for them")</f>
        <v>Will NOT work for them</v>
      </c>
      <c r="J2111" s="1">
        <f ca="1">IFERROR(__xludf.DUMMYFUNCTION("""COMPUTED_VALUE"""),3)</f>
        <v>3</v>
      </c>
      <c r="K2111" s="1" t="str">
        <f ca="1">IFERROR(__xludf.DUMMYFUNCTION("""COMPUTED_VALUE"""),"Every Day Office Environment")</f>
        <v>Every Day Office Environment</v>
      </c>
      <c r="L2111" s="1" t="str">
        <f ca="1">IFERROR(__xludf.DUMMYFUNCTION("""COMPUTED_VALUE"""),"Employer who appreciates learning and enables that environment")</f>
        <v>Employer who appreciates learning and enables that environment</v>
      </c>
      <c r="M211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11" s="1" t="str">
        <f ca="1">IFERROR(__xludf.DUMMYFUNCTION("""COMPUTED_VALUE"""),"Design and Creative strategy in any company, Work in a BPO setup for some well known client, Become a content Creator in some platform, Entrepreneur or Start Up")</f>
        <v>Design and Creative strategy in any company, Work in a BPO setup for some well known client, Become a content Creator in some platform, Entrepreneur or Start Up</v>
      </c>
      <c r="O2111" s="1" t="str">
        <f ca="1">IFERROR(__xludf.DUMMYFUNCTION("""COMPUTED_VALUE"""),"Manager who clearly describes what she/he needs")</f>
        <v>Manager who clearly describes what she/he needs</v>
      </c>
      <c r="P2111" s="1" t="str">
        <f ca="1">IFERROR(__xludf.DUMMYFUNCTION("""COMPUTED_VALUE"""),"Work with more than 10 people in my team")</f>
        <v>Work with more than 10 people in my team</v>
      </c>
      <c r="Q2111" s="1" t="str">
        <f ca="1">IFERROR(__xludf.DUMMYFUNCTION("""COMPUTED_VALUE"""),"No")</f>
        <v>No</v>
      </c>
      <c r="R2111" s="1" t="str">
        <f ca="1">IFERROR(__xludf.DUMMYFUNCTION("""COMPUTED_VALUE"""),"No way")</f>
        <v>No way</v>
      </c>
      <c r="S2111" s="1" t="str">
        <f ca="1">IFERROR(__xludf.DUMMYFUNCTION("""COMPUTED_VALUE"""),"anurag.guptasawan@gmail.com")</f>
        <v>anurag.guptasawan@gmail.com</v>
      </c>
    </row>
    <row r="2112" spans="1:19" ht="12.5" x14ac:dyDescent="0.25">
      <c r="A2112" s="2">
        <f ca="1">IFERROR(__xludf.DUMMYFUNCTION("""COMPUTED_VALUE"""),45063.4984885416)</f>
        <v>45063.498488541598</v>
      </c>
      <c r="B2112" s="1" t="str">
        <f ca="1">IFERROR(__xludf.DUMMYFUNCTION("""COMPUTED_VALUE"""),"India")</f>
        <v>India</v>
      </c>
      <c r="C2112" s="1">
        <f ca="1">IFERROR(__xludf.DUMMYFUNCTION("""COMPUTED_VALUE"""),560075)</f>
        <v>560075</v>
      </c>
      <c r="D2112" s="1" t="str">
        <f ca="1">IFERROR(__xludf.DUMMYFUNCTION("""COMPUTED_VALUE"""),"Male")</f>
        <v>Male</v>
      </c>
      <c r="E2112" s="1" t="str">
        <f ca="1">IFERROR(__xludf.DUMMYFUNCTION("""COMPUTED_VALUE"""),"My Parents")</f>
        <v>My Parents</v>
      </c>
      <c r="F2112" s="1" t="str">
        <f ca="1">IFERROR(__xludf.DUMMYFUNCTION("""COMPUTED_VALUE"""),"No I would not be pursuing Higher Education outside of India")</f>
        <v>No I would not be pursuing Higher Education outside of India</v>
      </c>
      <c r="G2112" s="1" t="str">
        <f ca="1">IFERROR(__xludf.DUMMYFUNCTION("""COMPUTED_VALUE"""),"Will work for 3 years or more")</f>
        <v>Will work for 3 years or more</v>
      </c>
      <c r="H2112" s="1" t="str">
        <f ca="1">IFERROR(__xludf.DUMMYFUNCTION("""COMPUTED_VALUE"""),"No")</f>
        <v>No</v>
      </c>
      <c r="I2112" s="1" t="str">
        <f ca="1">IFERROR(__xludf.DUMMYFUNCTION("""COMPUTED_VALUE"""),"Will NOT work for them")</f>
        <v>Will NOT work for them</v>
      </c>
      <c r="J2112" s="1">
        <f ca="1">IFERROR(__xludf.DUMMYFUNCTION("""COMPUTED_VALUE"""),5)</f>
        <v>5</v>
      </c>
      <c r="K2112" s="1" t="str">
        <f ca="1">IFERROR(__xludf.DUMMYFUNCTION("""COMPUTED_VALUE"""),"Every Day Office Environment")</f>
        <v>Every Day Office Environment</v>
      </c>
      <c r="L21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1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12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112" s="1" t="str">
        <f ca="1">IFERROR(__xludf.DUMMYFUNCTION("""COMPUTED_VALUE"""),"Manager who explains what is expected, sets a goal and helps achieve it")</f>
        <v>Manager who explains what is expected, sets a goal and helps achieve it</v>
      </c>
      <c r="P2112" s="1" t="str">
        <f ca="1">IFERROR(__xludf.DUMMYFUNCTION("""COMPUTED_VALUE"""),"Work with 7 to 10 or more people in my team")</f>
        <v>Work with 7 to 10 or more people in my team</v>
      </c>
      <c r="Q2112" s="1" t="str">
        <f ca="1">IFERROR(__xludf.DUMMYFUNCTION("""COMPUTED_VALUE"""),"Yes, I Understand this is gonna happen everywhere")</f>
        <v>Yes, I Understand this is gonna happen everywhere</v>
      </c>
      <c r="R2112" s="1" t="str">
        <f ca="1">IFERROR(__xludf.DUMMYFUNCTION("""COMPUTED_VALUE"""),"Will work for 7 years or more")</f>
        <v>Will work for 7 years or more</v>
      </c>
      <c r="S2112" s="1" t="str">
        <f ca="1">IFERROR(__xludf.DUMMYFUNCTION("""COMPUTED_VALUE"""),"verma.cdac@gmail.com")</f>
        <v>verma.cdac@gmail.com</v>
      </c>
    </row>
    <row r="2113" spans="1:19" ht="12.5" x14ac:dyDescent="0.25">
      <c r="A2113" s="2">
        <f ca="1">IFERROR(__xludf.DUMMYFUNCTION("""COMPUTED_VALUE"""),45063.5043922453)</f>
        <v>45063.504392245297</v>
      </c>
      <c r="B2113" s="1" t="str">
        <f ca="1">IFERROR(__xludf.DUMMYFUNCTION("""COMPUTED_VALUE"""),"India")</f>
        <v>India</v>
      </c>
      <c r="C2113" s="1">
        <f ca="1">IFERROR(__xludf.DUMMYFUNCTION("""COMPUTED_VALUE"""),605004)</f>
        <v>605004</v>
      </c>
      <c r="D2113" s="1" t="str">
        <f ca="1">IFERROR(__xludf.DUMMYFUNCTION("""COMPUTED_VALUE"""),"Male")</f>
        <v>Male</v>
      </c>
      <c r="E2113" s="1" t="str">
        <f ca="1">IFERROR(__xludf.DUMMYFUNCTION("""COMPUTED_VALUE"""),"People from my circle, but not family members")</f>
        <v>People from my circle, but not family members</v>
      </c>
      <c r="F2113" s="1" t="str">
        <f ca="1">IFERROR(__xludf.DUMMYFUNCTION("""COMPUTED_VALUE"""),"No I would not be pursuing Higher Education outside of India")</f>
        <v>No I would not be pursuing Higher Education outside of India</v>
      </c>
      <c r="G2113" s="1" t="str">
        <f ca="1">IFERROR(__xludf.DUMMYFUNCTION("""COMPUTED_VALUE"""),"This will be hard to do, but if it is the right company I would try")</f>
        <v>This will be hard to do, but if it is the right company I would try</v>
      </c>
      <c r="H2113" s="1" t="str">
        <f ca="1">IFERROR(__xludf.DUMMYFUNCTION("""COMPUTED_VALUE"""),"Yes")</f>
        <v>Yes</v>
      </c>
      <c r="I2113" s="1" t="str">
        <f ca="1">IFERROR(__xludf.DUMMYFUNCTION("""COMPUTED_VALUE"""),"Will NOT work for them")</f>
        <v>Will NOT work for them</v>
      </c>
      <c r="J2113" s="1">
        <f ca="1">IFERROR(__xludf.DUMMYFUNCTION("""COMPUTED_VALUE"""),5)</f>
        <v>5</v>
      </c>
      <c r="K2113" s="1" t="str">
        <f ca="1">IFERROR(__xludf.DUMMYFUNCTION("""COMPUTED_VALUE"""),"Hybrid Working Environment with more than 15 days a month at office")</f>
        <v>Hybrid Working Environment with more than 15 days a month at office</v>
      </c>
      <c r="L2113" s="1" t="str">
        <f ca="1">IFERROR(__xludf.DUMMYFUNCTION("""COMPUTED_VALUE"""),"Employer who rewards learning and enables that environment")</f>
        <v>Employer who rewards learning and enables that environment</v>
      </c>
      <c r="M211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13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11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13" s="1" t="str">
        <f ca="1">IFERROR(__xludf.DUMMYFUNCTION("""COMPUTED_VALUE"""),"Work with 2 to 3 people in my team")</f>
        <v>Work with 2 to 3 people in my team</v>
      </c>
      <c r="Q2113" s="1" t="str">
        <f ca="1">IFERROR(__xludf.DUMMYFUNCTION("""COMPUTED_VALUE"""),"Yes, I Understand this is gonna happen everywhere")</f>
        <v>Yes, I Understand this is gonna happen everywhere</v>
      </c>
      <c r="R2113" s="1" t="str">
        <f ca="1">IFERROR(__xludf.DUMMYFUNCTION("""COMPUTED_VALUE"""),"No way")</f>
        <v>No way</v>
      </c>
      <c r="S2113" s="1" t="str">
        <f ca="1">IFERROR(__xludf.DUMMYFUNCTION("""COMPUTED_VALUE"""),"vishva032004@gmail.com")</f>
        <v>vishva032004@gmail.com</v>
      </c>
    </row>
    <row r="2114" spans="1:19" ht="12.5" x14ac:dyDescent="0.25">
      <c r="A2114" s="2">
        <f ca="1">IFERROR(__xludf.DUMMYFUNCTION("""COMPUTED_VALUE"""),45063.5068213194)</f>
        <v>45063.506821319403</v>
      </c>
      <c r="B2114" s="1" t="str">
        <f ca="1">IFERROR(__xludf.DUMMYFUNCTION("""COMPUTED_VALUE"""),"India")</f>
        <v>India</v>
      </c>
      <c r="C2114" s="1">
        <f ca="1">IFERROR(__xludf.DUMMYFUNCTION("""COMPUTED_VALUE"""),638209)</f>
        <v>638209</v>
      </c>
      <c r="D2114" s="1" t="str">
        <f ca="1">IFERROR(__xludf.DUMMYFUNCTION("""COMPUTED_VALUE"""),"Male")</f>
        <v>Male</v>
      </c>
      <c r="E2114" s="1" t="str">
        <f ca="1">IFERROR(__xludf.DUMMYFUNCTION("""COMPUTED_VALUE"""),"People who have changed the world for better")</f>
        <v>People who have changed the world for better</v>
      </c>
      <c r="F2114" s="1" t="str">
        <f ca="1">IFERROR(__xludf.DUMMYFUNCTION("""COMPUTED_VALUE"""),"Yes, I will earn and do that")</f>
        <v>Yes, I will earn and do that</v>
      </c>
      <c r="G2114" s="1" t="str">
        <f ca="1">IFERROR(__xludf.DUMMYFUNCTION("""COMPUTED_VALUE"""),"This will be hard to do, but if it is the right company I would try")</f>
        <v>This will be hard to do, but if it is the right company I would try</v>
      </c>
      <c r="H2114" s="1" t="str">
        <f ca="1">IFERROR(__xludf.DUMMYFUNCTION("""COMPUTED_VALUE"""),"Yes")</f>
        <v>Yes</v>
      </c>
      <c r="I2114" s="1" t="str">
        <f ca="1">IFERROR(__xludf.DUMMYFUNCTION("""COMPUTED_VALUE"""),"Will NOT work for them")</f>
        <v>Will NOT work for them</v>
      </c>
      <c r="J2114" s="1">
        <f ca="1">IFERROR(__xludf.DUMMYFUNCTION("""COMPUTED_VALUE"""),1)</f>
        <v>1</v>
      </c>
      <c r="K2114" s="1" t="str">
        <f ca="1">IFERROR(__xludf.DUMMYFUNCTION("""COMPUTED_VALUE"""),"Fully Remote with Options to travel as and when needed")</f>
        <v>Fully Remote with Options to travel as and when needed</v>
      </c>
      <c r="L21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1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14" s="1" t="str">
        <f ca="1">IFERROR(__xludf.DUMMYFUNCTION("""COMPUTED_VALUE"""),"Design and Creative strategy in any company, Design and Develop amazing software, An Artificial Intelligence Specialist / Talking to Robots, Manufacturing / Oil and Gas/ Construction / Hard Physical Work related")</f>
        <v>Design and Creative strategy in any company, Design and Develop amazing software, An Artificial Intelligence Specialist / Talking to Robots, Manufacturing / Oil and Gas/ Construction / Hard Physical Work related</v>
      </c>
      <c r="O2114" s="1" t="str">
        <f ca="1">IFERROR(__xludf.DUMMYFUNCTION("""COMPUTED_VALUE"""),"Manager who clearly describes what she/he needs")</f>
        <v>Manager who clearly describes what she/he needs</v>
      </c>
      <c r="P2114" s="1" t="str">
        <f ca="1">IFERROR(__xludf.DUMMYFUNCTION("""COMPUTED_VALUE"""),"Work with 5 to 6 people in my team")</f>
        <v>Work with 5 to 6 people in my team</v>
      </c>
      <c r="Q2114" s="1" t="str">
        <f ca="1">IFERROR(__xludf.DUMMYFUNCTION("""COMPUTED_VALUE"""),"Yes, I Understand this is gonna happen everywhere")</f>
        <v>Yes, I Understand this is gonna happen everywhere</v>
      </c>
      <c r="R2114" s="1" t="str">
        <f ca="1">IFERROR(__xludf.DUMMYFUNCTION("""COMPUTED_VALUE"""),"This will be hard to do, but if it is the right company I would try")</f>
        <v>This will be hard to do, but if it is the right company I would try</v>
      </c>
      <c r="S2114" s="1" t="str">
        <f ca="1">IFERROR(__xludf.DUMMYFUNCTION("""COMPUTED_VALUE"""),"victorjoseij@gmail.com")</f>
        <v>victorjoseij@gmail.com</v>
      </c>
    </row>
    <row r="2115" spans="1:19" ht="12.5" x14ac:dyDescent="0.25">
      <c r="A2115" s="2">
        <f ca="1">IFERROR(__xludf.DUMMYFUNCTION("""COMPUTED_VALUE"""),45063.511587037)</f>
        <v>45063.511587036999</v>
      </c>
      <c r="B2115" s="1" t="str">
        <f ca="1">IFERROR(__xludf.DUMMYFUNCTION("""COMPUTED_VALUE"""),"India")</f>
        <v>India</v>
      </c>
      <c r="C2115" s="1">
        <f ca="1">IFERROR(__xludf.DUMMYFUNCTION("""COMPUTED_VALUE"""),442104)</f>
        <v>442104</v>
      </c>
      <c r="D2115" s="1" t="str">
        <f ca="1">IFERROR(__xludf.DUMMYFUNCTION("""COMPUTED_VALUE"""),"Male")</f>
        <v>Male</v>
      </c>
      <c r="E2115" s="1" t="str">
        <f ca="1">IFERROR(__xludf.DUMMYFUNCTION("""COMPUTED_VALUE"""),"My Parents")</f>
        <v>My Parents</v>
      </c>
      <c r="F2115" s="1" t="str">
        <f ca="1">IFERROR(__xludf.DUMMYFUNCTION("""COMPUTED_VALUE"""),"No I would not be pursuing Higher Education outside of India")</f>
        <v>No I would not be pursuing Higher Education outside of India</v>
      </c>
      <c r="G2115" s="1" t="str">
        <f ca="1">IFERROR(__xludf.DUMMYFUNCTION("""COMPUTED_VALUE"""),"This will be hard to do, but if it is the right company I would try")</f>
        <v>This will be hard to do, but if it is the right company I would try</v>
      </c>
      <c r="H2115" s="1" t="str">
        <f ca="1">IFERROR(__xludf.DUMMYFUNCTION("""COMPUTED_VALUE"""),"No")</f>
        <v>No</v>
      </c>
      <c r="I2115" s="1" t="str">
        <f ca="1">IFERROR(__xludf.DUMMYFUNCTION("""COMPUTED_VALUE"""),"Will NOT work for them")</f>
        <v>Will NOT work for them</v>
      </c>
      <c r="J2115" s="1">
        <f ca="1">IFERROR(__xludf.DUMMYFUNCTION("""COMPUTED_VALUE"""),2)</f>
        <v>2</v>
      </c>
      <c r="K2115" s="1" t="str">
        <f ca="1">IFERROR(__xludf.DUMMYFUNCTION("""COMPUTED_VALUE"""),"Every Day Office Environment")</f>
        <v>Every Day Office Environment</v>
      </c>
      <c r="L2115" s="1" t="str">
        <f ca="1">IFERROR(__xludf.DUMMYFUNCTION("""COMPUTED_VALUE"""),"Employer who appreciates learning and enables that environment")</f>
        <v>Employer who appreciates learning and enables that environment</v>
      </c>
      <c r="M211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15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115" s="1" t="str">
        <f ca="1">IFERROR(__xludf.DUMMYFUNCTION("""COMPUTED_VALUE"""),"Manager who clearly describes what she/he needs")</f>
        <v>Manager who clearly describes what she/he needs</v>
      </c>
      <c r="P2115" s="1" t="str">
        <f ca="1">IFERROR(__xludf.DUMMYFUNCTION("""COMPUTED_VALUE"""),"Work with 2 to 3 people in my team")</f>
        <v>Work with 2 to 3 people in my team</v>
      </c>
      <c r="Q2115" s="1" t="str">
        <f ca="1">IFERROR(__xludf.DUMMYFUNCTION("""COMPUTED_VALUE"""),"Yes, I Understand this is gonna happen everywhere")</f>
        <v>Yes, I Understand this is gonna happen everywhere</v>
      </c>
      <c r="R2115" s="1" t="str">
        <f ca="1">IFERROR(__xludf.DUMMYFUNCTION("""COMPUTED_VALUE"""),"No way")</f>
        <v>No way</v>
      </c>
      <c r="S2115" s="1" t="str">
        <f ca="1">IFERROR(__xludf.DUMMYFUNCTION("""COMPUTED_VALUE"""),"shubhambhoyar553@gmail.com")</f>
        <v>shubhambhoyar553@gmail.com</v>
      </c>
    </row>
    <row r="2116" spans="1:19" ht="12.5" x14ac:dyDescent="0.25">
      <c r="A2116" s="2">
        <f ca="1">IFERROR(__xludf.DUMMYFUNCTION("""COMPUTED_VALUE"""),45063.5186354166)</f>
        <v>45063.5186354166</v>
      </c>
      <c r="B2116" s="1" t="str">
        <f ca="1">IFERROR(__xludf.DUMMYFUNCTION("""COMPUTED_VALUE"""),"India")</f>
        <v>India</v>
      </c>
      <c r="C2116" s="1">
        <f ca="1">IFERROR(__xludf.DUMMYFUNCTION("""COMPUTED_VALUE"""),110076)</f>
        <v>110076</v>
      </c>
      <c r="D2116" s="1" t="str">
        <f ca="1">IFERROR(__xludf.DUMMYFUNCTION("""COMPUTED_VALUE"""),"Female")</f>
        <v>Female</v>
      </c>
      <c r="E2116" s="1" t="str">
        <f ca="1">IFERROR(__xludf.DUMMYFUNCTION("""COMPUTED_VALUE"""),"Influencers who had successful careers")</f>
        <v>Influencers who had successful careers</v>
      </c>
      <c r="F2116" s="1" t="str">
        <f ca="1">IFERROR(__xludf.DUMMYFUNCTION("""COMPUTED_VALUE"""),"Yes, I will earn and do that")</f>
        <v>Yes, I will earn and do that</v>
      </c>
      <c r="G2116" s="1" t="str">
        <f ca="1">IFERROR(__xludf.DUMMYFUNCTION("""COMPUTED_VALUE"""),"This will be hard to do, but if it is the right company I would try")</f>
        <v>This will be hard to do, but if it is the right company I would try</v>
      </c>
      <c r="H2116" s="1" t="str">
        <f ca="1">IFERROR(__xludf.DUMMYFUNCTION("""COMPUTED_VALUE"""),"No")</f>
        <v>No</v>
      </c>
      <c r="I2116" s="1" t="str">
        <f ca="1">IFERROR(__xludf.DUMMYFUNCTION("""COMPUTED_VALUE"""),"Will NOT work for them")</f>
        <v>Will NOT work for them</v>
      </c>
      <c r="J2116" s="1">
        <f ca="1">IFERROR(__xludf.DUMMYFUNCTION("""COMPUTED_VALUE"""),5)</f>
        <v>5</v>
      </c>
      <c r="K2116" s="1" t="str">
        <f ca="1">IFERROR(__xludf.DUMMYFUNCTION("""COMPUTED_VALUE"""),"Hybrid Working Environment with more than 15 days a month at office")</f>
        <v>Hybrid Working Environment with more than 15 days a month at office</v>
      </c>
      <c r="L21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1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16" s="1" t="str">
        <f ca="1">IFERROR(__xludf.DUMMYFUNCTION("""COMPUTED_VALUE"""),"Design and Creative strategy in any company, Business Operations in any organization, Build and develop a Team, Become a content Creator in some platform")</f>
        <v>Design and Creative strategy in any company, Business Operations in any organization, Build and develop a Team, Become a content Creator in some platform</v>
      </c>
      <c r="O2116" s="1" t="str">
        <f ca="1">IFERROR(__xludf.DUMMYFUNCTION("""COMPUTED_VALUE"""),"Manager who explains what is expected, sets a goal and helps achieve it")</f>
        <v>Manager who explains what is expected, sets a goal and helps achieve it</v>
      </c>
      <c r="P2116" s="1" t="str">
        <f ca="1">IFERROR(__xludf.DUMMYFUNCTION("""COMPUTED_VALUE"""),"Work with 7 to 10 or more people in my team")</f>
        <v>Work with 7 to 10 or more people in my team</v>
      </c>
      <c r="Q2116" s="1" t="str">
        <f ca="1">IFERROR(__xludf.DUMMYFUNCTION("""COMPUTED_VALUE"""),"Yes, I Understand this is gonna happen everywhere")</f>
        <v>Yes, I Understand this is gonna happen everywhere</v>
      </c>
      <c r="R2116" s="1" t="str">
        <f ca="1">IFERROR(__xludf.DUMMYFUNCTION("""COMPUTED_VALUE"""),"This will be hard to do, but if it is the right company I would try")</f>
        <v>This will be hard to do, but if it is the right company I would try</v>
      </c>
      <c r="S2116" s="1" t="str">
        <f ca="1">IFERROR(__xludf.DUMMYFUNCTION("""COMPUTED_VALUE"""),"srishty015@gmail.com")</f>
        <v>srishty015@gmail.com</v>
      </c>
    </row>
    <row r="2117" spans="1:19" ht="12.5" x14ac:dyDescent="0.25">
      <c r="A2117" s="2">
        <f ca="1">IFERROR(__xludf.DUMMYFUNCTION("""COMPUTED_VALUE"""),45063.5217012037)</f>
        <v>45063.521701203703</v>
      </c>
      <c r="B2117" s="1" t="str">
        <f ca="1">IFERROR(__xludf.DUMMYFUNCTION("""COMPUTED_VALUE"""),"India")</f>
        <v>India</v>
      </c>
      <c r="C2117" s="1">
        <f ca="1">IFERROR(__xludf.DUMMYFUNCTION("""COMPUTED_VALUE"""),411052)</f>
        <v>411052</v>
      </c>
      <c r="D2117" s="1" t="str">
        <f ca="1">IFERROR(__xludf.DUMMYFUNCTION("""COMPUTED_VALUE"""),"Male")</f>
        <v>Male</v>
      </c>
      <c r="E2117" s="1" t="str">
        <f ca="1">IFERROR(__xludf.DUMMYFUNCTION("""COMPUTED_VALUE"""),"My Parents")</f>
        <v>My Parents</v>
      </c>
      <c r="F2117" s="1" t="str">
        <f ca="1">IFERROR(__xludf.DUMMYFUNCTION("""COMPUTED_VALUE"""),"Yes, I will earn and do that")</f>
        <v>Yes, I will earn and do that</v>
      </c>
      <c r="G2117" s="1" t="str">
        <f ca="1">IFERROR(__xludf.DUMMYFUNCTION("""COMPUTED_VALUE"""),"Will work for 3 years or more")</f>
        <v>Will work for 3 years or more</v>
      </c>
      <c r="H2117" s="1" t="str">
        <f ca="1">IFERROR(__xludf.DUMMYFUNCTION("""COMPUTED_VALUE"""),"No")</f>
        <v>No</v>
      </c>
      <c r="I2117" s="1" t="str">
        <f ca="1">IFERROR(__xludf.DUMMYFUNCTION("""COMPUTED_VALUE"""),"Will NOT work for them")</f>
        <v>Will NOT work for them</v>
      </c>
      <c r="J2117" s="1">
        <f ca="1">IFERROR(__xludf.DUMMYFUNCTION("""COMPUTED_VALUE"""),3)</f>
        <v>3</v>
      </c>
      <c r="K2117" s="1" t="str">
        <f ca="1">IFERROR(__xludf.DUMMYFUNCTION("""COMPUTED_VALUE"""),"Fully Remote with Options to travel as and when needed")</f>
        <v>Fully Remote with Options to travel as and when needed</v>
      </c>
      <c r="L21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1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17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11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17" s="1" t="str">
        <f ca="1">IFERROR(__xludf.DUMMYFUNCTION("""COMPUTED_VALUE"""),"Work with 7 to 10 or more people in my team")</f>
        <v>Work with 7 to 10 or more people in my team</v>
      </c>
      <c r="Q2117" s="1" t="str">
        <f ca="1">IFERROR(__xludf.DUMMYFUNCTION("""COMPUTED_VALUE"""),"No")</f>
        <v>No</v>
      </c>
      <c r="R2117" s="1" t="str">
        <f ca="1">IFERROR(__xludf.DUMMYFUNCTION("""COMPUTED_VALUE"""),"This will be hard to do, but if it is the right company I would try")</f>
        <v>This will be hard to do, but if it is the right company I would try</v>
      </c>
      <c r="S2117" s="1" t="str">
        <f ca="1">IFERROR(__xludf.DUMMYFUNCTION("""COMPUTED_VALUE"""),"sagar230197@gmail.com")</f>
        <v>sagar230197@gmail.com</v>
      </c>
    </row>
    <row r="2118" spans="1:19" ht="12.5" x14ac:dyDescent="0.25">
      <c r="A2118" s="2">
        <f ca="1">IFERROR(__xludf.DUMMYFUNCTION("""COMPUTED_VALUE"""),45063.5243405787)</f>
        <v>45063.524340578697</v>
      </c>
      <c r="B2118" s="1" t="str">
        <f ca="1">IFERROR(__xludf.DUMMYFUNCTION("""COMPUTED_VALUE"""),"India")</f>
        <v>India</v>
      </c>
      <c r="C2118" s="1">
        <f ca="1">IFERROR(__xludf.DUMMYFUNCTION("""COMPUTED_VALUE"""),533429)</f>
        <v>533429</v>
      </c>
      <c r="D2118" s="1" t="str">
        <f ca="1">IFERROR(__xludf.DUMMYFUNCTION("""COMPUTED_VALUE"""),"Male")</f>
        <v>Male</v>
      </c>
      <c r="E2118" s="1" t="str">
        <f ca="1">IFERROR(__xludf.DUMMYFUNCTION("""COMPUTED_VALUE"""),"People who have changed the world for better")</f>
        <v>People who have changed the world for better</v>
      </c>
      <c r="F2118" s="1" t="str">
        <f ca="1">IFERROR(__xludf.DUMMYFUNCTION("""COMPUTED_VALUE"""),"No I would not be pursuing Higher Education outside of India")</f>
        <v>No I would not be pursuing Higher Education outside of India</v>
      </c>
      <c r="G2118" s="1" t="str">
        <f ca="1">IFERROR(__xludf.DUMMYFUNCTION("""COMPUTED_VALUE"""),"No way")</f>
        <v>No way</v>
      </c>
      <c r="H2118" s="1" t="str">
        <f ca="1">IFERROR(__xludf.DUMMYFUNCTION("""COMPUTED_VALUE"""),"No")</f>
        <v>No</v>
      </c>
      <c r="I2118" s="1" t="str">
        <f ca="1">IFERROR(__xludf.DUMMYFUNCTION("""COMPUTED_VALUE"""),"Will NOT work for them")</f>
        <v>Will NOT work for them</v>
      </c>
      <c r="J2118" s="1">
        <f ca="1">IFERROR(__xludf.DUMMYFUNCTION("""COMPUTED_VALUE"""),1)</f>
        <v>1</v>
      </c>
      <c r="K2118" s="1" t="str">
        <f ca="1">IFERROR(__xludf.DUMMYFUNCTION("""COMPUTED_VALUE"""),"Fully Remote with No option to visit offices")</f>
        <v>Fully Remote with No option to visit offices</v>
      </c>
      <c r="L2118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11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18" s="1" t="str">
        <f ca="1">IFERROR(__xludf.DUMMYFUNCTION("""COMPUTED_VALUE"""),"Teaching in any of the institutes/colleges/online or offline, Manage and drive End-to-End Projects or Products, Design and Develop amazing software, Work in a BPO setup for some well known client")</f>
        <v>Teaching in any of the institutes/colleges/online or offline, Manage and drive End-to-End Projects or Products, Design and Develop amazing software, Work in a BPO setup for some well known client</v>
      </c>
      <c r="O2118" s="1" t="str">
        <f ca="1">IFERROR(__xludf.DUMMYFUNCTION("""COMPUTED_VALUE"""),"Manager who sets targets and expects me to achieve it")</f>
        <v>Manager who sets targets and expects me to achieve it</v>
      </c>
      <c r="P2118" s="1" t="str">
        <f ca="1">IFERROR(__xludf.DUMMYFUNCTION("""COMPUTED_VALUE"""),"Work with more than 10 people in my team")</f>
        <v>Work with more than 10 people in my team</v>
      </c>
      <c r="Q2118" s="1" t="str">
        <f ca="1">IFERROR(__xludf.DUMMYFUNCTION("""COMPUTED_VALUE"""),"I have NO other choice")</f>
        <v>I have NO other choice</v>
      </c>
      <c r="R2118" s="1" t="str">
        <f ca="1">IFERROR(__xludf.DUMMYFUNCTION("""COMPUTED_VALUE"""),"No way")</f>
        <v>No way</v>
      </c>
      <c r="S2118" s="1" t="str">
        <f ca="1">IFERROR(__xludf.DUMMYFUNCTION("""COMPUTED_VALUE"""),"ambatib0@gmail.com")</f>
        <v>ambatib0@gmail.com</v>
      </c>
    </row>
    <row r="2119" spans="1:19" ht="12.5" x14ac:dyDescent="0.25">
      <c r="A2119" s="2">
        <f ca="1">IFERROR(__xludf.DUMMYFUNCTION("""COMPUTED_VALUE"""),45063.5250898842)</f>
        <v>45063.525089884199</v>
      </c>
      <c r="B2119" s="1" t="str">
        <f ca="1">IFERROR(__xludf.DUMMYFUNCTION("""COMPUTED_VALUE"""),"India")</f>
        <v>India</v>
      </c>
      <c r="C2119" s="1">
        <f ca="1">IFERROR(__xludf.DUMMYFUNCTION("""COMPUTED_VALUE"""),110051)</f>
        <v>110051</v>
      </c>
      <c r="D2119" s="1" t="str">
        <f ca="1">IFERROR(__xludf.DUMMYFUNCTION("""COMPUTED_VALUE"""),"Female")</f>
        <v>Female</v>
      </c>
      <c r="E2119" s="1" t="str">
        <f ca="1">IFERROR(__xludf.DUMMYFUNCTION("""COMPUTED_VALUE"""),"Influencers who had successful careers")</f>
        <v>Influencers who had successful careers</v>
      </c>
      <c r="F2119" s="1" t="str">
        <f ca="1">IFERROR(__xludf.DUMMYFUNCTION("""COMPUTED_VALUE"""),"Yes, I will earn and do that")</f>
        <v>Yes, I will earn and do that</v>
      </c>
      <c r="G2119" s="1" t="str">
        <f ca="1">IFERROR(__xludf.DUMMYFUNCTION("""COMPUTED_VALUE"""),"This will be hard to do, but if it is the right company I would try")</f>
        <v>This will be hard to do, but if it is the right company I would try</v>
      </c>
      <c r="H2119" s="1" t="str">
        <f ca="1">IFERROR(__xludf.DUMMYFUNCTION("""COMPUTED_VALUE"""),"No")</f>
        <v>No</v>
      </c>
      <c r="I2119" s="1" t="str">
        <f ca="1">IFERROR(__xludf.DUMMYFUNCTION("""COMPUTED_VALUE"""),"Will NOT work for them")</f>
        <v>Will NOT work for them</v>
      </c>
      <c r="J2119" s="1">
        <f ca="1">IFERROR(__xludf.DUMMYFUNCTION("""COMPUTED_VALUE"""),2)</f>
        <v>2</v>
      </c>
      <c r="K2119" s="1" t="str">
        <f ca="1">IFERROR(__xludf.DUMMYFUNCTION("""COMPUTED_VALUE"""),"Fully Remote with Options to travel as and when needed")</f>
        <v>Fully Remote with Options to travel as and when needed</v>
      </c>
      <c r="L21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19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119" s="1" t="str">
        <f ca="1">IFERROR(__xludf.DUMMYFUNCTION("""COMPUTED_VALUE"""),"Teaching in any of the institutes/colleges/online or offline, Work as a freelancer and do my thing my way, Become a content Creator in some platform, An Artificial Intelligence Specialist / Talking to Robots")</f>
        <v>Teaching in any of the institutes/colleges/online or offline, Work as a freelancer and do my thing my way, Become a content Creator in some platform, An Artificial Intelligence Specialist / Talking to Robots</v>
      </c>
      <c r="O2119" s="1" t="str">
        <f ca="1">IFERROR(__xludf.DUMMYFUNCTION("""COMPUTED_VALUE"""),"Manager who explains what is expected, sets a goal and helps achieve it")</f>
        <v>Manager who explains what is expected, sets a goal and helps achieve it</v>
      </c>
      <c r="P2119" s="1" t="str">
        <f ca="1">IFERROR(__xludf.DUMMYFUNCTION("""COMPUTED_VALUE"""),"Work with 5 to 6 people in my team")</f>
        <v>Work with 5 to 6 people in my team</v>
      </c>
      <c r="Q2119" s="1" t="str">
        <f ca="1">IFERROR(__xludf.DUMMYFUNCTION("""COMPUTED_VALUE"""),"Yes, I Understand this is gonna happen everywhere")</f>
        <v>Yes, I Understand this is gonna happen everywhere</v>
      </c>
      <c r="R2119" s="1" t="str">
        <f ca="1">IFERROR(__xludf.DUMMYFUNCTION("""COMPUTED_VALUE"""),"This will be hard to do, but if it is the right company I would try")</f>
        <v>This will be hard to do, but if it is the right company I would try</v>
      </c>
      <c r="S2119" s="1" t="str">
        <f ca="1">IFERROR(__xludf.DUMMYFUNCTION("""COMPUTED_VALUE"""),"swetasain1995@gmail.com")</f>
        <v>swetasain1995@gmail.com</v>
      </c>
    </row>
    <row r="2120" spans="1:19" ht="12.5" x14ac:dyDescent="0.25">
      <c r="A2120" s="2">
        <f ca="1">IFERROR(__xludf.DUMMYFUNCTION("""COMPUTED_VALUE"""),45063.5310733912)</f>
        <v>45063.531073391197</v>
      </c>
      <c r="B2120" s="1" t="str">
        <f ca="1">IFERROR(__xludf.DUMMYFUNCTION("""COMPUTED_VALUE"""),"India")</f>
        <v>India</v>
      </c>
      <c r="C2120" s="1">
        <f ca="1">IFERROR(__xludf.DUMMYFUNCTION("""COMPUTED_VALUE"""),445001)</f>
        <v>445001</v>
      </c>
      <c r="D2120" s="1" t="str">
        <f ca="1">IFERROR(__xludf.DUMMYFUNCTION("""COMPUTED_VALUE"""),"Male")</f>
        <v>Male</v>
      </c>
      <c r="E2120" s="1" t="str">
        <f ca="1">IFERROR(__xludf.DUMMYFUNCTION("""COMPUTED_VALUE"""),"People who have changed the world for better")</f>
        <v>People who have changed the world for better</v>
      </c>
      <c r="F2120" s="1" t="str">
        <f ca="1">IFERROR(__xludf.DUMMYFUNCTION("""COMPUTED_VALUE"""),"Yes, I will earn and do that")</f>
        <v>Yes, I will earn and do that</v>
      </c>
      <c r="G2120" s="1" t="str">
        <f ca="1">IFERROR(__xludf.DUMMYFUNCTION("""COMPUTED_VALUE"""),"Will work for 3 years or more")</f>
        <v>Will work for 3 years or more</v>
      </c>
      <c r="H2120" s="1" t="str">
        <f ca="1">IFERROR(__xludf.DUMMYFUNCTION("""COMPUTED_VALUE"""),"No")</f>
        <v>No</v>
      </c>
      <c r="I2120" s="1" t="str">
        <f ca="1">IFERROR(__xludf.DUMMYFUNCTION("""COMPUTED_VALUE"""),"Will NOT work for them")</f>
        <v>Will NOT work for them</v>
      </c>
      <c r="J2120" s="1">
        <f ca="1">IFERROR(__xludf.DUMMYFUNCTION("""COMPUTED_VALUE"""),1)</f>
        <v>1</v>
      </c>
      <c r="K2120" s="1" t="str">
        <f ca="1">IFERROR(__xludf.DUMMYFUNCTION("""COMPUTED_VALUE"""),"Fully Remote with Options to travel as and when needed")</f>
        <v>Fully Remote with Options to travel as and when needed</v>
      </c>
      <c r="L21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2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20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2120" s="1" t="str">
        <f ca="1">IFERROR(__xludf.DUMMYFUNCTION("""COMPUTED_VALUE"""),"Manager who explains what is expected, sets a goal and helps achieve it")</f>
        <v>Manager who explains what is expected, sets a goal and helps achieve it</v>
      </c>
      <c r="P2120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120" s="1" t="str">
        <f ca="1">IFERROR(__xludf.DUMMYFUNCTION("""COMPUTED_VALUE"""),"Yes, I Understand this is gonna happen everywhere")</f>
        <v>Yes, I Understand this is gonna happen everywhere</v>
      </c>
      <c r="R2120" s="1" t="str">
        <f ca="1">IFERROR(__xludf.DUMMYFUNCTION("""COMPUTED_VALUE"""),"This will be hard to do, but if it is the right company I would try")</f>
        <v>This will be hard to do, but if it is the right company I would try</v>
      </c>
      <c r="S2120" s="1" t="str">
        <f ca="1">IFERROR(__xludf.DUMMYFUNCTION("""COMPUTED_VALUE"""),"gauravraut7038@gmail.com")</f>
        <v>gauravraut7038@gmail.com</v>
      </c>
    </row>
    <row r="2121" spans="1:19" ht="12.5" x14ac:dyDescent="0.25">
      <c r="A2121" s="2">
        <f ca="1">IFERROR(__xludf.DUMMYFUNCTION("""COMPUTED_VALUE"""),45063.5374288078)</f>
        <v>45063.537428807802</v>
      </c>
      <c r="B2121" s="1" t="str">
        <f ca="1">IFERROR(__xludf.DUMMYFUNCTION("""COMPUTED_VALUE"""),"India")</f>
        <v>India</v>
      </c>
      <c r="C2121" s="1">
        <f ca="1">IFERROR(__xludf.DUMMYFUNCTION("""COMPUTED_VALUE"""),400101)</f>
        <v>400101</v>
      </c>
      <c r="D2121" s="1" t="str">
        <f ca="1">IFERROR(__xludf.DUMMYFUNCTION("""COMPUTED_VALUE"""),"Male")</f>
        <v>Male</v>
      </c>
      <c r="E2121" s="1" t="str">
        <f ca="1">IFERROR(__xludf.DUMMYFUNCTION("""COMPUTED_VALUE"""),"My Parents")</f>
        <v>My Parents</v>
      </c>
      <c r="F2121" s="1" t="str">
        <f ca="1">IFERROR(__xludf.DUMMYFUNCTION("""COMPUTED_VALUE"""),"No I would not be pursuing Higher Education outside of India")</f>
        <v>No I would not be pursuing Higher Education outside of India</v>
      </c>
      <c r="G2121" s="1" t="str">
        <f ca="1">IFERROR(__xludf.DUMMYFUNCTION("""COMPUTED_VALUE"""),"Will work for 3 years or more")</f>
        <v>Will work for 3 years or more</v>
      </c>
      <c r="H2121" s="1" t="str">
        <f ca="1">IFERROR(__xludf.DUMMYFUNCTION("""COMPUTED_VALUE"""),"No")</f>
        <v>No</v>
      </c>
      <c r="I2121" s="1" t="str">
        <f ca="1">IFERROR(__xludf.DUMMYFUNCTION("""COMPUTED_VALUE"""),"Will NOT work for them")</f>
        <v>Will NOT work for them</v>
      </c>
      <c r="J2121" s="1">
        <f ca="1">IFERROR(__xludf.DUMMYFUNCTION("""COMPUTED_VALUE"""),1)</f>
        <v>1</v>
      </c>
      <c r="K2121" s="1" t="str">
        <f ca="1">IFERROR(__xludf.DUMMYFUNCTION("""COMPUTED_VALUE"""),"Every Day Office Environment")</f>
        <v>Every Day Office Environment</v>
      </c>
      <c r="L2121" s="1" t="str">
        <f ca="1">IFERROR(__xludf.DUMMYFUNCTION("""COMPUTED_VALUE"""),"Employer who appreciates learning and enables that environment")</f>
        <v>Employer who appreciates learning and enables that environment</v>
      </c>
      <c r="M212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121" s="1" t="str">
        <f ca="1">IFERROR(__xludf.DUMMYFUNCTION("""COMPUTED_VALUE"""),"Design and Creative strategy in any company, Business Operations in any organization, Become a content Creator in some platform, Entrepreneur or Start Up")</f>
        <v>Design and Creative strategy in any company, Business Operations in any organization, Become a content Creator in some platform, Entrepreneur or Start Up</v>
      </c>
      <c r="O2121" s="1" t="str">
        <f ca="1">IFERROR(__xludf.DUMMYFUNCTION("""COMPUTED_VALUE"""),"Manager who sets goal and helps me achieve it")</f>
        <v>Manager who sets goal and helps me achieve it</v>
      </c>
      <c r="P2121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121" s="1" t="str">
        <f ca="1">IFERROR(__xludf.DUMMYFUNCTION("""COMPUTED_VALUE"""),"Yes")</f>
        <v>Yes</v>
      </c>
      <c r="R2121" s="1" t="str">
        <f ca="1">IFERROR(__xludf.DUMMYFUNCTION("""COMPUTED_VALUE"""),"This will be hard to do, but if it is the right company I would try")</f>
        <v>This will be hard to do, but if it is the right company I would try</v>
      </c>
      <c r="S2121" s="1" t="str">
        <f ca="1">IFERROR(__xludf.DUMMYFUNCTION("""COMPUTED_VALUE"""),"harshghadigaonkar123@gmail.com")</f>
        <v>harshghadigaonkar123@gmail.com</v>
      </c>
    </row>
    <row r="2122" spans="1:19" ht="12.5" x14ac:dyDescent="0.25">
      <c r="A2122" s="2">
        <f ca="1">IFERROR(__xludf.DUMMYFUNCTION("""COMPUTED_VALUE"""),45063.5380292245)</f>
        <v>45063.538029224503</v>
      </c>
      <c r="B2122" s="1" t="str">
        <f ca="1">IFERROR(__xludf.DUMMYFUNCTION("""COMPUTED_VALUE"""),"India")</f>
        <v>India</v>
      </c>
      <c r="C2122" s="1">
        <f ca="1">IFERROR(__xludf.DUMMYFUNCTION("""COMPUTED_VALUE"""),444601)</f>
        <v>444601</v>
      </c>
      <c r="D2122" s="1" t="str">
        <f ca="1">IFERROR(__xludf.DUMMYFUNCTION("""COMPUTED_VALUE"""),"Female")</f>
        <v>Female</v>
      </c>
      <c r="E2122" s="1" t="str">
        <f ca="1">IFERROR(__xludf.DUMMYFUNCTION("""COMPUTED_VALUE"""),"People who have changed the world for better")</f>
        <v>People who have changed the world for better</v>
      </c>
      <c r="F2122" s="1" t="str">
        <f ca="1">IFERROR(__xludf.DUMMYFUNCTION("""COMPUTED_VALUE"""),"Yes, I will earn and do that")</f>
        <v>Yes, I will earn and do that</v>
      </c>
      <c r="G2122" s="1" t="str">
        <f ca="1">IFERROR(__xludf.DUMMYFUNCTION("""COMPUTED_VALUE"""),"This will be hard to do, but if it is the right company I would try")</f>
        <v>This will be hard to do, but if it is the right company I would try</v>
      </c>
      <c r="H2122" s="1" t="str">
        <f ca="1">IFERROR(__xludf.DUMMYFUNCTION("""COMPUTED_VALUE"""),"No")</f>
        <v>No</v>
      </c>
      <c r="I2122" s="1" t="str">
        <f ca="1">IFERROR(__xludf.DUMMYFUNCTION("""COMPUTED_VALUE"""),"Will NOT work for them")</f>
        <v>Will NOT work for them</v>
      </c>
      <c r="J2122" s="1">
        <f ca="1">IFERROR(__xludf.DUMMYFUNCTION("""COMPUTED_VALUE"""),1)</f>
        <v>1</v>
      </c>
      <c r="K2122" s="1" t="str">
        <f ca="1">IFERROR(__xludf.DUMMYFUNCTION("""COMPUTED_VALUE"""),"Hybrid Working Environment with more than 15 days a month at office")</f>
        <v>Hybrid Working Environment with more than 15 days a month at office</v>
      </c>
      <c r="L212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2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22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2122" s="1" t="str">
        <f ca="1">IFERROR(__xludf.DUMMYFUNCTION("""COMPUTED_VALUE"""),"Manager who sets targets and expects me to achieve it")</f>
        <v>Manager who sets targets and expects me to achieve it</v>
      </c>
      <c r="P212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122" s="1" t="str">
        <f ca="1">IFERROR(__xludf.DUMMYFUNCTION("""COMPUTED_VALUE"""),"No")</f>
        <v>No</v>
      </c>
      <c r="R2122" s="1" t="str">
        <f ca="1">IFERROR(__xludf.DUMMYFUNCTION("""COMPUTED_VALUE"""),"This will be hard to do, but if it is the right company I would try")</f>
        <v>This will be hard to do, but if it is the right company I would try</v>
      </c>
      <c r="S2122" s="1" t="str">
        <f ca="1">IFERROR(__xludf.DUMMYFUNCTION("""COMPUTED_VALUE"""),"dikshabundele@gmail.com")</f>
        <v>dikshabundele@gmail.com</v>
      </c>
    </row>
    <row r="2123" spans="1:19" ht="12.5" x14ac:dyDescent="0.25">
      <c r="A2123" s="2">
        <f ca="1">IFERROR(__xludf.DUMMYFUNCTION("""COMPUTED_VALUE"""),45063.5388979861)</f>
        <v>45063.538897986102</v>
      </c>
      <c r="B2123" s="1" t="str">
        <f ca="1">IFERROR(__xludf.DUMMYFUNCTION("""COMPUTED_VALUE"""),"India")</f>
        <v>India</v>
      </c>
      <c r="C2123" s="1">
        <f ca="1">IFERROR(__xludf.DUMMYFUNCTION("""COMPUTED_VALUE"""),110076)</f>
        <v>110076</v>
      </c>
      <c r="D2123" s="1" t="str">
        <f ca="1">IFERROR(__xludf.DUMMYFUNCTION("""COMPUTED_VALUE"""),"Female")</f>
        <v>Female</v>
      </c>
      <c r="E2123" s="1" t="str">
        <f ca="1">IFERROR(__xludf.DUMMYFUNCTION("""COMPUTED_VALUE"""),"People from my circle, but not family members")</f>
        <v>People from my circle, but not family members</v>
      </c>
      <c r="F2123" s="1" t="str">
        <f ca="1">IFERROR(__xludf.DUMMYFUNCTION("""COMPUTED_VALUE"""),"Yes, I will earn and do that")</f>
        <v>Yes, I will earn and do that</v>
      </c>
      <c r="G2123" s="1" t="str">
        <f ca="1">IFERROR(__xludf.DUMMYFUNCTION("""COMPUTED_VALUE"""),"This will be hard to do, but if it is the right company I would try")</f>
        <v>This will be hard to do, but if it is the right company I would try</v>
      </c>
      <c r="H2123" s="1" t="str">
        <f ca="1">IFERROR(__xludf.DUMMYFUNCTION("""COMPUTED_VALUE"""),"No")</f>
        <v>No</v>
      </c>
      <c r="I2123" s="1" t="str">
        <f ca="1">IFERROR(__xludf.DUMMYFUNCTION("""COMPUTED_VALUE"""),"Will NOT work for them")</f>
        <v>Will NOT work for them</v>
      </c>
      <c r="J2123" s="1">
        <f ca="1">IFERROR(__xludf.DUMMYFUNCTION("""COMPUTED_VALUE"""),4)</f>
        <v>4</v>
      </c>
      <c r="K2123" s="1" t="str">
        <f ca="1">IFERROR(__xludf.DUMMYFUNCTION("""COMPUTED_VALUE"""),"Every Day Office Environment")</f>
        <v>Every Day Office Environment</v>
      </c>
      <c r="L21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23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123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212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23" s="1" t="str">
        <f ca="1">IFERROR(__xludf.DUMMYFUNCTION("""COMPUTED_VALUE"""),"Work with 5 to 6 people in my team")</f>
        <v>Work with 5 to 6 people in my team</v>
      </c>
      <c r="Q2123" s="1" t="str">
        <f ca="1">IFERROR(__xludf.DUMMYFUNCTION("""COMPUTED_VALUE"""),"Yes, I Understand this is gonna happen everywhere")</f>
        <v>Yes, I Understand this is gonna happen everywhere</v>
      </c>
      <c r="R2123" s="1" t="str">
        <f ca="1">IFERROR(__xludf.DUMMYFUNCTION("""COMPUTED_VALUE"""),"This will be hard to do, but if it is the right company I would try")</f>
        <v>This will be hard to do, but if it is the right company I would try</v>
      </c>
      <c r="S2123" s="1" t="str">
        <f ca="1">IFERROR(__xludf.DUMMYFUNCTION("""COMPUTED_VALUE"""),"sonikasingh1610@gmail.com")</f>
        <v>sonikasingh1610@gmail.com</v>
      </c>
    </row>
    <row r="2124" spans="1:19" ht="12.5" x14ac:dyDescent="0.25">
      <c r="A2124" s="2">
        <f ca="1">IFERROR(__xludf.DUMMYFUNCTION("""COMPUTED_VALUE"""),45063.5398542361)</f>
        <v>45063.5398542361</v>
      </c>
      <c r="B2124" s="1" t="str">
        <f ca="1">IFERROR(__xludf.DUMMYFUNCTION("""COMPUTED_VALUE"""),"India")</f>
        <v>India</v>
      </c>
      <c r="C2124" s="1">
        <f ca="1">IFERROR(__xludf.DUMMYFUNCTION("""COMPUTED_VALUE"""),147201)</f>
        <v>147201</v>
      </c>
      <c r="D2124" s="1" t="str">
        <f ca="1">IFERROR(__xludf.DUMMYFUNCTION("""COMPUTED_VALUE"""),"Male")</f>
        <v>Male</v>
      </c>
      <c r="E2124" s="1" t="str">
        <f ca="1">IFERROR(__xludf.DUMMYFUNCTION("""COMPUTED_VALUE"""),"People from my circle, but not family members")</f>
        <v>People from my circle, but not family members</v>
      </c>
      <c r="F2124" s="1" t="str">
        <f ca="1">IFERROR(__xludf.DUMMYFUNCTION("""COMPUTED_VALUE"""),"No, But if someone could bare the cost I will")</f>
        <v>No, But if someone could bare the cost I will</v>
      </c>
      <c r="G2124" s="1" t="str">
        <f ca="1">IFERROR(__xludf.DUMMYFUNCTION("""COMPUTED_VALUE"""),"This will be hard to do, but if it is the right company I would try")</f>
        <v>This will be hard to do, but if it is the right company I would try</v>
      </c>
      <c r="H2124" s="1" t="str">
        <f ca="1">IFERROR(__xludf.DUMMYFUNCTION("""COMPUTED_VALUE"""),"No")</f>
        <v>No</v>
      </c>
      <c r="I2124" s="1" t="str">
        <f ca="1">IFERROR(__xludf.DUMMYFUNCTION("""COMPUTED_VALUE"""),"Will NOT work for them")</f>
        <v>Will NOT work for them</v>
      </c>
      <c r="J2124" s="1">
        <f ca="1">IFERROR(__xludf.DUMMYFUNCTION("""COMPUTED_VALUE"""),6)</f>
        <v>6</v>
      </c>
      <c r="K2124" s="1" t="str">
        <f ca="1">IFERROR(__xludf.DUMMYFUNCTION("""COMPUTED_VALUE"""),"Fully Remote with Options to travel as and when needed")</f>
        <v>Fully Remote with Options to travel as and when needed</v>
      </c>
      <c r="L21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2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124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124" s="1" t="str">
        <f ca="1">IFERROR(__xludf.DUMMYFUNCTION("""COMPUTED_VALUE"""),"Manager who sets goal and helps me achieve it")</f>
        <v>Manager who sets goal and helps me achieve it</v>
      </c>
      <c r="P2124" s="1" t="str">
        <f ca="1">IFERROR(__xludf.DUMMYFUNCTION("""COMPUTED_VALUE"""),"Work with 5 to 6 people in my team")</f>
        <v>Work with 5 to 6 people in my team</v>
      </c>
      <c r="Q2124" s="1" t="str">
        <f ca="1">IFERROR(__xludf.DUMMYFUNCTION("""COMPUTED_VALUE"""),"No")</f>
        <v>No</v>
      </c>
      <c r="R2124" s="1" t="str">
        <f ca="1">IFERROR(__xludf.DUMMYFUNCTION("""COMPUTED_VALUE"""),"This will be hard to do, but if it is the right company I would try")</f>
        <v>This will be hard to do, but if it is the right company I would try</v>
      </c>
      <c r="S2124" s="1" t="str">
        <f ca="1">IFERROR(__xludf.DUMMYFUNCTION("""COMPUTED_VALUE"""),"princek3047@gmail.com")</f>
        <v>princek3047@gmail.com</v>
      </c>
    </row>
    <row r="2125" spans="1:19" ht="12.5" x14ac:dyDescent="0.25">
      <c r="A2125" s="2">
        <f ca="1">IFERROR(__xludf.DUMMYFUNCTION("""COMPUTED_VALUE"""),45063.5402654513)</f>
        <v>45063.540265451302</v>
      </c>
      <c r="B2125" s="1" t="str">
        <f ca="1">IFERROR(__xludf.DUMMYFUNCTION("""COMPUTED_VALUE"""),"India")</f>
        <v>India</v>
      </c>
      <c r="C2125" s="1">
        <f ca="1">IFERROR(__xludf.DUMMYFUNCTION("""COMPUTED_VALUE"""),400068)</f>
        <v>400068</v>
      </c>
      <c r="D2125" s="1" t="str">
        <f ca="1">IFERROR(__xludf.DUMMYFUNCTION("""COMPUTED_VALUE"""),"Male")</f>
        <v>Male</v>
      </c>
      <c r="E2125" s="1" t="str">
        <f ca="1">IFERROR(__xludf.DUMMYFUNCTION("""COMPUTED_VALUE"""),"My Parents")</f>
        <v>My Parents</v>
      </c>
      <c r="F2125" s="1" t="str">
        <f ca="1">IFERROR(__xludf.DUMMYFUNCTION("""COMPUTED_VALUE"""),"Yes, I will earn and do that")</f>
        <v>Yes, I will earn and do that</v>
      </c>
      <c r="G2125" s="1" t="str">
        <f ca="1">IFERROR(__xludf.DUMMYFUNCTION("""COMPUTED_VALUE"""),"Will work for 3 years or more")</f>
        <v>Will work for 3 years or more</v>
      </c>
      <c r="H2125" s="1" t="str">
        <f ca="1">IFERROR(__xludf.DUMMYFUNCTION("""COMPUTED_VALUE"""),"Yes")</f>
        <v>Yes</v>
      </c>
      <c r="I2125" s="1" t="str">
        <f ca="1">IFERROR(__xludf.DUMMYFUNCTION("""COMPUTED_VALUE"""),"Will work for them")</f>
        <v>Will work for them</v>
      </c>
      <c r="J2125" s="1">
        <f ca="1">IFERROR(__xludf.DUMMYFUNCTION("""COMPUTED_VALUE"""),10)</f>
        <v>10</v>
      </c>
      <c r="K2125" s="1" t="str">
        <f ca="1">IFERROR(__xludf.DUMMYFUNCTION("""COMPUTED_VALUE"""),"Every Day Office Environment")</f>
        <v>Every Day Office Environment</v>
      </c>
      <c r="L2125" s="1" t="str">
        <f ca="1">IFERROR(__xludf.DUMMYFUNCTION("""COMPUTED_VALUE"""),"Employer who appreciates learning and enables that environment")</f>
        <v>Employer who appreciates learning and enables that environment</v>
      </c>
      <c r="M2125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125" s="1" t="str">
        <f ca="1">IFERROR(__xludf.DUMMYFUNCTION("""COMPUTED_VALUE"""),"Design and Creative strategy in any company, Teaching in any of the institutes/colleges/online or offline, Business Operations in any organization, I Want to sell things/Sales")</f>
        <v>Design and Creative strategy in any company, Teaching in any of the institutes/colleges/online or offline, Business Operations in any organization, I Want to sell things/Sales</v>
      </c>
      <c r="O2125" s="1" t="str">
        <f ca="1">IFERROR(__xludf.DUMMYFUNCTION("""COMPUTED_VALUE"""),"Manager who explains what is expected, sets a goal and helps achieve it")</f>
        <v>Manager who explains what is expected, sets a goal and helps achieve it</v>
      </c>
      <c r="P2125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125" s="1" t="str">
        <f ca="1">IFERROR(__xludf.DUMMYFUNCTION("""COMPUTED_VALUE"""),"Yes")</f>
        <v>Yes</v>
      </c>
      <c r="R2125" s="1" t="str">
        <f ca="1">IFERROR(__xludf.DUMMYFUNCTION("""COMPUTED_VALUE"""),"Will work for 7 years or more")</f>
        <v>Will work for 7 years or more</v>
      </c>
      <c r="S2125" s="1" t="str">
        <f ca="1">IFERROR(__xludf.DUMMYFUNCTION("""COMPUTED_VALUE"""),"ggmehul333@gmail.com")</f>
        <v>ggmehul333@gmail.com</v>
      </c>
    </row>
    <row r="2126" spans="1:19" ht="12.5" x14ac:dyDescent="0.25">
      <c r="A2126" s="2">
        <f ca="1">IFERROR(__xludf.DUMMYFUNCTION("""COMPUTED_VALUE"""),45063.5419672337)</f>
        <v>45063.541967233701</v>
      </c>
      <c r="B2126" s="1" t="str">
        <f ca="1">IFERROR(__xludf.DUMMYFUNCTION("""COMPUTED_VALUE"""),"India")</f>
        <v>India</v>
      </c>
      <c r="C2126" s="1">
        <f ca="1">IFERROR(__xludf.DUMMYFUNCTION("""COMPUTED_VALUE"""),416112)</f>
        <v>416112</v>
      </c>
      <c r="D2126" s="1" t="str">
        <f ca="1">IFERROR(__xludf.DUMMYFUNCTION("""COMPUTED_VALUE"""),"Male")</f>
        <v>Male</v>
      </c>
      <c r="E2126" s="1" t="str">
        <f ca="1">IFERROR(__xludf.DUMMYFUNCTION("""COMPUTED_VALUE"""),"My Parents")</f>
        <v>My Parents</v>
      </c>
      <c r="F2126" s="1" t="str">
        <f ca="1">IFERROR(__xludf.DUMMYFUNCTION("""COMPUTED_VALUE"""),"No, But if someone could bare the cost I will")</f>
        <v>No, But if someone could bare the cost I will</v>
      </c>
      <c r="G2126" s="1" t="str">
        <f ca="1">IFERROR(__xludf.DUMMYFUNCTION("""COMPUTED_VALUE"""),"This will be hard to do, but if it is the right company I would try")</f>
        <v>This will be hard to do, but if it is the right company I would try</v>
      </c>
      <c r="H2126" s="1" t="str">
        <f ca="1">IFERROR(__xludf.DUMMYFUNCTION("""COMPUTED_VALUE"""),"No")</f>
        <v>No</v>
      </c>
      <c r="I2126" s="1" t="str">
        <f ca="1">IFERROR(__xludf.DUMMYFUNCTION("""COMPUTED_VALUE"""),"Will NOT work for them")</f>
        <v>Will NOT work for them</v>
      </c>
      <c r="J2126" s="1">
        <f ca="1">IFERROR(__xludf.DUMMYFUNCTION("""COMPUTED_VALUE"""),1)</f>
        <v>1</v>
      </c>
      <c r="K2126" s="1" t="str">
        <f ca="1">IFERROR(__xludf.DUMMYFUNCTION("""COMPUTED_VALUE"""),"Fully Remote with Options to travel as and when needed")</f>
        <v>Fully Remote with Options to travel as and when needed</v>
      </c>
      <c r="L21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2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26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126" s="1" t="str">
        <f ca="1">IFERROR(__xludf.DUMMYFUNCTION("""COMPUTED_VALUE"""),"Manager who sets goal and helps me achieve it")</f>
        <v>Manager who sets goal and helps me achieve it</v>
      </c>
      <c r="P2126" s="1" t="str">
        <f ca="1">IFERROR(__xludf.DUMMYFUNCTION("""COMPUTED_VALUE"""),"Work with 5 to 6 people in my team")</f>
        <v>Work with 5 to 6 people in my team</v>
      </c>
      <c r="Q2126" s="1" t="str">
        <f ca="1">IFERROR(__xludf.DUMMYFUNCTION("""COMPUTED_VALUE"""),"Yes, I Understand this is gonna happen everywhere")</f>
        <v>Yes, I Understand this is gonna happen everywhere</v>
      </c>
      <c r="R2126" s="1" t="str">
        <f ca="1">IFERROR(__xludf.DUMMYFUNCTION("""COMPUTED_VALUE"""),"This will be hard to do, but if it is the right company I would try")</f>
        <v>This will be hard to do, but if it is the right company I would try</v>
      </c>
      <c r="S2126" s="1" t="str">
        <f ca="1">IFERROR(__xludf.DUMMYFUNCTION("""COMPUTED_VALUE"""),"vismaybobade9@gmail.com")</f>
        <v>vismaybobade9@gmail.com</v>
      </c>
    </row>
    <row r="2127" spans="1:19" ht="12.5" x14ac:dyDescent="0.25">
      <c r="A2127" s="2">
        <f ca="1">IFERROR(__xludf.DUMMYFUNCTION("""COMPUTED_VALUE"""),45063.5450638888)</f>
        <v>45063.5450638888</v>
      </c>
      <c r="B2127" s="1" t="str">
        <f ca="1">IFERROR(__xludf.DUMMYFUNCTION("""COMPUTED_VALUE"""),"India")</f>
        <v>India</v>
      </c>
      <c r="C2127" s="1">
        <f ca="1">IFERROR(__xludf.DUMMYFUNCTION("""COMPUTED_VALUE"""),400067)</f>
        <v>400067</v>
      </c>
      <c r="D2127" s="1" t="str">
        <f ca="1">IFERROR(__xludf.DUMMYFUNCTION("""COMPUTED_VALUE"""),"Male")</f>
        <v>Male</v>
      </c>
      <c r="E2127" s="1" t="str">
        <f ca="1">IFERROR(__xludf.DUMMYFUNCTION("""COMPUTED_VALUE"""),"My Parents")</f>
        <v>My Parents</v>
      </c>
      <c r="F2127" s="1" t="str">
        <f ca="1">IFERROR(__xludf.DUMMYFUNCTION("""COMPUTED_VALUE"""),"Yes, I will earn and do that")</f>
        <v>Yes, I will earn and do that</v>
      </c>
      <c r="G2127" s="1" t="str">
        <f ca="1">IFERROR(__xludf.DUMMYFUNCTION("""COMPUTED_VALUE"""),"This will be hard to do, but if it is the right company I would try")</f>
        <v>This will be hard to do, but if it is the right company I would try</v>
      </c>
      <c r="H2127" s="1" t="str">
        <f ca="1">IFERROR(__xludf.DUMMYFUNCTION("""COMPUTED_VALUE"""),"Yes")</f>
        <v>Yes</v>
      </c>
      <c r="I2127" s="1" t="str">
        <f ca="1">IFERROR(__xludf.DUMMYFUNCTION("""COMPUTED_VALUE"""),"Will NOT work for them")</f>
        <v>Will NOT work for them</v>
      </c>
      <c r="J2127" s="1">
        <f ca="1">IFERROR(__xludf.DUMMYFUNCTION("""COMPUTED_VALUE"""),7)</f>
        <v>7</v>
      </c>
      <c r="K2127" s="1" t="str">
        <f ca="1">IFERROR(__xludf.DUMMYFUNCTION("""COMPUTED_VALUE"""),"Every Day Office Environment")</f>
        <v>Every Day Office Environment</v>
      </c>
      <c r="L21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27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127" s="1" t="str">
        <f ca="1">IFERROR(__xludf.DUMMYFUNCTION("""COMPUTED_VALUE"""),"Business Operations in any organization, Design and Develop amazing software, Look deeply into Data and generate insights, Entrepreneur or Start Up")</f>
        <v>Business Operations in any organization, Design and Develop amazing software, Look deeply into Data and generate insights, Entrepreneur or Start Up</v>
      </c>
      <c r="O212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27" s="1" t="str">
        <f ca="1">IFERROR(__xludf.DUMMYFUNCTION("""COMPUTED_VALUE"""),"Work with 2 to 3 people in my team")</f>
        <v>Work with 2 to 3 people in my team</v>
      </c>
      <c r="Q2127" s="1" t="str">
        <f ca="1">IFERROR(__xludf.DUMMYFUNCTION("""COMPUTED_VALUE"""),"Yes, I Understand this is gonna happen everywhere")</f>
        <v>Yes, I Understand this is gonna happen everywhere</v>
      </c>
      <c r="R2127" s="1" t="str">
        <f ca="1">IFERROR(__xludf.DUMMYFUNCTION("""COMPUTED_VALUE"""),"No way")</f>
        <v>No way</v>
      </c>
      <c r="S2127" s="1" t="str">
        <f ca="1">IFERROR(__xludf.DUMMYFUNCTION("""COMPUTED_VALUE"""),"bechulalgupta9594@gmail.com")</f>
        <v>bechulalgupta9594@gmail.com</v>
      </c>
    </row>
    <row r="2128" spans="1:19" ht="12.5" x14ac:dyDescent="0.25">
      <c r="A2128" s="2">
        <f ca="1">IFERROR(__xludf.DUMMYFUNCTION("""COMPUTED_VALUE"""),45063.5522577546)</f>
        <v>45063.5522577546</v>
      </c>
      <c r="B2128" s="1" t="str">
        <f ca="1">IFERROR(__xludf.DUMMYFUNCTION("""COMPUTED_VALUE"""),"India")</f>
        <v>India</v>
      </c>
      <c r="C2128" s="1">
        <f ca="1">IFERROR(__xludf.DUMMYFUNCTION("""COMPUTED_VALUE"""),400095)</f>
        <v>400095</v>
      </c>
      <c r="D2128" s="1" t="str">
        <f ca="1">IFERROR(__xludf.DUMMYFUNCTION("""COMPUTED_VALUE"""),"Male")</f>
        <v>Male</v>
      </c>
      <c r="E2128" s="1" t="str">
        <f ca="1">IFERROR(__xludf.DUMMYFUNCTION("""COMPUTED_VALUE"""),"Influencers who had successful careers")</f>
        <v>Influencers who had successful careers</v>
      </c>
      <c r="F2128" s="1" t="str">
        <f ca="1">IFERROR(__xludf.DUMMYFUNCTION("""COMPUTED_VALUE"""),"Yes, I will earn and do that")</f>
        <v>Yes, I will earn and do that</v>
      </c>
      <c r="G2128" s="1" t="str">
        <f ca="1">IFERROR(__xludf.DUMMYFUNCTION("""COMPUTED_VALUE"""),"This will be hard to do, but if it is the right company I would try")</f>
        <v>This will be hard to do, but if it is the right company I would try</v>
      </c>
      <c r="H2128" s="1" t="str">
        <f ca="1">IFERROR(__xludf.DUMMYFUNCTION("""COMPUTED_VALUE"""),"No")</f>
        <v>No</v>
      </c>
      <c r="I2128" s="1" t="str">
        <f ca="1">IFERROR(__xludf.DUMMYFUNCTION("""COMPUTED_VALUE"""),"Will NOT work for them")</f>
        <v>Will NOT work for them</v>
      </c>
      <c r="J2128" s="1">
        <f ca="1">IFERROR(__xludf.DUMMYFUNCTION("""COMPUTED_VALUE"""),7)</f>
        <v>7</v>
      </c>
      <c r="K2128" s="1" t="str">
        <f ca="1">IFERROR(__xludf.DUMMYFUNCTION("""COMPUTED_VALUE"""),"Fully Remote with Options to travel as and when needed")</f>
        <v>Fully Remote with Options to travel as and when needed</v>
      </c>
      <c r="L21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2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2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128" s="1" t="str">
        <f ca="1">IFERROR(__xludf.DUMMYFUNCTION("""COMPUTED_VALUE"""),"Manager who sets goal and helps me achieve it")</f>
        <v>Manager who sets goal and helps me achieve it</v>
      </c>
      <c r="P2128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2128" s="1" t="str">
        <f ca="1">IFERROR(__xludf.DUMMYFUNCTION("""COMPUTED_VALUE"""),"Yes, I Understand this is gonna happen everywhere")</f>
        <v>Yes, I Understand this is gonna happen everywhere</v>
      </c>
      <c r="R2128" s="1" t="str">
        <f ca="1">IFERROR(__xludf.DUMMYFUNCTION("""COMPUTED_VALUE"""),"This will be hard to do, but if it is the right company I would try")</f>
        <v>This will be hard to do, but if it is the right company I would try</v>
      </c>
      <c r="S2128" s="1" t="str">
        <f ca="1">IFERROR(__xludf.DUMMYFUNCTION("""COMPUTED_VALUE"""),"dev568171@gmail.com")</f>
        <v>dev568171@gmail.com</v>
      </c>
    </row>
    <row r="2129" spans="1:19" ht="12.5" x14ac:dyDescent="0.25">
      <c r="A2129" s="2">
        <f ca="1">IFERROR(__xludf.DUMMYFUNCTION("""COMPUTED_VALUE"""),45063.553716412)</f>
        <v>45063.553716412003</v>
      </c>
      <c r="B2129" s="1" t="str">
        <f ca="1">IFERROR(__xludf.DUMMYFUNCTION("""COMPUTED_VALUE"""),"India")</f>
        <v>India</v>
      </c>
      <c r="C2129" s="1">
        <f ca="1">IFERROR(__xludf.DUMMYFUNCTION("""COMPUTED_VALUE"""),400064)</f>
        <v>400064</v>
      </c>
      <c r="D2129" s="1" t="str">
        <f ca="1">IFERROR(__xludf.DUMMYFUNCTION("""COMPUTED_VALUE"""),"Male")</f>
        <v>Male</v>
      </c>
      <c r="E2129" s="1" t="str">
        <f ca="1">IFERROR(__xludf.DUMMYFUNCTION("""COMPUTED_VALUE"""),"People who have changed the world for better")</f>
        <v>People who have changed the world for better</v>
      </c>
      <c r="F2129" s="1" t="str">
        <f ca="1">IFERROR(__xludf.DUMMYFUNCTION("""COMPUTED_VALUE"""),"Yes, I will earn and do that")</f>
        <v>Yes, I will earn and do that</v>
      </c>
      <c r="G2129" s="1" t="str">
        <f ca="1">IFERROR(__xludf.DUMMYFUNCTION("""COMPUTED_VALUE"""),"This will be hard to do, but if it is the right company I would try")</f>
        <v>This will be hard to do, but if it is the right company I would try</v>
      </c>
      <c r="H2129" s="1" t="str">
        <f ca="1">IFERROR(__xludf.DUMMYFUNCTION("""COMPUTED_VALUE"""),"Yes")</f>
        <v>Yes</v>
      </c>
      <c r="I2129" s="1" t="str">
        <f ca="1">IFERROR(__xludf.DUMMYFUNCTION("""COMPUTED_VALUE"""),"Will NOT work for them")</f>
        <v>Will NOT work for them</v>
      </c>
      <c r="J2129" s="1">
        <f ca="1">IFERROR(__xludf.DUMMYFUNCTION("""COMPUTED_VALUE"""),5)</f>
        <v>5</v>
      </c>
      <c r="K2129" s="1" t="str">
        <f ca="1">IFERROR(__xludf.DUMMYFUNCTION("""COMPUTED_VALUE"""),"Fully Remote with Options to travel as and when needed")</f>
        <v>Fully Remote with Options to travel as and when needed</v>
      </c>
      <c r="L212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2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129" s="1" t="str">
        <f ca="1">IFERROR(__xludf.DUMMYFUNCTION("""COMPUTED_VALUE"""),"Business Operations in any organization, Work as a freelancer and do my thing my way, Entrepreneur or Start Up, An Artificial Intelligence Specialist / Talking to Robots")</f>
        <v>Business Operations in any organization, Work as a freelancer and do my thing my way, Entrepreneur or Start Up, An Artificial Intelligence Specialist / Talking to Robots</v>
      </c>
      <c r="O2129" s="1" t="str">
        <f ca="1">IFERROR(__xludf.DUMMYFUNCTION("""COMPUTED_VALUE"""),"Manager who explains what is expected, sets a goal and helps achieve it")</f>
        <v>Manager who explains what is expected, sets a goal and helps achieve it</v>
      </c>
      <c r="P2129" s="1" t="str">
        <f ca="1">IFERROR(__xludf.DUMMYFUNCTION("""COMPUTED_VALUE"""),"Work alone")</f>
        <v>Work alone</v>
      </c>
      <c r="Q2129" s="1" t="str">
        <f ca="1">IFERROR(__xludf.DUMMYFUNCTION("""COMPUTED_VALUE"""),"Yes, I Understand this is gonna happen everywhere")</f>
        <v>Yes, I Understand this is gonna happen everywhere</v>
      </c>
      <c r="R2129" s="1" t="str">
        <f ca="1">IFERROR(__xludf.DUMMYFUNCTION("""COMPUTED_VALUE"""),"No way")</f>
        <v>No way</v>
      </c>
      <c r="S2129" s="1" t="str">
        <f ca="1">IFERROR(__xludf.DUMMYFUNCTION("""COMPUTED_VALUE"""),"riddheshrocks07@gmail.com")</f>
        <v>riddheshrocks07@gmail.com</v>
      </c>
    </row>
    <row r="2130" spans="1:19" ht="12.5" x14ac:dyDescent="0.25">
      <c r="A2130" s="2">
        <f ca="1">IFERROR(__xludf.DUMMYFUNCTION("""COMPUTED_VALUE"""),45063.5584920486)</f>
        <v>45063.5584920486</v>
      </c>
      <c r="B2130" s="1" t="str">
        <f ca="1">IFERROR(__xludf.DUMMYFUNCTION("""COMPUTED_VALUE"""),"India")</f>
        <v>India</v>
      </c>
      <c r="C2130" s="1">
        <f ca="1">IFERROR(__xludf.DUMMYFUNCTION("""COMPUTED_VALUE"""),400067)</f>
        <v>400067</v>
      </c>
      <c r="D2130" s="1" t="str">
        <f ca="1">IFERROR(__xludf.DUMMYFUNCTION("""COMPUTED_VALUE"""),"Male")</f>
        <v>Male</v>
      </c>
      <c r="E2130" s="1" t="str">
        <f ca="1">IFERROR(__xludf.DUMMYFUNCTION("""COMPUTED_VALUE"""),"People who have changed the world for better")</f>
        <v>People who have changed the world for better</v>
      </c>
      <c r="F2130" s="1" t="str">
        <f ca="1">IFERROR(__xludf.DUMMYFUNCTION("""COMPUTED_VALUE"""),"No I would not be pursuing Higher Education outside of India")</f>
        <v>No I would not be pursuing Higher Education outside of India</v>
      </c>
      <c r="G2130" s="1" t="str">
        <f ca="1">IFERROR(__xludf.DUMMYFUNCTION("""COMPUTED_VALUE"""),"This will be hard to do, but if it is the right company I would try")</f>
        <v>This will be hard to do, but if it is the right company I would try</v>
      </c>
      <c r="H2130" s="1" t="str">
        <f ca="1">IFERROR(__xludf.DUMMYFUNCTION("""COMPUTED_VALUE"""),"No")</f>
        <v>No</v>
      </c>
      <c r="I2130" s="1" t="str">
        <f ca="1">IFERROR(__xludf.DUMMYFUNCTION("""COMPUTED_VALUE"""),"Will work for them")</f>
        <v>Will work for them</v>
      </c>
      <c r="J2130" s="1">
        <f ca="1">IFERROR(__xludf.DUMMYFUNCTION("""COMPUTED_VALUE"""),6)</f>
        <v>6</v>
      </c>
      <c r="K2130" s="1" t="str">
        <f ca="1">IFERROR(__xludf.DUMMYFUNCTION("""COMPUTED_VALUE"""),"Fully Remote with Options to travel as and when needed")</f>
        <v>Fully Remote with Options to travel as and when needed</v>
      </c>
      <c r="L21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3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130" s="1" t="str">
        <f ca="1">IFERROR(__xludf.DUMMYFUNCTION("""COMPUTED_VALUE"""),"Business Operations in any organization, Design and Develop amazing software, Look deeply into Data and generate insights, Entrepreneur or Start Up")</f>
        <v>Business Operations in any organization, Design and Develop amazing software, Look deeply into Data and generate insights, Entrepreneur or Start Up</v>
      </c>
      <c r="O2130" s="1" t="str">
        <f ca="1">IFERROR(__xludf.DUMMYFUNCTION("""COMPUTED_VALUE"""),"Manager who explains what is expected, sets a goal and helps achieve it")</f>
        <v>Manager who explains what is expected, sets a goal and helps achieve it</v>
      </c>
      <c r="P2130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130" s="1" t="str">
        <f ca="1">IFERROR(__xludf.DUMMYFUNCTION("""COMPUTED_VALUE"""),"Yes, I Understand this is gonna happen everywhere")</f>
        <v>Yes, I Understand this is gonna happen everywhere</v>
      </c>
      <c r="R2130" s="1" t="str">
        <f ca="1">IFERROR(__xludf.DUMMYFUNCTION("""COMPUTED_VALUE"""),"This will be hard to do, but if it is the right company I would try")</f>
        <v>This will be hard to do, but if it is the right company I would try</v>
      </c>
      <c r="S2130" s="1" t="str">
        <f ca="1">IFERROR(__xludf.DUMMYFUNCTION("""COMPUTED_VALUE"""),"yajatdalvi777@gmail.com")</f>
        <v>yajatdalvi777@gmail.com</v>
      </c>
    </row>
    <row r="2131" spans="1:19" ht="12.5" x14ac:dyDescent="0.25">
      <c r="A2131" s="2">
        <f ca="1">IFERROR(__xludf.DUMMYFUNCTION("""COMPUTED_VALUE"""),45063.5585704282)</f>
        <v>45063.558570428198</v>
      </c>
      <c r="B2131" s="1" t="str">
        <f ca="1">IFERROR(__xludf.DUMMYFUNCTION("""COMPUTED_VALUE"""),"India")</f>
        <v>India</v>
      </c>
      <c r="C2131" s="1">
        <f ca="1">IFERROR(__xludf.DUMMYFUNCTION("""COMPUTED_VALUE"""),400067)</f>
        <v>400067</v>
      </c>
      <c r="D2131" s="1" t="str">
        <f ca="1">IFERROR(__xludf.DUMMYFUNCTION("""COMPUTED_VALUE"""),"Male")</f>
        <v>Male</v>
      </c>
      <c r="E2131" s="1" t="str">
        <f ca="1">IFERROR(__xludf.DUMMYFUNCTION("""COMPUTED_VALUE"""),"My Parents")</f>
        <v>My Parents</v>
      </c>
      <c r="F2131" s="1" t="str">
        <f ca="1">IFERROR(__xludf.DUMMYFUNCTION("""COMPUTED_VALUE"""),"No I would not be pursuing Higher Education outside of India")</f>
        <v>No I would not be pursuing Higher Education outside of India</v>
      </c>
      <c r="G2131" s="1" t="str">
        <f ca="1">IFERROR(__xludf.DUMMYFUNCTION("""COMPUTED_VALUE"""),"This will be hard to do, but if it is the right company I would try")</f>
        <v>This will be hard to do, but if it is the right company I would try</v>
      </c>
      <c r="H2131" s="1" t="str">
        <f ca="1">IFERROR(__xludf.DUMMYFUNCTION("""COMPUTED_VALUE"""),"Yes")</f>
        <v>Yes</v>
      </c>
      <c r="I2131" s="1" t="str">
        <f ca="1">IFERROR(__xludf.DUMMYFUNCTION("""COMPUTED_VALUE"""),"Will work for them")</f>
        <v>Will work for them</v>
      </c>
      <c r="J2131" s="1">
        <f ca="1">IFERROR(__xludf.DUMMYFUNCTION("""COMPUTED_VALUE"""),5)</f>
        <v>5</v>
      </c>
      <c r="K2131" s="1" t="str">
        <f ca="1">IFERROR(__xludf.DUMMYFUNCTION("""COMPUTED_VALUE"""),"Fully Remote with Options to travel as and when needed")</f>
        <v>Fully Remote with Options to travel as and when needed</v>
      </c>
      <c r="L21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3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131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131" s="1" t="str">
        <f ca="1">IFERROR(__xludf.DUMMYFUNCTION("""COMPUTED_VALUE"""),"Manager who explains what is expected, sets a goal and helps achieve it")</f>
        <v>Manager who explains what is expected, sets a goal and helps achieve it</v>
      </c>
      <c r="P2131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131" s="1" t="str">
        <f ca="1">IFERROR(__xludf.DUMMYFUNCTION("""COMPUTED_VALUE"""),"Yes, I Understand this is gonna happen everywhere")</f>
        <v>Yes, I Understand this is gonna happen everywhere</v>
      </c>
      <c r="R2131" s="1" t="str">
        <f ca="1">IFERROR(__xludf.DUMMYFUNCTION("""COMPUTED_VALUE"""),"Will work for 7 years or more")</f>
        <v>Will work for 7 years or more</v>
      </c>
      <c r="S2131" s="1" t="str">
        <f ca="1">IFERROR(__xludf.DUMMYFUNCTION("""COMPUTED_VALUE"""),"abhay20mistry@gmail.com")</f>
        <v>abhay20mistry@gmail.com</v>
      </c>
    </row>
    <row r="2132" spans="1:19" ht="12.5" x14ac:dyDescent="0.25">
      <c r="A2132" s="2">
        <f ca="1">IFERROR(__xludf.DUMMYFUNCTION("""COMPUTED_VALUE"""),45063.5589088888)</f>
        <v>45063.558908888801</v>
      </c>
      <c r="B2132" s="1" t="str">
        <f ca="1">IFERROR(__xludf.DUMMYFUNCTION("""COMPUTED_VALUE"""),"India")</f>
        <v>India</v>
      </c>
      <c r="C2132" s="1">
        <f ca="1">IFERROR(__xludf.DUMMYFUNCTION("""COMPUTED_VALUE"""),666666)</f>
        <v>666666</v>
      </c>
      <c r="D2132" s="1" t="str">
        <f ca="1">IFERROR(__xludf.DUMMYFUNCTION("""COMPUTED_VALUE"""),"Male")</f>
        <v>Male</v>
      </c>
      <c r="E2132" s="1" t="str">
        <f ca="1">IFERROR(__xludf.DUMMYFUNCTION("""COMPUTED_VALUE"""),"People who have changed the world for better")</f>
        <v>People who have changed the world for better</v>
      </c>
      <c r="F2132" s="1" t="str">
        <f ca="1">IFERROR(__xludf.DUMMYFUNCTION("""COMPUTED_VALUE"""),"No, But if someone could bare the cost I will")</f>
        <v>No, But if someone could bare the cost I will</v>
      </c>
      <c r="G2132" s="1" t="str">
        <f ca="1">IFERROR(__xludf.DUMMYFUNCTION("""COMPUTED_VALUE"""),"No way")</f>
        <v>No way</v>
      </c>
      <c r="H2132" s="1" t="str">
        <f ca="1">IFERROR(__xludf.DUMMYFUNCTION("""COMPUTED_VALUE"""),"Yes")</f>
        <v>Yes</v>
      </c>
      <c r="I2132" s="1" t="str">
        <f ca="1">IFERROR(__xludf.DUMMYFUNCTION("""COMPUTED_VALUE"""),"Will work for them")</f>
        <v>Will work for them</v>
      </c>
      <c r="J2132" s="1">
        <f ca="1">IFERROR(__xludf.DUMMYFUNCTION("""COMPUTED_VALUE"""),3)</f>
        <v>3</v>
      </c>
      <c r="K2132" s="1" t="str">
        <f ca="1">IFERROR(__xludf.DUMMYFUNCTION("""COMPUTED_VALUE"""),"Hybrid Working Environment with less than 3 days a month at office")</f>
        <v>Hybrid Working Environment with less than 3 days a month at office</v>
      </c>
      <c r="L21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3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32" s="1" t="str">
        <f ca="1">IFERROR(__xludf.DUMMYFUNCTION("""COMPUTED_VALUE"""),"Business Operations in any organization, I Want to sell things/Sales, An Artificial Intelligence Specialist / Talking to Robots, Manufacturing / Oil and Gas/ Construction / Hard Physical Work related")</f>
        <v>Business Operations in any organization, I Want to sell things/Sales, An Artificial Intelligence Specialist / Talking to Robots, Manufacturing / Oil and Gas/ Construction / Hard Physical Work related</v>
      </c>
      <c r="O2132" s="1" t="str">
        <f ca="1">IFERROR(__xludf.DUMMYFUNCTION("""COMPUTED_VALUE"""),"Manager who sets targets and expects me to achieve it")</f>
        <v>Manager who sets targets and expects me to achieve it</v>
      </c>
      <c r="P2132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132" s="1" t="str">
        <f ca="1">IFERROR(__xludf.DUMMYFUNCTION("""COMPUTED_VALUE"""),"Yes")</f>
        <v>Yes</v>
      </c>
      <c r="R2132" s="1" t="str">
        <f ca="1">IFERROR(__xludf.DUMMYFUNCTION("""COMPUTED_VALUE"""),"No way")</f>
        <v>No way</v>
      </c>
      <c r="S2132" s="1" t="str">
        <f ca="1">IFERROR(__xludf.DUMMYFUNCTION("""COMPUTED_VALUE"""),"rohitghadge202@gmail.com")</f>
        <v>rohitghadge202@gmail.com</v>
      </c>
    </row>
    <row r="2133" spans="1:19" ht="12.5" x14ac:dyDescent="0.25">
      <c r="A2133" s="2">
        <f ca="1">IFERROR(__xludf.DUMMYFUNCTION("""COMPUTED_VALUE"""),45063.5609611805)</f>
        <v>45063.560961180498</v>
      </c>
      <c r="B2133" s="1" t="str">
        <f ca="1">IFERROR(__xludf.DUMMYFUNCTION("""COMPUTED_VALUE"""),"India")</f>
        <v>India</v>
      </c>
      <c r="C2133" s="1">
        <f ca="1">IFERROR(__xludf.DUMMYFUNCTION("""COMPUTED_VALUE"""),400097)</f>
        <v>400097</v>
      </c>
      <c r="D2133" s="1" t="str">
        <f ca="1">IFERROR(__xludf.DUMMYFUNCTION("""COMPUTED_VALUE"""),"Female")</f>
        <v>Female</v>
      </c>
      <c r="E2133" s="1" t="str">
        <f ca="1">IFERROR(__xludf.DUMMYFUNCTION("""COMPUTED_VALUE"""),"My Parents")</f>
        <v>My Parents</v>
      </c>
      <c r="F2133" s="1" t="str">
        <f ca="1">IFERROR(__xludf.DUMMYFUNCTION("""COMPUTED_VALUE"""),"No I would not be pursuing Higher Education outside of India")</f>
        <v>No I would not be pursuing Higher Education outside of India</v>
      </c>
      <c r="G2133" s="1" t="str">
        <f ca="1">IFERROR(__xludf.DUMMYFUNCTION("""COMPUTED_VALUE"""),"This will be hard to do, but if it is the right company I would try")</f>
        <v>This will be hard to do, but if it is the right company I would try</v>
      </c>
      <c r="H2133" s="1" t="str">
        <f ca="1">IFERROR(__xludf.DUMMYFUNCTION("""COMPUTED_VALUE"""),"No")</f>
        <v>No</v>
      </c>
      <c r="I2133" s="1" t="str">
        <f ca="1">IFERROR(__xludf.DUMMYFUNCTION("""COMPUTED_VALUE"""),"Will NOT work for them")</f>
        <v>Will NOT work for them</v>
      </c>
      <c r="J2133" s="1">
        <f ca="1">IFERROR(__xludf.DUMMYFUNCTION("""COMPUTED_VALUE"""),4)</f>
        <v>4</v>
      </c>
      <c r="K2133" s="1" t="str">
        <f ca="1">IFERROR(__xludf.DUMMYFUNCTION("""COMPUTED_VALUE"""),"Hybrid Working Environment with more than 15 days a month at office")</f>
        <v>Hybrid Working Environment with more than 15 days a month at office</v>
      </c>
      <c r="L21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3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33" s="1" t="str">
        <f ca="1">IFERROR(__xludf.DUMMYFUNCTION("""COMPUTED_VALUE"""),"Build and develop a Team, Design and Develop amazing software, Look deeply into Data and generate insights, An Artificial Intelligence Specialist / Talking to Robots")</f>
        <v>Build and develop a Team, Design and Develop amazing software, Look deeply into Data and generate insights, An Artificial Intelligence Specialist / Talking to Robots</v>
      </c>
      <c r="O213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33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133" s="1" t="str">
        <f ca="1">IFERROR(__xludf.DUMMYFUNCTION("""COMPUTED_VALUE"""),"Yes, I Understand this is gonna happen everywhere")</f>
        <v>Yes, I Understand this is gonna happen everywhere</v>
      </c>
      <c r="R2133" s="1" t="str">
        <f ca="1">IFERROR(__xludf.DUMMYFUNCTION("""COMPUTED_VALUE"""),"This will be hard to do, but if it is the right company I would try")</f>
        <v>This will be hard to do, but if it is the right company I would try</v>
      </c>
      <c r="S2133" s="1" t="str">
        <f ca="1">IFERROR(__xludf.DUMMYFUNCTION("""COMPUTED_VALUE"""),"poojapramanick2001@gmail.com")</f>
        <v>poojapramanick2001@gmail.com</v>
      </c>
    </row>
    <row r="2134" spans="1:19" ht="12.5" x14ac:dyDescent="0.25">
      <c r="A2134" s="2">
        <f ca="1">IFERROR(__xludf.DUMMYFUNCTION("""COMPUTED_VALUE"""),45063.5647593055)</f>
        <v>45063.564759305496</v>
      </c>
      <c r="B2134" s="1" t="str">
        <f ca="1">IFERROR(__xludf.DUMMYFUNCTION("""COMPUTED_VALUE"""),"India")</f>
        <v>India</v>
      </c>
      <c r="C2134" s="1">
        <f ca="1">IFERROR(__xludf.DUMMYFUNCTION("""COMPUTED_VALUE"""),580023)</f>
        <v>580023</v>
      </c>
      <c r="D2134" s="1" t="str">
        <f ca="1">IFERROR(__xludf.DUMMYFUNCTION("""COMPUTED_VALUE"""),"Male")</f>
        <v>Male</v>
      </c>
      <c r="E2134" s="1" t="str">
        <f ca="1">IFERROR(__xludf.DUMMYFUNCTION("""COMPUTED_VALUE"""),"Social Media like LinkedIn")</f>
        <v>Social Media like LinkedIn</v>
      </c>
      <c r="F2134" s="1" t="str">
        <f ca="1">IFERROR(__xludf.DUMMYFUNCTION("""COMPUTED_VALUE"""),"Yes, I will earn and do that")</f>
        <v>Yes, I will earn and do that</v>
      </c>
      <c r="G2134" s="1" t="str">
        <f ca="1">IFERROR(__xludf.DUMMYFUNCTION("""COMPUTED_VALUE"""),"This will be hard to do, but if it is the right company I would try")</f>
        <v>This will be hard to do, but if it is the right company I would try</v>
      </c>
      <c r="H2134" s="1" t="str">
        <f ca="1">IFERROR(__xludf.DUMMYFUNCTION("""COMPUTED_VALUE"""),"No")</f>
        <v>No</v>
      </c>
      <c r="I2134" s="1" t="str">
        <f ca="1">IFERROR(__xludf.DUMMYFUNCTION("""COMPUTED_VALUE"""),"Will NOT work for them")</f>
        <v>Will NOT work for them</v>
      </c>
      <c r="J2134" s="1">
        <f ca="1">IFERROR(__xludf.DUMMYFUNCTION("""COMPUTED_VALUE"""),10)</f>
        <v>10</v>
      </c>
      <c r="K2134" s="1" t="str">
        <f ca="1">IFERROR(__xludf.DUMMYFUNCTION("""COMPUTED_VALUE"""),"Hybrid Working Environment with less than 3 days a month at office")</f>
        <v>Hybrid Working Environment with less than 3 days a month at office</v>
      </c>
      <c r="L2134" s="1" t="str">
        <f ca="1">IFERROR(__xludf.DUMMYFUNCTION("""COMPUTED_VALUE"""),"Employer who appreciates learning and enables that environment")</f>
        <v>Employer who appreciates learning and enables that environment</v>
      </c>
      <c r="M213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34" s="1" t="str">
        <f ca="1">IFERROR(__xludf.DUMMYFUNCTION("""COMPUTED_VALUE"""),"Teaching in any of the institutes/colleges/online or offline, Business Operations in any organization, Entrepreneur or Start Up, An Artificial Intelligence Specialist / Talking to Robots")</f>
        <v>Teaching in any of the institutes/colleges/online or offline, Business Operations in any organization, Entrepreneur or Start Up, An Artificial Intelligence Specialist / Talking to Robots</v>
      </c>
      <c r="O2134" s="1" t="str">
        <f ca="1">IFERROR(__xludf.DUMMYFUNCTION("""COMPUTED_VALUE"""),"Manager who clearly describes what she/he needs")</f>
        <v>Manager who clearly describes what she/he needs</v>
      </c>
      <c r="P2134" s="1" t="str">
        <f ca="1">IFERROR(__xludf.DUMMYFUNCTION("""COMPUTED_VALUE"""),"Work alone, Work with 2 to 3 people in my team")</f>
        <v>Work alone, Work with 2 to 3 people in my team</v>
      </c>
      <c r="Q2134" s="1" t="str">
        <f ca="1">IFERROR(__xludf.DUMMYFUNCTION("""COMPUTED_VALUE"""),"Yes, I Understand this is gonna happen everywhere")</f>
        <v>Yes, I Understand this is gonna happen everywhere</v>
      </c>
      <c r="R2134" s="1" t="str">
        <f ca="1">IFERROR(__xludf.DUMMYFUNCTION("""COMPUTED_VALUE"""),"This will be hard to do, but if it is the right company I would try")</f>
        <v>This will be hard to do, but if it is the right company I would try</v>
      </c>
      <c r="S2134" s="1" t="str">
        <f ca="1">IFERROR(__xludf.DUMMYFUNCTION("""COMPUTED_VALUE"""),"anipathak502@gmail.com")</f>
        <v>anipathak502@gmail.com</v>
      </c>
    </row>
    <row r="2135" spans="1:19" ht="12.5" x14ac:dyDescent="0.25">
      <c r="A2135" s="2">
        <f ca="1">IFERROR(__xludf.DUMMYFUNCTION("""COMPUTED_VALUE"""),45063.5682012731)</f>
        <v>45063.568201273098</v>
      </c>
      <c r="B2135" s="1" t="str">
        <f ca="1">IFERROR(__xludf.DUMMYFUNCTION("""COMPUTED_VALUE"""),"India")</f>
        <v>India</v>
      </c>
      <c r="C2135" s="1">
        <f ca="1">IFERROR(__xludf.DUMMYFUNCTION("""COMPUTED_VALUE"""),110027)</f>
        <v>110027</v>
      </c>
      <c r="D2135" s="1" t="str">
        <f ca="1">IFERROR(__xludf.DUMMYFUNCTION("""COMPUTED_VALUE"""),"Male")</f>
        <v>Male</v>
      </c>
      <c r="E2135" s="1" t="str">
        <f ca="1">IFERROR(__xludf.DUMMYFUNCTION("""COMPUTED_VALUE"""),"My Parents")</f>
        <v>My Parents</v>
      </c>
      <c r="F2135" s="1" t="str">
        <f ca="1">IFERROR(__xludf.DUMMYFUNCTION("""COMPUTED_VALUE"""),"Yes, I will earn and do that")</f>
        <v>Yes, I will earn and do that</v>
      </c>
      <c r="G2135" s="1" t="str">
        <f ca="1">IFERROR(__xludf.DUMMYFUNCTION("""COMPUTED_VALUE"""),"This will be hard to do, but if it is the right company I would try")</f>
        <v>This will be hard to do, but if it is the right company I would try</v>
      </c>
      <c r="H2135" s="1" t="str">
        <f ca="1">IFERROR(__xludf.DUMMYFUNCTION("""COMPUTED_VALUE"""),"Yes")</f>
        <v>Yes</v>
      </c>
      <c r="I2135" s="1" t="str">
        <f ca="1">IFERROR(__xludf.DUMMYFUNCTION("""COMPUTED_VALUE"""),"Will NOT work for them")</f>
        <v>Will NOT work for them</v>
      </c>
      <c r="J2135" s="1">
        <f ca="1">IFERROR(__xludf.DUMMYFUNCTION("""COMPUTED_VALUE"""),5)</f>
        <v>5</v>
      </c>
      <c r="K2135" s="1" t="str">
        <f ca="1">IFERROR(__xludf.DUMMYFUNCTION("""COMPUTED_VALUE"""),"Fully Remote with Options to travel as and when needed")</f>
        <v>Fully Remote with Options to travel as and when needed</v>
      </c>
      <c r="L213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3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35" s="1" t="str">
        <f ca="1">IFERROR(__xludf.DUMMYFUNCTION("""COMPUTED_VALUE"""),"Design and Develop amazing software, Entrepreneur or Start Up, I Want to sell things/Sales, An Artificial Intelligence Specialist / Talking to Robots")</f>
        <v>Design and Develop amazing software, Entrepreneur or Start Up, I Want to sell things/Sales, An Artificial Intelligence Specialist / Talking to Robots</v>
      </c>
      <c r="O2135" s="1" t="str">
        <f ca="1">IFERROR(__xludf.DUMMYFUNCTION("""COMPUTED_VALUE"""),"Manager who explains what is expected, sets a goal and helps achieve it")</f>
        <v>Manager who explains what is expected, sets a goal and helps achieve it</v>
      </c>
      <c r="P2135" s="1" t="str">
        <f ca="1">IFERROR(__xludf.DUMMYFUNCTION("""COMPUTED_VALUE"""),"Work with 5 to 6 people in my team")</f>
        <v>Work with 5 to 6 people in my team</v>
      </c>
      <c r="Q2135" s="1" t="str">
        <f ca="1">IFERROR(__xludf.DUMMYFUNCTION("""COMPUTED_VALUE"""),"Yes, I Understand this is gonna happen everywhere")</f>
        <v>Yes, I Understand this is gonna happen everywhere</v>
      </c>
      <c r="R2135" s="1" t="str">
        <f ca="1">IFERROR(__xludf.DUMMYFUNCTION("""COMPUTED_VALUE"""),"No way")</f>
        <v>No way</v>
      </c>
      <c r="S2135" s="1" t="str">
        <f ca="1">IFERROR(__xludf.DUMMYFUNCTION("""COMPUTED_VALUE"""),"userunidentified00@gmail.com")</f>
        <v>userunidentified00@gmail.com</v>
      </c>
    </row>
    <row r="2136" spans="1:19" ht="12.5" x14ac:dyDescent="0.25">
      <c r="A2136" s="2">
        <f ca="1">IFERROR(__xludf.DUMMYFUNCTION("""COMPUTED_VALUE"""),45063.5690163541)</f>
        <v>45063.5690163541</v>
      </c>
      <c r="B2136" s="1" t="str">
        <f ca="1">IFERROR(__xludf.DUMMYFUNCTION("""COMPUTED_VALUE"""),"India")</f>
        <v>India</v>
      </c>
      <c r="C2136" s="1">
        <f ca="1">IFERROR(__xludf.DUMMYFUNCTION("""COMPUTED_VALUE"""),400064)</f>
        <v>400064</v>
      </c>
      <c r="D2136" s="1" t="str">
        <f ca="1">IFERROR(__xludf.DUMMYFUNCTION("""COMPUTED_VALUE"""),"Male")</f>
        <v>Male</v>
      </c>
      <c r="E2136" s="1" t="str">
        <f ca="1">IFERROR(__xludf.DUMMYFUNCTION("""COMPUTED_VALUE"""),"My Parents")</f>
        <v>My Parents</v>
      </c>
      <c r="F2136" s="1" t="str">
        <f ca="1">IFERROR(__xludf.DUMMYFUNCTION("""COMPUTED_VALUE"""),"No I would not be pursuing Higher Education outside of India")</f>
        <v>No I would not be pursuing Higher Education outside of India</v>
      </c>
      <c r="G2136" s="1" t="str">
        <f ca="1">IFERROR(__xludf.DUMMYFUNCTION("""COMPUTED_VALUE"""),"This will be hard to do, but if it is the right company I would try")</f>
        <v>This will be hard to do, but if it is the right company I would try</v>
      </c>
      <c r="H2136" s="1" t="str">
        <f ca="1">IFERROR(__xludf.DUMMYFUNCTION("""COMPUTED_VALUE"""),"No")</f>
        <v>No</v>
      </c>
      <c r="I2136" s="1" t="str">
        <f ca="1">IFERROR(__xludf.DUMMYFUNCTION("""COMPUTED_VALUE"""),"Will NOT work for them")</f>
        <v>Will NOT work for them</v>
      </c>
      <c r="J2136" s="1">
        <f ca="1">IFERROR(__xludf.DUMMYFUNCTION("""COMPUTED_VALUE"""),5)</f>
        <v>5</v>
      </c>
      <c r="K2136" s="1" t="str">
        <f ca="1">IFERROR(__xludf.DUMMYFUNCTION("""COMPUTED_VALUE"""),"Hybrid Working Environment with more than 15 days a month at office")</f>
        <v>Hybrid Working Environment with more than 15 days a month at office</v>
      </c>
      <c r="L21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36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2136" s="1" t="str">
        <f ca="1">IFERROR(__xludf.DUMMYFUNCTION("""COMPUTED_VALUE"""),"Design and Develop amazing software, Look deeply into Data and generate insights, Work as a freelancer and do my thing my way, Become a content Creator in some platform")</f>
        <v>Design and Develop amazing software, Look deeply into Data and generate insights, Work as a freelancer and do my thing my way, Become a content Creator in some platform</v>
      </c>
      <c r="O2136" s="1" t="str">
        <f ca="1">IFERROR(__xludf.DUMMYFUNCTION("""COMPUTED_VALUE"""),"Manager who explains what is expected, sets a goal and helps achieve it")</f>
        <v>Manager who explains what is expected, sets a goal and helps achieve it</v>
      </c>
      <c r="P213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136" s="1" t="str">
        <f ca="1">IFERROR(__xludf.DUMMYFUNCTION("""COMPUTED_VALUE"""),"Yes, I Understand this is gonna happen everywhere")</f>
        <v>Yes, I Understand this is gonna happen everywhere</v>
      </c>
      <c r="R2136" s="1" t="str">
        <f ca="1">IFERROR(__xludf.DUMMYFUNCTION("""COMPUTED_VALUE"""),"This will be hard to do, but if it is the right company I would try")</f>
        <v>This will be hard to do, but if it is the right company I would try</v>
      </c>
      <c r="S2136" s="1" t="str">
        <f ca="1">IFERROR(__xludf.DUMMYFUNCTION("""COMPUTED_VALUE"""),"aditya29s.pace@gmail.com")</f>
        <v>aditya29s.pace@gmail.com</v>
      </c>
    </row>
    <row r="2137" spans="1:19" ht="12.5" x14ac:dyDescent="0.25">
      <c r="A2137" s="2">
        <f ca="1">IFERROR(__xludf.DUMMYFUNCTION("""COMPUTED_VALUE"""),45063.5694553472)</f>
        <v>45063.569455347199</v>
      </c>
      <c r="B2137" s="1" t="str">
        <f ca="1">IFERROR(__xludf.DUMMYFUNCTION("""COMPUTED_VALUE"""),"India")</f>
        <v>India</v>
      </c>
      <c r="C2137" s="1">
        <f ca="1">IFERROR(__xludf.DUMMYFUNCTION("""COMPUTED_VALUE"""),440023)</f>
        <v>440023</v>
      </c>
      <c r="D2137" s="1" t="str">
        <f ca="1">IFERROR(__xludf.DUMMYFUNCTION("""COMPUTED_VALUE"""),"Male")</f>
        <v>Male</v>
      </c>
      <c r="E2137" s="1" t="str">
        <f ca="1">IFERROR(__xludf.DUMMYFUNCTION("""COMPUTED_VALUE"""),"People from my circle, but not family members")</f>
        <v>People from my circle, but not family members</v>
      </c>
      <c r="F2137" s="1" t="str">
        <f ca="1">IFERROR(__xludf.DUMMYFUNCTION("""COMPUTED_VALUE"""),"No I would not be pursuing Higher Education outside of India")</f>
        <v>No I would not be pursuing Higher Education outside of India</v>
      </c>
      <c r="G2137" s="1" t="str">
        <f ca="1">IFERROR(__xludf.DUMMYFUNCTION("""COMPUTED_VALUE"""),"Will work for 3 years or more")</f>
        <v>Will work for 3 years or more</v>
      </c>
      <c r="H2137" s="1" t="str">
        <f ca="1">IFERROR(__xludf.DUMMYFUNCTION("""COMPUTED_VALUE"""),"No")</f>
        <v>No</v>
      </c>
      <c r="I2137" s="1" t="str">
        <f ca="1">IFERROR(__xludf.DUMMYFUNCTION("""COMPUTED_VALUE"""),"Will NOT work for them")</f>
        <v>Will NOT work for them</v>
      </c>
      <c r="J2137" s="1">
        <f ca="1">IFERROR(__xludf.DUMMYFUNCTION("""COMPUTED_VALUE"""),4)</f>
        <v>4</v>
      </c>
      <c r="K2137" s="1" t="str">
        <f ca="1">IFERROR(__xludf.DUMMYFUNCTION("""COMPUTED_VALUE"""),"Every Day Office Environment")</f>
        <v>Every Day Office Environment</v>
      </c>
      <c r="L21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3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37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13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37" s="1" t="str">
        <f ca="1">IFERROR(__xludf.DUMMYFUNCTION("""COMPUTED_VALUE"""),"Work with 5 to 6 people in my team")</f>
        <v>Work with 5 to 6 people in my team</v>
      </c>
      <c r="Q2137" s="1" t="str">
        <f ca="1">IFERROR(__xludf.DUMMYFUNCTION("""COMPUTED_VALUE"""),"Yes, I Understand this is gonna happen everywhere")</f>
        <v>Yes, I Understand this is gonna happen everywhere</v>
      </c>
      <c r="R2137" s="1" t="str">
        <f ca="1">IFERROR(__xludf.DUMMYFUNCTION("""COMPUTED_VALUE"""),"This will be hard to do, but if it is the right company I would try")</f>
        <v>This will be hard to do, but if it is the right company I would try</v>
      </c>
      <c r="S2137" s="1" t="str">
        <f ca="1">IFERROR(__xludf.DUMMYFUNCTION("""COMPUTED_VALUE"""),"rajuraut1968@gmail.com")</f>
        <v>rajuraut1968@gmail.com</v>
      </c>
    </row>
    <row r="2138" spans="1:19" ht="12.5" x14ac:dyDescent="0.25">
      <c r="A2138" s="2">
        <f ca="1">IFERROR(__xludf.DUMMYFUNCTION("""COMPUTED_VALUE"""),45063.5704233564)</f>
        <v>45063.570423356403</v>
      </c>
      <c r="B2138" s="1" t="str">
        <f ca="1">IFERROR(__xludf.DUMMYFUNCTION("""COMPUTED_VALUE"""),"India")</f>
        <v>India</v>
      </c>
      <c r="C2138" s="1">
        <f ca="1">IFERROR(__xludf.DUMMYFUNCTION("""COMPUTED_VALUE"""),400095)</f>
        <v>400095</v>
      </c>
      <c r="D2138" s="1" t="str">
        <f ca="1">IFERROR(__xludf.DUMMYFUNCTION("""COMPUTED_VALUE"""),"Male")</f>
        <v>Male</v>
      </c>
      <c r="E2138" s="1" t="str">
        <f ca="1">IFERROR(__xludf.DUMMYFUNCTION("""COMPUTED_VALUE"""),"Influencers who had successful careers")</f>
        <v>Influencers who had successful careers</v>
      </c>
      <c r="F2138" s="1" t="str">
        <f ca="1">IFERROR(__xludf.DUMMYFUNCTION("""COMPUTED_VALUE"""),"Yes, I will earn and do that")</f>
        <v>Yes, I will earn and do that</v>
      </c>
      <c r="G2138" s="1" t="str">
        <f ca="1">IFERROR(__xludf.DUMMYFUNCTION("""COMPUTED_VALUE"""),"This will be hard to do, but if it is the right company I would try")</f>
        <v>This will be hard to do, but if it is the right company I would try</v>
      </c>
      <c r="H2138" s="1" t="str">
        <f ca="1">IFERROR(__xludf.DUMMYFUNCTION("""COMPUTED_VALUE"""),"No")</f>
        <v>No</v>
      </c>
      <c r="I2138" s="1" t="str">
        <f ca="1">IFERROR(__xludf.DUMMYFUNCTION("""COMPUTED_VALUE"""),"Will NOT work for them")</f>
        <v>Will NOT work for them</v>
      </c>
      <c r="J2138" s="1">
        <f ca="1">IFERROR(__xludf.DUMMYFUNCTION("""COMPUTED_VALUE"""),9)</f>
        <v>9</v>
      </c>
      <c r="K2138" s="1" t="str">
        <f ca="1">IFERROR(__xludf.DUMMYFUNCTION("""COMPUTED_VALUE"""),"Hybrid Working Environment with more than 15 days a month at office")</f>
        <v>Hybrid Working Environment with more than 15 days a month at office</v>
      </c>
      <c r="L21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3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13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138" s="1" t="str">
        <f ca="1">IFERROR(__xludf.DUMMYFUNCTION("""COMPUTED_VALUE"""),"Manager who explains what is expected, sets a goal and helps achieve it")</f>
        <v>Manager who explains what is expected, sets a goal and helps achieve it</v>
      </c>
      <c r="P2138" s="1" t="str">
        <f ca="1">IFERROR(__xludf.DUMMYFUNCTION("""COMPUTED_VALUE"""),"Work with 7 to 10 or more people in my team")</f>
        <v>Work with 7 to 10 or more people in my team</v>
      </c>
      <c r="Q2138" s="1" t="str">
        <f ca="1">IFERROR(__xludf.DUMMYFUNCTION("""COMPUTED_VALUE"""),"No")</f>
        <v>No</v>
      </c>
      <c r="R2138" s="1" t="str">
        <f ca="1">IFERROR(__xludf.DUMMYFUNCTION("""COMPUTED_VALUE"""),"This will be hard to do, but if it is the right company I would try")</f>
        <v>This will be hard to do, but if it is the right company I would try</v>
      </c>
      <c r="S2138" s="1" t="str">
        <f ca="1">IFERROR(__xludf.DUMMYFUNCTION("""COMPUTED_VALUE"""),"khan.aadil1911@gmail.com")</f>
        <v>khan.aadil1911@gmail.com</v>
      </c>
    </row>
    <row r="2139" spans="1:19" ht="12.5" x14ac:dyDescent="0.25">
      <c r="A2139" s="2">
        <f ca="1">IFERROR(__xludf.DUMMYFUNCTION("""COMPUTED_VALUE"""),45063.5710310416)</f>
        <v>45063.571031041603</v>
      </c>
      <c r="B2139" s="1" t="str">
        <f ca="1">IFERROR(__xludf.DUMMYFUNCTION("""COMPUTED_VALUE"""),"India")</f>
        <v>India</v>
      </c>
      <c r="C2139" s="1">
        <f ca="1">IFERROR(__xludf.DUMMYFUNCTION("""COMPUTED_VALUE"""),110093)</f>
        <v>110093</v>
      </c>
      <c r="D2139" s="1" t="str">
        <f ca="1">IFERROR(__xludf.DUMMYFUNCTION("""COMPUTED_VALUE"""),"Female")</f>
        <v>Female</v>
      </c>
      <c r="E2139" s="1" t="str">
        <f ca="1">IFERROR(__xludf.DUMMYFUNCTION("""COMPUTED_VALUE"""),"People from my circle, but not family members")</f>
        <v>People from my circle, but not family members</v>
      </c>
      <c r="F2139" s="1" t="str">
        <f ca="1">IFERROR(__xludf.DUMMYFUNCTION("""COMPUTED_VALUE"""),"No I would not be pursuing Higher Education outside of India")</f>
        <v>No I would not be pursuing Higher Education outside of India</v>
      </c>
      <c r="G2139" s="1" t="str">
        <f ca="1">IFERROR(__xludf.DUMMYFUNCTION("""COMPUTED_VALUE"""),"This will be hard to do, but if it is the right company I would try")</f>
        <v>This will be hard to do, but if it is the right company I would try</v>
      </c>
      <c r="H2139" s="1" t="str">
        <f ca="1">IFERROR(__xludf.DUMMYFUNCTION("""COMPUTED_VALUE"""),"Yes")</f>
        <v>Yes</v>
      </c>
      <c r="I2139" s="1" t="str">
        <f ca="1">IFERROR(__xludf.DUMMYFUNCTION("""COMPUTED_VALUE"""),"Will work for them")</f>
        <v>Will work for them</v>
      </c>
      <c r="J2139" s="1">
        <f ca="1">IFERROR(__xludf.DUMMYFUNCTION("""COMPUTED_VALUE"""),2)</f>
        <v>2</v>
      </c>
      <c r="K2139" s="1" t="str">
        <f ca="1">IFERROR(__xludf.DUMMYFUNCTION("""COMPUTED_VALUE"""),"Hybrid Working Environment with more than 15 days a month at office")</f>
        <v>Hybrid Working Environment with more than 15 days a month at office</v>
      </c>
      <c r="L2139" s="1" t="str">
        <f ca="1">IFERROR(__xludf.DUMMYFUNCTION("""COMPUTED_VALUE"""),"Employer who rewards learning and enables that environment")</f>
        <v>Employer who rewards learning and enables that environment</v>
      </c>
      <c r="M213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139" s="1" t="str">
        <f ca="1">IFERROR(__xludf.DUMMYFUNCTION("""COMPUTED_VALUE"""),"Design and Creative strategy in any company, Work as a freelancer and do my thing my way, Entrepreneur or Start Up, I Want to sell things/Sales")</f>
        <v>Design and Creative strategy in any company, Work as a freelancer and do my thing my way, Entrepreneur or Start Up, I Want to sell things/Sales</v>
      </c>
      <c r="O2139" s="1" t="str">
        <f ca="1">IFERROR(__xludf.DUMMYFUNCTION("""COMPUTED_VALUE"""),"Manager who explains what is expected, sets a goal and helps achieve it")</f>
        <v>Manager who explains what is expected, sets a goal and helps achieve it</v>
      </c>
      <c r="P2139" s="1" t="str">
        <f ca="1">IFERROR(__xludf.DUMMYFUNCTION("""COMPUTED_VALUE"""),"Work with 2 to 3 people in my team")</f>
        <v>Work with 2 to 3 people in my team</v>
      </c>
      <c r="Q2139" s="1" t="str">
        <f ca="1">IFERROR(__xludf.DUMMYFUNCTION("""COMPUTED_VALUE"""),"Yes, I Understand this is gonna happen everywhere")</f>
        <v>Yes, I Understand this is gonna happen everywhere</v>
      </c>
      <c r="R2139" s="1" t="str">
        <f ca="1">IFERROR(__xludf.DUMMYFUNCTION("""COMPUTED_VALUE"""),"This will be hard to do, but if it is the right company I would try")</f>
        <v>This will be hard to do, but if it is the right company I would try</v>
      </c>
      <c r="S2139" s="1" t="str">
        <f ca="1">IFERROR(__xludf.DUMMYFUNCTION("""COMPUTED_VALUE"""),"ishikag9638@gmail.com")</f>
        <v>ishikag9638@gmail.com</v>
      </c>
    </row>
    <row r="2140" spans="1:19" ht="12.5" x14ac:dyDescent="0.25">
      <c r="A2140" s="2">
        <f ca="1">IFERROR(__xludf.DUMMYFUNCTION("""COMPUTED_VALUE"""),45063.5757162731)</f>
        <v>45063.575716273102</v>
      </c>
      <c r="B2140" s="1" t="str">
        <f ca="1">IFERROR(__xludf.DUMMYFUNCTION("""COMPUTED_VALUE"""),"India")</f>
        <v>India</v>
      </c>
      <c r="C2140" s="1">
        <f ca="1">IFERROR(__xludf.DUMMYFUNCTION("""COMPUTED_VALUE"""),400101)</f>
        <v>400101</v>
      </c>
      <c r="D2140" s="1" t="str">
        <f ca="1">IFERROR(__xludf.DUMMYFUNCTION("""COMPUTED_VALUE"""),"Male")</f>
        <v>Male</v>
      </c>
      <c r="E2140" s="1" t="str">
        <f ca="1">IFERROR(__xludf.DUMMYFUNCTION("""COMPUTED_VALUE"""),"My Parents")</f>
        <v>My Parents</v>
      </c>
      <c r="F2140" s="1" t="str">
        <f ca="1">IFERROR(__xludf.DUMMYFUNCTION("""COMPUTED_VALUE"""),"No I would not be pursuing Higher Education outside of India")</f>
        <v>No I would not be pursuing Higher Education outside of India</v>
      </c>
      <c r="G2140" s="1" t="str">
        <f ca="1">IFERROR(__xludf.DUMMYFUNCTION("""COMPUTED_VALUE"""),"This will be hard to do, but if it is the right company I would try")</f>
        <v>This will be hard to do, but if it is the right company I would try</v>
      </c>
      <c r="H2140" s="1" t="str">
        <f ca="1">IFERROR(__xludf.DUMMYFUNCTION("""COMPUTED_VALUE"""),"Yes")</f>
        <v>Yes</v>
      </c>
      <c r="I2140" s="1" t="str">
        <f ca="1">IFERROR(__xludf.DUMMYFUNCTION("""COMPUTED_VALUE"""),"Will work for them")</f>
        <v>Will work for them</v>
      </c>
      <c r="J2140" s="1">
        <f ca="1">IFERROR(__xludf.DUMMYFUNCTION("""COMPUTED_VALUE"""),8)</f>
        <v>8</v>
      </c>
      <c r="K2140" s="1" t="str">
        <f ca="1">IFERROR(__xludf.DUMMYFUNCTION("""COMPUTED_VALUE"""),"Every Day Office Environment")</f>
        <v>Every Day Office Environment</v>
      </c>
      <c r="L214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14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140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2140" s="1" t="str">
        <f ca="1">IFERROR(__xludf.DUMMYFUNCTION("""COMPUTED_VALUE"""),"Manager who clearly describes what she/he needs")</f>
        <v>Manager who clearly describes what she/he needs</v>
      </c>
      <c r="P2140" s="1" t="str">
        <f ca="1">IFERROR(__xludf.DUMMYFUNCTION("""COMPUTED_VALUE"""),"Work with more than 10 people in my team")</f>
        <v>Work with more than 10 people in my team</v>
      </c>
      <c r="Q2140" s="1" t="str">
        <f ca="1">IFERROR(__xludf.DUMMYFUNCTION("""COMPUTED_VALUE"""),"Yes, I Understand this is gonna happen everywhere")</f>
        <v>Yes, I Understand this is gonna happen everywhere</v>
      </c>
      <c r="R2140" s="1" t="str">
        <f ca="1">IFERROR(__xludf.DUMMYFUNCTION("""COMPUTED_VALUE"""),"This will be hard to do, but if it is the right company I would try")</f>
        <v>This will be hard to do, but if it is the right company I would try</v>
      </c>
      <c r="S2140" s="1" t="str">
        <f ca="1">IFERROR(__xludf.DUMMYFUNCTION("""COMPUTED_VALUE"""),"saketsaksena520@gmail.com")</f>
        <v>saketsaksena520@gmail.com</v>
      </c>
    </row>
    <row r="2141" spans="1:19" ht="12.5" x14ac:dyDescent="0.25">
      <c r="A2141" s="2">
        <f ca="1">IFERROR(__xludf.DUMMYFUNCTION("""COMPUTED_VALUE"""),45063.5765650578)</f>
        <v>45063.576565057803</v>
      </c>
      <c r="B2141" s="1" t="str">
        <f ca="1">IFERROR(__xludf.DUMMYFUNCTION("""COMPUTED_VALUE"""),"India")</f>
        <v>India</v>
      </c>
      <c r="C2141" s="1">
        <f ca="1">IFERROR(__xludf.DUMMYFUNCTION("""COMPUTED_VALUE"""),400067)</f>
        <v>400067</v>
      </c>
      <c r="D2141" s="1" t="str">
        <f ca="1">IFERROR(__xludf.DUMMYFUNCTION("""COMPUTED_VALUE"""),"Male")</f>
        <v>Male</v>
      </c>
      <c r="E2141" s="1" t="str">
        <f ca="1">IFERROR(__xludf.DUMMYFUNCTION("""COMPUTED_VALUE"""),"People who have changed the world for better")</f>
        <v>People who have changed the world for better</v>
      </c>
      <c r="F2141" s="1" t="str">
        <f ca="1">IFERROR(__xludf.DUMMYFUNCTION("""COMPUTED_VALUE"""),"No I would not be pursuing Higher Education outside of India")</f>
        <v>No I would not be pursuing Higher Education outside of India</v>
      </c>
      <c r="G2141" s="1" t="str">
        <f ca="1">IFERROR(__xludf.DUMMYFUNCTION("""COMPUTED_VALUE"""),"This will be hard to do, but if it is the right company I would try")</f>
        <v>This will be hard to do, but if it is the right company I would try</v>
      </c>
      <c r="H2141" s="1" t="str">
        <f ca="1">IFERROR(__xludf.DUMMYFUNCTION("""COMPUTED_VALUE"""),"No")</f>
        <v>No</v>
      </c>
      <c r="I2141" s="1" t="str">
        <f ca="1">IFERROR(__xludf.DUMMYFUNCTION("""COMPUTED_VALUE"""),"Will NOT work for them")</f>
        <v>Will NOT work for them</v>
      </c>
      <c r="J2141" s="1">
        <f ca="1">IFERROR(__xludf.DUMMYFUNCTION("""COMPUTED_VALUE"""),5)</f>
        <v>5</v>
      </c>
      <c r="K2141" s="1" t="str">
        <f ca="1">IFERROR(__xludf.DUMMYFUNCTION("""COMPUTED_VALUE"""),"Fully Remote with Options to travel as and when needed")</f>
        <v>Fully Remote with Options to travel as and when needed</v>
      </c>
      <c r="L2141" s="1" t="str">
        <f ca="1">IFERROR(__xludf.DUMMYFUNCTION("""COMPUTED_VALUE"""),"Employer who appreciates learning and enables that environment")</f>
        <v>Employer who appreciates learning and enables that environment</v>
      </c>
      <c r="M214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41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2141" s="1" t="str">
        <f ca="1">IFERROR(__xludf.DUMMYFUNCTION("""COMPUTED_VALUE"""),"Manager who clearly describes what she/he needs")</f>
        <v>Manager who clearly describes what she/he needs</v>
      </c>
      <c r="P2141" s="1" t="str">
        <f ca="1">IFERROR(__xludf.DUMMYFUNCTION("""COMPUTED_VALUE"""),"Work with 2 to 3 people in my team")</f>
        <v>Work with 2 to 3 people in my team</v>
      </c>
      <c r="Q2141" s="1" t="str">
        <f ca="1">IFERROR(__xludf.DUMMYFUNCTION("""COMPUTED_VALUE"""),"No")</f>
        <v>No</v>
      </c>
      <c r="R2141" s="1" t="str">
        <f ca="1">IFERROR(__xludf.DUMMYFUNCTION("""COMPUTED_VALUE"""),"This will be hard to do, but if it is the right company I would try")</f>
        <v>This will be hard to do, but if it is the right company I would try</v>
      </c>
      <c r="S2141" s="1" t="str">
        <f ca="1">IFERROR(__xludf.DUMMYFUNCTION("""COMPUTED_VALUE"""),"parmar028pravin@gmail.com")</f>
        <v>parmar028pravin@gmail.com</v>
      </c>
    </row>
    <row r="2142" spans="1:19" ht="12.5" x14ac:dyDescent="0.25">
      <c r="A2142" s="2">
        <f ca="1">IFERROR(__xludf.DUMMYFUNCTION("""COMPUTED_VALUE"""),45063.5773300925)</f>
        <v>45063.577330092499</v>
      </c>
      <c r="B2142" s="1" t="str">
        <f ca="1">IFERROR(__xludf.DUMMYFUNCTION("""COMPUTED_VALUE"""),"India")</f>
        <v>India</v>
      </c>
      <c r="C2142" s="1">
        <f ca="1">IFERROR(__xludf.DUMMYFUNCTION("""COMPUTED_VALUE"""),786001)</f>
        <v>786001</v>
      </c>
      <c r="D2142" s="1" t="str">
        <f ca="1">IFERROR(__xludf.DUMMYFUNCTION("""COMPUTED_VALUE"""),"Female")</f>
        <v>Female</v>
      </c>
      <c r="E2142" s="1" t="str">
        <f ca="1">IFERROR(__xludf.DUMMYFUNCTION("""COMPUTED_VALUE"""),"People from my circle, but not family members")</f>
        <v>People from my circle, but not family members</v>
      </c>
      <c r="F2142" s="1" t="str">
        <f ca="1">IFERROR(__xludf.DUMMYFUNCTION("""COMPUTED_VALUE"""),"No, But if someone could bare the cost I will")</f>
        <v>No, But if someone could bare the cost I will</v>
      </c>
      <c r="G2142" s="1" t="str">
        <f ca="1">IFERROR(__xludf.DUMMYFUNCTION("""COMPUTED_VALUE"""),"This will be hard to do, but if it is the right company I would try")</f>
        <v>This will be hard to do, but if it is the right company I would try</v>
      </c>
      <c r="H2142" s="1" t="str">
        <f ca="1">IFERROR(__xludf.DUMMYFUNCTION("""COMPUTED_VALUE"""),"No")</f>
        <v>No</v>
      </c>
      <c r="I2142" s="1" t="str">
        <f ca="1">IFERROR(__xludf.DUMMYFUNCTION("""COMPUTED_VALUE"""),"Will NOT work for them")</f>
        <v>Will NOT work for them</v>
      </c>
      <c r="J2142" s="1">
        <f ca="1">IFERROR(__xludf.DUMMYFUNCTION("""COMPUTED_VALUE"""),8)</f>
        <v>8</v>
      </c>
      <c r="K2142" s="1" t="str">
        <f ca="1">IFERROR(__xludf.DUMMYFUNCTION("""COMPUTED_VALUE"""),"Fully Remote with Options to travel as and when needed")</f>
        <v>Fully Remote with Options to travel as and when needed</v>
      </c>
      <c r="L21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4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42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2142" s="1" t="str">
        <f ca="1">IFERROR(__xludf.DUMMYFUNCTION("""COMPUTED_VALUE"""),"Manager who explains what is expected, sets a goal and helps achieve it")</f>
        <v>Manager who explains what is expected, sets a goal and helps achieve it</v>
      </c>
      <c r="P2142" s="1" t="str">
        <f ca="1">IFERROR(__xludf.DUMMYFUNCTION("""COMPUTED_VALUE"""),"Work with 2 to 3 people in my team")</f>
        <v>Work with 2 to 3 people in my team</v>
      </c>
      <c r="Q2142" s="1" t="str">
        <f ca="1">IFERROR(__xludf.DUMMYFUNCTION("""COMPUTED_VALUE"""),"Yes, I Understand this is gonna happen everywhere")</f>
        <v>Yes, I Understand this is gonna happen everywhere</v>
      </c>
      <c r="R2142" s="1" t="str">
        <f ca="1">IFERROR(__xludf.DUMMYFUNCTION("""COMPUTED_VALUE"""),"This will be hard to do, but if it is the right company I would try")</f>
        <v>This will be hard to do, but if it is the right company I would try</v>
      </c>
      <c r="S2142" s="1" t="str">
        <f ca="1">IFERROR(__xludf.DUMMYFUNCTION("""COMPUTED_VALUE"""),"debnathbarnali266@gmail.com")</f>
        <v>debnathbarnali266@gmail.com</v>
      </c>
    </row>
    <row r="2143" spans="1:19" ht="12.5" x14ac:dyDescent="0.25">
      <c r="A2143" s="2">
        <f ca="1">IFERROR(__xludf.DUMMYFUNCTION("""COMPUTED_VALUE"""),45063.5813273495)</f>
        <v>45063.5813273495</v>
      </c>
      <c r="B2143" s="1" t="str">
        <f ca="1">IFERROR(__xludf.DUMMYFUNCTION("""COMPUTED_VALUE"""),"India")</f>
        <v>India</v>
      </c>
      <c r="C2143" s="1">
        <f ca="1">IFERROR(__xludf.DUMMYFUNCTION("""COMPUTED_VALUE"""),425103)</f>
        <v>425103</v>
      </c>
      <c r="D2143" s="1" t="str">
        <f ca="1">IFERROR(__xludf.DUMMYFUNCTION("""COMPUTED_VALUE"""),"Male")</f>
        <v>Male</v>
      </c>
      <c r="E2143" s="1" t="str">
        <f ca="1">IFERROR(__xludf.DUMMYFUNCTION("""COMPUTED_VALUE"""),"People who have changed the world for better")</f>
        <v>People who have changed the world for better</v>
      </c>
      <c r="F2143" s="1" t="str">
        <f ca="1">IFERROR(__xludf.DUMMYFUNCTION("""COMPUTED_VALUE"""),"No I would not be pursuing Higher Education outside of India")</f>
        <v>No I would not be pursuing Higher Education outside of India</v>
      </c>
      <c r="G2143" s="1" t="str">
        <f ca="1">IFERROR(__xludf.DUMMYFUNCTION("""COMPUTED_VALUE"""),"This will be hard to do, but if it is the right company I would try")</f>
        <v>This will be hard to do, but if it is the right company I would try</v>
      </c>
      <c r="H2143" s="1" t="str">
        <f ca="1">IFERROR(__xludf.DUMMYFUNCTION("""COMPUTED_VALUE"""),"No")</f>
        <v>No</v>
      </c>
      <c r="I2143" s="1" t="str">
        <f ca="1">IFERROR(__xludf.DUMMYFUNCTION("""COMPUTED_VALUE"""),"Will NOT work for them")</f>
        <v>Will NOT work for them</v>
      </c>
      <c r="J2143" s="1">
        <f ca="1">IFERROR(__xludf.DUMMYFUNCTION("""COMPUTED_VALUE"""),4)</f>
        <v>4</v>
      </c>
      <c r="K2143" s="1" t="str">
        <f ca="1">IFERROR(__xludf.DUMMYFUNCTION("""COMPUTED_VALUE"""),"Every Day Office Environment")</f>
        <v>Every Day Office Environment</v>
      </c>
      <c r="L21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43" s="1" t="str">
        <f ca="1">IFERROR(__xludf.DUMMYFUNCTION("""COMPUTED_VALUE"""),"Business Operations in any organization, Build and develop a Team, Design and Develop amazing software, Entrepreneur or Start Up")</f>
        <v>Business Operations in any organization, Build and develop a Team, Design and Develop amazing software, Entrepreneur or Start Up</v>
      </c>
      <c r="O214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43" s="1" t="str">
        <f ca="1">IFERROR(__xludf.DUMMYFUNCTION("""COMPUTED_VALUE"""),"Work with more than 10 people in my team")</f>
        <v>Work with more than 10 people in my team</v>
      </c>
      <c r="Q2143" s="1" t="str">
        <f ca="1">IFERROR(__xludf.DUMMYFUNCTION("""COMPUTED_VALUE"""),"No")</f>
        <v>No</v>
      </c>
      <c r="R2143" s="1" t="str">
        <f ca="1">IFERROR(__xludf.DUMMYFUNCTION("""COMPUTED_VALUE"""),"This will be hard to do, but if it is the right company I would try")</f>
        <v>This will be hard to do, but if it is the right company I would try</v>
      </c>
      <c r="S2143" s="1" t="str">
        <f ca="1">IFERROR(__xludf.DUMMYFUNCTION("""COMPUTED_VALUE"""),"rp891943@gmail.com")</f>
        <v>rp891943@gmail.com</v>
      </c>
    </row>
    <row r="2144" spans="1:19" ht="12.5" x14ac:dyDescent="0.25">
      <c r="A2144" s="2">
        <f ca="1">IFERROR(__xludf.DUMMYFUNCTION("""COMPUTED_VALUE"""),45063.5849729166)</f>
        <v>45063.5849729166</v>
      </c>
      <c r="B2144" s="1" t="str">
        <f ca="1">IFERROR(__xludf.DUMMYFUNCTION("""COMPUTED_VALUE"""),"India")</f>
        <v>India</v>
      </c>
      <c r="C2144" s="1">
        <f ca="1">IFERROR(__xludf.DUMMYFUNCTION("""COMPUTED_VALUE"""),400063)</f>
        <v>400063</v>
      </c>
      <c r="D2144" s="1" t="str">
        <f ca="1">IFERROR(__xludf.DUMMYFUNCTION("""COMPUTED_VALUE"""),"Male")</f>
        <v>Male</v>
      </c>
      <c r="E2144" s="1" t="str">
        <f ca="1">IFERROR(__xludf.DUMMYFUNCTION("""COMPUTED_VALUE"""),"People who have changed the world for better")</f>
        <v>People who have changed the world for better</v>
      </c>
      <c r="F2144" s="1" t="str">
        <f ca="1">IFERROR(__xludf.DUMMYFUNCTION("""COMPUTED_VALUE"""),"No I would not be pursuing Higher Education outside of India")</f>
        <v>No I would not be pursuing Higher Education outside of India</v>
      </c>
      <c r="G2144" s="1" t="str">
        <f ca="1">IFERROR(__xludf.DUMMYFUNCTION("""COMPUTED_VALUE"""),"No way")</f>
        <v>No way</v>
      </c>
      <c r="H2144" s="1" t="str">
        <f ca="1">IFERROR(__xludf.DUMMYFUNCTION("""COMPUTED_VALUE"""),"No")</f>
        <v>No</v>
      </c>
      <c r="I2144" s="1" t="str">
        <f ca="1">IFERROR(__xludf.DUMMYFUNCTION("""COMPUTED_VALUE"""),"Will NOT work for them")</f>
        <v>Will NOT work for them</v>
      </c>
      <c r="J2144" s="1">
        <f ca="1">IFERROR(__xludf.DUMMYFUNCTION("""COMPUTED_VALUE"""),3)</f>
        <v>3</v>
      </c>
      <c r="K2144" s="1" t="str">
        <f ca="1">IFERROR(__xludf.DUMMYFUNCTION("""COMPUTED_VALUE"""),"Hybrid Working Environment with more than 15 days a month at office")</f>
        <v>Hybrid Working Environment with more than 15 days a month at office</v>
      </c>
      <c r="L2144" s="1" t="str">
        <f ca="1">IFERROR(__xludf.DUMMYFUNCTION("""COMPUTED_VALUE"""),"Employer who appreciates learning and enables that environment")</f>
        <v>Employer who appreciates learning and enables that environment</v>
      </c>
      <c r="M2144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144" s="1" t="str">
        <f ca="1">IFERROR(__xludf.DUMMYFUNCTION("""COMPUTED_VALUE"""),"Design and Creative strategy in any company, Teaching in any of the institutes/colleges/online or offline, Manage and drive End-to-End Projects or Products, Look deeply into Data and generate insights")</f>
        <v>Design and Creative strategy in any company, Teaching in any of the institutes/colleges/online or offline, Manage and drive End-to-End Projects or Products, Look deeply into Data and generate insights</v>
      </c>
      <c r="O2144" s="1" t="str">
        <f ca="1">IFERROR(__xludf.DUMMYFUNCTION("""COMPUTED_VALUE"""),"Manager who clearly describes what she/he needs")</f>
        <v>Manager who clearly describes what she/he needs</v>
      </c>
      <c r="P2144" s="1" t="str">
        <f ca="1">IFERROR(__xludf.DUMMYFUNCTION("""COMPUTED_VALUE"""),"Work alone")</f>
        <v>Work alone</v>
      </c>
      <c r="Q2144" s="1" t="str">
        <f ca="1">IFERROR(__xludf.DUMMYFUNCTION("""COMPUTED_VALUE"""),"No")</f>
        <v>No</v>
      </c>
      <c r="R2144" s="1" t="str">
        <f ca="1">IFERROR(__xludf.DUMMYFUNCTION("""COMPUTED_VALUE"""),"No way")</f>
        <v>No way</v>
      </c>
      <c r="S2144" s="1" t="str">
        <f ca="1">IFERROR(__xludf.DUMMYFUNCTION("""COMPUTED_VALUE"""),"nishkarsh173@gmail.com")</f>
        <v>nishkarsh173@gmail.com</v>
      </c>
    </row>
    <row r="2145" spans="1:19" ht="12.5" x14ac:dyDescent="0.25">
      <c r="A2145" s="2">
        <f ca="1">IFERROR(__xludf.DUMMYFUNCTION("""COMPUTED_VALUE"""),45063.5933600115)</f>
        <v>45063.593360011502</v>
      </c>
      <c r="B2145" s="1" t="str">
        <f ca="1">IFERROR(__xludf.DUMMYFUNCTION("""COMPUTED_VALUE"""),"India")</f>
        <v>India</v>
      </c>
      <c r="C2145" s="1">
        <f ca="1">IFERROR(__xludf.DUMMYFUNCTION("""COMPUTED_VALUE"""),132103)</f>
        <v>132103</v>
      </c>
      <c r="D2145" s="1" t="str">
        <f ca="1">IFERROR(__xludf.DUMMYFUNCTION("""COMPUTED_VALUE"""),"Female")</f>
        <v>Female</v>
      </c>
      <c r="E2145" s="1" t="str">
        <f ca="1">IFERROR(__xludf.DUMMYFUNCTION("""COMPUTED_VALUE"""),"My Parents")</f>
        <v>My Parents</v>
      </c>
      <c r="F2145" s="1" t="str">
        <f ca="1">IFERROR(__xludf.DUMMYFUNCTION("""COMPUTED_VALUE"""),"No, But if someone could bare the cost I will")</f>
        <v>No, But if someone could bare the cost I will</v>
      </c>
      <c r="G2145" s="1" t="str">
        <f ca="1">IFERROR(__xludf.DUMMYFUNCTION("""COMPUTED_VALUE"""),"Will work for 3 years or more")</f>
        <v>Will work for 3 years or more</v>
      </c>
      <c r="H2145" s="1" t="str">
        <f ca="1">IFERROR(__xludf.DUMMYFUNCTION("""COMPUTED_VALUE"""),"No")</f>
        <v>No</v>
      </c>
      <c r="I2145" s="1" t="str">
        <f ca="1">IFERROR(__xludf.DUMMYFUNCTION("""COMPUTED_VALUE"""),"Will NOT work for them")</f>
        <v>Will NOT work for them</v>
      </c>
      <c r="J2145" s="1">
        <f ca="1">IFERROR(__xludf.DUMMYFUNCTION("""COMPUTED_VALUE"""),7)</f>
        <v>7</v>
      </c>
      <c r="K2145" s="1" t="str">
        <f ca="1">IFERROR(__xludf.DUMMYFUNCTION("""COMPUTED_VALUE"""),"Fully Remote with Options to travel as and when needed")</f>
        <v>Fully Remote with Options to travel as and when needed</v>
      </c>
      <c r="L21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4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45" s="1" t="str">
        <f ca="1">IFERROR(__xludf.DUMMYFUNCTION("""COMPUTED_VALUE"""),"Design and Creative strategy in any company, Teaching in any of the institutes/colleges/online or offline, Build and develop a Team, Entrepreneur or Start Up")</f>
        <v>Design and Creative strategy in any company, Teaching in any of the institutes/colleges/online or offline, Build and develop a Team, Entrepreneur or Start Up</v>
      </c>
      <c r="O2145" s="1" t="str">
        <f ca="1">IFERROR(__xludf.DUMMYFUNCTION("""COMPUTED_VALUE"""),"Manager who explains what is expected, sets a goal and helps achieve it")</f>
        <v>Manager who explains what is expected, sets a goal and helps achieve it</v>
      </c>
      <c r="P2145" s="1" t="str">
        <f ca="1">IFERROR(__xludf.DUMMYFUNCTION("""COMPUTED_VALUE"""),"Work with 2 to 3 people in my team")</f>
        <v>Work with 2 to 3 people in my team</v>
      </c>
      <c r="Q2145" s="1" t="str">
        <f ca="1">IFERROR(__xludf.DUMMYFUNCTION("""COMPUTED_VALUE"""),"No")</f>
        <v>No</v>
      </c>
      <c r="R2145" s="1" t="str">
        <f ca="1">IFERROR(__xludf.DUMMYFUNCTION("""COMPUTED_VALUE"""),"This will be hard to do, but if it is the right company I would try")</f>
        <v>This will be hard to do, but if it is the right company I would try</v>
      </c>
      <c r="S2145" s="1" t="str">
        <f ca="1">IFERROR(__xludf.DUMMYFUNCTION("""COMPUTED_VALUE"""),"vasundharamadaan@gmail.com")</f>
        <v>vasundharamadaan@gmail.com</v>
      </c>
    </row>
    <row r="2146" spans="1:19" ht="12.5" x14ac:dyDescent="0.25">
      <c r="A2146" s="2">
        <f ca="1">IFERROR(__xludf.DUMMYFUNCTION("""COMPUTED_VALUE"""),45063.5935630671)</f>
        <v>45063.593563067101</v>
      </c>
      <c r="B2146" s="1" t="str">
        <f ca="1">IFERROR(__xludf.DUMMYFUNCTION("""COMPUTED_VALUE"""),"India")</f>
        <v>India</v>
      </c>
      <c r="C2146" s="1">
        <f ca="1">IFERROR(__xludf.DUMMYFUNCTION("""COMPUTED_VALUE"""),400095)</f>
        <v>400095</v>
      </c>
      <c r="D2146" s="1" t="str">
        <f ca="1">IFERROR(__xludf.DUMMYFUNCTION("""COMPUTED_VALUE"""),"Male")</f>
        <v>Male</v>
      </c>
      <c r="E2146" s="1" t="str">
        <f ca="1">IFERROR(__xludf.DUMMYFUNCTION("""COMPUTED_VALUE"""),"People from my circle, but not family members")</f>
        <v>People from my circle, but not family members</v>
      </c>
      <c r="F2146" s="1" t="str">
        <f ca="1">IFERROR(__xludf.DUMMYFUNCTION("""COMPUTED_VALUE"""),"No I would not be pursuing Higher Education outside of India")</f>
        <v>No I would not be pursuing Higher Education outside of India</v>
      </c>
      <c r="G2146" s="1" t="str">
        <f ca="1">IFERROR(__xludf.DUMMYFUNCTION("""COMPUTED_VALUE"""),"Will work for 3 years or more")</f>
        <v>Will work for 3 years or more</v>
      </c>
      <c r="H2146" s="1" t="str">
        <f ca="1">IFERROR(__xludf.DUMMYFUNCTION("""COMPUTED_VALUE"""),"No")</f>
        <v>No</v>
      </c>
      <c r="I2146" s="1" t="str">
        <f ca="1">IFERROR(__xludf.DUMMYFUNCTION("""COMPUTED_VALUE"""),"Will NOT work for them")</f>
        <v>Will NOT work for them</v>
      </c>
      <c r="J2146" s="1">
        <f ca="1">IFERROR(__xludf.DUMMYFUNCTION("""COMPUTED_VALUE"""),4)</f>
        <v>4</v>
      </c>
      <c r="K2146" s="1" t="str">
        <f ca="1">IFERROR(__xludf.DUMMYFUNCTION("""COMPUTED_VALUE"""),"Hybrid Working Environment with less than 3 days a month at office")</f>
        <v>Hybrid Working Environment with less than 3 days a month at office</v>
      </c>
      <c r="L2146" s="1" t="str">
        <f ca="1">IFERROR(__xludf.DUMMYFUNCTION("""COMPUTED_VALUE"""),"Employer who appreciates learning and enables that environment")</f>
        <v>Employer who appreciates learning and enables that environment</v>
      </c>
      <c r="M214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46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146" s="1" t="str">
        <f ca="1">IFERROR(__xludf.DUMMYFUNCTION("""COMPUTED_VALUE"""),"Manager who explains what is expected, sets a goal and helps achieve it")</f>
        <v>Manager who explains what is expected, sets a goal and helps achieve it</v>
      </c>
      <c r="P2146" s="1" t="str">
        <f ca="1">IFERROR(__xludf.DUMMYFUNCTION("""COMPUTED_VALUE"""),"Work with 2 to 3 people in my team, Work with 5 to 6 people in my team")</f>
        <v>Work with 2 to 3 people in my team, Work with 5 to 6 people in my team</v>
      </c>
      <c r="Q2146" s="1" t="str">
        <f ca="1">IFERROR(__xludf.DUMMYFUNCTION("""COMPUTED_VALUE"""),"Yes, I Understand this is gonna happen everywhere")</f>
        <v>Yes, I Understand this is gonna happen everywhere</v>
      </c>
      <c r="R2146" s="1" t="str">
        <f ca="1">IFERROR(__xludf.DUMMYFUNCTION("""COMPUTED_VALUE"""),"This will be hard to do, but if it is the right company I would try")</f>
        <v>This will be hard to do, but if it is the right company I would try</v>
      </c>
      <c r="S2146" s="1" t="str">
        <f ca="1">IFERROR(__xludf.DUMMYFUNCTION("""COMPUTED_VALUE"""),"jswl.ashu@gmail.com")</f>
        <v>jswl.ashu@gmail.com</v>
      </c>
    </row>
    <row r="2147" spans="1:19" ht="12.5" x14ac:dyDescent="0.25">
      <c r="A2147" s="2">
        <f ca="1">IFERROR(__xludf.DUMMYFUNCTION("""COMPUTED_VALUE"""),45063.5964219212)</f>
        <v>45063.596421921196</v>
      </c>
      <c r="B2147" s="1" t="str">
        <f ca="1">IFERROR(__xludf.DUMMYFUNCTION("""COMPUTED_VALUE"""),"India")</f>
        <v>India</v>
      </c>
      <c r="C2147" s="1">
        <f ca="1">IFERROR(__xludf.DUMMYFUNCTION("""COMPUTED_VALUE"""),473551)</f>
        <v>473551</v>
      </c>
      <c r="D2147" s="1" t="str">
        <f ca="1">IFERROR(__xludf.DUMMYFUNCTION("""COMPUTED_VALUE"""),"Male")</f>
        <v>Male</v>
      </c>
      <c r="E2147" s="1" t="str">
        <f ca="1">IFERROR(__xludf.DUMMYFUNCTION("""COMPUTED_VALUE"""),"My Parents")</f>
        <v>My Parents</v>
      </c>
      <c r="F2147" s="1" t="str">
        <f ca="1">IFERROR(__xludf.DUMMYFUNCTION("""COMPUTED_VALUE"""),"No, But if someone could bare the cost I will")</f>
        <v>No, But if someone could bare the cost I will</v>
      </c>
      <c r="G2147" s="1" t="str">
        <f ca="1">IFERROR(__xludf.DUMMYFUNCTION("""COMPUTED_VALUE"""),"This will be hard to do, but if it is the right company I would try")</f>
        <v>This will be hard to do, but if it is the right company I would try</v>
      </c>
      <c r="H2147" s="1" t="str">
        <f ca="1">IFERROR(__xludf.DUMMYFUNCTION("""COMPUTED_VALUE"""),"Yes")</f>
        <v>Yes</v>
      </c>
      <c r="I2147" s="1" t="str">
        <f ca="1">IFERROR(__xludf.DUMMYFUNCTION("""COMPUTED_VALUE"""),"Will work for them")</f>
        <v>Will work for them</v>
      </c>
      <c r="J2147" s="1">
        <f ca="1">IFERROR(__xludf.DUMMYFUNCTION("""COMPUTED_VALUE"""),5)</f>
        <v>5</v>
      </c>
      <c r="K2147" s="1" t="str">
        <f ca="1">IFERROR(__xludf.DUMMYFUNCTION("""COMPUTED_VALUE"""),"Fully Remote with Options to travel as and when needed")</f>
        <v>Fully Remote with Options to travel as and when needed</v>
      </c>
      <c r="L2147" s="1" t="str">
        <f ca="1">IFERROR(__xludf.DUMMYFUNCTION("""COMPUTED_VALUE"""),"Employer who rewards learning and enables that environment")</f>
        <v>Employer who rewards learning and enables that environment</v>
      </c>
      <c r="M214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147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214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47" s="1" t="str">
        <f ca="1">IFERROR(__xludf.DUMMYFUNCTION("""COMPUTED_VALUE"""),"Work with 2 to 3 people in my team")</f>
        <v>Work with 2 to 3 people in my team</v>
      </c>
      <c r="Q2147" s="1" t="str">
        <f ca="1">IFERROR(__xludf.DUMMYFUNCTION("""COMPUTED_VALUE"""),"Yes, I Understand this is gonna happen everywhere")</f>
        <v>Yes, I Understand this is gonna happen everywhere</v>
      </c>
      <c r="R2147" s="1" t="str">
        <f ca="1">IFERROR(__xludf.DUMMYFUNCTION("""COMPUTED_VALUE"""),"This will be hard to do, but if it is the right company I would try")</f>
        <v>This will be hard to do, but if it is the right company I would try</v>
      </c>
      <c r="S2147" s="1" t="str">
        <f ca="1">IFERROR(__xludf.DUMMYFUNCTION("""COMPUTED_VALUE"""),"nagpalrishabh000@gmail.com")</f>
        <v>nagpalrishabh000@gmail.com</v>
      </c>
    </row>
    <row r="2148" spans="1:19" ht="12.5" x14ac:dyDescent="0.25">
      <c r="A2148" s="2">
        <f ca="1">IFERROR(__xludf.DUMMYFUNCTION("""COMPUTED_VALUE"""),45063.5964655671)</f>
        <v>45063.596465567098</v>
      </c>
      <c r="B2148" s="1" t="str">
        <f ca="1">IFERROR(__xludf.DUMMYFUNCTION("""COMPUTED_VALUE"""),"India")</f>
        <v>India</v>
      </c>
      <c r="C2148" s="1">
        <f ca="1">IFERROR(__xludf.DUMMYFUNCTION("""COMPUTED_VALUE"""),440023)</f>
        <v>440023</v>
      </c>
      <c r="D2148" s="1" t="str">
        <f ca="1">IFERROR(__xludf.DUMMYFUNCTION("""COMPUTED_VALUE"""),"Female")</f>
        <v>Female</v>
      </c>
      <c r="E2148" s="1" t="str">
        <f ca="1">IFERROR(__xludf.DUMMYFUNCTION("""COMPUTED_VALUE"""),"My Parents")</f>
        <v>My Parents</v>
      </c>
      <c r="F2148" s="1" t="str">
        <f ca="1">IFERROR(__xludf.DUMMYFUNCTION("""COMPUTED_VALUE"""),"Yes, I will earn and do that")</f>
        <v>Yes, I will earn and do that</v>
      </c>
      <c r="G2148" s="1" t="str">
        <f ca="1">IFERROR(__xludf.DUMMYFUNCTION("""COMPUTED_VALUE"""),"This will be hard to do, but if it is the right company I would try")</f>
        <v>This will be hard to do, but if it is the right company I would try</v>
      </c>
      <c r="H2148" s="1" t="str">
        <f ca="1">IFERROR(__xludf.DUMMYFUNCTION("""COMPUTED_VALUE"""),"No")</f>
        <v>No</v>
      </c>
      <c r="I2148" s="1" t="str">
        <f ca="1">IFERROR(__xludf.DUMMYFUNCTION("""COMPUTED_VALUE"""),"Will NOT work for them")</f>
        <v>Will NOT work for them</v>
      </c>
      <c r="J2148" s="1">
        <f ca="1">IFERROR(__xludf.DUMMYFUNCTION("""COMPUTED_VALUE"""),7)</f>
        <v>7</v>
      </c>
      <c r="K2148" s="1" t="str">
        <f ca="1">IFERROR(__xludf.DUMMYFUNCTION("""COMPUTED_VALUE"""),"Every Day Office Environment")</f>
        <v>Every Day Office Environment</v>
      </c>
      <c r="L21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4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48" s="1" t="str">
        <f ca="1">IFERROR(__xludf.DUMMYFUNCTION("""COMPUTED_VALUE"""),"Design and Creative strategy in any company, Manage and drive End-to-End Projects or Products, Work as a freelancer and do my thing my way, Entrepreneur or Start Up")</f>
        <v>Design and Creative strategy in any company, Manage and drive End-to-End Projects or Products, Work as a freelancer and do my thing my way, Entrepreneur or Start Up</v>
      </c>
      <c r="O2148" s="1" t="str">
        <f ca="1">IFERROR(__xludf.DUMMYFUNCTION("""COMPUTED_VALUE"""),"Manager who explains what is expected, sets a goal and helps achieve it")</f>
        <v>Manager who explains what is expected, sets a goal and helps achieve it</v>
      </c>
      <c r="P2148" s="1" t="str">
        <f ca="1">IFERROR(__xludf.DUMMYFUNCTION("""COMPUTED_VALUE"""),"Work with 5 to 6 people in my team")</f>
        <v>Work with 5 to 6 people in my team</v>
      </c>
      <c r="Q2148" s="1" t="str">
        <f ca="1">IFERROR(__xludf.DUMMYFUNCTION("""COMPUTED_VALUE"""),"Yes, I Understand this is gonna happen everywhere")</f>
        <v>Yes, I Understand this is gonna happen everywhere</v>
      </c>
      <c r="R2148" s="1" t="str">
        <f ca="1">IFERROR(__xludf.DUMMYFUNCTION("""COMPUTED_VALUE"""),"This will be hard to do, but if it is the right company I would try")</f>
        <v>This will be hard to do, but if it is the right company I would try</v>
      </c>
      <c r="S2148" s="1" t="str">
        <f ca="1">IFERROR(__xludf.DUMMYFUNCTION("""COMPUTED_VALUE"""),"123yuktirathod@gmail.com")</f>
        <v>123yuktirathod@gmail.com</v>
      </c>
    </row>
    <row r="2149" spans="1:19" ht="12.5" x14ac:dyDescent="0.25">
      <c r="A2149" s="2">
        <f ca="1">IFERROR(__xludf.DUMMYFUNCTION("""COMPUTED_VALUE"""),45063.6033754976)</f>
        <v>45063.603375497602</v>
      </c>
      <c r="B2149" s="1" t="str">
        <f ca="1">IFERROR(__xludf.DUMMYFUNCTION("""COMPUTED_VALUE"""),"India")</f>
        <v>India</v>
      </c>
      <c r="C2149" s="1">
        <f ca="1">IFERROR(__xludf.DUMMYFUNCTION("""COMPUTED_VALUE"""),620017)</f>
        <v>620017</v>
      </c>
      <c r="D2149" s="1" t="str">
        <f ca="1">IFERROR(__xludf.DUMMYFUNCTION("""COMPUTED_VALUE"""),"Female")</f>
        <v>Female</v>
      </c>
      <c r="E2149" s="1" t="str">
        <f ca="1">IFERROR(__xludf.DUMMYFUNCTION("""COMPUTED_VALUE"""),"People who have changed the world for better")</f>
        <v>People who have changed the world for better</v>
      </c>
      <c r="F2149" s="1" t="str">
        <f ca="1">IFERROR(__xludf.DUMMYFUNCTION("""COMPUTED_VALUE"""),"Yes, I will earn and do that")</f>
        <v>Yes, I will earn and do that</v>
      </c>
      <c r="G2149" s="1" t="str">
        <f ca="1">IFERROR(__xludf.DUMMYFUNCTION("""COMPUTED_VALUE"""),"This will be hard to do, but if it is the right company I would try")</f>
        <v>This will be hard to do, but if it is the right company I would try</v>
      </c>
      <c r="H2149" s="1" t="str">
        <f ca="1">IFERROR(__xludf.DUMMYFUNCTION("""COMPUTED_VALUE"""),"No")</f>
        <v>No</v>
      </c>
      <c r="I2149" s="1" t="str">
        <f ca="1">IFERROR(__xludf.DUMMYFUNCTION("""COMPUTED_VALUE"""),"Will NOT work for them")</f>
        <v>Will NOT work for them</v>
      </c>
      <c r="J2149" s="1">
        <f ca="1">IFERROR(__xludf.DUMMYFUNCTION("""COMPUTED_VALUE"""),6)</f>
        <v>6</v>
      </c>
      <c r="K2149" s="1" t="str">
        <f ca="1">IFERROR(__xludf.DUMMYFUNCTION("""COMPUTED_VALUE"""),"Fully Remote with Options to travel as and when needed")</f>
        <v>Fully Remote with Options to travel as and when needed</v>
      </c>
      <c r="L2149" s="1" t="str">
        <f ca="1">IFERROR(__xludf.DUMMYFUNCTION("""COMPUTED_VALUE"""),"Employer who appreciates learning and enables that environment")</f>
        <v>Employer who appreciates learning and enables that environment</v>
      </c>
      <c r="M214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49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2149" s="1" t="str">
        <f ca="1">IFERROR(__xludf.DUMMYFUNCTION("""COMPUTED_VALUE"""),"Manager who clearly describes what she/he needs")</f>
        <v>Manager who clearly describes what she/he needs</v>
      </c>
      <c r="P2149" s="1" t="str">
        <f ca="1">IFERROR(__xludf.DUMMYFUNCTION("""COMPUTED_VALUE"""),"Work with 2 to 3 people in my team")</f>
        <v>Work with 2 to 3 people in my team</v>
      </c>
      <c r="Q2149" s="1" t="str">
        <f ca="1">IFERROR(__xludf.DUMMYFUNCTION("""COMPUTED_VALUE"""),"Yes, I Understand this is gonna happen everywhere")</f>
        <v>Yes, I Understand this is gonna happen everywhere</v>
      </c>
      <c r="R2149" s="1" t="str">
        <f ca="1">IFERROR(__xludf.DUMMYFUNCTION("""COMPUTED_VALUE"""),"This will be hard to do, but if it is the right company I would try")</f>
        <v>This will be hard to do, but if it is the right company I would try</v>
      </c>
      <c r="S2149" s="1" t="str">
        <f ca="1">IFERROR(__xludf.DUMMYFUNCTION("""COMPUTED_VALUE"""),"esthersheeba2004@gmail.com")</f>
        <v>esthersheeba2004@gmail.com</v>
      </c>
    </row>
    <row r="2150" spans="1:19" ht="12.5" x14ac:dyDescent="0.25">
      <c r="A2150" s="2">
        <f ca="1">IFERROR(__xludf.DUMMYFUNCTION("""COMPUTED_VALUE"""),45063.6066151967)</f>
        <v>45063.606615196702</v>
      </c>
      <c r="B2150" s="1" t="str">
        <f ca="1">IFERROR(__xludf.DUMMYFUNCTION("""COMPUTED_VALUE"""),"India")</f>
        <v>India</v>
      </c>
      <c r="C2150" s="1">
        <f ca="1">IFERROR(__xludf.DUMMYFUNCTION("""COMPUTED_VALUE"""),605801)</f>
        <v>605801</v>
      </c>
      <c r="D2150" s="1" t="str">
        <f ca="1">IFERROR(__xludf.DUMMYFUNCTION("""COMPUTED_VALUE"""),"Female")</f>
        <v>Female</v>
      </c>
      <c r="E2150" s="1" t="str">
        <f ca="1">IFERROR(__xludf.DUMMYFUNCTION("""COMPUTED_VALUE"""),"Social Media like LinkedIn")</f>
        <v>Social Media like LinkedIn</v>
      </c>
      <c r="F2150" s="1" t="str">
        <f ca="1">IFERROR(__xludf.DUMMYFUNCTION("""COMPUTED_VALUE"""),"Yes, I will earn and do that")</f>
        <v>Yes, I will earn and do that</v>
      </c>
      <c r="G2150" s="1" t="str">
        <f ca="1">IFERROR(__xludf.DUMMYFUNCTION("""COMPUTED_VALUE"""),"This will be hard to do, but if it is the right company I would try")</f>
        <v>This will be hard to do, but if it is the right company I would try</v>
      </c>
      <c r="H2150" s="1" t="str">
        <f ca="1">IFERROR(__xludf.DUMMYFUNCTION("""COMPUTED_VALUE"""),"Yes")</f>
        <v>Yes</v>
      </c>
      <c r="I2150" s="1" t="str">
        <f ca="1">IFERROR(__xludf.DUMMYFUNCTION("""COMPUTED_VALUE"""),"Will work for them")</f>
        <v>Will work for them</v>
      </c>
      <c r="J2150" s="1">
        <f ca="1">IFERROR(__xludf.DUMMYFUNCTION("""COMPUTED_VALUE"""),1)</f>
        <v>1</v>
      </c>
      <c r="K2150" s="1" t="str">
        <f ca="1">IFERROR(__xludf.DUMMYFUNCTION("""COMPUTED_VALUE"""),"Every Day Office Environment")</f>
        <v>Every Day Office Environment</v>
      </c>
      <c r="L2150" s="1" t="str">
        <f ca="1">IFERROR(__xludf.DUMMYFUNCTION("""COMPUTED_VALUE"""),"Employer who appreciates learning and enables that environment")</f>
        <v>Employer who appreciates learning and enables that environment</v>
      </c>
      <c r="M215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50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2150" s="1" t="str">
        <f ca="1">IFERROR(__xludf.DUMMYFUNCTION("""COMPUTED_VALUE"""),"Manager who clearly describes what she/he needs")</f>
        <v>Manager who clearly describes what she/he needs</v>
      </c>
      <c r="P2150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150" s="1" t="str">
        <f ca="1">IFERROR(__xludf.DUMMYFUNCTION("""COMPUTED_VALUE"""),"Yes")</f>
        <v>Yes</v>
      </c>
      <c r="R2150" s="1" t="str">
        <f ca="1">IFERROR(__xludf.DUMMYFUNCTION("""COMPUTED_VALUE"""),"This will be hard to do, but if it is the right company I would try")</f>
        <v>This will be hard to do, but if it is the right company I would try</v>
      </c>
      <c r="S2150" s="1" t="str">
        <f ca="1">IFERROR(__xludf.DUMMYFUNCTION("""COMPUTED_VALUE"""),"steffyraj297@gmail.com")</f>
        <v>steffyraj297@gmail.com</v>
      </c>
    </row>
    <row r="2151" spans="1:19" ht="12.5" x14ac:dyDescent="0.25">
      <c r="A2151" s="2">
        <f ca="1">IFERROR(__xludf.DUMMYFUNCTION("""COMPUTED_VALUE"""),45063.6077786574)</f>
        <v>45063.607778657402</v>
      </c>
      <c r="B2151" s="1" t="str">
        <f ca="1">IFERROR(__xludf.DUMMYFUNCTION("""COMPUTED_VALUE"""),"India")</f>
        <v>India</v>
      </c>
      <c r="C2151" s="1">
        <f ca="1">IFERROR(__xludf.DUMMYFUNCTION("""COMPUTED_VALUE"""),400072)</f>
        <v>400072</v>
      </c>
      <c r="D2151" s="1" t="str">
        <f ca="1">IFERROR(__xludf.DUMMYFUNCTION("""COMPUTED_VALUE"""),"Male")</f>
        <v>Male</v>
      </c>
      <c r="E2151" s="1" t="str">
        <f ca="1">IFERROR(__xludf.DUMMYFUNCTION("""COMPUTED_VALUE"""),"People who have changed the world for better")</f>
        <v>People who have changed the world for better</v>
      </c>
      <c r="F2151" s="1" t="str">
        <f ca="1">IFERROR(__xludf.DUMMYFUNCTION("""COMPUTED_VALUE"""),"No, But if someone could bare the cost I will")</f>
        <v>No, But if someone could bare the cost I will</v>
      </c>
      <c r="G2151" s="1" t="str">
        <f ca="1">IFERROR(__xludf.DUMMYFUNCTION("""COMPUTED_VALUE"""),"This will be hard to do, but if it is the right company I would try")</f>
        <v>This will be hard to do, but if it is the right company I would try</v>
      </c>
      <c r="H2151" s="1" t="str">
        <f ca="1">IFERROR(__xludf.DUMMYFUNCTION("""COMPUTED_VALUE"""),"No")</f>
        <v>No</v>
      </c>
      <c r="I2151" s="1" t="str">
        <f ca="1">IFERROR(__xludf.DUMMYFUNCTION("""COMPUTED_VALUE"""),"Will NOT work for them")</f>
        <v>Will NOT work for them</v>
      </c>
      <c r="J2151" s="1">
        <f ca="1">IFERROR(__xludf.DUMMYFUNCTION("""COMPUTED_VALUE"""),7)</f>
        <v>7</v>
      </c>
      <c r="K2151" s="1" t="str">
        <f ca="1">IFERROR(__xludf.DUMMYFUNCTION("""COMPUTED_VALUE"""),"Every Day Office Environment")</f>
        <v>Every Day Office Environment</v>
      </c>
      <c r="L21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51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151" s="1" t="str">
        <f ca="1">IFERROR(__xludf.DUMMYFUNCTION("""COMPUTED_VALUE"""),"Build and develop a Team, Design and Develop amazing software, Work in a BPO setup for some well known client, Entrepreneur or Start Up")</f>
        <v>Build and develop a Team, Design and Develop amazing software, Work in a BPO setup for some well known client, Entrepreneur or Start Up</v>
      </c>
      <c r="O2151" s="1" t="str">
        <f ca="1">IFERROR(__xludf.DUMMYFUNCTION("""COMPUTED_VALUE"""),"Manager who explains what is expected, sets a goal and helps achieve it")</f>
        <v>Manager who explains what is expected, sets a goal and helps achieve it</v>
      </c>
      <c r="P2151" s="1" t="str">
        <f ca="1">IFERROR(__xludf.DUMMYFUNCTION("""COMPUTED_VALUE"""),"Work with 5 to 6 people in my team")</f>
        <v>Work with 5 to 6 people in my team</v>
      </c>
      <c r="Q2151" s="1" t="str">
        <f ca="1">IFERROR(__xludf.DUMMYFUNCTION("""COMPUTED_VALUE"""),"Yes, I Understand this is gonna happen everywhere")</f>
        <v>Yes, I Understand this is gonna happen everywhere</v>
      </c>
      <c r="R2151" s="1" t="str">
        <f ca="1">IFERROR(__xludf.DUMMYFUNCTION("""COMPUTED_VALUE"""),"No way")</f>
        <v>No way</v>
      </c>
      <c r="S2151" s="1" t="str">
        <f ca="1">IFERROR(__xludf.DUMMYFUNCTION("""COMPUTED_VALUE"""),"himu.jadhav278@gmail.com")</f>
        <v>himu.jadhav278@gmail.com</v>
      </c>
    </row>
    <row r="2152" spans="1:19" ht="12.5" x14ac:dyDescent="0.25">
      <c r="A2152" s="2">
        <f ca="1">IFERROR(__xludf.DUMMYFUNCTION("""COMPUTED_VALUE"""),45063.6087943171)</f>
        <v>45063.608794317101</v>
      </c>
      <c r="B2152" s="1" t="str">
        <f ca="1">IFERROR(__xludf.DUMMYFUNCTION("""COMPUTED_VALUE"""),"India")</f>
        <v>India</v>
      </c>
      <c r="C2152" s="1">
        <f ca="1">IFERROR(__xludf.DUMMYFUNCTION("""COMPUTED_VALUE"""),421202)</f>
        <v>421202</v>
      </c>
      <c r="D2152" s="1" t="str">
        <f ca="1">IFERROR(__xludf.DUMMYFUNCTION("""COMPUTED_VALUE"""),"Male")</f>
        <v>Male</v>
      </c>
      <c r="E2152" s="1" t="str">
        <f ca="1">IFERROR(__xludf.DUMMYFUNCTION("""COMPUTED_VALUE"""),"My Parents")</f>
        <v>My Parents</v>
      </c>
      <c r="F2152" s="1" t="str">
        <f ca="1">IFERROR(__xludf.DUMMYFUNCTION("""COMPUTED_VALUE"""),"No I would not be pursuing Higher Education outside of India")</f>
        <v>No I would not be pursuing Higher Education outside of India</v>
      </c>
      <c r="G2152" s="1" t="str">
        <f ca="1">IFERROR(__xludf.DUMMYFUNCTION("""COMPUTED_VALUE"""),"This will be hard to do, but if it is the right company I would try")</f>
        <v>This will be hard to do, but if it is the right company I would try</v>
      </c>
      <c r="H2152" s="1" t="str">
        <f ca="1">IFERROR(__xludf.DUMMYFUNCTION("""COMPUTED_VALUE"""),"No")</f>
        <v>No</v>
      </c>
      <c r="I2152" s="1" t="str">
        <f ca="1">IFERROR(__xludf.DUMMYFUNCTION("""COMPUTED_VALUE"""),"Will NOT work for them")</f>
        <v>Will NOT work for them</v>
      </c>
      <c r="J2152" s="1">
        <f ca="1">IFERROR(__xludf.DUMMYFUNCTION("""COMPUTED_VALUE"""),2)</f>
        <v>2</v>
      </c>
      <c r="K2152" s="1" t="str">
        <f ca="1">IFERROR(__xludf.DUMMYFUNCTION("""COMPUTED_VALUE"""),"Every Day Office Environment")</f>
        <v>Every Day Office Environment</v>
      </c>
      <c r="L2152" s="1" t="str">
        <f ca="1">IFERROR(__xludf.DUMMYFUNCTION("""COMPUTED_VALUE"""),"Employer who rewards learning and enables that environment")</f>
        <v>Employer who rewards learning and enables that environment</v>
      </c>
      <c r="M2152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152" s="1" t="str">
        <f ca="1">IFERROR(__xludf.DUMMYFUNCTION("""COMPUTED_VALUE"""),"Business Operations in any organization, Build and develop a Team, Design and Develop amazing software, Manufacturing / Oil and Gas/ Construction / Hard Physical Work related")</f>
        <v>Business Operations in any organization, Build and develop a Team, Design and Develop amazing software, Manufacturing / Oil and Gas/ Construction / Hard Physical Work related</v>
      </c>
      <c r="O2152" s="1" t="str">
        <f ca="1">IFERROR(__xludf.DUMMYFUNCTION("""COMPUTED_VALUE"""),"Manager who explains what is expected, sets a goal and helps achieve it")</f>
        <v>Manager who explains what is expected, sets a goal and helps achieve it</v>
      </c>
      <c r="P2152" s="1" t="str">
        <f ca="1">IFERROR(__xludf.DUMMYFUNCTION("""COMPUTED_VALUE"""),"Work with 2 to 3 people in my team")</f>
        <v>Work with 2 to 3 people in my team</v>
      </c>
      <c r="Q2152" s="1" t="str">
        <f ca="1">IFERROR(__xludf.DUMMYFUNCTION("""COMPUTED_VALUE"""),"No")</f>
        <v>No</v>
      </c>
      <c r="R2152" s="1" t="str">
        <f ca="1">IFERROR(__xludf.DUMMYFUNCTION("""COMPUTED_VALUE"""),"No way")</f>
        <v>No way</v>
      </c>
      <c r="S2152" s="1" t="str">
        <f ca="1">IFERROR(__xludf.DUMMYFUNCTION("""COMPUTED_VALUE"""),"siddheshdesai1995@gmail.com")</f>
        <v>siddheshdesai1995@gmail.com</v>
      </c>
    </row>
    <row r="2153" spans="1:19" ht="12.5" x14ac:dyDescent="0.25">
      <c r="A2153" s="2">
        <f ca="1">IFERROR(__xludf.DUMMYFUNCTION("""COMPUTED_VALUE"""),45063.6100500115)</f>
        <v>45063.610050011499</v>
      </c>
      <c r="B2153" s="1" t="str">
        <f ca="1">IFERROR(__xludf.DUMMYFUNCTION("""COMPUTED_VALUE"""),"India")</f>
        <v>India</v>
      </c>
      <c r="C2153" s="1">
        <f ca="1">IFERROR(__xludf.DUMMYFUNCTION("""COMPUTED_VALUE"""),110084)</f>
        <v>110084</v>
      </c>
      <c r="D2153" s="1" t="str">
        <f ca="1">IFERROR(__xludf.DUMMYFUNCTION("""COMPUTED_VALUE"""),"Female")</f>
        <v>Female</v>
      </c>
      <c r="E2153" s="1" t="str">
        <f ca="1">IFERROR(__xludf.DUMMYFUNCTION("""COMPUTED_VALUE"""),"My Parents")</f>
        <v>My Parents</v>
      </c>
      <c r="F2153" s="1" t="str">
        <f ca="1">IFERROR(__xludf.DUMMYFUNCTION("""COMPUTED_VALUE"""),"No I would not be pursuing Higher Education outside of India")</f>
        <v>No I would not be pursuing Higher Education outside of India</v>
      </c>
      <c r="G2153" s="1" t="str">
        <f ca="1">IFERROR(__xludf.DUMMYFUNCTION("""COMPUTED_VALUE"""),"This will be hard to do, but if it is the right company I would try")</f>
        <v>This will be hard to do, but if it is the right company I would try</v>
      </c>
      <c r="H2153" s="1" t="str">
        <f ca="1">IFERROR(__xludf.DUMMYFUNCTION("""COMPUTED_VALUE"""),"No")</f>
        <v>No</v>
      </c>
      <c r="I2153" s="1" t="str">
        <f ca="1">IFERROR(__xludf.DUMMYFUNCTION("""COMPUTED_VALUE"""),"Will work for them")</f>
        <v>Will work for them</v>
      </c>
      <c r="J2153" s="1">
        <f ca="1">IFERROR(__xludf.DUMMYFUNCTION("""COMPUTED_VALUE"""),7)</f>
        <v>7</v>
      </c>
      <c r="K2153" s="1" t="str">
        <f ca="1">IFERROR(__xludf.DUMMYFUNCTION("""COMPUTED_VALUE"""),"Hybrid Working Environment with more than 15 days a month at office")</f>
        <v>Hybrid Working Environment with more than 15 days a month at office</v>
      </c>
      <c r="L21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53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153" s="1" t="str">
        <f ca="1">IFERROR(__xludf.DUMMYFUNCTION("""COMPUTED_VALUE"""),"Manage and drive End-to-End Projects or Products, Build and develop a Team, Entrepreneur or Start Up, An Artificial Intelligence Specialist / Talking to Robots")</f>
        <v>Manage and drive End-to-End Projects or Products, Build and develop a Team, Entrepreneur or Start Up, An Artificial Intelligence Specialist / Talking to Robots</v>
      </c>
      <c r="O215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53" s="1" t="str">
        <f ca="1">IFERROR(__xludf.DUMMYFUNCTION("""COMPUTED_VALUE"""),"Work with 5 to 6 people in my team")</f>
        <v>Work with 5 to 6 people in my team</v>
      </c>
      <c r="Q2153" s="1" t="str">
        <f ca="1">IFERROR(__xludf.DUMMYFUNCTION("""COMPUTED_VALUE"""),"No")</f>
        <v>No</v>
      </c>
      <c r="R2153" s="1" t="str">
        <f ca="1">IFERROR(__xludf.DUMMYFUNCTION("""COMPUTED_VALUE"""),"This will be hard to do, but if it is the right company I would try")</f>
        <v>This will be hard to do, but if it is the right company I would try</v>
      </c>
      <c r="S2153" s="1" t="str">
        <f ca="1">IFERROR(__xludf.DUMMYFUNCTION("""COMPUTED_VALUE"""),"kaimlatasha@gmail.com")</f>
        <v>kaimlatasha@gmail.com</v>
      </c>
    </row>
    <row r="2154" spans="1:19" ht="12.5" x14ac:dyDescent="0.25">
      <c r="A2154" s="2">
        <f ca="1">IFERROR(__xludf.DUMMYFUNCTION("""COMPUTED_VALUE"""),45063.6153215856)</f>
        <v>45063.615321585603</v>
      </c>
      <c r="B2154" s="1" t="str">
        <f ca="1">IFERROR(__xludf.DUMMYFUNCTION("""COMPUTED_VALUE"""),"India")</f>
        <v>India</v>
      </c>
      <c r="C2154" s="1">
        <f ca="1">IFERROR(__xludf.DUMMYFUNCTION("""COMPUTED_VALUE"""),431602)</f>
        <v>431602</v>
      </c>
      <c r="D2154" s="1" t="str">
        <f ca="1">IFERROR(__xludf.DUMMYFUNCTION("""COMPUTED_VALUE"""),"Male")</f>
        <v>Male</v>
      </c>
      <c r="E2154" s="1" t="str">
        <f ca="1">IFERROR(__xludf.DUMMYFUNCTION("""COMPUTED_VALUE"""),"My Parents")</f>
        <v>My Parents</v>
      </c>
      <c r="F2154" s="1" t="str">
        <f ca="1">IFERROR(__xludf.DUMMYFUNCTION("""COMPUTED_VALUE"""),"Yes, I will earn and do that")</f>
        <v>Yes, I will earn and do that</v>
      </c>
      <c r="G2154" s="1" t="str">
        <f ca="1">IFERROR(__xludf.DUMMYFUNCTION("""COMPUTED_VALUE"""),"This will be hard to do, but if it is the right company I would try")</f>
        <v>This will be hard to do, but if it is the right company I would try</v>
      </c>
      <c r="H2154" s="1" t="str">
        <f ca="1">IFERROR(__xludf.DUMMYFUNCTION("""COMPUTED_VALUE"""),"Yes")</f>
        <v>Yes</v>
      </c>
      <c r="I2154" s="1" t="str">
        <f ca="1">IFERROR(__xludf.DUMMYFUNCTION("""COMPUTED_VALUE"""),"Will work for them")</f>
        <v>Will work for them</v>
      </c>
      <c r="J2154" s="1">
        <f ca="1">IFERROR(__xludf.DUMMYFUNCTION("""COMPUTED_VALUE"""),6)</f>
        <v>6</v>
      </c>
      <c r="K2154" s="1" t="str">
        <f ca="1">IFERROR(__xludf.DUMMYFUNCTION("""COMPUTED_VALUE"""),"Fully Remote with No option to visit offices")</f>
        <v>Fully Remote with No option to visit offices</v>
      </c>
      <c r="L2154" s="1" t="str">
        <f ca="1">IFERROR(__xludf.DUMMYFUNCTION("""COMPUTED_VALUE"""),"Employer who appreciates learning and enables that environment")</f>
        <v>Employer who appreciates learning and enables that environment</v>
      </c>
      <c r="M2154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154" s="1" t="str">
        <f ca="1">IFERROR(__xludf.DUMMYFUNCTION("""COMPUTED_VALUE"""),"Manage and drive End-to-End Projects or Products, Entrepreneur or Start Up, An Artificial Intelligence Specialist / Talking to Robots, Manufacturing / Oil and Gas/ Construction / Hard Physical Work related")</f>
        <v>Manage and drive End-to-End Projects or Products, Entrepreneur or Start Up, An Artificial Intelligence Specialist / Talking to Robots, Manufacturing / Oil and Gas/ Construction / Hard Physical Work related</v>
      </c>
      <c r="O2154" s="1" t="str">
        <f ca="1">IFERROR(__xludf.DUMMYFUNCTION("""COMPUTED_VALUE"""),"Manager who clearly describes what she/he needs")</f>
        <v>Manager who clearly describes what she/he needs</v>
      </c>
      <c r="P2154" s="1" t="str">
        <f ca="1">IFERROR(__xludf.DUMMYFUNCTION("""COMPUTED_VALUE"""),"Work alone, Work with 2 to 3 people in my team")</f>
        <v>Work alone, Work with 2 to 3 people in my team</v>
      </c>
      <c r="Q2154" s="1" t="str">
        <f ca="1">IFERROR(__xludf.DUMMYFUNCTION("""COMPUTED_VALUE"""),"Yes, I Understand this is gonna happen everywhere")</f>
        <v>Yes, I Understand this is gonna happen everywhere</v>
      </c>
      <c r="R2154" s="1" t="str">
        <f ca="1">IFERROR(__xludf.DUMMYFUNCTION("""COMPUTED_VALUE"""),"This will be hard to do, but if it is the right company I would try")</f>
        <v>This will be hard to do, but if it is the right company I would try</v>
      </c>
      <c r="S2154" s="1" t="str">
        <f ca="1">IFERROR(__xludf.DUMMYFUNCTION("""COMPUTED_VALUE"""),"krishnaupadhyay005@gmail.com")</f>
        <v>krishnaupadhyay005@gmail.com</v>
      </c>
    </row>
    <row r="2155" spans="1:19" ht="12.5" x14ac:dyDescent="0.25">
      <c r="A2155" s="2">
        <f ca="1">IFERROR(__xludf.DUMMYFUNCTION("""COMPUTED_VALUE"""),45063.615117743)</f>
        <v>45063.615117743</v>
      </c>
      <c r="B2155" s="1" t="str">
        <f ca="1">IFERROR(__xludf.DUMMYFUNCTION("""COMPUTED_VALUE"""),"India")</f>
        <v>India</v>
      </c>
      <c r="C2155" s="1">
        <f ca="1">IFERROR(__xludf.DUMMYFUNCTION("""COMPUTED_VALUE"""),410218)</f>
        <v>410218</v>
      </c>
      <c r="D2155" s="1" t="str">
        <f ca="1">IFERROR(__xludf.DUMMYFUNCTION("""COMPUTED_VALUE"""),"Male")</f>
        <v>Male</v>
      </c>
      <c r="E2155" s="1" t="str">
        <f ca="1">IFERROR(__xludf.DUMMYFUNCTION("""COMPUTED_VALUE"""),"My Parents")</f>
        <v>My Parents</v>
      </c>
      <c r="F2155" s="1" t="str">
        <f ca="1">IFERROR(__xludf.DUMMYFUNCTION("""COMPUTED_VALUE"""),"No, But if someone could bare the cost I will")</f>
        <v>No, But if someone could bare the cost I will</v>
      </c>
      <c r="G2155" s="1" t="str">
        <f ca="1">IFERROR(__xludf.DUMMYFUNCTION("""COMPUTED_VALUE"""),"This will be hard to do, but if it is the right company I would try")</f>
        <v>This will be hard to do, but if it is the right company I would try</v>
      </c>
      <c r="H2155" s="1" t="str">
        <f ca="1">IFERROR(__xludf.DUMMYFUNCTION("""COMPUTED_VALUE"""),"No")</f>
        <v>No</v>
      </c>
      <c r="I2155" s="1" t="str">
        <f ca="1">IFERROR(__xludf.DUMMYFUNCTION("""COMPUTED_VALUE"""),"Will NOT work for them")</f>
        <v>Will NOT work for them</v>
      </c>
      <c r="J2155" s="1">
        <f ca="1">IFERROR(__xludf.DUMMYFUNCTION("""COMPUTED_VALUE"""),5)</f>
        <v>5</v>
      </c>
      <c r="K2155" s="1" t="str">
        <f ca="1">IFERROR(__xludf.DUMMYFUNCTION("""COMPUTED_VALUE"""),"Hybrid Working Environment with less than 3 days a month at office")</f>
        <v>Hybrid Working Environment with less than 3 days a month at office</v>
      </c>
      <c r="L21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5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55" s="1" t="str">
        <f ca="1">IFERROR(__xludf.DUMMYFUNCTION("""COMPUTED_VALUE"""),"Design and Creative strategy in any company, Design and Develop amazing software, Entrepreneur or Start Up, Manufacturing / Oil and Gas/ Construction / Hard Physical Work related")</f>
        <v>Design and Creative strategy in any company, Design and Develop amazing software, Entrepreneur or Start Up, Manufacturing / Oil and Gas/ Construction / Hard Physical Work related</v>
      </c>
      <c r="O2155" s="1" t="str">
        <f ca="1">IFERROR(__xludf.DUMMYFUNCTION("""COMPUTED_VALUE"""),"Manager who sets goal and helps me achieve it")</f>
        <v>Manager who sets goal and helps me achieve it</v>
      </c>
      <c r="P2155" s="1" t="str">
        <f ca="1">IFERROR(__xludf.DUMMYFUNCTION("""COMPUTED_VALUE"""),"Work with 2 to 3 people in my team")</f>
        <v>Work with 2 to 3 people in my team</v>
      </c>
      <c r="Q2155" s="1" t="str">
        <f ca="1">IFERROR(__xludf.DUMMYFUNCTION("""COMPUTED_VALUE"""),"I have NO other choice")</f>
        <v>I have NO other choice</v>
      </c>
      <c r="R2155" s="1" t="str">
        <f ca="1">IFERROR(__xludf.DUMMYFUNCTION("""COMPUTED_VALUE"""),"This will be hard to do, but if it is the right company I would try")</f>
        <v>This will be hard to do, but if it is the right company I would try</v>
      </c>
      <c r="S2155" s="1" t="str">
        <f ca="1">IFERROR(__xludf.DUMMYFUNCTION("""COMPUTED_VALUE"""),"borateajeet1997@gmail.com")</f>
        <v>borateajeet1997@gmail.com</v>
      </c>
    </row>
    <row r="2156" spans="1:19" ht="12.5" x14ac:dyDescent="0.25">
      <c r="A2156" s="2">
        <f ca="1">IFERROR(__xludf.DUMMYFUNCTION("""COMPUTED_VALUE"""),45063.6310707407)</f>
        <v>45063.631070740703</v>
      </c>
      <c r="B2156" s="1" t="str">
        <f ca="1">IFERROR(__xludf.DUMMYFUNCTION("""COMPUTED_VALUE"""),"India")</f>
        <v>India</v>
      </c>
      <c r="C2156" s="1">
        <f ca="1">IFERROR(__xludf.DUMMYFUNCTION("""COMPUTED_VALUE"""),421301)</f>
        <v>421301</v>
      </c>
      <c r="D2156" s="1" t="str">
        <f ca="1">IFERROR(__xludf.DUMMYFUNCTION("""COMPUTED_VALUE"""),"Male")</f>
        <v>Male</v>
      </c>
      <c r="E2156" s="1" t="str">
        <f ca="1">IFERROR(__xludf.DUMMYFUNCTION("""COMPUTED_VALUE"""),"My Parents")</f>
        <v>My Parents</v>
      </c>
      <c r="F2156" s="1" t="str">
        <f ca="1">IFERROR(__xludf.DUMMYFUNCTION("""COMPUTED_VALUE"""),"Yes, I will earn and do that")</f>
        <v>Yes, I will earn and do that</v>
      </c>
      <c r="G2156" s="1" t="str">
        <f ca="1">IFERROR(__xludf.DUMMYFUNCTION("""COMPUTED_VALUE"""),"Will work for 3 years or more")</f>
        <v>Will work for 3 years or more</v>
      </c>
      <c r="H2156" s="1" t="str">
        <f ca="1">IFERROR(__xludf.DUMMYFUNCTION("""COMPUTED_VALUE"""),"Yes")</f>
        <v>Yes</v>
      </c>
      <c r="I2156" s="1" t="str">
        <f ca="1">IFERROR(__xludf.DUMMYFUNCTION("""COMPUTED_VALUE"""),"Will NOT work for them")</f>
        <v>Will NOT work for them</v>
      </c>
      <c r="J2156" s="1">
        <f ca="1">IFERROR(__xludf.DUMMYFUNCTION("""COMPUTED_VALUE"""),6)</f>
        <v>6</v>
      </c>
      <c r="K2156" s="1" t="str">
        <f ca="1">IFERROR(__xludf.DUMMYFUNCTION("""COMPUTED_VALUE"""),"Hybrid Working Environment with more than 15 days a month at office")</f>
        <v>Hybrid Working Environment with more than 15 days a month at office</v>
      </c>
      <c r="L2156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15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156" s="1" t="str">
        <f ca="1">IFERROR(__xludf.DUMMYFUNCTION("""COMPUTED_VALUE"""),"Design and Creative strategy in any company, Design and Develop amazing software, Work in a BPO setup for some well known client, Become a content Creator in some platform")</f>
        <v>Design and Creative strategy in any company, Design and Develop amazing software, Work in a BPO setup for some well known client, Become a content Creator in some platform</v>
      </c>
      <c r="O2156" s="1" t="str">
        <f ca="1">IFERROR(__xludf.DUMMYFUNCTION("""COMPUTED_VALUE"""),"Manager who sets goal and helps me achieve it")</f>
        <v>Manager who sets goal and helps me achieve it</v>
      </c>
      <c r="P2156" s="1" t="str">
        <f ca="1">IFERROR(__xludf.DUMMYFUNCTION("""COMPUTED_VALUE"""),"Work with 7 to 10 or more people in my team")</f>
        <v>Work with 7 to 10 or more people in my team</v>
      </c>
      <c r="Q2156" s="1" t="str">
        <f ca="1">IFERROR(__xludf.DUMMYFUNCTION("""COMPUTED_VALUE"""),"Yes")</f>
        <v>Yes</v>
      </c>
      <c r="R2156" s="1" t="str">
        <f ca="1">IFERROR(__xludf.DUMMYFUNCTION("""COMPUTED_VALUE"""),"Will work for 7 years or more")</f>
        <v>Will work for 7 years or more</v>
      </c>
      <c r="S2156" s="1" t="str">
        <f ca="1">IFERROR(__xludf.DUMMYFUNCTION("""COMPUTED_VALUE"""),"ladashish007@gmail.com")</f>
        <v>ladashish007@gmail.com</v>
      </c>
    </row>
    <row r="2157" spans="1:19" ht="12.5" x14ac:dyDescent="0.25">
      <c r="A2157" s="2">
        <f ca="1">IFERROR(__xludf.DUMMYFUNCTION("""COMPUTED_VALUE"""),45063.6317226504)</f>
        <v>45063.631722650403</v>
      </c>
      <c r="B2157" s="1" t="str">
        <f ca="1">IFERROR(__xludf.DUMMYFUNCTION("""COMPUTED_VALUE"""),"India")</f>
        <v>India</v>
      </c>
      <c r="C2157" s="1">
        <f ca="1">IFERROR(__xludf.DUMMYFUNCTION("""COMPUTED_VALUE"""),416606)</f>
        <v>416606</v>
      </c>
      <c r="D2157" s="1" t="str">
        <f ca="1">IFERROR(__xludf.DUMMYFUNCTION("""COMPUTED_VALUE"""),"Female")</f>
        <v>Female</v>
      </c>
      <c r="E2157" s="1" t="str">
        <f ca="1">IFERROR(__xludf.DUMMYFUNCTION("""COMPUTED_VALUE"""),"My Parents")</f>
        <v>My Parents</v>
      </c>
      <c r="F2157" s="1" t="str">
        <f ca="1">IFERROR(__xludf.DUMMYFUNCTION("""COMPUTED_VALUE"""),"No I would not be pursuing Higher Education outside of India")</f>
        <v>No I would not be pursuing Higher Education outside of India</v>
      </c>
      <c r="G2157" s="1" t="str">
        <f ca="1">IFERROR(__xludf.DUMMYFUNCTION("""COMPUTED_VALUE"""),"This will be hard to do, but if it is the right company I would try")</f>
        <v>This will be hard to do, but if it is the right company I would try</v>
      </c>
      <c r="H2157" s="1" t="str">
        <f ca="1">IFERROR(__xludf.DUMMYFUNCTION("""COMPUTED_VALUE"""),"No")</f>
        <v>No</v>
      </c>
      <c r="I2157" s="1" t="str">
        <f ca="1">IFERROR(__xludf.DUMMYFUNCTION("""COMPUTED_VALUE"""),"Will NOT work for them")</f>
        <v>Will NOT work for them</v>
      </c>
      <c r="J2157" s="1">
        <f ca="1">IFERROR(__xludf.DUMMYFUNCTION("""COMPUTED_VALUE"""),5)</f>
        <v>5</v>
      </c>
      <c r="K2157" s="1" t="str">
        <f ca="1">IFERROR(__xludf.DUMMYFUNCTION("""COMPUTED_VALUE"""),"Every Day Office Environment")</f>
        <v>Every Day Office Environment</v>
      </c>
      <c r="L2157" s="1" t="str">
        <f ca="1">IFERROR(__xludf.DUMMYFUNCTION("""COMPUTED_VALUE"""),"Employer who appreciates learning and enables that environment")</f>
        <v>Employer who appreciates learning and enables that environment</v>
      </c>
      <c r="M2157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157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215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57" s="1" t="str">
        <f ca="1">IFERROR(__xludf.DUMMYFUNCTION("""COMPUTED_VALUE"""),"Work with more than 10 people in my team")</f>
        <v>Work with more than 10 people in my team</v>
      </c>
      <c r="Q2157" s="1" t="str">
        <f ca="1">IFERROR(__xludf.DUMMYFUNCTION("""COMPUTED_VALUE"""),"Yes, I Understand this is gonna happen everywhere")</f>
        <v>Yes, I Understand this is gonna happen everywhere</v>
      </c>
      <c r="R2157" s="1" t="str">
        <f ca="1">IFERROR(__xludf.DUMMYFUNCTION("""COMPUTED_VALUE"""),"This will be hard to do, but if it is the right company I would try")</f>
        <v>This will be hard to do, but if it is the right company I would try</v>
      </c>
      <c r="S2157" s="1" t="str">
        <f ca="1">IFERROR(__xludf.DUMMYFUNCTION("""COMPUTED_VALUE"""),"nutanghadshi123@gmail.com")</f>
        <v>nutanghadshi123@gmail.com</v>
      </c>
    </row>
    <row r="2158" spans="1:19" ht="12.5" x14ac:dyDescent="0.25">
      <c r="A2158" s="2">
        <f ca="1">IFERROR(__xludf.DUMMYFUNCTION("""COMPUTED_VALUE"""),45063.6343493518)</f>
        <v>45063.6343493518</v>
      </c>
      <c r="B2158" s="1" t="str">
        <f ca="1">IFERROR(__xludf.DUMMYFUNCTION("""COMPUTED_VALUE"""),"India")</f>
        <v>India</v>
      </c>
      <c r="C2158" s="1">
        <f ca="1">IFERROR(__xludf.DUMMYFUNCTION("""COMPUTED_VALUE"""),452012)</f>
        <v>452012</v>
      </c>
      <c r="D2158" s="1" t="str">
        <f ca="1">IFERROR(__xludf.DUMMYFUNCTION("""COMPUTED_VALUE"""),"Male")</f>
        <v>Male</v>
      </c>
      <c r="E2158" s="1" t="str">
        <f ca="1">IFERROR(__xludf.DUMMYFUNCTION("""COMPUTED_VALUE"""),"People who have changed the world for better")</f>
        <v>People who have changed the world for better</v>
      </c>
      <c r="F2158" s="1" t="str">
        <f ca="1">IFERROR(__xludf.DUMMYFUNCTION("""COMPUTED_VALUE"""),"No I would not be pursuing Higher Education outside of India")</f>
        <v>No I would not be pursuing Higher Education outside of India</v>
      </c>
      <c r="G2158" s="1" t="str">
        <f ca="1">IFERROR(__xludf.DUMMYFUNCTION("""COMPUTED_VALUE"""),"This will be hard to do, but if it is the right company I would try")</f>
        <v>This will be hard to do, but if it is the right company I would try</v>
      </c>
      <c r="H2158" s="1" t="str">
        <f ca="1">IFERROR(__xludf.DUMMYFUNCTION("""COMPUTED_VALUE"""),"Yes")</f>
        <v>Yes</v>
      </c>
      <c r="I2158" s="1" t="str">
        <f ca="1">IFERROR(__xludf.DUMMYFUNCTION("""COMPUTED_VALUE"""),"Will NOT work for them")</f>
        <v>Will NOT work for them</v>
      </c>
      <c r="J2158" s="1">
        <f ca="1">IFERROR(__xludf.DUMMYFUNCTION("""COMPUTED_VALUE"""),3)</f>
        <v>3</v>
      </c>
      <c r="K2158" s="1" t="str">
        <f ca="1">IFERROR(__xludf.DUMMYFUNCTION("""COMPUTED_VALUE"""),"Fully Remote with Options to travel as and when needed")</f>
        <v>Fully Remote with Options to travel as and when needed</v>
      </c>
      <c r="L21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5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158" s="1" t="str">
        <f ca="1">IFERROR(__xludf.DUMMYFUNCTION("""COMPUTED_VALUE"""),"Build and develop a Team, Design and Develop amazing software, Look deeply into Data and generate insights, Entrepreneur or Start Up")</f>
        <v>Build and develop a Team, Design and Develop amazing software, Look deeply into Data and generate insights, Entrepreneur or Start Up</v>
      </c>
      <c r="O2158" s="1" t="str">
        <f ca="1">IFERROR(__xludf.DUMMYFUNCTION("""COMPUTED_VALUE"""),"Manager who clearly describes what she/he needs")</f>
        <v>Manager who clearly describes what she/he needs</v>
      </c>
      <c r="P2158" s="1" t="str">
        <f ca="1">IFERROR(__xludf.DUMMYFUNCTION("""COMPUTED_VALUE"""),"Work with 2 to 3 people in my team, Work with 5 to 6 people in my team")</f>
        <v>Work with 2 to 3 people in my team, Work with 5 to 6 people in my team</v>
      </c>
      <c r="Q2158" s="1" t="str">
        <f ca="1">IFERROR(__xludf.DUMMYFUNCTION("""COMPUTED_VALUE"""),"Yes, I Understand this is gonna happen everywhere")</f>
        <v>Yes, I Understand this is gonna happen everywhere</v>
      </c>
      <c r="R2158" s="1" t="str">
        <f ca="1">IFERROR(__xludf.DUMMYFUNCTION("""COMPUTED_VALUE"""),"This will be hard to do, but if it is the right company I would try")</f>
        <v>This will be hard to do, but if it is the right company I would try</v>
      </c>
      <c r="S2158" s="1" t="str">
        <f ca="1">IFERROR(__xludf.DUMMYFUNCTION("""COMPUTED_VALUE"""),"anuragkodle111@gmail.com")</f>
        <v>anuragkodle111@gmail.com</v>
      </c>
    </row>
    <row r="2159" spans="1:19" ht="12.5" x14ac:dyDescent="0.25">
      <c r="A2159" s="2">
        <f ca="1">IFERROR(__xludf.DUMMYFUNCTION("""COMPUTED_VALUE"""),45063.644284375)</f>
        <v>45063.644284374997</v>
      </c>
      <c r="B2159" s="1" t="str">
        <f ca="1">IFERROR(__xludf.DUMMYFUNCTION("""COMPUTED_VALUE"""),"India")</f>
        <v>India</v>
      </c>
      <c r="C2159" s="1">
        <f ca="1">IFERROR(__xludf.DUMMYFUNCTION("""COMPUTED_VALUE"""),768003)</f>
        <v>768003</v>
      </c>
      <c r="D2159" s="1" t="str">
        <f ca="1">IFERROR(__xludf.DUMMYFUNCTION("""COMPUTED_VALUE"""),"Male")</f>
        <v>Male</v>
      </c>
      <c r="E2159" s="1" t="str">
        <f ca="1">IFERROR(__xludf.DUMMYFUNCTION("""COMPUTED_VALUE"""),"Social Media like LinkedIn")</f>
        <v>Social Media like LinkedIn</v>
      </c>
      <c r="F2159" s="1" t="str">
        <f ca="1">IFERROR(__xludf.DUMMYFUNCTION("""COMPUTED_VALUE"""),"Yes, I will earn and do that")</f>
        <v>Yes, I will earn and do that</v>
      </c>
      <c r="G2159" s="1" t="str">
        <f ca="1">IFERROR(__xludf.DUMMYFUNCTION("""COMPUTED_VALUE"""),"This will be hard to do, but if it is the right company I would try")</f>
        <v>This will be hard to do, but if it is the right company I would try</v>
      </c>
      <c r="H2159" s="1" t="str">
        <f ca="1">IFERROR(__xludf.DUMMYFUNCTION("""COMPUTED_VALUE"""),"No")</f>
        <v>No</v>
      </c>
      <c r="I2159" s="1" t="str">
        <f ca="1">IFERROR(__xludf.DUMMYFUNCTION("""COMPUTED_VALUE"""),"Will NOT work for them")</f>
        <v>Will NOT work for them</v>
      </c>
      <c r="J2159" s="1">
        <f ca="1">IFERROR(__xludf.DUMMYFUNCTION("""COMPUTED_VALUE"""),8)</f>
        <v>8</v>
      </c>
      <c r="K2159" s="1" t="str">
        <f ca="1">IFERROR(__xludf.DUMMYFUNCTION("""COMPUTED_VALUE"""),"Fully Remote with Options to travel as and when needed")</f>
        <v>Fully Remote with Options to travel as and when needed</v>
      </c>
      <c r="L21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5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159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2159" s="1" t="str">
        <f ca="1">IFERROR(__xludf.DUMMYFUNCTION("""COMPUTED_VALUE"""),"Manager who explains what is expected, sets a goal and helps achieve it")</f>
        <v>Manager who explains what is expected, sets a goal and helps achieve it</v>
      </c>
      <c r="P2159" s="1" t="str">
        <f ca="1">IFERROR(__xludf.DUMMYFUNCTION("""COMPUTED_VALUE"""),"Work with 5 to 6 people in my team")</f>
        <v>Work with 5 to 6 people in my team</v>
      </c>
      <c r="Q2159" s="1" t="str">
        <f ca="1">IFERROR(__xludf.DUMMYFUNCTION("""COMPUTED_VALUE"""),"No")</f>
        <v>No</v>
      </c>
      <c r="R2159" s="1" t="str">
        <f ca="1">IFERROR(__xludf.DUMMYFUNCTION("""COMPUTED_VALUE"""),"No way")</f>
        <v>No way</v>
      </c>
      <c r="S2159" s="1" t="str">
        <f ca="1">IFERROR(__xludf.DUMMYFUNCTION("""COMPUTED_VALUE"""),"subhasishmahakud@gmail.com")</f>
        <v>subhasishmahakud@gmail.com</v>
      </c>
    </row>
    <row r="2160" spans="1:19" ht="12.5" x14ac:dyDescent="0.25">
      <c r="A2160" s="2">
        <f ca="1">IFERROR(__xludf.DUMMYFUNCTION("""COMPUTED_VALUE"""),45063.6456039004)</f>
        <v>45063.645603900397</v>
      </c>
      <c r="B2160" s="1" t="str">
        <f ca="1">IFERROR(__xludf.DUMMYFUNCTION("""COMPUTED_VALUE"""),"India")</f>
        <v>India</v>
      </c>
      <c r="C2160" s="1">
        <f ca="1">IFERROR(__xludf.DUMMYFUNCTION("""COMPUTED_VALUE"""),421302)</f>
        <v>421302</v>
      </c>
      <c r="D2160" s="1" t="str">
        <f ca="1">IFERROR(__xludf.DUMMYFUNCTION("""COMPUTED_VALUE"""),"Male")</f>
        <v>Male</v>
      </c>
      <c r="E2160" s="1" t="str">
        <f ca="1">IFERROR(__xludf.DUMMYFUNCTION("""COMPUTED_VALUE"""),"Social Media like LinkedIn")</f>
        <v>Social Media like LinkedIn</v>
      </c>
      <c r="F2160" s="1" t="str">
        <f ca="1">IFERROR(__xludf.DUMMYFUNCTION("""COMPUTED_VALUE"""),"No, But if someone could bare the cost I will")</f>
        <v>No, But if someone could bare the cost I will</v>
      </c>
      <c r="G2160" s="1" t="str">
        <f ca="1">IFERROR(__xludf.DUMMYFUNCTION("""COMPUTED_VALUE"""),"This will be hard to do, but if it is the right company I would try")</f>
        <v>This will be hard to do, but if it is the right company I would try</v>
      </c>
      <c r="H2160" s="1" t="str">
        <f ca="1">IFERROR(__xludf.DUMMYFUNCTION("""COMPUTED_VALUE"""),"No")</f>
        <v>No</v>
      </c>
      <c r="I2160" s="1" t="str">
        <f ca="1">IFERROR(__xludf.DUMMYFUNCTION("""COMPUTED_VALUE"""),"Will work for them")</f>
        <v>Will work for them</v>
      </c>
      <c r="J2160" s="1">
        <f ca="1">IFERROR(__xludf.DUMMYFUNCTION("""COMPUTED_VALUE"""),2)</f>
        <v>2</v>
      </c>
      <c r="K2160" s="1" t="str">
        <f ca="1">IFERROR(__xludf.DUMMYFUNCTION("""COMPUTED_VALUE"""),"Hybrid Working Environment with less than 3 days a month at office")</f>
        <v>Hybrid Working Environment with less than 3 days a month at office</v>
      </c>
      <c r="L21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6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60" s="1" t="str">
        <f ca="1">IFERROR(__xludf.DUMMYFUNCTION("""COMPUTED_VALUE"""),"Business Operations in any organization, I Want to sell things/Sales, An Artificial Intelligence Specialist / Talking to Robots, Manufacturing / Oil and Gas/ Construction / Hard Physical Work related")</f>
        <v>Business Operations in any organization, I Want to sell things/Sales, An Artificial Intelligence Specialist / Talking to Robots, Manufacturing / Oil and Gas/ Construction / Hard Physical Work related</v>
      </c>
      <c r="O2160" s="1" t="str">
        <f ca="1">IFERROR(__xludf.DUMMYFUNCTION("""COMPUTED_VALUE"""),"Manager who sets targets and expects me to achieve it")</f>
        <v>Manager who sets targets and expects me to achieve it</v>
      </c>
      <c r="P2160" s="1" t="str">
        <f ca="1">IFERROR(__xludf.DUMMYFUNCTION("""COMPUTED_VALUE"""),"Work with 5 to 6 people in my team")</f>
        <v>Work with 5 to 6 people in my team</v>
      </c>
      <c r="Q2160" s="1" t="str">
        <f ca="1">IFERROR(__xludf.DUMMYFUNCTION("""COMPUTED_VALUE"""),"No")</f>
        <v>No</v>
      </c>
      <c r="R2160" s="1" t="str">
        <f ca="1">IFERROR(__xludf.DUMMYFUNCTION("""COMPUTED_VALUE"""),"Will work for 7 years or more")</f>
        <v>Will work for 7 years or more</v>
      </c>
      <c r="S2160" s="1" t="str">
        <f ca="1">IFERROR(__xludf.DUMMYFUNCTION("""COMPUTED_VALUE"""),"thetev143@gmail.com")</f>
        <v>thetev143@gmail.com</v>
      </c>
    </row>
    <row r="2161" spans="1:19" ht="12.5" x14ac:dyDescent="0.25">
      <c r="A2161" s="2">
        <f ca="1">IFERROR(__xludf.DUMMYFUNCTION("""COMPUTED_VALUE"""),45063.6470834027)</f>
        <v>45063.647083402699</v>
      </c>
      <c r="B2161" s="1" t="str">
        <f ca="1">IFERROR(__xludf.DUMMYFUNCTION("""COMPUTED_VALUE"""),"India")</f>
        <v>India</v>
      </c>
      <c r="C2161" s="1">
        <f ca="1">IFERROR(__xludf.DUMMYFUNCTION("""COMPUTED_VALUE"""),411001)</f>
        <v>411001</v>
      </c>
      <c r="D2161" s="1" t="str">
        <f ca="1">IFERROR(__xludf.DUMMYFUNCTION("""COMPUTED_VALUE"""),"Female")</f>
        <v>Female</v>
      </c>
      <c r="E2161" s="1" t="str">
        <f ca="1">IFERROR(__xludf.DUMMYFUNCTION("""COMPUTED_VALUE"""),"My Parents")</f>
        <v>My Parents</v>
      </c>
      <c r="F2161" s="1" t="str">
        <f ca="1">IFERROR(__xludf.DUMMYFUNCTION("""COMPUTED_VALUE"""),"No, But if someone could bare the cost I will")</f>
        <v>No, But if someone could bare the cost I will</v>
      </c>
      <c r="G2161" s="1" t="str">
        <f ca="1">IFERROR(__xludf.DUMMYFUNCTION("""COMPUTED_VALUE"""),"This will be hard to do, but if it is the right company I would try")</f>
        <v>This will be hard to do, but if it is the right company I would try</v>
      </c>
      <c r="H2161" s="1" t="str">
        <f ca="1">IFERROR(__xludf.DUMMYFUNCTION("""COMPUTED_VALUE"""),"No")</f>
        <v>No</v>
      </c>
      <c r="I2161" s="1" t="str">
        <f ca="1">IFERROR(__xludf.DUMMYFUNCTION("""COMPUTED_VALUE"""),"Will NOT work for them")</f>
        <v>Will NOT work for them</v>
      </c>
      <c r="J2161" s="1">
        <f ca="1">IFERROR(__xludf.DUMMYFUNCTION("""COMPUTED_VALUE"""),3)</f>
        <v>3</v>
      </c>
      <c r="K2161" s="1" t="str">
        <f ca="1">IFERROR(__xludf.DUMMYFUNCTION("""COMPUTED_VALUE"""),"Every Day Office Environment")</f>
        <v>Every Day Office Environment</v>
      </c>
      <c r="L21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6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161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161" s="1" t="str">
        <f ca="1">IFERROR(__xludf.DUMMYFUNCTION("""COMPUTED_VALUE"""),"Manager who explains what is expected, sets a goal and helps achieve it")</f>
        <v>Manager who explains what is expected, sets a goal and helps achieve it</v>
      </c>
      <c r="P2161" s="1" t="str">
        <f ca="1">IFERROR(__xludf.DUMMYFUNCTION("""COMPUTED_VALUE"""),"Work with 5 to 6 people in my team")</f>
        <v>Work with 5 to 6 people in my team</v>
      </c>
      <c r="Q2161" s="1" t="str">
        <f ca="1">IFERROR(__xludf.DUMMYFUNCTION("""COMPUTED_VALUE"""),"Yes, I Understand this is gonna happen everywhere")</f>
        <v>Yes, I Understand this is gonna happen everywhere</v>
      </c>
      <c r="R2161" s="1" t="str">
        <f ca="1">IFERROR(__xludf.DUMMYFUNCTION("""COMPUTED_VALUE"""),"This will be hard to do, but if it is the right company I would try")</f>
        <v>This will be hard to do, but if it is the right company I would try</v>
      </c>
      <c r="S2161" s="1" t="str">
        <f ca="1">IFERROR(__xludf.DUMMYFUNCTION("""COMPUTED_VALUE"""),"samikshachoudhary0203@gmail.com")</f>
        <v>samikshachoudhary0203@gmail.com</v>
      </c>
    </row>
    <row r="2162" spans="1:19" ht="12.5" x14ac:dyDescent="0.25">
      <c r="A2162" s="2">
        <f ca="1">IFERROR(__xludf.DUMMYFUNCTION("""COMPUTED_VALUE"""),45063.6470983217)</f>
        <v>45063.6470983217</v>
      </c>
      <c r="B2162" s="1" t="str">
        <f ca="1">IFERROR(__xludf.DUMMYFUNCTION("""COMPUTED_VALUE"""),"India")</f>
        <v>India</v>
      </c>
      <c r="C2162" s="1">
        <f ca="1">IFERROR(__xludf.DUMMYFUNCTION("""COMPUTED_VALUE"""),400079)</f>
        <v>400079</v>
      </c>
      <c r="D2162" s="1" t="str">
        <f ca="1">IFERROR(__xludf.DUMMYFUNCTION("""COMPUTED_VALUE"""),"Male")</f>
        <v>Male</v>
      </c>
      <c r="E2162" s="1" t="str">
        <f ca="1">IFERROR(__xludf.DUMMYFUNCTION("""COMPUTED_VALUE"""),"My Parents")</f>
        <v>My Parents</v>
      </c>
      <c r="F2162" s="1" t="str">
        <f ca="1">IFERROR(__xludf.DUMMYFUNCTION("""COMPUTED_VALUE"""),"No I would not be pursuing Higher Education outside of India")</f>
        <v>No I would not be pursuing Higher Education outside of India</v>
      </c>
      <c r="G2162" s="1" t="str">
        <f ca="1">IFERROR(__xludf.DUMMYFUNCTION("""COMPUTED_VALUE"""),"This will be hard to do, but if it is the right company I would try")</f>
        <v>This will be hard to do, but if it is the right company I would try</v>
      </c>
      <c r="H2162" s="1" t="str">
        <f ca="1">IFERROR(__xludf.DUMMYFUNCTION("""COMPUTED_VALUE"""),"Yes")</f>
        <v>Yes</v>
      </c>
      <c r="I2162" s="1" t="str">
        <f ca="1">IFERROR(__xludf.DUMMYFUNCTION("""COMPUTED_VALUE"""),"Will NOT work for them")</f>
        <v>Will NOT work for them</v>
      </c>
      <c r="J2162" s="1">
        <f ca="1">IFERROR(__xludf.DUMMYFUNCTION("""COMPUTED_VALUE"""),5)</f>
        <v>5</v>
      </c>
      <c r="K2162" s="1" t="str">
        <f ca="1">IFERROR(__xludf.DUMMYFUNCTION("""COMPUTED_VALUE"""),"Every Day Office Environment")</f>
        <v>Every Day Office Environment</v>
      </c>
      <c r="L2162" s="1" t="str">
        <f ca="1">IFERROR(__xludf.DUMMYFUNCTION("""COMPUTED_VALUE"""),"Employer who appreciates learning and enables that environment")</f>
        <v>Employer who appreciates learning and enables that environment</v>
      </c>
      <c r="M216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62" s="1" t="str">
        <f ca="1">IFERROR(__xludf.DUMMYFUNCTION("""COMPUTED_VALUE"""),"Business Operations in any organization, Build and develop a Team, Entrepreneur or Start Up, Manufacturing / Oil and Gas/ Construction / Hard Physical Work related")</f>
        <v>Business Operations in any organization, Build and develop a Team, Entrepreneur or Start Up, Manufacturing / Oil and Gas/ Construction / Hard Physical Work related</v>
      </c>
      <c r="O2162" s="1" t="str">
        <f ca="1">IFERROR(__xludf.DUMMYFUNCTION("""COMPUTED_VALUE"""),"Manager who clearly describes what she/he needs")</f>
        <v>Manager who clearly describes what she/he needs</v>
      </c>
      <c r="P2162" s="1" t="str">
        <f ca="1">IFERROR(__xludf.DUMMYFUNCTION("""COMPUTED_VALUE"""),"Work alone, Work with 2 to 3 people in my team")</f>
        <v>Work alone, Work with 2 to 3 people in my team</v>
      </c>
      <c r="Q2162" s="1" t="str">
        <f ca="1">IFERROR(__xludf.DUMMYFUNCTION("""COMPUTED_VALUE"""),"No")</f>
        <v>No</v>
      </c>
      <c r="R2162" s="1" t="str">
        <f ca="1">IFERROR(__xludf.DUMMYFUNCTION("""COMPUTED_VALUE"""),"This will be hard to do, but if it is the right company I would try")</f>
        <v>This will be hard to do, but if it is the right company I would try</v>
      </c>
      <c r="S2162" s="1" t="str">
        <f ca="1">IFERROR(__xludf.DUMMYFUNCTION("""COMPUTED_VALUE"""),"naveadattar4@gmail.com")</f>
        <v>naveadattar4@gmail.com</v>
      </c>
    </row>
    <row r="2163" spans="1:19" ht="12.5" x14ac:dyDescent="0.25">
      <c r="A2163" s="2">
        <f ca="1">IFERROR(__xludf.DUMMYFUNCTION("""COMPUTED_VALUE"""),45063.647713368)</f>
        <v>45063.647713368002</v>
      </c>
      <c r="B2163" s="1" t="str">
        <f ca="1">IFERROR(__xludf.DUMMYFUNCTION("""COMPUTED_VALUE"""),"India")</f>
        <v>India</v>
      </c>
      <c r="C2163" s="1">
        <f ca="1">IFERROR(__xludf.DUMMYFUNCTION("""COMPUTED_VALUE"""),416606)</f>
        <v>416606</v>
      </c>
      <c r="D2163" s="1" t="str">
        <f ca="1">IFERROR(__xludf.DUMMYFUNCTION("""COMPUTED_VALUE"""),"Female")</f>
        <v>Female</v>
      </c>
      <c r="E2163" s="1" t="str">
        <f ca="1">IFERROR(__xludf.DUMMYFUNCTION("""COMPUTED_VALUE"""),"My Parents")</f>
        <v>My Parents</v>
      </c>
      <c r="F2163" s="1" t="str">
        <f ca="1">IFERROR(__xludf.DUMMYFUNCTION("""COMPUTED_VALUE"""),"No I would not be pursuing Higher Education outside of India")</f>
        <v>No I would not be pursuing Higher Education outside of India</v>
      </c>
      <c r="G2163" s="1" t="str">
        <f ca="1">IFERROR(__xludf.DUMMYFUNCTION("""COMPUTED_VALUE"""),"No way")</f>
        <v>No way</v>
      </c>
      <c r="H2163" s="1" t="str">
        <f ca="1">IFERROR(__xludf.DUMMYFUNCTION("""COMPUTED_VALUE"""),"No")</f>
        <v>No</v>
      </c>
      <c r="I2163" s="1" t="str">
        <f ca="1">IFERROR(__xludf.DUMMYFUNCTION("""COMPUTED_VALUE"""),"Will NOT work for them")</f>
        <v>Will NOT work for them</v>
      </c>
      <c r="J2163" s="1">
        <f ca="1">IFERROR(__xludf.DUMMYFUNCTION("""COMPUTED_VALUE"""),4)</f>
        <v>4</v>
      </c>
      <c r="K2163" s="1" t="str">
        <f ca="1">IFERROR(__xludf.DUMMYFUNCTION("""COMPUTED_VALUE"""),"Every Day Office Environment")</f>
        <v>Every Day Office Environment</v>
      </c>
      <c r="L2163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16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63" s="1" t="str">
        <f ca="1">IFERROR(__xludf.DUMMYFUNCTION("""COMPUTED_VALUE"""),"Design and Creative strategy in any company, Teaching in any of the institutes/colleges/online or offline, Build and develop a Team, I Want to sell things/Sales")</f>
        <v>Design and Creative strategy in any company, Teaching in any of the institutes/colleges/online or offline, Build and develop a Team, I Want to sell things/Sales</v>
      </c>
      <c r="O216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63" s="1" t="str">
        <f ca="1">IFERROR(__xludf.DUMMYFUNCTION("""COMPUTED_VALUE"""),"Work alone")</f>
        <v>Work alone</v>
      </c>
      <c r="Q2163" s="1" t="str">
        <f ca="1">IFERROR(__xludf.DUMMYFUNCTION("""COMPUTED_VALUE"""),"I have NO other choice")</f>
        <v>I have NO other choice</v>
      </c>
      <c r="R2163" s="1" t="str">
        <f ca="1">IFERROR(__xludf.DUMMYFUNCTION("""COMPUTED_VALUE"""),"No way")</f>
        <v>No way</v>
      </c>
      <c r="S2163" s="1" t="str">
        <f ca="1">IFERROR(__xludf.DUMMYFUNCTION("""COMPUTED_VALUE"""),"madhuraghadshi24@gmail.com")</f>
        <v>madhuraghadshi24@gmail.com</v>
      </c>
    </row>
    <row r="2164" spans="1:19" ht="12.5" x14ac:dyDescent="0.25">
      <c r="A2164" s="2">
        <f ca="1">IFERROR(__xludf.DUMMYFUNCTION("""COMPUTED_VALUE"""),45063.6493466666)</f>
        <v>45063.6493466666</v>
      </c>
      <c r="B2164" s="1" t="str">
        <f ca="1">IFERROR(__xludf.DUMMYFUNCTION("""COMPUTED_VALUE"""),"India")</f>
        <v>India</v>
      </c>
      <c r="C2164" s="1">
        <f ca="1">IFERROR(__xludf.DUMMYFUNCTION("""COMPUTED_VALUE"""),400003)</f>
        <v>400003</v>
      </c>
      <c r="D2164" s="1" t="str">
        <f ca="1">IFERROR(__xludf.DUMMYFUNCTION("""COMPUTED_VALUE"""),"Female")</f>
        <v>Female</v>
      </c>
      <c r="E2164" s="1" t="str">
        <f ca="1">IFERROR(__xludf.DUMMYFUNCTION("""COMPUTED_VALUE"""),"My Parents")</f>
        <v>My Parents</v>
      </c>
      <c r="F2164" s="1" t="str">
        <f ca="1">IFERROR(__xludf.DUMMYFUNCTION("""COMPUTED_VALUE"""),"No I would not be pursuing Higher Education outside of India")</f>
        <v>No I would not be pursuing Higher Education outside of India</v>
      </c>
      <c r="G2164" s="1" t="str">
        <f ca="1">IFERROR(__xludf.DUMMYFUNCTION("""COMPUTED_VALUE"""),"This will be hard to do, but if it is the right company I would try")</f>
        <v>This will be hard to do, but if it is the right company I would try</v>
      </c>
      <c r="H2164" s="1" t="str">
        <f ca="1">IFERROR(__xludf.DUMMYFUNCTION("""COMPUTED_VALUE"""),"Yes")</f>
        <v>Yes</v>
      </c>
      <c r="I2164" s="1" t="str">
        <f ca="1">IFERROR(__xludf.DUMMYFUNCTION("""COMPUTED_VALUE"""),"Will work for them")</f>
        <v>Will work for them</v>
      </c>
      <c r="J2164" s="1">
        <f ca="1">IFERROR(__xludf.DUMMYFUNCTION("""COMPUTED_VALUE"""),7)</f>
        <v>7</v>
      </c>
      <c r="K2164" s="1" t="str">
        <f ca="1">IFERROR(__xludf.DUMMYFUNCTION("""COMPUTED_VALUE"""),"Hybrid Working Environment with more than 15 days a month at office")</f>
        <v>Hybrid Working Environment with more than 15 days a month at office</v>
      </c>
      <c r="L21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6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164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2164" s="1" t="str">
        <f ca="1">IFERROR(__xludf.DUMMYFUNCTION("""COMPUTED_VALUE"""),"Manager who explains what is expected, sets a goal and helps achieve it")</f>
        <v>Manager who explains what is expected, sets a goal and helps achieve it</v>
      </c>
      <c r="P2164" s="1" t="str">
        <f ca="1">IFERROR(__xludf.DUMMYFUNCTION("""COMPUTED_VALUE"""),"Work alone")</f>
        <v>Work alone</v>
      </c>
      <c r="Q2164" s="1" t="str">
        <f ca="1">IFERROR(__xludf.DUMMYFUNCTION("""COMPUTED_VALUE"""),"No")</f>
        <v>No</v>
      </c>
      <c r="R2164" s="1" t="str">
        <f ca="1">IFERROR(__xludf.DUMMYFUNCTION("""COMPUTED_VALUE"""),"This will be hard to do, but if it is the right company I would try")</f>
        <v>This will be hard to do, but if it is the right company I would try</v>
      </c>
      <c r="S2164" s="1" t="str">
        <f ca="1">IFERROR(__xludf.DUMMYFUNCTION("""COMPUTED_VALUE"""),"zufinekht@gmail.com")</f>
        <v>zufinekht@gmail.com</v>
      </c>
    </row>
    <row r="2165" spans="1:19" ht="12.5" x14ac:dyDescent="0.25">
      <c r="A2165" s="2">
        <f ca="1">IFERROR(__xludf.DUMMYFUNCTION("""COMPUTED_VALUE"""),45063.6520389004)</f>
        <v>45063.6520389004</v>
      </c>
      <c r="B2165" s="1" t="str">
        <f ca="1">IFERROR(__xludf.DUMMYFUNCTION("""COMPUTED_VALUE"""),"India")</f>
        <v>India</v>
      </c>
      <c r="C2165" s="1">
        <f ca="1">IFERROR(__xludf.DUMMYFUNCTION("""COMPUTED_VALUE"""),400028)</f>
        <v>400028</v>
      </c>
      <c r="D2165" s="1" t="str">
        <f ca="1">IFERROR(__xludf.DUMMYFUNCTION("""COMPUTED_VALUE"""),"Male")</f>
        <v>Male</v>
      </c>
      <c r="E2165" s="1" t="str">
        <f ca="1">IFERROR(__xludf.DUMMYFUNCTION("""COMPUTED_VALUE"""),"Influencers who had successful careers")</f>
        <v>Influencers who had successful careers</v>
      </c>
      <c r="F2165" s="1" t="str">
        <f ca="1">IFERROR(__xludf.DUMMYFUNCTION("""COMPUTED_VALUE"""),"Yes, I will earn and do that")</f>
        <v>Yes, I will earn and do that</v>
      </c>
      <c r="G2165" s="1" t="str">
        <f ca="1">IFERROR(__xludf.DUMMYFUNCTION("""COMPUTED_VALUE"""),"This will be hard to do, but if it is the right company I would try")</f>
        <v>This will be hard to do, but if it is the right company I would try</v>
      </c>
      <c r="H2165" s="1" t="str">
        <f ca="1">IFERROR(__xludf.DUMMYFUNCTION("""COMPUTED_VALUE"""),"No")</f>
        <v>No</v>
      </c>
      <c r="I2165" s="1" t="str">
        <f ca="1">IFERROR(__xludf.DUMMYFUNCTION("""COMPUTED_VALUE"""),"Will NOT work for them")</f>
        <v>Will NOT work for them</v>
      </c>
      <c r="J2165" s="1">
        <f ca="1">IFERROR(__xludf.DUMMYFUNCTION("""COMPUTED_VALUE"""),5)</f>
        <v>5</v>
      </c>
      <c r="K2165" s="1" t="str">
        <f ca="1">IFERROR(__xludf.DUMMYFUNCTION("""COMPUTED_VALUE"""),"Fully Remote with No option to visit offices")</f>
        <v>Fully Remote with No option to visit offices</v>
      </c>
      <c r="L21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6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65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2165" s="1" t="str">
        <f ca="1">IFERROR(__xludf.DUMMYFUNCTION("""COMPUTED_VALUE"""),"Manager who explains what is expected, sets a goal and helps achieve it")</f>
        <v>Manager who explains what is expected, sets a goal and helps achieve it</v>
      </c>
      <c r="P2165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165" s="1" t="str">
        <f ca="1">IFERROR(__xludf.DUMMYFUNCTION("""COMPUTED_VALUE"""),"Yes, I Understand this is gonna happen everywhere")</f>
        <v>Yes, I Understand this is gonna happen everywhere</v>
      </c>
      <c r="R2165" s="1" t="str">
        <f ca="1">IFERROR(__xludf.DUMMYFUNCTION("""COMPUTED_VALUE"""),"Will work for 7 years or more")</f>
        <v>Will work for 7 years or more</v>
      </c>
      <c r="S2165" s="1" t="str">
        <f ca="1">IFERROR(__xludf.DUMMYFUNCTION("""COMPUTED_VALUE"""),"amulyaachrekar@gmail.com")</f>
        <v>amulyaachrekar@gmail.com</v>
      </c>
    </row>
    <row r="2166" spans="1:19" ht="12.5" x14ac:dyDescent="0.25">
      <c r="A2166" s="2">
        <f ca="1">IFERROR(__xludf.DUMMYFUNCTION("""COMPUTED_VALUE"""),45063.6527046064)</f>
        <v>45063.6527046064</v>
      </c>
      <c r="B2166" s="1" t="str">
        <f ca="1">IFERROR(__xludf.DUMMYFUNCTION("""COMPUTED_VALUE"""),"India")</f>
        <v>India</v>
      </c>
      <c r="C2166" s="1">
        <f ca="1">IFERROR(__xludf.DUMMYFUNCTION("""COMPUTED_VALUE"""),400058)</f>
        <v>400058</v>
      </c>
      <c r="D2166" s="1" t="str">
        <f ca="1">IFERROR(__xludf.DUMMYFUNCTION("""COMPUTED_VALUE"""),"Male")</f>
        <v>Male</v>
      </c>
      <c r="E2166" s="1" t="str">
        <f ca="1">IFERROR(__xludf.DUMMYFUNCTION("""COMPUTED_VALUE"""),"My Parents")</f>
        <v>My Parents</v>
      </c>
      <c r="F2166" s="1" t="str">
        <f ca="1">IFERROR(__xludf.DUMMYFUNCTION("""COMPUTED_VALUE"""),"No I would not be pursuing Higher Education outside of India")</f>
        <v>No I would not be pursuing Higher Education outside of India</v>
      </c>
      <c r="G2166" s="1" t="str">
        <f ca="1">IFERROR(__xludf.DUMMYFUNCTION("""COMPUTED_VALUE"""),"This will be hard to do, but if it is the right company I would try")</f>
        <v>This will be hard to do, but if it is the right company I would try</v>
      </c>
      <c r="H2166" s="1" t="str">
        <f ca="1">IFERROR(__xludf.DUMMYFUNCTION("""COMPUTED_VALUE"""),"No")</f>
        <v>No</v>
      </c>
      <c r="I2166" s="1" t="str">
        <f ca="1">IFERROR(__xludf.DUMMYFUNCTION("""COMPUTED_VALUE"""),"Will NOT work for them")</f>
        <v>Will NOT work for them</v>
      </c>
      <c r="J2166" s="1">
        <f ca="1">IFERROR(__xludf.DUMMYFUNCTION("""COMPUTED_VALUE"""),3)</f>
        <v>3</v>
      </c>
      <c r="K2166" s="1" t="str">
        <f ca="1">IFERROR(__xludf.DUMMYFUNCTION("""COMPUTED_VALUE"""),"Every Day Office Environment")</f>
        <v>Every Day Office Environment</v>
      </c>
      <c r="L2166" s="1" t="str">
        <f ca="1">IFERROR(__xludf.DUMMYFUNCTION("""COMPUTED_VALUE"""),"Employer who rewards learning and enables that environment")</f>
        <v>Employer who rewards learning and enables that environment</v>
      </c>
      <c r="M216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66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166" s="1" t="str">
        <f ca="1">IFERROR(__xludf.DUMMYFUNCTION("""COMPUTED_VALUE"""),"Manager who clearly describes what she/he needs")</f>
        <v>Manager who clearly describes what she/he needs</v>
      </c>
      <c r="P2166" s="1" t="str">
        <f ca="1">IFERROR(__xludf.DUMMYFUNCTION("""COMPUTED_VALUE"""),"Work with 7 to 10 or more people in my team")</f>
        <v>Work with 7 to 10 or more people in my team</v>
      </c>
      <c r="Q2166" s="1" t="str">
        <f ca="1">IFERROR(__xludf.DUMMYFUNCTION("""COMPUTED_VALUE"""),"No")</f>
        <v>No</v>
      </c>
      <c r="R2166" s="1" t="str">
        <f ca="1">IFERROR(__xludf.DUMMYFUNCTION("""COMPUTED_VALUE"""),"No way")</f>
        <v>No way</v>
      </c>
      <c r="S2166" s="1" t="str">
        <f ca="1">IFERROR(__xludf.DUMMYFUNCTION("""COMPUTED_VALUE"""),"umarfarooque05@gmail.com")</f>
        <v>umarfarooque05@gmail.com</v>
      </c>
    </row>
    <row r="2167" spans="1:19" ht="12.5" x14ac:dyDescent="0.25">
      <c r="A2167" s="2">
        <f ca="1">IFERROR(__xludf.DUMMYFUNCTION("""COMPUTED_VALUE"""),45063.6543143171)</f>
        <v>45063.6543143171</v>
      </c>
      <c r="B2167" s="1" t="str">
        <f ca="1">IFERROR(__xludf.DUMMYFUNCTION("""COMPUTED_VALUE"""),"India")</f>
        <v>India</v>
      </c>
      <c r="C2167" s="1">
        <f ca="1">IFERROR(__xludf.DUMMYFUNCTION("""COMPUTED_VALUE"""),416606)</f>
        <v>416606</v>
      </c>
      <c r="D2167" s="1" t="str">
        <f ca="1">IFERROR(__xludf.DUMMYFUNCTION("""COMPUTED_VALUE"""),"Female")</f>
        <v>Female</v>
      </c>
      <c r="E2167" s="1" t="str">
        <f ca="1">IFERROR(__xludf.DUMMYFUNCTION("""COMPUTED_VALUE"""),"My Parents")</f>
        <v>My Parents</v>
      </c>
      <c r="F2167" s="1" t="str">
        <f ca="1">IFERROR(__xludf.DUMMYFUNCTION("""COMPUTED_VALUE"""),"No I would not be pursuing Higher Education outside of India")</f>
        <v>No I would not be pursuing Higher Education outside of India</v>
      </c>
      <c r="G2167" s="1" t="str">
        <f ca="1">IFERROR(__xludf.DUMMYFUNCTION("""COMPUTED_VALUE"""),"No way")</f>
        <v>No way</v>
      </c>
      <c r="H2167" s="1" t="str">
        <f ca="1">IFERROR(__xludf.DUMMYFUNCTION("""COMPUTED_VALUE"""),"No")</f>
        <v>No</v>
      </c>
      <c r="I2167" s="1" t="str">
        <f ca="1">IFERROR(__xludf.DUMMYFUNCTION("""COMPUTED_VALUE"""),"Will NOT work for them")</f>
        <v>Will NOT work for them</v>
      </c>
      <c r="J2167" s="1">
        <f ca="1">IFERROR(__xludf.DUMMYFUNCTION("""COMPUTED_VALUE"""),2)</f>
        <v>2</v>
      </c>
      <c r="K2167" s="1" t="str">
        <f ca="1">IFERROR(__xludf.DUMMYFUNCTION("""COMPUTED_VALUE"""),"Every Day Office Environment")</f>
        <v>Every Day Office Environment</v>
      </c>
      <c r="L21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67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2167" s="1" t="str">
        <f ca="1">IFERROR(__xludf.DUMMYFUNCTION("""COMPUTED_VALUE"""),"Design and Creative strategy in any company, Teaching in any of the institutes/colleges/online or offline, Build and develop a Team, I Want to sell things/Sales")</f>
        <v>Design and Creative strategy in any company, Teaching in any of the institutes/colleges/online or offline, Build and develop a Team, I Want to sell things/Sales</v>
      </c>
      <c r="O216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67" s="1" t="str">
        <f ca="1">IFERROR(__xludf.DUMMYFUNCTION("""COMPUTED_VALUE"""),"Work alone")</f>
        <v>Work alone</v>
      </c>
      <c r="Q2167" s="1" t="str">
        <f ca="1">IFERROR(__xludf.DUMMYFUNCTION("""COMPUTED_VALUE"""),"I have NO other choice")</f>
        <v>I have NO other choice</v>
      </c>
      <c r="R2167" s="1" t="str">
        <f ca="1">IFERROR(__xludf.DUMMYFUNCTION("""COMPUTED_VALUE"""),"No way")</f>
        <v>No way</v>
      </c>
      <c r="S2167" s="1" t="str">
        <f ca="1">IFERROR(__xludf.DUMMYFUNCTION("""COMPUTED_VALUE"""),"vaishalighadshi43@gmail.com")</f>
        <v>vaishalighadshi43@gmail.com</v>
      </c>
    </row>
    <row r="2168" spans="1:19" ht="12.5" x14ac:dyDescent="0.25">
      <c r="A2168" s="2">
        <f ca="1">IFERROR(__xludf.DUMMYFUNCTION("""COMPUTED_VALUE"""),45063.6560137731)</f>
        <v>45063.656013773099</v>
      </c>
      <c r="B2168" s="1" t="str">
        <f ca="1">IFERROR(__xludf.DUMMYFUNCTION("""COMPUTED_VALUE"""),"India")</f>
        <v>India</v>
      </c>
      <c r="C2168" s="1">
        <f ca="1">IFERROR(__xludf.DUMMYFUNCTION("""COMPUTED_VALUE"""),400614)</f>
        <v>400614</v>
      </c>
      <c r="D2168" s="1" t="str">
        <f ca="1">IFERROR(__xludf.DUMMYFUNCTION("""COMPUTED_VALUE"""),"Male")</f>
        <v>Male</v>
      </c>
      <c r="E2168" s="1" t="str">
        <f ca="1">IFERROR(__xludf.DUMMYFUNCTION("""COMPUTED_VALUE"""),"My Parents")</f>
        <v>My Parents</v>
      </c>
      <c r="F2168" s="1" t="str">
        <f ca="1">IFERROR(__xludf.DUMMYFUNCTION("""COMPUTED_VALUE"""),"Yes, I will earn and do that")</f>
        <v>Yes, I will earn and do that</v>
      </c>
      <c r="G2168" s="1" t="str">
        <f ca="1">IFERROR(__xludf.DUMMYFUNCTION("""COMPUTED_VALUE"""),"This will be hard to do, but if it is the right company I would try")</f>
        <v>This will be hard to do, but if it is the right company I would try</v>
      </c>
      <c r="H2168" s="1" t="str">
        <f ca="1">IFERROR(__xludf.DUMMYFUNCTION("""COMPUTED_VALUE"""),"No")</f>
        <v>No</v>
      </c>
      <c r="I2168" s="1" t="str">
        <f ca="1">IFERROR(__xludf.DUMMYFUNCTION("""COMPUTED_VALUE"""),"Will NOT work for them")</f>
        <v>Will NOT work for them</v>
      </c>
      <c r="J2168" s="1">
        <f ca="1">IFERROR(__xludf.DUMMYFUNCTION("""COMPUTED_VALUE"""),5)</f>
        <v>5</v>
      </c>
      <c r="K2168" s="1" t="str">
        <f ca="1">IFERROR(__xludf.DUMMYFUNCTION("""COMPUTED_VALUE"""),"Every Day Office Environment")</f>
        <v>Every Day Office Environment</v>
      </c>
      <c r="L21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68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168" s="1" t="str">
        <f ca="1">IFERROR(__xludf.DUMMYFUNCTION("""COMPUTED_VALUE"""),"Work as a freelancer and do my thing my way, Entrepreneur or Start Up, I Want to sell things/Sales, Manufacturing / Oil and Gas/ Construction / Hard Physical Work related")</f>
        <v>Work as a freelancer and do my thing my way, Entrepreneur or Start Up, I Want to sell things/Sales, Manufacturing / Oil and Gas/ Construction / Hard Physical Work related</v>
      </c>
      <c r="O2168" s="1" t="str">
        <f ca="1">IFERROR(__xludf.DUMMYFUNCTION("""COMPUTED_VALUE"""),"Manager who sets goal and helps me achieve it")</f>
        <v>Manager who sets goal and helps me achieve it</v>
      </c>
      <c r="P2168" s="1" t="str">
        <f ca="1">IFERROR(__xludf.DUMMYFUNCTION("""COMPUTED_VALUE"""),"Work with 2 to 3 people in my team")</f>
        <v>Work with 2 to 3 people in my team</v>
      </c>
      <c r="Q2168" s="1" t="str">
        <f ca="1">IFERROR(__xludf.DUMMYFUNCTION("""COMPUTED_VALUE"""),"Yes, I Understand this is gonna happen everywhere")</f>
        <v>Yes, I Understand this is gonna happen everywhere</v>
      </c>
      <c r="R2168" s="1" t="str">
        <f ca="1">IFERROR(__xludf.DUMMYFUNCTION("""COMPUTED_VALUE"""),"No way")</f>
        <v>No way</v>
      </c>
      <c r="S2168" s="1" t="str">
        <f ca="1">IFERROR(__xludf.DUMMYFUNCTION("""COMPUTED_VALUE"""),"sampanchal2002@gmail.com")</f>
        <v>sampanchal2002@gmail.com</v>
      </c>
    </row>
    <row r="2169" spans="1:19" ht="12.5" x14ac:dyDescent="0.25">
      <c r="A2169" s="2">
        <f ca="1">IFERROR(__xludf.DUMMYFUNCTION("""COMPUTED_VALUE"""),45063.6571089351)</f>
        <v>45063.657108935098</v>
      </c>
      <c r="B2169" s="1" t="str">
        <f ca="1">IFERROR(__xludf.DUMMYFUNCTION("""COMPUTED_VALUE"""),"India")</f>
        <v>India</v>
      </c>
      <c r="C2169" s="1">
        <f ca="1">IFERROR(__xludf.DUMMYFUNCTION("""COMPUTED_VALUE"""),416606)</f>
        <v>416606</v>
      </c>
      <c r="D2169" s="1" t="str">
        <f ca="1">IFERROR(__xludf.DUMMYFUNCTION("""COMPUTED_VALUE"""),"Female")</f>
        <v>Female</v>
      </c>
      <c r="E2169" s="1" t="str">
        <f ca="1">IFERROR(__xludf.DUMMYFUNCTION("""COMPUTED_VALUE"""),"My Parents")</f>
        <v>My Parents</v>
      </c>
      <c r="F2169" s="1" t="str">
        <f ca="1">IFERROR(__xludf.DUMMYFUNCTION("""COMPUTED_VALUE"""),"No, But if someone could bare the cost I will")</f>
        <v>No, But if someone could bare the cost I will</v>
      </c>
      <c r="G2169" s="1" t="str">
        <f ca="1">IFERROR(__xludf.DUMMYFUNCTION("""COMPUTED_VALUE"""),"This will be hard to do, but if it is the right company I would try")</f>
        <v>This will be hard to do, but if it is the right company I would try</v>
      </c>
      <c r="H2169" s="1" t="str">
        <f ca="1">IFERROR(__xludf.DUMMYFUNCTION("""COMPUTED_VALUE"""),"No")</f>
        <v>No</v>
      </c>
      <c r="I2169" s="1" t="str">
        <f ca="1">IFERROR(__xludf.DUMMYFUNCTION("""COMPUTED_VALUE"""),"Will NOT work for them")</f>
        <v>Will NOT work for them</v>
      </c>
      <c r="J2169" s="1">
        <f ca="1">IFERROR(__xludf.DUMMYFUNCTION("""COMPUTED_VALUE"""),5)</f>
        <v>5</v>
      </c>
      <c r="K2169" s="1" t="str">
        <f ca="1">IFERROR(__xludf.DUMMYFUNCTION("""COMPUTED_VALUE"""),"Fully Remote with Options to travel as and when needed")</f>
        <v>Fully Remote with Options to travel as and when needed</v>
      </c>
      <c r="L2169" s="1" t="str">
        <f ca="1">IFERROR(__xludf.DUMMYFUNCTION("""COMPUTED_VALUE"""),"Employer who appreciates learning and enables that environment")</f>
        <v>Employer who appreciates learning and enables that environment</v>
      </c>
      <c r="M216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169" s="1" t="str">
        <f ca="1">IFERROR(__xludf.DUMMYFUNCTION("""COMPUTED_VALUE"""),"Design and Creative strategy in any company, Business Operations in any organization, Design and Develop amazing software, I Want to sell things/Sales")</f>
        <v>Design and Creative strategy in any company, Business Operations in any organization, Design and Develop amazing software, I Want to sell things/Sales</v>
      </c>
      <c r="O2169" s="1" t="str">
        <f ca="1">IFERROR(__xludf.DUMMYFUNCTION("""COMPUTED_VALUE"""),"Manager who sets goal and helps me achieve it")</f>
        <v>Manager who sets goal and helps me achieve it</v>
      </c>
      <c r="P2169" s="1" t="str">
        <f ca="1">IFERROR(__xludf.DUMMYFUNCTION("""COMPUTED_VALUE"""),"Work with 2 to 3 people in my team")</f>
        <v>Work with 2 to 3 people in my team</v>
      </c>
      <c r="Q2169" s="1" t="str">
        <f ca="1">IFERROR(__xludf.DUMMYFUNCTION("""COMPUTED_VALUE"""),"Yes")</f>
        <v>Yes</v>
      </c>
      <c r="R2169" s="1" t="str">
        <f ca="1">IFERROR(__xludf.DUMMYFUNCTION("""COMPUTED_VALUE"""),"This will be hard to do, but if it is the right company I would try")</f>
        <v>This will be hard to do, but if it is the right company I would try</v>
      </c>
      <c r="S2169" s="1" t="str">
        <f ca="1">IFERROR(__xludf.DUMMYFUNCTION("""COMPUTED_VALUE"""),"tanvikambli4@gmail.com")</f>
        <v>tanvikambli4@gmail.com</v>
      </c>
    </row>
    <row r="2170" spans="1:19" ht="12.5" x14ac:dyDescent="0.25">
      <c r="A2170" s="2">
        <f ca="1">IFERROR(__xludf.DUMMYFUNCTION("""COMPUTED_VALUE"""),45063.6584866203)</f>
        <v>45063.658486620297</v>
      </c>
      <c r="B2170" s="1" t="str">
        <f ca="1">IFERROR(__xludf.DUMMYFUNCTION("""COMPUTED_VALUE"""),"India")</f>
        <v>India</v>
      </c>
      <c r="C2170" s="1">
        <f ca="1">IFERROR(__xludf.DUMMYFUNCTION("""COMPUTED_VALUE"""),421601)</f>
        <v>421601</v>
      </c>
      <c r="D2170" s="1" t="str">
        <f ca="1">IFERROR(__xludf.DUMMYFUNCTION("""COMPUTED_VALUE"""),"Male")</f>
        <v>Male</v>
      </c>
      <c r="E2170" s="1" t="str">
        <f ca="1">IFERROR(__xludf.DUMMYFUNCTION("""COMPUTED_VALUE"""),"My Parents")</f>
        <v>My Parents</v>
      </c>
      <c r="F2170" s="1" t="str">
        <f ca="1">IFERROR(__xludf.DUMMYFUNCTION("""COMPUTED_VALUE"""),"No I would not be pursuing Higher Education outside of India")</f>
        <v>No I would not be pursuing Higher Education outside of India</v>
      </c>
      <c r="G2170" s="1" t="str">
        <f ca="1">IFERROR(__xludf.DUMMYFUNCTION("""COMPUTED_VALUE"""),"This will be hard to do, but if it is the right company I would try")</f>
        <v>This will be hard to do, but if it is the right company I would try</v>
      </c>
      <c r="H2170" s="1" t="str">
        <f ca="1">IFERROR(__xludf.DUMMYFUNCTION("""COMPUTED_VALUE"""),"No")</f>
        <v>No</v>
      </c>
      <c r="I2170" s="1" t="str">
        <f ca="1">IFERROR(__xludf.DUMMYFUNCTION("""COMPUTED_VALUE"""),"Will NOT work for them")</f>
        <v>Will NOT work for them</v>
      </c>
      <c r="J2170" s="1">
        <f ca="1">IFERROR(__xludf.DUMMYFUNCTION("""COMPUTED_VALUE"""),5)</f>
        <v>5</v>
      </c>
      <c r="K2170" s="1" t="str">
        <f ca="1">IFERROR(__xludf.DUMMYFUNCTION("""COMPUTED_VALUE"""),"Every Day Office Environment")</f>
        <v>Every Day Office Environment</v>
      </c>
      <c r="L2170" s="1" t="str">
        <f ca="1">IFERROR(__xludf.DUMMYFUNCTION("""COMPUTED_VALUE"""),"Employer who appreciates learning and enables that environment")</f>
        <v>Employer who appreciates learning and enables that environment</v>
      </c>
      <c r="M217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170" s="1" t="str">
        <f ca="1">IFERROR(__xludf.DUMMYFUNCTION("""COMPUTED_VALUE"""),"Teaching in any of the institutes/colleges/online or offline, Business Operations in any organization, Entrepreneur or Start Up, I Want to sell things/Sales")</f>
        <v>Teaching in any of the institutes/colleges/online or offline, Business Operations in any organization, Entrepreneur or Start Up, I Want to sell things/Sales</v>
      </c>
      <c r="O2170" s="1" t="str">
        <f ca="1">IFERROR(__xludf.DUMMYFUNCTION("""COMPUTED_VALUE"""),"Manager who sets targets and expects me to achieve it")</f>
        <v>Manager who sets targets and expects me to achieve it</v>
      </c>
      <c r="P2170" s="1" t="str">
        <f ca="1">IFERROR(__xludf.DUMMYFUNCTION("""COMPUTED_VALUE"""),"Work with 7 to 10 or more people in my team")</f>
        <v>Work with 7 to 10 or more people in my team</v>
      </c>
      <c r="Q2170" s="1" t="str">
        <f ca="1">IFERROR(__xludf.DUMMYFUNCTION("""COMPUTED_VALUE"""),"No")</f>
        <v>No</v>
      </c>
      <c r="R2170" s="1" t="str">
        <f ca="1">IFERROR(__xludf.DUMMYFUNCTION("""COMPUTED_VALUE"""),"Will work for 7 years or more")</f>
        <v>Will work for 7 years or more</v>
      </c>
      <c r="S2170" s="1" t="str">
        <f ca="1">IFERROR(__xludf.DUMMYFUNCTION("""COMPUTED_VALUE"""),"vitthaljadhav506@gmail.com")</f>
        <v>vitthaljadhav506@gmail.com</v>
      </c>
    </row>
    <row r="2171" spans="1:19" ht="12.5" x14ac:dyDescent="0.25">
      <c r="A2171" s="2">
        <f ca="1">IFERROR(__xludf.DUMMYFUNCTION("""COMPUTED_VALUE"""),45063.6669286342)</f>
        <v>45063.6669286342</v>
      </c>
      <c r="B2171" s="1" t="str">
        <f ca="1">IFERROR(__xludf.DUMMYFUNCTION("""COMPUTED_VALUE"""),"India")</f>
        <v>India</v>
      </c>
      <c r="C2171" s="1">
        <f ca="1">IFERROR(__xludf.DUMMYFUNCTION("""COMPUTED_VALUE"""),431009)</f>
        <v>431009</v>
      </c>
      <c r="D2171" s="1" t="str">
        <f ca="1">IFERROR(__xludf.DUMMYFUNCTION("""COMPUTED_VALUE"""),"Female")</f>
        <v>Female</v>
      </c>
      <c r="E2171" s="1" t="str">
        <f ca="1">IFERROR(__xludf.DUMMYFUNCTION("""COMPUTED_VALUE"""),"Influencers who had successful careers")</f>
        <v>Influencers who had successful careers</v>
      </c>
      <c r="F2171" s="1" t="str">
        <f ca="1">IFERROR(__xludf.DUMMYFUNCTION("""COMPUTED_VALUE"""),"No, But if someone could bare the cost I will")</f>
        <v>No, But if someone could bare the cost I will</v>
      </c>
      <c r="G2171" s="1" t="str">
        <f ca="1">IFERROR(__xludf.DUMMYFUNCTION("""COMPUTED_VALUE"""),"This will be hard to do, but if it is the right company I would try")</f>
        <v>This will be hard to do, but if it is the right company I would try</v>
      </c>
      <c r="H2171" s="1" t="str">
        <f ca="1">IFERROR(__xludf.DUMMYFUNCTION("""COMPUTED_VALUE"""),"No")</f>
        <v>No</v>
      </c>
      <c r="I2171" s="1" t="str">
        <f ca="1">IFERROR(__xludf.DUMMYFUNCTION("""COMPUTED_VALUE"""),"Will NOT work for them")</f>
        <v>Will NOT work for them</v>
      </c>
      <c r="J2171" s="1">
        <f ca="1">IFERROR(__xludf.DUMMYFUNCTION("""COMPUTED_VALUE"""),3)</f>
        <v>3</v>
      </c>
      <c r="K2171" s="1" t="str">
        <f ca="1">IFERROR(__xludf.DUMMYFUNCTION("""COMPUTED_VALUE"""),"Hybrid Working Environment with more than 15 days a month at office")</f>
        <v>Hybrid Working Environment with more than 15 days a month at office</v>
      </c>
      <c r="L21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7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171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171" s="1" t="str">
        <f ca="1">IFERROR(__xludf.DUMMYFUNCTION("""COMPUTED_VALUE"""),"Manager who explains what is expected, sets a goal and helps achieve it")</f>
        <v>Manager who explains what is expected, sets a goal and helps achieve it</v>
      </c>
      <c r="P2171" s="1" t="str">
        <f ca="1">IFERROR(__xludf.DUMMYFUNCTION("""COMPUTED_VALUE"""),"Work with 7 to 10 or more people in my team")</f>
        <v>Work with 7 to 10 or more people in my team</v>
      </c>
      <c r="Q2171" s="1" t="str">
        <f ca="1">IFERROR(__xludf.DUMMYFUNCTION("""COMPUTED_VALUE"""),"Yes, I Understand this is gonna happen everywhere")</f>
        <v>Yes, I Understand this is gonna happen everywhere</v>
      </c>
      <c r="R2171" s="1" t="str">
        <f ca="1">IFERROR(__xludf.DUMMYFUNCTION("""COMPUTED_VALUE"""),"This will be hard to do, but if it is the right company I would try")</f>
        <v>This will be hard to do, but if it is the right company I would try</v>
      </c>
      <c r="S2171" s="1" t="str">
        <f ca="1">IFERROR(__xludf.DUMMYFUNCTION("""COMPUTED_VALUE"""),"pranjalchavan15@gmail.com")</f>
        <v>pranjalchavan15@gmail.com</v>
      </c>
    </row>
    <row r="2172" spans="1:19" ht="12.5" x14ac:dyDescent="0.25">
      <c r="A2172" s="2">
        <f ca="1">IFERROR(__xludf.DUMMYFUNCTION("""COMPUTED_VALUE"""),45063.6710466666)</f>
        <v>45063.671046666597</v>
      </c>
      <c r="B2172" s="1" t="str">
        <f ca="1">IFERROR(__xludf.DUMMYFUNCTION("""COMPUTED_VALUE"""),"India")</f>
        <v>India</v>
      </c>
      <c r="C2172" s="1">
        <f ca="1">IFERROR(__xludf.DUMMYFUNCTION("""COMPUTED_VALUE"""),421301)</f>
        <v>421301</v>
      </c>
      <c r="D2172" s="1" t="str">
        <f ca="1">IFERROR(__xludf.DUMMYFUNCTION("""COMPUTED_VALUE"""),"Female")</f>
        <v>Female</v>
      </c>
      <c r="E2172" s="1" t="str">
        <f ca="1">IFERROR(__xludf.DUMMYFUNCTION("""COMPUTED_VALUE"""),"My Parents")</f>
        <v>My Parents</v>
      </c>
      <c r="F2172" s="1" t="str">
        <f ca="1">IFERROR(__xludf.DUMMYFUNCTION("""COMPUTED_VALUE"""),"Yes, I will earn and do that")</f>
        <v>Yes, I will earn and do that</v>
      </c>
      <c r="G2172" s="1" t="str">
        <f ca="1">IFERROR(__xludf.DUMMYFUNCTION("""COMPUTED_VALUE"""),"This will be hard to do, but if it is the right company I would try")</f>
        <v>This will be hard to do, but if it is the right company I would try</v>
      </c>
      <c r="H2172" s="1" t="str">
        <f ca="1">IFERROR(__xludf.DUMMYFUNCTION("""COMPUTED_VALUE"""),"No")</f>
        <v>No</v>
      </c>
      <c r="I2172" s="1" t="str">
        <f ca="1">IFERROR(__xludf.DUMMYFUNCTION("""COMPUTED_VALUE"""),"Will work for them")</f>
        <v>Will work for them</v>
      </c>
      <c r="J2172" s="1">
        <f ca="1">IFERROR(__xludf.DUMMYFUNCTION("""COMPUTED_VALUE"""),5)</f>
        <v>5</v>
      </c>
      <c r="K2172" s="1" t="str">
        <f ca="1">IFERROR(__xludf.DUMMYFUNCTION("""COMPUTED_VALUE"""),"Hybrid Working Environment with less than 3 days a month at office")</f>
        <v>Hybrid Working Environment with less than 3 days a month at office</v>
      </c>
      <c r="L2172" s="1" t="str">
        <f ca="1">IFERROR(__xludf.DUMMYFUNCTION("""COMPUTED_VALUE"""),"Employer who appreciates learning and enables that environment")</f>
        <v>Employer who appreciates learning and enables that environment</v>
      </c>
      <c r="M217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72" s="1" t="str">
        <f ca="1">IFERROR(__xludf.DUMMYFUNCTION("""COMPUTED_VALUE"""),"Business Operations in any organization, Build and develop a Team, Design and Develop amazing software, Entrepreneur or Start Up")</f>
        <v>Business Operations in any organization, Build and develop a Team, Design and Develop amazing software, Entrepreneur or Start Up</v>
      </c>
      <c r="O2172" s="1" t="str">
        <f ca="1">IFERROR(__xludf.DUMMYFUNCTION("""COMPUTED_VALUE"""),"Manager who sets goal and helps me achieve it")</f>
        <v>Manager who sets goal and helps me achieve it</v>
      </c>
      <c r="P2172" s="1" t="str">
        <f ca="1">IFERROR(__xludf.DUMMYFUNCTION("""COMPUTED_VALUE"""),"Work with 2 to 3 people in my team")</f>
        <v>Work with 2 to 3 people in my team</v>
      </c>
      <c r="Q2172" s="1" t="str">
        <f ca="1">IFERROR(__xludf.DUMMYFUNCTION("""COMPUTED_VALUE"""),"No")</f>
        <v>No</v>
      </c>
      <c r="R2172" s="1" t="str">
        <f ca="1">IFERROR(__xludf.DUMMYFUNCTION("""COMPUTED_VALUE"""),"No way")</f>
        <v>No way</v>
      </c>
      <c r="S2172" s="1" t="str">
        <f ca="1">IFERROR(__xludf.DUMMYFUNCTION("""COMPUTED_VALUE"""),"prajaktarokade20@gmail.com")</f>
        <v>prajaktarokade20@gmail.com</v>
      </c>
    </row>
    <row r="2173" spans="1:19" ht="12.5" x14ac:dyDescent="0.25">
      <c r="A2173" s="2">
        <f ca="1">IFERROR(__xludf.DUMMYFUNCTION("""COMPUTED_VALUE"""),45063.6739764814)</f>
        <v>45063.673976481397</v>
      </c>
      <c r="B2173" s="1" t="str">
        <f ca="1">IFERROR(__xludf.DUMMYFUNCTION("""COMPUTED_VALUE"""),"India")</f>
        <v>India</v>
      </c>
      <c r="C2173" s="1">
        <f ca="1">IFERROR(__xludf.DUMMYFUNCTION("""COMPUTED_VALUE"""),400097)</f>
        <v>400097</v>
      </c>
      <c r="D2173" s="1" t="str">
        <f ca="1">IFERROR(__xludf.DUMMYFUNCTION("""COMPUTED_VALUE"""),"Male")</f>
        <v>Male</v>
      </c>
      <c r="E2173" s="1" t="str">
        <f ca="1">IFERROR(__xludf.DUMMYFUNCTION("""COMPUTED_VALUE"""),"My Parents")</f>
        <v>My Parents</v>
      </c>
      <c r="F2173" s="1" t="str">
        <f ca="1">IFERROR(__xludf.DUMMYFUNCTION("""COMPUTED_VALUE"""),"No I would not be pursuing Higher Education outside of India")</f>
        <v>No I would not be pursuing Higher Education outside of India</v>
      </c>
      <c r="G2173" s="1" t="str">
        <f ca="1">IFERROR(__xludf.DUMMYFUNCTION("""COMPUTED_VALUE"""),"This will be hard to do, but if it is the right company I would try")</f>
        <v>This will be hard to do, but if it is the right company I would try</v>
      </c>
      <c r="H2173" s="1" t="str">
        <f ca="1">IFERROR(__xludf.DUMMYFUNCTION("""COMPUTED_VALUE"""),"No")</f>
        <v>No</v>
      </c>
      <c r="I2173" s="1" t="str">
        <f ca="1">IFERROR(__xludf.DUMMYFUNCTION("""COMPUTED_VALUE"""),"Will work for them")</f>
        <v>Will work for them</v>
      </c>
      <c r="J2173" s="1">
        <f ca="1">IFERROR(__xludf.DUMMYFUNCTION("""COMPUTED_VALUE"""),5)</f>
        <v>5</v>
      </c>
      <c r="K2173" s="1" t="str">
        <f ca="1">IFERROR(__xludf.DUMMYFUNCTION("""COMPUTED_VALUE"""),"Hybrid Working Environment with more than 15 days a month at office")</f>
        <v>Hybrid Working Environment with more than 15 days a month at office</v>
      </c>
      <c r="L21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7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73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2173" s="1" t="str">
        <f ca="1">IFERROR(__xludf.DUMMYFUNCTION("""COMPUTED_VALUE"""),"Manager who sets targets and expects me to achieve it")</f>
        <v>Manager who sets targets and expects me to achieve it</v>
      </c>
      <c r="P2173" s="1" t="str">
        <f ca="1">IFERROR(__xludf.DUMMYFUNCTION("""COMPUTED_VALUE"""),"Work with 2 to 3 people in my team, Work with 5 to 6 people in my team")</f>
        <v>Work with 2 to 3 people in my team, Work with 5 to 6 people in my team</v>
      </c>
      <c r="Q2173" s="1" t="str">
        <f ca="1">IFERROR(__xludf.DUMMYFUNCTION("""COMPUTED_VALUE"""),"Yes, I Understand this is gonna happen everywhere")</f>
        <v>Yes, I Understand this is gonna happen everywhere</v>
      </c>
      <c r="R2173" s="1" t="str">
        <f ca="1">IFERROR(__xludf.DUMMYFUNCTION("""COMPUTED_VALUE"""),"No way")</f>
        <v>No way</v>
      </c>
      <c r="S2173" s="1" t="str">
        <f ca="1">IFERROR(__xludf.DUMMYFUNCTION("""COMPUTED_VALUE"""),"ypednekar953@gmail.com")</f>
        <v>ypednekar953@gmail.com</v>
      </c>
    </row>
    <row r="2174" spans="1:19" ht="12.5" x14ac:dyDescent="0.25">
      <c r="A2174" s="2">
        <f ca="1">IFERROR(__xludf.DUMMYFUNCTION("""COMPUTED_VALUE"""),45063.6751556944)</f>
        <v>45063.6751556944</v>
      </c>
      <c r="B2174" s="1" t="str">
        <f ca="1">IFERROR(__xludf.DUMMYFUNCTION("""COMPUTED_VALUE"""),"India")</f>
        <v>India</v>
      </c>
      <c r="C2174" s="1">
        <f ca="1">IFERROR(__xludf.DUMMYFUNCTION("""COMPUTED_VALUE"""),440023)</f>
        <v>440023</v>
      </c>
      <c r="D2174" s="1" t="str">
        <f ca="1">IFERROR(__xludf.DUMMYFUNCTION("""COMPUTED_VALUE"""),"Male")</f>
        <v>Male</v>
      </c>
      <c r="E2174" s="1" t="str">
        <f ca="1">IFERROR(__xludf.DUMMYFUNCTION("""COMPUTED_VALUE"""),"My Parents")</f>
        <v>My Parents</v>
      </c>
      <c r="F2174" s="1" t="str">
        <f ca="1">IFERROR(__xludf.DUMMYFUNCTION("""COMPUTED_VALUE"""),"No, But if someone could bare the cost I will")</f>
        <v>No, But if someone could bare the cost I will</v>
      </c>
      <c r="G2174" s="1" t="str">
        <f ca="1">IFERROR(__xludf.DUMMYFUNCTION("""COMPUTED_VALUE"""),"Will work for 3 years or more")</f>
        <v>Will work for 3 years or more</v>
      </c>
      <c r="H2174" s="1" t="str">
        <f ca="1">IFERROR(__xludf.DUMMYFUNCTION("""COMPUTED_VALUE"""),"No")</f>
        <v>No</v>
      </c>
      <c r="I2174" s="1" t="str">
        <f ca="1">IFERROR(__xludf.DUMMYFUNCTION("""COMPUTED_VALUE"""),"Will NOT work for them")</f>
        <v>Will NOT work for them</v>
      </c>
      <c r="J2174" s="1">
        <f ca="1">IFERROR(__xludf.DUMMYFUNCTION("""COMPUTED_VALUE"""),5)</f>
        <v>5</v>
      </c>
      <c r="K2174" s="1" t="str">
        <f ca="1">IFERROR(__xludf.DUMMYFUNCTION("""COMPUTED_VALUE"""),"Every Day Office Environment")</f>
        <v>Every Day Office Environment</v>
      </c>
      <c r="L21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7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74" s="1" t="str">
        <f ca="1">IFERROR(__xludf.DUMMYFUNCTION("""COMPUTED_VALUE"""),"Build and develop a Team, Design and Develop amazing software, Look deeply into Data and generate insights, Work as a freelancer and do my thing my way")</f>
        <v>Build and develop a Team, Design and Develop amazing software, Look deeply into Data and generate insights, Work as a freelancer and do my thing my way</v>
      </c>
      <c r="O2174" s="1" t="str">
        <f ca="1">IFERROR(__xludf.DUMMYFUNCTION("""COMPUTED_VALUE"""),"Manager who sets goal and helps me achieve it")</f>
        <v>Manager who sets goal and helps me achieve it</v>
      </c>
      <c r="P2174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174" s="1" t="str">
        <f ca="1">IFERROR(__xludf.DUMMYFUNCTION("""COMPUTED_VALUE"""),"Yes, I Understand this is gonna happen everywhere")</f>
        <v>Yes, I Understand this is gonna happen everywhere</v>
      </c>
      <c r="R2174" s="1" t="str">
        <f ca="1">IFERROR(__xludf.DUMMYFUNCTION("""COMPUTED_VALUE"""),"Will work for 7 years or more")</f>
        <v>Will work for 7 years or more</v>
      </c>
      <c r="S2174" s="1" t="str">
        <f ca="1">IFERROR(__xludf.DUMMYFUNCTION("""COMPUTED_VALUE"""),"vedantraut012@gmail.com")</f>
        <v>vedantraut012@gmail.com</v>
      </c>
    </row>
    <row r="2175" spans="1:19" ht="12.5" x14ac:dyDescent="0.25">
      <c r="A2175" s="2">
        <f ca="1">IFERROR(__xludf.DUMMYFUNCTION("""COMPUTED_VALUE"""),45063.6789399421)</f>
        <v>45063.678939942103</v>
      </c>
      <c r="B2175" s="1" t="str">
        <f ca="1">IFERROR(__xludf.DUMMYFUNCTION("""COMPUTED_VALUE"""),"India")</f>
        <v>India</v>
      </c>
      <c r="C2175" s="1">
        <f ca="1">IFERROR(__xludf.DUMMYFUNCTION("""COMPUTED_VALUE"""),474001)</f>
        <v>474001</v>
      </c>
      <c r="D2175" s="1" t="str">
        <f ca="1">IFERROR(__xludf.DUMMYFUNCTION("""COMPUTED_VALUE"""),"Female")</f>
        <v>Female</v>
      </c>
      <c r="E2175" s="1" t="str">
        <f ca="1">IFERROR(__xludf.DUMMYFUNCTION("""COMPUTED_VALUE"""),"People who have changed the world for better")</f>
        <v>People who have changed the world for better</v>
      </c>
      <c r="F2175" s="1" t="str">
        <f ca="1">IFERROR(__xludf.DUMMYFUNCTION("""COMPUTED_VALUE"""),"No, But if someone could bare the cost I will")</f>
        <v>No, But if someone could bare the cost I will</v>
      </c>
      <c r="G2175" s="1" t="str">
        <f ca="1">IFERROR(__xludf.DUMMYFUNCTION("""COMPUTED_VALUE"""),"This will be hard to do, but if it is the right company I would try")</f>
        <v>This will be hard to do, but if it is the right company I would try</v>
      </c>
      <c r="H2175" s="1" t="str">
        <f ca="1">IFERROR(__xludf.DUMMYFUNCTION("""COMPUTED_VALUE"""),"No")</f>
        <v>No</v>
      </c>
      <c r="I2175" s="1" t="str">
        <f ca="1">IFERROR(__xludf.DUMMYFUNCTION("""COMPUTED_VALUE"""),"Will NOT work for them")</f>
        <v>Will NOT work for them</v>
      </c>
      <c r="J2175" s="1">
        <f ca="1">IFERROR(__xludf.DUMMYFUNCTION("""COMPUTED_VALUE"""),1)</f>
        <v>1</v>
      </c>
      <c r="K2175" s="1" t="str">
        <f ca="1">IFERROR(__xludf.DUMMYFUNCTION("""COMPUTED_VALUE"""),"Fully Remote with Options to travel as and when needed")</f>
        <v>Fully Remote with Options to travel as and when needed</v>
      </c>
      <c r="L21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7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75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2175" s="1" t="str">
        <f ca="1">IFERROR(__xludf.DUMMYFUNCTION("""COMPUTED_VALUE"""),"Manager who explains what is expected, sets a goal and helps achieve it")</f>
        <v>Manager who explains what is expected, sets a goal and helps achieve it</v>
      </c>
      <c r="P2175" s="1" t="str">
        <f ca="1">IFERROR(__xludf.DUMMYFUNCTION("""COMPUTED_VALUE"""),"Work with 5 to 6 people in my team")</f>
        <v>Work with 5 to 6 people in my team</v>
      </c>
      <c r="Q2175" s="1" t="str">
        <f ca="1">IFERROR(__xludf.DUMMYFUNCTION("""COMPUTED_VALUE"""),"Yes, I Understand this is gonna happen everywhere")</f>
        <v>Yes, I Understand this is gonna happen everywhere</v>
      </c>
      <c r="R2175" s="1" t="str">
        <f ca="1">IFERROR(__xludf.DUMMYFUNCTION("""COMPUTED_VALUE"""),"No way")</f>
        <v>No way</v>
      </c>
      <c r="S2175" s="1" t="str">
        <f ca="1">IFERROR(__xludf.DUMMYFUNCTION("""COMPUTED_VALUE"""),"shreya080698@gmail.com")</f>
        <v>shreya080698@gmail.com</v>
      </c>
    </row>
    <row r="2176" spans="1:19" ht="12.5" x14ac:dyDescent="0.25">
      <c r="A2176" s="2">
        <f ca="1">IFERROR(__xludf.DUMMYFUNCTION("""COMPUTED_VALUE"""),45063.6843777893)</f>
        <v>45063.684377789301</v>
      </c>
      <c r="B2176" s="1" t="str">
        <f ca="1">IFERROR(__xludf.DUMMYFUNCTION("""COMPUTED_VALUE"""),"India")</f>
        <v>India</v>
      </c>
      <c r="C2176" s="1">
        <f ca="1">IFERROR(__xludf.DUMMYFUNCTION("""COMPUTED_VALUE"""),421506)</f>
        <v>421506</v>
      </c>
      <c r="D2176" s="1" t="str">
        <f ca="1">IFERROR(__xludf.DUMMYFUNCTION("""COMPUTED_VALUE"""),"Female")</f>
        <v>Female</v>
      </c>
      <c r="E2176" s="1" t="str">
        <f ca="1">IFERROR(__xludf.DUMMYFUNCTION("""COMPUTED_VALUE"""),"Influencers who had successful careers")</f>
        <v>Influencers who had successful careers</v>
      </c>
      <c r="F2176" s="1" t="str">
        <f ca="1">IFERROR(__xludf.DUMMYFUNCTION("""COMPUTED_VALUE"""),"No, But if someone could bare the cost I will")</f>
        <v>No, But if someone could bare the cost I will</v>
      </c>
      <c r="G2176" s="1" t="str">
        <f ca="1">IFERROR(__xludf.DUMMYFUNCTION("""COMPUTED_VALUE"""),"This will be hard to do, but if it is the right company I would try")</f>
        <v>This will be hard to do, but if it is the right company I would try</v>
      </c>
      <c r="H2176" s="1" t="str">
        <f ca="1">IFERROR(__xludf.DUMMYFUNCTION("""COMPUTED_VALUE"""),"No")</f>
        <v>No</v>
      </c>
      <c r="I2176" s="1" t="str">
        <f ca="1">IFERROR(__xludf.DUMMYFUNCTION("""COMPUTED_VALUE"""),"Will NOT work for them")</f>
        <v>Will NOT work for them</v>
      </c>
      <c r="J2176" s="1">
        <f ca="1">IFERROR(__xludf.DUMMYFUNCTION("""COMPUTED_VALUE"""),5)</f>
        <v>5</v>
      </c>
      <c r="K2176" s="1" t="str">
        <f ca="1">IFERROR(__xludf.DUMMYFUNCTION("""COMPUTED_VALUE"""),"Fully Remote with Options to travel as and when needed")</f>
        <v>Fully Remote with Options to travel as and when needed</v>
      </c>
      <c r="L2176" s="1" t="str">
        <f ca="1">IFERROR(__xludf.DUMMYFUNCTION("""COMPUTED_VALUE"""),"Employer who rewards learning and enables that environment")</f>
        <v>Employer who rewards learning and enables that environment</v>
      </c>
      <c r="M217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76" s="1" t="str">
        <f ca="1">IFERROR(__xludf.DUMMYFUNCTION("""COMPUTED_VALUE"""),"Design and Creative strategy in any company, Teaching in any of the institutes/colleges/online or offline, Business Operations in any organization, Work as a freelancer and do my thing my way")</f>
        <v>Design and Creative strategy in any company, Teaching in any of the institutes/colleges/online or offline, Business Operations in any organization, Work as a freelancer and do my thing my way</v>
      </c>
      <c r="O2176" s="1" t="str">
        <f ca="1">IFERROR(__xludf.DUMMYFUNCTION("""COMPUTED_VALUE"""),"Manager who clearly describes what she/he needs")</f>
        <v>Manager who clearly describes what she/he needs</v>
      </c>
      <c r="P2176" s="1" t="str">
        <f ca="1">IFERROR(__xludf.DUMMYFUNCTION("""COMPUTED_VALUE"""),"Work with 5 to 6 people in my team")</f>
        <v>Work with 5 to 6 people in my team</v>
      </c>
      <c r="Q2176" s="1" t="str">
        <f ca="1">IFERROR(__xludf.DUMMYFUNCTION("""COMPUTED_VALUE"""),"Yes, I Understand this is gonna happen everywhere")</f>
        <v>Yes, I Understand this is gonna happen everywhere</v>
      </c>
      <c r="R2176" s="1" t="str">
        <f ca="1">IFERROR(__xludf.DUMMYFUNCTION("""COMPUTED_VALUE"""),"This will be hard to do, but if it is the right company I would try")</f>
        <v>This will be hard to do, but if it is the right company I would try</v>
      </c>
      <c r="S2176" s="1" t="str">
        <f ca="1">IFERROR(__xludf.DUMMYFUNCTION("""COMPUTED_VALUE"""),"abigailalvares20051@gmail.com")</f>
        <v>abigailalvares20051@gmail.com</v>
      </c>
    </row>
    <row r="2177" spans="1:19" ht="12.5" x14ac:dyDescent="0.25">
      <c r="A2177" s="2">
        <f ca="1">IFERROR(__xludf.DUMMYFUNCTION("""COMPUTED_VALUE"""),45063.6873759953)</f>
        <v>45063.687375995301</v>
      </c>
      <c r="B2177" s="1" t="str">
        <f ca="1">IFERROR(__xludf.DUMMYFUNCTION("""COMPUTED_VALUE"""),"India")</f>
        <v>India</v>
      </c>
      <c r="C2177" s="1">
        <f ca="1">IFERROR(__xludf.DUMMYFUNCTION("""COMPUTED_VALUE"""),421306)</f>
        <v>421306</v>
      </c>
      <c r="D2177" s="1" t="str">
        <f ca="1">IFERROR(__xludf.DUMMYFUNCTION("""COMPUTED_VALUE"""),"Male")</f>
        <v>Male</v>
      </c>
      <c r="E2177" s="1" t="str">
        <f ca="1">IFERROR(__xludf.DUMMYFUNCTION("""COMPUTED_VALUE"""),"My Parents")</f>
        <v>My Parents</v>
      </c>
      <c r="F2177" s="1" t="str">
        <f ca="1">IFERROR(__xludf.DUMMYFUNCTION("""COMPUTED_VALUE"""),"No I would not be pursuing Higher Education outside of India")</f>
        <v>No I would not be pursuing Higher Education outside of India</v>
      </c>
      <c r="G2177" s="1" t="str">
        <f ca="1">IFERROR(__xludf.DUMMYFUNCTION("""COMPUTED_VALUE"""),"This will be hard to do, but if it is the right company I would try")</f>
        <v>This will be hard to do, but if it is the right company I would try</v>
      </c>
      <c r="H2177" s="1" t="str">
        <f ca="1">IFERROR(__xludf.DUMMYFUNCTION("""COMPUTED_VALUE"""),"No")</f>
        <v>No</v>
      </c>
      <c r="I2177" s="1" t="str">
        <f ca="1">IFERROR(__xludf.DUMMYFUNCTION("""COMPUTED_VALUE"""),"Will work for them")</f>
        <v>Will work for them</v>
      </c>
      <c r="J2177" s="1">
        <f ca="1">IFERROR(__xludf.DUMMYFUNCTION("""COMPUTED_VALUE"""),7)</f>
        <v>7</v>
      </c>
      <c r="K2177" s="1" t="str">
        <f ca="1">IFERROR(__xludf.DUMMYFUNCTION("""COMPUTED_VALUE"""),"Hybrid Working Environment with more than 15 days a month at office")</f>
        <v>Hybrid Working Environment with more than 15 days a month at office</v>
      </c>
      <c r="L21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7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77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217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77" s="1" t="str">
        <f ca="1">IFERROR(__xludf.DUMMYFUNCTION("""COMPUTED_VALUE"""),"Work with 2 to 3 people in my team")</f>
        <v>Work with 2 to 3 people in my team</v>
      </c>
      <c r="Q2177" s="1" t="str">
        <f ca="1">IFERROR(__xludf.DUMMYFUNCTION("""COMPUTED_VALUE"""),"Yes")</f>
        <v>Yes</v>
      </c>
      <c r="R2177" s="1" t="str">
        <f ca="1">IFERROR(__xludf.DUMMYFUNCTION("""COMPUTED_VALUE"""),"No way")</f>
        <v>No way</v>
      </c>
      <c r="S2177" s="1" t="str">
        <f ca="1">IFERROR(__xludf.DUMMYFUNCTION("""COMPUTED_VALUE"""),"shubhamdalvi152@gmail.com")</f>
        <v>shubhamdalvi152@gmail.com</v>
      </c>
    </row>
    <row r="2178" spans="1:19" ht="12.5" x14ac:dyDescent="0.25">
      <c r="A2178" s="2">
        <f ca="1">IFERROR(__xludf.DUMMYFUNCTION("""COMPUTED_VALUE"""),45063.6930538773)</f>
        <v>45063.693053877301</v>
      </c>
      <c r="B2178" s="1" t="str">
        <f ca="1">IFERROR(__xludf.DUMMYFUNCTION("""COMPUTED_VALUE"""),"India")</f>
        <v>India</v>
      </c>
      <c r="C2178" s="1">
        <f ca="1">IFERROR(__xludf.DUMMYFUNCTION("""COMPUTED_VALUE"""),400091)</f>
        <v>400091</v>
      </c>
      <c r="D2178" s="1" t="str">
        <f ca="1">IFERROR(__xludf.DUMMYFUNCTION("""COMPUTED_VALUE"""),"Male")</f>
        <v>Male</v>
      </c>
      <c r="E2178" s="1" t="str">
        <f ca="1">IFERROR(__xludf.DUMMYFUNCTION("""COMPUTED_VALUE"""),"Social Media like LinkedIn")</f>
        <v>Social Media like LinkedIn</v>
      </c>
      <c r="F2178" s="1" t="str">
        <f ca="1">IFERROR(__xludf.DUMMYFUNCTION("""COMPUTED_VALUE"""),"No I would not be pursuing Higher Education outside of India")</f>
        <v>No I would not be pursuing Higher Education outside of India</v>
      </c>
      <c r="G2178" s="1" t="str">
        <f ca="1">IFERROR(__xludf.DUMMYFUNCTION("""COMPUTED_VALUE"""),"Will work for 3 years or more")</f>
        <v>Will work for 3 years or more</v>
      </c>
      <c r="H2178" s="1" t="str">
        <f ca="1">IFERROR(__xludf.DUMMYFUNCTION("""COMPUTED_VALUE"""),"No")</f>
        <v>No</v>
      </c>
      <c r="I2178" s="1" t="str">
        <f ca="1">IFERROR(__xludf.DUMMYFUNCTION("""COMPUTED_VALUE"""),"Will NOT work for them")</f>
        <v>Will NOT work for them</v>
      </c>
      <c r="J2178" s="1">
        <f ca="1">IFERROR(__xludf.DUMMYFUNCTION("""COMPUTED_VALUE"""),6)</f>
        <v>6</v>
      </c>
      <c r="K2178" s="1" t="str">
        <f ca="1">IFERROR(__xludf.DUMMYFUNCTION("""COMPUTED_VALUE"""),"Every Day Office Environment")</f>
        <v>Every Day Office Environment</v>
      </c>
      <c r="L21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7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78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2178" s="1" t="str">
        <f ca="1">IFERROR(__xludf.DUMMYFUNCTION("""COMPUTED_VALUE"""),"Manager who sets goal and helps me achieve it")</f>
        <v>Manager who sets goal and helps me achieve it</v>
      </c>
      <c r="P217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178" s="1" t="str">
        <f ca="1">IFERROR(__xludf.DUMMYFUNCTION("""COMPUTED_VALUE"""),"Yes, I Understand this is gonna happen everywhere")</f>
        <v>Yes, I Understand this is gonna happen everywhere</v>
      </c>
      <c r="R2178" s="1" t="str">
        <f ca="1">IFERROR(__xludf.DUMMYFUNCTION("""COMPUTED_VALUE"""),"This will be hard to do, but if it is the right company I would try")</f>
        <v>This will be hard to do, but if it is the right company I would try</v>
      </c>
      <c r="S2178" s="1" t="str">
        <f ca="1">IFERROR(__xludf.DUMMYFUNCTION("""COMPUTED_VALUE"""),"bhavinnor13@gmail.com")</f>
        <v>bhavinnor13@gmail.com</v>
      </c>
    </row>
    <row r="2179" spans="1:19" ht="12.5" x14ac:dyDescent="0.25">
      <c r="A2179" s="2">
        <f ca="1">IFERROR(__xludf.DUMMYFUNCTION("""COMPUTED_VALUE"""),45063.6984911574)</f>
        <v>45063.698491157404</v>
      </c>
      <c r="B2179" s="1" t="str">
        <f ca="1">IFERROR(__xludf.DUMMYFUNCTION("""COMPUTED_VALUE"""),"India")</f>
        <v>India</v>
      </c>
      <c r="C2179" s="1">
        <f ca="1">IFERROR(__xludf.DUMMYFUNCTION("""COMPUTED_VALUE"""),400078)</f>
        <v>400078</v>
      </c>
      <c r="D2179" s="1" t="str">
        <f ca="1">IFERROR(__xludf.DUMMYFUNCTION("""COMPUTED_VALUE"""),"Male")</f>
        <v>Male</v>
      </c>
      <c r="E2179" s="1" t="str">
        <f ca="1">IFERROR(__xludf.DUMMYFUNCTION("""COMPUTED_VALUE"""),"My Parents")</f>
        <v>My Parents</v>
      </c>
      <c r="F2179" s="1" t="str">
        <f ca="1">IFERROR(__xludf.DUMMYFUNCTION("""COMPUTED_VALUE"""),"No I would not be pursuing Higher Education outside of India")</f>
        <v>No I would not be pursuing Higher Education outside of India</v>
      </c>
      <c r="G2179" s="1" t="str">
        <f ca="1">IFERROR(__xludf.DUMMYFUNCTION("""COMPUTED_VALUE"""),"Will work for 3 years or more")</f>
        <v>Will work for 3 years or more</v>
      </c>
      <c r="H2179" s="1" t="str">
        <f ca="1">IFERROR(__xludf.DUMMYFUNCTION("""COMPUTED_VALUE"""),"Yes")</f>
        <v>Yes</v>
      </c>
      <c r="I2179" s="1" t="str">
        <f ca="1">IFERROR(__xludf.DUMMYFUNCTION("""COMPUTED_VALUE"""),"Will NOT work for them")</f>
        <v>Will NOT work for them</v>
      </c>
      <c r="J2179" s="1">
        <f ca="1">IFERROR(__xludf.DUMMYFUNCTION("""COMPUTED_VALUE"""),1)</f>
        <v>1</v>
      </c>
      <c r="K2179" s="1" t="str">
        <f ca="1">IFERROR(__xludf.DUMMYFUNCTION("""COMPUTED_VALUE"""),"Every Day Office Environment")</f>
        <v>Every Day Office Environment</v>
      </c>
      <c r="L2179" s="1" t="str">
        <f ca="1">IFERROR(__xludf.DUMMYFUNCTION("""COMPUTED_VALUE"""),"Employer who rewards learning and enables that environment")</f>
        <v>Employer who rewards learning and enables that environment</v>
      </c>
      <c r="M2179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179" s="1" t="str">
        <f ca="1">IFERROR(__xludf.DUMMYFUNCTION("""COMPUTED_VALUE"""),"Design and Creative strategy in any company, Business Operations in any organization, Build and develop a Team, I Want to sell things/Sales")</f>
        <v>Design and Creative strategy in any company, Business Operations in any organization, Build and develop a Team, I Want to sell things/Sales</v>
      </c>
      <c r="O2179" s="1" t="str">
        <f ca="1">IFERROR(__xludf.DUMMYFUNCTION("""COMPUTED_VALUE"""),"Manager who clearly describes what she/he needs")</f>
        <v>Manager who clearly describes what she/he needs</v>
      </c>
      <c r="P2179" s="1" t="str">
        <f ca="1">IFERROR(__xludf.DUMMYFUNCTION("""COMPUTED_VALUE"""),"Work with more than 10 people in my team")</f>
        <v>Work with more than 10 people in my team</v>
      </c>
      <c r="Q2179" s="1" t="str">
        <f ca="1">IFERROR(__xludf.DUMMYFUNCTION("""COMPUTED_VALUE"""),"I have NO other choice")</f>
        <v>I have NO other choice</v>
      </c>
      <c r="R2179" s="1" t="str">
        <f ca="1">IFERROR(__xludf.DUMMYFUNCTION("""COMPUTED_VALUE"""),"Will work for 7 years or more")</f>
        <v>Will work for 7 years or more</v>
      </c>
      <c r="S2179" s="1" t="str">
        <f ca="1">IFERROR(__xludf.DUMMYFUNCTION("""COMPUTED_VALUE"""),"sankeysh123@gmail.com")</f>
        <v>sankeysh123@gmail.com</v>
      </c>
    </row>
    <row r="2180" spans="1:19" ht="12.5" x14ac:dyDescent="0.25">
      <c r="A2180" s="2">
        <f ca="1">IFERROR(__xludf.DUMMYFUNCTION("""COMPUTED_VALUE"""),45063.7011089583)</f>
        <v>45063.701108958303</v>
      </c>
      <c r="B2180" s="1" t="str">
        <f ca="1">IFERROR(__xludf.DUMMYFUNCTION("""COMPUTED_VALUE"""),"India")</f>
        <v>India</v>
      </c>
      <c r="C2180" s="1">
        <f ca="1">IFERROR(__xludf.DUMMYFUNCTION("""COMPUTED_VALUE"""),416606)</f>
        <v>416606</v>
      </c>
      <c r="D2180" s="1" t="str">
        <f ca="1">IFERROR(__xludf.DUMMYFUNCTION("""COMPUTED_VALUE"""),"Male")</f>
        <v>Male</v>
      </c>
      <c r="E2180" s="1" t="str">
        <f ca="1">IFERROR(__xludf.DUMMYFUNCTION("""COMPUTED_VALUE"""),"Social Media like LinkedIn")</f>
        <v>Social Media like LinkedIn</v>
      </c>
      <c r="F2180" s="1" t="str">
        <f ca="1">IFERROR(__xludf.DUMMYFUNCTION("""COMPUTED_VALUE"""),"Yes, I will earn and do that")</f>
        <v>Yes, I will earn and do that</v>
      </c>
      <c r="G2180" s="1" t="str">
        <f ca="1">IFERROR(__xludf.DUMMYFUNCTION("""COMPUTED_VALUE"""),"This will be hard to do, but if it is the right company I would try")</f>
        <v>This will be hard to do, but if it is the right company I would try</v>
      </c>
      <c r="H2180" s="1" t="str">
        <f ca="1">IFERROR(__xludf.DUMMYFUNCTION("""COMPUTED_VALUE"""),"Yes")</f>
        <v>Yes</v>
      </c>
      <c r="I2180" s="1" t="str">
        <f ca="1">IFERROR(__xludf.DUMMYFUNCTION("""COMPUTED_VALUE"""),"Will work for them")</f>
        <v>Will work for them</v>
      </c>
      <c r="J2180" s="1">
        <f ca="1">IFERROR(__xludf.DUMMYFUNCTION("""COMPUTED_VALUE"""),1)</f>
        <v>1</v>
      </c>
      <c r="K2180" s="1" t="str">
        <f ca="1">IFERROR(__xludf.DUMMYFUNCTION("""COMPUTED_VALUE"""),"Fully Remote with Options to travel as and when needed")</f>
        <v>Fully Remote with Options to travel as and when needed</v>
      </c>
      <c r="L2180" s="1" t="str">
        <f ca="1">IFERROR(__xludf.DUMMYFUNCTION("""COMPUTED_VALUE"""),"Employer who rewards learning and enables that environment")</f>
        <v>Employer who rewards learning and enables that environment</v>
      </c>
      <c r="M218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180" s="1" t="str">
        <f ca="1">IFERROR(__xludf.DUMMYFUNCTION("""COMPUTED_VALUE"""),"Build and develop a Team, Design and Develop amazing software, Become a content Creator in some platform, An Artificial Intelligence Specialist / Talking to Robots")</f>
        <v>Build and develop a Team, Design and Develop amazing software, Become a content Creator in some platform, An Artificial Intelligence Specialist / Talking to Robots</v>
      </c>
      <c r="O2180" s="1" t="str">
        <f ca="1">IFERROR(__xludf.DUMMYFUNCTION("""COMPUTED_VALUE"""),"Manager who sets targets and expects me to achieve it")</f>
        <v>Manager who sets targets and expects me to achieve it</v>
      </c>
      <c r="P2180" s="1" t="str">
        <f ca="1">IFERROR(__xludf.DUMMYFUNCTION("""COMPUTED_VALUE"""),"Work with 5 to 6 people in my team")</f>
        <v>Work with 5 to 6 people in my team</v>
      </c>
      <c r="Q2180" s="1" t="str">
        <f ca="1">IFERROR(__xludf.DUMMYFUNCTION("""COMPUTED_VALUE"""),"Yes")</f>
        <v>Yes</v>
      </c>
      <c r="R2180" s="1" t="str">
        <f ca="1">IFERROR(__xludf.DUMMYFUNCTION("""COMPUTED_VALUE"""),"No way")</f>
        <v>No way</v>
      </c>
      <c r="S2180" s="1" t="str">
        <f ca="1">IFERROR(__xludf.DUMMYFUNCTION("""COMPUTED_VALUE"""),"kambliharsh727@gmail.com")</f>
        <v>kambliharsh727@gmail.com</v>
      </c>
    </row>
    <row r="2181" spans="1:19" ht="12.5" x14ac:dyDescent="0.25">
      <c r="A2181" s="2">
        <f ca="1">IFERROR(__xludf.DUMMYFUNCTION("""COMPUTED_VALUE"""),45063.7064264004)</f>
        <v>45063.7064264004</v>
      </c>
      <c r="B2181" s="1" t="str">
        <f ca="1">IFERROR(__xludf.DUMMYFUNCTION("""COMPUTED_VALUE"""),"India")</f>
        <v>India</v>
      </c>
      <c r="C2181" s="1">
        <f ca="1">IFERROR(__xludf.DUMMYFUNCTION("""COMPUTED_VALUE"""),444607)</f>
        <v>444607</v>
      </c>
      <c r="D2181" s="1" t="str">
        <f ca="1">IFERROR(__xludf.DUMMYFUNCTION("""COMPUTED_VALUE"""),"Female")</f>
        <v>Female</v>
      </c>
      <c r="E2181" s="1" t="str">
        <f ca="1">IFERROR(__xludf.DUMMYFUNCTION("""COMPUTED_VALUE"""),"My Parents")</f>
        <v>My Parents</v>
      </c>
      <c r="F2181" s="1" t="str">
        <f ca="1">IFERROR(__xludf.DUMMYFUNCTION("""COMPUTED_VALUE"""),"Yes, I will earn and do that")</f>
        <v>Yes, I will earn and do that</v>
      </c>
      <c r="G2181" s="1" t="str">
        <f ca="1">IFERROR(__xludf.DUMMYFUNCTION("""COMPUTED_VALUE"""),"This will be hard to do, but if it is the right company I would try")</f>
        <v>This will be hard to do, but if it is the right company I would try</v>
      </c>
      <c r="H2181" s="1" t="str">
        <f ca="1">IFERROR(__xludf.DUMMYFUNCTION("""COMPUTED_VALUE"""),"No")</f>
        <v>No</v>
      </c>
      <c r="I2181" s="1" t="str">
        <f ca="1">IFERROR(__xludf.DUMMYFUNCTION("""COMPUTED_VALUE"""),"Will NOT work for them")</f>
        <v>Will NOT work for them</v>
      </c>
      <c r="J2181" s="1">
        <f ca="1">IFERROR(__xludf.DUMMYFUNCTION("""COMPUTED_VALUE"""),5)</f>
        <v>5</v>
      </c>
      <c r="K2181" s="1" t="str">
        <f ca="1">IFERROR(__xludf.DUMMYFUNCTION("""COMPUTED_VALUE"""),"Hybrid Working Environment with less than 3 days a month at office")</f>
        <v>Hybrid Working Environment with less than 3 days a month at office</v>
      </c>
      <c r="L21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81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181" s="1" t="str">
        <f ca="1">IFERROR(__xludf.DUMMYFUNCTION("""COMPUTED_VALUE"""),"Design and Creative strategy in any company, Teaching in any of the institutes/colleges/online or offline, Design and Develop amazing software, An Artificial Intelligence Specialist / Talking to Robots")</f>
        <v>Design and Creative strategy in any company, Teaching in any of the institutes/colleges/online or offline, Design and Develop amazing software, An Artificial Intelligence Specialist / Talking to Robots</v>
      </c>
      <c r="O2181" s="1" t="str">
        <f ca="1">IFERROR(__xludf.DUMMYFUNCTION("""COMPUTED_VALUE"""),"Manager who sets goal and helps me achieve it")</f>
        <v>Manager who sets goal and helps me achieve it</v>
      </c>
      <c r="P2181" s="1" t="str">
        <f ca="1">IFERROR(__xludf.DUMMYFUNCTION("""COMPUTED_VALUE"""),"Work with 5 to 6 people in my team")</f>
        <v>Work with 5 to 6 people in my team</v>
      </c>
      <c r="Q2181" s="1" t="str">
        <f ca="1">IFERROR(__xludf.DUMMYFUNCTION("""COMPUTED_VALUE"""),"Yes, I Understand this is gonna happen everywhere")</f>
        <v>Yes, I Understand this is gonna happen everywhere</v>
      </c>
      <c r="R2181" s="1" t="str">
        <f ca="1">IFERROR(__xludf.DUMMYFUNCTION("""COMPUTED_VALUE"""),"No way")</f>
        <v>No way</v>
      </c>
      <c r="S2181" s="1" t="str">
        <f ca="1">IFERROR(__xludf.DUMMYFUNCTION("""COMPUTED_VALUE"""),"aparnabhongade123@gmail.com")</f>
        <v>aparnabhongade123@gmail.com</v>
      </c>
    </row>
    <row r="2182" spans="1:19" ht="12.5" x14ac:dyDescent="0.25">
      <c r="A2182" s="2">
        <f ca="1">IFERROR(__xludf.DUMMYFUNCTION("""COMPUTED_VALUE"""),45063.7109211805)</f>
        <v>45063.7109211805</v>
      </c>
      <c r="B2182" s="1" t="str">
        <f ca="1">IFERROR(__xludf.DUMMYFUNCTION("""COMPUTED_VALUE"""),"India")</f>
        <v>India</v>
      </c>
      <c r="C2182" s="1">
        <f ca="1">IFERROR(__xludf.DUMMYFUNCTION("""COMPUTED_VALUE"""),629001)</f>
        <v>629001</v>
      </c>
      <c r="D2182" s="1" t="str">
        <f ca="1">IFERROR(__xludf.DUMMYFUNCTION("""COMPUTED_VALUE"""),"Female")</f>
        <v>Female</v>
      </c>
      <c r="E2182" s="1" t="str">
        <f ca="1">IFERROR(__xludf.DUMMYFUNCTION("""COMPUTED_VALUE"""),"My Parents")</f>
        <v>My Parents</v>
      </c>
      <c r="F2182" s="1" t="str">
        <f ca="1">IFERROR(__xludf.DUMMYFUNCTION("""COMPUTED_VALUE"""),"Yes, I will earn and do that")</f>
        <v>Yes, I will earn and do that</v>
      </c>
      <c r="G2182" s="1" t="str">
        <f ca="1">IFERROR(__xludf.DUMMYFUNCTION("""COMPUTED_VALUE"""),"This will be hard to do, but if it is the right company I would try")</f>
        <v>This will be hard to do, but if it is the right company I would try</v>
      </c>
      <c r="H2182" s="1" t="str">
        <f ca="1">IFERROR(__xludf.DUMMYFUNCTION("""COMPUTED_VALUE"""),"Yes")</f>
        <v>Yes</v>
      </c>
      <c r="I2182" s="1" t="str">
        <f ca="1">IFERROR(__xludf.DUMMYFUNCTION("""COMPUTED_VALUE"""),"Will work for them")</f>
        <v>Will work for them</v>
      </c>
      <c r="J2182" s="1">
        <f ca="1">IFERROR(__xludf.DUMMYFUNCTION("""COMPUTED_VALUE"""),1)</f>
        <v>1</v>
      </c>
      <c r="K2182" s="1" t="str">
        <f ca="1">IFERROR(__xludf.DUMMYFUNCTION("""COMPUTED_VALUE"""),"Hybrid Working Environment with more than 15 days a month at office")</f>
        <v>Hybrid Working Environment with more than 15 days a month at office</v>
      </c>
      <c r="L2182" s="1" t="str">
        <f ca="1">IFERROR(__xludf.DUMMYFUNCTION("""COMPUTED_VALUE"""),"Employer who appreciates learning and enables that environment")</f>
        <v>Employer who appreciates learning and enables that environment</v>
      </c>
      <c r="M218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182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2182" s="1" t="str">
        <f ca="1">IFERROR(__xludf.DUMMYFUNCTION("""COMPUTED_VALUE"""),"Manager who clearly describes what she/he needs")</f>
        <v>Manager who clearly describes what she/he needs</v>
      </c>
      <c r="P2182" s="1" t="str">
        <f ca="1">IFERROR(__xludf.DUMMYFUNCTION("""COMPUTED_VALUE"""),"Work alone")</f>
        <v>Work alone</v>
      </c>
      <c r="Q2182" s="1" t="str">
        <f ca="1">IFERROR(__xludf.DUMMYFUNCTION("""COMPUTED_VALUE"""),"Yes, I Understand this is gonna happen everywhere")</f>
        <v>Yes, I Understand this is gonna happen everywhere</v>
      </c>
      <c r="R2182" s="1" t="str">
        <f ca="1">IFERROR(__xludf.DUMMYFUNCTION("""COMPUTED_VALUE"""),"This will be hard to do, but if it is the right company I would try")</f>
        <v>This will be hard to do, but if it is the right company I would try</v>
      </c>
      <c r="S2182" s="1" t="str">
        <f ca="1">IFERROR(__xludf.DUMMYFUNCTION("""COMPUTED_VALUE"""),"21pcp801@mail.sjctni.edu")</f>
        <v>21pcp801@mail.sjctni.edu</v>
      </c>
    </row>
    <row r="2183" spans="1:19" ht="12.5" x14ac:dyDescent="0.25">
      <c r="A2183" s="2">
        <f ca="1">IFERROR(__xludf.DUMMYFUNCTION("""COMPUTED_VALUE"""),45063.7267286342)</f>
        <v>45063.726728634203</v>
      </c>
      <c r="B2183" s="1" t="str">
        <f ca="1">IFERROR(__xludf.DUMMYFUNCTION("""COMPUTED_VALUE"""),"India")</f>
        <v>India</v>
      </c>
      <c r="C2183" s="1">
        <f ca="1">IFERROR(__xludf.DUMMYFUNCTION("""COMPUTED_VALUE"""),121001)</f>
        <v>121001</v>
      </c>
      <c r="D2183" s="1" t="str">
        <f ca="1">IFERROR(__xludf.DUMMYFUNCTION("""COMPUTED_VALUE"""),"Male")</f>
        <v>Male</v>
      </c>
      <c r="E2183" s="1" t="str">
        <f ca="1">IFERROR(__xludf.DUMMYFUNCTION("""COMPUTED_VALUE"""),"People who have changed the world for better")</f>
        <v>People who have changed the world for better</v>
      </c>
      <c r="F2183" s="1" t="str">
        <f ca="1">IFERROR(__xludf.DUMMYFUNCTION("""COMPUTED_VALUE"""),"Yes, I will earn and do that")</f>
        <v>Yes, I will earn and do that</v>
      </c>
      <c r="G2183" s="1" t="str">
        <f ca="1">IFERROR(__xludf.DUMMYFUNCTION("""COMPUTED_VALUE"""),"Will work for 3 years or more")</f>
        <v>Will work for 3 years or more</v>
      </c>
      <c r="H2183" s="1" t="str">
        <f ca="1">IFERROR(__xludf.DUMMYFUNCTION("""COMPUTED_VALUE"""),"No")</f>
        <v>No</v>
      </c>
      <c r="I2183" s="1" t="str">
        <f ca="1">IFERROR(__xludf.DUMMYFUNCTION("""COMPUTED_VALUE"""),"Will NOT work for them")</f>
        <v>Will NOT work for them</v>
      </c>
      <c r="J2183" s="1">
        <f ca="1">IFERROR(__xludf.DUMMYFUNCTION("""COMPUTED_VALUE"""),8)</f>
        <v>8</v>
      </c>
      <c r="K2183" s="1" t="str">
        <f ca="1">IFERROR(__xludf.DUMMYFUNCTION("""COMPUTED_VALUE"""),"Hybrid Working Environment with more than 15 days a month at office")</f>
        <v>Hybrid Working Environment with more than 15 days a month at office</v>
      </c>
      <c r="L21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8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8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18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83" s="1" t="str">
        <f ca="1">IFERROR(__xludf.DUMMYFUNCTION("""COMPUTED_VALUE"""),"Work with 5 to 6 people in my team")</f>
        <v>Work with 5 to 6 people in my team</v>
      </c>
      <c r="Q2183" s="1" t="str">
        <f ca="1">IFERROR(__xludf.DUMMYFUNCTION("""COMPUTED_VALUE"""),"I have NO other choice")</f>
        <v>I have NO other choice</v>
      </c>
      <c r="R2183" s="1" t="str">
        <f ca="1">IFERROR(__xludf.DUMMYFUNCTION("""COMPUTED_VALUE"""),"Will work for 7 years or more")</f>
        <v>Will work for 7 years or more</v>
      </c>
      <c r="S2183" s="1" t="str">
        <f ca="1">IFERROR(__xludf.DUMMYFUNCTION("""COMPUTED_VALUE"""),"carefit12@gmail.com")</f>
        <v>carefit12@gmail.com</v>
      </c>
    </row>
    <row r="2184" spans="1:19" ht="12.5" x14ac:dyDescent="0.25">
      <c r="A2184" s="2">
        <f ca="1">IFERROR(__xludf.DUMMYFUNCTION("""COMPUTED_VALUE"""),45063.737113206)</f>
        <v>45063.737113206</v>
      </c>
      <c r="B2184" s="1" t="str">
        <f ca="1">IFERROR(__xludf.DUMMYFUNCTION("""COMPUTED_VALUE"""),"India")</f>
        <v>India</v>
      </c>
      <c r="C2184" s="1">
        <f ca="1">IFERROR(__xludf.DUMMYFUNCTION("""COMPUTED_VALUE"""),400043)</f>
        <v>400043</v>
      </c>
      <c r="D2184" s="1" t="str">
        <f ca="1">IFERROR(__xludf.DUMMYFUNCTION("""COMPUTED_VALUE"""),"Male")</f>
        <v>Male</v>
      </c>
      <c r="E2184" s="1" t="str">
        <f ca="1">IFERROR(__xludf.DUMMYFUNCTION("""COMPUTED_VALUE"""),"My Parents")</f>
        <v>My Parents</v>
      </c>
      <c r="F2184" s="1" t="str">
        <f ca="1">IFERROR(__xludf.DUMMYFUNCTION("""COMPUTED_VALUE"""),"No I would not be pursuing Higher Education outside of India")</f>
        <v>No I would not be pursuing Higher Education outside of India</v>
      </c>
      <c r="G2184" s="1" t="str">
        <f ca="1">IFERROR(__xludf.DUMMYFUNCTION("""COMPUTED_VALUE"""),"This will be hard to do, but if it is the right company I would try")</f>
        <v>This will be hard to do, but if it is the right company I would try</v>
      </c>
      <c r="H2184" s="1" t="str">
        <f ca="1">IFERROR(__xludf.DUMMYFUNCTION("""COMPUTED_VALUE"""),"No")</f>
        <v>No</v>
      </c>
      <c r="I2184" s="1" t="str">
        <f ca="1">IFERROR(__xludf.DUMMYFUNCTION("""COMPUTED_VALUE"""),"Will NOT work for them")</f>
        <v>Will NOT work for them</v>
      </c>
      <c r="J2184" s="1">
        <f ca="1">IFERROR(__xludf.DUMMYFUNCTION("""COMPUTED_VALUE"""),7)</f>
        <v>7</v>
      </c>
      <c r="K2184" s="1" t="str">
        <f ca="1">IFERROR(__xludf.DUMMYFUNCTION("""COMPUTED_VALUE"""),"Fully Remote with Options to travel as and when needed")</f>
        <v>Fully Remote with Options to travel as and when needed</v>
      </c>
      <c r="L2184" s="1" t="str">
        <f ca="1">IFERROR(__xludf.DUMMYFUNCTION("""COMPUTED_VALUE"""),"Employer who appreciates learning and enables that environment")</f>
        <v>Employer who appreciates learning and enables that environment</v>
      </c>
      <c r="M2184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184" s="1" t="str">
        <f ca="1">IFERROR(__xludf.DUMMYFUNCTION("""COMPUTED_VALUE"""),"Business Operations in any organization, Manage and drive End-to-End Projects or Products, Build and develop a Team, An Artificial Intelligence Specialist / Talking to Robots")</f>
        <v>Business Operations in any organization, Manage and drive End-to-End Projects or Products, Build and develop a Team, An Artificial Intelligence Specialist / Talking to Robots</v>
      </c>
      <c r="O2184" s="1" t="str">
        <f ca="1">IFERROR(__xludf.DUMMYFUNCTION("""COMPUTED_VALUE"""),"Manager who sets goal and helps me achieve it")</f>
        <v>Manager who sets goal and helps me achieve it</v>
      </c>
      <c r="P2184" s="1" t="str">
        <f ca="1">IFERROR(__xludf.DUMMYFUNCTION("""COMPUTED_VALUE"""),"Work with 2 to 3 people in my team")</f>
        <v>Work with 2 to 3 people in my team</v>
      </c>
      <c r="Q2184" s="1" t="str">
        <f ca="1">IFERROR(__xludf.DUMMYFUNCTION("""COMPUTED_VALUE"""),"Yes, I Understand this is gonna happen everywhere")</f>
        <v>Yes, I Understand this is gonna happen everywhere</v>
      </c>
      <c r="R2184" s="1" t="str">
        <f ca="1">IFERROR(__xludf.DUMMYFUNCTION("""COMPUTED_VALUE"""),"Will work for 7 years or more")</f>
        <v>Will work for 7 years or more</v>
      </c>
      <c r="S2184" s="1" t="str">
        <f ca="1">IFERROR(__xludf.DUMMYFUNCTION("""COMPUTED_VALUE"""),"rmore1840@gmail.com")</f>
        <v>rmore1840@gmail.com</v>
      </c>
    </row>
    <row r="2185" spans="1:19" ht="12.5" x14ac:dyDescent="0.25">
      <c r="A2185" s="2">
        <f ca="1">IFERROR(__xludf.DUMMYFUNCTION("""COMPUTED_VALUE"""),45063.7402735648)</f>
        <v>45063.740273564799</v>
      </c>
      <c r="B2185" s="1" t="str">
        <f ca="1">IFERROR(__xludf.DUMMYFUNCTION("""COMPUTED_VALUE"""),"India")</f>
        <v>India</v>
      </c>
      <c r="C2185" s="1">
        <f ca="1">IFERROR(__xludf.DUMMYFUNCTION("""COMPUTED_VALUE"""),421301)</f>
        <v>421301</v>
      </c>
      <c r="D2185" s="1" t="str">
        <f ca="1">IFERROR(__xludf.DUMMYFUNCTION("""COMPUTED_VALUE"""),"Male")</f>
        <v>Male</v>
      </c>
      <c r="E2185" s="1" t="str">
        <f ca="1">IFERROR(__xludf.DUMMYFUNCTION("""COMPUTED_VALUE"""),"People who have changed the world for better")</f>
        <v>People who have changed the world for better</v>
      </c>
      <c r="F2185" s="1" t="str">
        <f ca="1">IFERROR(__xludf.DUMMYFUNCTION("""COMPUTED_VALUE"""),"No I would not be pursuing Higher Education outside of India")</f>
        <v>No I would not be pursuing Higher Education outside of India</v>
      </c>
      <c r="G2185" s="1" t="str">
        <f ca="1">IFERROR(__xludf.DUMMYFUNCTION("""COMPUTED_VALUE"""),"This will be hard to do, but if it is the right company I would try")</f>
        <v>This will be hard to do, but if it is the right company I would try</v>
      </c>
      <c r="H2185" s="1" t="str">
        <f ca="1">IFERROR(__xludf.DUMMYFUNCTION("""COMPUTED_VALUE"""),"Yes")</f>
        <v>Yes</v>
      </c>
      <c r="I2185" s="1" t="str">
        <f ca="1">IFERROR(__xludf.DUMMYFUNCTION("""COMPUTED_VALUE"""),"Will work for them")</f>
        <v>Will work for them</v>
      </c>
      <c r="J2185" s="1">
        <f ca="1">IFERROR(__xludf.DUMMYFUNCTION("""COMPUTED_VALUE"""),5)</f>
        <v>5</v>
      </c>
      <c r="K2185" s="1" t="str">
        <f ca="1">IFERROR(__xludf.DUMMYFUNCTION("""COMPUTED_VALUE"""),"Hybrid Working Environment with more than 15 days a month at office")</f>
        <v>Hybrid Working Environment with more than 15 days a month at office</v>
      </c>
      <c r="L2185" s="1" t="str">
        <f ca="1">IFERROR(__xludf.DUMMYFUNCTION("""COMPUTED_VALUE"""),"Employer who appreciates learning and enables that environment")</f>
        <v>Employer who appreciates learning and enables that environment</v>
      </c>
      <c r="M218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85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185" s="1" t="str">
        <f ca="1">IFERROR(__xludf.DUMMYFUNCTION("""COMPUTED_VALUE"""),"Manager who sets goal and helps me achieve it")</f>
        <v>Manager who sets goal and helps me achieve it</v>
      </c>
      <c r="P2185" s="1" t="str">
        <f ca="1">IFERROR(__xludf.DUMMYFUNCTION("""COMPUTED_VALUE"""),"Work with more than 10 people in my team")</f>
        <v>Work with more than 10 people in my team</v>
      </c>
      <c r="Q2185" s="1" t="str">
        <f ca="1">IFERROR(__xludf.DUMMYFUNCTION("""COMPUTED_VALUE"""),"No")</f>
        <v>No</v>
      </c>
      <c r="R2185" s="1" t="str">
        <f ca="1">IFERROR(__xludf.DUMMYFUNCTION("""COMPUTED_VALUE"""),"No way")</f>
        <v>No way</v>
      </c>
      <c r="S2185" s="1" t="str">
        <f ca="1">IFERROR(__xludf.DUMMYFUNCTION("""COMPUTED_VALUE"""),"ajinkyalad77@gmail.com")</f>
        <v>ajinkyalad77@gmail.com</v>
      </c>
    </row>
    <row r="2186" spans="1:19" ht="12.5" x14ac:dyDescent="0.25">
      <c r="A2186" s="2">
        <f ca="1">IFERROR(__xludf.DUMMYFUNCTION("""COMPUTED_VALUE"""),45063.7422040277)</f>
        <v>45063.742204027702</v>
      </c>
      <c r="B2186" s="1" t="str">
        <f ca="1">IFERROR(__xludf.DUMMYFUNCTION("""COMPUTED_VALUE"""),"India")</f>
        <v>India</v>
      </c>
      <c r="C2186" s="1">
        <f ca="1">IFERROR(__xludf.DUMMYFUNCTION("""COMPUTED_VALUE"""),533429)</f>
        <v>533429</v>
      </c>
      <c r="D2186" s="1" t="str">
        <f ca="1">IFERROR(__xludf.DUMMYFUNCTION("""COMPUTED_VALUE"""),"Male")</f>
        <v>Male</v>
      </c>
      <c r="E2186" s="1" t="str">
        <f ca="1">IFERROR(__xludf.DUMMYFUNCTION("""COMPUTED_VALUE"""),"My Parents")</f>
        <v>My Parents</v>
      </c>
      <c r="F2186" s="1" t="str">
        <f ca="1">IFERROR(__xludf.DUMMYFUNCTION("""COMPUTED_VALUE"""),"Yes, I will earn and do that")</f>
        <v>Yes, I will earn and do that</v>
      </c>
      <c r="G2186" s="1" t="str">
        <f ca="1">IFERROR(__xludf.DUMMYFUNCTION("""COMPUTED_VALUE"""),"Will work for 3 years or more")</f>
        <v>Will work for 3 years or more</v>
      </c>
      <c r="H2186" s="1" t="str">
        <f ca="1">IFERROR(__xludf.DUMMYFUNCTION("""COMPUTED_VALUE"""),"Yes")</f>
        <v>Yes</v>
      </c>
      <c r="I2186" s="1" t="str">
        <f ca="1">IFERROR(__xludf.DUMMYFUNCTION("""COMPUTED_VALUE"""),"Will work for them")</f>
        <v>Will work for them</v>
      </c>
      <c r="J2186" s="1">
        <f ca="1">IFERROR(__xludf.DUMMYFUNCTION("""COMPUTED_VALUE"""),4)</f>
        <v>4</v>
      </c>
      <c r="K2186" s="1" t="str">
        <f ca="1">IFERROR(__xludf.DUMMYFUNCTION("""COMPUTED_VALUE"""),"Every Day Office Environment")</f>
        <v>Every Day Office Environment</v>
      </c>
      <c r="L2186" s="1" t="str">
        <f ca="1">IFERROR(__xludf.DUMMYFUNCTION("""COMPUTED_VALUE"""),"Employer who appreciates learning and enables that environment")</f>
        <v>Employer who appreciates learning and enables that environment</v>
      </c>
      <c r="M218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86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186" s="1" t="str">
        <f ca="1">IFERROR(__xludf.DUMMYFUNCTION("""COMPUTED_VALUE"""),"Manager who clearly describes what she/he needs")</f>
        <v>Manager who clearly describes what she/he needs</v>
      </c>
      <c r="P2186" s="1" t="str">
        <f ca="1">IFERROR(__xludf.DUMMYFUNCTION("""COMPUTED_VALUE"""),"Work with 2 to 3 people in my team")</f>
        <v>Work with 2 to 3 people in my team</v>
      </c>
      <c r="Q2186" s="1" t="str">
        <f ca="1">IFERROR(__xludf.DUMMYFUNCTION("""COMPUTED_VALUE"""),"Yes")</f>
        <v>Yes</v>
      </c>
      <c r="R2186" s="1" t="str">
        <f ca="1">IFERROR(__xludf.DUMMYFUNCTION("""COMPUTED_VALUE"""),"No way")</f>
        <v>No way</v>
      </c>
      <c r="S2186" s="1" t="str">
        <f ca="1">IFERROR(__xludf.DUMMYFUNCTION("""COMPUTED_VALUE"""),"abhiramnarapureddy@gmail.com")</f>
        <v>abhiramnarapureddy@gmail.com</v>
      </c>
    </row>
    <row r="2187" spans="1:19" ht="12.5" x14ac:dyDescent="0.25">
      <c r="A2187" s="2">
        <f ca="1">IFERROR(__xludf.DUMMYFUNCTION("""COMPUTED_VALUE"""),45063.744702905)</f>
        <v>45063.744702905002</v>
      </c>
      <c r="B2187" s="1" t="str">
        <f ca="1">IFERROR(__xludf.DUMMYFUNCTION("""COMPUTED_VALUE"""),"India")</f>
        <v>India</v>
      </c>
      <c r="C2187" s="1">
        <f ca="1">IFERROR(__xludf.DUMMYFUNCTION("""COMPUTED_VALUE"""),400067)</f>
        <v>400067</v>
      </c>
      <c r="D2187" s="1" t="str">
        <f ca="1">IFERROR(__xludf.DUMMYFUNCTION("""COMPUTED_VALUE"""),"Male")</f>
        <v>Male</v>
      </c>
      <c r="E2187" s="1" t="str">
        <f ca="1">IFERROR(__xludf.DUMMYFUNCTION("""COMPUTED_VALUE"""),"My Parents")</f>
        <v>My Parents</v>
      </c>
      <c r="F2187" s="1" t="str">
        <f ca="1">IFERROR(__xludf.DUMMYFUNCTION("""COMPUTED_VALUE"""),"Yes, I will earn and do that")</f>
        <v>Yes, I will earn and do that</v>
      </c>
      <c r="G2187" s="1" t="str">
        <f ca="1">IFERROR(__xludf.DUMMYFUNCTION("""COMPUTED_VALUE"""),"This will be hard to do, but if it is the right company I would try")</f>
        <v>This will be hard to do, but if it is the right company I would try</v>
      </c>
      <c r="H2187" s="1" t="str">
        <f ca="1">IFERROR(__xludf.DUMMYFUNCTION("""COMPUTED_VALUE"""),"No")</f>
        <v>No</v>
      </c>
      <c r="I2187" s="1" t="str">
        <f ca="1">IFERROR(__xludf.DUMMYFUNCTION("""COMPUTED_VALUE"""),"Will NOT work for them")</f>
        <v>Will NOT work for them</v>
      </c>
      <c r="J2187" s="1">
        <f ca="1">IFERROR(__xludf.DUMMYFUNCTION("""COMPUTED_VALUE"""),6)</f>
        <v>6</v>
      </c>
      <c r="K2187" s="1" t="str">
        <f ca="1">IFERROR(__xludf.DUMMYFUNCTION("""COMPUTED_VALUE"""),"Hybrid Working Environment with more than 15 days a month at office")</f>
        <v>Hybrid Working Environment with more than 15 days a month at office</v>
      </c>
      <c r="L21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8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187" s="1" t="str">
        <f ca="1">IFERROR(__xludf.DUMMYFUNCTION("""COMPUTED_VALUE"""),"Build and develop a Team, Design and Develop amazing software, Entrepreneur or Start Up, I Want to sell things/Sales")</f>
        <v>Build and develop a Team, Design and Develop amazing software, Entrepreneur or Start Up, I Want to sell things/Sales</v>
      </c>
      <c r="O218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87" s="1" t="str">
        <f ca="1">IFERROR(__xludf.DUMMYFUNCTION("""COMPUTED_VALUE"""),"Work with 2 to 3 people in my team, Work with 5 to 6 people in my team")</f>
        <v>Work with 2 to 3 people in my team, Work with 5 to 6 people in my team</v>
      </c>
      <c r="Q2187" s="1" t="str">
        <f ca="1">IFERROR(__xludf.DUMMYFUNCTION("""COMPUTED_VALUE"""),"Yes, I Understand this is gonna happen everywhere")</f>
        <v>Yes, I Understand this is gonna happen everywhere</v>
      </c>
      <c r="R2187" s="1" t="str">
        <f ca="1">IFERROR(__xludf.DUMMYFUNCTION("""COMPUTED_VALUE"""),"No way")</f>
        <v>No way</v>
      </c>
      <c r="S2187" s="1" t="str">
        <f ca="1">IFERROR(__xludf.DUMMYFUNCTION("""COMPUTED_VALUE"""),"franklinelango@yahoo.com")</f>
        <v>franklinelango@yahoo.com</v>
      </c>
    </row>
    <row r="2188" spans="1:19" ht="12.5" x14ac:dyDescent="0.25">
      <c r="A2188" s="2">
        <f ca="1">IFERROR(__xludf.DUMMYFUNCTION("""COMPUTED_VALUE"""),45063.7470030208)</f>
        <v>45063.747003020799</v>
      </c>
      <c r="B2188" s="1" t="str">
        <f ca="1">IFERROR(__xludf.DUMMYFUNCTION("""COMPUTED_VALUE"""),"India")</f>
        <v>India</v>
      </c>
      <c r="C2188" s="1">
        <f ca="1">IFERROR(__xludf.DUMMYFUNCTION("""COMPUTED_VALUE"""),400097)</f>
        <v>400097</v>
      </c>
      <c r="D2188" s="1" t="str">
        <f ca="1">IFERROR(__xludf.DUMMYFUNCTION("""COMPUTED_VALUE"""),"Male")</f>
        <v>Male</v>
      </c>
      <c r="E2188" s="1" t="str">
        <f ca="1">IFERROR(__xludf.DUMMYFUNCTION("""COMPUTED_VALUE"""),"My Parents")</f>
        <v>My Parents</v>
      </c>
      <c r="F2188" s="1" t="str">
        <f ca="1">IFERROR(__xludf.DUMMYFUNCTION("""COMPUTED_VALUE"""),"No I would not be pursuing Higher Education outside of India")</f>
        <v>No I would not be pursuing Higher Education outside of India</v>
      </c>
      <c r="G2188" s="1" t="str">
        <f ca="1">IFERROR(__xludf.DUMMYFUNCTION("""COMPUTED_VALUE"""),"This will be hard to do, but if it is the right company I would try")</f>
        <v>This will be hard to do, but if it is the right company I would try</v>
      </c>
      <c r="H2188" s="1" t="str">
        <f ca="1">IFERROR(__xludf.DUMMYFUNCTION("""COMPUTED_VALUE"""),"Yes")</f>
        <v>Yes</v>
      </c>
      <c r="I2188" s="1" t="str">
        <f ca="1">IFERROR(__xludf.DUMMYFUNCTION("""COMPUTED_VALUE"""),"Will NOT work for them")</f>
        <v>Will NOT work for them</v>
      </c>
      <c r="J2188" s="1">
        <f ca="1">IFERROR(__xludf.DUMMYFUNCTION("""COMPUTED_VALUE"""),5)</f>
        <v>5</v>
      </c>
      <c r="K2188" s="1" t="str">
        <f ca="1">IFERROR(__xludf.DUMMYFUNCTION("""COMPUTED_VALUE"""),"Every Day Office Environment")</f>
        <v>Every Day Office Environment</v>
      </c>
      <c r="L2188" s="1" t="str">
        <f ca="1">IFERROR(__xludf.DUMMYFUNCTION("""COMPUTED_VALUE"""),"Employer who rewards learning and enables that environment")</f>
        <v>Employer who rewards learning and enables that environment</v>
      </c>
      <c r="M218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88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188" s="1" t="str">
        <f ca="1">IFERROR(__xludf.DUMMYFUNCTION("""COMPUTED_VALUE"""),"Manager who sets targets and expects me to achieve it")</f>
        <v>Manager who sets targets and expects me to achieve it</v>
      </c>
      <c r="P2188" s="1" t="str">
        <f ca="1">IFERROR(__xludf.DUMMYFUNCTION("""COMPUTED_VALUE"""),"Work with 2 to 3 people in my team")</f>
        <v>Work with 2 to 3 people in my team</v>
      </c>
      <c r="Q2188" s="1" t="str">
        <f ca="1">IFERROR(__xludf.DUMMYFUNCTION("""COMPUTED_VALUE"""),"Yes")</f>
        <v>Yes</v>
      </c>
      <c r="R2188" s="1" t="str">
        <f ca="1">IFERROR(__xludf.DUMMYFUNCTION("""COMPUTED_VALUE"""),"This will be hard to do, but if it is the right company I would try")</f>
        <v>This will be hard to do, but if it is the right company I would try</v>
      </c>
      <c r="S2188" s="1" t="str">
        <f ca="1">IFERROR(__xludf.DUMMYFUNCTION("""COMPUTED_VALUE"""),"marupunit3@gmail.com")</f>
        <v>marupunit3@gmail.com</v>
      </c>
    </row>
    <row r="2189" spans="1:19" ht="12.5" x14ac:dyDescent="0.25">
      <c r="A2189" s="2">
        <f ca="1">IFERROR(__xludf.DUMMYFUNCTION("""COMPUTED_VALUE"""),45063.7481814699)</f>
        <v>45063.748181469899</v>
      </c>
      <c r="B2189" s="1" t="str">
        <f ca="1">IFERROR(__xludf.DUMMYFUNCTION("""COMPUTED_VALUE"""),"India")</f>
        <v>India</v>
      </c>
      <c r="C2189" s="1">
        <f ca="1">IFERROR(__xludf.DUMMYFUNCTION("""COMPUTED_VALUE"""),533435)</f>
        <v>533435</v>
      </c>
      <c r="D2189" s="1" t="str">
        <f ca="1">IFERROR(__xludf.DUMMYFUNCTION("""COMPUTED_VALUE"""),"Female")</f>
        <v>Female</v>
      </c>
      <c r="E2189" s="1" t="str">
        <f ca="1">IFERROR(__xludf.DUMMYFUNCTION("""COMPUTED_VALUE"""),"My Parents")</f>
        <v>My Parents</v>
      </c>
      <c r="F2189" s="1" t="str">
        <f ca="1">IFERROR(__xludf.DUMMYFUNCTION("""COMPUTED_VALUE"""),"Yes, I will earn and do that")</f>
        <v>Yes, I will earn and do that</v>
      </c>
      <c r="G2189" s="1" t="str">
        <f ca="1">IFERROR(__xludf.DUMMYFUNCTION("""COMPUTED_VALUE"""),"Will work for 3 years or more")</f>
        <v>Will work for 3 years or more</v>
      </c>
      <c r="H2189" s="1" t="str">
        <f ca="1">IFERROR(__xludf.DUMMYFUNCTION("""COMPUTED_VALUE"""),"Yes")</f>
        <v>Yes</v>
      </c>
      <c r="I2189" s="1" t="str">
        <f ca="1">IFERROR(__xludf.DUMMYFUNCTION("""COMPUTED_VALUE"""),"Will work for them")</f>
        <v>Will work for them</v>
      </c>
      <c r="J2189" s="1">
        <f ca="1">IFERROR(__xludf.DUMMYFUNCTION("""COMPUTED_VALUE"""),10)</f>
        <v>10</v>
      </c>
      <c r="K2189" s="1" t="str">
        <f ca="1">IFERROR(__xludf.DUMMYFUNCTION("""COMPUTED_VALUE"""),"Every Day Office Environment")</f>
        <v>Every Day Office Environment</v>
      </c>
      <c r="L2189" s="1" t="str">
        <f ca="1">IFERROR(__xludf.DUMMYFUNCTION("""COMPUTED_VALUE"""),"Employer who appreciates learning and enables that environment")</f>
        <v>Employer who appreciates learning and enables that environment</v>
      </c>
      <c r="M218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89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189" s="1" t="str">
        <f ca="1">IFERROR(__xludf.DUMMYFUNCTION("""COMPUTED_VALUE"""),"Manager who clearly describes what she/he needs")</f>
        <v>Manager who clearly describes what she/he needs</v>
      </c>
      <c r="P2189" s="1" t="str">
        <f ca="1">IFERROR(__xludf.DUMMYFUNCTION("""COMPUTED_VALUE"""),"Work alone")</f>
        <v>Work alone</v>
      </c>
      <c r="Q2189" s="1" t="str">
        <f ca="1">IFERROR(__xludf.DUMMYFUNCTION("""COMPUTED_VALUE"""),"Yes")</f>
        <v>Yes</v>
      </c>
      <c r="R2189" s="1" t="str">
        <f ca="1">IFERROR(__xludf.DUMMYFUNCTION("""COMPUTED_VALUE"""),"Will work for 7 years or more")</f>
        <v>Will work for 7 years or more</v>
      </c>
      <c r="S2189" s="1" t="str">
        <f ca="1">IFERROR(__xludf.DUMMYFUNCTION("""COMPUTED_VALUE"""),"ananthaanipeddhi@gmail.com")</f>
        <v>ananthaanipeddhi@gmail.com</v>
      </c>
    </row>
    <row r="2190" spans="1:19" ht="12.5" x14ac:dyDescent="0.25">
      <c r="A2190" s="2">
        <f ca="1">IFERROR(__xludf.DUMMYFUNCTION("""COMPUTED_VALUE"""),45063.7560816551)</f>
        <v>45063.756081655098</v>
      </c>
      <c r="B2190" s="1" t="str">
        <f ca="1">IFERROR(__xludf.DUMMYFUNCTION("""COMPUTED_VALUE"""),"India")</f>
        <v>India</v>
      </c>
      <c r="C2190" s="1">
        <f ca="1">IFERROR(__xludf.DUMMYFUNCTION("""COMPUTED_VALUE"""),411028)</f>
        <v>411028</v>
      </c>
      <c r="D2190" s="1" t="str">
        <f ca="1">IFERROR(__xludf.DUMMYFUNCTION("""COMPUTED_VALUE"""),"Male")</f>
        <v>Male</v>
      </c>
      <c r="E2190" s="1" t="str">
        <f ca="1">IFERROR(__xludf.DUMMYFUNCTION("""COMPUTED_VALUE"""),"People who have changed the world for better")</f>
        <v>People who have changed the world for better</v>
      </c>
      <c r="F2190" s="1" t="str">
        <f ca="1">IFERROR(__xludf.DUMMYFUNCTION("""COMPUTED_VALUE"""),"No I would not be pursuing Higher Education outside of India")</f>
        <v>No I would not be pursuing Higher Education outside of India</v>
      </c>
      <c r="G2190" s="1" t="str">
        <f ca="1">IFERROR(__xludf.DUMMYFUNCTION("""COMPUTED_VALUE"""),"This will be hard to do, but if it is the right company I would try")</f>
        <v>This will be hard to do, but if it is the right company I would try</v>
      </c>
      <c r="H2190" s="1" t="str">
        <f ca="1">IFERROR(__xludf.DUMMYFUNCTION("""COMPUTED_VALUE"""),"No")</f>
        <v>No</v>
      </c>
      <c r="I2190" s="1" t="str">
        <f ca="1">IFERROR(__xludf.DUMMYFUNCTION("""COMPUTED_VALUE"""),"Will NOT work for them")</f>
        <v>Will NOT work for them</v>
      </c>
      <c r="J2190" s="1">
        <f ca="1">IFERROR(__xludf.DUMMYFUNCTION("""COMPUTED_VALUE"""),4)</f>
        <v>4</v>
      </c>
      <c r="K2190" s="1" t="str">
        <f ca="1">IFERROR(__xludf.DUMMYFUNCTION("""COMPUTED_VALUE"""),"Fully Remote with Options to travel as and when needed")</f>
        <v>Fully Remote with Options to travel as and when needed</v>
      </c>
      <c r="L21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9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90" s="1" t="str">
        <f ca="1">IFERROR(__xludf.DUMMYFUNCTION("""COMPUTED_VALUE"""),"Design and Creative strategy in any company, Teaching in any of the institutes/colleges/online or offline, Manage and drive End-to-End Projects or Products, An Artificial Intelligence Specialist / Talking to Robots")</f>
        <v>Design and Creative strategy in any company, Teaching in any of the institutes/colleges/online or offline, Manage and drive End-to-End Projects or Products, An Artificial Intelligence Specialist / Talking to Robots</v>
      </c>
      <c r="O2190" s="1" t="str">
        <f ca="1">IFERROR(__xludf.DUMMYFUNCTION("""COMPUTED_VALUE"""),"Manager who explains what is expected, sets a goal and helps achieve it")</f>
        <v>Manager who explains what is expected, sets a goal and helps achieve it</v>
      </c>
      <c r="P219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190" s="1" t="str">
        <f ca="1">IFERROR(__xludf.DUMMYFUNCTION("""COMPUTED_VALUE"""),"Yes, I Understand this is gonna happen everywhere")</f>
        <v>Yes, I Understand this is gonna happen everywhere</v>
      </c>
      <c r="R2190" s="1" t="str">
        <f ca="1">IFERROR(__xludf.DUMMYFUNCTION("""COMPUTED_VALUE"""),"No way")</f>
        <v>No way</v>
      </c>
      <c r="S2190" s="1" t="str">
        <f ca="1">IFERROR(__xludf.DUMMYFUNCTION("""COMPUTED_VALUE"""),"ssdeshkar69@gmail.com")</f>
        <v>ssdeshkar69@gmail.com</v>
      </c>
    </row>
    <row r="2191" spans="1:19" ht="12.5" x14ac:dyDescent="0.25">
      <c r="A2191" s="2">
        <f ca="1">IFERROR(__xludf.DUMMYFUNCTION("""COMPUTED_VALUE"""),45063.7612759259)</f>
        <v>45063.761275925899</v>
      </c>
      <c r="B2191" s="1" t="str">
        <f ca="1">IFERROR(__xludf.DUMMYFUNCTION("""COMPUTED_VALUE"""),"India")</f>
        <v>India</v>
      </c>
      <c r="C2191" s="1">
        <f ca="1">IFERROR(__xludf.DUMMYFUNCTION("""COMPUTED_VALUE"""),400064)</f>
        <v>400064</v>
      </c>
      <c r="D2191" s="1" t="str">
        <f ca="1">IFERROR(__xludf.DUMMYFUNCTION("""COMPUTED_VALUE"""),"Male")</f>
        <v>Male</v>
      </c>
      <c r="E2191" s="1" t="str">
        <f ca="1">IFERROR(__xludf.DUMMYFUNCTION("""COMPUTED_VALUE"""),"Social Media like LinkedIn")</f>
        <v>Social Media like LinkedIn</v>
      </c>
      <c r="F2191" s="1" t="str">
        <f ca="1">IFERROR(__xludf.DUMMYFUNCTION("""COMPUTED_VALUE"""),"Yes, I will earn and do that")</f>
        <v>Yes, I will earn and do that</v>
      </c>
      <c r="G2191" s="1" t="str">
        <f ca="1">IFERROR(__xludf.DUMMYFUNCTION("""COMPUTED_VALUE"""),"Will work for 3 years or more")</f>
        <v>Will work for 3 years or more</v>
      </c>
      <c r="H2191" s="1" t="str">
        <f ca="1">IFERROR(__xludf.DUMMYFUNCTION("""COMPUTED_VALUE"""),"Yes")</f>
        <v>Yes</v>
      </c>
      <c r="I2191" s="1" t="str">
        <f ca="1">IFERROR(__xludf.DUMMYFUNCTION("""COMPUTED_VALUE"""),"Will NOT work for them")</f>
        <v>Will NOT work for them</v>
      </c>
      <c r="J2191" s="1">
        <f ca="1">IFERROR(__xludf.DUMMYFUNCTION("""COMPUTED_VALUE"""),8)</f>
        <v>8</v>
      </c>
      <c r="K2191" s="1" t="str">
        <f ca="1">IFERROR(__xludf.DUMMYFUNCTION("""COMPUTED_VALUE"""),"Hybrid Working Environment with less than 3 days a month at office")</f>
        <v>Hybrid Working Environment with less than 3 days a month at office</v>
      </c>
      <c r="L2191" s="1" t="str">
        <f ca="1">IFERROR(__xludf.DUMMYFUNCTION("""COMPUTED_VALUE"""),"Employer who rewards learning and enables that environment")</f>
        <v>Employer who rewards learning and enables that environment</v>
      </c>
      <c r="M219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191" s="1" t="str">
        <f ca="1">IFERROR(__xludf.DUMMYFUNCTION("""COMPUTED_VALUE"""),"Design and Creative strategy in any company, Business Operations in any organization, Work in a BPO setup for some well known client, An Artificial Intelligence Specialist / Talking to Robots")</f>
        <v>Design and Creative strategy in any company, Business Operations in any organization, Work in a BPO setup for some well known client, An Artificial Intelligence Specialist / Talking to Robots</v>
      </c>
      <c r="O2191" s="1" t="str">
        <f ca="1">IFERROR(__xludf.DUMMYFUNCTION("""COMPUTED_VALUE"""),"Manager who sets targets and expects me to achieve it")</f>
        <v>Manager who sets targets and expects me to achieve it</v>
      </c>
      <c r="P2191" s="1" t="str">
        <f ca="1">IFERROR(__xludf.DUMMYFUNCTION("""COMPUTED_VALUE"""),"Work with 2 to 3 people in my team")</f>
        <v>Work with 2 to 3 people in my team</v>
      </c>
      <c r="Q2191" s="1" t="str">
        <f ca="1">IFERROR(__xludf.DUMMYFUNCTION("""COMPUTED_VALUE"""),"Yes")</f>
        <v>Yes</v>
      </c>
      <c r="R2191" s="1" t="str">
        <f ca="1">IFERROR(__xludf.DUMMYFUNCTION("""COMPUTED_VALUE"""),"No way")</f>
        <v>No way</v>
      </c>
      <c r="S2191" s="1" t="str">
        <f ca="1">IFERROR(__xludf.DUMMYFUNCTION("""COMPUTED_VALUE"""),"payaam.vohra@hkcp.edu.in")</f>
        <v>payaam.vohra@hkcp.edu.in</v>
      </c>
    </row>
    <row r="2192" spans="1:19" ht="12.5" x14ac:dyDescent="0.25">
      <c r="A2192" s="2">
        <f ca="1">IFERROR(__xludf.DUMMYFUNCTION("""COMPUTED_VALUE"""),45063.7634330671)</f>
        <v>45063.763433067099</v>
      </c>
      <c r="B2192" s="1" t="str">
        <f ca="1">IFERROR(__xludf.DUMMYFUNCTION("""COMPUTED_VALUE"""),"India")</f>
        <v>India</v>
      </c>
      <c r="C2192" s="1">
        <f ca="1">IFERROR(__xludf.DUMMYFUNCTION("""COMPUTED_VALUE"""),560062)</f>
        <v>560062</v>
      </c>
      <c r="D2192" s="1" t="str">
        <f ca="1">IFERROR(__xludf.DUMMYFUNCTION("""COMPUTED_VALUE"""),"Female")</f>
        <v>Female</v>
      </c>
      <c r="E2192" s="1" t="str">
        <f ca="1">IFERROR(__xludf.DUMMYFUNCTION("""COMPUTED_VALUE"""),"My Parents")</f>
        <v>My Parents</v>
      </c>
      <c r="F2192" s="1" t="str">
        <f ca="1">IFERROR(__xludf.DUMMYFUNCTION("""COMPUTED_VALUE"""),"No I would not be pursuing Higher Education outside of India")</f>
        <v>No I would not be pursuing Higher Education outside of India</v>
      </c>
      <c r="G2192" s="1" t="str">
        <f ca="1">IFERROR(__xludf.DUMMYFUNCTION("""COMPUTED_VALUE"""),"Will work for 3 years or more")</f>
        <v>Will work for 3 years or more</v>
      </c>
      <c r="H2192" s="1" t="str">
        <f ca="1">IFERROR(__xludf.DUMMYFUNCTION("""COMPUTED_VALUE"""),"No")</f>
        <v>No</v>
      </c>
      <c r="I2192" s="1" t="str">
        <f ca="1">IFERROR(__xludf.DUMMYFUNCTION("""COMPUTED_VALUE"""),"Will work for them")</f>
        <v>Will work for them</v>
      </c>
      <c r="J2192" s="1">
        <f ca="1">IFERROR(__xludf.DUMMYFUNCTION("""COMPUTED_VALUE"""),3)</f>
        <v>3</v>
      </c>
      <c r="K2192" s="1" t="str">
        <f ca="1">IFERROR(__xludf.DUMMYFUNCTION("""COMPUTED_VALUE"""),"Hybrid Working Environment with more than 15 days a month at office")</f>
        <v>Hybrid Working Environment with more than 15 days a month at office</v>
      </c>
      <c r="L2192" s="1" t="str">
        <f ca="1">IFERROR(__xludf.DUMMYFUNCTION("""COMPUTED_VALUE"""),"Employer who appreciates learning and enables that environment")</f>
        <v>Employer who appreciates learning and enables that environment</v>
      </c>
      <c r="M219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92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192" s="1" t="str">
        <f ca="1">IFERROR(__xludf.DUMMYFUNCTION("""COMPUTED_VALUE"""),"Manager who clearly describes what she/he needs")</f>
        <v>Manager who clearly describes what she/he needs</v>
      </c>
      <c r="P2192" s="1" t="str">
        <f ca="1">IFERROR(__xludf.DUMMYFUNCTION("""COMPUTED_VALUE"""),"Work alone")</f>
        <v>Work alone</v>
      </c>
      <c r="Q2192" s="1" t="str">
        <f ca="1">IFERROR(__xludf.DUMMYFUNCTION("""COMPUTED_VALUE"""),"No")</f>
        <v>No</v>
      </c>
      <c r="R2192" s="1" t="str">
        <f ca="1">IFERROR(__xludf.DUMMYFUNCTION("""COMPUTED_VALUE"""),"Will work for 7 years or more")</f>
        <v>Will work for 7 years or more</v>
      </c>
      <c r="S2192" s="1" t="str">
        <f ca="1">IFERROR(__xludf.DUMMYFUNCTION("""COMPUTED_VALUE"""),"induchowdaryravuru@gmail.com")</f>
        <v>induchowdaryravuru@gmail.com</v>
      </c>
    </row>
    <row r="2193" spans="1:19" ht="12.5" x14ac:dyDescent="0.25">
      <c r="A2193" s="2">
        <f ca="1">IFERROR(__xludf.DUMMYFUNCTION("""COMPUTED_VALUE"""),45063.7651132638)</f>
        <v>45063.765113263798</v>
      </c>
      <c r="B2193" s="1" t="str">
        <f ca="1">IFERROR(__xludf.DUMMYFUNCTION("""COMPUTED_VALUE"""),"India")</f>
        <v>India</v>
      </c>
      <c r="C2193" s="1">
        <f ca="1">IFERROR(__xludf.DUMMYFUNCTION("""COMPUTED_VALUE"""),482011)</f>
        <v>482011</v>
      </c>
      <c r="D2193" s="1" t="str">
        <f ca="1">IFERROR(__xludf.DUMMYFUNCTION("""COMPUTED_VALUE"""),"Male")</f>
        <v>Male</v>
      </c>
      <c r="E2193" s="1" t="str">
        <f ca="1">IFERROR(__xludf.DUMMYFUNCTION("""COMPUTED_VALUE"""),"People who have changed the world for better")</f>
        <v>People who have changed the world for better</v>
      </c>
      <c r="F2193" s="1" t="str">
        <f ca="1">IFERROR(__xludf.DUMMYFUNCTION("""COMPUTED_VALUE"""),"Yes, I will earn and do that")</f>
        <v>Yes, I will earn and do that</v>
      </c>
      <c r="G2193" s="1" t="str">
        <f ca="1">IFERROR(__xludf.DUMMYFUNCTION("""COMPUTED_VALUE"""),"Will work for 3 years or more")</f>
        <v>Will work for 3 years or more</v>
      </c>
      <c r="H2193" s="1" t="str">
        <f ca="1">IFERROR(__xludf.DUMMYFUNCTION("""COMPUTED_VALUE"""),"Yes")</f>
        <v>Yes</v>
      </c>
      <c r="I2193" s="1" t="str">
        <f ca="1">IFERROR(__xludf.DUMMYFUNCTION("""COMPUTED_VALUE"""),"Will work for them")</f>
        <v>Will work for them</v>
      </c>
      <c r="J2193" s="1">
        <f ca="1">IFERROR(__xludf.DUMMYFUNCTION("""COMPUTED_VALUE"""),9)</f>
        <v>9</v>
      </c>
      <c r="K2193" s="1" t="str">
        <f ca="1">IFERROR(__xludf.DUMMYFUNCTION("""COMPUTED_VALUE"""),"Hybrid Working Environment with more than 15 days a month at office")</f>
        <v>Hybrid Working Environment with more than 15 days a month at office</v>
      </c>
      <c r="L21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9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193" s="1" t="str">
        <f ca="1">IFERROR(__xludf.DUMMYFUNCTION("""COMPUTED_VALUE"""),"Teaching in any of the institutes/colleges/online or offline, Business Operations in any organization, Become a content Creator in some platform, Entrepreneur or Start Up")</f>
        <v>Teaching in any of the institutes/colleges/online or offline, Business Operations in any organization, Become a content Creator in some platform, Entrepreneur or Start Up</v>
      </c>
      <c r="O2193" s="1" t="str">
        <f ca="1">IFERROR(__xludf.DUMMYFUNCTION("""COMPUTED_VALUE"""),"Manager who explains what is expected, sets a goal and helps achieve it")</f>
        <v>Manager who explains what is expected, sets a goal and helps achieve it</v>
      </c>
      <c r="P2193" s="1" t="str">
        <f ca="1">IFERROR(__xludf.DUMMYFUNCTION("""COMPUTED_VALUE"""),"Work with 7 to 10 or more people in my team")</f>
        <v>Work with 7 to 10 or more people in my team</v>
      </c>
      <c r="Q2193" s="1" t="str">
        <f ca="1">IFERROR(__xludf.DUMMYFUNCTION("""COMPUTED_VALUE"""),"No")</f>
        <v>No</v>
      </c>
      <c r="R2193" s="1" t="str">
        <f ca="1">IFERROR(__xludf.DUMMYFUNCTION("""COMPUTED_VALUE"""),"Will work for 7 years or more")</f>
        <v>Will work for 7 years or more</v>
      </c>
      <c r="S2193" s="1" t="str">
        <f ca="1">IFERROR(__xludf.DUMMYFUNCTION("""COMPUTED_VALUE"""),"stfushubham@gmail.com")</f>
        <v>stfushubham@gmail.com</v>
      </c>
    </row>
    <row r="2194" spans="1:19" ht="12.5" x14ac:dyDescent="0.25">
      <c r="A2194" s="2">
        <f ca="1">IFERROR(__xludf.DUMMYFUNCTION("""COMPUTED_VALUE"""),45063.7658483796)</f>
        <v>45063.765848379597</v>
      </c>
      <c r="B2194" s="1" t="str">
        <f ca="1">IFERROR(__xludf.DUMMYFUNCTION("""COMPUTED_VALUE"""),"India")</f>
        <v>India</v>
      </c>
      <c r="C2194" s="1">
        <f ca="1">IFERROR(__xludf.DUMMYFUNCTION("""COMPUTED_VALUE"""),425001)</f>
        <v>425001</v>
      </c>
      <c r="D2194" s="1" t="str">
        <f ca="1">IFERROR(__xludf.DUMMYFUNCTION("""COMPUTED_VALUE"""),"Male")</f>
        <v>Male</v>
      </c>
      <c r="E2194" s="1" t="str">
        <f ca="1">IFERROR(__xludf.DUMMYFUNCTION("""COMPUTED_VALUE"""),"My Parents")</f>
        <v>My Parents</v>
      </c>
      <c r="F2194" s="1" t="str">
        <f ca="1">IFERROR(__xludf.DUMMYFUNCTION("""COMPUTED_VALUE"""),"No, But if someone could bare the cost I will")</f>
        <v>No, But if someone could bare the cost I will</v>
      </c>
      <c r="G2194" s="1" t="str">
        <f ca="1">IFERROR(__xludf.DUMMYFUNCTION("""COMPUTED_VALUE"""),"Will work for 3 years or more")</f>
        <v>Will work for 3 years or more</v>
      </c>
      <c r="H2194" s="1" t="str">
        <f ca="1">IFERROR(__xludf.DUMMYFUNCTION("""COMPUTED_VALUE"""),"No")</f>
        <v>No</v>
      </c>
      <c r="I2194" s="1" t="str">
        <f ca="1">IFERROR(__xludf.DUMMYFUNCTION("""COMPUTED_VALUE"""),"Will work for them")</f>
        <v>Will work for them</v>
      </c>
      <c r="J2194" s="1">
        <f ca="1">IFERROR(__xludf.DUMMYFUNCTION("""COMPUTED_VALUE"""),7)</f>
        <v>7</v>
      </c>
      <c r="K2194" s="1" t="str">
        <f ca="1">IFERROR(__xludf.DUMMYFUNCTION("""COMPUTED_VALUE"""),"Hybrid Working Environment with more than 15 days a month at office")</f>
        <v>Hybrid Working Environment with more than 15 days a month at office</v>
      </c>
      <c r="L2194" s="1" t="str">
        <f ca="1">IFERROR(__xludf.DUMMYFUNCTION("""COMPUTED_VALUE"""),"Employer who rewards learning and enables that environment")</f>
        <v>Employer who rewards learning and enables that environment</v>
      </c>
      <c r="M219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94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2194" s="1" t="str">
        <f ca="1">IFERROR(__xludf.DUMMYFUNCTION("""COMPUTED_VALUE"""),"Manager who clearly describes what she/he needs")</f>
        <v>Manager who clearly describes what she/he needs</v>
      </c>
      <c r="P2194" s="1" t="str">
        <f ca="1">IFERROR(__xludf.DUMMYFUNCTION("""COMPUTED_VALUE"""),"Work with 5 to 6 people in my team")</f>
        <v>Work with 5 to 6 people in my team</v>
      </c>
      <c r="Q2194" s="1" t="str">
        <f ca="1">IFERROR(__xludf.DUMMYFUNCTION("""COMPUTED_VALUE"""),"Yes, I Understand this is gonna happen everywhere")</f>
        <v>Yes, I Understand this is gonna happen everywhere</v>
      </c>
      <c r="R2194" s="1" t="str">
        <f ca="1">IFERROR(__xludf.DUMMYFUNCTION("""COMPUTED_VALUE"""),"This will be hard to do, but if it is the right company I would try")</f>
        <v>This will be hard to do, but if it is the right company I would try</v>
      </c>
      <c r="S2194" s="1" t="str">
        <f ca="1">IFERROR(__xludf.DUMMYFUNCTION("""COMPUTED_VALUE"""),"kunalkjain1499@gmail.com")</f>
        <v>kunalkjain1499@gmail.com</v>
      </c>
    </row>
    <row r="2195" spans="1:19" ht="12.5" x14ac:dyDescent="0.25">
      <c r="A2195" s="2">
        <f ca="1">IFERROR(__xludf.DUMMYFUNCTION("""COMPUTED_VALUE"""),45063.7705520486)</f>
        <v>45063.770552048598</v>
      </c>
      <c r="B2195" s="1" t="str">
        <f ca="1">IFERROR(__xludf.DUMMYFUNCTION("""COMPUTED_VALUE"""),"India")</f>
        <v>India</v>
      </c>
      <c r="C2195" s="1">
        <f ca="1">IFERROR(__xludf.DUMMYFUNCTION("""COMPUTED_VALUE"""),561202)</f>
        <v>561202</v>
      </c>
      <c r="D2195" s="1" t="str">
        <f ca="1">IFERROR(__xludf.DUMMYFUNCTION("""COMPUTED_VALUE"""),"Male")</f>
        <v>Male</v>
      </c>
      <c r="E2195" s="1" t="str">
        <f ca="1">IFERROR(__xludf.DUMMYFUNCTION("""COMPUTED_VALUE"""),"Influencers who had successful careers")</f>
        <v>Influencers who had successful careers</v>
      </c>
      <c r="F2195" s="1" t="str">
        <f ca="1">IFERROR(__xludf.DUMMYFUNCTION("""COMPUTED_VALUE"""),"No, But if someone could bare the cost I will")</f>
        <v>No, But if someone could bare the cost I will</v>
      </c>
      <c r="G2195" s="1" t="str">
        <f ca="1">IFERROR(__xludf.DUMMYFUNCTION("""COMPUTED_VALUE"""),"Will work for 3 years or more")</f>
        <v>Will work for 3 years or more</v>
      </c>
      <c r="H2195" s="1" t="str">
        <f ca="1">IFERROR(__xludf.DUMMYFUNCTION("""COMPUTED_VALUE"""),"Yes")</f>
        <v>Yes</v>
      </c>
      <c r="I2195" s="1" t="str">
        <f ca="1">IFERROR(__xludf.DUMMYFUNCTION("""COMPUTED_VALUE"""),"Will work for them")</f>
        <v>Will work for them</v>
      </c>
      <c r="J2195" s="1">
        <f ca="1">IFERROR(__xludf.DUMMYFUNCTION("""COMPUTED_VALUE"""),1)</f>
        <v>1</v>
      </c>
      <c r="K2195" s="1" t="str">
        <f ca="1">IFERROR(__xludf.DUMMYFUNCTION("""COMPUTED_VALUE"""),"Every Day Office Environment")</f>
        <v>Every Day Office Environment</v>
      </c>
      <c r="L2195" s="1" t="str">
        <f ca="1">IFERROR(__xludf.DUMMYFUNCTION("""COMPUTED_VALUE"""),"Employer who appreciates learning and enables that environment")</f>
        <v>Employer who appreciates learning and enables that environment</v>
      </c>
      <c r="M219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195" s="1" t="str">
        <f ca="1">IFERROR(__xludf.DUMMYFUNCTION("""COMPUTED_VALUE"""),"Business Operations in any organization, Work in a BPO setup for some well known client, Become a content Creator in some platform, An Artificial Intelligence Specialist / Talking to Robots")</f>
        <v>Business Operations in any organization, Work in a BPO setup for some well known client, Become a content Creator in some platform, An Artificial Intelligence Specialist / Talking to Robots</v>
      </c>
      <c r="O2195" s="1" t="str">
        <f ca="1">IFERROR(__xludf.DUMMYFUNCTION("""COMPUTED_VALUE"""),"Manager who sets goal and helps me achieve it")</f>
        <v>Manager who sets goal and helps me achieve it</v>
      </c>
      <c r="P2195" s="1" t="str">
        <f ca="1">IFERROR(__xludf.DUMMYFUNCTION("""COMPUTED_VALUE"""),"Work alone")</f>
        <v>Work alone</v>
      </c>
      <c r="Q2195" s="1" t="str">
        <f ca="1">IFERROR(__xludf.DUMMYFUNCTION("""COMPUTED_VALUE"""),"Yes")</f>
        <v>Yes</v>
      </c>
      <c r="R2195" s="1" t="str">
        <f ca="1">IFERROR(__xludf.DUMMYFUNCTION("""COMPUTED_VALUE"""),"This will be hard to do, but if it is the right company I would try")</f>
        <v>This will be hard to do, but if it is the right company I would try</v>
      </c>
      <c r="S2195" s="1" t="str">
        <f ca="1">IFERROR(__xludf.DUMMYFUNCTION("""COMPUTED_VALUE"""),"sujithbathineni2@gmail.com")</f>
        <v>sujithbathineni2@gmail.com</v>
      </c>
    </row>
    <row r="2196" spans="1:19" ht="12.5" x14ac:dyDescent="0.25">
      <c r="A2196" s="2">
        <f ca="1">IFERROR(__xludf.DUMMYFUNCTION("""COMPUTED_VALUE"""),45063.7712591087)</f>
        <v>45063.771259108697</v>
      </c>
      <c r="B2196" s="1" t="str">
        <f ca="1">IFERROR(__xludf.DUMMYFUNCTION("""COMPUTED_VALUE"""),"India")</f>
        <v>India</v>
      </c>
      <c r="C2196" s="1">
        <f ca="1">IFERROR(__xludf.DUMMYFUNCTION("""COMPUTED_VALUE"""),572136)</f>
        <v>572136</v>
      </c>
      <c r="D2196" s="1" t="str">
        <f ca="1">IFERROR(__xludf.DUMMYFUNCTION("""COMPUTED_VALUE"""),"Male")</f>
        <v>Male</v>
      </c>
      <c r="E2196" s="1" t="str">
        <f ca="1">IFERROR(__xludf.DUMMYFUNCTION("""COMPUTED_VALUE"""),"People who have changed the world for better")</f>
        <v>People who have changed the world for better</v>
      </c>
      <c r="F2196" s="1" t="str">
        <f ca="1">IFERROR(__xludf.DUMMYFUNCTION("""COMPUTED_VALUE"""),"Yes, I will earn and do that")</f>
        <v>Yes, I will earn and do that</v>
      </c>
      <c r="G2196" s="1" t="str">
        <f ca="1">IFERROR(__xludf.DUMMYFUNCTION("""COMPUTED_VALUE"""),"Will work for 3 years or more")</f>
        <v>Will work for 3 years or more</v>
      </c>
      <c r="H2196" s="1" t="str">
        <f ca="1">IFERROR(__xludf.DUMMYFUNCTION("""COMPUTED_VALUE"""),"No")</f>
        <v>No</v>
      </c>
      <c r="I2196" s="1" t="str">
        <f ca="1">IFERROR(__xludf.DUMMYFUNCTION("""COMPUTED_VALUE"""),"Will NOT work for them")</f>
        <v>Will NOT work for them</v>
      </c>
      <c r="J2196" s="1">
        <f ca="1">IFERROR(__xludf.DUMMYFUNCTION("""COMPUTED_VALUE"""),5)</f>
        <v>5</v>
      </c>
      <c r="K2196" s="1" t="str">
        <f ca="1">IFERROR(__xludf.DUMMYFUNCTION("""COMPUTED_VALUE"""),"Hybrid Working Environment with more than 15 days a month at office")</f>
        <v>Hybrid Working Environment with more than 15 days a month at office</v>
      </c>
      <c r="L2196" s="1" t="str">
        <f ca="1">IFERROR(__xludf.DUMMYFUNCTION("""COMPUTED_VALUE"""),"Employer who appreciates learning and enables that environment")</f>
        <v>Employer who appreciates learning and enables that environment</v>
      </c>
      <c r="M2196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196" s="1" t="str">
        <f ca="1">IFERROR(__xludf.DUMMYFUNCTION("""COMPUTED_VALUE"""),"Design and Creative strategy in any company, Work as a freelancer and do my thing my way, Become a content Creator in some platform, An Artificial Intelligence Specialist / Talking to Robots")</f>
        <v>Design and Creative strategy in any company, Work as a freelancer and do my thing my way, Become a content Creator in some platform, An Artificial Intelligence Specialist / Talking to Robots</v>
      </c>
      <c r="O2196" s="1" t="str">
        <f ca="1">IFERROR(__xludf.DUMMYFUNCTION("""COMPUTED_VALUE"""),"Manager who explains what is expected, sets a goal and helps achieve it")</f>
        <v>Manager who explains what is expected, sets a goal and helps achieve it</v>
      </c>
      <c r="P2196" s="1" t="str">
        <f ca="1">IFERROR(__xludf.DUMMYFUNCTION("""COMPUTED_VALUE"""),"Work with 2 to 3 people in my team")</f>
        <v>Work with 2 to 3 people in my team</v>
      </c>
      <c r="Q2196" s="1" t="str">
        <f ca="1">IFERROR(__xludf.DUMMYFUNCTION("""COMPUTED_VALUE"""),"No")</f>
        <v>No</v>
      </c>
      <c r="R2196" s="1" t="str">
        <f ca="1">IFERROR(__xludf.DUMMYFUNCTION("""COMPUTED_VALUE"""),"This will be hard to do, but if it is the right company I would try")</f>
        <v>This will be hard to do, but if it is the right company I would try</v>
      </c>
      <c r="S2196" s="1" t="str">
        <f ca="1">IFERROR(__xludf.DUMMYFUNCTION("""COMPUTED_VALUE"""),"harshathakkilapati@gmail.com")</f>
        <v>harshathakkilapati@gmail.com</v>
      </c>
    </row>
    <row r="2197" spans="1:19" ht="12.5" x14ac:dyDescent="0.25">
      <c r="A2197" s="2">
        <f ca="1">IFERROR(__xludf.DUMMYFUNCTION("""COMPUTED_VALUE"""),45063.7714469791)</f>
        <v>45063.771446979103</v>
      </c>
      <c r="B2197" s="1" t="str">
        <f ca="1">IFERROR(__xludf.DUMMYFUNCTION("""COMPUTED_VALUE"""),"India")</f>
        <v>India</v>
      </c>
      <c r="C2197" s="1">
        <f ca="1">IFERROR(__xludf.DUMMYFUNCTION("""COMPUTED_VALUE"""),516761)</f>
        <v>516761</v>
      </c>
      <c r="D2197" s="1" t="str">
        <f ca="1">IFERROR(__xludf.DUMMYFUNCTION("""COMPUTED_VALUE"""),"Male")</f>
        <v>Male</v>
      </c>
      <c r="E2197" s="1" t="str">
        <f ca="1">IFERROR(__xludf.DUMMYFUNCTION("""COMPUTED_VALUE"""),"Influencers who had successful careers")</f>
        <v>Influencers who had successful careers</v>
      </c>
      <c r="F2197" s="1" t="str">
        <f ca="1">IFERROR(__xludf.DUMMYFUNCTION("""COMPUTED_VALUE"""),"No I would not be pursuing Higher Education outside of India")</f>
        <v>No I would not be pursuing Higher Education outside of India</v>
      </c>
      <c r="G2197" s="1" t="str">
        <f ca="1">IFERROR(__xludf.DUMMYFUNCTION("""COMPUTED_VALUE"""),"This will be hard to do, but if it is the right company I would try")</f>
        <v>This will be hard to do, but if it is the right company I would try</v>
      </c>
      <c r="H2197" s="1" t="str">
        <f ca="1">IFERROR(__xludf.DUMMYFUNCTION("""COMPUTED_VALUE"""),"Yes")</f>
        <v>Yes</v>
      </c>
      <c r="I2197" s="1" t="str">
        <f ca="1">IFERROR(__xludf.DUMMYFUNCTION("""COMPUTED_VALUE"""),"Will work for them")</f>
        <v>Will work for them</v>
      </c>
      <c r="J2197" s="1">
        <f ca="1">IFERROR(__xludf.DUMMYFUNCTION("""COMPUTED_VALUE"""),9)</f>
        <v>9</v>
      </c>
      <c r="K2197" s="1" t="str">
        <f ca="1">IFERROR(__xludf.DUMMYFUNCTION("""COMPUTED_VALUE"""),"Fully Remote with No option to visit offices")</f>
        <v>Fully Remote with No option to visit offices</v>
      </c>
      <c r="L21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19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197" s="1" t="str">
        <f ca="1">IFERROR(__xludf.DUMMYFUNCTION("""COMPUTED_VALUE"""),"Manage and drive End-to-End Projects or Products, Build and develop a Team, Design and Develop amazing software, An Artificial Intelligence Specialist / Talking to Robots")</f>
        <v>Manage and drive End-to-End Projects or Products, Build and develop a Team, Design and Develop amazing software, An Artificial Intelligence Specialist / Talking to Robots</v>
      </c>
      <c r="O2197" s="1" t="str">
        <f ca="1">IFERROR(__xludf.DUMMYFUNCTION("""COMPUTED_VALUE"""),"Manager who explains what is expected, sets a goal and helps achieve it")</f>
        <v>Manager who explains what is expected, sets a goal and helps achieve it</v>
      </c>
      <c r="P2197" s="1" t="str">
        <f ca="1">IFERROR(__xludf.DUMMYFUNCTION("""COMPUTED_VALUE"""),"Work alone, Work with 7 to 10 or more people in my team, Work with more than 10 people in my team")</f>
        <v>Work alone, Work with 7 to 10 or more people in my team, Work with more than 10 people in my team</v>
      </c>
      <c r="Q2197" s="1" t="str">
        <f ca="1">IFERROR(__xludf.DUMMYFUNCTION("""COMPUTED_VALUE"""),"No")</f>
        <v>No</v>
      </c>
      <c r="R2197" s="1" t="str">
        <f ca="1">IFERROR(__xludf.DUMMYFUNCTION("""COMPUTED_VALUE"""),"This will be hard to do, but if it is the right company I would try")</f>
        <v>This will be hard to do, but if it is the right company I would try</v>
      </c>
      <c r="S2197" s="1" t="str">
        <f ca="1">IFERROR(__xludf.DUMMYFUNCTION("""COMPUTED_VALUE"""),"ravurumanojkld@gmail.com")</f>
        <v>ravurumanojkld@gmail.com</v>
      </c>
    </row>
    <row r="2198" spans="1:19" ht="12.5" x14ac:dyDescent="0.25">
      <c r="A2198" s="2">
        <f ca="1">IFERROR(__xludf.DUMMYFUNCTION("""COMPUTED_VALUE"""),45063.775714699)</f>
        <v>45063.775714698997</v>
      </c>
      <c r="B2198" s="1" t="str">
        <f ca="1">IFERROR(__xludf.DUMMYFUNCTION("""COMPUTED_VALUE"""),"India")</f>
        <v>India</v>
      </c>
      <c r="C2198" s="1">
        <f ca="1">IFERROR(__xludf.DUMMYFUNCTION("""COMPUTED_VALUE"""),560103)</f>
        <v>560103</v>
      </c>
      <c r="D2198" s="1" t="str">
        <f ca="1">IFERROR(__xludf.DUMMYFUNCTION("""COMPUTED_VALUE"""),"Male")</f>
        <v>Male</v>
      </c>
      <c r="E2198" s="1" t="str">
        <f ca="1">IFERROR(__xludf.DUMMYFUNCTION("""COMPUTED_VALUE"""),"My Parents")</f>
        <v>My Parents</v>
      </c>
      <c r="F2198" s="1" t="str">
        <f ca="1">IFERROR(__xludf.DUMMYFUNCTION("""COMPUTED_VALUE"""),"Yes, I will earn and do that")</f>
        <v>Yes, I will earn and do that</v>
      </c>
      <c r="G2198" s="1" t="str">
        <f ca="1">IFERROR(__xludf.DUMMYFUNCTION("""COMPUTED_VALUE"""),"Will work for 3 years or more")</f>
        <v>Will work for 3 years or more</v>
      </c>
      <c r="H2198" s="1" t="str">
        <f ca="1">IFERROR(__xludf.DUMMYFUNCTION("""COMPUTED_VALUE"""),"Yes")</f>
        <v>Yes</v>
      </c>
      <c r="I2198" s="1" t="str">
        <f ca="1">IFERROR(__xludf.DUMMYFUNCTION("""COMPUTED_VALUE"""),"Will work for them")</f>
        <v>Will work for them</v>
      </c>
      <c r="J2198" s="1">
        <f ca="1">IFERROR(__xludf.DUMMYFUNCTION("""COMPUTED_VALUE"""),10)</f>
        <v>10</v>
      </c>
      <c r="K2198" s="1" t="str">
        <f ca="1">IFERROR(__xludf.DUMMYFUNCTION("""COMPUTED_VALUE"""),"Hybrid Working Environment with more than 15 days a month at office")</f>
        <v>Hybrid Working Environment with more than 15 days a month at office</v>
      </c>
      <c r="L2198" s="1" t="str">
        <f ca="1">IFERROR(__xludf.DUMMYFUNCTION("""COMPUTED_VALUE"""),"Employer who appreciates learning and enables that environment")</f>
        <v>Employer who appreciates learning and enables that environment</v>
      </c>
      <c r="M219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98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198" s="1" t="str">
        <f ca="1">IFERROR(__xludf.DUMMYFUNCTION("""COMPUTED_VALUE"""),"Manager who sets targets and expects me to achieve it")</f>
        <v>Manager who sets targets and expects me to achieve it</v>
      </c>
      <c r="P2198" s="1" t="str">
        <f ca="1">IFERROR(__xludf.DUMMYFUNCTION("""COMPUTED_VALUE"""),"Work with 2 to 3 people in my team")</f>
        <v>Work with 2 to 3 people in my team</v>
      </c>
      <c r="Q2198" s="1" t="str">
        <f ca="1">IFERROR(__xludf.DUMMYFUNCTION("""COMPUTED_VALUE"""),"No")</f>
        <v>No</v>
      </c>
      <c r="R2198" s="1" t="str">
        <f ca="1">IFERROR(__xludf.DUMMYFUNCTION("""COMPUTED_VALUE"""),"Will work for 7 years or more")</f>
        <v>Will work for 7 years or more</v>
      </c>
      <c r="S2198" s="1" t="str">
        <f ca="1">IFERROR(__xludf.DUMMYFUNCTION("""COMPUTED_VALUE"""),"pavanthakkilapati@gmail.com")</f>
        <v>pavanthakkilapati@gmail.com</v>
      </c>
    </row>
    <row r="2199" spans="1:19" ht="12.5" x14ac:dyDescent="0.25">
      <c r="A2199" s="2">
        <f ca="1">IFERROR(__xludf.DUMMYFUNCTION("""COMPUTED_VALUE"""),45063.7769339699)</f>
        <v>45063.776933969901</v>
      </c>
      <c r="B2199" s="1" t="str">
        <f ca="1">IFERROR(__xludf.DUMMYFUNCTION("""COMPUTED_VALUE"""),"India")</f>
        <v>India</v>
      </c>
      <c r="C2199" s="1">
        <f ca="1">IFERROR(__xludf.DUMMYFUNCTION("""COMPUTED_VALUE"""),515001)</f>
        <v>515001</v>
      </c>
      <c r="D2199" s="1" t="str">
        <f ca="1">IFERROR(__xludf.DUMMYFUNCTION("""COMPUTED_VALUE"""),"Male")</f>
        <v>Male</v>
      </c>
      <c r="E2199" s="1" t="str">
        <f ca="1">IFERROR(__xludf.DUMMYFUNCTION("""COMPUTED_VALUE"""),"People from my circle, but not family members")</f>
        <v>People from my circle, but not family members</v>
      </c>
      <c r="F2199" s="1" t="str">
        <f ca="1">IFERROR(__xludf.DUMMYFUNCTION("""COMPUTED_VALUE"""),"Yes, I will earn and do that")</f>
        <v>Yes, I will earn and do that</v>
      </c>
      <c r="G2199" s="1" t="str">
        <f ca="1">IFERROR(__xludf.DUMMYFUNCTION("""COMPUTED_VALUE"""),"This will be hard to do, but if it is the right company I would try")</f>
        <v>This will be hard to do, but if it is the right company I would try</v>
      </c>
      <c r="H2199" s="1" t="str">
        <f ca="1">IFERROR(__xludf.DUMMYFUNCTION("""COMPUTED_VALUE"""),"No")</f>
        <v>No</v>
      </c>
      <c r="I2199" s="1" t="str">
        <f ca="1">IFERROR(__xludf.DUMMYFUNCTION("""COMPUTED_VALUE"""),"Will NOT work for them")</f>
        <v>Will NOT work for them</v>
      </c>
      <c r="J2199" s="1">
        <f ca="1">IFERROR(__xludf.DUMMYFUNCTION("""COMPUTED_VALUE"""),4)</f>
        <v>4</v>
      </c>
      <c r="K2199" s="1" t="str">
        <f ca="1">IFERROR(__xludf.DUMMYFUNCTION("""COMPUTED_VALUE"""),"Hybrid Working Environment with less than 3 days a month at office")</f>
        <v>Hybrid Working Environment with less than 3 days a month at office</v>
      </c>
      <c r="L2199" s="1" t="str">
        <f ca="1">IFERROR(__xludf.DUMMYFUNCTION("""COMPUTED_VALUE"""),"Employer who rewards learning and enables that environment")</f>
        <v>Employer who rewards learning and enables that environment</v>
      </c>
      <c r="M219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199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199" s="1" t="str">
        <f ca="1">IFERROR(__xludf.DUMMYFUNCTION("""COMPUTED_VALUE"""),"Manager who sets goal and helps me achieve it")</f>
        <v>Manager who sets goal and helps me achieve it</v>
      </c>
      <c r="P2199" s="1" t="str">
        <f ca="1">IFERROR(__xludf.DUMMYFUNCTION("""COMPUTED_VALUE"""),"Work with 2 to 3 people in my team")</f>
        <v>Work with 2 to 3 people in my team</v>
      </c>
      <c r="Q2199" s="1" t="str">
        <f ca="1">IFERROR(__xludf.DUMMYFUNCTION("""COMPUTED_VALUE"""),"Yes, I Understand this is gonna happen everywhere")</f>
        <v>Yes, I Understand this is gonna happen everywhere</v>
      </c>
      <c r="R2199" s="1" t="str">
        <f ca="1">IFERROR(__xludf.DUMMYFUNCTION("""COMPUTED_VALUE"""),"This will be hard to do, but if it is the right company I would try")</f>
        <v>This will be hard to do, but if it is the right company I would try</v>
      </c>
      <c r="S2199" s="1" t="str">
        <f ca="1">IFERROR(__xludf.DUMMYFUNCTION("""COMPUTED_VALUE"""),"saipavan6729@gmail.com")</f>
        <v>saipavan6729@gmail.com</v>
      </c>
    </row>
    <row r="2200" spans="1:19" ht="12.5" x14ac:dyDescent="0.25">
      <c r="A2200" s="2">
        <f ca="1">IFERROR(__xludf.DUMMYFUNCTION("""COMPUTED_VALUE"""),45063.7773632523)</f>
        <v>45063.777363252302</v>
      </c>
      <c r="B2200" s="1" t="str">
        <f ca="1">IFERROR(__xludf.DUMMYFUNCTION("""COMPUTED_VALUE"""),"India")</f>
        <v>India</v>
      </c>
      <c r="C2200" s="1">
        <f ca="1">IFERROR(__xludf.DUMMYFUNCTION("""COMPUTED_VALUE"""),110035)</f>
        <v>110035</v>
      </c>
      <c r="D2200" s="1" t="str">
        <f ca="1">IFERROR(__xludf.DUMMYFUNCTION("""COMPUTED_VALUE"""),"Male")</f>
        <v>Male</v>
      </c>
      <c r="E2200" s="1" t="str">
        <f ca="1">IFERROR(__xludf.DUMMYFUNCTION("""COMPUTED_VALUE"""),"People who have changed the world for better")</f>
        <v>People who have changed the world for better</v>
      </c>
      <c r="F2200" s="1" t="str">
        <f ca="1">IFERROR(__xludf.DUMMYFUNCTION("""COMPUTED_VALUE"""),"Yes, I will earn and do that")</f>
        <v>Yes, I will earn and do that</v>
      </c>
      <c r="G2200" s="1" t="str">
        <f ca="1">IFERROR(__xludf.DUMMYFUNCTION("""COMPUTED_VALUE"""),"Will work for 3 years or more")</f>
        <v>Will work for 3 years or more</v>
      </c>
      <c r="H2200" s="1" t="str">
        <f ca="1">IFERROR(__xludf.DUMMYFUNCTION("""COMPUTED_VALUE"""),"No")</f>
        <v>No</v>
      </c>
      <c r="I2200" s="1" t="str">
        <f ca="1">IFERROR(__xludf.DUMMYFUNCTION("""COMPUTED_VALUE"""),"Will NOT work for them")</f>
        <v>Will NOT work for them</v>
      </c>
      <c r="J2200" s="1">
        <f ca="1">IFERROR(__xludf.DUMMYFUNCTION("""COMPUTED_VALUE"""),8)</f>
        <v>8</v>
      </c>
      <c r="K2200" s="1" t="str">
        <f ca="1">IFERROR(__xludf.DUMMYFUNCTION("""COMPUTED_VALUE"""),"Hybrid Working Environment with more than 15 days a month at office")</f>
        <v>Hybrid Working Environment with more than 15 days a month at office</v>
      </c>
      <c r="L22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0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200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2200" s="1" t="str">
        <f ca="1">IFERROR(__xludf.DUMMYFUNCTION("""COMPUTED_VALUE"""),"Manager who explains what is expected, sets a goal and helps achieve it")</f>
        <v>Manager who explains what is expected, sets a goal and helps achieve it</v>
      </c>
      <c r="P2200" s="1" t="str">
        <f ca="1">IFERROR(__xludf.DUMMYFUNCTION("""COMPUTED_VALUE"""),"Work with 2 to 3 people in my team")</f>
        <v>Work with 2 to 3 people in my team</v>
      </c>
      <c r="Q2200" s="1" t="str">
        <f ca="1">IFERROR(__xludf.DUMMYFUNCTION("""COMPUTED_VALUE"""),"No")</f>
        <v>No</v>
      </c>
      <c r="R2200" s="1" t="str">
        <f ca="1">IFERROR(__xludf.DUMMYFUNCTION("""COMPUTED_VALUE"""),"This will be hard to do, but if it is the right company I would try")</f>
        <v>This will be hard to do, but if it is the right company I would try</v>
      </c>
      <c r="S2200" s="1" t="str">
        <f ca="1">IFERROR(__xludf.DUMMYFUNCTION("""COMPUTED_VALUE"""),"dahiyarajat528@gmail.com")</f>
        <v>dahiyarajat528@gmail.com</v>
      </c>
    </row>
    <row r="2201" spans="1:19" ht="12.5" x14ac:dyDescent="0.25">
      <c r="A2201" s="2">
        <f ca="1">IFERROR(__xludf.DUMMYFUNCTION("""COMPUTED_VALUE"""),45063.7789690625)</f>
        <v>45063.7789690625</v>
      </c>
      <c r="B2201" s="1" t="str">
        <f ca="1">IFERROR(__xludf.DUMMYFUNCTION("""COMPUTED_VALUE"""),"India")</f>
        <v>India</v>
      </c>
      <c r="C2201" s="1">
        <f ca="1">IFERROR(__xludf.DUMMYFUNCTION("""COMPUTED_VALUE"""),560078)</f>
        <v>560078</v>
      </c>
      <c r="D2201" s="1" t="str">
        <f ca="1">IFERROR(__xludf.DUMMYFUNCTION("""COMPUTED_VALUE"""),"Male")</f>
        <v>Male</v>
      </c>
      <c r="E2201" s="1" t="str">
        <f ca="1">IFERROR(__xludf.DUMMYFUNCTION("""COMPUTED_VALUE"""),"My Parents")</f>
        <v>My Parents</v>
      </c>
      <c r="F2201" s="1" t="str">
        <f ca="1">IFERROR(__xludf.DUMMYFUNCTION("""COMPUTED_VALUE"""),"Yes, I will earn and do that")</f>
        <v>Yes, I will earn and do that</v>
      </c>
      <c r="G2201" s="1" t="str">
        <f ca="1">IFERROR(__xludf.DUMMYFUNCTION("""COMPUTED_VALUE"""),"This will be hard to do, but if it is the right company I would try")</f>
        <v>This will be hard to do, but if it is the right company I would try</v>
      </c>
      <c r="H2201" s="1" t="str">
        <f ca="1">IFERROR(__xludf.DUMMYFUNCTION("""COMPUTED_VALUE"""),"No")</f>
        <v>No</v>
      </c>
      <c r="I2201" s="1" t="str">
        <f ca="1">IFERROR(__xludf.DUMMYFUNCTION("""COMPUTED_VALUE"""),"Will NOT work for them")</f>
        <v>Will NOT work for them</v>
      </c>
      <c r="J2201" s="1">
        <f ca="1">IFERROR(__xludf.DUMMYFUNCTION("""COMPUTED_VALUE"""),4)</f>
        <v>4</v>
      </c>
      <c r="K2201" s="1" t="str">
        <f ca="1">IFERROR(__xludf.DUMMYFUNCTION("""COMPUTED_VALUE"""),"Hybrid Working Environment with more than 15 days a month at office")</f>
        <v>Hybrid Working Environment with more than 15 days a month at office</v>
      </c>
      <c r="L22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0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201" s="1" t="str">
        <f ca="1">IFERROR(__xludf.DUMMYFUNCTION("""COMPUTED_VALUE"""),"Business Operations in any organization, Manage and drive End-to-End Projects or Products, Build and develop a Team, Manufacturing / Oil and Gas/ Construction / Hard Physical Work related")</f>
        <v>Business Operations in any organization, Manage and drive End-to-End Projects or Products, Build and develop a Team, Manufacturing / Oil and Gas/ Construction / Hard Physical Work related</v>
      </c>
      <c r="O2201" s="1" t="str">
        <f ca="1">IFERROR(__xludf.DUMMYFUNCTION("""COMPUTED_VALUE"""),"Manager who explains what is expected, sets a goal and helps achieve it")</f>
        <v>Manager who explains what is expected, sets a goal and helps achieve it</v>
      </c>
      <c r="P2201" s="1" t="str">
        <f ca="1">IFERROR(__xludf.DUMMYFUNCTION("""COMPUTED_VALUE"""),"Work with 5 to 6 people in my team")</f>
        <v>Work with 5 to 6 people in my team</v>
      </c>
      <c r="Q2201" s="1" t="str">
        <f ca="1">IFERROR(__xludf.DUMMYFUNCTION("""COMPUTED_VALUE"""),"Yes, I Understand this is gonna happen everywhere")</f>
        <v>Yes, I Understand this is gonna happen everywhere</v>
      </c>
      <c r="R2201" s="1" t="str">
        <f ca="1">IFERROR(__xludf.DUMMYFUNCTION("""COMPUTED_VALUE"""),"This will be hard to do, but if it is the right company I would try")</f>
        <v>This will be hard to do, but if it is the right company I would try</v>
      </c>
      <c r="S2201" s="1" t="str">
        <f ca="1">IFERROR(__xludf.DUMMYFUNCTION("""COMPUTED_VALUE"""),"mandeepmanday@gmail.com")</f>
        <v>mandeepmanday@gmail.com</v>
      </c>
    </row>
    <row r="2202" spans="1:19" ht="12.5" x14ac:dyDescent="0.25">
      <c r="A2202" s="2">
        <f ca="1">IFERROR(__xludf.DUMMYFUNCTION("""COMPUTED_VALUE"""),45063.7797039004)</f>
        <v>45063.7797039004</v>
      </c>
      <c r="B2202" s="1" t="str">
        <f ca="1">IFERROR(__xludf.DUMMYFUNCTION("""COMPUTED_VALUE"""),"India")</f>
        <v>India</v>
      </c>
      <c r="C2202" s="1">
        <f ca="1">IFERROR(__xludf.DUMMYFUNCTION("""COMPUTED_VALUE"""),400064)</f>
        <v>400064</v>
      </c>
      <c r="D2202" s="1" t="str">
        <f ca="1">IFERROR(__xludf.DUMMYFUNCTION("""COMPUTED_VALUE"""),"Male")</f>
        <v>Male</v>
      </c>
      <c r="E2202" s="1" t="str">
        <f ca="1">IFERROR(__xludf.DUMMYFUNCTION("""COMPUTED_VALUE"""),"People from my circle, but not family members")</f>
        <v>People from my circle, but not family members</v>
      </c>
      <c r="F2202" s="1" t="str">
        <f ca="1">IFERROR(__xludf.DUMMYFUNCTION("""COMPUTED_VALUE"""),"Yes, I will earn and do that")</f>
        <v>Yes, I will earn and do that</v>
      </c>
      <c r="G2202" s="1" t="str">
        <f ca="1">IFERROR(__xludf.DUMMYFUNCTION("""COMPUTED_VALUE"""),"This will be hard to do, but if it is the right company I would try")</f>
        <v>This will be hard to do, but if it is the right company I would try</v>
      </c>
      <c r="H2202" s="1" t="str">
        <f ca="1">IFERROR(__xludf.DUMMYFUNCTION("""COMPUTED_VALUE"""),"No")</f>
        <v>No</v>
      </c>
      <c r="I2202" s="1" t="str">
        <f ca="1">IFERROR(__xludf.DUMMYFUNCTION("""COMPUTED_VALUE"""),"Will NOT work for them")</f>
        <v>Will NOT work for them</v>
      </c>
      <c r="J2202" s="1">
        <f ca="1">IFERROR(__xludf.DUMMYFUNCTION("""COMPUTED_VALUE"""),2)</f>
        <v>2</v>
      </c>
      <c r="K2202" s="1" t="str">
        <f ca="1">IFERROR(__xludf.DUMMYFUNCTION("""COMPUTED_VALUE"""),"Fully Remote with Options to travel as and when needed")</f>
        <v>Fully Remote with Options to travel as and when needed</v>
      </c>
      <c r="L22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0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02" s="1" t="str">
        <f ca="1">IFERROR(__xludf.DUMMYFUNCTION("""COMPUTED_VALUE"""),"Design and Creative strategy in any company, Business Operations in any organization, Design and Develop amazing software, An Artificial Intelligence Specialist / Talking to Robots")</f>
        <v>Design and Creative strategy in any company, Business Operations in any organization, Design and Develop amazing software, An Artificial Intelligence Specialist / Talking to Robots</v>
      </c>
      <c r="O2202" s="1" t="str">
        <f ca="1">IFERROR(__xludf.DUMMYFUNCTION("""COMPUTED_VALUE"""),"Manager who sets goal and helps me achieve it")</f>
        <v>Manager who sets goal and helps me achieve it</v>
      </c>
      <c r="P2202" s="1" t="str">
        <f ca="1">IFERROR(__xludf.DUMMYFUNCTION("""COMPUTED_VALUE"""),"Work with 5 to 6 people in my team")</f>
        <v>Work with 5 to 6 people in my team</v>
      </c>
      <c r="Q2202" s="1" t="str">
        <f ca="1">IFERROR(__xludf.DUMMYFUNCTION("""COMPUTED_VALUE"""),"Yes, I Understand this is gonna happen everywhere")</f>
        <v>Yes, I Understand this is gonna happen everywhere</v>
      </c>
      <c r="R2202" s="1" t="str">
        <f ca="1">IFERROR(__xludf.DUMMYFUNCTION("""COMPUTED_VALUE"""),"No way")</f>
        <v>No way</v>
      </c>
      <c r="S2202" s="1" t="str">
        <f ca="1">IFERROR(__xludf.DUMMYFUNCTION("""COMPUTED_VALUE"""),"saurabh7774.sg@gmail.com")</f>
        <v>saurabh7774.sg@gmail.com</v>
      </c>
    </row>
    <row r="2203" spans="1:19" ht="12.5" x14ac:dyDescent="0.25">
      <c r="A2203" s="2">
        <f ca="1">IFERROR(__xludf.DUMMYFUNCTION("""COMPUTED_VALUE"""),45063.7999912847)</f>
        <v>45063.799991284701</v>
      </c>
      <c r="B2203" s="1" t="str">
        <f ca="1">IFERROR(__xludf.DUMMYFUNCTION("""COMPUTED_VALUE"""),"India")</f>
        <v>India</v>
      </c>
      <c r="C2203" s="1">
        <f ca="1">IFERROR(__xludf.DUMMYFUNCTION("""COMPUTED_VALUE"""),110051)</f>
        <v>110051</v>
      </c>
      <c r="D2203" s="1" t="str">
        <f ca="1">IFERROR(__xludf.DUMMYFUNCTION("""COMPUTED_VALUE"""),"Female")</f>
        <v>Female</v>
      </c>
      <c r="E2203" s="1" t="str">
        <f ca="1">IFERROR(__xludf.DUMMYFUNCTION("""COMPUTED_VALUE"""),"People who have changed the world for better")</f>
        <v>People who have changed the world for better</v>
      </c>
      <c r="F2203" s="1" t="str">
        <f ca="1">IFERROR(__xludf.DUMMYFUNCTION("""COMPUTED_VALUE"""),"No I would not be pursuing Higher Education outside of India")</f>
        <v>No I would not be pursuing Higher Education outside of India</v>
      </c>
      <c r="G2203" s="1" t="str">
        <f ca="1">IFERROR(__xludf.DUMMYFUNCTION("""COMPUTED_VALUE"""),"This will be hard to do, but if it is the right company I would try")</f>
        <v>This will be hard to do, but if it is the right company I would try</v>
      </c>
      <c r="H2203" s="1" t="str">
        <f ca="1">IFERROR(__xludf.DUMMYFUNCTION("""COMPUTED_VALUE"""),"No")</f>
        <v>No</v>
      </c>
      <c r="I2203" s="1" t="str">
        <f ca="1">IFERROR(__xludf.DUMMYFUNCTION("""COMPUTED_VALUE"""),"Will NOT work for them")</f>
        <v>Will NOT work for them</v>
      </c>
      <c r="J2203" s="1">
        <f ca="1">IFERROR(__xludf.DUMMYFUNCTION("""COMPUTED_VALUE"""),1)</f>
        <v>1</v>
      </c>
      <c r="K2203" s="1" t="str">
        <f ca="1">IFERROR(__xludf.DUMMYFUNCTION("""COMPUTED_VALUE"""),"Fully Remote with Options to travel as and when needed")</f>
        <v>Fully Remote with Options to travel as and when needed</v>
      </c>
      <c r="L22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0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203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2203" s="1" t="str">
        <f ca="1">IFERROR(__xludf.DUMMYFUNCTION("""COMPUTED_VALUE"""),"Manager who explains what is expected, sets a goal and helps achieve it")</f>
        <v>Manager who explains what is expected, sets a goal and helps achieve it</v>
      </c>
      <c r="P2203" s="1" t="str">
        <f ca="1">IFERROR(__xludf.DUMMYFUNCTION("""COMPUTED_VALUE"""),"Work with 5 to 6 people in my team")</f>
        <v>Work with 5 to 6 people in my team</v>
      </c>
      <c r="Q2203" s="1" t="str">
        <f ca="1">IFERROR(__xludf.DUMMYFUNCTION("""COMPUTED_VALUE"""),"No")</f>
        <v>No</v>
      </c>
      <c r="R2203" s="1" t="str">
        <f ca="1">IFERROR(__xludf.DUMMYFUNCTION("""COMPUTED_VALUE"""),"No way")</f>
        <v>No way</v>
      </c>
      <c r="S2203" s="1" t="str">
        <f ca="1">IFERROR(__xludf.DUMMYFUNCTION("""COMPUTED_VALUE"""),"rankajaya@gmail.com")</f>
        <v>rankajaya@gmail.com</v>
      </c>
    </row>
    <row r="2204" spans="1:19" ht="12.5" x14ac:dyDescent="0.25">
      <c r="A2204" s="2">
        <f ca="1">IFERROR(__xludf.DUMMYFUNCTION("""COMPUTED_VALUE"""),45063.8034815393)</f>
        <v>45063.803481539297</v>
      </c>
      <c r="B2204" s="1" t="str">
        <f ca="1">IFERROR(__xludf.DUMMYFUNCTION("""COMPUTED_VALUE"""),"India")</f>
        <v>India</v>
      </c>
      <c r="C2204" s="1">
        <f ca="1">IFERROR(__xludf.DUMMYFUNCTION("""COMPUTED_VALUE"""),500053)</f>
        <v>500053</v>
      </c>
      <c r="D2204" s="1" t="str">
        <f ca="1">IFERROR(__xludf.DUMMYFUNCTION("""COMPUTED_VALUE"""),"Female")</f>
        <v>Female</v>
      </c>
      <c r="E2204" s="1" t="str">
        <f ca="1">IFERROR(__xludf.DUMMYFUNCTION("""COMPUTED_VALUE"""),"People from my circle, but not family members")</f>
        <v>People from my circle, but not family members</v>
      </c>
      <c r="F2204" s="1" t="str">
        <f ca="1">IFERROR(__xludf.DUMMYFUNCTION("""COMPUTED_VALUE"""),"No I would not be pursuing Higher Education outside of India")</f>
        <v>No I would not be pursuing Higher Education outside of India</v>
      </c>
      <c r="G2204" s="1" t="str">
        <f ca="1">IFERROR(__xludf.DUMMYFUNCTION("""COMPUTED_VALUE"""),"This will be hard to do, but if it is the right company I would try")</f>
        <v>This will be hard to do, but if it is the right company I would try</v>
      </c>
      <c r="H2204" s="1" t="str">
        <f ca="1">IFERROR(__xludf.DUMMYFUNCTION("""COMPUTED_VALUE"""),"No")</f>
        <v>No</v>
      </c>
      <c r="I2204" s="1" t="str">
        <f ca="1">IFERROR(__xludf.DUMMYFUNCTION("""COMPUTED_VALUE"""),"Will NOT work for them")</f>
        <v>Will NOT work for them</v>
      </c>
      <c r="J2204" s="1">
        <f ca="1">IFERROR(__xludf.DUMMYFUNCTION("""COMPUTED_VALUE"""),5)</f>
        <v>5</v>
      </c>
      <c r="K2204" s="1" t="str">
        <f ca="1">IFERROR(__xludf.DUMMYFUNCTION("""COMPUTED_VALUE"""),"Every Day Office Environment")</f>
        <v>Every Day Office Environment</v>
      </c>
      <c r="L22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0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204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2204" s="1" t="str">
        <f ca="1">IFERROR(__xludf.DUMMYFUNCTION("""COMPUTED_VALUE"""),"Manager who explains what is expected, sets a goal and helps achieve it")</f>
        <v>Manager who explains what is expected, sets a goal and helps achieve it</v>
      </c>
      <c r="P2204" s="1" t="str">
        <f ca="1">IFERROR(__xludf.DUMMYFUNCTION("""COMPUTED_VALUE"""),"Work with 5 to 6 people in my team")</f>
        <v>Work with 5 to 6 people in my team</v>
      </c>
      <c r="Q2204" s="1" t="str">
        <f ca="1">IFERROR(__xludf.DUMMYFUNCTION("""COMPUTED_VALUE"""),"Yes, I Understand this is gonna happen everywhere")</f>
        <v>Yes, I Understand this is gonna happen everywhere</v>
      </c>
      <c r="R2204" s="1" t="str">
        <f ca="1">IFERROR(__xludf.DUMMYFUNCTION("""COMPUTED_VALUE"""),"No way")</f>
        <v>No way</v>
      </c>
      <c r="S2204" s="1" t="str">
        <f ca="1">IFERROR(__xludf.DUMMYFUNCTION("""COMPUTED_VALUE"""),"harshithachouhan@gmail.com")</f>
        <v>harshithachouhan@gmail.com</v>
      </c>
    </row>
    <row r="2205" spans="1:19" ht="12.5" x14ac:dyDescent="0.25">
      <c r="A2205" s="2">
        <f ca="1">IFERROR(__xludf.DUMMYFUNCTION("""COMPUTED_VALUE"""),45063.8038967592)</f>
        <v>45063.8038967592</v>
      </c>
      <c r="B2205" s="1" t="str">
        <f ca="1">IFERROR(__xludf.DUMMYFUNCTION("""COMPUTED_VALUE"""),"India")</f>
        <v>India</v>
      </c>
      <c r="C2205" s="1">
        <f ca="1">IFERROR(__xludf.DUMMYFUNCTION("""COMPUTED_VALUE"""),410206)</f>
        <v>410206</v>
      </c>
      <c r="D2205" s="1" t="str">
        <f ca="1">IFERROR(__xludf.DUMMYFUNCTION("""COMPUTED_VALUE"""),"Male")</f>
        <v>Male</v>
      </c>
      <c r="E2205" s="1" t="str">
        <f ca="1">IFERROR(__xludf.DUMMYFUNCTION("""COMPUTED_VALUE"""),"My Parents")</f>
        <v>My Parents</v>
      </c>
      <c r="F2205" s="1" t="str">
        <f ca="1">IFERROR(__xludf.DUMMYFUNCTION("""COMPUTED_VALUE"""),"No I would not be pursuing Higher Education outside of India")</f>
        <v>No I would not be pursuing Higher Education outside of India</v>
      </c>
      <c r="G2205" s="1" t="str">
        <f ca="1">IFERROR(__xludf.DUMMYFUNCTION("""COMPUTED_VALUE"""),"Will work for 3 years or more")</f>
        <v>Will work for 3 years or more</v>
      </c>
      <c r="H2205" s="1" t="str">
        <f ca="1">IFERROR(__xludf.DUMMYFUNCTION("""COMPUTED_VALUE"""),"No")</f>
        <v>No</v>
      </c>
      <c r="I2205" s="1" t="str">
        <f ca="1">IFERROR(__xludf.DUMMYFUNCTION("""COMPUTED_VALUE"""),"Will work for them")</f>
        <v>Will work for them</v>
      </c>
      <c r="J2205" s="1">
        <f ca="1">IFERROR(__xludf.DUMMYFUNCTION("""COMPUTED_VALUE"""),9)</f>
        <v>9</v>
      </c>
      <c r="K2205" s="1" t="str">
        <f ca="1">IFERROR(__xludf.DUMMYFUNCTION("""COMPUTED_VALUE"""),"Hybrid Working Environment with more than 15 days a month at office")</f>
        <v>Hybrid Working Environment with more than 15 days a month at office</v>
      </c>
      <c r="L2205" s="1" t="str">
        <f ca="1">IFERROR(__xludf.DUMMYFUNCTION("""COMPUTED_VALUE"""),"Employer who appreciates learning and enables that environment")</f>
        <v>Employer who appreciates learning and enables that environment</v>
      </c>
      <c r="M220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205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2205" s="1" t="str">
        <f ca="1">IFERROR(__xludf.DUMMYFUNCTION("""COMPUTED_VALUE"""),"Manager who clearly describes what she/he needs")</f>
        <v>Manager who clearly describes what she/he needs</v>
      </c>
      <c r="P2205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205" s="1" t="str">
        <f ca="1">IFERROR(__xludf.DUMMYFUNCTION("""COMPUTED_VALUE"""),"Yes, I Understand this is gonna happen everywhere")</f>
        <v>Yes, I Understand this is gonna happen everywhere</v>
      </c>
      <c r="R2205" s="1" t="str">
        <f ca="1">IFERROR(__xludf.DUMMYFUNCTION("""COMPUTED_VALUE"""),"Will work for 7 years or more")</f>
        <v>Will work for 7 years or more</v>
      </c>
      <c r="S2205" s="1" t="str">
        <f ca="1">IFERROR(__xludf.DUMMYFUNCTION("""COMPUTED_VALUE"""),"princegupta19998@gmail.com")</f>
        <v>princegupta19998@gmail.com</v>
      </c>
    </row>
    <row r="2206" spans="1:19" ht="12.5" x14ac:dyDescent="0.25">
      <c r="A2206" s="2">
        <f ca="1">IFERROR(__xludf.DUMMYFUNCTION("""COMPUTED_VALUE"""),45063.8039182638)</f>
        <v>45063.803918263802</v>
      </c>
      <c r="B2206" s="1" t="str">
        <f ca="1">IFERROR(__xludf.DUMMYFUNCTION("""COMPUTED_VALUE"""),"Other")</f>
        <v>Other</v>
      </c>
      <c r="C2206" s="1" t="str">
        <f ca="1">IFERROR(__xludf.DUMMYFUNCTION("""COMPUTED_VALUE"""),"L52SA ")</f>
        <v xml:space="preserve">L52SA </v>
      </c>
      <c r="D2206" s="1" t="str">
        <f ca="1">IFERROR(__xludf.DUMMYFUNCTION("""COMPUTED_VALUE"""),"Male")</f>
        <v>Male</v>
      </c>
      <c r="E2206" s="1" t="str">
        <f ca="1">IFERROR(__xludf.DUMMYFUNCTION("""COMPUTED_VALUE"""),"People from my circle, but not family members")</f>
        <v>People from my circle, but not family members</v>
      </c>
      <c r="F2206" s="1" t="str">
        <f ca="1">IFERROR(__xludf.DUMMYFUNCTION("""COMPUTED_VALUE"""),"Yes, I will earn and do that")</f>
        <v>Yes, I will earn and do that</v>
      </c>
      <c r="G2206" s="1" t="str">
        <f ca="1">IFERROR(__xludf.DUMMYFUNCTION("""COMPUTED_VALUE"""),"This will be hard to do, but if it is the right company I would try")</f>
        <v>This will be hard to do, but if it is the right company I would try</v>
      </c>
      <c r="H2206" s="1" t="str">
        <f ca="1">IFERROR(__xludf.DUMMYFUNCTION("""COMPUTED_VALUE"""),"Yes")</f>
        <v>Yes</v>
      </c>
      <c r="I2206" s="1" t="str">
        <f ca="1">IFERROR(__xludf.DUMMYFUNCTION("""COMPUTED_VALUE"""),"Will work for them")</f>
        <v>Will work for them</v>
      </c>
      <c r="J2206" s="1">
        <f ca="1">IFERROR(__xludf.DUMMYFUNCTION("""COMPUTED_VALUE"""),10)</f>
        <v>10</v>
      </c>
      <c r="K2206" s="1" t="str">
        <f ca="1">IFERROR(__xludf.DUMMYFUNCTION("""COMPUTED_VALUE"""),"Hybrid Working Environment with more than 15 days a month at office")</f>
        <v>Hybrid Working Environment with more than 15 days a month at office</v>
      </c>
      <c r="L22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0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206" s="1" t="str">
        <f ca="1">IFERROR(__xludf.DUMMYFUNCTION("""COMPUTED_VALUE"""),"Build and develop a Team, Design and Develop amazing software, Look deeply into Data and generate insights, An Artificial Intelligence Specialist / Talking to Robots")</f>
        <v>Build and develop a Team, Design and Develop amazing software, Look deeply into Data and generate insights, An Artificial Intelligence Specialist / Talking to Robots</v>
      </c>
      <c r="O2206" s="1" t="str">
        <f ca="1">IFERROR(__xludf.DUMMYFUNCTION("""COMPUTED_VALUE"""),"Manager who explains what is expected, sets a goal and helps achieve it")</f>
        <v>Manager who explains what is expected, sets a goal and helps achieve it</v>
      </c>
      <c r="P2206" s="1" t="str">
        <f ca="1">IFERROR(__xludf.DUMMYFUNCTION("""COMPUTED_VALUE"""),"Work with 2 to 3 people in my team")</f>
        <v>Work with 2 to 3 people in my team</v>
      </c>
      <c r="Q2206" s="1" t="str">
        <f ca="1">IFERROR(__xludf.DUMMYFUNCTION("""COMPUTED_VALUE"""),"No")</f>
        <v>No</v>
      </c>
      <c r="R2206" s="1" t="str">
        <f ca="1">IFERROR(__xludf.DUMMYFUNCTION("""COMPUTED_VALUE"""),"This will be hard to do, but if it is the right company I would try")</f>
        <v>This will be hard to do, but if it is the right company I would try</v>
      </c>
      <c r="S2206" s="1" t="str">
        <f ca="1">IFERROR(__xludf.DUMMYFUNCTION("""COMPUTED_VALUE"""),"grkv.777@gmail.com")</f>
        <v>grkv.777@gmail.com</v>
      </c>
    </row>
    <row r="2207" spans="1:19" ht="12.5" x14ac:dyDescent="0.25">
      <c r="A2207" s="2">
        <f ca="1">IFERROR(__xludf.DUMMYFUNCTION("""COMPUTED_VALUE"""),45063.8093677546)</f>
        <v>45063.809367754598</v>
      </c>
      <c r="B2207" s="1" t="str">
        <f ca="1">IFERROR(__xludf.DUMMYFUNCTION("""COMPUTED_VALUE"""),"India")</f>
        <v>India</v>
      </c>
      <c r="C2207" s="1">
        <f ca="1">IFERROR(__xludf.DUMMYFUNCTION("""COMPUTED_VALUE"""),416511)</f>
        <v>416511</v>
      </c>
      <c r="D2207" s="1" t="str">
        <f ca="1">IFERROR(__xludf.DUMMYFUNCTION("""COMPUTED_VALUE"""),"Female")</f>
        <v>Female</v>
      </c>
      <c r="E2207" s="1" t="str">
        <f ca="1">IFERROR(__xludf.DUMMYFUNCTION("""COMPUTED_VALUE"""),"Influencers who had successful careers")</f>
        <v>Influencers who had successful careers</v>
      </c>
      <c r="F2207" s="1" t="str">
        <f ca="1">IFERROR(__xludf.DUMMYFUNCTION("""COMPUTED_VALUE"""),"Yes, I will earn and do that")</f>
        <v>Yes, I will earn and do that</v>
      </c>
      <c r="G2207" s="1" t="str">
        <f ca="1">IFERROR(__xludf.DUMMYFUNCTION("""COMPUTED_VALUE"""),"This will be hard to do, but if it is the right company I would try")</f>
        <v>This will be hard to do, but if it is the right company I would try</v>
      </c>
      <c r="H2207" s="1" t="str">
        <f ca="1">IFERROR(__xludf.DUMMYFUNCTION("""COMPUTED_VALUE"""),"No")</f>
        <v>No</v>
      </c>
      <c r="I2207" s="1" t="str">
        <f ca="1">IFERROR(__xludf.DUMMYFUNCTION("""COMPUTED_VALUE"""),"Will NOT work for them")</f>
        <v>Will NOT work for them</v>
      </c>
      <c r="J2207" s="1">
        <f ca="1">IFERROR(__xludf.DUMMYFUNCTION("""COMPUTED_VALUE"""),5)</f>
        <v>5</v>
      </c>
      <c r="K2207" s="1" t="str">
        <f ca="1">IFERROR(__xludf.DUMMYFUNCTION("""COMPUTED_VALUE"""),"Hybrid Working Environment with less than 3 days a month at office")</f>
        <v>Hybrid Working Environment with less than 3 days a month at office</v>
      </c>
      <c r="L2207" s="1" t="str">
        <f ca="1">IFERROR(__xludf.DUMMYFUNCTION("""COMPUTED_VALUE"""),"Employer who rewards learning and enables that environment")</f>
        <v>Employer who rewards learning and enables that environment</v>
      </c>
      <c r="M220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207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207" s="1" t="str">
        <f ca="1">IFERROR(__xludf.DUMMYFUNCTION("""COMPUTED_VALUE"""),"Manager who explains what is expected, sets a goal and helps achieve it")</f>
        <v>Manager who explains what is expected, sets a goal and helps achieve it</v>
      </c>
      <c r="P2207" s="1" t="str">
        <f ca="1">IFERROR(__xludf.DUMMYFUNCTION("""COMPUTED_VALUE"""),"Work with 7 to 10 or more people in my team")</f>
        <v>Work with 7 to 10 or more people in my team</v>
      </c>
      <c r="Q2207" s="1" t="str">
        <f ca="1">IFERROR(__xludf.DUMMYFUNCTION("""COMPUTED_VALUE"""),"Yes, I Understand this is gonna happen everywhere")</f>
        <v>Yes, I Understand this is gonna happen everywhere</v>
      </c>
      <c r="R2207" s="1" t="str">
        <f ca="1">IFERROR(__xludf.DUMMYFUNCTION("""COMPUTED_VALUE"""),"This will be hard to do, but if it is the right company I would try")</f>
        <v>This will be hard to do, but if it is the right company I would try</v>
      </c>
      <c r="S2207" s="1" t="str">
        <f ca="1">IFERROR(__xludf.DUMMYFUNCTION("""COMPUTED_VALUE"""),"bhumikakidji20@gmail.com")</f>
        <v>bhumikakidji20@gmail.com</v>
      </c>
    </row>
    <row r="2208" spans="1:19" ht="12.5" x14ac:dyDescent="0.25">
      <c r="A2208" s="2">
        <f ca="1">IFERROR(__xludf.DUMMYFUNCTION("""COMPUTED_VALUE"""),45063.8107248611)</f>
        <v>45063.810724861098</v>
      </c>
      <c r="B2208" s="1" t="str">
        <f ca="1">IFERROR(__xludf.DUMMYFUNCTION("""COMPUTED_VALUE"""),"India")</f>
        <v>India</v>
      </c>
      <c r="C2208" s="1">
        <f ca="1">IFERROR(__xludf.DUMMYFUNCTION("""COMPUTED_VALUE"""),533262)</f>
        <v>533262</v>
      </c>
      <c r="D2208" s="1" t="str">
        <f ca="1">IFERROR(__xludf.DUMMYFUNCTION("""COMPUTED_VALUE"""),"Male")</f>
        <v>Male</v>
      </c>
      <c r="E2208" s="1" t="str">
        <f ca="1">IFERROR(__xludf.DUMMYFUNCTION("""COMPUTED_VALUE"""),"My Parents")</f>
        <v>My Parents</v>
      </c>
      <c r="F2208" s="1" t="str">
        <f ca="1">IFERROR(__xludf.DUMMYFUNCTION("""COMPUTED_VALUE"""),"Yes, I will earn and do that")</f>
        <v>Yes, I will earn and do that</v>
      </c>
      <c r="G2208" s="1" t="str">
        <f ca="1">IFERROR(__xludf.DUMMYFUNCTION("""COMPUTED_VALUE"""),"Will work for 3 years or more")</f>
        <v>Will work for 3 years or more</v>
      </c>
      <c r="H2208" s="1" t="str">
        <f ca="1">IFERROR(__xludf.DUMMYFUNCTION("""COMPUTED_VALUE"""),"No")</f>
        <v>No</v>
      </c>
      <c r="I2208" s="1" t="str">
        <f ca="1">IFERROR(__xludf.DUMMYFUNCTION("""COMPUTED_VALUE"""),"Will NOT work for them")</f>
        <v>Will NOT work for them</v>
      </c>
      <c r="J2208" s="1">
        <f ca="1">IFERROR(__xludf.DUMMYFUNCTION("""COMPUTED_VALUE"""),5)</f>
        <v>5</v>
      </c>
      <c r="K2208" s="1" t="str">
        <f ca="1">IFERROR(__xludf.DUMMYFUNCTION("""COMPUTED_VALUE"""),"Fully Remote with No option to visit offices")</f>
        <v>Fully Remote with No option to visit offices</v>
      </c>
      <c r="L2208" s="1" t="str">
        <f ca="1">IFERROR(__xludf.DUMMYFUNCTION("""COMPUTED_VALUE"""),"Employer who appreciates learning and enables that environment")</f>
        <v>Employer who appreciates learning and enables that environment</v>
      </c>
      <c r="M220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08" s="1" t="str">
        <f ca="1">IFERROR(__xludf.DUMMYFUNCTION("""COMPUTED_VALUE"""),"Design and Creative strategy in any company, Teaching in any of the institutes/colleges/online or offline, Business Operations in any organization, An Artificial Intelligence Specialist / Talking to Robots")</f>
        <v>Design and Creative strategy in any company, Teaching in any of the institutes/colleges/online or offline, Business Operations in any organization, An Artificial Intelligence Specialist / Talking to Robots</v>
      </c>
      <c r="O2208" s="1" t="str">
        <f ca="1">IFERROR(__xludf.DUMMYFUNCTION("""COMPUTED_VALUE"""),"Manager who sets targets and expects me to achieve it")</f>
        <v>Manager who sets targets and expects me to achieve it</v>
      </c>
      <c r="P220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208" s="1" t="str">
        <f ca="1">IFERROR(__xludf.DUMMYFUNCTION("""COMPUTED_VALUE"""),"No")</f>
        <v>No</v>
      </c>
      <c r="R2208" s="1" t="str">
        <f ca="1">IFERROR(__xludf.DUMMYFUNCTION("""COMPUTED_VALUE"""),"This will be hard to do, but if it is the right company I would try")</f>
        <v>This will be hard to do, but if it is the right company I would try</v>
      </c>
      <c r="S2208" s="1" t="str">
        <f ca="1">IFERROR(__xludf.DUMMYFUNCTION("""COMPUTED_VALUE"""),"rizwansayyad0777@gmail.com")</f>
        <v>rizwansayyad0777@gmail.com</v>
      </c>
    </row>
    <row r="2209" spans="1:19" ht="12.5" x14ac:dyDescent="0.25">
      <c r="A2209" s="2">
        <f ca="1">IFERROR(__xludf.DUMMYFUNCTION("""COMPUTED_VALUE"""),45063.8155122569)</f>
        <v>45063.815512256901</v>
      </c>
      <c r="B2209" s="1" t="str">
        <f ca="1">IFERROR(__xludf.DUMMYFUNCTION("""COMPUTED_VALUE"""),"India")</f>
        <v>India</v>
      </c>
      <c r="C2209" s="1">
        <f ca="1">IFERROR(__xludf.DUMMYFUNCTION("""COMPUTED_VALUE"""),110017)</f>
        <v>110017</v>
      </c>
      <c r="D2209" s="1" t="str">
        <f ca="1">IFERROR(__xludf.DUMMYFUNCTION("""COMPUTED_VALUE"""),"Female")</f>
        <v>Female</v>
      </c>
      <c r="E2209" s="1" t="str">
        <f ca="1">IFERROR(__xludf.DUMMYFUNCTION("""COMPUTED_VALUE"""),"People who have changed the world for better")</f>
        <v>People who have changed the world for better</v>
      </c>
      <c r="F2209" s="1" t="str">
        <f ca="1">IFERROR(__xludf.DUMMYFUNCTION("""COMPUTED_VALUE"""),"No I would not be pursuing Higher Education outside of India")</f>
        <v>No I would not be pursuing Higher Education outside of India</v>
      </c>
      <c r="G2209" s="1" t="str">
        <f ca="1">IFERROR(__xludf.DUMMYFUNCTION("""COMPUTED_VALUE"""),"This will be hard to do, but if it is the right company I would try")</f>
        <v>This will be hard to do, but if it is the right company I would try</v>
      </c>
      <c r="H2209" s="1" t="str">
        <f ca="1">IFERROR(__xludf.DUMMYFUNCTION("""COMPUTED_VALUE"""),"Yes")</f>
        <v>Yes</v>
      </c>
      <c r="I2209" s="1" t="str">
        <f ca="1">IFERROR(__xludf.DUMMYFUNCTION("""COMPUTED_VALUE"""),"Will work for them")</f>
        <v>Will work for them</v>
      </c>
      <c r="J2209" s="1">
        <f ca="1">IFERROR(__xludf.DUMMYFUNCTION("""COMPUTED_VALUE"""),6)</f>
        <v>6</v>
      </c>
      <c r="K2209" s="1" t="str">
        <f ca="1">IFERROR(__xludf.DUMMYFUNCTION("""COMPUTED_VALUE"""),"Fully Remote with Options to travel as and when needed")</f>
        <v>Fully Remote with Options to travel as and when needed</v>
      </c>
      <c r="L22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0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09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209" s="1" t="str">
        <f ca="1">IFERROR(__xludf.DUMMYFUNCTION("""COMPUTED_VALUE"""),"Manager who clearly describes what she/he needs")</f>
        <v>Manager who clearly describes what she/he needs</v>
      </c>
      <c r="P2209" s="1" t="str">
        <f ca="1">IFERROR(__xludf.DUMMYFUNCTION("""COMPUTED_VALUE"""),"Work with 2 to 3 people in my team")</f>
        <v>Work with 2 to 3 people in my team</v>
      </c>
      <c r="Q2209" s="1" t="str">
        <f ca="1">IFERROR(__xludf.DUMMYFUNCTION("""COMPUTED_VALUE"""),"Yes, I Understand this is gonna happen everywhere")</f>
        <v>Yes, I Understand this is gonna happen everywhere</v>
      </c>
      <c r="R2209" s="1" t="str">
        <f ca="1">IFERROR(__xludf.DUMMYFUNCTION("""COMPUTED_VALUE"""),"This will be hard to do, but if it is the right company I would try")</f>
        <v>This will be hard to do, but if it is the right company I would try</v>
      </c>
      <c r="S2209" s="1" t="str">
        <f ca="1">IFERROR(__xludf.DUMMYFUNCTION("""COMPUTED_VALUE"""),"07sanskriti.m@gmail.com")</f>
        <v>07sanskriti.m@gmail.com</v>
      </c>
    </row>
    <row r="2210" spans="1:19" ht="12.5" x14ac:dyDescent="0.25">
      <c r="A2210" s="2">
        <f ca="1">IFERROR(__xludf.DUMMYFUNCTION("""COMPUTED_VALUE"""),45063.8208633332)</f>
        <v>45063.820863333298</v>
      </c>
      <c r="B2210" s="1" t="str">
        <f ca="1">IFERROR(__xludf.DUMMYFUNCTION("""COMPUTED_VALUE"""),"India")</f>
        <v>India</v>
      </c>
      <c r="C2210" s="1">
        <f ca="1">IFERROR(__xludf.DUMMYFUNCTION("""COMPUTED_VALUE"""),400067)</f>
        <v>400067</v>
      </c>
      <c r="D2210" s="1" t="str">
        <f ca="1">IFERROR(__xludf.DUMMYFUNCTION("""COMPUTED_VALUE"""),"Male")</f>
        <v>Male</v>
      </c>
      <c r="E2210" s="1" t="str">
        <f ca="1">IFERROR(__xludf.DUMMYFUNCTION("""COMPUTED_VALUE"""),"My Parents")</f>
        <v>My Parents</v>
      </c>
      <c r="F2210" s="1" t="str">
        <f ca="1">IFERROR(__xludf.DUMMYFUNCTION("""COMPUTED_VALUE"""),"Yes, I will earn and do that")</f>
        <v>Yes, I will earn and do that</v>
      </c>
      <c r="G2210" s="1" t="str">
        <f ca="1">IFERROR(__xludf.DUMMYFUNCTION("""COMPUTED_VALUE"""),"This will be hard to do, but if it is the right company I would try")</f>
        <v>This will be hard to do, but if it is the right company I would try</v>
      </c>
      <c r="H2210" s="1" t="str">
        <f ca="1">IFERROR(__xludf.DUMMYFUNCTION("""COMPUTED_VALUE"""),"No")</f>
        <v>No</v>
      </c>
      <c r="I2210" s="1" t="str">
        <f ca="1">IFERROR(__xludf.DUMMYFUNCTION("""COMPUTED_VALUE"""),"Will NOT work for them")</f>
        <v>Will NOT work for them</v>
      </c>
      <c r="J2210" s="1">
        <f ca="1">IFERROR(__xludf.DUMMYFUNCTION("""COMPUTED_VALUE"""),5)</f>
        <v>5</v>
      </c>
      <c r="K2210" s="1" t="str">
        <f ca="1">IFERROR(__xludf.DUMMYFUNCTION("""COMPUTED_VALUE"""),"Hybrid Working Environment with more than 15 days a month at office")</f>
        <v>Hybrid Working Environment with more than 15 days a month at office</v>
      </c>
      <c r="L22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1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210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210" s="1" t="str">
        <f ca="1">IFERROR(__xludf.DUMMYFUNCTION("""COMPUTED_VALUE"""),"Manager who sets goal and helps me achieve it")</f>
        <v>Manager who sets goal and helps me achieve it</v>
      </c>
      <c r="P2210" s="1" t="str">
        <f ca="1">IFERROR(__xludf.DUMMYFUNCTION("""COMPUTED_VALUE"""),"Work with more than 10 people in my team")</f>
        <v>Work with more than 10 people in my team</v>
      </c>
      <c r="Q2210" s="1" t="str">
        <f ca="1">IFERROR(__xludf.DUMMYFUNCTION("""COMPUTED_VALUE"""),"Yes, I Understand this is gonna happen everywhere")</f>
        <v>Yes, I Understand this is gonna happen everywhere</v>
      </c>
      <c r="R2210" s="1" t="str">
        <f ca="1">IFERROR(__xludf.DUMMYFUNCTION("""COMPUTED_VALUE"""),"This will be hard to do, but if it is the right company I would try")</f>
        <v>This will be hard to do, but if it is the right company I would try</v>
      </c>
      <c r="S2210" s="1" t="str">
        <f ca="1">IFERROR(__xludf.DUMMYFUNCTION("""COMPUTED_VALUE"""),"pratham240906@gmail.com")</f>
        <v>pratham240906@gmail.com</v>
      </c>
    </row>
    <row r="2211" spans="1:19" ht="12.5" x14ac:dyDescent="0.25">
      <c r="A2211" s="2">
        <f ca="1">IFERROR(__xludf.DUMMYFUNCTION("""COMPUTED_VALUE"""),45063.823084155)</f>
        <v>45063.823084155098</v>
      </c>
      <c r="B2211" s="1" t="str">
        <f ca="1">IFERROR(__xludf.DUMMYFUNCTION("""COMPUTED_VALUE"""),"India")</f>
        <v>India</v>
      </c>
      <c r="C2211" s="1">
        <f ca="1">IFERROR(__xludf.DUMMYFUNCTION("""COMPUTED_VALUE"""),416613)</f>
        <v>416613</v>
      </c>
      <c r="D2211" s="1" t="str">
        <f ca="1">IFERROR(__xludf.DUMMYFUNCTION("""COMPUTED_VALUE"""),"Male")</f>
        <v>Male</v>
      </c>
      <c r="E2211" s="1" t="str">
        <f ca="1">IFERROR(__xludf.DUMMYFUNCTION("""COMPUTED_VALUE"""),"People who have changed the world for better")</f>
        <v>People who have changed the world for better</v>
      </c>
      <c r="F2211" s="1" t="str">
        <f ca="1">IFERROR(__xludf.DUMMYFUNCTION("""COMPUTED_VALUE"""),"Yes, I will earn and do that")</f>
        <v>Yes, I will earn and do that</v>
      </c>
      <c r="G2211" s="1" t="str">
        <f ca="1">IFERROR(__xludf.DUMMYFUNCTION("""COMPUTED_VALUE"""),"This will be hard to do, but if it is the right company I would try")</f>
        <v>This will be hard to do, but if it is the right company I would try</v>
      </c>
      <c r="H2211" s="1" t="str">
        <f ca="1">IFERROR(__xludf.DUMMYFUNCTION("""COMPUTED_VALUE"""),"No")</f>
        <v>No</v>
      </c>
      <c r="I2211" s="1" t="str">
        <f ca="1">IFERROR(__xludf.DUMMYFUNCTION("""COMPUTED_VALUE"""),"Will NOT work for them")</f>
        <v>Will NOT work for them</v>
      </c>
      <c r="J2211" s="1">
        <f ca="1">IFERROR(__xludf.DUMMYFUNCTION("""COMPUTED_VALUE"""),4)</f>
        <v>4</v>
      </c>
      <c r="K2211" s="1" t="str">
        <f ca="1">IFERROR(__xludf.DUMMYFUNCTION("""COMPUTED_VALUE"""),"Every Day Office Environment")</f>
        <v>Every Day Office Environment</v>
      </c>
      <c r="L2211" s="1" t="str">
        <f ca="1">IFERROR(__xludf.DUMMYFUNCTION("""COMPUTED_VALUE"""),"Employer who appreciates learning and enables that environment")</f>
        <v>Employer who appreciates learning and enables that environment</v>
      </c>
      <c r="M221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11" s="1" t="str">
        <f ca="1">IFERROR(__xludf.DUMMYFUNCTION("""COMPUTED_VALUE"""),"Design and Creative strategy in any company, Teaching in any of the institutes/colleges/online or offline, Design and Develop amazing software, An Artificial Intelligence Specialist / Talking to Robots")</f>
        <v>Design and Creative strategy in any company, Teaching in any of the institutes/colleges/online or offline, Design and Develop amazing software, An Artificial Intelligence Specialist / Talking to Robots</v>
      </c>
      <c r="O2211" s="1" t="str">
        <f ca="1">IFERROR(__xludf.DUMMYFUNCTION("""COMPUTED_VALUE"""),"Manager who clearly describes what she/he needs")</f>
        <v>Manager who clearly describes what she/he needs</v>
      </c>
      <c r="P2211" s="1" t="str">
        <f ca="1">IFERROR(__xludf.DUMMYFUNCTION("""COMPUTED_VALUE"""),"Work with 2 to 3 people in my team")</f>
        <v>Work with 2 to 3 people in my team</v>
      </c>
      <c r="Q2211" s="1" t="str">
        <f ca="1">IFERROR(__xludf.DUMMYFUNCTION("""COMPUTED_VALUE"""),"Yes, I Understand this is gonna happen everywhere")</f>
        <v>Yes, I Understand this is gonna happen everywhere</v>
      </c>
      <c r="R2211" s="1" t="str">
        <f ca="1">IFERROR(__xludf.DUMMYFUNCTION("""COMPUTED_VALUE"""),"This will be hard to do, but if it is the right company I would try")</f>
        <v>This will be hard to do, but if it is the right company I would try</v>
      </c>
      <c r="S2211" s="1" t="str">
        <f ca="1">IFERROR(__xludf.DUMMYFUNCTION("""COMPUTED_VALUE"""),"pratik711998@gmail.com")</f>
        <v>pratik711998@gmail.com</v>
      </c>
    </row>
    <row r="2212" spans="1:19" ht="12.5" x14ac:dyDescent="0.25">
      <c r="A2212" s="2">
        <f ca="1">IFERROR(__xludf.DUMMYFUNCTION("""COMPUTED_VALUE"""),45063.8246045949)</f>
        <v>45063.824604594898</v>
      </c>
      <c r="B2212" s="1" t="str">
        <f ca="1">IFERROR(__xludf.DUMMYFUNCTION("""COMPUTED_VALUE"""),"India")</f>
        <v>India</v>
      </c>
      <c r="C2212" s="1">
        <f ca="1">IFERROR(__xludf.DUMMYFUNCTION("""COMPUTED_VALUE"""),400068)</f>
        <v>400068</v>
      </c>
      <c r="D2212" s="1" t="str">
        <f ca="1">IFERROR(__xludf.DUMMYFUNCTION("""COMPUTED_VALUE"""),"Male")</f>
        <v>Male</v>
      </c>
      <c r="E2212" s="1" t="str">
        <f ca="1">IFERROR(__xludf.DUMMYFUNCTION("""COMPUTED_VALUE"""),"People who have changed the world for better")</f>
        <v>People who have changed the world for better</v>
      </c>
      <c r="F2212" s="1" t="str">
        <f ca="1">IFERROR(__xludf.DUMMYFUNCTION("""COMPUTED_VALUE"""),"Yes, I will earn and do that")</f>
        <v>Yes, I will earn and do that</v>
      </c>
      <c r="G2212" s="1" t="str">
        <f ca="1">IFERROR(__xludf.DUMMYFUNCTION("""COMPUTED_VALUE"""),"This will be hard to do, but if it is the right company I would try")</f>
        <v>This will be hard to do, but if it is the right company I would try</v>
      </c>
      <c r="H2212" s="1" t="str">
        <f ca="1">IFERROR(__xludf.DUMMYFUNCTION("""COMPUTED_VALUE"""),"No")</f>
        <v>No</v>
      </c>
      <c r="I2212" s="1" t="str">
        <f ca="1">IFERROR(__xludf.DUMMYFUNCTION("""COMPUTED_VALUE"""),"Will NOT work for them")</f>
        <v>Will NOT work for them</v>
      </c>
      <c r="J2212" s="1">
        <f ca="1">IFERROR(__xludf.DUMMYFUNCTION("""COMPUTED_VALUE"""),5)</f>
        <v>5</v>
      </c>
      <c r="K2212" s="1" t="str">
        <f ca="1">IFERROR(__xludf.DUMMYFUNCTION("""COMPUTED_VALUE"""),"Hybrid Working Environment with more than 15 days a month at office")</f>
        <v>Hybrid Working Environment with more than 15 days a month at office</v>
      </c>
      <c r="L22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1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12" s="1" t="str">
        <f ca="1">IFERROR(__xludf.DUMMYFUNCTION("""COMPUTED_VALUE"""),"Manage and drive End-to-End Projects or Products, Build and develop a Team, Design and Develop amazing software, An Artificial Intelligence Specialist / Talking to Robots")</f>
        <v>Manage and drive End-to-End Projects or Products, Build and develop a Team, Design and Develop amazing software, An Artificial Intelligence Specialist / Talking to Robots</v>
      </c>
      <c r="O2212" s="1" t="str">
        <f ca="1">IFERROR(__xludf.DUMMYFUNCTION("""COMPUTED_VALUE"""),"Manager who sets goal and helps me achieve it")</f>
        <v>Manager who sets goal and helps me achieve it</v>
      </c>
      <c r="P2212" s="1" t="str">
        <f ca="1">IFERROR(__xludf.DUMMYFUNCTION("""COMPUTED_VALUE"""),"Work with 5 to 6 people in my team")</f>
        <v>Work with 5 to 6 people in my team</v>
      </c>
      <c r="Q2212" s="1" t="str">
        <f ca="1">IFERROR(__xludf.DUMMYFUNCTION("""COMPUTED_VALUE"""),"Yes, I Understand this is gonna happen everywhere")</f>
        <v>Yes, I Understand this is gonna happen everywhere</v>
      </c>
      <c r="R2212" s="1" t="str">
        <f ca="1">IFERROR(__xludf.DUMMYFUNCTION("""COMPUTED_VALUE"""),"No way")</f>
        <v>No way</v>
      </c>
      <c r="S2212" s="1" t="str">
        <f ca="1">IFERROR(__xludf.DUMMYFUNCTION("""COMPUTED_VALUE"""),"kirankidecha85@gmail.com")</f>
        <v>kirankidecha85@gmail.com</v>
      </c>
    </row>
    <row r="2213" spans="1:19" ht="12.5" x14ac:dyDescent="0.25">
      <c r="A2213" s="2">
        <f ca="1">IFERROR(__xludf.DUMMYFUNCTION("""COMPUTED_VALUE"""),45063.8277432523)</f>
        <v>45063.827743252303</v>
      </c>
      <c r="B2213" s="1" t="str">
        <f ca="1">IFERROR(__xludf.DUMMYFUNCTION("""COMPUTED_VALUE"""),"India")</f>
        <v>India</v>
      </c>
      <c r="C2213" s="1">
        <f ca="1">IFERROR(__xludf.DUMMYFUNCTION("""COMPUTED_VALUE"""),440023)</f>
        <v>440023</v>
      </c>
      <c r="D2213" s="1" t="str">
        <f ca="1">IFERROR(__xludf.DUMMYFUNCTION("""COMPUTED_VALUE"""),"Male")</f>
        <v>Male</v>
      </c>
      <c r="E2213" s="1" t="str">
        <f ca="1">IFERROR(__xludf.DUMMYFUNCTION("""COMPUTED_VALUE"""),"Influencers who had successful careers")</f>
        <v>Influencers who had successful careers</v>
      </c>
      <c r="F2213" s="1" t="str">
        <f ca="1">IFERROR(__xludf.DUMMYFUNCTION("""COMPUTED_VALUE"""),"Yes, I will earn and do that")</f>
        <v>Yes, I will earn and do that</v>
      </c>
      <c r="G2213" s="1" t="str">
        <f ca="1">IFERROR(__xludf.DUMMYFUNCTION("""COMPUTED_VALUE"""),"Will work for 3 years or more")</f>
        <v>Will work for 3 years or more</v>
      </c>
      <c r="H2213" s="1" t="str">
        <f ca="1">IFERROR(__xludf.DUMMYFUNCTION("""COMPUTED_VALUE"""),"Yes")</f>
        <v>Yes</v>
      </c>
      <c r="I2213" s="1" t="str">
        <f ca="1">IFERROR(__xludf.DUMMYFUNCTION("""COMPUTED_VALUE"""),"Will work for them")</f>
        <v>Will work for them</v>
      </c>
      <c r="J2213" s="1">
        <f ca="1">IFERROR(__xludf.DUMMYFUNCTION("""COMPUTED_VALUE"""),1)</f>
        <v>1</v>
      </c>
      <c r="K2213" s="1" t="str">
        <f ca="1">IFERROR(__xludf.DUMMYFUNCTION("""COMPUTED_VALUE"""),"Every Day Office Environment")</f>
        <v>Every Day Office Environment</v>
      </c>
      <c r="L2213" s="1" t="str">
        <f ca="1">IFERROR(__xludf.DUMMYFUNCTION("""COMPUTED_VALUE"""),"Employer who appreciates learning and enables that environment")</f>
        <v>Employer who appreciates learning and enables that environment</v>
      </c>
      <c r="M221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13" s="1" t="str">
        <f ca="1">IFERROR(__xludf.DUMMYFUNCTION("""COMPUTED_VALUE"""),"Look deeply into Data and generate insights, Work in a BPO setup for some well known client, Become a content Creator in some platform, Entrepreneur or Start Up")</f>
        <v>Look deeply into Data and generate insights, Work in a BPO setup for some well known client, Become a content Creator in some platform, Entrepreneur or Start Up</v>
      </c>
      <c r="O2213" s="1" t="str">
        <f ca="1">IFERROR(__xludf.DUMMYFUNCTION("""COMPUTED_VALUE"""),"Manager who clearly describes what she/he needs")</f>
        <v>Manager who clearly describes what she/he needs</v>
      </c>
      <c r="P2213" s="1" t="str">
        <f ca="1">IFERROR(__xludf.DUMMYFUNCTION("""COMPUTED_VALUE"""),"Work with 5 to 6 people in my team")</f>
        <v>Work with 5 to 6 people in my team</v>
      </c>
      <c r="Q2213" s="1" t="str">
        <f ca="1">IFERROR(__xludf.DUMMYFUNCTION("""COMPUTED_VALUE"""),"Yes, I Understand this is gonna happen everywhere")</f>
        <v>Yes, I Understand this is gonna happen everywhere</v>
      </c>
      <c r="R2213" s="1" t="str">
        <f ca="1">IFERROR(__xludf.DUMMYFUNCTION("""COMPUTED_VALUE"""),"No way")</f>
        <v>No way</v>
      </c>
      <c r="S2213" s="1" t="str">
        <f ca="1">IFERROR(__xludf.DUMMYFUNCTION("""COMPUTED_VALUE"""),"omkarade806@gmail.com")</f>
        <v>omkarade806@gmail.com</v>
      </c>
    </row>
    <row r="2214" spans="1:19" ht="12.5" x14ac:dyDescent="0.25">
      <c r="A2214" s="2">
        <f ca="1">IFERROR(__xludf.DUMMYFUNCTION("""COMPUTED_VALUE"""),45063.8317369097)</f>
        <v>45063.831736909699</v>
      </c>
      <c r="B2214" s="1" t="str">
        <f ca="1">IFERROR(__xludf.DUMMYFUNCTION("""COMPUTED_VALUE"""),"India")</f>
        <v>India</v>
      </c>
      <c r="C2214" s="1">
        <f ca="1">IFERROR(__xludf.DUMMYFUNCTION("""COMPUTED_VALUE"""),400067)</f>
        <v>400067</v>
      </c>
      <c r="D2214" s="1" t="str">
        <f ca="1">IFERROR(__xludf.DUMMYFUNCTION("""COMPUTED_VALUE"""),"Female")</f>
        <v>Female</v>
      </c>
      <c r="E2214" s="1" t="str">
        <f ca="1">IFERROR(__xludf.DUMMYFUNCTION("""COMPUTED_VALUE"""),"Social Media like LinkedIn")</f>
        <v>Social Media like LinkedIn</v>
      </c>
      <c r="F2214" s="1" t="str">
        <f ca="1">IFERROR(__xludf.DUMMYFUNCTION("""COMPUTED_VALUE"""),"Yes, I will earn and do that")</f>
        <v>Yes, I will earn and do that</v>
      </c>
      <c r="G2214" s="1" t="str">
        <f ca="1">IFERROR(__xludf.DUMMYFUNCTION("""COMPUTED_VALUE"""),"Will work for 3 years or more")</f>
        <v>Will work for 3 years or more</v>
      </c>
      <c r="H2214" s="1" t="str">
        <f ca="1">IFERROR(__xludf.DUMMYFUNCTION("""COMPUTED_VALUE"""),"No")</f>
        <v>No</v>
      </c>
      <c r="I2214" s="1" t="str">
        <f ca="1">IFERROR(__xludf.DUMMYFUNCTION("""COMPUTED_VALUE"""),"Will NOT work for them")</f>
        <v>Will NOT work for them</v>
      </c>
      <c r="J2214" s="1">
        <f ca="1">IFERROR(__xludf.DUMMYFUNCTION("""COMPUTED_VALUE"""),1)</f>
        <v>1</v>
      </c>
      <c r="K2214" s="1" t="str">
        <f ca="1">IFERROR(__xludf.DUMMYFUNCTION("""COMPUTED_VALUE"""),"Every Day Office Environment")</f>
        <v>Every Day Office Environment</v>
      </c>
      <c r="L22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14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214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214" s="1" t="str">
        <f ca="1">IFERROR(__xludf.DUMMYFUNCTION("""COMPUTED_VALUE"""),"Manager who explains what is expected, sets a goal and helps achieve it")</f>
        <v>Manager who explains what is expected, sets a goal and helps achieve it</v>
      </c>
      <c r="P2214" s="1" t="str">
        <f ca="1">IFERROR(__xludf.DUMMYFUNCTION("""COMPUTED_VALUE"""),"Work with 5 to 6 people in my team")</f>
        <v>Work with 5 to 6 people in my team</v>
      </c>
      <c r="Q2214" s="1" t="str">
        <f ca="1">IFERROR(__xludf.DUMMYFUNCTION("""COMPUTED_VALUE"""),"Yes, I Understand this is gonna happen everywhere")</f>
        <v>Yes, I Understand this is gonna happen everywhere</v>
      </c>
      <c r="R2214" s="1" t="str">
        <f ca="1">IFERROR(__xludf.DUMMYFUNCTION("""COMPUTED_VALUE"""),"This will be hard to do, but if it is the right company I would try")</f>
        <v>This will be hard to do, but if it is the right company I would try</v>
      </c>
      <c r="S2214" s="1" t="str">
        <f ca="1">IFERROR(__xludf.DUMMYFUNCTION("""COMPUTED_VALUE"""),"amishapal383@gmail.com")</f>
        <v>amishapal383@gmail.com</v>
      </c>
    </row>
    <row r="2215" spans="1:19" ht="12.5" x14ac:dyDescent="0.25">
      <c r="A2215" s="2">
        <f ca="1">IFERROR(__xludf.DUMMYFUNCTION("""COMPUTED_VALUE"""),45063.8323503124)</f>
        <v>45063.832350312499</v>
      </c>
      <c r="B2215" s="1" t="str">
        <f ca="1">IFERROR(__xludf.DUMMYFUNCTION("""COMPUTED_VALUE"""),"India")</f>
        <v>India</v>
      </c>
      <c r="C2215" s="1">
        <f ca="1">IFERROR(__xludf.DUMMYFUNCTION("""COMPUTED_VALUE"""),400005)</f>
        <v>400005</v>
      </c>
      <c r="D2215" s="1" t="str">
        <f ca="1">IFERROR(__xludf.DUMMYFUNCTION("""COMPUTED_VALUE"""),"Male")</f>
        <v>Male</v>
      </c>
      <c r="E2215" s="1" t="str">
        <f ca="1">IFERROR(__xludf.DUMMYFUNCTION("""COMPUTED_VALUE"""),"People who have changed the world for better")</f>
        <v>People who have changed the world for better</v>
      </c>
      <c r="F2215" s="1" t="str">
        <f ca="1">IFERROR(__xludf.DUMMYFUNCTION("""COMPUTED_VALUE"""),"No, But if someone could bare the cost I will")</f>
        <v>No, But if someone could bare the cost I will</v>
      </c>
      <c r="G2215" s="1" t="str">
        <f ca="1">IFERROR(__xludf.DUMMYFUNCTION("""COMPUTED_VALUE"""),"This will be hard to do, but if it is the right company I would try")</f>
        <v>This will be hard to do, but if it is the right company I would try</v>
      </c>
      <c r="H2215" s="1" t="str">
        <f ca="1">IFERROR(__xludf.DUMMYFUNCTION("""COMPUTED_VALUE"""),"No")</f>
        <v>No</v>
      </c>
      <c r="I2215" s="1" t="str">
        <f ca="1">IFERROR(__xludf.DUMMYFUNCTION("""COMPUTED_VALUE"""),"Will NOT work for them")</f>
        <v>Will NOT work for them</v>
      </c>
      <c r="J2215" s="1">
        <f ca="1">IFERROR(__xludf.DUMMYFUNCTION("""COMPUTED_VALUE"""),5)</f>
        <v>5</v>
      </c>
      <c r="K2215" s="1" t="str">
        <f ca="1">IFERROR(__xludf.DUMMYFUNCTION("""COMPUTED_VALUE"""),"Hybrid Working Environment with more than 15 days a month at office")</f>
        <v>Hybrid Working Environment with more than 15 days a month at office</v>
      </c>
      <c r="L22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1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215" s="1" t="str">
        <f ca="1">IFERROR(__xludf.DUMMYFUNCTION("""COMPUTED_VALUE"""),"Teaching in any of the institutes/colleges/online or offline, Build and develop a Team, Entrepreneur or Start Up, I Want to sell things/Sales")</f>
        <v>Teaching in any of the institutes/colleges/online or offline, Build and develop a Team, Entrepreneur or Start Up, I Want to sell things/Sales</v>
      </c>
      <c r="O2215" s="1" t="str">
        <f ca="1">IFERROR(__xludf.DUMMYFUNCTION("""COMPUTED_VALUE"""),"Manager who clearly describes what she/he needs")</f>
        <v>Manager who clearly describes what she/he needs</v>
      </c>
      <c r="P2215" s="1" t="str">
        <f ca="1">IFERROR(__xludf.DUMMYFUNCTION("""COMPUTED_VALUE"""),"Work with 2 to 3 people in my team")</f>
        <v>Work with 2 to 3 people in my team</v>
      </c>
      <c r="Q2215" s="1" t="str">
        <f ca="1">IFERROR(__xludf.DUMMYFUNCTION("""COMPUTED_VALUE"""),"No")</f>
        <v>No</v>
      </c>
      <c r="R2215" s="1" t="str">
        <f ca="1">IFERROR(__xludf.DUMMYFUNCTION("""COMPUTED_VALUE"""),"Will work for 7 years or more")</f>
        <v>Will work for 7 years or more</v>
      </c>
      <c r="S2215" s="1" t="str">
        <f ca="1">IFERROR(__xludf.DUMMYFUNCTION("""COMPUTED_VALUE"""),"ashwani.kumarpintu@gmail.com")</f>
        <v>ashwani.kumarpintu@gmail.com</v>
      </c>
    </row>
    <row r="2216" spans="1:19" ht="12.5" x14ac:dyDescent="0.25">
      <c r="A2216" s="2">
        <f ca="1">IFERROR(__xludf.DUMMYFUNCTION("""COMPUTED_VALUE"""),45063.8337157638)</f>
        <v>45063.833715763802</v>
      </c>
      <c r="B2216" s="1" t="str">
        <f ca="1">IFERROR(__xludf.DUMMYFUNCTION("""COMPUTED_VALUE"""),"India")</f>
        <v>India</v>
      </c>
      <c r="C2216" s="1">
        <f ca="1">IFERROR(__xludf.DUMMYFUNCTION("""COMPUTED_VALUE"""),400069)</f>
        <v>400069</v>
      </c>
      <c r="D2216" s="1" t="str">
        <f ca="1">IFERROR(__xludf.DUMMYFUNCTION("""COMPUTED_VALUE"""),"Male")</f>
        <v>Male</v>
      </c>
      <c r="E2216" s="1" t="str">
        <f ca="1">IFERROR(__xludf.DUMMYFUNCTION("""COMPUTED_VALUE"""),"Influencers who had successful careers")</f>
        <v>Influencers who had successful careers</v>
      </c>
      <c r="F2216" s="1" t="str">
        <f ca="1">IFERROR(__xludf.DUMMYFUNCTION("""COMPUTED_VALUE"""),"No I would not be pursuing Higher Education outside of India")</f>
        <v>No I would not be pursuing Higher Education outside of India</v>
      </c>
      <c r="G2216" s="1" t="str">
        <f ca="1">IFERROR(__xludf.DUMMYFUNCTION("""COMPUTED_VALUE"""),"This will be hard to do, but if it is the right company I would try")</f>
        <v>This will be hard to do, but if it is the right company I would try</v>
      </c>
      <c r="H2216" s="1" t="str">
        <f ca="1">IFERROR(__xludf.DUMMYFUNCTION("""COMPUTED_VALUE"""),"No")</f>
        <v>No</v>
      </c>
      <c r="I2216" s="1" t="str">
        <f ca="1">IFERROR(__xludf.DUMMYFUNCTION("""COMPUTED_VALUE"""),"Will NOT work for them")</f>
        <v>Will NOT work for them</v>
      </c>
      <c r="J2216" s="1">
        <f ca="1">IFERROR(__xludf.DUMMYFUNCTION("""COMPUTED_VALUE"""),5)</f>
        <v>5</v>
      </c>
      <c r="K2216" s="1" t="str">
        <f ca="1">IFERROR(__xludf.DUMMYFUNCTION("""COMPUTED_VALUE"""),"Hybrid Working Environment with less than 3 days a month at office")</f>
        <v>Hybrid Working Environment with less than 3 days a month at office</v>
      </c>
      <c r="L22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1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16" s="1" t="str">
        <f ca="1">IFERROR(__xludf.DUMMYFUNCTION("""COMPUTED_VALUE"""),"Teaching in any of the institutes/colleges/online or offline, Business Operations in any organization, Work as a freelancer and do my thing my way, Become a content Creator in some platform")</f>
        <v>Teaching in any of the institutes/colleges/online or offline, Business Operations in any organization, Work as a freelancer and do my thing my way, Become a content Creator in some platform</v>
      </c>
      <c r="O2216" s="1" t="str">
        <f ca="1">IFERROR(__xludf.DUMMYFUNCTION("""COMPUTED_VALUE"""),"Manager who clearly describes what she/he needs")</f>
        <v>Manager who clearly describes what she/he needs</v>
      </c>
      <c r="P2216" s="1" t="str">
        <f ca="1">IFERROR(__xludf.DUMMYFUNCTION("""COMPUTED_VALUE"""),"Work with 5 to 6 people in my team")</f>
        <v>Work with 5 to 6 people in my team</v>
      </c>
      <c r="Q2216" s="1" t="str">
        <f ca="1">IFERROR(__xludf.DUMMYFUNCTION("""COMPUTED_VALUE"""),"Yes, I Understand this is gonna happen everywhere")</f>
        <v>Yes, I Understand this is gonna happen everywhere</v>
      </c>
      <c r="R2216" s="1" t="str">
        <f ca="1">IFERROR(__xludf.DUMMYFUNCTION("""COMPUTED_VALUE"""),"This will be hard to do, but if it is the right company I would try")</f>
        <v>This will be hard to do, but if it is the right company I would try</v>
      </c>
      <c r="S2216" s="1" t="str">
        <f ca="1">IFERROR(__xludf.DUMMYFUNCTION("""COMPUTED_VALUE"""),"palpp252002@gmail.com")</f>
        <v>palpp252002@gmail.com</v>
      </c>
    </row>
    <row r="2217" spans="1:19" ht="12.5" x14ac:dyDescent="0.25">
      <c r="A2217" s="2">
        <f ca="1">IFERROR(__xludf.DUMMYFUNCTION("""COMPUTED_VALUE"""),45063.8441265162)</f>
        <v>45063.844126516196</v>
      </c>
      <c r="B2217" s="1" t="str">
        <f ca="1">IFERROR(__xludf.DUMMYFUNCTION("""COMPUTED_VALUE"""),"India")</f>
        <v>India</v>
      </c>
      <c r="C2217" s="1">
        <f ca="1">IFERROR(__xludf.DUMMYFUNCTION("""COMPUTED_VALUE"""),560034)</f>
        <v>560034</v>
      </c>
      <c r="D2217" s="1" t="str">
        <f ca="1">IFERROR(__xludf.DUMMYFUNCTION("""COMPUTED_VALUE"""),"Male")</f>
        <v>Male</v>
      </c>
      <c r="E2217" s="1" t="str">
        <f ca="1">IFERROR(__xludf.DUMMYFUNCTION("""COMPUTED_VALUE"""),"People from my circle, but not family members")</f>
        <v>People from my circle, but not family members</v>
      </c>
      <c r="F2217" s="1" t="str">
        <f ca="1">IFERROR(__xludf.DUMMYFUNCTION("""COMPUTED_VALUE"""),"Yes, I will earn and do that")</f>
        <v>Yes, I will earn and do that</v>
      </c>
      <c r="G2217" s="1" t="str">
        <f ca="1">IFERROR(__xludf.DUMMYFUNCTION("""COMPUTED_VALUE"""),"Will work for 3 years or more")</f>
        <v>Will work for 3 years or more</v>
      </c>
      <c r="H2217" s="1" t="str">
        <f ca="1">IFERROR(__xludf.DUMMYFUNCTION("""COMPUTED_VALUE"""),"No")</f>
        <v>No</v>
      </c>
      <c r="I2217" s="1" t="str">
        <f ca="1">IFERROR(__xludf.DUMMYFUNCTION("""COMPUTED_VALUE"""),"Will NOT work for them")</f>
        <v>Will NOT work for them</v>
      </c>
      <c r="J2217" s="1">
        <f ca="1">IFERROR(__xludf.DUMMYFUNCTION("""COMPUTED_VALUE"""),6)</f>
        <v>6</v>
      </c>
      <c r="K2217" s="1" t="str">
        <f ca="1">IFERROR(__xludf.DUMMYFUNCTION("""COMPUTED_VALUE"""),"Hybrid Working Environment with less than 3 days a month at office")</f>
        <v>Hybrid Working Environment with less than 3 days a month at office</v>
      </c>
      <c r="L22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1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17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2217" s="1" t="str">
        <f ca="1">IFERROR(__xludf.DUMMYFUNCTION("""COMPUTED_VALUE"""),"Manager who explains what is expected, sets a goal and helps achieve it")</f>
        <v>Manager who explains what is expected, sets a goal and helps achieve it</v>
      </c>
      <c r="P2217" s="1" t="str">
        <f ca="1">IFERROR(__xludf.DUMMYFUNCTION("""COMPUTED_VALUE"""),"Work with 5 to 6 people in my team")</f>
        <v>Work with 5 to 6 people in my team</v>
      </c>
      <c r="Q2217" s="1" t="str">
        <f ca="1">IFERROR(__xludf.DUMMYFUNCTION("""COMPUTED_VALUE"""),"No")</f>
        <v>No</v>
      </c>
      <c r="R2217" s="1" t="str">
        <f ca="1">IFERROR(__xludf.DUMMYFUNCTION("""COMPUTED_VALUE"""),"This will be hard to do, but if it is the right company I would try")</f>
        <v>This will be hard to do, but if it is the right company I would try</v>
      </c>
      <c r="S2217" s="1" t="str">
        <f ca="1">IFERROR(__xludf.DUMMYFUNCTION("""COMPUTED_VALUE"""),"sachinkumarmp55@gmail.com")</f>
        <v>sachinkumarmp55@gmail.com</v>
      </c>
    </row>
    <row r="2218" spans="1:19" ht="12.5" x14ac:dyDescent="0.25">
      <c r="A2218" s="2">
        <f ca="1">IFERROR(__xludf.DUMMYFUNCTION("""COMPUTED_VALUE"""),45063.8502776736)</f>
        <v>45063.850277673599</v>
      </c>
      <c r="B2218" s="1" t="str">
        <f ca="1">IFERROR(__xludf.DUMMYFUNCTION("""COMPUTED_VALUE"""),"India")</f>
        <v>India</v>
      </c>
      <c r="C2218" s="1">
        <f ca="1">IFERROR(__xludf.DUMMYFUNCTION("""COMPUTED_VALUE"""),560071)</f>
        <v>560071</v>
      </c>
      <c r="D2218" s="1" t="str">
        <f ca="1">IFERROR(__xludf.DUMMYFUNCTION("""COMPUTED_VALUE"""),"Female")</f>
        <v>Female</v>
      </c>
      <c r="E2218" s="1" t="str">
        <f ca="1">IFERROR(__xludf.DUMMYFUNCTION("""COMPUTED_VALUE"""),"My Parents")</f>
        <v>My Parents</v>
      </c>
      <c r="F2218" s="1" t="str">
        <f ca="1">IFERROR(__xludf.DUMMYFUNCTION("""COMPUTED_VALUE"""),"No, But if someone could bare the cost I will")</f>
        <v>No, But if someone could bare the cost I will</v>
      </c>
      <c r="G2218" s="1" t="str">
        <f ca="1">IFERROR(__xludf.DUMMYFUNCTION("""COMPUTED_VALUE"""),"This will be hard to do, but if it is the right company I would try")</f>
        <v>This will be hard to do, but if it is the right company I would try</v>
      </c>
      <c r="H2218" s="1" t="str">
        <f ca="1">IFERROR(__xludf.DUMMYFUNCTION("""COMPUTED_VALUE"""),"No")</f>
        <v>No</v>
      </c>
      <c r="I2218" s="1" t="str">
        <f ca="1">IFERROR(__xludf.DUMMYFUNCTION("""COMPUTED_VALUE"""),"Will NOT work for them")</f>
        <v>Will NOT work for them</v>
      </c>
      <c r="J2218" s="1">
        <f ca="1">IFERROR(__xludf.DUMMYFUNCTION("""COMPUTED_VALUE"""),1)</f>
        <v>1</v>
      </c>
      <c r="K2218" s="1" t="str">
        <f ca="1">IFERROR(__xludf.DUMMYFUNCTION("""COMPUTED_VALUE"""),"Hybrid Working Environment with more than 15 days a month at office")</f>
        <v>Hybrid Working Environment with more than 15 days a month at office</v>
      </c>
      <c r="L22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1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18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2218" s="1" t="str">
        <f ca="1">IFERROR(__xludf.DUMMYFUNCTION("""COMPUTED_VALUE"""),"Manager who sets goal and helps me achieve it")</f>
        <v>Manager who sets goal and helps me achieve it</v>
      </c>
      <c r="P2218" s="1" t="str">
        <f ca="1">IFERROR(__xludf.DUMMYFUNCTION("""COMPUTED_VALUE"""),"Work with 5 to 6 people in my team")</f>
        <v>Work with 5 to 6 people in my team</v>
      </c>
      <c r="Q2218" s="1" t="str">
        <f ca="1">IFERROR(__xludf.DUMMYFUNCTION("""COMPUTED_VALUE"""),"Yes, I Understand this is gonna happen everywhere")</f>
        <v>Yes, I Understand this is gonna happen everywhere</v>
      </c>
      <c r="R2218" s="1" t="str">
        <f ca="1">IFERROR(__xludf.DUMMYFUNCTION("""COMPUTED_VALUE"""),"No way")</f>
        <v>No way</v>
      </c>
      <c r="S2218" s="1" t="str">
        <f ca="1">IFERROR(__xludf.DUMMYFUNCTION("""COMPUTED_VALUE"""),"soumyakcj@gmail.com")</f>
        <v>soumyakcj@gmail.com</v>
      </c>
    </row>
    <row r="2219" spans="1:19" ht="12.5" x14ac:dyDescent="0.25">
      <c r="A2219" s="2">
        <f ca="1">IFERROR(__xludf.DUMMYFUNCTION("""COMPUTED_VALUE"""),45063.8516128356)</f>
        <v>45063.851612835599</v>
      </c>
      <c r="B2219" s="1" t="str">
        <f ca="1">IFERROR(__xludf.DUMMYFUNCTION("""COMPUTED_VALUE"""),"India")</f>
        <v>India</v>
      </c>
      <c r="C2219" s="1">
        <f ca="1">IFERROR(__xludf.DUMMYFUNCTION("""COMPUTED_VALUE"""),560099)</f>
        <v>560099</v>
      </c>
      <c r="D2219" s="1" t="str">
        <f ca="1">IFERROR(__xludf.DUMMYFUNCTION("""COMPUTED_VALUE"""),"Female")</f>
        <v>Female</v>
      </c>
      <c r="E2219" s="1" t="str">
        <f ca="1">IFERROR(__xludf.DUMMYFUNCTION("""COMPUTED_VALUE"""),"Social Media like LinkedIn")</f>
        <v>Social Media like LinkedIn</v>
      </c>
      <c r="F2219" s="1" t="str">
        <f ca="1">IFERROR(__xludf.DUMMYFUNCTION("""COMPUTED_VALUE"""),"Yes, I will earn and do that")</f>
        <v>Yes, I will earn and do that</v>
      </c>
      <c r="G2219" s="1" t="str">
        <f ca="1">IFERROR(__xludf.DUMMYFUNCTION("""COMPUTED_VALUE"""),"Will work for 3 years or more")</f>
        <v>Will work for 3 years or more</v>
      </c>
      <c r="H2219" s="1" t="str">
        <f ca="1">IFERROR(__xludf.DUMMYFUNCTION("""COMPUTED_VALUE"""),"No")</f>
        <v>No</v>
      </c>
      <c r="I2219" s="1" t="str">
        <f ca="1">IFERROR(__xludf.DUMMYFUNCTION("""COMPUTED_VALUE"""),"Will NOT work for them")</f>
        <v>Will NOT work for them</v>
      </c>
      <c r="J2219" s="1">
        <f ca="1">IFERROR(__xludf.DUMMYFUNCTION("""COMPUTED_VALUE"""),1)</f>
        <v>1</v>
      </c>
      <c r="K2219" s="1" t="str">
        <f ca="1">IFERROR(__xludf.DUMMYFUNCTION("""COMPUTED_VALUE"""),"Every Day Office Environment")</f>
        <v>Every Day Office Environment</v>
      </c>
      <c r="L22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1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219" s="1" t="str">
        <f ca="1">IFERROR(__xludf.DUMMYFUNCTION("""COMPUTED_VALUE"""),"Design and Creative strategy in any company, Teaching in any of the institutes/colleges/online or offline, Entrepreneur or Start Up, An Artificial Intelligence Specialist / Talking to Robots")</f>
        <v>Design and Creative strategy in any company, Teaching in any of the institutes/colleges/online or offline, Entrepreneur or Start Up, An Artificial Intelligence Specialist / Talking to Robots</v>
      </c>
      <c r="O2219" s="1" t="str">
        <f ca="1">IFERROR(__xludf.DUMMYFUNCTION("""COMPUTED_VALUE"""),"Manager who explains what is expected, sets a goal and helps achieve it")</f>
        <v>Manager who explains what is expected, sets a goal and helps achieve it</v>
      </c>
      <c r="P2219" s="1" t="str">
        <f ca="1">IFERROR(__xludf.DUMMYFUNCTION("""COMPUTED_VALUE"""),"Work with 5 to 6 people in my team")</f>
        <v>Work with 5 to 6 people in my team</v>
      </c>
      <c r="Q2219" s="1" t="str">
        <f ca="1">IFERROR(__xludf.DUMMYFUNCTION("""COMPUTED_VALUE"""),"Yes, I Understand this is gonna happen everywhere")</f>
        <v>Yes, I Understand this is gonna happen everywhere</v>
      </c>
      <c r="R2219" s="1" t="str">
        <f ca="1">IFERROR(__xludf.DUMMYFUNCTION("""COMPUTED_VALUE"""),"This will be hard to do, but if it is the right company I would try")</f>
        <v>This will be hard to do, but if it is the right company I would try</v>
      </c>
      <c r="S2219" s="1" t="str">
        <f ca="1">IFERROR(__xludf.DUMMYFUNCTION("""COMPUTED_VALUE"""),"elakkiyaranganathan2000@gmail.com")</f>
        <v>elakkiyaranganathan2000@gmail.com</v>
      </c>
    </row>
    <row r="2220" spans="1:19" ht="12.5" x14ac:dyDescent="0.25">
      <c r="A2220" s="2">
        <f ca="1">IFERROR(__xludf.DUMMYFUNCTION("""COMPUTED_VALUE"""),45063.8545946527)</f>
        <v>45063.854594652701</v>
      </c>
      <c r="B2220" s="1" t="str">
        <f ca="1">IFERROR(__xludf.DUMMYFUNCTION("""COMPUTED_VALUE"""),"India")</f>
        <v>India</v>
      </c>
      <c r="C2220" s="1">
        <f ca="1">IFERROR(__xludf.DUMMYFUNCTION("""COMPUTED_VALUE"""),560100)</f>
        <v>560100</v>
      </c>
      <c r="D2220" s="1" t="str">
        <f ca="1">IFERROR(__xludf.DUMMYFUNCTION("""COMPUTED_VALUE"""),"Male")</f>
        <v>Male</v>
      </c>
      <c r="E2220" s="1" t="str">
        <f ca="1">IFERROR(__xludf.DUMMYFUNCTION("""COMPUTED_VALUE"""),"People from my circle, but not family members")</f>
        <v>People from my circle, but not family members</v>
      </c>
      <c r="F2220" s="1" t="str">
        <f ca="1">IFERROR(__xludf.DUMMYFUNCTION("""COMPUTED_VALUE"""),"Yes, I will earn and do that")</f>
        <v>Yes, I will earn and do that</v>
      </c>
      <c r="G2220" s="1" t="str">
        <f ca="1">IFERROR(__xludf.DUMMYFUNCTION("""COMPUTED_VALUE"""),"This will be hard to do, but if it is the right company I would try")</f>
        <v>This will be hard to do, but if it is the right company I would try</v>
      </c>
      <c r="H2220" s="1" t="str">
        <f ca="1">IFERROR(__xludf.DUMMYFUNCTION("""COMPUTED_VALUE"""),"Yes")</f>
        <v>Yes</v>
      </c>
      <c r="I2220" s="1" t="str">
        <f ca="1">IFERROR(__xludf.DUMMYFUNCTION("""COMPUTED_VALUE"""),"Will work for them")</f>
        <v>Will work for them</v>
      </c>
      <c r="J2220" s="1">
        <f ca="1">IFERROR(__xludf.DUMMYFUNCTION("""COMPUTED_VALUE"""),5)</f>
        <v>5</v>
      </c>
      <c r="K2220" s="1" t="str">
        <f ca="1">IFERROR(__xludf.DUMMYFUNCTION("""COMPUTED_VALUE"""),"Hybrid Working Environment with more than 15 days a month at office")</f>
        <v>Hybrid Working Environment with more than 15 days a month at office</v>
      </c>
      <c r="L2220" s="1" t="str">
        <f ca="1">IFERROR(__xludf.DUMMYFUNCTION("""COMPUTED_VALUE"""),"Employer who rewards learning and enables that environment")</f>
        <v>Employer who rewards learning and enables that environment</v>
      </c>
      <c r="M222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20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2220" s="1" t="str">
        <f ca="1">IFERROR(__xludf.DUMMYFUNCTION("""COMPUTED_VALUE"""),"Manager who explains what is expected, sets a goal and helps achieve it")</f>
        <v>Manager who explains what is expected, sets a goal and helps achieve it</v>
      </c>
      <c r="P2220" s="1" t="str">
        <f ca="1">IFERROR(__xludf.DUMMYFUNCTION("""COMPUTED_VALUE"""),"Work with 5 to 6 people in my team")</f>
        <v>Work with 5 to 6 people in my team</v>
      </c>
      <c r="Q2220" s="1" t="str">
        <f ca="1">IFERROR(__xludf.DUMMYFUNCTION("""COMPUTED_VALUE"""),"Yes, I Understand this is gonna happen everywhere")</f>
        <v>Yes, I Understand this is gonna happen everywhere</v>
      </c>
      <c r="R2220" s="1" t="str">
        <f ca="1">IFERROR(__xludf.DUMMYFUNCTION("""COMPUTED_VALUE"""),"This will be hard to do, but if it is the right company I would try")</f>
        <v>This will be hard to do, but if it is the right company I would try</v>
      </c>
      <c r="S2220" s="1" t="str">
        <f ca="1">IFERROR(__xludf.DUMMYFUNCTION("""COMPUTED_VALUE"""),"vamsibezawada966@gmail.com")</f>
        <v>vamsibezawada966@gmail.com</v>
      </c>
    </row>
    <row r="2221" spans="1:19" ht="12.5" x14ac:dyDescent="0.25">
      <c r="A2221" s="2">
        <f ca="1">IFERROR(__xludf.DUMMYFUNCTION("""COMPUTED_VALUE"""),45063.8545930208)</f>
        <v>45063.854593020798</v>
      </c>
      <c r="B2221" s="1" t="str">
        <f ca="1">IFERROR(__xludf.DUMMYFUNCTION("""COMPUTED_VALUE"""),"India")</f>
        <v>India</v>
      </c>
      <c r="C2221" s="1">
        <f ca="1">IFERROR(__xludf.DUMMYFUNCTION("""COMPUTED_VALUE"""),560032)</f>
        <v>560032</v>
      </c>
      <c r="D2221" s="1" t="str">
        <f ca="1">IFERROR(__xludf.DUMMYFUNCTION("""COMPUTED_VALUE"""),"Male")</f>
        <v>Male</v>
      </c>
      <c r="E2221" s="1" t="str">
        <f ca="1">IFERROR(__xludf.DUMMYFUNCTION("""COMPUTED_VALUE"""),"Influencers who had successful careers")</f>
        <v>Influencers who had successful careers</v>
      </c>
      <c r="F2221" s="1" t="str">
        <f ca="1">IFERROR(__xludf.DUMMYFUNCTION("""COMPUTED_VALUE"""),"No I would not be pursuing Higher Education outside of India")</f>
        <v>No I would not be pursuing Higher Education outside of India</v>
      </c>
      <c r="G2221" s="1" t="str">
        <f ca="1">IFERROR(__xludf.DUMMYFUNCTION("""COMPUTED_VALUE"""),"This will be hard to do, but if it is the right company I would try")</f>
        <v>This will be hard to do, but if it is the right company I would try</v>
      </c>
      <c r="H2221" s="1" t="str">
        <f ca="1">IFERROR(__xludf.DUMMYFUNCTION("""COMPUTED_VALUE"""),"No")</f>
        <v>No</v>
      </c>
      <c r="I2221" s="1" t="str">
        <f ca="1">IFERROR(__xludf.DUMMYFUNCTION("""COMPUTED_VALUE"""),"Will NOT work for them")</f>
        <v>Will NOT work for them</v>
      </c>
      <c r="J2221" s="1">
        <f ca="1">IFERROR(__xludf.DUMMYFUNCTION("""COMPUTED_VALUE"""),2)</f>
        <v>2</v>
      </c>
      <c r="K2221" s="1" t="str">
        <f ca="1">IFERROR(__xludf.DUMMYFUNCTION("""COMPUTED_VALUE"""),"Hybrid Working Environment with more than 15 days a month at office")</f>
        <v>Hybrid Working Environment with more than 15 days a month at office</v>
      </c>
      <c r="L22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21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221" s="1" t="str">
        <f ca="1">IFERROR(__xludf.DUMMYFUNCTION("""COMPUTED_VALUE"""),"Business Operations in any organization, Manage and drive End-to-End Projects or Products, Work as a freelancer and do my thing my way, Entrepreneur or Start Up")</f>
        <v>Business Operations in any organization, Manage and drive End-to-End Projects or Products, Work as a freelancer and do my thing my way, Entrepreneur or Start Up</v>
      </c>
      <c r="O2221" s="1" t="str">
        <f ca="1">IFERROR(__xludf.DUMMYFUNCTION("""COMPUTED_VALUE"""),"Manager who explains what is expected, sets a goal and helps achieve it")</f>
        <v>Manager who explains what is expected, sets a goal and helps achieve it</v>
      </c>
      <c r="P2221" s="1" t="str">
        <f ca="1">IFERROR(__xludf.DUMMYFUNCTION("""COMPUTED_VALUE"""),"Work with 2 to 3 people in my team, Work with 5 to 6 people in my team")</f>
        <v>Work with 2 to 3 people in my team, Work with 5 to 6 people in my team</v>
      </c>
      <c r="Q2221" s="1" t="str">
        <f ca="1">IFERROR(__xludf.DUMMYFUNCTION("""COMPUTED_VALUE"""),"Yes, I Understand this is gonna happen everywhere")</f>
        <v>Yes, I Understand this is gonna happen everywhere</v>
      </c>
      <c r="R2221" s="1" t="str">
        <f ca="1">IFERROR(__xludf.DUMMYFUNCTION("""COMPUTED_VALUE"""),"This will be hard to do, but if it is the right company I would try")</f>
        <v>This will be hard to do, but if it is the right company I would try</v>
      </c>
      <c r="S2221" s="1" t="str">
        <f ca="1">IFERROR(__xludf.DUMMYFUNCTION("""COMPUTED_VALUE"""),"youavi94@gmail.com")</f>
        <v>youavi94@gmail.com</v>
      </c>
    </row>
    <row r="2222" spans="1:19" ht="12.5" x14ac:dyDescent="0.25">
      <c r="A2222" s="2">
        <f ca="1">IFERROR(__xludf.DUMMYFUNCTION("""COMPUTED_VALUE"""),45063.8599030902)</f>
        <v>45063.859903090197</v>
      </c>
      <c r="B2222" s="1" t="str">
        <f ca="1">IFERROR(__xludf.DUMMYFUNCTION("""COMPUTED_VALUE"""),"India")</f>
        <v>India</v>
      </c>
      <c r="C2222" s="1">
        <f ca="1">IFERROR(__xludf.DUMMYFUNCTION("""COMPUTED_VALUE"""),560001)</f>
        <v>560001</v>
      </c>
      <c r="D2222" s="1" t="str">
        <f ca="1">IFERROR(__xludf.DUMMYFUNCTION("""COMPUTED_VALUE"""),"Male")</f>
        <v>Male</v>
      </c>
      <c r="E2222" s="1" t="str">
        <f ca="1">IFERROR(__xludf.DUMMYFUNCTION("""COMPUTED_VALUE"""),"People from my circle, but not family members")</f>
        <v>People from my circle, but not family members</v>
      </c>
      <c r="F2222" s="1" t="str">
        <f ca="1">IFERROR(__xludf.DUMMYFUNCTION("""COMPUTED_VALUE"""),"No, But if someone could bare the cost I will")</f>
        <v>No, But if someone could bare the cost I will</v>
      </c>
      <c r="G2222" s="1" t="str">
        <f ca="1">IFERROR(__xludf.DUMMYFUNCTION("""COMPUTED_VALUE"""),"This will be hard to do, but if it is the right company I would try")</f>
        <v>This will be hard to do, but if it is the right company I would try</v>
      </c>
      <c r="H2222" s="1" t="str">
        <f ca="1">IFERROR(__xludf.DUMMYFUNCTION("""COMPUTED_VALUE"""),"No")</f>
        <v>No</v>
      </c>
      <c r="I2222" s="1" t="str">
        <f ca="1">IFERROR(__xludf.DUMMYFUNCTION("""COMPUTED_VALUE"""),"Will NOT work for them")</f>
        <v>Will NOT work for them</v>
      </c>
      <c r="J2222" s="1">
        <f ca="1">IFERROR(__xludf.DUMMYFUNCTION("""COMPUTED_VALUE"""),5)</f>
        <v>5</v>
      </c>
      <c r="K2222" s="1" t="str">
        <f ca="1">IFERROR(__xludf.DUMMYFUNCTION("""COMPUTED_VALUE"""),"Every Day Office Environment")</f>
        <v>Every Day Office Environment</v>
      </c>
      <c r="L2222" s="1" t="str">
        <f ca="1">IFERROR(__xludf.DUMMYFUNCTION("""COMPUTED_VALUE"""),"Employer who rewards learning and enables that environment")</f>
        <v>Employer who rewards learning and enables that environment</v>
      </c>
      <c r="M222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22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222" s="1" t="str">
        <f ca="1">IFERROR(__xludf.DUMMYFUNCTION("""COMPUTED_VALUE"""),"Manager who sets goal and helps me achieve it")</f>
        <v>Manager who sets goal and helps me achieve it</v>
      </c>
      <c r="P2222" s="1" t="str">
        <f ca="1">IFERROR(__xludf.DUMMYFUNCTION("""COMPUTED_VALUE"""),"Work with more than 10 people in my team")</f>
        <v>Work with more than 10 people in my team</v>
      </c>
      <c r="Q2222" s="1" t="str">
        <f ca="1">IFERROR(__xludf.DUMMYFUNCTION("""COMPUTED_VALUE"""),"No")</f>
        <v>No</v>
      </c>
      <c r="R2222" s="1" t="str">
        <f ca="1">IFERROR(__xludf.DUMMYFUNCTION("""COMPUTED_VALUE"""),"No way")</f>
        <v>No way</v>
      </c>
      <c r="S2222" s="1" t="str">
        <f ca="1">IFERROR(__xludf.DUMMYFUNCTION("""COMPUTED_VALUE"""),"vickey.neymar@gmail.com")</f>
        <v>vickey.neymar@gmail.com</v>
      </c>
    </row>
    <row r="2223" spans="1:19" ht="12.5" x14ac:dyDescent="0.25">
      <c r="A2223" s="2">
        <f ca="1">IFERROR(__xludf.DUMMYFUNCTION("""COMPUTED_VALUE"""),45063.8599703125)</f>
        <v>45063.8599703125</v>
      </c>
      <c r="B2223" s="1" t="str">
        <f ca="1">IFERROR(__xludf.DUMMYFUNCTION("""COMPUTED_VALUE"""),"India")</f>
        <v>India</v>
      </c>
      <c r="C2223" s="1">
        <f ca="1">IFERROR(__xludf.DUMMYFUNCTION("""COMPUTED_VALUE"""),515001)</f>
        <v>515001</v>
      </c>
      <c r="D2223" s="1" t="str">
        <f ca="1">IFERROR(__xludf.DUMMYFUNCTION("""COMPUTED_VALUE"""),"Female")</f>
        <v>Female</v>
      </c>
      <c r="E2223" s="1" t="str">
        <f ca="1">IFERROR(__xludf.DUMMYFUNCTION("""COMPUTED_VALUE"""),"People who have changed the world for better")</f>
        <v>People who have changed the world for better</v>
      </c>
      <c r="F2223" s="1" t="str">
        <f ca="1">IFERROR(__xludf.DUMMYFUNCTION("""COMPUTED_VALUE"""),"No I would not be pursuing Higher Education outside of India")</f>
        <v>No I would not be pursuing Higher Education outside of India</v>
      </c>
      <c r="G2223" s="1" t="str">
        <f ca="1">IFERROR(__xludf.DUMMYFUNCTION("""COMPUTED_VALUE"""),"Will work for 3 years or more")</f>
        <v>Will work for 3 years or more</v>
      </c>
      <c r="H2223" s="1" t="str">
        <f ca="1">IFERROR(__xludf.DUMMYFUNCTION("""COMPUTED_VALUE"""),"Yes")</f>
        <v>Yes</v>
      </c>
      <c r="I2223" s="1" t="str">
        <f ca="1">IFERROR(__xludf.DUMMYFUNCTION("""COMPUTED_VALUE"""),"Will work for them")</f>
        <v>Will work for them</v>
      </c>
      <c r="J2223" s="1">
        <f ca="1">IFERROR(__xludf.DUMMYFUNCTION("""COMPUTED_VALUE"""),5)</f>
        <v>5</v>
      </c>
      <c r="K2223" s="1" t="str">
        <f ca="1">IFERROR(__xludf.DUMMYFUNCTION("""COMPUTED_VALUE"""),"Fully Remote with No option to visit offices")</f>
        <v>Fully Remote with No option to visit offices</v>
      </c>
      <c r="L2223" s="1" t="str">
        <f ca="1">IFERROR(__xludf.DUMMYFUNCTION("""COMPUTED_VALUE"""),"Employer who rewards learning and enables that environment")</f>
        <v>Employer who rewards learning and enables that environment</v>
      </c>
      <c r="M2223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223" s="1" t="str">
        <f ca="1">IFERROR(__xludf.DUMMYFUNCTION("""COMPUTED_VALUE"""),"Design and Creative strategy in any company, Teaching in any of the institutes/colleges/online or offline, Manage and drive End-to-End Projects or Products, Manufacturing / Oil and Gas/ Construction / Hard Physical Work related")</f>
        <v>Design and Creative strategy in any company, Teaching in any of the institutes/colleges/online or offline, Manage and drive End-to-End Projects or Products, Manufacturing / Oil and Gas/ Construction / Hard Physical Work related</v>
      </c>
      <c r="O2223" s="1" t="str">
        <f ca="1">IFERROR(__xludf.DUMMYFUNCTION("""COMPUTED_VALUE"""),"Manager who clearly describes what she/he needs")</f>
        <v>Manager who clearly describes what she/he needs</v>
      </c>
      <c r="P2223" s="1" t="str">
        <f ca="1">IFERROR(__xludf.DUMMYFUNCTION("""COMPUTED_VALUE"""),"Work with 5 to 6 people in my team")</f>
        <v>Work with 5 to 6 people in my team</v>
      </c>
      <c r="Q2223" s="1" t="str">
        <f ca="1">IFERROR(__xludf.DUMMYFUNCTION("""COMPUTED_VALUE"""),"Yes")</f>
        <v>Yes</v>
      </c>
      <c r="R2223" s="1" t="str">
        <f ca="1">IFERROR(__xludf.DUMMYFUNCTION("""COMPUTED_VALUE"""),"Will work for 7 years or more")</f>
        <v>Will work for 7 years or more</v>
      </c>
      <c r="S2223" s="1" t="str">
        <f ca="1">IFERROR(__xludf.DUMMYFUNCTION("""COMPUTED_VALUE"""),"varshakommineni2000@gmail.com")</f>
        <v>varshakommineni2000@gmail.com</v>
      </c>
    </row>
    <row r="2224" spans="1:19" ht="12.5" x14ac:dyDescent="0.25">
      <c r="A2224" s="2">
        <f ca="1">IFERROR(__xludf.DUMMYFUNCTION("""COMPUTED_VALUE"""),45063.8610063425)</f>
        <v>45063.8610063425</v>
      </c>
      <c r="B2224" s="1" t="str">
        <f ca="1">IFERROR(__xludf.DUMMYFUNCTION("""COMPUTED_VALUE"""),"India")</f>
        <v>India</v>
      </c>
      <c r="C2224" s="1">
        <f ca="1">IFERROR(__xludf.DUMMYFUNCTION("""COMPUTED_VALUE"""),560061)</f>
        <v>560061</v>
      </c>
      <c r="D2224" s="1" t="str">
        <f ca="1">IFERROR(__xludf.DUMMYFUNCTION("""COMPUTED_VALUE"""),"Male")</f>
        <v>Male</v>
      </c>
      <c r="E2224" s="1" t="str">
        <f ca="1">IFERROR(__xludf.DUMMYFUNCTION("""COMPUTED_VALUE"""),"Influencers who had successful careers")</f>
        <v>Influencers who had successful careers</v>
      </c>
      <c r="F2224" s="1" t="str">
        <f ca="1">IFERROR(__xludf.DUMMYFUNCTION("""COMPUTED_VALUE"""),"No I would not be pursuing Higher Education outside of India")</f>
        <v>No I would not be pursuing Higher Education outside of India</v>
      </c>
      <c r="G2224" s="1" t="str">
        <f ca="1">IFERROR(__xludf.DUMMYFUNCTION("""COMPUTED_VALUE"""),"This will be hard to do, but if it is the right company I would try")</f>
        <v>This will be hard to do, but if it is the right company I would try</v>
      </c>
      <c r="H2224" s="1" t="str">
        <f ca="1">IFERROR(__xludf.DUMMYFUNCTION("""COMPUTED_VALUE"""),"No")</f>
        <v>No</v>
      </c>
      <c r="I2224" s="1" t="str">
        <f ca="1">IFERROR(__xludf.DUMMYFUNCTION("""COMPUTED_VALUE"""),"Will NOT work for them")</f>
        <v>Will NOT work for them</v>
      </c>
      <c r="J2224" s="1">
        <f ca="1">IFERROR(__xludf.DUMMYFUNCTION("""COMPUTED_VALUE"""),3)</f>
        <v>3</v>
      </c>
      <c r="K2224" s="1" t="str">
        <f ca="1">IFERROR(__xludf.DUMMYFUNCTION("""COMPUTED_VALUE"""),"Hybrid Working Environment with more than 15 days a month at office")</f>
        <v>Hybrid Working Environment with more than 15 days a month at office</v>
      </c>
      <c r="L22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2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24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224" s="1" t="str">
        <f ca="1">IFERROR(__xludf.DUMMYFUNCTION("""COMPUTED_VALUE"""),"Manager who explains what is expected, sets a goal and helps achieve it")</f>
        <v>Manager who explains what is expected, sets a goal and helps achieve it</v>
      </c>
      <c r="P2224" s="1" t="str">
        <f ca="1">IFERROR(__xludf.DUMMYFUNCTION("""COMPUTED_VALUE"""),"Work with 5 to 6 people in my team")</f>
        <v>Work with 5 to 6 people in my team</v>
      </c>
      <c r="Q2224" s="1" t="str">
        <f ca="1">IFERROR(__xludf.DUMMYFUNCTION("""COMPUTED_VALUE"""),"I have NO other choice")</f>
        <v>I have NO other choice</v>
      </c>
      <c r="R2224" s="1" t="str">
        <f ca="1">IFERROR(__xludf.DUMMYFUNCTION("""COMPUTED_VALUE"""),"This will be hard to do, but if it is the right company I would try")</f>
        <v>This will be hard to do, but if it is the right company I would try</v>
      </c>
      <c r="S2224" s="1" t="str">
        <f ca="1">IFERROR(__xludf.DUMMYFUNCTION("""COMPUTED_VALUE"""),"rajatht02@gmail.com")</f>
        <v>rajatht02@gmail.com</v>
      </c>
    </row>
    <row r="2225" spans="1:19" ht="12.5" x14ac:dyDescent="0.25">
      <c r="A2225" s="2">
        <f ca="1">IFERROR(__xludf.DUMMYFUNCTION("""COMPUTED_VALUE"""),45063.8613740393)</f>
        <v>45063.861374039298</v>
      </c>
      <c r="B2225" s="1" t="str">
        <f ca="1">IFERROR(__xludf.DUMMYFUNCTION("""COMPUTED_VALUE"""),"India")</f>
        <v>India</v>
      </c>
      <c r="C2225" s="1">
        <f ca="1">IFERROR(__xludf.DUMMYFUNCTION("""COMPUTED_VALUE"""),421306)</f>
        <v>421306</v>
      </c>
      <c r="D2225" s="1" t="str">
        <f ca="1">IFERROR(__xludf.DUMMYFUNCTION("""COMPUTED_VALUE"""),"Male")</f>
        <v>Male</v>
      </c>
      <c r="E2225" s="1" t="str">
        <f ca="1">IFERROR(__xludf.DUMMYFUNCTION("""COMPUTED_VALUE"""),"My Parents")</f>
        <v>My Parents</v>
      </c>
      <c r="F2225" s="1" t="str">
        <f ca="1">IFERROR(__xludf.DUMMYFUNCTION("""COMPUTED_VALUE"""),"Yes, I will earn and do that")</f>
        <v>Yes, I will earn and do that</v>
      </c>
      <c r="G2225" s="1" t="str">
        <f ca="1">IFERROR(__xludf.DUMMYFUNCTION("""COMPUTED_VALUE"""),"This will be hard to do, but if it is the right company I would try")</f>
        <v>This will be hard to do, but if it is the right company I would try</v>
      </c>
      <c r="H2225" s="1" t="str">
        <f ca="1">IFERROR(__xludf.DUMMYFUNCTION("""COMPUTED_VALUE"""),"No")</f>
        <v>No</v>
      </c>
      <c r="I2225" s="1" t="str">
        <f ca="1">IFERROR(__xludf.DUMMYFUNCTION("""COMPUTED_VALUE"""),"Will NOT work for them")</f>
        <v>Will NOT work for them</v>
      </c>
      <c r="J2225" s="1">
        <f ca="1">IFERROR(__xludf.DUMMYFUNCTION("""COMPUTED_VALUE"""),3)</f>
        <v>3</v>
      </c>
      <c r="K2225" s="1" t="str">
        <f ca="1">IFERROR(__xludf.DUMMYFUNCTION("""COMPUTED_VALUE"""),"Hybrid Working Environment with less than 3 days a month at office")</f>
        <v>Hybrid Working Environment with less than 3 days a month at office</v>
      </c>
      <c r="L22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2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25" s="1" t="str">
        <f ca="1">IFERROR(__xludf.DUMMYFUNCTION("""COMPUTED_VALUE"""),"Business Operations in any organization, Manage and drive End-to-End Projects or Products, Build and develop a Team, Work in a BPO setup for some well known client")</f>
        <v>Business Operations in any organization, Manage and drive End-to-End Projects or Products, Build and develop a Team, Work in a BPO setup for some well known client</v>
      </c>
      <c r="O2225" s="1" t="str">
        <f ca="1">IFERROR(__xludf.DUMMYFUNCTION("""COMPUTED_VALUE"""),"Manager who explains what is expected, sets a goal and helps achieve it")</f>
        <v>Manager who explains what is expected, sets a goal and helps achieve it</v>
      </c>
      <c r="P2225" s="1" t="str">
        <f ca="1">IFERROR(__xludf.DUMMYFUNCTION("""COMPUTED_VALUE"""),"Work with more than 10 people in my team")</f>
        <v>Work with more than 10 people in my team</v>
      </c>
      <c r="Q2225" s="1" t="str">
        <f ca="1">IFERROR(__xludf.DUMMYFUNCTION("""COMPUTED_VALUE"""),"Yes, I Understand this is gonna happen everywhere")</f>
        <v>Yes, I Understand this is gonna happen everywhere</v>
      </c>
      <c r="R2225" s="1" t="str">
        <f ca="1">IFERROR(__xludf.DUMMYFUNCTION("""COMPUTED_VALUE"""),"This will be hard to do, but if it is the right company I would try")</f>
        <v>This will be hard to do, but if it is the right company I would try</v>
      </c>
      <c r="S2225" s="1" t="str">
        <f ca="1">IFERROR(__xludf.DUMMYFUNCTION("""COMPUTED_VALUE"""),"vedantkudtarkar334@gmail.com")</f>
        <v>vedantkudtarkar334@gmail.com</v>
      </c>
    </row>
    <row r="2226" spans="1:19" ht="12.5" x14ac:dyDescent="0.25">
      <c r="A2226" s="2">
        <f ca="1">IFERROR(__xludf.DUMMYFUNCTION("""COMPUTED_VALUE"""),45063.869349456)</f>
        <v>45063.869349455999</v>
      </c>
      <c r="B2226" s="1" t="str">
        <f ca="1">IFERROR(__xludf.DUMMYFUNCTION("""COMPUTED_VALUE"""),"India")</f>
        <v>India</v>
      </c>
      <c r="C2226" s="1">
        <f ca="1">IFERROR(__xludf.DUMMYFUNCTION("""COMPUTED_VALUE"""),560100)</f>
        <v>560100</v>
      </c>
      <c r="D2226" s="1" t="str">
        <f ca="1">IFERROR(__xludf.DUMMYFUNCTION("""COMPUTED_VALUE"""),"Male")</f>
        <v>Male</v>
      </c>
      <c r="E2226" s="1" t="str">
        <f ca="1">IFERROR(__xludf.DUMMYFUNCTION("""COMPUTED_VALUE"""),"People from my circle, but not family members")</f>
        <v>People from my circle, but not family members</v>
      </c>
      <c r="F2226" s="1" t="str">
        <f ca="1">IFERROR(__xludf.DUMMYFUNCTION("""COMPUTED_VALUE"""),"No, But if someone could bare the cost I will")</f>
        <v>No, But if someone could bare the cost I will</v>
      </c>
      <c r="G2226" s="1" t="str">
        <f ca="1">IFERROR(__xludf.DUMMYFUNCTION("""COMPUTED_VALUE"""),"Will work for 3 years or more")</f>
        <v>Will work for 3 years or more</v>
      </c>
      <c r="H2226" s="1" t="str">
        <f ca="1">IFERROR(__xludf.DUMMYFUNCTION("""COMPUTED_VALUE"""),"No")</f>
        <v>No</v>
      </c>
      <c r="I2226" s="1" t="str">
        <f ca="1">IFERROR(__xludf.DUMMYFUNCTION("""COMPUTED_VALUE"""),"Will NOT work for them")</f>
        <v>Will NOT work for them</v>
      </c>
      <c r="J2226" s="1">
        <f ca="1">IFERROR(__xludf.DUMMYFUNCTION("""COMPUTED_VALUE"""),2)</f>
        <v>2</v>
      </c>
      <c r="K2226" s="1" t="str">
        <f ca="1">IFERROR(__xludf.DUMMYFUNCTION("""COMPUTED_VALUE"""),"Hybrid Working Environment with less than 3 days a month at office")</f>
        <v>Hybrid Working Environment with less than 3 days a month at office</v>
      </c>
      <c r="L22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2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26" s="1" t="str">
        <f ca="1">IFERROR(__xludf.DUMMYFUNCTION("""COMPUTED_VALUE"""),"Teaching in any of the institutes/colleges/online or offline, Business Operations in any organization, Manage and drive End-to-End Projects or Products, Design and Develop amazing software")</f>
        <v>Teaching in any of the institutes/colleges/online or offline, Business Operations in any organization, Manage and drive End-to-End Projects or Products, Design and Develop amazing software</v>
      </c>
      <c r="O2226" s="1" t="str">
        <f ca="1">IFERROR(__xludf.DUMMYFUNCTION("""COMPUTED_VALUE"""),"Manager who sets targets and expects me to achieve it")</f>
        <v>Manager who sets targets and expects me to achieve it</v>
      </c>
      <c r="P2226" s="1" t="str">
        <f ca="1">IFERROR(__xludf.DUMMYFUNCTION("""COMPUTED_VALUE"""),"Work with 5 to 6 people in my team")</f>
        <v>Work with 5 to 6 people in my team</v>
      </c>
      <c r="Q2226" s="1" t="str">
        <f ca="1">IFERROR(__xludf.DUMMYFUNCTION("""COMPUTED_VALUE"""),"Yes, I Understand this is gonna happen everywhere")</f>
        <v>Yes, I Understand this is gonna happen everywhere</v>
      </c>
      <c r="R2226" s="1" t="str">
        <f ca="1">IFERROR(__xludf.DUMMYFUNCTION("""COMPUTED_VALUE"""),"This will be hard to do, but if it is the right company I would try")</f>
        <v>This will be hard to do, but if it is the right company I would try</v>
      </c>
      <c r="S2226" s="1" t="str">
        <f ca="1">IFERROR(__xludf.DUMMYFUNCTION("""COMPUTED_VALUE"""),"govardhaneluru1999@gmail.com")</f>
        <v>govardhaneluru1999@gmail.com</v>
      </c>
    </row>
    <row r="2227" spans="1:19" ht="12.5" x14ac:dyDescent="0.25">
      <c r="A2227" s="2">
        <f ca="1">IFERROR(__xludf.DUMMYFUNCTION("""COMPUTED_VALUE"""),45063.8723735532)</f>
        <v>45063.872373553197</v>
      </c>
      <c r="B2227" s="1" t="str">
        <f ca="1">IFERROR(__xludf.DUMMYFUNCTION("""COMPUTED_VALUE"""),"India")</f>
        <v>India</v>
      </c>
      <c r="C2227" s="1">
        <f ca="1">IFERROR(__xludf.DUMMYFUNCTION("""COMPUTED_VALUE"""),560100)</f>
        <v>560100</v>
      </c>
      <c r="D2227" s="1" t="str">
        <f ca="1">IFERROR(__xludf.DUMMYFUNCTION("""COMPUTED_VALUE"""),"Female")</f>
        <v>Female</v>
      </c>
      <c r="E2227" s="1" t="str">
        <f ca="1">IFERROR(__xludf.DUMMYFUNCTION("""COMPUTED_VALUE"""),"People from my circle, but not family members")</f>
        <v>People from my circle, but not family members</v>
      </c>
      <c r="F2227" s="1" t="str">
        <f ca="1">IFERROR(__xludf.DUMMYFUNCTION("""COMPUTED_VALUE"""),"No I would not be pursuing Higher Education outside of India")</f>
        <v>No I would not be pursuing Higher Education outside of India</v>
      </c>
      <c r="G2227" s="1" t="str">
        <f ca="1">IFERROR(__xludf.DUMMYFUNCTION("""COMPUTED_VALUE"""),"This will be hard to do, but if it is the right company I would try")</f>
        <v>This will be hard to do, but if it is the right company I would try</v>
      </c>
      <c r="H2227" s="1" t="str">
        <f ca="1">IFERROR(__xludf.DUMMYFUNCTION("""COMPUTED_VALUE"""),"No")</f>
        <v>No</v>
      </c>
      <c r="I2227" s="1" t="str">
        <f ca="1">IFERROR(__xludf.DUMMYFUNCTION("""COMPUTED_VALUE"""),"Will NOT work for them")</f>
        <v>Will NOT work for them</v>
      </c>
      <c r="J2227" s="1">
        <f ca="1">IFERROR(__xludf.DUMMYFUNCTION("""COMPUTED_VALUE"""),6)</f>
        <v>6</v>
      </c>
      <c r="K2227" s="1" t="str">
        <f ca="1">IFERROR(__xludf.DUMMYFUNCTION("""COMPUTED_VALUE"""),"Hybrid Working Environment with more than 15 days a month at office")</f>
        <v>Hybrid Working Environment with more than 15 days a month at office</v>
      </c>
      <c r="L2227" s="1" t="str">
        <f ca="1">IFERROR(__xludf.DUMMYFUNCTION("""COMPUTED_VALUE"""),"Employer who rewards learning and enables that environment")</f>
        <v>Employer who rewards learning and enables that environment</v>
      </c>
      <c r="M222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227" s="1" t="str">
        <f ca="1">IFERROR(__xludf.DUMMYFUNCTION("""COMPUTED_VALUE"""),"Teaching in any of the institutes/colleges/online or offline, Build and develop a Team, Look deeply into Data and generate insights, Become a content Creator in some platform")</f>
        <v>Teaching in any of the institutes/colleges/online or offline, Build and develop a Team, Look deeply into Data and generate insights, Become a content Creator in some platform</v>
      </c>
      <c r="O2227" s="1" t="str">
        <f ca="1">IFERROR(__xludf.DUMMYFUNCTION("""COMPUTED_VALUE"""),"Manager who clearly describes what she/he needs")</f>
        <v>Manager who clearly describes what she/he needs</v>
      </c>
      <c r="P2227" s="1" t="str">
        <f ca="1">IFERROR(__xludf.DUMMYFUNCTION("""COMPUTED_VALUE"""),"Work with 2 to 3 people in my team")</f>
        <v>Work with 2 to 3 people in my team</v>
      </c>
      <c r="Q2227" s="1" t="str">
        <f ca="1">IFERROR(__xludf.DUMMYFUNCTION("""COMPUTED_VALUE"""),"Yes, I Understand this is gonna happen everywhere")</f>
        <v>Yes, I Understand this is gonna happen everywhere</v>
      </c>
      <c r="R2227" s="1" t="str">
        <f ca="1">IFERROR(__xludf.DUMMYFUNCTION("""COMPUTED_VALUE"""),"No way")</f>
        <v>No way</v>
      </c>
      <c r="S2227" s="1" t="str">
        <f ca="1">IFERROR(__xludf.DUMMYFUNCTION("""COMPUTED_VALUE"""),"artipandey2003@gmail.com")</f>
        <v>artipandey2003@gmail.com</v>
      </c>
    </row>
    <row r="2228" spans="1:19" ht="12.5" x14ac:dyDescent="0.25">
      <c r="A2228" s="2">
        <f ca="1">IFERROR(__xludf.DUMMYFUNCTION("""COMPUTED_VALUE"""),45063.8753709143)</f>
        <v>45063.875370914298</v>
      </c>
      <c r="B2228" s="1" t="str">
        <f ca="1">IFERROR(__xludf.DUMMYFUNCTION("""COMPUTED_VALUE"""),"India")</f>
        <v>India</v>
      </c>
      <c r="C2228" s="1">
        <f ca="1">IFERROR(__xludf.DUMMYFUNCTION("""COMPUTED_VALUE"""),560038)</f>
        <v>560038</v>
      </c>
      <c r="D2228" s="1" t="str">
        <f ca="1">IFERROR(__xludf.DUMMYFUNCTION("""COMPUTED_VALUE"""),"Male")</f>
        <v>Male</v>
      </c>
      <c r="E2228" s="1" t="str">
        <f ca="1">IFERROR(__xludf.DUMMYFUNCTION("""COMPUTED_VALUE"""),"My Parents")</f>
        <v>My Parents</v>
      </c>
      <c r="F2228" s="1" t="str">
        <f ca="1">IFERROR(__xludf.DUMMYFUNCTION("""COMPUTED_VALUE"""),"No I would not be pursuing Higher Education outside of India")</f>
        <v>No I would not be pursuing Higher Education outside of India</v>
      </c>
      <c r="G2228" s="1" t="str">
        <f ca="1">IFERROR(__xludf.DUMMYFUNCTION("""COMPUTED_VALUE"""),"This will be hard to do, but if it is the right company I would try")</f>
        <v>This will be hard to do, but if it is the right company I would try</v>
      </c>
      <c r="H2228" s="1" t="str">
        <f ca="1">IFERROR(__xludf.DUMMYFUNCTION("""COMPUTED_VALUE"""),"No")</f>
        <v>No</v>
      </c>
      <c r="I2228" s="1" t="str">
        <f ca="1">IFERROR(__xludf.DUMMYFUNCTION("""COMPUTED_VALUE"""),"Will NOT work for them")</f>
        <v>Will NOT work for them</v>
      </c>
      <c r="J2228" s="1">
        <f ca="1">IFERROR(__xludf.DUMMYFUNCTION("""COMPUTED_VALUE"""),1)</f>
        <v>1</v>
      </c>
      <c r="K2228" s="1" t="str">
        <f ca="1">IFERROR(__xludf.DUMMYFUNCTION("""COMPUTED_VALUE"""),"Hybrid Working Environment with more than 15 days a month at office")</f>
        <v>Hybrid Working Environment with more than 15 days a month at office</v>
      </c>
      <c r="L22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2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2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228" s="1" t="str">
        <f ca="1">IFERROR(__xludf.DUMMYFUNCTION("""COMPUTED_VALUE"""),"Manager who explains what is expected, sets a goal and helps achieve it")</f>
        <v>Manager who explains what is expected, sets a goal and helps achieve it</v>
      </c>
      <c r="P2228" s="1" t="str">
        <f ca="1">IFERROR(__xludf.DUMMYFUNCTION("""COMPUTED_VALUE"""),"Work with more than 10 people in my team")</f>
        <v>Work with more than 10 people in my team</v>
      </c>
      <c r="Q2228" s="1" t="str">
        <f ca="1">IFERROR(__xludf.DUMMYFUNCTION("""COMPUTED_VALUE"""),"No")</f>
        <v>No</v>
      </c>
      <c r="R2228" s="1" t="str">
        <f ca="1">IFERROR(__xludf.DUMMYFUNCTION("""COMPUTED_VALUE"""),"This will be hard to do, but if it is the right company I would try")</f>
        <v>This will be hard to do, but if it is the right company I would try</v>
      </c>
      <c r="S2228" s="1" t="str">
        <f ca="1">IFERROR(__xludf.DUMMYFUNCTION("""COMPUTED_VALUE"""),"singhshivanshu099@gmail.com")</f>
        <v>singhshivanshu099@gmail.com</v>
      </c>
    </row>
    <row r="2229" spans="1:19" ht="12.5" x14ac:dyDescent="0.25">
      <c r="A2229" s="2">
        <f ca="1">IFERROR(__xludf.DUMMYFUNCTION("""COMPUTED_VALUE"""),45063.878170949)</f>
        <v>45063.878170948999</v>
      </c>
      <c r="B2229" s="1" t="str">
        <f ca="1">IFERROR(__xludf.DUMMYFUNCTION("""COMPUTED_VALUE"""),"India")</f>
        <v>India</v>
      </c>
      <c r="C2229" s="1">
        <f ca="1">IFERROR(__xludf.DUMMYFUNCTION("""COMPUTED_VALUE"""),410218)</f>
        <v>410218</v>
      </c>
      <c r="D2229" s="1" t="str">
        <f ca="1">IFERROR(__xludf.DUMMYFUNCTION("""COMPUTED_VALUE"""),"Male")</f>
        <v>Male</v>
      </c>
      <c r="E2229" s="1" t="str">
        <f ca="1">IFERROR(__xludf.DUMMYFUNCTION("""COMPUTED_VALUE"""),"My Parents")</f>
        <v>My Parents</v>
      </c>
      <c r="F2229" s="1" t="str">
        <f ca="1">IFERROR(__xludf.DUMMYFUNCTION("""COMPUTED_VALUE"""),"No I would not be pursuing Higher Education outside of India")</f>
        <v>No I would not be pursuing Higher Education outside of India</v>
      </c>
      <c r="G2229" s="1" t="str">
        <f ca="1">IFERROR(__xludf.DUMMYFUNCTION("""COMPUTED_VALUE"""),"Will work for 3 years or more")</f>
        <v>Will work for 3 years or more</v>
      </c>
      <c r="H2229" s="1" t="str">
        <f ca="1">IFERROR(__xludf.DUMMYFUNCTION("""COMPUTED_VALUE"""),"No")</f>
        <v>No</v>
      </c>
      <c r="I2229" s="1" t="str">
        <f ca="1">IFERROR(__xludf.DUMMYFUNCTION("""COMPUTED_VALUE"""),"Will NOT work for them")</f>
        <v>Will NOT work for them</v>
      </c>
      <c r="J2229" s="1">
        <f ca="1">IFERROR(__xludf.DUMMYFUNCTION("""COMPUTED_VALUE"""),1)</f>
        <v>1</v>
      </c>
      <c r="K2229" s="1" t="str">
        <f ca="1">IFERROR(__xludf.DUMMYFUNCTION("""COMPUTED_VALUE"""),"Every Day Office Environment")</f>
        <v>Every Day Office Environment</v>
      </c>
      <c r="L2229" s="1" t="str">
        <f ca="1">IFERROR(__xludf.DUMMYFUNCTION("""COMPUTED_VALUE"""),"Employer who appreciates learning and enables that environment")</f>
        <v>Employer who appreciates learning and enables that environment</v>
      </c>
      <c r="M222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29" s="1" t="str">
        <f ca="1">IFERROR(__xludf.DUMMYFUNCTION("""COMPUTED_VALUE"""),"Design and Creative strategy in any company, Teaching in any of the institutes/colleges/online or offline, Manage and drive End-to-End Projects or Products, Look deeply into Data and generate insights")</f>
        <v>Design and Creative strategy in any company, Teaching in any of the institutes/colleges/online or offline, Manage and drive End-to-End Projects or Products, Look deeply into Data and generate insights</v>
      </c>
      <c r="O2229" s="1" t="str">
        <f ca="1">IFERROR(__xludf.DUMMYFUNCTION("""COMPUTED_VALUE"""),"Manager who clearly describes what she/he needs")</f>
        <v>Manager who clearly describes what she/he needs</v>
      </c>
      <c r="P2229" s="1" t="str">
        <f ca="1">IFERROR(__xludf.DUMMYFUNCTION("""COMPUTED_VALUE"""),"Work with 2 to 3 people in my team")</f>
        <v>Work with 2 to 3 people in my team</v>
      </c>
      <c r="Q2229" s="1" t="str">
        <f ca="1">IFERROR(__xludf.DUMMYFUNCTION("""COMPUTED_VALUE"""),"No")</f>
        <v>No</v>
      </c>
      <c r="R2229" s="1" t="str">
        <f ca="1">IFERROR(__xludf.DUMMYFUNCTION("""COMPUTED_VALUE"""),"Will work for 7 years or more")</f>
        <v>Will work for 7 years or more</v>
      </c>
      <c r="S2229" s="1" t="str">
        <f ca="1">IFERROR(__xludf.DUMMYFUNCTION("""COMPUTED_VALUE"""),"kudalkar2411@gmail.com")</f>
        <v>kudalkar2411@gmail.com</v>
      </c>
    </row>
    <row r="2230" spans="1:19" ht="12.5" x14ac:dyDescent="0.25">
      <c r="A2230" s="2">
        <f ca="1">IFERROR(__xludf.DUMMYFUNCTION("""COMPUTED_VALUE"""),45063.8875376388)</f>
        <v>45063.887537638802</v>
      </c>
      <c r="B2230" s="1" t="str">
        <f ca="1">IFERROR(__xludf.DUMMYFUNCTION("""COMPUTED_VALUE"""),"India")</f>
        <v>India</v>
      </c>
      <c r="C2230" s="1">
        <f ca="1">IFERROR(__xludf.DUMMYFUNCTION("""COMPUTED_VALUE"""),560100)</f>
        <v>560100</v>
      </c>
      <c r="D2230" s="1" t="str">
        <f ca="1">IFERROR(__xludf.DUMMYFUNCTION("""COMPUTED_VALUE"""),"Male")</f>
        <v>Male</v>
      </c>
      <c r="E2230" s="1" t="str">
        <f ca="1">IFERROR(__xludf.DUMMYFUNCTION("""COMPUTED_VALUE"""),"People from my circle, but not family members")</f>
        <v>People from my circle, but not family members</v>
      </c>
      <c r="F2230" s="1" t="str">
        <f ca="1">IFERROR(__xludf.DUMMYFUNCTION("""COMPUTED_VALUE"""),"No I would not be pursuing Higher Education outside of India")</f>
        <v>No I would not be pursuing Higher Education outside of India</v>
      </c>
      <c r="G2230" s="1" t="str">
        <f ca="1">IFERROR(__xludf.DUMMYFUNCTION("""COMPUTED_VALUE"""),"This will be hard to do, but if it is the right company I would try")</f>
        <v>This will be hard to do, but if it is the right company I would try</v>
      </c>
      <c r="H2230" s="1" t="str">
        <f ca="1">IFERROR(__xludf.DUMMYFUNCTION("""COMPUTED_VALUE"""),"No")</f>
        <v>No</v>
      </c>
      <c r="I2230" s="1" t="str">
        <f ca="1">IFERROR(__xludf.DUMMYFUNCTION("""COMPUTED_VALUE"""),"Will NOT work for them")</f>
        <v>Will NOT work for them</v>
      </c>
      <c r="J2230" s="1">
        <f ca="1">IFERROR(__xludf.DUMMYFUNCTION("""COMPUTED_VALUE"""),7)</f>
        <v>7</v>
      </c>
      <c r="K2230" s="1" t="str">
        <f ca="1">IFERROR(__xludf.DUMMYFUNCTION("""COMPUTED_VALUE"""),"Every Day Office Environment")</f>
        <v>Every Day Office Environment</v>
      </c>
      <c r="L22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30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230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2230" s="1" t="str">
        <f ca="1">IFERROR(__xludf.DUMMYFUNCTION("""COMPUTED_VALUE"""),"Manager who clearly describes what she/he needs")</f>
        <v>Manager who clearly describes what she/he needs</v>
      </c>
      <c r="P2230" s="1" t="str">
        <f ca="1">IFERROR(__xludf.DUMMYFUNCTION("""COMPUTED_VALUE"""),"Work with 5 to 6 people in my team")</f>
        <v>Work with 5 to 6 people in my team</v>
      </c>
      <c r="Q2230" s="1" t="str">
        <f ca="1">IFERROR(__xludf.DUMMYFUNCTION("""COMPUTED_VALUE"""),"Yes, I Understand this is gonna happen everywhere")</f>
        <v>Yes, I Understand this is gonna happen everywhere</v>
      </c>
      <c r="R2230" s="1" t="str">
        <f ca="1">IFERROR(__xludf.DUMMYFUNCTION("""COMPUTED_VALUE"""),"No way")</f>
        <v>No way</v>
      </c>
      <c r="S2230" s="1" t="str">
        <f ca="1">IFERROR(__xludf.DUMMYFUNCTION("""COMPUTED_VALUE"""),"amalanand1118@gmail.com")</f>
        <v>amalanand1118@gmail.com</v>
      </c>
    </row>
    <row r="2231" spans="1:19" ht="12.5" x14ac:dyDescent="0.25">
      <c r="A2231" s="2">
        <f ca="1">IFERROR(__xludf.DUMMYFUNCTION("""COMPUTED_VALUE"""),45063.8903459143)</f>
        <v>45063.890345914297</v>
      </c>
      <c r="B2231" s="1" t="str">
        <f ca="1">IFERROR(__xludf.DUMMYFUNCTION("""COMPUTED_VALUE"""),"India")</f>
        <v>India</v>
      </c>
      <c r="C2231" s="1">
        <f ca="1">IFERROR(__xludf.DUMMYFUNCTION("""COMPUTED_VALUE"""),560100)</f>
        <v>560100</v>
      </c>
      <c r="D2231" s="1" t="str">
        <f ca="1">IFERROR(__xludf.DUMMYFUNCTION("""COMPUTED_VALUE"""),"Male")</f>
        <v>Male</v>
      </c>
      <c r="E2231" s="1" t="str">
        <f ca="1">IFERROR(__xludf.DUMMYFUNCTION("""COMPUTED_VALUE"""),"People from my circle, but not family members")</f>
        <v>People from my circle, but not family members</v>
      </c>
      <c r="F2231" s="1" t="str">
        <f ca="1">IFERROR(__xludf.DUMMYFUNCTION("""COMPUTED_VALUE"""),"No I would not be pursuing Higher Education outside of India")</f>
        <v>No I would not be pursuing Higher Education outside of India</v>
      </c>
      <c r="G2231" s="1" t="str">
        <f ca="1">IFERROR(__xludf.DUMMYFUNCTION("""COMPUTED_VALUE"""),"Will work for 3 years or more")</f>
        <v>Will work for 3 years or more</v>
      </c>
      <c r="H2231" s="1" t="str">
        <f ca="1">IFERROR(__xludf.DUMMYFUNCTION("""COMPUTED_VALUE"""),"Yes")</f>
        <v>Yes</v>
      </c>
      <c r="I2231" s="1" t="str">
        <f ca="1">IFERROR(__xludf.DUMMYFUNCTION("""COMPUTED_VALUE"""),"Will work for them")</f>
        <v>Will work for them</v>
      </c>
      <c r="J2231" s="1">
        <f ca="1">IFERROR(__xludf.DUMMYFUNCTION("""COMPUTED_VALUE"""),6)</f>
        <v>6</v>
      </c>
      <c r="K2231" s="1" t="str">
        <f ca="1">IFERROR(__xludf.DUMMYFUNCTION("""COMPUTED_VALUE"""),"Every Day Office Environment")</f>
        <v>Every Day Office Environment</v>
      </c>
      <c r="L2231" s="1" t="str">
        <f ca="1">IFERROR(__xludf.DUMMYFUNCTION("""COMPUTED_VALUE"""),"Employer who appreciates learning and enables that environment")</f>
        <v>Employer who appreciates learning and enables that environment</v>
      </c>
      <c r="M223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31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2231" s="1" t="str">
        <f ca="1">IFERROR(__xludf.DUMMYFUNCTION("""COMPUTED_VALUE"""),"Manager who clearly describes what she/he needs")</f>
        <v>Manager who clearly describes what she/he needs</v>
      </c>
      <c r="P2231" s="1" t="str">
        <f ca="1">IFERROR(__xludf.DUMMYFUNCTION("""COMPUTED_VALUE"""),"Work with 5 to 6 people in my team")</f>
        <v>Work with 5 to 6 people in my team</v>
      </c>
      <c r="Q2231" s="1" t="str">
        <f ca="1">IFERROR(__xludf.DUMMYFUNCTION("""COMPUTED_VALUE"""),"Yes, I Understand this is gonna happen everywhere")</f>
        <v>Yes, I Understand this is gonna happen everywhere</v>
      </c>
      <c r="R2231" s="1" t="str">
        <f ca="1">IFERROR(__xludf.DUMMYFUNCTION("""COMPUTED_VALUE"""),"This will be hard to do, but if it is the right company I would try")</f>
        <v>This will be hard to do, but if it is the right company I would try</v>
      </c>
      <c r="S2231" s="1" t="str">
        <f ca="1">IFERROR(__xludf.DUMMYFUNCTION("""COMPUTED_VALUE"""),"ankitsunil81@gmail.com")</f>
        <v>ankitsunil81@gmail.com</v>
      </c>
    </row>
    <row r="2232" spans="1:19" ht="12.5" x14ac:dyDescent="0.25">
      <c r="A2232" s="2">
        <f ca="1">IFERROR(__xludf.DUMMYFUNCTION("""COMPUTED_VALUE"""),45063.894115)</f>
        <v>45063.894115000003</v>
      </c>
      <c r="B2232" s="1" t="str">
        <f ca="1">IFERROR(__xludf.DUMMYFUNCTION("""COMPUTED_VALUE"""),"India")</f>
        <v>India</v>
      </c>
      <c r="C2232" s="1">
        <f ca="1">IFERROR(__xludf.DUMMYFUNCTION("""COMPUTED_VALUE"""),571606)</f>
        <v>571606</v>
      </c>
      <c r="D2232" s="1" t="str">
        <f ca="1">IFERROR(__xludf.DUMMYFUNCTION("""COMPUTED_VALUE"""),"Male")</f>
        <v>Male</v>
      </c>
      <c r="E2232" s="1" t="str">
        <f ca="1">IFERROR(__xludf.DUMMYFUNCTION("""COMPUTED_VALUE"""),"Social Media like LinkedIn")</f>
        <v>Social Media like LinkedIn</v>
      </c>
      <c r="F2232" s="1" t="str">
        <f ca="1">IFERROR(__xludf.DUMMYFUNCTION("""COMPUTED_VALUE"""),"No I would not be pursuing Higher Education outside of India")</f>
        <v>No I would not be pursuing Higher Education outside of India</v>
      </c>
      <c r="G2232" s="1" t="str">
        <f ca="1">IFERROR(__xludf.DUMMYFUNCTION("""COMPUTED_VALUE"""),"Will work for 3 years or more")</f>
        <v>Will work for 3 years or more</v>
      </c>
      <c r="H2232" s="1" t="str">
        <f ca="1">IFERROR(__xludf.DUMMYFUNCTION("""COMPUTED_VALUE"""),"No")</f>
        <v>No</v>
      </c>
      <c r="I2232" s="1" t="str">
        <f ca="1">IFERROR(__xludf.DUMMYFUNCTION("""COMPUTED_VALUE"""),"Will NOT work for them")</f>
        <v>Will NOT work for them</v>
      </c>
      <c r="J2232" s="1">
        <f ca="1">IFERROR(__xludf.DUMMYFUNCTION("""COMPUTED_VALUE"""),1)</f>
        <v>1</v>
      </c>
      <c r="K2232" s="1" t="str">
        <f ca="1">IFERROR(__xludf.DUMMYFUNCTION("""COMPUTED_VALUE"""),"Hybrid Working Environment with more than 15 days a month at office")</f>
        <v>Hybrid Working Environment with more than 15 days a month at office</v>
      </c>
      <c r="L22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3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32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2232" s="1" t="str">
        <f ca="1">IFERROR(__xludf.DUMMYFUNCTION("""COMPUTED_VALUE"""),"Manager who explains what is expected, sets a goal and helps achieve it")</f>
        <v>Manager who explains what is expected, sets a goal and helps achieve it</v>
      </c>
      <c r="P2232" s="1" t="str">
        <f ca="1">IFERROR(__xludf.DUMMYFUNCTION("""COMPUTED_VALUE"""),"Work alone, Work with 2 to 3 people in my team")</f>
        <v>Work alone, Work with 2 to 3 people in my team</v>
      </c>
      <c r="Q2232" s="1" t="str">
        <f ca="1">IFERROR(__xludf.DUMMYFUNCTION("""COMPUTED_VALUE"""),"Yes, I Understand this is gonna happen everywhere")</f>
        <v>Yes, I Understand this is gonna happen everywhere</v>
      </c>
      <c r="R2232" s="1" t="str">
        <f ca="1">IFERROR(__xludf.DUMMYFUNCTION("""COMPUTED_VALUE"""),"This will be hard to do, but if it is the right company I would try")</f>
        <v>This will be hard to do, but if it is the right company I would try</v>
      </c>
      <c r="S2232" s="1" t="str">
        <f ca="1">IFERROR(__xludf.DUMMYFUNCTION("""COMPUTED_VALUE"""),"phanisaikumar2107@gmail.com")</f>
        <v>phanisaikumar2107@gmail.com</v>
      </c>
    </row>
    <row r="2233" spans="1:19" ht="12.5" x14ac:dyDescent="0.25">
      <c r="A2233" s="2">
        <f ca="1">IFERROR(__xludf.DUMMYFUNCTION("""COMPUTED_VALUE"""),45063.8961150231)</f>
        <v>45063.896115023097</v>
      </c>
      <c r="B2233" s="1" t="str">
        <f ca="1">IFERROR(__xludf.DUMMYFUNCTION("""COMPUTED_VALUE"""),"India")</f>
        <v>India</v>
      </c>
      <c r="C2233" s="1">
        <f ca="1">IFERROR(__xludf.DUMMYFUNCTION("""COMPUTED_VALUE"""),515325)</f>
        <v>515325</v>
      </c>
      <c r="D2233" s="1" t="str">
        <f ca="1">IFERROR(__xludf.DUMMYFUNCTION("""COMPUTED_VALUE"""),"Male")</f>
        <v>Male</v>
      </c>
      <c r="E2233" s="1" t="str">
        <f ca="1">IFERROR(__xludf.DUMMYFUNCTION("""COMPUTED_VALUE"""),"People who have changed the world for better")</f>
        <v>People who have changed the world for better</v>
      </c>
      <c r="F2233" s="1" t="str">
        <f ca="1">IFERROR(__xludf.DUMMYFUNCTION("""COMPUTED_VALUE"""),"Yes, I will earn and do that")</f>
        <v>Yes, I will earn and do that</v>
      </c>
      <c r="G2233" s="1" t="str">
        <f ca="1">IFERROR(__xludf.DUMMYFUNCTION("""COMPUTED_VALUE"""),"This will be hard to do, but if it is the right company I would try")</f>
        <v>This will be hard to do, but if it is the right company I would try</v>
      </c>
      <c r="H2233" s="1" t="str">
        <f ca="1">IFERROR(__xludf.DUMMYFUNCTION("""COMPUTED_VALUE"""),"No")</f>
        <v>No</v>
      </c>
      <c r="I2233" s="1" t="str">
        <f ca="1">IFERROR(__xludf.DUMMYFUNCTION("""COMPUTED_VALUE"""),"Will NOT work for them")</f>
        <v>Will NOT work for them</v>
      </c>
      <c r="J2233" s="1">
        <f ca="1">IFERROR(__xludf.DUMMYFUNCTION("""COMPUTED_VALUE"""),4)</f>
        <v>4</v>
      </c>
      <c r="K2233" s="1" t="str">
        <f ca="1">IFERROR(__xludf.DUMMYFUNCTION("""COMPUTED_VALUE"""),"Hybrid Working Environment with less than 3 days a month at office")</f>
        <v>Hybrid Working Environment with less than 3 days a month at office</v>
      </c>
      <c r="L22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33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233" s="1" t="str">
        <f ca="1">IFERROR(__xludf.DUMMYFUNCTION("""COMPUTED_VALUE"""),"Design and Creative strategy in any company, Business Operations in any organization, Entrepreneur or Start Up, An Artificial Intelligence Specialist / Talking to Robots")</f>
        <v>Design and Creative strategy in any company, Business Operations in any organization, Entrepreneur or Start Up, An Artificial Intelligence Specialist / Talking to Robots</v>
      </c>
      <c r="O2233" s="1" t="str">
        <f ca="1">IFERROR(__xludf.DUMMYFUNCTION("""COMPUTED_VALUE"""),"Manager who sets targets and expects me to achieve it")</f>
        <v>Manager who sets targets and expects me to achieve it</v>
      </c>
      <c r="P2233" s="1" t="str">
        <f ca="1">IFERROR(__xludf.DUMMYFUNCTION("""COMPUTED_VALUE"""),"Work with 2 to 3 people in my team, Work with 5 to 6 people in my team")</f>
        <v>Work with 2 to 3 people in my team, Work with 5 to 6 people in my team</v>
      </c>
      <c r="Q2233" s="1" t="str">
        <f ca="1">IFERROR(__xludf.DUMMYFUNCTION("""COMPUTED_VALUE"""),"Yes, I Understand this is gonna happen everywhere")</f>
        <v>Yes, I Understand this is gonna happen everywhere</v>
      </c>
      <c r="R2233" s="1" t="str">
        <f ca="1">IFERROR(__xludf.DUMMYFUNCTION("""COMPUTED_VALUE"""),"This will be hard to do, but if it is the right company I would try")</f>
        <v>This will be hard to do, but if it is the right company I would try</v>
      </c>
      <c r="S2233" s="1" t="str">
        <f ca="1">IFERROR(__xludf.DUMMYFUNCTION("""COMPUTED_VALUE"""),"gmdwahab@gmail.com")</f>
        <v>gmdwahab@gmail.com</v>
      </c>
    </row>
    <row r="2234" spans="1:19" ht="12.5" x14ac:dyDescent="0.25">
      <c r="A2234" s="2">
        <f ca="1">IFERROR(__xludf.DUMMYFUNCTION("""COMPUTED_VALUE"""),45063.8961176736)</f>
        <v>45063.896117673597</v>
      </c>
      <c r="B2234" s="1" t="str">
        <f ca="1">IFERROR(__xludf.DUMMYFUNCTION("""COMPUTED_VALUE"""),"India")</f>
        <v>India</v>
      </c>
      <c r="C2234" s="1">
        <f ca="1">IFERROR(__xludf.DUMMYFUNCTION("""COMPUTED_VALUE"""),562100)</f>
        <v>562100</v>
      </c>
      <c r="D2234" s="1" t="str">
        <f ca="1">IFERROR(__xludf.DUMMYFUNCTION("""COMPUTED_VALUE"""),"Female")</f>
        <v>Female</v>
      </c>
      <c r="E2234" s="1" t="str">
        <f ca="1">IFERROR(__xludf.DUMMYFUNCTION("""COMPUTED_VALUE"""),"People who have changed the world for better")</f>
        <v>People who have changed the world for better</v>
      </c>
      <c r="F2234" s="1" t="str">
        <f ca="1">IFERROR(__xludf.DUMMYFUNCTION("""COMPUTED_VALUE"""),"No I would not be pursuing Higher Education outside of India")</f>
        <v>No I would not be pursuing Higher Education outside of India</v>
      </c>
      <c r="G2234" s="1" t="str">
        <f ca="1">IFERROR(__xludf.DUMMYFUNCTION("""COMPUTED_VALUE"""),"This will be hard to do, but if it is the right company I would try")</f>
        <v>This will be hard to do, but if it is the right company I would try</v>
      </c>
      <c r="H2234" s="1" t="str">
        <f ca="1">IFERROR(__xludf.DUMMYFUNCTION("""COMPUTED_VALUE"""),"No")</f>
        <v>No</v>
      </c>
      <c r="I2234" s="1" t="str">
        <f ca="1">IFERROR(__xludf.DUMMYFUNCTION("""COMPUTED_VALUE"""),"Will NOT work for them")</f>
        <v>Will NOT work for them</v>
      </c>
      <c r="J2234" s="1">
        <f ca="1">IFERROR(__xludf.DUMMYFUNCTION("""COMPUTED_VALUE"""),5)</f>
        <v>5</v>
      </c>
      <c r="K2234" s="1" t="str">
        <f ca="1">IFERROR(__xludf.DUMMYFUNCTION("""COMPUTED_VALUE"""),"Hybrid Working Environment with less than 3 days a month at office")</f>
        <v>Hybrid Working Environment with less than 3 days a month at office</v>
      </c>
      <c r="L2234" s="1" t="str">
        <f ca="1">IFERROR(__xludf.DUMMYFUNCTION("""COMPUTED_VALUE"""),"Employer who appreciates learning and enables that environment")</f>
        <v>Employer who appreciates learning and enables that environment</v>
      </c>
      <c r="M223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34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234" s="1" t="str">
        <f ca="1">IFERROR(__xludf.DUMMYFUNCTION("""COMPUTED_VALUE"""),"Manager who clearly describes what she/he needs")</f>
        <v>Manager who clearly describes what she/he needs</v>
      </c>
      <c r="P2234" s="1" t="str">
        <f ca="1">IFERROR(__xludf.DUMMYFUNCTION("""COMPUTED_VALUE"""),"Work with 5 to 6 people in my team")</f>
        <v>Work with 5 to 6 people in my team</v>
      </c>
      <c r="Q2234" s="1" t="str">
        <f ca="1">IFERROR(__xludf.DUMMYFUNCTION("""COMPUTED_VALUE"""),"Yes, I Understand this is gonna happen everywhere")</f>
        <v>Yes, I Understand this is gonna happen everywhere</v>
      </c>
      <c r="R2234" s="1" t="str">
        <f ca="1">IFERROR(__xludf.DUMMYFUNCTION("""COMPUTED_VALUE"""),"No way")</f>
        <v>No way</v>
      </c>
      <c r="S2234" s="1" t="str">
        <f ca="1">IFERROR(__xludf.DUMMYFUNCTION("""COMPUTED_VALUE"""),"bramhinikunchala26@gmail.com")</f>
        <v>bramhinikunchala26@gmail.com</v>
      </c>
    </row>
    <row r="2235" spans="1:19" ht="12.5" x14ac:dyDescent="0.25">
      <c r="A2235" s="2">
        <f ca="1">IFERROR(__xludf.DUMMYFUNCTION("""COMPUTED_VALUE"""),45063.9062287037)</f>
        <v>45063.906228703701</v>
      </c>
      <c r="B2235" s="1" t="str">
        <f ca="1">IFERROR(__xludf.DUMMYFUNCTION("""COMPUTED_VALUE"""),"India")</f>
        <v>India</v>
      </c>
      <c r="C2235" s="1">
        <f ca="1">IFERROR(__xludf.DUMMYFUNCTION("""COMPUTED_VALUE"""),560100)</f>
        <v>560100</v>
      </c>
      <c r="D2235" s="1" t="str">
        <f ca="1">IFERROR(__xludf.DUMMYFUNCTION("""COMPUTED_VALUE"""),"Male")</f>
        <v>Male</v>
      </c>
      <c r="E2235" s="1" t="str">
        <f ca="1">IFERROR(__xludf.DUMMYFUNCTION("""COMPUTED_VALUE"""),"My Parents")</f>
        <v>My Parents</v>
      </c>
      <c r="F2235" s="1" t="str">
        <f ca="1">IFERROR(__xludf.DUMMYFUNCTION("""COMPUTED_VALUE"""),"No, But if someone could bare the cost I will")</f>
        <v>No, But if someone could bare the cost I will</v>
      </c>
      <c r="G2235" s="1" t="str">
        <f ca="1">IFERROR(__xludf.DUMMYFUNCTION("""COMPUTED_VALUE"""),"Will work for 3 years or more")</f>
        <v>Will work for 3 years or more</v>
      </c>
      <c r="H2235" s="1" t="str">
        <f ca="1">IFERROR(__xludf.DUMMYFUNCTION("""COMPUTED_VALUE"""),"No")</f>
        <v>No</v>
      </c>
      <c r="I2235" s="1" t="str">
        <f ca="1">IFERROR(__xludf.DUMMYFUNCTION("""COMPUTED_VALUE"""),"Will NOT work for them")</f>
        <v>Will NOT work for them</v>
      </c>
      <c r="J2235" s="1">
        <f ca="1">IFERROR(__xludf.DUMMYFUNCTION("""COMPUTED_VALUE"""),5)</f>
        <v>5</v>
      </c>
      <c r="K2235" s="1" t="str">
        <f ca="1">IFERROR(__xludf.DUMMYFUNCTION("""COMPUTED_VALUE"""),"Hybrid Working Environment with less than 3 days a month at office")</f>
        <v>Hybrid Working Environment with less than 3 days a month at office</v>
      </c>
      <c r="L2235" s="1" t="str">
        <f ca="1">IFERROR(__xludf.DUMMYFUNCTION("""COMPUTED_VALUE"""),"Employer who rewards learning and enables that environment")</f>
        <v>Employer who rewards learning and enables that environment</v>
      </c>
      <c r="M223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35" s="1" t="str">
        <f ca="1">IFERROR(__xludf.DUMMYFUNCTION("""COMPUTED_VALUE"""),"Design and Creative strategy in any company, Manage and drive End-to-End Projects or Products, Build and develop a Team, Work as a freelancer and do my thing my way")</f>
        <v>Design and Creative strategy in any company, Manage and drive End-to-End Projects or Products, Build and develop a Team, Work as a freelancer and do my thing my way</v>
      </c>
      <c r="O2235" s="1" t="str">
        <f ca="1">IFERROR(__xludf.DUMMYFUNCTION("""COMPUTED_VALUE"""),"Manager who sets goal and helps me achieve it")</f>
        <v>Manager who sets goal and helps me achieve it</v>
      </c>
      <c r="P2235" s="1" t="str">
        <f ca="1">IFERROR(__xludf.DUMMYFUNCTION("""COMPUTED_VALUE"""),"Work with 7 to 10 or more people in my team")</f>
        <v>Work with 7 to 10 or more people in my team</v>
      </c>
      <c r="Q2235" s="1" t="str">
        <f ca="1">IFERROR(__xludf.DUMMYFUNCTION("""COMPUTED_VALUE"""),"Yes, I Understand this is gonna happen everywhere")</f>
        <v>Yes, I Understand this is gonna happen everywhere</v>
      </c>
      <c r="R2235" s="1" t="str">
        <f ca="1">IFERROR(__xludf.DUMMYFUNCTION("""COMPUTED_VALUE"""),"This will be hard to do, but if it is the right company I would try")</f>
        <v>This will be hard to do, but if it is the right company I would try</v>
      </c>
      <c r="S2235" s="1" t="str">
        <f ca="1">IFERROR(__xludf.DUMMYFUNCTION("""COMPUTED_VALUE"""),"thrilochan200088@gmail.com")</f>
        <v>thrilochan200088@gmail.com</v>
      </c>
    </row>
    <row r="2236" spans="1:19" ht="12.5" x14ac:dyDescent="0.25">
      <c r="A2236" s="2">
        <f ca="1">IFERROR(__xludf.DUMMYFUNCTION("""COMPUTED_VALUE"""),45063.907452118)</f>
        <v>45063.907452118001</v>
      </c>
      <c r="B2236" s="1" t="str">
        <f ca="1">IFERROR(__xludf.DUMMYFUNCTION("""COMPUTED_VALUE"""),"India")</f>
        <v>India</v>
      </c>
      <c r="C2236" s="1">
        <f ca="1">IFERROR(__xludf.DUMMYFUNCTION("""COMPUTED_VALUE"""),400057)</f>
        <v>400057</v>
      </c>
      <c r="D2236" s="1" t="str">
        <f ca="1">IFERROR(__xludf.DUMMYFUNCTION("""COMPUTED_VALUE"""),"Male")</f>
        <v>Male</v>
      </c>
      <c r="E2236" s="1" t="str">
        <f ca="1">IFERROR(__xludf.DUMMYFUNCTION("""COMPUTED_VALUE"""),"People who have changed the world for better")</f>
        <v>People who have changed the world for better</v>
      </c>
      <c r="F2236" s="1" t="str">
        <f ca="1">IFERROR(__xludf.DUMMYFUNCTION("""COMPUTED_VALUE"""),"Yes, I will earn and do that")</f>
        <v>Yes, I will earn and do that</v>
      </c>
      <c r="G2236" s="1" t="str">
        <f ca="1">IFERROR(__xludf.DUMMYFUNCTION("""COMPUTED_VALUE"""),"This will be hard to do, but if it is the right company I would try")</f>
        <v>This will be hard to do, but if it is the right company I would try</v>
      </c>
      <c r="H2236" s="1" t="str">
        <f ca="1">IFERROR(__xludf.DUMMYFUNCTION("""COMPUTED_VALUE"""),"Yes")</f>
        <v>Yes</v>
      </c>
      <c r="I2236" s="1" t="str">
        <f ca="1">IFERROR(__xludf.DUMMYFUNCTION("""COMPUTED_VALUE"""),"Will NOT work for them")</f>
        <v>Will NOT work for them</v>
      </c>
      <c r="J2236" s="1">
        <f ca="1">IFERROR(__xludf.DUMMYFUNCTION("""COMPUTED_VALUE"""),1)</f>
        <v>1</v>
      </c>
      <c r="K2236" s="1" t="str">
        <f ca="1">IFERROR(__xludf.DUMMYFUNCTION("""COMPUTED_VALUE"""),"Every Day Office Environment")</f>
        <v>Every Day Office Environment</v>
      </c>
      <c r="L2236" s="1" t="str">
        <f ca="1">IFERROR(__xludf.DUMMYFUNCTION("""COMPUTED_VALUE"""),"Employer who appreciates learning and enables that environment")</f>
        <v>Employer who appreciates learning and enables that environment</v>
      </c>
      <c r="M2236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236" s="1" t="str">
        <f ca="1">IFERROR(__xludf.DUMMYFUNCTION("""COMPUTED_VALUE"""),"Design and Creative strategy in any company, Work as a freelancer and do my thing my way, Entrepreneur or Start Up, I Want to sell things/Sales")</f>
        <v>Design and Creative strategy in any company, Work as a freelancer and do my thing my way, Entrepreneur or Start Up, I Want to sell things/Sales</v>
      </c>
      <c r="O2236" s="1" t="str">
        <f ca="1">IFERROR(__xludf.DUMMYFUNCTION("""COMPUTED_VALUE"""),"Manager who clearly describes what she/he needs")</f>
        <v>Manager who clearly describes what she/he needs</v>
      </c>
      <c r="P2236" s="1" t="str">
        <f ca="1">IFERROR(__xludf.DUMMYFUNCTION("""COMPUTED_VALUE"""),"Work with 7 to 10 or more people in my team")</f>
        <v>Work with 7 to 10 or more people in my team</v>
      </c>
      <c r="Q2236" s="1" t="str">
        <f ca="1">IFERROR(__xludf.DUMMYFUNCTION("""COMPUTED_VALUE"""),"No")</f>
        <v>No</v>
      </c>
      <c r="R2236" s="1" t="str">
        <f ca="1">IFERROR(__xludf.DUMMYFUNCTION("""COMPUTED_VALUE"""),"Will work for 7 years or more")</f>
        <v>Will work for 7 years or more</v>
      </c>
      <c r="S2236" s="1" t="str">
        <f ca="1">IFERROR(__xludf.DUMMYFUNCTION("""COMPUTED_VALUE"""),"rkadam8@yahoo.com")</f>
        <v>rkadam8@yahoo.com</v>
      </c>
    </row>
    <row r="2237" spans="1:19" ht="12.5" x14ac:dyDescent="0.25">
      <c r="A2237" s="2">
        <f ca="1">IFERROR(__xludf.DUMMYFUNCTION("""COMPUTED_VALUE"""),45063.9088723611)</f>
        <v>45063.908872361098</v>
      </c>
      <c r="B2237" s="1" t="str">
        <f ca="1">IFERROR(__xludf.DUMMYFUNCTION("""COMPUTED_VALUE"""),"India")</f>
        <v>India</v>
      </c>
      <c r="C2237" s="1">
        <f ca="1">IFERROR(__xludf.DUMMYFUNCTION("""COMPUTED_VALUE"""),490006)</f>
        <v>490006</v>
      </c>
      <c r="D2237" s="1" t="str">
        <f ca="1">IFERROR(__xludf.DUMMYFUNCTION("""COMPUTED_VALUE"""),"Male")</f>
        <v>Male</v>
      </c>
      <c r="E2237" s="1" t="str">
        <f ca="1">IFERROR(__xludf.DUMMYFUNCTION("""COMPUTED_VALUE"""),"People who have changed the world for better")</f>
        <v>People who have changed the world for better</v>
      </c>
      <c r="F2237" s="1" t="str">
        <f ca="1">IFERROR(__xludf.DUMMYFUNCTION("""COMPUTED_VALUE"""),"Yes, I will earn and do that")</f>
        <v>Yes, I will earn and do that</v>
      </c>
      <c r="G2237" s="1" t="str">
        <f ca="1">IFERROR(__xludf.DUMMYFUNCTION("""COMPUTED_VALUE"""),"Will work for 3 years or more")</f>
        <v>Will work for 3 years or more</v>
      </c>
      <c r="H2237" s="1" t="str">
        <f ca="1">IFERROR(__xludf.DUMMYFUNCTION("""COMPUTED_VALUE"""),"No")</f>
        <v>No</v>
      </c>
      <c r="I2237" s="1" t="str">
        <f ca="1">IFERROR(__xludf.DUMMYFUNCTION("""COMPUTED_VALUE"""),"Will NOT work for them")</f>
        <v>Will NOT work for them</v>
      </c>
      <c r="J2237" s="1">
        <f ca="1">IFERROR(__xludf.DUMMYFUNCTION("""COMPUTED_VALUE"""),3)</f>
        <v>3</v>
      </c>
      <c r="K2237" s="1" t="str">
        <f ca="1">IFERROR(__xludf.DUMMYFUNCTION("""COMPUTED_VALUE"""),"Fully Remote with Options to travel as and when needed")</f>
        <v>Fully Remote with Options to travel as and when needed</v>
      </c>
      <c r="L2237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23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37" s="1" t="str">
        <f ca="1">IFERROR(__xludf.DUMMYFUNCTION("""COMPUTED_VALUE"""),"Business Operations in any organization, Become a content Creator in some platform, Entrepreneur or Start Up, An Artificial Intelligence Specialist / Talking to Robots")</f>
        <v>Business Operations in any organization, Become a content Creator in some platform, Entrepreneur or Start Up, An Artificial Intelligence Specialist / Talking to Robots</v>
      </c>
      <c r="O2237" s="1" t="str">
        <f ca="1">IFERROR(__xludf.DUMMYFUNCTION("""COMPUTED_VALUE"""),"Manager who clearly describes what she/he needs")</f>
        <v>Manager who clearly describes what she/he needs</v>
      </c>
      <c r="P2237" s="1" t="str">
        <f ca="1">IFERROR(__xludf.DUMMYFUNCTION("""COMPUTED_VALUE"""),"Work with 2 to 3 people in my team")</f>
        <v>Work with 2 to 3 people in my team</v>
      </c>
      <c r="Q2237" s="1" t="str">
        <f ca="1">IFERROR(__xludf.DUMMYFUNCTION("""COMPUTED_VALUE"""),"Yes, I Understand this is gonna happen everywhere")</f>
        <v>Yes, I Understand this is gonna happen everywhere</v>
      </c>
      <c r="R2237" s="1" t="str">
        <f ca="1">IFERROR(__xludf.DUMMYFUNCTION("""COMPUTED_VALUE"""),"This will be hard to do, but if it is the right company I would try")</f>
        <v>This will be hard to do, but if it is the right company I would try</v>
      </c>
      <c r="S2237" s="1" t="str">
        <f ca="1">IFERROR(__xludf.DUMMYFUNCTION("""COMPUTED_VALUE"""),"shantanubiswas1999@gmail.com")</f>
        <v>shantanubiswas1999@gmail.com</v>
      </c>
    </row>
    <row r="2238" spans="1:19" ht="12.5" x14ac:dyDescent="0.25">
      <c r="A2238" s="2">
        <f ca="1">IFERROR(__xludf.DUMMYFUNCTION("""COMPUTED_VALUE"""),45063.9104308564)</f>
        <v>45063.910430856398</v>
      </c>
      <c r="B2238" s="1" t="str">
        <f ca="1">IFERROR(__xludf.DUMMYFUNCTION("""COMPUTED_VALUE"""),"India")</f>
        <v>India</v>
      </c>
      <c r="C2238" s="1">
        <f ca="1">IFERROR(__xludf.DUMMYFUNCTION("""COMPUTED_VALUE"""),560091)</f>
        <v>560091</v>
      </c>
      <c r="D2238" s="1" t="str">
        <f ca="1">IFERROR(__xludf.DUMMYFUNCTION("""COMPUTED_VALUE"""),"Female")</f>
        <v>Female</v>
      </c>
      <c r="E2238" s="1" t="str">
        <f ca="1">IFERROR(__xludf.DUMMYFUNCTION("""COMPUTED_VALUE"""),"My Parents")</f>
        <v>My Parents</v>
      </c>
      <c r="F2238" s="1" t="str">
        <f ca="1">IFERROR(__xludf.DUMMYFUNCTION("""COMPUTED_VALUE"""),"Yes, I will earn and do that")</f>
        <v>Yes, I will earn and do that</v>
      </c>
      <c r="G2238" s="1" t="str">
        <f ca="1">IFERROR(__xludf.DUMMYFUNCTION("""COMPUTED_VALUE"""),"This will be hard to do, but if it is the right company I would try")</f>
        <v>This will be hard to do, but if it is the right company I would try</v>
      </c>
      <c r="H2238" s="1" t="str">
        <f ca="1">IFERROR(__xludf.DUMMYFUNCTION("""COMPUTED_VALUE"""),"No")</f>
        <v>No</v>
      </c>
      <c r="I2238" s="1" t="str">
        <f ca="1">IFERROR(__xludf.DUMMYFUNCTION("""COMPUTED_VALUE"""),"Will work for them")</f>
        <v>Will work for them</v>
      </c>
      <c r="J2238" s="1">
        <f ca="1">IFERROR(__xludf.DUMMYFUNCTION("""COMPUTED_VALUE"""),5)</f>
        <v>5</v>
      </c>
      <c r="K2238" s="1" t="str">
        <f ca="1">IFERROR(__xludf.DUMMYFUNCTION("""COMPUTED_VALUE"""),"Hybrid Working Environment with less than 3 days a month at office")</f>
        <v>Hybrid Working Environment with less than 3 days a month at office</v>
      </c>
      <c r="L2238" s="1" t="str">
        <f ca="1">IFERROR(__xludf.DUMMYFUNCTION("""COMPUTED_VALUE"""),"Employer who appreciates learning and enables that environment")</f>
        <v>Employer who appreciates learning and enables that environment</v>
      </c>
      <c r="M223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38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238" s="1" t="str">
        <f ca="1">IFERROR(__xludf.DUMMYFUNCTION("""COMPUTED_VALUE"""),"Manager who explains what is expected, sets a goal and helps achieve it")</f>
        <v>Manager who explains what is expected, sets a goal and helps achieve it</v>
      </c>
      <c r="P2238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238" s="1" t="str">
        <f ca="1">IFERROR(__xludf.DUMMYFUNCTION("""COMPUTED_VALUE"""),"Yes, I Understand this is gonna happen everywhere")</f>
        <v>Yes, I Understand this is gonna happen everywhere</v>
      </c>
      <c r="R2238" s="1" t="str">
        <f ca="1">IFERROR(__xludf.DUMMYFUNCTION("""COMPUTED_VALUE"""),"Will work for 7 years or more")</f>
        <v>Will work for 7 years or more</v>
      </c>
      <c r="S2238" s="1" t="str">
        <f ca="1">IFERROR(__xludf.DUMMYFUNCTION("""COMPUTED_VALUE"""),"pallupallavi.m132000@gmail.com")</f>
        <v>pallupallavi.m132000@gmail.com</v>
      </c>
    </row>
    <row r="2239" spans="1:19" ht="12.5" x14ac:dyDescent="0.25">
      <c r="A2239" s="2">
        <f ca="1">IFERROR(__xludf.DUMMYFUNCTION("""COMPUTED_VALUE"""),45063.9156837615)</f>
        <v>45063.915683761501</v>
      </c>
      <c r="B2239" s="1" t="str">
        <f ca="1">IFERROR(__xludf.DUMMYFUNCTION("""COMPUTED_VALUE"""),"India")</f>
        <v>India</v>
      </c>
      <c r="C2239" s="1">
        <f ca="1">IFERROR(__xludf.DUMMYFUNCTION("""COMPUTED_VALUE"""),122105)</f>
        <v>122105</v>
      </c>
      <c r="D2239" s="1" t="str">
        <f ca="1">IFERROR(__xludf.DUMMYFUNCTION("""COMPUTED_VALUE"""),"Male")</f>
        <v>Male</v>
      </c>
      <c r="E2239" s="1" t="str">
        <f ca="1">IFERROR(__xludf.DUMMYFUNCTION("""COMPUTED_VALUE"""),"My Parents")</f>
        <v>My Parents</v>
      </c>
      <c r="F2239" s="1" t="str">
        <f ca="1">IFERROR(__xludf.DUMMYFUNCTION("""COMPUTED_VALUE"""),"No I would not be pursuing Higher Education outside of India")</f>
        <v>No I would not be pursuing Higher Education outside of India</v>
      </c>
      <c r="G2239" s="1" t="str">
        <f ca="1">IFERROR(__xludf.DUMMYFUNCTION("""COMPUTED_VALUE"""),"Will work for 3 years or more")</f>
        <v>Will work for 3 years or more</v>
      </c>
      <c r="H2239" s="1" t="str">
        <f ca="1">IFERROR(__xludf.DUMMYFUNCTION("""COMPUTED_VALUE"""),"No")</f>
        <v>No</v>
      </c>
      <c r="I2239" s="1" t="str">
        <f ca="1">IFERROR(__xludf.DUMMYFUNCTION("""COMPUTED_VALUE"""),"Will NOT work for them")</f>
        <v>Will NOT work for them</v>
      </c>
      <c r="J2239" s="1">
        <f ca="1">IFERROR(__xludf.DUMMYFUNCTION("""COMPUTED_VALUE"""),3)</f>
        <v>3</v>
      </c>
      <c r="K2239" s="1" t="str">
        <f ca="1">IFERROR(__xludf.DUMMYFUNCTION("""COMPUTED_VALUE"""),"Every Day Office Environment")</f>
        <v>Every Day Office Environment</v>
      </c>
      <c r="L22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3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239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2239" s="1" t="str">
        <f ca="1">IFERROR(__xludf.DUMMYFUNCTION("""COMPUTED_VALUE"""),"Manager who explains what is expected, sets a goal and helps achieve it")</f>
        <v>Manager who explains what is expected, sets a goal and helps achieve it</v>
      </c>
      <c r="P2239" s="1" t="str">
        <f ca="1">IFERROR(__xludf.DUMMYFUNCTION("""COMPUTED_VALUE"""),"Work with more than 10 people in my team")</f>
        <v>Work with more than 10 people in my team</v>
      </c>
      <c r="Q2239" s="1" t="str">
        <f ca="1">IFERROR(__xludf.DUMMYFUNCTION("""COMPUTED_VALUE"""),"Yes, I Understand this is gonna happen everywhere")</f>
        <v>Yes, I Understand this is gonna happen everywhere</v>
      </c>
      <c r="R2239" s="1" t="str">
        <f ca="1">IFERROR(__xludf.DUMMYFUNCTION("""COMPUTED_VALUE"""),"Will work for 7 years or more")</f>
        <v>Will work for 7 years or more</v>
      </c>
      <c r="S2239" s="1" t="str">
        <f ca="1">IFERROR(__xludf.DUMMYFUNCTION("""COMPUTED_VALUE"""),"nitinsingh6576@gmail.com")</f>
        <v>nitinsingh6576@gmail.com</v>
      </c>
    </row>
    <row r="2240" spans="1:19" ht="12.5" x14ac:dyDescent="0.25">
      <c r="A2240" s="2">
        <f ca="1">IFERROR(__xludf.DUMMYFUNCTION("""COMPUTED_VALUE"""),45063.9211831481)</f>
        <v>45063.921183148101</v>
      </c>
      <c r="B2240" s="1" t="str">
        <f ca="1">IFERROR(__xludf.DUMMYFUNCTION("""COMPUTED_VALUE"""),"India")</f>
        <v>India</v>
      </c>
      <c r="C2240" s="1">
        <f ca="1">IFERROR(__xludf.DUMMYFUNCTION("""COMPUTED_VALUE"""),621601)</f>
        <v>621601</v>
      </c>
      <c r="D2240" s="1" t="str">
        <f ca="1">IFERROR(__xludf.DUMMYFUNCTION("""COMPUTED_VALUE"""),"Male")</f>
        <v>Male</v>
      </c>
      <c r="E2240" s="1" t="str">
        <f ca="1">IFERROR(__xludf.DUMMYFUNCTION("""COMPUTED_VALUE"""),"Influencers who had successful careers")</f>
        <v>Influencers who had successful careers</v>
      </c>
      <c r="F2240" s="1" t="str">
        <f ca="1">IFERROR(__xludf.DUMMYFUNCTION("""COMPUTED_VALUE"""),"No I would not be pursuing Higher Education outside of India")</f>
        <v>No I would not be pursuing Higher Education outside of India</v>
      </c>
      <c r="G2240" s="1" t="str">
        <f ca="1">IFERROR(__xludf.DUMMYFUNCTION("""COMPUTED_VALUE"""),"This will be hard to do, but if it is the right company I would try")</f>
        <v>This will be hard to do, but if it is the right company I would try</v>
      </c>
      <c r="H2240" s="1" t="str">
        <f ca="1">IFERROR(__xludf.DUMMYFUNCTION("""COMPUTED_VALUE"""),"No")</f>
        <v>No</v>
      </c>
      <c r="I2240" s="1" t="str">
        <f ca="1">IFERROR(__xludf.DUMMYFUNCTION("""COMPUTED_VALUE"""),"Will NOT work for them")</f>
        <v>Will NOT work for them</v>
      </c>
      <c r="J2240" s="1">
        <f ca="1">IFERROR(__xludf.DUMMYFUNCTION("""COMPUTED_VALUE"""),6)</f>
        <v>6</v>
      </c>
      <c r="K2240" s="1" t="str">
        <f ca="1">IFERROR(__xludf.DUMMYFUNCTION("""COMPUTED_VALUE"""),"Hybrid Working Environment with more than 15 days a month at office")</f>
        <v>Hybrid Working Environment with more than 15 days a month at office</v>
      </c>
      <c r="L22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4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240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2240" s="1" t="str">
        <f ca="1">IFERROR(__xludf.DUMMYFUNCTION("""COMPUTED_VALUE"""),"Manager who explains what is expected, sets a goal and helps achieve it")</f>
        <v>Manager who explains what is expected, sets a goal and helps achieve it</v>
      </c>
      <c r="P2240" s="1" t="str">
        <f ca="1">IFERROR(__xludf.DUMMYFUNCTION("""COMPUTED_VALUE"""),"Work with 2 to 3 people in my team")</f>
        <v>Work with 2 to 3 people in my team</v>
      </c>
      <c r="Q2240" s="1" t="str">
        <f ca="1">IFERROR(__xludf.DUMMYFUNCTION("""COMPUTED_VALUE"""),"Yes, I Understand this is gonna happen everywhere")</f>
        <v>Yes, I Understand this is gonna happen everywhere</v>
      </c>
      <c r="R2240" s="1" t="str">
        <f ca="1">IFERROR(__xludf.DUMMYFUNCTION("""COMPUTED_VALUE"""),"This will be hard to do, but if it is the right company I would try")</f>
        <v>This will be hard to do, but if it is the right company I would try</v>
      </c>
      <c r="S2240" s="1" t="str">
        <f ca="1">IFERROR(__xludf.DUMMYFUNCTION("""COMPUTED_VALUE"""),"williamanthonyraj1@gmail.com")</f>
        <v>williamanthonyraj1@gmail.com</v>
      </c>
    </row>
    <row r="2241" spans="1:19" ht="12.5" x14ac:dyDescent="0.25">
      <c r="A2241" s="2">
        <f ca="1">IFERROR(__xludf.DUMMYFUNCTION("""COMPUTED_VALUE"""),45063.9216687037)</f>
        <v>45063.921668703697</v>
      </c>
      <c r="B2241" s="1" t="str">
        <f ca="1">IFERROR(__xludf.DUMMYFUNCTION("""COMPUTED_VALUE"""),"India")</f>
        <v>India</v>
      </c>
      <c r="C2241" s="1">
        <f ca="1">IFERROR(__xludf.DUMMYFUNCTION("""COMPUTED_VALUE"""),122102)</f>
        <v>122102</v>
      </c>
      <c r="D2241" s="1" t="str">
        <f ca="1">IFERROR(__xludf.DUMMYFUNCTION("""COMPUTED_VALUE"""),"Male")</f>
        <v>Male</v>
      </c>
      <c r="E2241" s="1" t="str">
        <f ca="1">IFERROR(__xludf.DUMMYFUNCTION("""COMPUTED_VALUE"""),"My Parents")</f>
        <v>My Parents</v>
      </c>
      <c r="F2241" s="1" t="str">
        <f ca="1">IFERROR(__xludf.DUMMYFUNCTION("""COMPUTED_VALUE"""),"Yes, I will earn and do that")</f>
        <v>Yes, I will earn and do that</v>
      </c>
      <c r="G2241" s="1" t="str">
        <f ca="1">IFERROR(__xludf.DUMMYFUNCTION("""COMPUTED_VALUE"""),"This will be hard to do, but if it is the right company I would try")</f>
        <v>This will be hard to do, but if it is the right company I would try</v>
      </c>
      <c r="H2241" s="1" t="str">
        <f ca="1">IFERROR(__xludf.DUMMYFUNCTION("""COMPUTED_VALUE"""),"Yes")</f>
        <v>Yes</v>
      </c>
      <c r="I2241" s="1" t="str">
        <f ca="1">IFERROR(__xludf.DUMMYFUNCTION("""COMPUTED_VALUE"""),"Will work for them")</f>
        <v>Will work for them</v>
      </c>
      <c r="J2241" s="1">
        <f ca="1">IFERROR(__xludf.DUMMYFUNCTION("""COMPUTED_VALUE"""),10)</f>
        <v>10</v>
      </c>
      <c r="K2241" s="1" t="str">
        <f ca="1">IFERROR(__xludf.DUMMYFUNCTION("""COMPUTED_VALUE"""),"Fully Remote with Options to travel as and when needed")</f>
        <v>Fully Remote with Options to travel as and when needed</v>
      </c>
      <c r="L2241" s="1" t="str">
        <f ca="1">IFERROR(__xludf.DUMMYFUNCTION("""COMPUTED_VALUE"""),"Employer who appreciates learning and enables that environment")</f>
        <v>Employer who appreciates learning and enables that environment</v>
      </c>
      <c r="M224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241" s="1" t="str">
        <f ca="1">IFERROR(__xludf.DUMMYFUNCTION("""COMPUTED_VALUE"""),"Teaching in any of the institutes/colleges/online or offline, Become a content Creator in some platform, Entrepreneur or Start Up, An Artificial Intelligence Specialist / Talking to Robots")</f>
        <v>Teaching in any of the institutes/colleges/online or offline, Become a content Creator in some platform, Entrepreneur or Start Up, An Artificial Intelligence Specialist / Talking to Robots</v>
      </c>
      <c r="O2241" s="1" t="str">
        <f ca="1">IFERROR(__xludf.DUMMYFUNCTION("""COMPUTED_VALUE"""),"Manager who explains what is expected, sets a goal and helps achieve it")</f>
        <v>Manager who explains what is expected, sets a goal and helps achieve it</v>
      </c>
      <c r="P2241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241" s="1" t="str">
        <f ca="1">IFERROR(__xludf.DUMMYFUNCTION("""COMPUTED_VALUE"""),"Yes, I Understand this is gonna happen everywhere")</f>
        <v>Yes, I Understand this is gonna happen everywhere</v>
      </c>
      <c r="R2241" s="1" t="str">
        <f ca="1">IFERROR(__xludf.DUMMYFUNCTION("""COMPUTED_VALUE"""),"This will be hard to do, but if it is the right company I would try")</f>
        <v>This will be hard to do, but if it is the right company I would try</v>
      </c>
      <c r="S2241" s="1" t="str">
        <f ca="1">IFERROR(__xludf.DUMMYFUNCTION("""COMPUTED_VALUE"""),"singhsujit1999@gmail.com")</f>
        <v>singhsujit1999@gmail.com</v>
      </c>
    </row>
    <row r="2242" spans="1:19" ht="12.5" x14ac:dyDescent="0.25">
      <c r="A2242" s="2">
        <f ca="1">IFERROR(__xludf.DUMMYFUNCTION("""COMPUTED_VALUE"""),45063.9309380555)</f>
        <v>45063.930938055499</v>
      </c>
      <c r="B2242" s="1" t="str">
        <f ca="1">IFERROR(__xludf.DUMMYFUNCTION("""COMPUTED_VALUE"""),"India")</f>
        <v>India</v>
      </c>
      <c r="C2242" s="1">
        <f ca="1">IFERROR(__xludf.DUMMYFUNCTION("""COMPUTED_VALUE"""),400065)</f>
        <v>400065</v>
      </c>
      <c r="D2242" s="1" t="str">
        <f ca="1">IFERROR(__xludf.DUMMYFUNCTION("""COMPUTED_VALUE"""),"Female")</f>
        <v>Female</v>
      </c>
      <c r="E2242" s="1" t="str">
        <f ca="1">IFERROR(__xludf.DUMMYFUNCTION("""COMPUTED_VALUE"""),"Influencers who had successful careers")</f>
        <v>Influencers who had successful careers</v>
      </c>
      <c r="F2242" s="1" t="str">
        <f ca="1">IFERROR(__xludf.DUMMYFUNCTION("""COMPUTED_VALUE"""),"Yes, I will earn and do that")</f>
        <v>Yes, I will earn and do that</v>
      </c>
      <c r="G2242" s="1" t="str">
        <f ca="1">IFERROR(__xludf.DUMMYFUNCTION("""COMPUTED_VALUE"""),"Will work for 3 years or more")</f>
        <v>Will work for 3 years or more</v>
      </c>
      <c r="H2242" s="1" t="str">
        <f ca="1">IFERROR(__xludf.DUMMYFUNCTION("""COMPUTED_VALUE"""),"No")</f>
        <v>No</v>
      </c>
      <c r="I2242" s="1" t="str">
        <f ca="1">IFERROR(__xludf.DUMMYFUNCTION("""COMPUTED_VALUE"""),"Will NOT work for them")</f>
        <v>Will NOT work for them</v>
      </c>
      <c r="J2242" s="1">
        <f ca="1">IFERROR(__xludf.DUMMYFUNCTION("""COMPUTED_VALUE"""),4)</f>
        <v>4</v>
      </c>
      <c r="K2242" s="1" t="str">
        <f ca="1">IFERROR(__xludf.DUMMYFUNCTION("""COMPUTED_VALUE"""),"Every Day Office Environment")</f>
        <v>Every Day Office Environment</v>
      </c>
      <c r="L22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4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42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2242" s="1" t="str">
        <f ca="1">IFERROR(__xludf.DUMMYFUNCTION("""COMPUTED_VALUE"""),"Manager who explains what is expected, sets a goal and helps achieve it")</f>
        <v>Manager who explains what is expected, sets a goal and helps achieve it</v>
      </c>
      <c r="P2242" s="1" t="str">
        <f ca="1">IFERROR(__xludf.DUMMYFUNCTION("""COMPUTED_VALUE"""),"Work alone, Work with 5 to 6 people in my team")</f>
        <v>Work alone, Work with 5 to 6 people in my team</v>
      </c>
      <c r="Q2242" s="1" t="str">
        <f ca="1">IFERROR(__xludf.DUMMYFUNCTION("""COMPUTED_VALUE"""),"Yes, I Understand this is gonna happen everywhere")</f>
        <v>Yes, I Understand this is gonna happen everywhere</v>
      </c>
      <c r="R2242" s="1" t="str">
        <f ca="1">IFERROR(__xludf.DUMMYFUNCTION("""COMPUTED_VALUE"""),"This will be hard to do, but if it is the right company I would try")</f>
        <v>This will be hard to do, but if it is the right company I would try</v>
      </c>
      <c r="S2242" s="1" t="str">
        <f ca="1">IFERROR(__xludf.DUMMYFUNCTION("""COMPUTED_VALUE"""),"bidhideshmukh8225@gmail.com")</f>
        <v>bidhideshmukh8225@gmail.com</v>
      </c>
    </row>
    <row r="2243" spans="1:19" ht="12.5" x14ac:dyDescent="0.25">
      <c r="A2243" s="2">
        <f ca="1">IFERROR(__xludf.DUMMYFUNCTION("""COMPUTED_VALUE"""),45063.9313001736)</f>
        <v>45063.931300173601</v>
      </c>
      <c r="B2243" s="1" t="str">
        <f ca="1">IFERROR(__xludf.DUMMYFUNCTION("""COMPUTED_VALUE"""),"India")</f>
        <v>India</v>
      </c>
      <c r="C2243" s="1">
        <f ca="1">IFERROR(__xludf.DUMMYFUNCTION("""COMPUTED_VALUE"""),604001)</f>
        <v>604001</v>
      </c>
      <c r="D2243" s="1" t="str">
        <f ca="1">IFERROR(__xludf.DUMMYFUNCTION("""COMPUTED_VALUE"""),"Female")</f>
        <v>Female</v>
      </c>
      <c r="E2243" s="1" t="str">
        <f ca="1">IFERROR(__xludf.DUMMYFUNCTION("""COMPUTED_VALUE"""),"My Parents")</f>
        <v>My Parents</v>
      </c>
      <c r="F2243" s="1" t="str">
        <f ca="1">IFERROR(__xludf.DUMMYFUNCTION("""COMPUTED_VALUE"""),"Yes, I will earn and do that")</f>
        <v>Yes, I will earn and do that</v>
      </c>
      <c r="G2243" s="1" t="str">
        <f ca="1">IFERROR(__xludf.DUMMYFUNCTION("""COMPUTED_VALUE"""),"Will work for 3 years or more")</f>
        <v>Will work for 3 years or more</v>
      </c>
      <c r="H2243" s="1" t="str">
        <f ca="1">IFERROR(__xludf.DUMMYFUNCTION("""COMPUTED_VALUE"""),"Yes")</f>
        <v>Yes</v>
      </c>
      <c r="I2243" s="1" t="str">
        <f ca="1">IFERROR(__xludf.DUMMYFUNCTION("""COMPUTED_VALUE"""),"Will work for them")</f>
        <v>Will work for them</v>
      </c>
      <c r="J2243" s="1">
        <f ca="1">IFERROR(__xludf.DUMMYFUNCTION("""COMPUTED_VALUE"""),7)</f>
        <v>7</v>
      </c>
      <c r="K2243" s="1" t="str">
        <f ca="1">IFERROR(__xludf.DUMMYFUNCTION("""COMPUTED_VALUE"""),"Every Day Office Environment")</f>
        <v>Every Day Office Environment</v>
      </c>
      <c r="L2243" s="1" t="str">
        <f ca="1">IFERROR(__xludf.DUMMYFUNCTION("""COMPUTED_VALUE"""),"Employer who appreciates learning and enables that environment")</f>
        <v>Employer who appreciates learning and enables that environment</v>
      </c>
      <c r="M224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243" s="1" t="str">
        <f ca="1">IFERROR(__xludf.DUMMYFUNCTION("""COMPUTED_VALUE"""),"Design and Creative strategy in any company, Teaching in any of the institutes/colleges/online or offline, Build and develop a Team, Look deeply into Data and generate insights")</f>
        <v>Design and Creative strategy in any company, Teaching in any of the institutes/colleges/online or offline, Build and develop a Team, Look deeply into Data and generate insights</v>
      </c>
      <c r="O2243" s="1" t="str">
        <f ca="1">IFERROR(__xludf.DUMMYFUNCTION("""COMPUTED_VALUE"""),"Manager who clearly describes what she/he needs")</f>
        <v>Manager who clearly describes what she/he needs</v>
      </c>
      <c r="P2243" s="1" t="str">
        <f ca="1">IFERROR(__xludf.DUMMYFUNCTION("""COMPUTED_VALUE"""),"Work with more than 10 people in my team")</f>
        <v>Work with more than 10 people in my team</v>
      </c>
      <c r="Q2243" s="1" t="str">
        <f ca="1">IFERROR(__xludf.DUMMYFUNCTION("""COMPUTED_VALUE"""),"Yes, I Understand this is gonna happen everywhere")</f>
        <v>Yes, I Understand this is gonna happen everywhere</v>
      </c>
      <c r="R2243" s="1" t="str">
        <f ca="1">IFERROR(__xludf.DUMMYFUNCTION("""COMPUTED_VALUE"""),"Will work for 7 years or more")</f>
        <v>Will work for 7 years or more</v>
      </c>
      <c r="S2243" s="1" t="str">
        <f ca="1">IFERROR(__xludf.DUMMYFUNCTION("""COMPUTED_VALUE"""),"21d3919@dgvaishnavcollege.edu.in")</f>
        <v>21d3919@dgvaishnavcollege.edu.in</v>
      </c>
    </row>
    <row r="2244" spans="1:19" ht="12.5" x14ac:dyDescent="0.25">
      <c r="A2244" s="2">
        <f ca="1">IFERROR(__xludf.DUMMYFUNCTION("""COMPUTED_VALUE"""),45063.9388542245)</f>
        <v>45063.9388542245</v>
      </c>
      <c r="B2244" s="1" t="str">
        <f ca="1">IFERROR(__xludf.DUMMYFUNCTION("""COMPUTED_VALUE"""),"India")</f>
        <v>India</v>
      </c>
      <c r="C2244" s="1">
        <f ca="1">IFERROR(__xludf.DUMMYFUNCTION("""COMPUTED_VALUE"""),560061)</f>
        <v>560061</v>
      </c>
      <c r="D2244" s="1" t="str">
        <f ca="1">IFERROR(__xludf.DUMMYFUNCTION("""COMPUTED_VALUE"""),"Female")</f>
        <v>Female</v>
      </c>
      <c r="E2244" s="1" t="str">
        <f ca="1">IFERROR(__xludf.DUMMYFUNCTION("""COMPUTED_VALUE"""),"People from my circle, but not family members")</f>
        <v>People from my circle, but not family members</v>
      </c>
      <c r="F2244" s="1" t="str">
        <f ca="1">IFERROR(__xludf.DUMMYFUNCTION("""COMPUTED_VALUE"""),"No I would not be pursuing Higher Education outside of India")</f>
        <v>No I would not be pursuing Higher Education outside of India</v>
      </c>
      <c r="G2244" s="1" t="str">
        <f ca="1">IFERROR(__xludf.DUMMYFUNCTION("""COMPUTED_VALUE"""),"Will work for 3 years or more")</f>
        <v>Will work for 3 years or more</v>
      </c>
      <c r="H2244" s="1" t="str">
        <f ca="1">IFERROR(__xludf.DUMMYFUNCTION("""COMPUTED_VALUE"""),"No")</f>
        <v>No</v>
      </c>
      <c r="I2244" s="1" t="str">
        <f ca="1">IFERROR(__xludf.DUMMYFUNCTION("""COMPUTED_VALUE"""),"Will NOT work for them")</f>
        <v>Will NOT work for them</v>
      </c>
      <c r="J2244" s="1">
        <f ca="1">IFERROR(__xludf.DUMMYFUNCTION("""COMPUTED_VALUE"""),5)</f>
        <v>5</v>
      </c>
      <c r="K2244" s="1" t="str">
        <f ca="1">IFERROR(__xludf.DUMMYFUNCTION("""COMPUTED_VALUE"""),"Hybrid Working Environment with less than 3 days a month at office")</f>
        <v>Hybrid Working Environment with less than 3 days a month at office</v>
      </c>
      <c r="L22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4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44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2244" s="1" t="str">
        <f ca="1">IFERROR(__xludf.DUMMYFUNCTION("""COMPUTED_VALUE"""),"Manager who explains what is expected, sets a goal and helps achieve it")</f>
        <v>Manager who explains what is expected, sets a goal and helps achieve it</v>
      </c>
      <c r="P2244" s="1" t="str">
        <f ca="1">IFERROR(__xludf.DUMMYFUNCTION("""COMPUTED_VALUE"""),"Work with 5 to 6 people in my team")</f>
        <v>Work with 5 to 6 people in my team</v>
      </c>
      <c r="Q2244" s="1" t="str">
        <f ca="1">IFERROR(__xludf.DUMMYFUNCTION("""COMPUTED_VALUE"""),"Yes, I Understand this is gonna happen everywhere")</f>
        <v>Yes, I Understand this is gonna happen everywhere</v>
      </c>
      <c r="R2244" s="1" t="str">
        <f ca="1">IFERROR(__xludf.DUMMYFUNCTION("""COMPUTED_VALUE"""),"This will be hard to do, but if it is the right company I would try")</f>
        <v>This will be hard to do, but if it is the right company I would try</v>
      </c>
      <c r="S2244" s="1" t="str">
        <f ca="1">IFERROR(__xludf.DUMMYFUNCTION("""COMPUTED_VALUE"""),"sahanakg12@gmail.com")</f>
        <v>sahanakg12@gmail.com</v>
      </c>
    </row>
    <row r="2245" spans="1:19" ht="12.5" x14ac:dyDescent="0.25">
      <c r="A2245" s="2">
        <f ca="1">IFERROR(__xludf.DUMMYFUNCTION("""COMPUTED_VALUE"""),45063.9391979513)</f>
        <v>45063.939197951302</v>
      </c>
      <c r="B2245" s="1" t="str">
        <f ca="1">IFERROR(__xludf.DUMMYFUNCTION("""COMPUTED_VALUE"""),"India")</f>
        <v>India</v>
      </c>
      <c r="C2245" s="1">
        <f ca="1">IFERROR(__xludf.DUMMYFUNCTION("""COMPUTED_VALUE"""),607001)</f>
        <v>607001</v>
      </c>
      <c r="D2245" s="1" t="str">
        <f ca="1">IFERROR(__xludf.DUMMYFUNCTION("""COMPUTED_VALUE"""),"Female")</f>
        <v>Female</v>
      </c>
      <c r="E2245" s="1" t="str">
        <f ca="1">IFERROR(__xludf.DUMMYFUNCTION("""COMPUTED_VALUE"""),"Social Media like LinkedIn")</f>
        <v>Social Media like LinkedIn</v>
      </c>
      <c r="F2245" s="1" t="str">
        <f ca="1">IFERROR(__xludf.DUMMYFUNCTION("""COMPUTED_VALUE"""),"Yes, I will earn and do that")</f>
        <v>Yes, I will earn and do that</v>
      </c>
      <c r="G2245" s="1" t="str">
        <f ca="1">IFERROR(__xludf.DUMMYFUNCTION("""COMPUTED_VALUE"""),"This will be hard to do, but if it is the right company I would try")</f>
        <v>This will be hard to do, but if it is the right company I would try</v>
      </c>
      <c r="H2245" s="1" t="str">
        <f ca="1">IFERROR(__xludf.DUMMYFUNCTION("""COMPUTED_VALUE"""),"Yes")</f>
        <v>Yes</v>
      </c>
      <c r="I2245" s="1" t="str">
        <f ca="1">IFERROR(__xludf.DUMMYFUNCTION("""COMPUTED_VALUE"""),"Will work for them")</f>
        <v>Will work for them</v>
      </c>
      <c r="J2245" s="1">
        <f ca="1">IFERROR(__xludf.DUMMYFUNCTION("""COMPUTED_VALUE"""),9)</f>
        <v>9</v>
      </c>
      <c r="K2245" s="1" t="str">
        <f ca="1">IFERROR(__xludf.DUMMYFUNCTION("""COMPUTED_VALUE"""),"Every Day Office Environment")</f>
        <v>Every Day Office Environment</v>
      </c>
      <c r="L2245" s="1" t="str">
        <f ca="1">IFERROR(__xludf.DUMMYFUNCTION("""COMPUTED_VALUE"""),"Employer who appreciates learning and enables that environment")</f>
        <v>Employer who appreciates learning and enables that environment</v>
      </c>
      <c r="M2245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245" s="1" t="str">
        <f ca="1">IFERROR(__xludf.DUMMYFUNCTION("""COMPUTED_VALUE"""),"Design and Creative strategy in any company, Manage and drive End-to-End Projects or Products, Design and Develop amazing software, An Artificial Intelligence Specialist / Talking to Robots")</f>
        <v>Design and Creative strategy in any company, Manage and drive End-to-End Projects or Products, Design and Develop amazing software, An Artificial Intelligence Specialist / Talking to Robots</v>
      </c>
      <c r="O2245" s="1" t="str">
        <f ca="1">IFERROR(__xludf.DUMMYFUNCTION("""COMPUTED_VALUE"""),"Manager who explains what is expected, sets a goal and helps achieve it")</f>
        <v>Manager who explains what is expected, sets a goal and helps achieve it</v>
      </c>
      <c r="P2245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2245" s="1" t="str">
        <f ca="1">IFERROR(__xludf.DUMMYFUNCTION("""COMPUTED_VALUE"""),"Yes, I Understand this is gonna happen everywhere")</f>
        <v>Yes, I Understand this is gonna happen everywhere</v>
      </c>
      <c r="R2245" s="1" t="str">
        <f ca="1">IFERROR(__xludf.DUMMYFUNCTION("""COMPUTED_VALUE"""),"This will be hard to do, but if it is the right company I would try")</f>
        <v>This will be hard to do, but if it is the right company I would try</v>
      </c>
      <c r="S2245" s="1" t="str">
        <f ca="1">IFERROR(__xludf.DUMMYFUNCTION("""COMPUTED_VALUE"""),"gnanaselvi69@gmail.com")</f>
        <v>gnanaselvi69@gmail.com</v>
      </c>
    </row>
    <row r="2246" spans="1:19" ht="12.5" x14ac:dyDescent="0.25">
      <c r="A2246" s="2">
        <f ca="1">IFERROR(__xludf.DUMMYFUNCTION("""COMPUTED_VALUE"""),45063.940050405)</f>
        <v>45063.940050404999</v>
      </c>
      <c r="B2246" s="1" t="str">
        <f ca="1">IFERROR(__xludf.DUMMYFUNCTION("""COMPUTED_VALUE"""),"India")</f>
        <v>India</v>
      </c>
      <c r="C2246" s="1">
        <f ca="1">IFERROR(__xludf.DUMMYFUNCTION("""COMPUTED_VALUE"""),560067)</f>
        <v>560067</v>
      </c>
      <c r="D2246" s="1" t="str">
        <f ca="1">IFERROR(__xludf.DUMMYFUNCTION("""COMPUTED_VALUE"""),"Female")</f>
        <v>Female</v>
      </c>
      <c r="E2246" s="1" t="str">
        <f ca="1">IFERROR(__xludf.DUMMYFUNCTION("""COMPUTED_VALUE"""),"My Parents")</f>
        <v>My Parents</v>
      </c>
      <c r="F2246" s="1" t="str">
        <f ca="1">IFERROR(__xludf.DUMMYFUNCTION("""COMPUTED_VALUE"""),"No I would not be pursuing Higher Education outside of India")</f>
        <v>No I would not be pursuing Higher Education outside of India</v>
      </c>
      <c r="G2246" s="1" t="str">
        <f ca="1">IFERROR(__xludf.DUMMYFUNCTION("""COMPUTED_VALUE"""),"This will be hard to do, but if it is the right company I would try")</f>
        <v>This will be hard to do, but if it is the right company I would try</v>
      </c>
      <c r="H2246" s="1" t="str">
        <f ca="1">IFERROR(__xludf.DUMMYFUNCTION("""COMPUTED_VALUE"""),"No")</f>
        <v>No</v>
      </c>
      <c r="I2246" s="1" t="str">
        <f ca="1">IFERROR(__xludf.DUMMYFUNCTION("""COMPUTED_VALUE"""),"Will NOT work for them")</f>
        <v>Will NOT work for them</v>
      </c>
      <c r="J2246" s="1">
        <f ca="1">IFERROR(__xludf.DUMMYFUNCTION("""COMPUTED_VALUE"""),10)</f>
        <v>10</v>
      </c>
      <c r="K2246" s="1" t="str">
        <f ca="1">IFERROR(__xludf.DUMMYFUNCTION("""COMPUTED_VALUE"""),"Hybrid Working Environment with less than 3 days a month at office")</f>
        <v>Hybrid Working Environment with less than 3 days a month at office</v>
      </c>
      <c r="L2246" s="1" t="str">
        <f ca="1">IFERROR(__xludf.DUMMYFUNCTION("""COMPUTED_VALUE"""),"Employer who rewards learning and enables that environment")</f>
        <v>Employer who rewards learning and enables that environment</v>
      </c>
      <c r="M2246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246" s="1" t="str">
        <f ca="1">IFERROR(__xludf.DUMMYFUNCTION("""COMPUTED_VALUE"""),"Teaching in any of the institutes/colleges/online or offline, Business Operations in any organization, Build and develop a Team, I Want to sell things/Sales")</f>
        <v>Teaching in any of the institutes/colleges/online or offline, Business Operations in any organization, Build and develop a Team, I Want to sell things/Sales</v>
      </c>
      <c r="O2246" s="1" t="str">
        <f ca="1">IFERROR(__xludf.DUMMYFUNCTION("""COMPUTED_VALUE"""),"Manager who sets goal and helps me achieve it")</f>
        <v>Manager who sets goal and helps me achieve it</v>
      </c>
      <c r="P2246" s="1" t="str">
        <f ca="1">IFERROR(__xludf.DUMMYFUNCTION("""COMPUTED_VALUE"""),"Work with 5 to 6 people in my team")</f>
        <v>Work with 5 to 6 people in my team</v>
      </c>
      <c r="Q2246" s="1" t="str">
        <f ca="1">IFERROR(__xludf.DUMMYFUNCTION("""COMPUTED_VALUE"""),"No")</f>
        <v>No</v>
      </c>
      <c r="R2246" s="1" t="str">
        <f ca="1">IFERROR(__xludf.DUMMYFUNCTION("""COMPUTED_VALUE"""),"This will be hard to do, but if it is the right company I would try")</f>
        <v>This will be hard to do, but if it is the right company I would try</v>
      </c>
      <c r="S2246" s="1" t="str">
        <f ca="1">IFERROR(__xludf.DUMMYFUNCTION("""COMPUTED_VALUE"""),"itsmedsdu@gmail.com")</f>
        <v>itsmedsdu@gmail.com</v>
      </c>
    </row>
    <row r="2247" spans="1:19" ht="12.5" x14ac:dyDescent="0.25">
      <c r="A2247" s="2">
        <f ca="1">IFERROR(__xludf.DUMMYFUNCTION("""COMPUTED_VALUE"""),45063.9412572222)</f>
        <v>45063.941257222199</v>
      </c>
      <c r="B2247" s="1" t="str">
        <f ca="1">IFERROR(__xludf.DUMMYFUNCTION("""COMPUTED_VALUE"""),"India")</f>
        <v>India</v>
      </c>
      <c r="C2247" s="1">
        <f ca="1">IFERROR(__xludf.DUMMYFUNCTION("""COMPUTED_VALUE"""),560067)</f>
        <v>560067</v>
      </c>
      <c r="D2247" s="1" t="str">
        <f ca="1">IFERROR(__xludf.DUMMYFUNCTION("""COMPUTED_VALUE"""),"Female")</f>
        <v>Female</v>
      </c>
      <c r="E2247" s="1" t="str">
        <f ca="1">IFERROR(__xludf.DUMMYFUNCTION("""COMPUTED_VALUE"""),"People who have changed the world for better")</f>
        <v>People who have changed the world for better</v>
      </c>
      <c r="F2247" s="1" t="str">
        <f ca="1">IFERROR(__xludf.DUMMYFUNCTION("""COMPUTED_VALUE"""),"No I would not be pursuing Higher Education outside of India")</f>
        <v>No I would not be pursuing Higher Education outside of India</v>
      </c>
      <c r="G2247" s="1" t="str">
        <f ca="1">IFERROR(__xludf.DUMMYFUNCTION("""COMPUTED_VALUE"""),"Will work for 3 years or more")</f>
        <v>Will work for 3 years or more</v>
      </c>
      <c r="H2247" s="1" t="str">
        <f ca="1">IFERROR(__xludf.DUMMYFUNCTION("""COMPUTED_VALUE"""),"Yes")</f>
        <v>Yes</v>
      </c>
      <c r="I2247" s="1" t="str">
        <f ca="1">IFERROR(__xludf.DUMMYFUNCTION("""COMPUTED_VALUE"""),"Will work for them")</f>
        <v>Will work for them</v>
      </c>
      <c r="J2247" s="1">
        <f ca="1">IFERROR(__xludf.DUMMYFUNCTION("""COMPUTED_VALUE"""),9)</f>
        <v>9</v>
      </c>
      <c r="K2247" s="1" t="str">
        <f ca="1">IFERROR(__xludf.DUMMYFUNCTION("""COMPUTED_VALUE"""),"Hybrid Working Environment with less than 3 days a month at office")</f>
        <v>Hybrid Working Environment with less than 3 days a month at office</v>
      </c>
      <c r="L2247" s="1" t="str">
        <f ca="1">IFERROR(__xludf.DUMMYFUNCTION("""COMPUTED_VALUE"""),"Employer who rewards learning and enables that environment")</f>
        <v>Employer who rewards learning and enables that environment</v>
      </c>
      <c r="M224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247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247" s="1" t="str">
        <f ca="1">IFERROR(__xludf.DUMMYFUNCTION("""COMPUTED_VALUE"""),"Manager who explains what is expected, sets a goal and helps achieve it")</f>
        <v>Manager who explains what is expected, sets a goal and helps achieve it</v>
      </c>
      <c r="P2247" s="1" t="str">
        <f ca="1">IFERROR(__xludf.DUMMYFUNCTION("""COMPUTED_VALUE"""),"Work with 7 to 10 or more people in my team")</f>
        <v>Work with 7 to 10 or more people in my team</v>
      </c>
      <c r="Q2247" s="1" t="str">
        <f ca="1">IFERROR(__xludf.DUMMYFUNCTION("""COMPUTED_VALUE"""),"Yes, I Understand this is gonna happen everywhere")</f>
        <v>Yes, I Understand this is gonna happen everywhere</v>
      </c>
      <c r="R2247" s="1" t="str">
        <f ca="1">IFERROR(__xludf.DUMMYFUNCTION("""COMPUTED_VALUE"""),"Will work for 7 years or more")</f>
        <v>Will work for 7 years or more</v>
      </c>
      <c r="S2247" s="1" t="str">
        <f ca="1">IFERROR(__xludf.DUMMYFUNCTION("""COMPUTED_VALUE"""),"shruthireddy2615@gmail.com")</f>
        <v>shruthireddy2615@gmail.com</v>
      </c>
    </row>
    <row r="2248" spans="1:19" ht="12.5" x14ac:dyDescent="0.25">
      <c r="A2248" s="2">
        <f ca="1">IFERROR(__xludf.DUMMYFUNCTION("""COMPUTED_VALUE"""),45063.9421448958)</f>
        <v>45063.942144895802</v>
      </c>
      <c r="B2248" s="1" t="str">
        <f ca="1">IFERROR(__xludf.DUMMYFUNCTION("""COMPUTED_VALUE"""),"India")</f>
        <v>India</v>
      </c>
      <c r="C2248" s="1">
        <f ca="1">IFERROR(__xludf.DUMMYFUNCTION("""COMPUTED_VALUE"""),562157)</f>
        <v>562157</v>
      </c>
      <c r="D2248" s="1" t="str">
        <f ca="1">IFERROR(__xludf.DUMMYFUNCTION("""COMPUTED_VALUE"""),"Male")</f>
        <v>Male</v>
      </c>
      <c r="E2248" s="1" t="str">
        <f ca="1">IFERROR(__xludf.DUMMYFUNCTION("""COMPUTED_VALUE"""),"My Parents")</f>
        <v>My Parents</v>
      </c>
      <c r="F2248" s="1" t="str">
        <f ca="1">IFERROR(__xludf.DUMMYFUNCTION("""COMPUTED_VALUE"""),"No, But if someone could bare the cost I will")</f>
        <v>No, But if someone could bare the cost I will</v>
      </c>
      <c r="G2248" s="1" t="str">
        <f ca="1">IFERROR(__xludf.DUMMYFUNCTION("""COMPUTED_VALUE"""),"Will work for 3 years or more")</f>
        <v>Will work for 3 years or more</v>
      </c>
      <c r="H2248" s="1" t="str">
        <f ca="1">IFERROR(__xludf.DUMMYFUNCTION("""COMPUTED_VALUE"""),"No")</f>
        <v>No</v>
      </c>
      <c r="I2248" s="1" t="str">
        <f ca="1">IFERROR(__xludf.DUMMYFUNCTION("""COMPUTED_VALUE"""),"Will NOT work for them")</f>
        <v>Will NOT work for them</v>
      </c>
      <c r="J2248" s="1">
        <f ca="1">IFERROR(__xludf.DUMMYFUNCTION("""COMPUTED_VALUE"""),2)</f>
        <v>2</v>
      </c>
      <c r="K2248" s="1" t="str">
        <f ca="1">IFERROR(__xludf.DUMMYFUNCTION("""COMPUTED_VALUE"""),"Every Day Office Environment")</f>
        <v>Every Day Office Environment</v>
      </c>
      <c r="L2248" s="1" t="str">
        <f ca="1">IFERROR(__xludf.DUMMYFUNCTION("""COMPUTED_VALUE"""),"Employer who appreciates learning and enables that environment")</f>
        <v>Employer who appreciates learning and enables that environment</v>
      </c>
      <c r="M224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48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2248" s="1" t="str">
        <f ca="1">IFERROR(__xludf.DUMMYFUNCTION("""COMPUTED_VALUE"""),"Manager who sets goal and helps me achieve it")</f>
        <v>Manager who sets goal and helps me achieve it</v>
      </c>
      <c r="P2248" s="1" t="str">
        <f ca="1">IFERROR(__xludf.DUMMYFUNCTION("""COMPUTED_VALUE"""),"Work with more than 10 people in my team")</f>
        <v>Work with more than 10 people in my team</v>
      </c>
      <c r="Q2248" s="1" t="str">
        <f ca="1">IFERROR(__xludf.DUMMYFUNCTION("""COMPUTED_VALUE"""),"No")</f>
        <v>No</v>
      </c>
      <c r="R2248" s="1" t="str">
        <f ca="1">IFERROR(__xludf.DUMMYFUNCTION("""COMPUTED_VALUE"""),"This will be hard to do, but if it is the right company I would try")</f>
        <v>This will be hard to do, but if it is the right company I would try</v>
      </c>
      <c r="S2248" s="1" t="str">
        <f ca="1">IFERROR(__xludf.DUMMYFUNCTION("""COMPUTED_VALUE"""),"gujjarkarthik04@gmail.com")</f>
        <v>gujjarkarthik04@gmail.com</v>
      </c>
    </row>
    <row r="2249" spans="1:19" ht="12.5" x14ac:dyDescent="0.25">
      <c r="A2249" s="2">
        <f ca="1">IFERROR(__xludf.DUMMYFUNCTION("""COMPUTED_VALUE"""),45063.9423199537)</f>
        <v>45063.942319953698</v>
      </c>
      <c r="B2249" s="1" t="str">
        <f ca="1">IFERROR(__xludf.DUMMYFUNCTION("""COMPUTED_VALUE"""),"India")</f>
        <v>India</v>
      </c>
      <c r="C2249" s="1">
        <f ca="1">IFERROR(__xludf.DUMMYFUNCTION("""COMPUTED_VALUE"""),560060)</f>
        <v>560060</v>
      </c>
      <c r="D2249" s="1" t="str">
        <f ca="1">IFERROR(__xludf.DUMMYFUNCTION("""COMPUTED_VALUE"""),"Male")</f>
        <v>Male</v>
      </c>
      <c r="E2249" s="1" t="str">
        <f ca="1">IFERROR(__xludf.DUMMYFUNCTION("""COMPUTED_VALUE"""),"My Parents")</f>
        <v>My Parents</v>
      </c>
      <c r="F2249" s="1" t="str">
        <f ca="1">IFERROR(__xludf.DUMMYFUNCTION("""COMPUTED_VALUE"""),"No, But if someone could bare the cost I will")</f>
        <v>No, But if someone could bare the cost I will</v>
      </c>
      <c r="G2249" s="1" t="str">
        <f ca="1">IFERROR(__xludf.DUMMYFUNCTION("""COMPUTED_VALUE"""),"Will work for 3 years or more")</f>
        <v>Will work for 3 years or more</v>
      </c>
      <c r="H2249" s="1" t="str">
        <f ca="1">IFERROR(__xludf.DUMMYFUNCTION("""COMPUTED_VALUE"""),"No")</f>
        <v>No</v>
      </c>
      <c r="I2249" s="1" t="str">
        <f ca="1">IFERROR(__xludf.DUMMYFUNCTION("""COMPUTED_VALUE"""),"Will NOT work for them")</f>
        <v>Will NOT work for them</v>
      </c>
      <c r="J2249" s="1">
        <f ca="1">IFERROR(__xludf.DUMMYFUNCTION("""COMPUTED_VALUE"""),2)</f>
        <v>2</v>
      </c>
      <c r="K2249" s="1" t="str">
        <f ca="1">IFERROR(__xludf.DUMMYFUNCTION("""COMPUTED_VALUE"""),"Hybrid Working Environment with more than 15 days a month at office")</f>
        <v>Hybrid Working Environment with more than 15 days a month at office</v>
      </c>
      <c r="L22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4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249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249" s="1" t="str">
        <f ca="1">IFERROR(__xludf.DUMMYFUNCTION("""COMPUTED_VALUE"""),"Manager who explains what is expected, sets a goal and helps achieve it")</f>
        <v>Manager who explains what is expected, sets a goal and helps achieve it</v>
      </c>
      <c r="P2249" s="1" t="str">
        <f ca="1">IFERROR(__xludf.DUMMYFUNCTION("""COMPUTED_VALUE"""),"Work alone, Work with 5 to 6 people in my team")</f>
        <v>Work alone, Work with 5 to 6 people in my team</v>
      </c>
      <c r="Q2249" s="1" t="str">
        <f ca="1">IFERROR(__xludf.DUMMYFUNCTION("""COMPUTED_VALUE"""),"Yes, I Understand this is gonna happen everywhere")</f>
        <v>Yes, I Understand this is gonna happen everywhere</v>
      </c>
      <c r="R2249" s="1" t="str">
        <f ca="1">IFERROR(__xludf.DUMMYFUNCTION("""COMPUTED_VALUE"""),"This will be hard to do, but if it is the right company I would try")</f>
        <v>This will be hard to do, but if it is the right company I would try</v>
      </c>
      <c r="S2249" s="1" t="str">
        <f ca="1">IFERROR(__xludf.DUMMYFUNCTION("""COMPUTED_VALUE"""),"shriharijoshi6@gmail.com")</f>
        <v>shriharijoshi6@gmail.com</v>
      </c>
    </row>
    <row r="2250" spans="1:19" ht="12.5" x14ac:dyDescent="0.25">
      <c r="A2250" s="2">
        <f ca="1">IFERROR(__xludf.DUMMYFUNCTION("""COMPUTED_VALUE"""),45063.9447776851)</f>
        <v>45063.944777685101</v>
      </c>
      <c r="B2250" s="1" t="str">
        <f ca="1">IFERROR(__xludf.DUMMYFUNCTION("""COMPUTED_VALUE"""),"India")</f>
        <v>India</v>
      </c>
      <c r="C2250" s="1">
        <f ca="1">IFERROR(__xludf.DUMMYFUNCTION("""COMPUTED_VALUE"""),600011)</f>
        <v>600011</v>
      </c>
      <c r="D2250" s="1" t="str">
        <f ca="1">IFERROR(__xludf.DUMMYFUNCTION("""COMPUTED_VALUE"""),"Male")</f>
        <v>Male</v>
      </c>
      <c r="E2250" s="1" t="str">
        <f ca="1">IFERROR(__xludf.DUMMYFUNCTION("""COMPUTED_VALUE"""),"Influencers who had successful careers")</f>
        <v>Influencers who had successful careers</v>
      </c>
      <c r="F2250" s="1" t="str">
        <f ca="1">IFERROR(__xludf.DUMMYFUNCTION("""COMPUTED_VALUE"""),"Yes, I will earn and do that")</f>
        <v>Yes, I will earn and do that</v>
      </c>
      <c r="G2250" s="1" t="str">
        <f ca="1">IFERROR(__xludf.DUMMYFUNCTION("""COMPUTED_VALUE"""),"Will work for 3 years or more")</f>
        <v>Will work for 3 years or more</v>
      </c>
      <c r="H2250" s="1" t="str">
        <f ca="1">IFERROR(__xludf.DUMMYFUNCTION("""COMPUTED_VALUE"""),"No")</f>
        <v>No</v>
      </c>
      <c r="I2250" s="1" t="str">
        <f ca="1">IFERROR(__xludf.DUMMYFUNCTION("""COMPUTED_VALUE"""),"Will work for them")</f>
        <v>Will work for them</v>
      </c>
      <c r="J2250" s="1">
        <f ca="1">IFERROR(__xludf.DUMMYFUNCTION("""COMPUTED_VALUE"""),2)</f>
        <v>2</v>
      </c>
      <c r="K2250" s="1" t="str">
        <f ca="1">IFERROR(__xludf.DUMMYFUNCTION("""COMPUTED_VALUE"""),"Hybrid Working Environment with less than 3 days a month at office")</f>
        <v>Hybrid Working Environment with less than 3 days a month at office</v>
      </c>
      <c r="L22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5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50" s="1" t="str">
        <f ca="1">IFERROR(__xludf.DUMMYFUNCTION("""COMPUTED_VALUE"""),"Design and Creative strategy in any company, Build and develop a Team, Look deeply into Data and generate insights, Entrepreneur or Start Up")</f>
        <v>Design and Creative strategy in any company, Build and develop a Team, Look deeply into Data and generate insights, Entrepreneur or Start Up</v>
      </c>
      <c r="O2250" s="1" t="str">
        <f ca="1">IFERROR(__xludf.DUMMYFUNCTION("""COMPUTED_VALUE"""),"Manager who explains what is expected, sets a goal and helps achieve it")</f>
        <v>Manager who explains what is expected, sets a goal and helps achieve it</v>
      </c>
      <c r="P2250" s="1" t="str">
        <f ca="1">IFERROR(__xludf.DUMMYFUNCTION("""COMPUTED_VALUE"""),"Work with 5 to 6 people in my team")</f>
        <v>Work with 5 to 6 people in my team</v>
      </c>
      <c r="Q2250" s="1" t="str">
        <f ca="1">IFERROR(__xludf.DUMMYFUNCTION("""COMPUTED_VALUE"""),"No")</f>
        <v>No</v>
      </c>
      <c r="R2250" s="1" t="str">
        <f ca="1">IFERROR(__xludf.DUMMYFUNCTION("""COMPUTED_VALUE"""),"This will be hard to do, but if it is the right company I would try")</f>
        <v>This will be hard to do, but if it is the right company I would try</v>
      </c>
      <c r="S2250" s="1" t="str">
        <f ca="1">IFERROR(__xludf.DUMMYFUNCTION("""COMPUTED_VALUE"""),"claridonkennetbronson@gmail.com")</f>
        <v>claridonkennetbronson@gmail.com</v>
      </c>
    </row>
    <row r="2251" spans="1:19" ht="12.5" x14ac:dyDescent="0.25">
      <c r="A2251" s="2">
        <f ca="1">IFERROR(__xludf.DUMMYFUNCTION("""COMPUTED_VALUE"""),45063.9483291319)</f>
        <v>45063.948329131897</v>
      </c>
      <c r="B2251" s="1" t="str">
        <f ca="1">IFERROR(__xludf.DUMMYFUNCTION("""COMPUTED_VALUE"""),"India")</f>
        <v>India</v>
      </c>
      <c r="C2251" s="1">
        <f ca="1">IFERROR(__xludf.DUMMYFUNCTION("""COMPUTED_VALUE"""),560067)</f>
        <v>560067</v>
      </c>
      <c r="D2251" s="1" t="str">
        <f ca="1">IFERROR(__xludf.DUMMYFUNCTION("""COMPUTED_VALUE"""),"Male")</f>
        <v>Male</v>
      </c>
      <c r="E2251" s="1" t="str">
        <f ca="1">IFERROR(__xludf.DUMMYFUNCTION("""COMPUTED_VALUE"""),"Influencers who had successful careers")</f>
        <v>Influencers who had successful careers</v>
      </c>
      <c r="F2251" s="1" t="str">
        <f ca="1">IFERROR(__xludf.DUMMYFUNCTION("""COMPUTED_VALUE"""),"Yes, I will earn and do that")</f>
        <v>Yes, I will earn and do that</v>
      </c>
      <c r="G2251" s="1" t="str">
        <f ca="1">IFERROR(__xludf.DUMMYFUNCTION("""COMPUTED_VALUE"""),"This will be hard to do, but if it is the right company I would try")</f>
        <v>This will be hard to do, but if it is the right company I would try</v>
      </c>
      <c r="H2251" s="1" t="str">
        <f ca="1">IFERROR(__xludf.DUMMYFUNCTION("""COMPUTED_VALUE"""),"No")</f>
        <v>No</v>
      </c>
      <c r="I2251" s="1" t="str">
        <f ca="1">IFERROR(__xludf.DUMMYFUNCTION("""COMPUTED_VALUE"""),"Will NOT work for them")</f>
        <v>Will NOT work for them</v>
      </c>
      <c r="J2251" s="1">
        <f ca="1">IFERROR(__xludf.DUMMYFUNCTION("""COMPUTED_VALUE"""),4)</f>
        <v>4</v>
      </c>
      <c r="K2251" s="1" t="str">
        <f ca="1">IFERROR(__xludf.DUMMYFUNCTION("""COMPUTED_VALUE"""),"Fully Remote with Options to travel as and when needed")</f>
        <v>Fully Remote with Options to travel as and when needed</v>
      </c>
      <c r="L22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5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251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2251" s="1" t="str">
        <f ca="1">IFERROR(__xludf.DUMMYFUNCTION("""COMPUTED_VALUE"""),"Manager who explains what is expected, sets a goal and helps achieve it")</f>
        <v>Manager who explains what is expected, sets a goal and helps achieve it</v>
      </c>
      <c r="P2251" s="1" t="str">
        <f ca="1">IFERROR(__xludf.DUMMYFUNCTION("""COMPUTED_VALUE"""),"Work with 2 to 3 people in my team")</f>
        <v>Work with 2 to 3 people in my team</v>
      </c>
      <c r="Q2251" s="1" t="str">
        <f ca="1">IFERROR(__xludf.DUMMYFUNCTION("""COMPUTED_VALUE"""),"Yes, I Understand this is gonna happen everywhere")</f>
        <v>Yes, I Understand this is gonna happen everywhere</v>
      </c>
      <c r="R2251" s="1" t="str">
        <f ca="1">IFERROR(__xludf.DUMMYFUNCTION("""COMPUTED_VALUE"""),"This will be hard to do, but if it is the right company I would try")</f>
        <v>This will be hard to do, but if it is the right company I would try</v>
      </c>
      <c r="S2251" s="1" t="str">
        <f ca="1">IFERROR(__xludf.DUMMYFUNCTION("""COMPUTED_VALUE"""),"sudhanvagudi18@gmail.com")</f>
        <v>sudhanvagudi18@gmail.com</v>
      </c>
    </row>
    <row r="2252" spans="1:19" ht="12.5" x14ac:dyDescent="0.25">
      <c r="A2252" s="2">
        <f ca="1">IFERROR(__xludf.DUMMYFUNCTION("""COMPUTED_VALUE"""),45063.9489273842)</f>
        <v>45063.948927384197</v>
      </c>
      <c r="B2252" s="1" t="str">
        <f ca="1">IFERROR(__xludf.DUMMYFUNCTION("""COMPUTED_VALUE"""),"India")</f>
        <v>India</v>
      </c>
      <c r="C2252" s="1">
        <f ca="1">IFERROR(__xludf.DUMMYFUNCTION("""COMPUTED_VALUE"""),581115)</f>
        <v>581115</v>
      </c>
      <c r="D2252" s="1" t="str">
        <f ca="1">IFERROR(__xludf.DUMMYFUNCTION("""COMPUTED_VALUE"""),"Male")</f>
        <v>Male</v>
      </c>
      <c r="E2252" s="1" t="str">
        <f ca="1">IFERROR(__xludf.DUMMYFUNCTION("""COMPUTED_VALUE"""),"People who have changed the world for better")</f>
        <v>People who have changed the world for better</v>
      </c>
      <c r="F2252" s="1" t="str">
        <f ca="1">IFERROR(__xludf.DUMMYFUNCTION("""COMPUTED_VALUE"""),"Yes, I will earn and do that")</f>
        <v>Yes, I will earn and do that</v>
      </c>
      <c r="G2252" s="1" t="str">
        <f ca="1">IFERROR(__xludf.DUMMYFUNCTION("""COMPUTED_VALUE"""),"This will be hard to do, but if it is the right company I would try")</f>
        <v>This will be hard to do, but if it is the right company I would try</v>
      </c>
      <c r="H2252" s="1" t="str">
        <f ca="1">IFERROR(__xludf.DUMMYFUNCTION("""COMPUTED_VALUE"""),"No")</f>
        <v>No</v>
      </c>
      <c r="I2252" s="1" t="str">
        <f ca="1">IFERROR(__xludf.DUMMYFUNCTION("""COMPUTED_VALUE"""),"Will NOT work for them")</f>
        <v>Will NOT work for them</v>
      </c>
      <c r="J2252" s="1">
        <f ca="1">IFERROR(__xludf.DUMMYFUNCTION("""COMPUTED_VALUE"""),4)</f>
        <v>4</v>
      </c>
      <c r="K2252" s="1" t="str">
        <f ca="1">IFERROR(__xludf.DUMMYFUNCTION("""COMPUTED_VALUE"""),"Hybrid Working Environment with more than 15 days a month at office")</f>
        <v>Hybrid Working Environment with more than 15 days a month at office</v>
      </c>
      <c r="L2252" s="1" t="str">
        <f ca="1">IFERROR(__xludf.DUMMYFUNCTION("""COMPUTED_VALUE"""),"Employer who appreciates learning and enables that environment")</f>
        <v>Employer who appreciates learning and enables that environment</v>
      </c>
      <c r="M225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252" s="1" t="str">
        <f ca="1">IFERROR(__xludf.DUMMYFUNCTION("""COMPUTED_VALUE"""),"Manage and drive End-to-End Projects or Products, Build and develop a Team, Look deeply into Data and generate insights, I Want to sell things/Sales")</f>
        <v>Manage and drive End-to-End Projects or Products, Build and develop a Team, Look deeply into Data and generate insights, I Want to sell things/Sales</v>
      </c>
      <c r="O2252" s="1" t="str">
        <f ca="1">IFERROR(__xludf.DUMMYFUNCTION("""COMPUTED_VALUE"""),"Manager who clearly describes what she/he needs")</f>
        <v>Manager who clearly describes what she/he needs</v>
      </c>
      <c r="P2252" s="1" t="str">
        <f ca="1">IFERROR(__xludf.DUMMYFUNCTION("""COMPUTED_VALUE"""),"Work with more than 10 people in my team")</f>
        <v>Work with more than 10 people in my team</v>
      </c>
      <c r="Q2252" s="1" t="str">
        <f ca="1">IFERROR(__xludf.DUMMYFUNCTION("""COMPUTED_VALUE"""),"Yes, I Understand this is gonna happen everywhere")</f>
        <v>Yes, I Understand this is gonna happen everywhere</v>
      </c>
      <c r="R2252" s="1" t="str">
        <f ca="1">IFERROR(__xludf.DUMMYFUNCTION("""COMPUTED_VALUE"""),"This will be hard to do, but if it is the right company I would try")</f>
        <v>This will be hard to do, but if it is the right company I would try</v>
      </c>
      <c r="S2252" s="1" t="str">
        <f ca="1">IFERROR(__xludf.DUMMYFUNCTION("""COMPUTED_VALUE"""),"syncrology4@gmail.com")</f>
        <v>syncrology4@gmail.com</v>
      </c>
    </row>
    <row r="2253" spans="1:19" ht="12.5" x14ac:dyDescent="0.25">
      <c r="A2253" s="2">
        <f ca="1">IFERROR(__xludf.DUMMYFUNCTION("""COMPUTED_VALUE"""),45063.9494413194)</f>
        <v>45063.949441319397</v>
      </c>
      <c r="B2253" s="1" t="str">
        <f ca="1">IFERROR(__xludf.DUMMYFUNCTION("""COMPUTED_VALUE"""),"India")</f>
        <v>India</v>
      </c>
      <c r="C2253" s="1">
        <f ca="1">IFERROR(__xludf.DUMMYFUNCTION("""COMPUTED_VALUE"""),560001)</f>
        <v>560001</v>
      </c>
      <c r="D2253" s="1" t="str">
        <f ca="1">IFERROR(__xludf.DUMMYFUNCTION("""COMPUTED_VALUE"""),"Male")</f>
        <v>Male</v>
      </c>
      <c r="E2253" s="1" t="str">
        <f ca="1">IFERROR(__xludf.DUMMYFUNCTION("""COMPUTED_VALUE"""),"My Parents")</f>
        <v>My Parents</v>
      </c>
      <c r="F2253" s="1" t="str">
        <f ca="1">IFERROR(__xludf.DUMMYFUNCTION("""COMPUTED_VALUE"""),"No I would not be pursuing Higher Education outside of India")</f>
        <v>No I would not be pursuing Higher Education outside of India</v>
      </c>
      <c r="G2253" s="1" t="str">
        <f ca="1">IFERROR(__xludf.DUMMYFUNCTION("""COMPUTED_VALUE"""),"This will be hard to do, but if it is the right company I would try")</f>
        <v>This will be hard to do, but if it is the right company I would try</v>
      </c>
      <c r="H2253" s="1" t="str">
        <f ca="1">IFERROR(__xludf.DUMMYFUNCTION("""COMPUTED_VALUE"""),"No")</f>
        <v>No</v>
      </c>
      <c r="I2253" s="1" t="str">
        <f ca="1">IFERROR(__xludf.DUMMYFUNCTION("""COMPUTED_VALUE"""),"Will work for them")</f>
        <v>Will work for them</v>
      </c>
      <c r="J2253" s="1">
        <f ca="1">IFERROR(__xludf.DUMMYFUNCTION("""COMPUTED_VALUE"""),6)</f>
        <v>6</v>
      </c>
      <c r="K2253" s="1" t="str">
        <f ca="1">IFERROR(__xludf.DUMMYFUNCTION("""COMPUTED_VALUE"""),"Hybrid Working Environment with more than 15 days a month at office")</f>
        <v>Hybrid Working Environment with more than 15 days a month at office</v>
      </c>
      <c r="L2253" s="1" t="str">
        <f ca="1">IFERROR(__xludf.DUMMYFUNCTION("""COMPUTED_VALUE"""),"Employer who appreciates learning and enables that environment")</f>
        <v>Employer who appreciates learning and enables that environment</v>
      </c>
      <c r="M225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53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2253" s="1" t="str">
        <f ca="1">IFERROR(__xludf.DUMMYFUNCTION("""COMPUTED_VALUE"""),"Manager who explains what is expected, sets a goal and helps achieve it")</f>
        <v>Manager who explains what is expected, sets a goal and helps achieve it</v>
      </c>
      <c r="P2253" s="1" t="str">
        <f ca="1">IFERROR(__xludf.DUMMYFUNCTION("""COMPUTED_VALUE"""),"Work with 5 to 6 people in my team")</f>
        <v>Work with 5 to 6 people in my team</v>
      </c>
      <c r="Q2253" s="1" t="str">
        <f ca="1">IFERROR(__xludf.DUMMYFUNCTION("""COMPUTED_VALUE"""),"No")</f>
        <v>No</v>
      </c>
      <c r="R2253" s="1" t="str">
        <f ca="1">IFERROR(__xludf.DUMMYFUNCTION("""COMPUTED_VALUE"""),"This will be hard to do, but if it is the right company I would try")</f>
        <v>This will be hard to do, but if it is the right company I would try</v>
      </c>
      <c r="S2253" s="1" t="str">
        <f ca="1">IFERROR(__xludf.DUMMYFUNCTION("""COMPUTED_VALUE"""),"perumalmaheshd@gmail.com")</f>
        <v>perumalmaheshd@gmail.com</v>
      </c>
    </row>
    <row r="2254" spans="1:19" ht="12.5" x14ac:dyDescent="0.25">
      <c r="A2254" s="2">
        <f ca="1">IFERROR(__xludf.DUMMYFUNCTION("""COMPUTED_VALUE"""),45063.949843287)</f>
        <v>45063.949843287002</v>
      </c>
      <c r="B2254" s="1" t="str">
        <f ca="1">IFERROR(__xludf.DUMMYFUNCTION("""COMPUTED_VALUE"""),"India")</f>
        <v>India</v>
      </c>
      <c r="C2254" s="1">
        <f ca="1">IFERROR(__xludf.DUMMYFUNCTION("""COMPUTED_VALUE"""),416205)</f>
        <v>416205</v>
      </c>
      <c r="D2254" s="1" t="str">
        <f ca="1">IFERROR(__xludf.DUMMYFUNCTION("""COMPUTED_VALUE"""),"Male")</f>
        <v>Male</v>
      </c>
      <c r="E2254" s="1" t="str">
        <f ca="1">IFERROR(__xludf.DUMMYFUNCTION("""COMPUTED_VALUE"""),"My Parents")</f>
        <v>My Parents</v>
      </c>
      <c r="F2254" s="1" t="str">
        <f ca="1">IFERROR(__xludf.DUMMYFUNCTION("""COMPUTED_VALUE"""),"No I would not be pursuing Higher Education outside of India")</f>
        <v>No I would not be pursuing Higher Education outside of India</v>
      </c>
      <c r="G2254" s="1" t="str">
        <f ca="1">IFERROR(__xludf.DUMMYFUNCTION("""COMPUTED_VALUE"""),"Will work for 3 years or more")</f>
        <v>Will work for 3 years or more</v>
      </c>
      <c r="H2254" s="1" t="str">
        <f ca="1">IFERROR(__xludf.DUMMYFUNCTION("""COMPUTED_VALUE"""),"No")</f>
        <v>No</v>
      </c>
      <c r="I2254" s="1" t="str">
        <f ca="1">IFERROR(__xludf.DUMMYFUNCTION("""COMPUTED_VALUE"""),"Will NOT work for them")</f>
        <v>Will NOT work for them</v>
      </c>
      <c r="J2254" s="1">
        <f ca="1">IFERROR(__xludf.DUMMYFUNCTION("""COMPUTED_VALUE"""),10)</f>
        <v>10</v>
      </c>
      <c r="K2254" s="1" t="str">
        <f ca="1">IFERROR(__xludf.DUMMYFUNCTION("""COMPUTED_VALUE"""),"Fully Remote with No option to visit offices")</f>
        <v>Fully Remote with No option to visit offices</v>
      </c>
      <c r="L22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5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54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2254" s="1" t="str">
        <f ca="1">IFERROR(__xludf.DUMMYFUNCTION("""COMPUTED_VALUE"""),"Manager who clearly describes what she/he needs")</f>
        <v>Manager who clearly describes what she/he needs</v>
      </c>
      <c r="P2254" s="1" t="str">
        <f ca="1">IFERROR(__xludf.DUMMYFUNCTION("""COMPUTED_VALUE"""),"Work with more than 10 people in my team")</f>
        <v>Work with more than 10 people in my team</v>
      </c>
      <c r="Q2254" s="1" t="str">
        <f ca="1">IFERROR(__xludf.DUMMYFUNCTION("""COMPUTED_VALUE"""),"No")</f>
        <v>No</v>
      </c>
      <c r="R2254" s="1" t="str">
        <f ca="1">IFERROR(__xludf.DUMMYFUNCTION("""COMPUTED_VALUE"""),"This will be hard to do, but if it is the right company I would try")</f>
        <v>This will be hard to do, but if it is the right company I would try</v>
      </c>
      <c r="S2254" s="1" t="str">
        <f ca="1">IFERROR(__xludf.DUMMYFUNCTION("""COMPUTED_VALUE"""),"ganeshshinde1064@gmail.com")</f>
        <v>ganeshshinde1064@gmail.com</v>
      </c>
    </row>
    <row r="2255" spans="1:19" ht="12.5" x14ac:dyDescent="0.25">
      <c r="A2255" s="2">
        <f ca="1">IFERROR(__xludf.DUMMYFUNCTION("""COMPUTED_VALUE"""),45063.9509034838)</f>
        <v>45063.950903483797</v>
      </c>
      <c r="B2255" s="1" t="str">
        <f ca="1">IFERROR(__xludf.DUMMYFUNCTION("""COMPUTED_VALUE"""),"India")</f>
        <v>India</v>
      </c>
      <c r="C2255" s="1">
        <f ca="1">IFERROR(__xludf.DUMMYFUNCTION("""COMPUTED_VALUE"""),581115)</f>
        <v>581115</v>
      </c>
      <c r="D2255" s="1" t="str">
        <f ca="1">IFERROR(__xludf.DUMMYFUNCTION("""COMPUTED_VALUE"""),"Male")</f>
        <v>Male</v>
      </c>
      <c r="E2255" s="1" t="str">
        <f ca="1">IFERROR(__xludf.DUMMYFUNCTION("""COMPUTED_VALUE"""),"My Parents")</f>
        <v>My Parents</v>
      </c>
      <c r="F2255" s="1" t="str">
        <f ca="1">IFERROR(__xludf.DUMMYFUNCTION("""COMPUTED_VALUE"""),"No I would not be pursuing Higher Education outside of India")</f>
        <v>No I would not be pursuing Higher Education outside of India</v>
      </c>
      <c r="G2255" s="1" t="str">
        <f ca="1">IFERROR(__xludf.DUMMYFUNCTION("""COMPUTED_VALUE"""),"This will be hard to do, but if it is the right company I would try")</f>
        <v>This will be hard to do, but if it is the right company I would try</v>
      </c>
      <c r="H2255" s="1" t="str">
        <f ca="1">IFERROR(__xludf.DUMMYFUNCTION("""COMPUTED_VALUE"""),"No")</f>
        <v>No</v>
      </c>
      <c r="I2255" s="1" t="str">
        <f ca="1">IFERROR(__xludf.DUMMYFUNCTION("""COMPUTED_VALUE"""),"Will NOT work for them")</f>
        <v>Will NOT work for them</v>
      </c>
      <c r="J2255" s="1">
        <f ca="1">IFERROR(__xludf.DUMMYFUNCTION("""COMPUTED_VALUE"""),1)</f>
        <v>1</v>
      </c>
      <c r="K2255" s="1" t="str">
        <f ca="1">IFERROR(__xludf.DUMMYFUNCTION("""COMPUTED_VALUE"""),"Fully Remote with Options to travel as and when needed")</f>
        <v>Fully Remote with Options to travel as and when needed</v>
      </c>
      <c r="L2255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25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255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255" s="1" t="str">
        <f ca="1">IFERROR(__xludf.DUMMYFUNCTION("""COMPUTED_VALUE"""),"Manager who sets goal and helps me achieve it")</f>
        <v>Manager who sets goal and helps me achieve it</v>
      </c>
      <c r="P2255" s="1" t="str">
        <f ca="1">IFERROR(__xludf.DUMMYFUNCTION("""COMPUTED_VALUE"""),"Work with 2 to 3 people in my team")</f>
        <v>Work with 2 to 3 people in my team</v>
      </c>
      <c r="Q2255" s="1" t="str">
        <f ca="1">IFERROR(__xludf.DUMMYFUNCTION("""COMPUTED_VALUE"""),"No")</f>
        <v>No</v>
      </c>
      <c r="R2255" s="1" t="str">
        <f ca="1">IFERROR(__xludf.DUMMYFUNCTION("""COMPUTED_VALUE"""),"This will be hard to do, but if it is the right company I would try")</f>
        <v>This will be hard to do, but if it is the right company I would try</v>
      </c>
      <c r="S2255" s="1" t="str">
        <f ca="1">IFERROR(__xludf.DUMMYFUNCTION("""COMPUTED_VALUE"""),"shrujanlk866@gmail.com")</f>
        <v>shrujanlk866@gmail.com</v>
      </c>
    </row>
    <row r="2256" spans="1:19" ht="12.5" x14ac:dyDescent="0.25">
      <c r="A2256" s="2">
        <f ca="1">IFERROR(__xludf.DUMMYFUNCTION("""COMPUTED_VALUE"""),45063.9511739814)</f>
        <v>45063.951173981397</v>
      </c>
      <c r="B2256" s="1" t="str">
        <f ca="1">IFERROR(__xludf.DUMMYFUNCTION("""COMPUTED_VALUE"""),"India")</f>
        <v>India</v>
      </c>
      <c r="C2256" s="1">
        <f ca="1">IFERROR(__xludf.DUMMYFUNCTION("""COMPUTED_VALUE"""),560100)</f>
        <v>560100</v>
      </c>
      <c r="D2256" s="1" t="str">
        <f ca="1">IFERROR(__xludf.DUMMYFUNCTION("""COMPUTED_VALUE"""),"Female")</f>
        <v>Female</v>
      </c>
      <c r="E2256" s="1" t="str">
        <f ca="1">IFERROR(__xludf.DUMMYFUNCTION("""COMPUTED_VALUE"""),"People who have changed the world for better")</f>
        <v>People who have changed the world for better</v>
      </c>
      <c r="F2256" s="1" t="str">
        <f ca="1">IFERROR(__xludf.DUMMYFUNCTION("""COMPUTED_VALUE"""),"No I would not be pursuing Higher Education outside of India")</f>
        <v>No I would not be pursuing Higher Education outside of India</v>
      </c>
      <c r="G2256" s="1" t="str">
        <f ca="1">IFERROR(__xludf.DUMMYFUNCTION("""COMPUTED_VALUE"""),"This will be hard to do, but if it is the right company I would try")</f>
        <v>This will be hard to do, but if it is the right company I would try</v>
      </c>
      <c r="H2256" s="1" t="str">
        <f ca="1">IFERROR(__xludf.DUMMYFUNCTION("""COMPUTED_VALUE"""),"Yes")</f>
        <v>Yes</v>
      </c>
      <c r="I2256" s="1" t="str">
        <f ca="1">IFERROR(__xludf.DUMMYFUNCTION("""COMPUTED_VALUE"""),"Will NOT work for them")</f>
        <v>Will NOT work for them</v>
      </c>
      <c r="J2256" s="1">
        <f ca="1">IFERROR(__xludf.DUMMYFUNCTION("""COMPUTED_VALUE"""),6)</f>
        <v>6</v>
      </c>
      <c r="K2256" s="1" t="str">
        <f ca="1">IFERROR(__xludf.DUMMYFUNCTION("""COMPUTED_VALUE"""),"Every Day Office Environment")</f>
        <v>Every Day Office Environment</v>
      </c>
      <c r="L22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56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256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256" s="1" t="str">
        <f ca="1">IFERROR(__xludf.DUMMYFUNCTION("""COMPUTED_VALUE"""),"Manager who explains what is expected, sets a goal and helps achieve it")</f>
        <v>Manager who explains what is expected, sets a goal and helps achieve it</v>
      </c>
      <c r="P2256" s="1" t="str">
        <f ca="1">IFERROR(__xludf.DUMMYFUNCTION("""COMPUTED_VALUE"""),"Work with 7 to 10 or more people in my team")</f>
        <v>Work with 7 to 10 or more people in my team</v>
      </c>
      <c r="Q2256" s="1" t="str">
        <f ca="1">IFERROR(__xludf.DUMMYFUNCTION("""COMPUTED_VALUE"""),"No")</f>
        <v>No</v>
      </c>
      <c r="R2256" s="1" t="str">
        <f ca="1">IFERROR(__xludf.DUMMYFUNCTION("""COMPUTED_VALUE"""),"No way")</f>
        <v>No way</v>
      </c>
      <c r="S2256" s="1" t="str">
        <f ca="1">IFERROR(__xludf.DUMMYFUNCTION("""COMPUTED_VALUE"""),"sukul6068@gmail.com")</f>
        <v>sukul6068@gmail.com</v>
      </c>
    </row>
    <row r="2257" spans="1:19" ht="12.5" x14ac:dyDescent="0.25">
      <c r="A2257" s="2">
        <f ca="1">IFERROR(__xludf.DUMMYFUNCTION("""COMPUTED_VALUE"""),45063.9525111111)</f>
        <v>45063.9525111111</v>
      </c>
      <c r="B2257" s="1" t="str">
        <f ca="1">IFERROR(__xludf.DUMMYFUNCTION("""COMPUTED_VALUE"""),"India")</f>
        <v>India</v>
      </c>
      <c r="C2257" s="1">
        <f ca="1">IFERROR(__xludf.DUMMYFUNCTION("""COMPUTED_VALUE"""),560067)</f>
        <v>560067</v>
      </c>
      <c r="D2257" s="1" t="str">
        <f ca="1">IFERROR(__xludf.DUMMYFUNCTION("""COMPUTED_VALUE"""),"Male")</f>
        <v>Male</v>
      </c>
      <c r="E2257" s="1" t="str">
        <f ca="1">IFERROR(__xludf.DUMMYFUNCTION("""COMPUTED_VALUE"""),"People who have changed the world for better")</f>
        <v>People who have changed the world for better</v>
      </c>
      <c r="F2257" s="1" t="str">
        <f ca="1">IFERROR(__xludf.DUMMYFUNCTION("""COMPUTED_VALUE"""),"Yes, I will earn and do that")</f>
        <v>Yes, I will earn and do that</v>
      </c>
      <c r="G2257" s="1" t="str">
        <f ca="1">IFERROR(__xludf.DUMMYFUNCTION("""COMPUTED_VALUE"""),"Will work for 3 years or more")</f>
        <v>Will work for 3 years or more</v>
      </c>
      <c r="H2257" s="1" t="str">
        <f ca="1">IFERROR(__xludf.DUMMYFUNCTION("""COMPUTED_VALUE"""),"Yes")</f>
        <v>Yes</v>
      </c>
      <c r="I2257" s="1" t="str">
        <f ca="1">IFERROR(__xludf.DUMMYFUNCTION("""COMPUTED_VALUE"""),"Will NOT work for them")</f>
        <v>Will NOT work for them</v>
      </c>
      <c r="J2257" s="1">
        <f ca="1">IFERROR(__xludf.DUMMYFUNCTION("""COMPUTED_VALUE"""),3)</f>
        <v>3</v>
      </c>
      <c r="K2257" s="1" t="str">
        <f ca="1">IFERROR(__xludf.DUMMYFUNCTION("""COMPUTED_VALUE"""),"Fully Remote with Options to travel as and when needed")</f>
        <v>Fully Remote with Options to travel as and when needed</v>
      </c>
      <c r="L22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5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57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257" s="1" t="str">
        <f ca="1">IFERROR(__xludf.DUMMYFUNCTION("""COMPUTED_VALUE"""),"Manager who clearly describes what she/he needs")</f>
        <v>Manager who clearly describes what she/he needs</v>
      </c>
      <c r="P2257" s="1" t="str">
        <f ca="1">IFERROR(__xludf.DUMMYFUNCTION("""COMPUTED_VALUE"""),"Work with 2 to 3 people in my team")</f>
        <v>Work with 2 to 3 people in my team</v>
      </c>
      <c r="Q2257" s="1" t="str">
        <f ca="1">IFERROR(__xludf.DUMMYFUNCTION("""COMPUTED_VALUE"""),"Yes, I Understand this is gonna happen everywhere")</f>
        <v>Yes, I Understand this is gonna happen everywhere</v>
      </c>
      <c r="R2257" s="1" t="str">
        <f ca="1">IFERROR(__xludf.DUMMYFUNCTION("""COMPUTED_VALUE"""),"No way")</f>
        <v>No way</v>
      </c>
      <c r="S2257" s="1" t="str">
        <f ca="1">IFERROR(__xludf.DUMMYFUNCTION("""COMPUTED_VALUE"""),"sumadhavagudi909@gmail.com")</f>
        <v>sumadhavagudi909@gmail.com</v>
      </c>
    </row>
    <row r="2258" spans="1:19" ht="12.5" x14ac:dyDescent="0.25">
      <c r="A2258" s="2">
        <f ca="1">IFERROR(__xludf.DUMMYFUNCTION("""COMPUTED_VALUE"""),45063.9527938656)</f>
        <v>45063.952793865697</v>
      </c>
      <c r="B2258" s="1" t="str">
        <f ca="1">IFERROR(__xludf.DUMMYFUNCTION("""COMPUTED_VALUE"""),"India")</f>
        <v>India</v>
      </c>
      <c r="C2258" s="1">
        <f ca="1">IFERROR(__xludf.DUMMYFUNCTION("""COMPUTED_VALUE"""),560043)</f>
        <v>560043</v>
      </c>
      <c r="D2258" s="1" t="str">
        <f ca="1">IFERROR(__xludf.DUMMYFUNCTION("""COMPUTED_VALUE"""),"Female")</f>
        <v>Female</v>
      </c>
      <c r="E2258" s="1" t="str">
        <f ca="1">IFERROR(__xludf.DUMMYFUNCTION("""COMPUTED_VALUE"""),"People who have changed the world for better")</f>
        <v>People who have changed the world for better</v>
      </c>
      <c r="F2258" s="1" t="str">
        <f ca="1">IFERROR(__xludf.DUMMYFUNCTION("""COMPUTED_VALUE"""),"Yes, I will earn and do that")</f>
        <v>Yes, I will earn and do that</v>
      </c>
      <c r="G2258" s="1" t="str">
        <f ca="1">IFERROR(__xludf.DUMMYFUNCTION("""COMPUTED_VALUE"""),"This will be hard to do, but if it is the right company I would try")</f>
        <v>This will be hard to do, but if it is the right company I would try</v>
      </c>
      <c r="H2258" s="1" t="str">
        <f ca="1">IFERROR(__xludf.DUMMYFUNCTION("""COMPUTED_VALUE"""),"No")</f>
        <v>No</v>
      </c>
      <c r="I2258" s="1" t="str">
        <f ca="1">IFERROR(__xludf.DUMMYFUNCTION("""COMPUTED_VALUE"""),"Will NOT work for them")</f>
        <v>Will NOT work for them</v>
      </c>
      <c r="J2258" s="1">
        <f ca="1">IFERROR(__xludf.DUMMYFUNCTION("""COMPUTED_VALUE"""),5)</f>
        <v>5</v>
      </c>
      <c r="K2258" s="1" t="str">
        <f ca="1">IFERROR(__xludf.DUMMYFUNCTION("""COMPUTED_VALUE"""),"Hybrid Working Environment with less than 3 days a month at office")</f>
        <v>Hybrid Working Environment with less than 3 days a month at office</v>
      </c>
      <c r="L22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5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58" s="1" t="str">
        <f ca="1">IFERROR(__xludf.DUMMYFUNCTION("""COMPUTED_VALUE"""),"Design and Creative strategy in any company, Manage and drive End-to-End Projects or Products, Design and Develop amazing software, Entrepreneur or Start Up")</f>
        <v>Design and Creative strategy in any company, Manage and drive End-to-End Projects or Products, Design and Develop amazing software, Entrepreneur or Start Up</v>
      </c>
      <c r="O2258" s="1" t="str">
        <f ca="1">IFERROR(__xludf.DUMMYFUNCTION("""COMPUTED_VALUE"""),"Manager who explains what is expected, sets a goal and helps achieve it")</f>
        <v>Manager who explains what is expected, sets a goal and helps achieve it</v>
      </c>
      <c r="P2258" s="1" t="str">
        <f ca="1">IFERROR(__xludf.DUMMYFUNCTION("""COMPUTED_VALUE"""),"Work with 5 to 6 people in my team")</f>
        <v>Work with 5 to 6 people in my team</v>
      </c>
      <c r="Q2258" s="1" t="str">
        <f ca="1">IFERROR(__xludf.DUMMYFUNCTION("""COMPUTED_VALUE"""),"Yes, I Understand this is gonna happen everywhere")</f>
        <v>Yes, I Understand this is gonna happen everywhere</v>
      </c>
      <c r="R2258" s="1" t="str">
        <f ca="1">IFERROR(__xludf.DUMMYFUNCTION("""COMPUTED_VALUE"""),"This will be hard to do, but if it is the right company I would try")</f>
        <v>This will be hard to do, but if it is the right company I would try</v>
      </c>
      <c r="S2258" s="1" t="str">
        <f ca="1">IFERROR(__xludf.DUMMYFUNCTION("""COMPUTED_VALUE"""),"srishtikaranth29@gmail.com")</f>
        <v>srishtikaranth29@gmail.com</v>
      </c>
    </row>
    <row r="2259" spans="1:19" ht="12.5" x14ac:dyDescent="0.25">
      <c r="A2259" s="2">
        <f ca="1">IFERROR(__xludf.DUMMYFUNCTION("""COMPUTED_VALUE"""),45063.9543854976)</f>
        <v>45063.9543854976</v>
      </c>
      <c r="B2259" s="1" t="str">
        <f ca="1">IFERROR(__xludf.DUMMYFUNCTION("""COMPUTED_VALUE"""),"India")</f>
        <v>India</v>
      </c>
      <c r="C2259" s="1">
        <f ca="1">IFERROR(__xludf.DUMMYFUNCTION("""COMPUTED_VALUE"""),560022)</f>
        <v>560022</v>
      </c>
      <c r="D2259" s="1" t="str">
        <f ca="1">IFERROR(__xludf.DUMMYFUNCTION("""COMPUTED_VALUE"""),"Male")</f>
        <v>Male</v>
      </c>
      <c r="E2259" s="1" t="str">
        <f ca="1">IFERROR(__xludf.DUMMYFUNCTION("""COMPUTED_VALUE"""),"People from my circle, but not family members")</f>
        <v>People from my circle, but not family members</v>
      </c>
      <c r="F2259" s="1" t="str">
        <f ca="1">IFERROR(__xludf.DUMMYFUNCTION("""COMPUTED_VALUE"""),"No I would not be pursuing Higher Education outside of India")</f>
        <v>No I would not be pursuing Higher Education outside of India</v>
      </c>
      <c r="G2259" s="1" t="str">
        <f ca="1">IFERROR(__xludf.DUMMYFUNCTION("""COMPUTED_VALUE"""),"This will be hard to do, but if it is the right company I would try")</f>
        <v>This will be hard to do, but if it is the right company I would try</v>
      </c>
      <c r="H2259" s="1" t="str">
        <f ca="1">IFERROR(__xludf.DUMMYFUNCTION("""COMPUTED_VALUE"""),"No")</f>
        <v>No</v>
      </c>
      <c r="I2259" s="1" t="str">
        <f ca="1">IFERROR(__xludf.DUMMYFUNCTION("""COMPUTED_VALUE"""),"Will NOT work for them")</f>
        <v>Will NOT work for them</v>
      </c>
      <c r="J2259" s="1">
        <f ca="1">IFERROR(__xludf.DUMMYFUNCTION("""COMPUTED_VALUE"""),9)</f>
        <v>9</v>
      </c>
      <c r="K2259" s="1" t="str">
        <f ca="1">IFERROR(__xludf.DUMMYFUNCTION("""COMPUTED_VALUE"""),"Fully Remote with Options to travel as and when needed")</f>
        <v>Fully Remote with Options to travel as and when needed</v>
      </c>
      <c r="L22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5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259" s="1" t="str">
        <f ca="1">IFERROR(__xludf.DUMMYFUNCTION("""COMPUTED_VALUE"""),"Design and Develop amazing software, Look deeply into Data and generate insights, Work as a freelancer and do my thing my way, An Artificial Intelligence Specialist / Talking to Robots")</f>
        <v>Design and Develop amazing software, Look deeply into Data and generate insights, Work as a freelancer and do my thing my way, An Artificial Intelligence Specialist / Talking to Robots</v>
      </c>
      <c r="O2259" s="1" t="str">
        <f ca="1">IFERROR(__xludf.DUMMYFUNCTION("""COMPUTED_VALUE"""),"Manager who explains what is expected, sets a goal and helps achieve it")</f>
        <v>Manager who explains what is expected, sets a goal and helps achieve it</v>
      </c>
      <c r="P2259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2259" s="1" t="str">
        <f ca="1">IFERROR(__xludf.DUMMYFUNCTION("""COMPUTED_VALUE"""),"Yes, I Understand this is gonna happen everywhere")</f>
        <v>Yes, I Understand this is gonna happen everywhere</v>
      </c>
      <c r="R2259" s="1" t="str">
        <f ca="1">IFERROR(__xludf.DUMMYFUNCTION("""COMPUTED_VALUE"""),"This will be hard to do, but if it is the right company I would try")</f>
        <v>This will be hard to do, but if it is the right company I would try</v>
      </c>
      <c r="S2259" s="1" t="str">
        <f ca="1">IFERROR(__xludf.DUMMYFUNCTION("""COMPUTED_VALUE"""),"suprajnash18@gmail.com")</f>
        <v>suprajnash18@gmail.com</v>
      </c>
    </row>
    <row r="2260" spans="1:19" ht="12.5" x14ac:dyDescent="0.25">
      <c r="A2260" s="2">
        <f ca="1">IFERROR(__xludf.DUMMYFUNCTION("""COMPUTED_VALUE"""),45063.9562932175)</f>
        <v>45063.956293217503</v>
      </c>
      <c r="B2260" s="1" t="str">
        <f ca="1">IFERROR(__xludf.DUMMYFUNCTION("""COMPUTED_VALUE"""),"India")</f>
        <v>India</v>
      </c>
      <c r="C2260" s="1">
        <f ca="1">IFERROR(__xludf.DUMMYFUNCTION("""COMPUTED_VALUE"""),560093)</f>
        <v>560093</v>
      </c>
      <c r="D2260" s="1" t="str">
        <f ca="1">IFERROR(__xludf.DUMMYFUNCTION("""COMPUTED_VALUE"""),"Female")</f>
        <v>Female</v>
      </c>
      <c r="E2260" s="1" t="str">
        <f ca="1">IFERROR(__xludf.DUMMYFUNCTION("""COMPUTED_VALUE"""),"Influencers who had successful careers")</f>
        <v>Influencers who had successful careers</v>
      </c>
      <c r="F2260" s="1" t="str">
        <f ca="1">IFERROR(__xludf.DUMMYFUNCTION("""COMPUTED_VALUE"""),"No I would not be pursuing Higher Education outside of India")</f>
        <v>No I would not be pursuing Higher Education outside of India</v>
      </c>
      <c r="G2260" s="1" t="str">
        <f ca="1">IFERROR(__xludf.DUMMYFUNCTION("""COMPUTED_VALUE"""),"This will be hard to do, but if it is the right company I would try")</f>
        <v>This will be hard to do, but if it is the right company I would try</v>
      </c>
      <c r="H2260" s="1" t="str">
        <f ca="1">IFERROR(__xludf.DUMMYFUNCTION("""COMPUTED_VALUE"""),"No")</f>
        <v>No</v>
      </c>
      <c r="I2260" s="1" t="str">
        <f ca="1">IFERROR(__xludf.DUMMYFUNCTION("""COMPUTED_VALUE"""),"Will NOT work for them")</f>
        <v>Will NOT work for them</v>
      </c>
      <c r="J2260" s="1">
        <f ca="1">IFERROR(__xludf.DUMMYFUNCTION("""COMPUTED_VALUE"""),1)</f>
        <v>1</v>
      </c>
      <c r="K2260" s="1" t="str">
        <f ca="1">IFERROR(__xludf.DUMMYFUNCTION("""COMPUTED_VALUE"""),"Fully Remote with Options to travel as and when needed")</f>
        <v>Fully Remote with Options to travel as and when needed</v>
      </c>
      <c r="L22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6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260" s="1" t="str">
        <f ca="1">IFERROR(__xludf.DUMMYFUNCTION("""COMPUTED_VALUE"""),"Design and Creative strategy in any company, Business Operations in any organization, Design and Develop amazing software, An Artificial Intelligence Specialist / Talking to Robots")</f>
        <v>Design and Creative strategy in any company, Business Operations in any organization, Design and Develop amazing software, An Artificial Intelligence Specialist / Talking to Robots</v>
      </c>
      <c r="O2260" s="1" t="str">
        <f ca="1">IFERROR(__xludf.DUMMYFUNCTION("""COMPUTED_VALUE"""),"Manager who explains what is expected, sets a goal and helps achieve it")</f>
        <v>Manager who explains what is expected, sets a goal and helps achieve it</v>
      </c>
      <c r="P2260" s="1" t="str">
        <f ca="1">IFERROR(__xludf.DUMMYFUNCTION("""COMPUTED_VALUE"""),"Work with more than 10 people in my team")</f>
        <v>Work with more than 10 people in my team</v>
      </c>
      <c r="Q2260" s="1" t="str">
        <f ca="1">IFERROR(__xludf.DUMMYFUNCTION("""COMPUTED_VALUE"""),"Yes, I Understand this is gonna happen everywhere")</f>
        <v>Yes, I Understand this is gonna happen everywhere</v>
      </c>
      <c r="R2260" s="1" t="str">
        <f ca="1">IFERROR(__xludf.DUMMYFUNCTION("""COMPUTED_VALUE"""),"This will be hard to do, but if it is the right company I would try")</f>
        <v>This will be hard to do, but if it is the right company I would try</v>
      </c>
      <c r="S2260" s="1" t="str">
        <f ca="1">IFERROR(__xludf.DUMMYFUNCTION("""COMPUTED_VALUE"""),"mamatham7458@gmail.com")</f>
        <v>mamatham7458@gmail.com</v>
      </c>
    </row>
    <row r="2261" spans="1:19" ht="12.5" x14ac:dyDescent="0.25">
      <c r="A2261" s="2">
        <f ca="1">IFERROR(__xludf.DUMMYFUNCTION("""COMPUTED_VALUE"""),45063.9568929745)</f>
        <v>45063.9568929745</v>
      </c>
      <c r="B2261" s="1" t="str">
        <f ca="1">IFERROR(__xludf.DUMMYFUNCTION("""COMPUTED_VALUE"""),"India")</f>
        <v>India</v>
      </c>
      <c r="C2261" s="1">
        <f ca="1">IFERROR(__xludf.DUMMYFUNCTION("""COMPUTED_VALUE"""),560020)</f>
        <v>560020</v>
      </c>
      <c r="D2261" s="1" t="str">
        <f ca="1">IFERROR(__xludf.DUMMYFUNCTION("""COMPUTED_VALUE"""),"Male")</f>
        <v>Male</v>
      </c>
      <c r="E2261" s="1" t="str">
        <f ca="1">IFERROR(__xludf.DUMMYFUNCTION("""COMPUTED_VALUE"""),"Influencers who had successful careers")</f>
        <v>Influencers who had successful careers</v>
      </c>
      <c r="F2261" s="1" t="str">
        <f ca="1">IFERROR(__xludf.DUMMYFUNCTION("""COMPUTED_VALUE"""),"No I would not be pursuing Higher Education outside of India")</f>
        <v>No I would not be pursuing Higher Education outside of India</v>
      </c>
      <c r="G2261" s="1" t="str">
        <f ca="1">IFERROR(__xludf.DUMMYFUNCTION("""COMPUTED_VALUE"""),"This will be hard to do, but if it is the right company I would try")</f>
        <v>This will be hard to do, but if it is the right company I would try</v>
      </c>
      <c r="H2261" s="1" t="str">
        <f ca="1">IFERROR(__xludf.DUMMYFUNCTION("""COMPUTED_VALUE"""),"No")</f>
        <v>No</v>
      </c>
      <c r="I2261" s="1" t="str">
        <f ca="1">IFERROR(__xludf.DUMMYFUNCTION("""COMPUTED_VALUE"""),"Will NOT work for them")</f>
        <v>Will NOT work for them</v>
      </c>
      <c r="J2261" s="1">
        <f ca="1">IFERROR(__xludf.DUMMYFUNCTION("""COMPUTED_VALUE"""),6)</f>
        <v>6</v>
      </c>
      <c r="K2261" s="1" t="str">
        <f ca="1">IFERROR(__xludf.DUMMYFUNCTION("""COMPUTED_VALUE"""),"Every Day Office Environment")</f>
        <v>Every Day Office Environment</v>
      </c>
      <c r="L22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6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61" s="1" t="str">
        <f ca="1">IFERROR(__xludf.DUMMYFUNCTION("""COMPUTED_VALUE"""),"Manage and drive End-to-End Projects or Products, Build and develop a Team, Design and Develop amazing software, Work as a freelancer and do my thing my way")</f>
        <v>Manage and drive End-to-End Projects or Products, Build and develop a Team, Design and Develop amazing software, Work as a freelancer and do my thing my way</v>
      </c>
      <c r="O2261" s="1" t="str">
        <f ca="1">IFERROR(__xludf.DUMMYFUNCTION("""COMPUTED_VALUE"""),"Manager who explains what is expected, sets a goal and helps achieve it")</f>
        <v>Manager who explains what is expected, sets a goal and helps achieve it</v>
      </c>
      <c r="P2261" s="1" t="str">
        <f ca="1">IFERROR(__xludf.DUMMYFUNCTION("""COMPUTED_VALUE"""),"Work with 5 to 6 people in my team")</f>
        <v>Work with 5 to 6 people in my team</v>
      </c>
      <c r="Q2261" s="1" t="str">
        <f ca="1">IFERROR(__xludf.DUMMYFUNCTION("""COMPUTED_VALUE"""),"Yes, I Understand this is gonna happen everywhere")</f>
        <v>Yes, I Understand this is gonna happen everywhere</v>
      </c>
      <c r="R2261" s="1" t="str">
        <f ca="1">IFERROR(__xludf.DUMMYFUNCTION("""COMPUTED_VALUE"""),"No way")</f>
        <v>No way</v>
      </c>
      <c r="S2261" s="1" t="str">
        <f ca="1">IFERROR(__xludf.DUMMYFUNCTION("""COMPUTED_VALUE"""),"rakesh.ladwa35@gmail.com")</f>
        <v>rakesh.ladwa35@gmail.com</v>
      </c>
    </row>
    <row r="2262" spans="1:19" ht="12.5" x14ac:dyDescent="0.25">
      <c r="A2262" s="2">
        <f ca="1">IFERROR(__xludf.DUMMYFUNCTION("""COMPUTED_VALUE"""),45063.9636869444)</f>
        <v>45063.9636869444</v>
      </c>
      <c r="B2262" s="1" t="str">
        <f ca="1">IFERROR(__xludf.DUMMYFUNCTION("""COMPUTED_VALUE"""),"India")</f>
        <v>India</v>
      </c>
      <c r="C2262" s="1">
        <f ca="1">IFERROR(__xludf.DUMMYFUNCTION("""COMPUTED_VALUE"""),581115)</f>
        <v>581115</v>
      </c>
      <c r="D2262" s="1" t="str">
        <f ca="1">IFERROR(__xludf.DUMMYFUNCTION("""COMPUTED_VALUE"""),"Male")</f>
        <v>Male</v>
      </c>
      <c r="E2262" s="1" t="str">
        <f ca="1">IFERROR(__xludf.DUMMYFUNCTION("""COMPUTED_VALUE"""),"People who have changed the world for better")</f>
        <v>People who have changed the world for better</v>
      </c>
      <c r="F2262" s="1" t="str">
        <f ca="1">IFERROR(__xludf.DUMMYFUNCTION("""COMPUTED_VALUE"""),"No I would not be pursuing Higher Education outside of India")</f>
        <v>No I would not be pursuing Higher Education outside of India</v>
      </c>
      <c r="G2262" s="1" t="str">
        <f ca="1">IFERROR(__xludf.DUMMYFUNCTION("""COMPUTED_VALUE"""),"This will be hard to do, but if it is the right company I would try")</f>
        <v>This will be hard to do, but if it is the right company I would try</v>
      </c>
      <c r="H2262" s="1" t="str">
        <f ca="1">IFERROR(__xludf.DUMMYFUNCTION("""COMPUTED_VALUE"""),"No")</f>
        <v>No</v>
      </c>
      <c r="I2262" s="1" t="str">
        <f ca="1">IFERROR(__xludf.DUMMYFUNCTION("""COMPUTED_VALUE"""),"Will NOT work for them")</f>
        <v>Will NOT work for them</v>
      </c>
      <c r="J2262" s="1">
        <f ca="1">IFERROR(__xludf.DUMMYFUNCTION("""COMPUTED_VALUE"""),4)</f>
        <v>4</v>
      </c>
      <c r="K2262" s="1" t="str">
        <f ca="1">IFERROR(__xludf.DUMMYFUNCTION("""COMPUTED_VALUE"""),"Fully Remote with Options to travel as and when needed")</f>
        <v>Fully Remote with Options to travel as and when needed</v>
      </c>
      <c r="L22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6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62" s="1" t="str">
        <f ca="1">IFERROR(__xludf.DUMMYFUNCTION("""COMPUTED_VALUE"""),"Design and Creative strategy in any company, Teaching in any of the institutes/colleges/online or offline, Manage and drive End-to-End Projects or Products, Manufacturing / Oil and Gas/ Construction / Hard Physical Work related")</f>
        <v>Design and Creative strategy in any company, Teaching in any of the institutes/colleges/online or offline, Manage and drive End-to-End Projects or Products, Manufacturing / Oil and Gas/ Construction / Hard Physical Work related</v>
      </c>
      <c r="O2262" s="1" t="str">
        <f ca="1">IFERROR(__xludf.DUMMYFUNCTION("""COMPUTED_VALUE"""),"Manager who explains what is expected, sets a goal and helps achieve it")</f>
        <v>Manager who explains what is expected, sets a goal and helps achieve it</v>
      </c>
      <c r="P2262" s="1" t="str">
        <f ca="1">IFERROR(__xludf.DUMMYFUNCTION("""COMPUTED_VALUE"""),"Work with 2 to 3 people in my team")</f>
        <v>Work with 2 to 3 people in my team</v>
      </c>
      <c r="Q2262" s="1" t="str">
        <f ca="1">IFERROR(__xludf.DUMMYFUNCTION("""COMPUTED_VALUE"""),"Yes, I Understand this is gonna happen everywhere")</f>
        <v>Yes, I Understand this is gonna happen everywhere</v>
      </c>
      <c r="R2262" s="1" t="str">
        <f ca="1">IFERROR(__xludf.DUMMYFUNCTION("""COMPUTED_VALUE"""),"This will be hard to do, but if it is the right company I would try")</f>
        <v>This will be hard to do, but if it is the right company I would try</v>
      </c>
      <c r="S2262" s="1" t="str">
        <f ca="1">IFERROR(__xludf.DUMMYFUNCTION("""COMPUTED_VALUE"""),"shreeharsharaghavendrak@gmail.com")</f>
        <v>shreeharsharaghavendrak@gmail.com</v>
      </c>
    </row>
    <row r="2263" spans="1:19" ht="12.5" x14ac:dyDescent="0.25">
      <c r="A2263" s="2">
        <f ca="1">IFERROR(__xludf.DUMMYFUNCTION("""COMPUTED_VALUE"""),45063.9641882407)</f>
        <v>45063.964188240701</v>
      </c>
      <c r="B2263" s="1" t="str">
        <f ca="1">IFERROR(__xludf.DUMMYFUNCTION("""COMPUTED_VALUE"""),"India")</f>
        <v>India</v>
      </c>
      <c r="C2263" s="1">
        <f ca="1">IFERROR(__xludf.DUMMYFUNCTION("""COMPUTED_VALUE"""),560067)</f>
        <v>560067</v>
      </c>
      <c r="D2263" s="1" t="str">
        <f ca="1">IFERROR(__xludf.DUMMYFUNCTION("""COMPUTED_VALUE"""),"Female")</f>
        <v>Female</v>
      </c>
      <c r="E2263" s="1" t="str">
        <f ca="1">IFERROR(__xludf.DUMMYFUNCTION("""COMPUTED_VALUE"""),"My Parents")</f>
        <v>My Parents</v>
      </c>
      <c r="F2263" s="1" t="str">
        <f ca="1">IFERROR(__xludf.DUMMYFUNCTION("""COMPUTED_VALUE"""),"Yes, I will earn and do that")</f>
        <v>Yes, I will earn and do that</v>
      </c>
      <c r="G2263" s="1" t="str">
        <f ca="1">IFERROR(__xludf.DUMMYFUNCTION("""COMPUTED_VALUE"""),"Will work for 3 years or more")</f>
        <v>Will work for 3 years or more</v>
      </c>
      <c r="H2263" s="1" t="str">
        <f ca="1">IFERROR(__xludf.DUMMYFUNCTION("""COMPUTED_VALUE"""),"Yes")</f>
        <v>Yes</v>
      </c>
      <c r="I2263" s="1" t="str">
        <f ca="1">IFERROR(__xludf.DUMMYFUNCTION("""COMPUTED_VALUE"""),"Will work for them")</f>
        <v>Will work for them</v>
      </c>
      <c r="J2263" s="1">
        <f ca="1">IFERROR(__xludf.DUMMYFUNCTION("""COMPUTED_VALUE"""),2)</f>
        <v>2</v>
      </c>
      <c r="K2263" s="1" t="str">
        <f ca="1">IFERROR(__xludf.DUMMYFUNCTION("""COMPUTED_VALUE"""),"Every Day Office Environment")</f>
        <v>Every Day Office Environment</v>
      </c>
      <c r="L2263" s="1" t="str">
        <f ca="1">IFERROR(__xludf.DUMMYFUNCTION("""COMPUTED_VALUE"""),"Employer who appreciates learning and enables that environment")</f>
        <v>Employer who appreciates learning and enables that environment</v>
      </c>
      <c r="M2263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2263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263" s="1" t="str">
        <f ca="1">IFERROR(__xludf.DUMMYFUNCTION("""COMPUTED_VALUE"""),"Manager who sets goal and helps me achieve it")</f>
        <v>Manager who sets goal and helps me achieve it</v>
      </c>
      <c r="P2263" s="1" t="str">
        <f ca="1">IFERROR(__xludf.DUMMYFUNCTION("""COMPUTED_VALUE"""),"Work alone")</f>
        <v>Work alone</v>
      </c>
      <c r="Q2263" s="1" t="str">
        <f ca="1">IFERROR(__xludf.DUMMYFUNCTION("""COMPUTED_VALUE"""),"No")</f>
        <v>No</v>
      </c>
      <c r="R2263" s="1" t="str">
        <f ca="1">IFERROR(__xludf.DUMMYFUNCTION("""COMPUTED_VALUE"""),"Will work for 7 years or more")</f>
        <v>Will work for 7 years or more</v>
      </c>
      <c r="S2263" s="1" t="str">
        <f ca="1">IFERROR(__xludf.DUMMYFUNCTION("""COMPUTED_VALUE"""),"bindushreenm123@gmail.com")</f>
        <v>bindushreenm123@gmail.com</v>
      </c>
    </row>
    <row r="2264" spans="1:19" ht="12.5" x14ac:dyDescent="0.25">
      <c r="A2264" s="2">
        <f ca="1">IFERROR(__xludf.DUMMYFUNCTION("""COMPUTED_VALUE"""),45063.9656175347)</f>
        <v>45063.965617534697</v>
      </c>
      <c r="B2264" s="1" t="str">
        <f ca="1">IFERROR(__xludf.DUMMYFUNCTION("""COMPUTED_VALUE"""),"India")</f>
        <v>India</v>
      </c>
      <c r="C2264" s="1">
        <f ca="1">IFERROR(__xludf.DUMMYFUNCTION("""COMPUTED_VALUE"""),637003)</f>
        <v>637003</v>
      </c>
      <c r="D2264" s="1" t="str">
        <f ca="1">IFERROR(__xludf.DUMMYFUNCTION("""COMPUTED_VALUE"""),"Female")</f>
        <v>Female</v>
      </c>
      <c r="E2264" s="1" t="str">
        <f ca="1">IFERROR(__xludf.DUMMYFUNCTION("""COMPUTED_VALUE"""),"My Parents")</f>
        <v>My Parents</v>
      </c>
      <c r="F2264" s="1" t="str">
        <f ca="1">IFERROR(__xludf.DUMMYFUNCTION("""COMPUTED_VALUE"""),"No I would not be pursuing Higher Education outside of India")</f>
        <v>No I would not be pursuing Higher Education outside of India</v>
      </c>
      <c r="G2264" s="1" t="str">
        <f ca="1">IFERROR(__xludf.DUMMYFUNCTION("""COMPUTED_VALUE"""),"This will be hard to do, but if it is the right company I would try")</f>
        <v>This will be hard to do, but if it is the right company I would try</v>
      </c>
      <c r="H2264" s="1" t="str">
        <f ca="1">IFERROR(__xludf.DUMMYFUNCTION("""COMPUTED_VALUE"""),"No")</f>
        <v>No</v>
      </c>
      <c r="I2264" s="1" t="str">
        <f ca="1">IFERROR(__xludf.DUMMYFUNCTION("""COMPUTED_VALUE"""),"Will NOT work for them")</f>
        <v>Will NOT work for them</v>
      </c>
      <c r="J2264" s="1">
        <f ca="1">IFERROR(__xludf.DUMMYFUNCTION("""COMPUTED_VALUE"""),8)</f>
        <v>8</v>
      </c>
      <c r="K2264" s="1" t="str">
        <f ca="1">IFERROR(__xludf.DUMMYFUNCTION("""COMPUTED_VALUE"""),"Hybrid Working Environment with more than 15 days a month at office")</f>
        <v>Hybrid Working Environment with more than 15 days a month at office</v>
      </c>
      <c r="L2264" s="1" t="str">
        <f ca="1">IFERROR(__xludf.DUMMYFUNCTION("""COMPUTED_VALUE"""),"Employer who appreciates learning and enables that environment")</f>
        <v>Employer who appreciates learning and enables that environment</v>
      </c>
      <c r="M2264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264" s="1" t="str">
        <f ca="1">IFERROR(__xludf.DUMMYFUNCTION("""COMPUTED_VALUE"""),"Design and Creative strategy in any company, Build and develop a Team, Become a content Creator in some platform, Entrepreneur or Start Up")</f>
        <v>Design and Creative strategy in any company, Build and develop a Team, Become a content Creator in some platform, Entrepreneur or Start Up</v>
      </c>
      <c r="O2264" s="1" t="str">
        <f ca="1">IFERROR(__xludf.DUMMYFUNCTION("""COMPUTED_VALUE"""),"Manager who explains what is expected, sets a goal and helps achieve it")</f>
        <v>Manager who explains what is expected, sets a goal and helps achieve it</v>
      </c>
      <c r="P2264" s="1" t="str">
        <f ca="1">IFERROR(__xludf.DUMMYFUNCTION("""COMPUTED_VALUE"""),"Work with 2 to 3 people in my team")</f>
        <v>Work with 2 to 3 people in my team</v>
      </c>
      <c r="Q2264" s="1" t="str">
        <f ca="1">IFERROR(__xludf.DUMMYFUNCTION("""COMPUTED_VALUE"""),"Yes, I Understand this is gonna happen everywhere")</f>
        <v>Yes, I Understand this is gonna happen everywhere</v>
      </c>
      <c r="R2264" s="1" t="str">
        <f ca="1">IFERROR(__xludf.DUMMYFUNCTION("""COMPUTED_VALUE"""),"This will be hard to do, but if it is the right company I would try")</f>
        <v>This will be hard to do, but if it is the right company I would try</v>
      </c>
      <c r="S2264" s="1" t="str">
        <f ca="1">IFERROR(__xludf.DUMMYFUNCTION("""COMPUTED_VALUE"""),"ksjananisubbramani@gmail.com")</f>
        <v>ksjananisubbramani@gmail.com</v>
      </c>
    </row>
    <row r="2265" spans="1:19" ht="12.5" x14ac:dyDescent="0.25">
      <c r="A2265" s="2">
        <f ca="1">IFERROR(__xludf.DUMMYFUNCTION("""COMPUTED_VALUE"""),45063.969601956)</f>
        <v>45063.969601956</v>
      </c>
      <c r="B2265" s="1" t="str">
        <f ca="1">IFERROR(__xludf.DUMMYFUNCTION("""COMPUTED_VALUE"""),"India")</f>
        <v>India</v>
      </c>
      <c r="C2265" s="1">
        <f ca="1">IFERROR(__xludf.DUMMYFUNCTION("""COMPUTED_VALUE"""),560061)</f>
        <v>560061</v>
      </c>
      <c r="D2265" s="1" t="str">
        <f ca="1">IFERROR(__xludf.DUMMYFUNCTION("""COMPUTED_VALUE"""),"Female")</f>
        <v>Female</v>
      </c>
      <c r="E2265" s="1" t="str">
        <f ca="1">IFERROR(__xludf.DUMMYFUNCTION("""COMPUTED_VALUE"""),"People from my circle, but not family members")</f>
        <v>People from my circle, but not family members</v>
      </c>
      <c r="F2265" s="1" t="str">
        <f ca="1">IFERROR(__xludf.DUMMYFUNCTION("""COMPUTED_VALUE"""),"No, But if someone could bare the cost I will")</f>
        <v>No, But if someone could bare the cost I will</v>
      </c>
      <c r="G2265" s="1" t="str">
        <f ca="1">IFERROR(__xludf.DUMMYFUNCTION("""COMPUTED_VALUE"""),"This will be hard to do, but if it is the right company I would try")</f>
        <v>This will be hard to do, but if it is the right company I would try</v>
      </c>
      <c r="H2265" s="1" t="str">
        <f ca="1">IFERROR(__xludf.DUMMYFUNCTION("""COMPUTED_VALUE"""),"No")</f>
        <v>No</v>
      </c>
      <c r="I2265" s="1" t="str">
        <f ca="1">IFERROR(__xludf.DUMMYFUNCTION("""COMPUTED_VALUE"""),"Will NOT work for them")</f>
        <v>Will NOT work for them</v>
      </c>
      <c r="J2265" s="1">
        <f ca="1">IFERROR(__xludf.DUMMYFUNCTION("""COMPUTED_VALUE"""),1)</f>
        <v>1</v>
      </c>
      <c r="K2265" s="1" t="str">
        <f ca="1">IFERROR(__xludf.DUMMYFUNCTION("""COMPUTED_VALUE"""),"Hybrid Working Environment with more than 15 days a month at office")</f>
        <v>Hybrid Working Environment with more than 15 days a month at office</v>
      </c>
      <c r="L226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6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65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2265" s="1" t="str">
        <f ca="1">IFERROR(__xludf.DUMMYFUNCTION("""COMPUTED_VALUE"""),"Manager who clearly describes what she/he needs")</f>
        <v>Manager who clearly describes what she/he needs</v>
      </c>
      <c r="P2265" s="1" t="str">
        <f ca="1">IFERROR(__xludf.DUMMYFUNCTION("""COMPUTED_VALUE"""),"Work with 5 to 6 people in my team")</f>
        <v>Work with 5 to 6 people in my team</v>
      </c>
      <c r="Q2265" s="1" t="str">
        <f ca="1">IFERROR(__xludf.DUMMYFUNCTION("""COMPUTED_VALUE"""),"Yes, I Understand this is gonna happen everywhere")</f>
        <v>Yes, I Understand this is gonna happen everywhere</v>
      </c>
      <c r="R2265" s="1" t="str">
        <f ca="1">IFERROR(__xludf.DUMMYFUNCTION("""COMPUTED_VALUE"""),"This will be hard to do, but if it is the right company I would try")</f>
        <v>This will be hard to do, but if it is the right company I would try</v>
      </c>
      <c r="S2265" s="1" t="str">
        <f ca="1">IFERROR(__xludf.DUMMYFUNCTION("""COMPUTED_VALUE"""),"nayana6466@gmail.com")</f>
        <v>nayana6466@gmail.com</v>
      </c>
    </row>
    <row r="2266" spans="1:19" ht="12.5" x14ac:dyDescent="0.25">
      <c r="A2266" s="2">
        <f ca="1">IFERROR(__xludf.DUMMYFUNCTION("""COMPUTED_VALUE"""),45063.9717421296)</f>
        <v>45063.971742129601</v>
      </c>
      <c r="B2266" s="1" t="str">
        <f ca="1">IFERROR(__xludf.DUMMYFUNCTION("""COMPUTED_VALUE"""),"India")</f>
        <v>India</v>
      </c>
      <c r="C2266" s="1">
        <f ca="1">IFERROR(__xludf.DUMMYFUNCTION("""COMPUTED_VALUE"""),444801)</f>
        <v>444801</v>
      </c>
      <c r="D2266" s="1" t="str">
        <f ca="1">IFERROR(__xludf.DUMMYFUNCTION("""COMPUTED_VALUE"""),"Male")</f>
        <v>Male</v>
      </c>
      <c r="E2266" s="1" t="str">
        <f ca="1">IFERROR(__xludf.DUMMYFUNCTION("""COMPUTED_VALUE"""),"My Parents")</f>
        <v>My Parents</v>
      </c>
      <c r="F2266" s="1" t="str">
        <f ca="1">IFERROR(__xludf.DUMMYFUNCTION("""COMPUTED_VALUE"""),"Yes, I will earn and do that")</f>
        <v>Yes, I will earn and do that</v>
      </c>
      <c r="G2266" s="1" t="str">
        <f ca="1">IFERROR(__xludf.DUMMYFUNCTION("""COMPUTED_VALUE"""),"This will be hard to do, but if it is the right company I would try")</f>
        <v>This will be hard to do, but if it is the right company I would try</v>
      </c>
      <c r="H2266" s="1" t="str">
        <f ca="1">IFERROR(__xludf.DUMMYFUNCTION("""COMPUTED_VALUE"""),"No")</f>
        <v>No</v>
      </c>
      <c r="I2266" s="1" t="str">
        <f ca="1">IFERROR(__xludf.DUMMYFUNCTION("""COMPUTED_VALUE"""),"Will work for them")</f>
        <v>Will work for them</v>
      </c>
      <c r="J2266" s="1">
        <f ca="1">IFERROR(__xludf.DUMMYFUNCTION("""COMPUTED_VALUE"""),6)</f>
        <v>6</v>
      </c>
      <c r="K2266" s="1" t="str">
        <f ca="1">IFERROR(__xludf.DUMMYFUNCTION("""COMPUTED_VALUE"""),"Fully Remote with Options to travel as and when needed")</f>
        <v>Fully Remote with Options to travel as and when needed</v>
      </c>
      <c r="L22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6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66" s="1" t="str">
        <f ca="1">IFERROR(__xludf.DUMMYFUNCTION("""COMPUTED_VALUE"""),"Business Operations in any organization, Manage and drive End-to-End Projects or Products, Design and Develop amazing software, Look deeply into Data and generate insights")</f>
        <v>Business Operations in any organization, Manage and drive End-to-End Projects or Products, Design and Develop amazing software, Look deeply into Data and generate insights</v>
      </c>
      <c r="O2266" s="1" t="str">
        <f ca="1">IFERROR(__xludf.DUMMYFUNCTION("""COMPUTED_VALUE"""),"Manager who explains what is expected, sets a goal and helps achieve it")</f>
        <v>Manager who explains what is expected, sets a goal and helps achieve it</v>
      </c>
      <c r="P2266" s="1" t="str">
        <f ca="1">IFERROR(__xludf.DUMMYFUNCTION("""COMPUTED_VALUE"""),"Work with 7 to 10 or more people in my team")</f>
        <v>Work with 7 to 10 or more people in my team</v>
      </c>
      <c r="Q2266" s="1" t="str">
        <f ca="1">IFERROR(__xludf.DUMMYFUNCTION("""COMPUTED_VALUE"""),"Yes, I Understand this is gonna happen everywhere")</f>
        <v>Yes, I Understand this is gonna happen everywhere</v>
      </c>
      <c r="R2266" s="1" t="str">
        <f ca="1">IFERROR(__xludf.DUMMYFUNCTION("""COMPUTED_VALUE"""),"No way")</f>
        <v>No way</v>
      </c>
      <c r="S2266" s="1" t="str">
        <f ca="1">IFERROR(__xludf.DUMMYFUNCTION("""COMPUTED_VALUE"""),"pranaybobade21@gmail.com")</f>
        <v>pranaybobade21@gmail.com</v>
      </c>
    </row>
    <row r="2267" spans="1:19" ht="12.5" x14ac:dyDescent="0.25">
      <c r="A2267" s="2">
        <f ca="1">IFERROR(__xludf.DUMMYFUNCTION("""COMPUTED_VALUE"""),45063.9729503009)</f>
        <v>45063.9729503009</v>
      </c>
      <c r="B2267" s="1" t="str">
        <f ca="1">IFERROR(__xludf.DUMMYFUNCTION("""COMPUTED_VALUE"""),"India")</f>
        <v>India</v>
      </c>
      <c r="C2267" s="1">
        <f ca="1">IFERROR(__xludf.DUMMYFUNCTION("""COMPUTED_VALUE"""),583201)</f>
        <v>583201</v>
      </c>
      <c r="D2267" s="1" t="str">
        <f ca="1">IFERROR(__xludf.DUMMYFUNCTION("""COMPUTED_VALUE"""),"Male")</f>
        <v>Male</v>
      </c>
      <c r="E2267" s="1" t="str">
        <f ca="1">IFERROR(__xludf.DUMMYFUNCTION("""COMPUTED_VALUE"""),"My Parents")</f>
        <v>My Parents</v>
      </c>
      <c r="F2267" s="1" t="str">
        <f ca="1">IFERROR(__xludf.DUMMYFUNCTION("""COMPUTED_VALUE"""),"No I would not be pursuing Higher Education outside of India")</f>
        <v>No I would not be pursuing Higher Education outside of India</v>
      </c>
      <c r="G2267" s="1" t="str">
        <f ca="1">IFERROR(__xludf.DUMMYFUNCTION("""COMPUTED_VALUE"""),"This will be hard to do, but if it is the right company I would try")</f>
        <v>This will be hard to do, but if it is the right company I would try</v>
      </c>
      <c r="H2267" s="1" t="str">
        <f ca="1">IFERROR(__xludf.DUMMYFUNCTION("""COMPUTED_VALUE"""),"No")</f>
        <v>No</v>
      </c>
      <c r="I2267" s="1" t="str">
        <f ca="1">IFERROR(__xludf.DUMMYFUNCTION("""COMPUTED_VALUE"""),"Will NOT work for them")</f>
        <v>Will NOT work for them</v>
      </c>
      <c r="J2267" s="1">
        <f ca="1">IFERROR(__xludf.DUMMYFUNCTION("""COMPUTED_VALUE"""),7)</f>
        <v>7</v>
      </c>
      <c r="K2267" s="1" t="str">
        <f ca="1">IFERROR(__xludf.DUMMYFUNCTION("""COMPUTED_VALUE"""),"Fully Remote with No option to visit offices")</f>
        <v>Fully Remote with No option to visit offices</v>
      </c>
      <c r="L2267" s="1" t="str">
        <f ca="1">IFERROR(__xludf.DUMMYFUNCTION("""COMPUTED_VALUE"""),"Employer who rewards learning and enables that environment")</f>
        <v>Employer who rewards learning and enables that environment</v>
      </c>
      <c r="M226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67" s="1" t="str">
        <f ca="1">IFERROR(__xludf.DUMMYFUNCTION("""COMPUTED_VALUE"""),"Design and Develop amazing software, Look deeply into Data and generate insights, Become a content Creator in some platform, An Artificial Intelligence Specialist / Talking to Robots")</f>
        <v>Design and Develop amazing software, Look deeply into Data and generate insights, Become a content Creator in some platform, An Artificial Intelligence Specialist / Talking to Robots</v>
      </c>
      <c r="O2267" s="1" t="str">
        <f ca="1">IFERROR(__xludf.DUMMYFUNCTION("""COMPUTED_VALUE"""),"Manager who clearly describes what she/he needs")</f>
        <v>Manager who clearly describes what she/he needs</v>
      </c>
      <c r="P2267" s="1" t="str">
        <f ca="1">IFERROR(__xludf.DUMMYFUNCTION("""COMPUTED_VALUE"""),"Work with 2 to 3 people in my team")</f>
        <v>Work with 2 to 3 people in my team</v>
      </c>
      <c r="Q2267" s="1" t="str">
        <f ca="1">IFERROR(__xludf.DUMMYFUNCTION("""COMPUTED_VALUE"""),"No")</f>
        <v>No</v>
      </c>
      <c r="R2267" s="1" t="str">
        <f ca="1">IFERROR(__xludf.DUMMYFUNCTION("""COMPUTED_VALUE"""),"No way")</f>
        <v>No way</v>
      </c>
      <c r="S2267" s="1" t="str">
        <f ca="1">IFERROR(__xludf.DUMMYFUNCTION("""COMPUTED_VALUE"""),"shreeshagudi@gmail.com")</f>
        <v>shreeshagudi@gmail.com</v>
      </c>
    </row>
    <row r="2268" spans="1:19" ht="12.5" x14ac:dyDescent="0.25">
      <c r="A2268" s="2">
        <f ca="1">IFERROR(__xludf.DUMMYFUNCTION("""COMPUTED_VALUE"""),45063.97452103)</f>
        <v>45063.974521030003</v>
      </c>
      <c r="B2268" s="1" t="str">
        <f ca="1">IFERROR(__xludf.DUMMYFUNCTION("""COMPUTED_VALUE"""),"India")</f>
        <v>India</v>
      </c>
      <c r="C2268" s="1">
        <f ca="1">IFERROR(__xludf.DUMMYFUNCTION("""COMPUTED_VALUE"""),533101)</f>
        <v>533101</v>
      </c>
      <c r="D2268" s="1" t="str">
        <f ca="1">IFERROR(__xludf.DUMMYFUNCTION("""COMPUTED_VALUE"""),"Male")</f>
        <v>Male</v>
      </c>
      <c r="E2268" s="1" t="str">
        <f ca="1">IFERROR(__xludf.DUMMYFUNCTION("""COMPUTED_VALUE"""),"My Parents")</f>
        <v>My Parents</v>
      </c>
      <c r="F2268" s="1" t="str">
        <f ca="1">IFERROR(__xludf.DUMMYFUNCTION("""COMPUTED_VALUE"""),"Yes, I will earn and do that")</f>
        <v>Yes, I will earn and do that</v>
      </c>
      <c r="G2268" s="1" t="str">
        <f ca="1">IFERROR(__xludf.DUMMYFUNCTION("""COMPUTED_VALUE"""),"This will be hard to do, but if it is the right company I would try")</f>
        <v>This will be hard to do, but if it is the right company I would try</v>
      </c>
      <c r="H2268" s="1" t="str">
        <f ca="1">IFERROR(__xludf.DUMMYFUNCTION("""COMPUTED_VALUE"""),"No")</f>
        <v>No</v>
      </c>
      <c r="I2268" s="1" t="str">
        <f ca="1">IFERROR(__xludf.DUMMYFUNCTION("""COMPUTED_VALUE"""),"Will NOT work for them")</f>
        <v>Will NOT work for them</v>
      </c>
      <c r="J2268" s="1">
        <f ca="1">IFERROR(__xludf.DUMMYFUNCTION("""COMPUTED_VALUE"""),5)</f>
        <v>5</v>
      </c>
      <c r="K2268" s="1" t="str">
        <f ca="1">IFERROR(__xludf.DUMMYFUNCTION("""COMPUTED_VALUE"""),"Every Day Office Environment")</f>
        <v>Every Day Office Environment</v>
      </c>
      <c r="L2268" s="1" t="str">
        <f ca="1">IFERROR(__xludf.DUMMYFUNCTION("""COMPUTED_VALUE"""),"Employer who appreciates learning and enables that environment")</f>
        <v>Employer who appreciates learning and enables that environment</v>
      </c>
      <c r="M226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68" s="1" t="str">
        <f ca="1">IFERROR(__xludf.DUMMYFUNCTION("""COMPUTED_VALUE"""),"Design and Creative strategy in any company, Teaching in any of the institutes/colleges/online or offline, Entrepreneur or Start Up, An Artificial Intelligence Specialist / Talking to Robots")</f>
        <v>Design and Creative strategy in any company, Teaching in any of the institutes/colleges/online or offline, Entrepreneur or Start Up, An Artificial Intelligence Specialist / Talking to Robots</v>
      </c>
      <c r="O2268" s="1" t="str">
        <f ca="1">IFERROR(__xludf.DUMMYFUNCTION("""COMPUTED_VALUE"""),"Manager who sets goal and helps me achieve it")</f>
        <v>Manager who sets goal and helps me achieve it</v>
      </c>
      <c r="P2268" s="1" t="str">
        <f ca="1">IFERROR(__xludf.DUMMYFUNCTION("""COMPUTED_VALUE"""),"Work alone, Work with 2 to 3 people in my team")</f>
        <v>Work alone, Work with 2 to 3 people in my team</v>
      </c>
      <c r="Q2268" s="1" t="str">
        <f ca="1">IFERROR(__xludf.DUMMYFUNCTION("""COMPUTED_VALUE"""),"Yes, I Understand this is gonna happen everywhere")</f>
        <v>Yes, I Understand this is gonna happen everywhere</v>
      </c>
      <c r="R2268" s="1" t="str">
        <f ca="1">IFERROR(__xludf.DUMMYFUNCTION("""COMPUTED_VALUE"""),"This will be hard to do, but if it is the right company I would try")</f>
        <v>This will be hard to do, but if it is the right company I would try</v>
      </c>
      <c r="S2268" s="1" t="str">
        <f ca="1">IFERROR(__xludf.DUMMYFUNCTION("""COMPUTED_VALUE"""),"hemanthdarling24798@gmail.com")</f>
        <v>hemanthdarling24798@gmail.com</v>
      </c>
    </row>
    <row r="2269" spans="1:19" ht="12.5" x14ac:dyDescent="0.25">
      <c r="A2269" s="2">
        <f ca="1">IFERROR(__xludf.DUMMYFUNCTION("""COMPUTED_VALUE"""),45063.9754852662)</f>
        <v>45063.975485266201</v>
      </c>
      <c r="B2269" s="1" t="str">
        <f ca="1">IFERROR(__xludf.DUMMYFUNCTION("""COMPUTED_VALUE"""),"India")</f>
        <v>India</v>
      </c>
      <c r="C2269" s="1">
        <f ca="1">IFERROR(__xludf.DUMMYFUNCTION("""COMPUTED_VALUE"""),500072)</f>
        <v>500072</v>
      </c>
      <c r="D2269" s="1" t="str">
        <f ca="1">IFERROR(__xludf.DUMMYFUNCTION("""COMPUTED_VALUE"""),"Male")</f>
        <v>Male</v>
      </c>
      <c r="E2269" s="1" t="str">
        <f ca="1">IFERROR(__xludf.DUMMYFUNCTION("""COMPUTED_VALUE"""),"My Parents")</f>
        <v>My Parents</v>
      </c>
      <c r="F2269" s="1" t="str">
        <f ca="1">IFERROR(__xludf.DUMMYFUNCTION("""COMPUTED_VALUE"""),"Yes, I will earn and do that")</f>
        <v>Yes, I will earn and do that</v>
      </c>
      <c r="G2269" s="1" t="str">
        <f ca="1">IFERROR(__xludf.DUMMYFUNCTION("""COMPUTED_VALUE"""),"Will work for 3 years or more")</f>
        <v>Will work for 3 years or more</v>
      </c>
      <c r="H2269" s="1" t="str">
        <f ca="1">IFERROR(__xludf.DUMMYFUNCTION("""COMPUTED_VALUE"""),"No")</f>
        <v>No</v>
      </c>
      <c r="I2269" s="1" t="str">
        <f ca="1">IFERROR(__xludf.DUMMYFUNCTION("""COMPUTED_VALUE"""),"Will NOT work for them")</f>
        <v>Will NOT work for them</v>
      </c>
      <c r="J2269" s="1">
        <f ca="1">IFERROR(__xludf.DUMMYFUNCTION("""COMPUTED_VALUE"""),2)</f>
        <v>2</v>
      </c>
      <c r="K2269" s="1" t="str">
        <f ca="1">IFERROR(__xludf.DUMMYFUNCTION("""COMPUTED_VALUE"""),"Every Day Office Environment")</f>
        <v>Every Day Office Environment</v>
      </c>
      <c r="L2269" s="1" t="str">
        <f ca="1">IFERROR(__xludf.DUMMYFUNCTION("""COMPUTED_VALUE"""),"Employer who appreciates learning and enables that environment")</f>
        <v>Employer who appreciates learning and enables that environment</v>
      </c>
      <c r="M226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69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2269" s="1" t="str">
        <f ca="1">IFERROR(__xludf.DUMMYFUNCTION("""COMPUTED_VALUE"""),"Manager who explains what is expected, sets a goal and helps achieve it")</f>
        <v>Manager who explains what is expected, sets a goal and helps achieve it</v>
      </c>
      <c r="P2269" s="1" t="str">
        <f ca="1">IFERROR(__xludf.DUMMYFUNCTION("""COMPUTED_VALUE"""),"Work with 2 to 3 people in my team")</f>
        <v>Work with 2 to 3 people in my team</v>
      </c>
      <c r="Q2269" s="1" t="str">
        <f ca="1">IFERROR(__xludf.DUMMYFUNCTION("""COMPUTED_VALUE"""),"No")</f>
        <v>No</v>
      </c>
      <c r="R2269" s="1" t="str">
        <f ca="1">IFERROR(__xludf.DUMMYFUNCTION("""COMPUTED_VALUE"""),"This will be hard to do, but if it is the right company I would try")</f>
        <v>This will be hard to do, but if it is the right company I would try</v>
      </c>
      <c r="S2269" s="1" t="str">
        <f ca="1">IFERROR(__xludf.DUMMYFUNCTION("""COMPUTED_VALUE"""),"vamsikrishnavemulapalli1998@gmail.com")</f>
        <v>vamsikrishnavemulapalli1998@gmail.com</v>
      </c>
    </row>
    <row r="2270" spans="1:19" ht="12.5" x14ac:dyDescent="0.25">
      <c r="A2270" s="2">
        <f ca="1">IFERROR(__xludf.DUMMYFUNCTION("""COMPUTED_VALUE"""),45063.9778071296)</f>
        <v>45063.977807129602</v>
      </c>
      <c r="B2270" s="1" t="str">
        <f ca="1">IFERROR(__xludf.DUMMYFUNCTION("""COMPUTED_VALUE"""),"India")</f>
        <v>India</v>
      </c>
      <c r="C2270" s="1">
        <f ca="1">IFERROR(__xludf.DUMMYFUNCTION("""COMPUTED_VALUE"""),580031)</f>
        <v>580031</v>
      </c>
      <c r="D2270" s="1" t="str">
        <f ca="1">IFERROR(__xludf.DUMMYFUNCTION("""COMPUTED_VALUE"""),"Male")</f>
        <v>Male</v>
      </c>
      <c r="E2270" s="1" t="str">
        <f ca="1">IFERROR(__xludf.DUMMYFUNCTION("""COMPUTED_VALUE"""),"People who have changed the world for better")</f>
        <v>People who have changed the world for better</v>
      </c>
      <c r="F2270" s="1" t="str">
        <f ca="1">IFERROR(__xludf.DUMMYFUNCTION("""COMPUTED_VALUE"""),"No, But if someone could bare the cost I will")</f>
        <v>No, But if someone could bare the cost I will</v>
      </c>
      <c r="G2270" s="1" t="str">
        <f ca="1">IFERROR(__xludf.DUMMYFUNCTION("""COMPUTED_VALUE"""),"Will work for 3 years or more")</f>
        <v>Will work for 3 years or more</v>
      </c>
      <c r="H2270" s="1" t="str">
        <f ca="1">IFERROR(__xludf.DUMMYFUNCTION("""COMPUTED_VALUE"""),"No")</f>
        <v>No</v>
      </c>
      <c r="I2270" s="1" t="str">
        <f ca="1">IFERROR(__xludf.DUMMYFUNCTION("""COMPUTED_VALUE"""),"Will NOT work for them")</f>
        <v>Will NOT work for them</v>
      </c>
      <c r="J2270" s="1">
        <f ca="1">IFERROR(__xludf.DUMMYFUNCTION("""COMPUTED_VALUE"""),6)</f>
        <v>6</v>
      </c>
      <c r="K2270" s="1" t="str">
        <f ca="1">IFERROR(__xludf.DUMMYFUNCTION("""COMPUTED_VALUE"""),"Hybrid Working Environment with more than 15 days a month at office")</f>
        <v>Hybrid Working Environment with more than 15 days a month at office</v>
      </c>
      <c r="L22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70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270" s="1" t="str">
        <f ca="1">IFERROR(__xludf.DUMMYFUNCTION("""COMPUTED_VALUE"""),"Design and Creative strategy in any company, Work as a freelancer and do my thing my way, I Want to sell things/Sales, Manufacturing / Oil and Gas/ Construction / Hard Physical Work related")</f>
        <v>Design and Creative strategy in any company, Work as a freelancer and do my thing my way, I Want to sell things/Sales, Manufacturing / Oil and Gas/ Construction / Hard Physical Work related</v>
      </c>
      <c r="O2270" s="1" t="str">
        <f ca="1">IFERROR(__xludf.DUMMYFUNCTION("""COMPUTED_VALUE"""),"Manager who explains what is expected, sets a goal and helps achieve it")</f>
        <v>Manager who explains what is expected, sets a goal and helps achieve it</v>
      </c>
      <c r="P2270" s="1" t="str">
        <f ca="1">IFERROR(__xludf.DUMMYFUNCTION("""COMPUTED_VALUE"""),"Work with 5 to 6 people in my team")</f>
        <v>Work with 5 to 6 people in my team</v>
      </c>
      <c r="Q2270" s="1" t="str">
        <f ca="1">IFERROR(__xludf.DUMMYFUNCTION("""COMPUTED_VALUE"""),"Yes, I Understand this is gonna happen everywhere")</f>
        <v>Yes, I Understand this is gonna happen everywhere</v>
      </c>
      <c r="R2270" s="1" t="str">
        <f ca="1">IFERROR(__xludf.DUMMYFUNCTION("""COMPUTED_VALUE"""),"No way")</f>
        <v>No way</v>
      </c>
      <c r="S2270" s="1" t="str">
        <f ca="1">IFERROR(__xludf.DUMMYFUNCTION("""COMPUTED_VALUE"""),"rahulhh999@gmail.com")</f>
        <v>rahulhh999@gmail.com</v>
      </c>
    </row>
    <row r="2271" spans="1:19" ht="12.5" x14ac:dyDescent="0.25">
      <c r="A2271" s="2">
        <f ca="1">IFERROR(__xludf.DUMMYFUNCTION("""COMPUTED_VALUE"""),45063.9788015162)</f>
        <v>45063.978801516198</v>
      </c>
      <c r="B2271" s="1" t="str">
        <f ca="1">IFERROR(__xludf.DUMMYFUNCTION("""COMPUTED_VALUE"""),"India")</f>
        <v>India</v>
      </c>
      <c r="C2271" s="1">
        <f ca="1">IFERROR(__xludf.DUMMYFUNCTION("""COMPUTED_VALUE"""),581115)</f>
        <v>581115</v>
      </c>
      <c r="D2271" s="1" t="str">
        <f ca="1">IFERROR(__xludf.DUMMYFUNCTION("""COMPUTED_VALUE"""),"Male")</f>
        <v>Male</v>
      </c>
      <c r="E2271" s="1" t="str">
        <f ca="1">IFERROR(__xludf.DUMMYFUNCTION("""COMPUTED_VALUE"""),"My Parents")</f>
        <v>My Parents</v>
      </c>
      <c r="F2271" s="1" t="str">
        <f ca="1">IFERROR(__xludf.DUMMYFUNCTION("""COMPUTED_VALUE"""),"Yes, I will earn and do that")</f>
        <v>Yes, I will earn and do that</v>
      </c>
      <c r="G2271" s="1" t="str">
        <f ca="1">IFERROR(__xludf.DUMMYFUNCTION("""COMPUTED_VALUE"""),"This will be hard to do, but if it is the right company I would try")</f>
        <v>This will be hard to do, but if it is the right company I would try</v>
      </c>
      <c r="H2271" s="1" t="str">
        <f ca="1">IFERROR(__xludf.DUMMYFUNCTION("""COMPUTED_VALUE"""),"No")</f>
        <v>No</v>
      </c>
      <c r="I2271" s="1" t="str">
        <f ca="1">IFERROR(__xludf.DUMMYFUNCTION("""COMPUTED_VALUE"""),"Will NOT work for them")</f>
        <v>Will NOT work for them</v>
      </c>
      <c r="J2271" s="1">
        <f ca="1">IFERROR(__xludf.DUMMYFUNCTION("""COMPUTED_VALUE"""),6)</f>
        <v>6</v>
      </c>
      <c r="K2271" s="1" t="str">
        <f ca="1">IFERROR(__xludf.DUMMYFUNCTION("""COMPUTED_VALUE"""),"Hybrid Working Environment with more than 15 days a month at office")</f>
        <v>Hybrid Working Environment with more than 15 days a month at office</v>
      </c>
      <c r="L2271" s="1" t="str">
        <f ca="1">IFERROR(__xludf.DUMMYFUNCTION("""COMPUTED_VALUE"""),"Employer who rewards learning and enables that environment")</f>
        <v>Employer who rewards learning and enables that environment</v>
      </c>
      <c r="M227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71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271" s="1" t="str">
        <f ca="1">IFERROR(__xludf.DUMMYFUNCTION("""COMPUTED_VALUE"""),"Manager who clearly describes what she/he needs")</f>
        <v>Manager who clearly describes what she/he needs</v>
      </c>
      <c r="P2271" s="1" t="str">
        <f ca="1">IFERROR(__xludf.DUMMYFUNCTION("""COMPUTED_VALUE"""),"Work with 2 to 3 people in my team")</f>
        <v>Work with 2 to 3 people in my team</v>
      </c>
      <c r="Q2271" s="1" t="str">
        <f ca="1">IFERROR(__xludf.DUMMYFUNCTION("""COMPUTED_VALUE"""),"Yes, I Understand this is gonna happen everywhere")</f>
        <v>Yes, I Understand this is gonna happen everywhere</v>
      </c>
      <c r="R2271" s="1" t="str">
        <f ca="1">IFERROR(__xludf.DUMMYFUNCTION("""COMPUTED_VALUE"""),"This will be hard to do, but if it is the right company I would try")</f>
        <v>This will be hard to do, but if it is the right company I would try</v>
      </c>
      <c r="S2271" s="1" t="str">
        <f ca="1">IFERROR(__xludf.DUMMYFUNCTION("""COMPUTED_VALUE"""),"sandeepsgokarnakar227@gmail.com")</f>
        <v>sandeepsgokarnakar227@gmail.com</v>
      </c>
    </row>
    <row r="2272" spans="1:19" ht="12.5" x14ac:dyDescent="0.25">
      <c r="A2272" s="2">
        <f ca="1">IFERROR(__xludf.DUMMYFUNCTION("""COMPUTED_VALUE"""),45063.9788885069)</f>
        <v>45063.978888506899</v>
      </c>
      <c r="B2272" s="1" t="str">
        <f ca="1">IFERROR(__xludf.DUMMYFUNCTION("""COMPUTED_VALUE"""),"India")</f>
        <v>India</v>
      </c>
      <c r="C2272" s="1">
        <f ca="1">IFERROR(__xludf.DUMMYFUNCTION("""COMPUTED_VALUE"""),563130)</f>
        <v>563130</v>
      </c>
      <c r="D2272" s="1" t="str">
        <f ca="1">IFERROR(__xludf.DUMMYFUNCTION("""COMPUTED_VALUE"""),"Male")</f>
        <v>Male</v>
      </c>
      <c r="E2272" s="1" t="str">
        <f ca="1">IFERROR(__xludf.DUMMYFUNCTION("""COMPUTED_VALUE"""),"Influencers who had successful careers")</f>
        <v>Influencers who had successful careers</v>
      </c>
      <c r="F2272" s="1" t="str">
        <f ca="1">IFERROR(__xludf.DUMMYFUNCTION("""COMPUTED_VALUE"""),"No I would not be pursuing Higher Education outside of India")</f>
        <v>No I would not be pursuing Higher Education outside of India</v>
      </c>
      <c r="G2272" s="1" t="str">
        <f ca="1">IFERROR(__xludf.DUMMYFUNCTION("""COMPUTED_VALUE"""),"This will be hard to do, but if it is the right company I would try")</f>
        <v>This will be hard to do, but if it is the right company I would try</v>
      </c>
      <c r="H2272" s="1" t="str">
        <f ca="1">IFERROR(__xludf.DUMMYFUNCTION("""COMPUTED_VALUE"""),"Yes")</f>
        <v>Yes</v>
      </c>
      <c r="I2272" s="1" t="str">
        <f ca="1">IFERROR(__xludf.DUMMYFUNCTION("""COMPUTED_VALUE"""),"Will work for them")</f>
        <v>Will work for them</v>
      </c>
      <c r="J2272" s="1">
        <f ca="1">IFERROR(__xludf.DUMMYFUNCTION("""COMPUTED_VALUE"""),5)</f>
        <v>5</v>
      </c>
      <c r="K2272" s="1" t="str">
        <f ca="1">IFERROR(__xludf.DUMMYFUNCTION("""COMPUTED_VALUE"""),"Hybrid Working Environment with more than 15 days a month at office")</f>
        <v>Hybrid Working Environment with more than 15 days a month at office</v>
      </c>
      <c r="L22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7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272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2272" s="1" t="str">
        <f ca="1">IFERROR(__xludf.DUMMYFUNCTION("""COMPUTED_VALUE"""),"Manager who explains what is expected, sets a goal and helps achieve it")</f>
        <v>Manager who explains what is expected, sets a goal and helps achieve it</v>
      </c>
      <c r="P2272" s="1" t="str">
        <f ca="1">IFERROR(__xludf.DUMMYFUNCTION("""COMPUTED_VALUE"""),"Work with 5 to 6 people in my team")</f>
        <v>Work with 5 to 6 people in my team</v>
      </c>
      <c r="Q2272" s="1" t="str">
        <f ca="1">IFERROR(__xludf.DUMMYFUNCTION("""COMPUTED_VALUE"""),"Yes, I Understand this is gonna happen everywhere")</f>
        <v>Yes, I Understand this is gonna happen everywhere</v>
      </c>
      <c r="R2272" s="1" t="str">
        <f ca="1">IFERROR(__xludf.DUMMYFUNCTION("""COMPUTED_VALUE"""),"This will be hard to do, but if it is the right company I would try")</f>
        <v>This will be hard to do, but if it is the right company I would try</v>
      </c>
      <c r="S2272" s="1" t="str">
        <f ca="1">IFERROR(__xludf.DUMMYFUNCTION("""COMPUTED_VALUE"""),"akashsobarad22@gmail.com")</f>
        <v>akashsobarad22@gmail.com</v>
      </c>
    </row>
    <row r="2273" spans="1:19" ht="12.5" x14ac:dyDescent="0.25">
      <c r="A2273" s="2">
        <f ca="1">IFERROR(__xludf.DUMMYFUNCTION("""COMPUTED_VALUE"""),45063.9790324884)</f>
        <v>45063.979032488402</v>
      </c>
      <c r="B2273" s="1" t="str">
        <f ca="1">IFERROR(__xludf.DUMMYFUNCTION("""COMPUTED_VALUE"""),"India")</f>
        <v>India</v>
      </c>
      <c r="C2273" s="1">
        <f ca="1">IFERROR(__xludf.DUMMYFUNCTION("""COMPUTED_VALUE"""),517001)</f>
        <v>517001</v>
      </c>
      <c r="D2273" s="1" t="str">
        <f ca="1">IFERROR(__xludf.DUMMYFUNCTION("""COMPUTED_VALUE"""),"Female")</f>
        <v>Female</v>
      </c>
      <c r="E2273" s="1" t="str">
        <f ca="1">IFERROR(__xludf.DUMMYFUNCTION("""COMPUTED_VALUE"""),"People who have changed the world for better")</f>
        <v>People who have changed the world for better</v>
      </c>
      <c r="F2273" s="1" t="str">
        <f ca="1">IFERROR(__xludf.DUMMYFUNCTION("""COMPUTED_VALUE"""),"No I would not be pursuing Higher Education outside of India")</f>
        <v>No I would not be pursuing Higher Education outside of India</v>
      </c>
      <c r="G2273" s="1" t="str">
        <f ca="1">IFERROR(__xludf.DUMMYFUNCTION("""COMPUTED_VALUE"""),"This will be hard to do, but if it is the right company I would try")</f>
        <v>This will be hard to do, but if it is the right company I would try</v>
      </c>
      <c r="H2273" s="1" t="str">
        <f ca="1">IFERROR(__xludf.DUMMYFUNCTION("""COMPUTED_VALUE"""),"No")</f>
        <v>No</v>
      </c>
      <c r="I2273" s="1" t="str">
        <f ca="1">IFERROR(__xludf.DUMMYFUNCTION("""COMPUTED_VALUE"""),"Will NOT work for them")</f>
        <v>Will NOT work for them</v>
      </c>
      <c r="J2273" s="1">
        <f ca="1">IFERROR(__xludf.DUMMYFUNCTION("""COMPUTED_VALUE"""),6)</f>
        <v>6</v>
      </c>
      <c r="K2273" s="1" t="str">
        <f ca="1">IFERROR(__xludf.DUMMYFUNCTION("""COMPUTED_VALUE"""),"Hybrid Working Environment with more than 15 days a month at office")</f>
        <v>Hybrid Working Environment with more than 15 days a month at office</v>
      </c>
      <c r="L22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7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73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273" s="1" t="str">
        <f ca="1">IFERROR(__xludf.DUMMYFUNCTION("""COMPUTED_VALUE"""),"Manager who explains what is expected, sets a goal and helps achieve it")</f>
        <v>Manager who explains what is expected, sets a goal and helps achieve it</v>
      </c>
      <c r="P2273" s="1" t="str">
        <f ca="1">IFERROR(__xludf.DUMMYFUNCTION("""COMPUTED_VALUE"""),"Work with 5 to 6 people in my team")</f>
        <v>Work with 5 to 6 people in my team</v>
      </c>
      <c r="Q2273" s="1" t="str">
        <f ca="1">IFERROR(__xludf.DUMMYFUNCTION("""COMPUTED_VALUE"""),"I have NO other choice")</f>
        <v>I have NO other choice</v>
      </c>
      <c r="R2273" s="1" t="str">
        <f ca="1">IFERROR(__xludf.DUMMYFUNCTION("""COMPUTED_VALUE"""),"This will be hard to do, but if it is the right company I would try")</f>
        <v>This will be hard to do, but if it is the right company I would try</v>
      </c>
      <c r="S2273" s="1" t="str">
        <f ca="1">IFERROR(__xludf.DUMMYFUNCTION("""COMPUTED_VALUE"""),"saiee07saiee@gmail.com")</f>
        <v>saiee07saiee@gmail.com</v>
      </c>
    </row>
    <row r="2274" spans="1:19" ht="12.5" x14ac:dyDescent="0.25">
      <c r="A2274" s="2">
        <f ca="1">IFERROR(__xludf.DUMMYFUNCTION("""COMPUTED_VALUE"""),45063.9793416203)</f>
        <v>45063.979341620303</v>
      </c>
      <c r="B2274" s="1" t="str">
        <f ca="1">IFERROR(__xludf.DUMMYFUNCTION("""COMPUTED_VALUE"""),"India")</f>
        <v>India</v>
      </c>
      <c r="C2274" s="1">
        <f ca="1">IFERROR(__xludf.DUMMYFUNCTION("""COMPUTED_VALUE"""),500047)</f>
        <v>500047</v>
      </c>
      <c r="D2274" s="1" t="str">
        <f ca="1">IFERROR(__xludf.DUMMYFUNCTION("""COMPUTED_VALUE"""),"Male")</f>
        <v>Male</v>
      </c>
      <c r="E2274" s="1" t="str">
        <f ca="1">IFERROR(__xludf.DUMMYFUNCTION("""COMPUTED_VALUE"""),"Social Media like LinkedIn")</f>
        <v>Social Media like LinkedIn</v>
      </c>
      <c r="F2274" s="1" t="str">
        <f ca="1">IFERROR(__xludf.DUMMYFUNCTION("""COMPUTED_VALUE"""),"No I would not be pursuing Higher Education outside of India")</f>
        <v>No I would not be pursuing Higher Education outside of India</v>
      </c>
      <c r="G2274" s="1" t="str">
        <f ca="1">IFERROR(__xludf.DUMMYFUNCTION("""COMPUTED_VALUE"""),"Will work for 3 years or more")</f>
        <v>Will work for 3 years or more</v>
      </c>
      <c r="H2274" s="1" t="str">
        <f ca="1">IFERROR(__xludf.DUMMYFUNCTION("""COMPUTED_VALUE"""),"Yes")</f>
        <v>Yes</v>
      </c>
      <c r="I2274" s="1" t="str">
        <f ca="1">IFERROR(__xludf.DUMMYFUNCTION("""COMPUTED_VALUE"""),"Will work for them")</f>
        <v>Will work for them</v>
      </c>
      <c r="J2274" s="1">
        <f ca="1">IFERROR(__xludf.DUMMYFUNCTION("""COMPUTED_VALUE"""),6)</f>
        <v>6</v>
      </c>
      <c r="K2274" s="1" t="str">
        <f ca="1">IFERROR(__xludf.DUMMYFUNCTION("""COMPUTED_VALUE"""),"Every Day Office Environment")</f>
        <v>Every Day Office Environment</v>
      </c>
      <c r="L22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74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274" s="1" t="str">
        <f ca="1">IFERROR(__xludf.DUMMYFUNCTION("""COMPUTED_VALUE"""),"Business Operations in any organization, Build and develop a Team, Design and Develop amazing software, I Want to sell things/Sales")</f>
        <v>Business Operations in any organization, Build and develop a Team, Design and Develop amazing software, I Want to sell things/Sales</v>
      </c>
      <c r="O2274" s="1" t="str">
        <f ca="1">IFERROR(__xludf.DUMMYFUNCTION("""COMPUTED_VALUE"""),"Manager who sets targets and expects me to achieve it")</f>
        <v>Manager who sets targets and expects me to achieve it</v>
      </c>
      <c r="P2274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274" s="1" t="str">
        <f ca="1">IFERROR(__xludf.DUMMYFUNCTION("""COMPUTED_VALUE"""),"Yes")</f>
        <v>Yes</v>
      </c>
      <c r="R2274" s="1" t="str">
        <f ca="1">IFERROR(__xludf.DUMMYFUNCTION("""COMPUTED_VALUE"""),"Will work for 7 years or more")</f>
        <v>Will work for 7 years or more</v>
      </c>
      <c r="S2274" s="1" t="str">
        <f ca="1">IFERROR(__xludf.DUMMYFUNCTION("""COMPUTED_VALUE"""),"ksivaprakashreddy59@gmail.com")</f>
        <v>ksivaprakashreddy59@gmail.com</v>
      </c>
    </row>
    <row r="2275" spans="1:19" ht="12.5" x14ac:dyDescent="0.25">
      <c r="A2275" s="2">
        <f ca="1">IFERROR(__xludf.DUMMYFUNCTION("""COMPUTED_VALUE"""),45063.9813193171)</f>
        <v>45063.981319317099</v>
      </c>
      <c r="B2275" s="1" t="str">
        <f ca="1">IFERROR(__xludf.DUMMYFUNCTION("""COMPUTED_VALUE"""),"India")</f>
        <v>India</v>
      </c>
      <c r="C2275" s="1">
        <f ca="1">IFERROR(__xludf.DUMMYFUNCTION("""COMPUTED_VALUE"""),518301)</f>
        <v>518301</v>
      </c>
      <c r="D2275" s="1" t="str">
        <f ca="1">IFERROR(__xludf.DUMMYFUNCTION("""COMPUTED_VALUE"""),"Female")</f>
        <v>Female</v>
      </c>
      <c r="E2275" s="1" t="str">
        <f ca="1">IFERROR(__xludf.DUMMYFUNCTION("""COMPUTED_VALUE"""),"Influencers who had successful careers")</f>
        <v>Influencers who had successful careers</v>
      </c>
      <c r="F2275" s="1" t="str">
        <f ca="1">IFERROR(__xludf.DUMMYFUNCTION("""COMPUTED_VALUE"""),"No, But if someone could bare the cost I will")</f>
        <v>No, But if someone could bare the cost I will</v>
      </c>
      <c r="G2275" s="1" t="str">
        <f ca="1">IFERROR(__xludf.DUMMYFUNCTION("""COMPUTED_VALUE"""),"Will work for 3 years or more")</f>
        <v>Will work for 3 years or more</v>
      </c>
      <c r="H2275" s="1" t="str">
        <f ca="1">IFERROR(__xludf.DUMMYFUNCTION("""COMPUTED_VALUE"""),"Yes")</f>
        <v>Yes</v>
      </c>
      <c r="I2275" s="1" t="str">
        <f ca="1">IFERROR(__xludf.DUMMYFUNCTION("""COMPUTED_VALUE"""),"Will work for them")</f>
        <v>Will work for them</v>
      </c>
      <c r="J2275" s="1">
        <f ca="1">IFERROR(__xludf.DUMMYFUNCTION("""COMPUTED_VALUE"""),1)</f>
        <v>1</v>
      </c>
      <c r="K2275" s="1" t="str">
        <f ca="1">IFERROR(__xludf.DUMMYFUNCTION("""COMPUTED_VALUE"""),"Fully Remote with Options to travel as and when needed")</f>
        <v>Fully Remote with Options to travel as and when needed</v>
      </c>
      <c r="L22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7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75" s="1" t="str">
        <f ca="1">IFERROR(__xludf.DUMMYFUNCTION("""COMPUTED_VALUE"""),"Teaching in any of the institutes/colleges/online or offline, Manage and drive End-to-End Projects or Products, Look deeply into Data and generate insights, Entrepreneur or Start Up")</f>
        <v>Teaching in any of the institutes/colleges/online or offline, Manage and drive End-to-End Projects or Products, Look deeply into Data and generate insights, Entrepreneur or Start Up</v>
      </c>
      <c r="O2275" s="1" t="str">
        <f ca="1">IFERROR(__xludf.DUMMYFUNCTION("""COMPUTED_VALUE"""),"Manager who explains what is expected, sets a goal and helps achieve it")</f>
        <v>Manager who explains what is expected, sets a goal and helps achieve it</v>
      </c>
      <c r="P2275" s="1" t="str">
        <f ca="1">IFERROR(__xludf.DUMMYFUNCTION("""COMPUTED_VALUE"""),"Work alone")</f>
        <v>Work alone</v>
      </c>
      <c r="Q2275" s="1" t="str">
        <f ca="1">IFERROR(__xludf.DUMMYFUNCTION("""COMPUTED_VALUE"""),"Yes, I Understand this is gonna happen everywhere")</f>
        <v>Yes, I Understand this is gonna happen everywhere</v>
      </c>
      <c r="R2275" s="1" t="str">
        <f ca="1">IFERROR(__xludf.DUMMYFUNCTION("""COMPUTED_VALUE"""),"No way")</f>
        <v>No way</v>
      </c>
      <c r="S2275" s="1" t="str">
        <f ca="1">IFERROR(__xludf.DUMMYFUNCTION("""COMPUTED_VALUE"""),"harshithamethukula@gmail.com")</f>
        <v>harshithamethukula@gmail.com</v>
      </c>
    </row>
    <row r="2276" spans="1:19" ht="12.5" x14ac:dyDescent="0.25">
      <c r="A2276" s="2">
        <f ca="1">IFERROR(__xludf.DUMMYFUNCTION("""COMPUTED_VALUE"""),45063.981768287)</f>
        <v>45063.981768286998</v>
      </c>
      <c r="B2276" s="1" t="str">
        <f ca="1">IFERROR(__xludf.DUMMYFUNCTION("""COMPUTED_VALUE"""),"India")</f>
        <v>India</v>
      </c>
      <c r="C2276" s="1">
        <f ca="1">IFERROR(__xludf.DUMMYFUNCTION("""COMPUTED_VALUE"""),605008)</f>
        <v>605008</v>
      </c>
      <c r="D2276" s="1" t="str">
        <f ca="1">IFERROR(__xludf.DUMMYFUNCTION("""COMPUTED_VALUE"""),"Male")</f>
        <v>Male</v>
      </c>
      <c r="E2276" s="1" t="str">
        <f ca="1">IFERROR(__xludf.DUMMYFUNCTION("""COMPUTED_VALUE"""),"Social Media like LinkedIn")</f>
        <v>Social Media like LinkedIn</v>
      </c>
      <c r="F2276" s="1" t="str">
        <f ca="1">IFERROR(__xludf.DUMMYFUNCTION("""COMPUTED_VALUE"""),"Yes, I will earn and do that")</f>
        <v>Yes, I will earn and do that</v>
      </c>
      <c r="G2276" s="1" t="str">
        <f ca="1">IFERROR(__xludf.DUMMYFUNCTION("""COMPUTED_VALUE"""),"Will work for 3 years or more")</f>
        <v>Will work for 3 years or more</v>
      </c>
      <c r="H2276" s="1" t="str">
        <f ca="1">IFERROR(__xludf.DUMMYFUNCTION("""COMPUTED_VALUE"""),"No")</f>
        <v>No</v>
      </c>
      <c r="I2276" s="1" t="str">
        <f ca="1">IFERROR(__xludf.DUMMYFUNCTION("""COMPUTED_VALUE"""),"Will NOT work for them")</f>
        <v>Will NOT work for them</v>
      </c>
      <c r="J2276" s="1">
        <f ca="1">IFERROR(__xludf.DUMMYFUNCTION("""COMPUTED_VALUE"""),3)</f>
        <v>3</v>
      </c>
      <c r="K2276" s="1" t="str">
        <f ca="1">IFERROR(__xludf.DUMMYFUNCTION("""COMPUTED_VALUE"""),"Fully Remote with Options to travel as and when needed")</f>
        <v>Fully Remote with Options to travel as and when needed</v>
      </c>
      <c r="L22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76" s="1" t="str">
        <f ca="1">IFERROR(__xludf.DUMMYFUNCTION("""COMPUTED_VALUE"""),"Build and develop a Team, Work in a BPO setup for some well known client, Work as a freelancer and do my thing my way, Become a content Creator in some platform")</f>
        <v>Build and develop a Team, Work in a BPO setup for some well known client, Work as a freelancer and do my thing my way, Become a content Creator in some platform</v>
      </c>
      <c r="O2276" s="1" t="str">
        <f ca="1">IFERROR(__xludf.DUMMYFUNCTION("""COMPUTED_VALUE"""),"Manager who sets goal and helps me achieve it")</f>
        <v>Manager who sets goal and helps me achieve it</v>
      </c>
      <c r="P2276" s="1" t="str">
        <f ca="1">IFERROR(__xludf.DUMMYFUNCTION("""COMPUTED_VALUE"""),"Work alone")</f>
        <v>Work alone</v>
      </c>
      <c r="Q2276" s="1" t="str">
        <f ca="1">IFERROR(__xludf.DUMMYFUNCTION("""COMPUTED_VALUE"""),"No")</f>
        <v>No</v>
      </c>
      <c r="R2276" s="1" t="str">
        <f ca="1">IFERROR(__xludf.DUMMYFUNCTION("""COMPUTED_VALUE"""),"This will be hard to do, but if it is the right company I would try")</f>
        <v>This will be hard to do, but if it is the right company I would try</v>
      </c>
      <c r="S2276" s="1" t="str">
        <f ca="1">IFERROR(__xludf.DUMMYFUNCTION("""COMPUTED_VALUE"""),"vikramchanduvemulapalli00@gmail.com")</f>
        <v>vikramchanduvemulapalli00@gmail.com</v>
      </c>
    </row>
    <row r="2277" spans="1:19" ht="12.5" x14ac:dyDescent="0.25">
      <c r="A2277" s="2">
        <f ca="1">IFERROR(__xludf.DUMMYFUNCTION("""COMPUTED_VALUE"""),45063.9828873495)</f>
        <v>45063.982887349499</v>
      </c>
      <c r="B2277" s="1" t="str">
        <f ca="1">IFERROR(__xludf.DUMMYFUNCTION("""COMPUTED_VALUE"""),"India")</f>
        <v>India</v>
      </c>
      <c r="C2277" s="1">
        <f ca="1">IFERROR(__xludf.DUMMYFUNCTION("""COMPUTED_VALUE"""),517501)</f>
        <v>517501</v>
      </c>
      <c r="D2277" s="1" t="str">
        <f ca="1">IFERROR(__xludf.DUMMYFUNCTION("""COMPUTED_VALUE"""),"Male")</f>
        <v>Male</v>
      </c>
      <c r="E2277" s="1" t="str">
        <f ca="1">IFERROR(__xludf.DUMMYFUNCTION("""COMPUTED_VALUE"""),"My Parents")</f>
        <v>My Parents</v>
      </c>
      <c r="F2277" s="1" t="str">
        <f ca="1">IFERROR(__xludf.DUMMYFUNCTION("""COMPUTED_VALUE"""),"Yes, I will earn and do that")</f>
        <v>Yes, I will earn and do that</v>
      </c>
      <c r="G2277" s="1" t="str">
        <f ca="1">IFERROR(__xludf.DUMMYFUNCTION("""COMPUTED_VALUE"""),"Will work for 3 years or more")</f>
        <v>Will work for 3 years or more</v>
      </c>
      <c r="H2277" s="1" t="str">
        <f ca="1">IFERROR(__xludf.DUMMYFUNCTION("""COMPUTED_VALUE"""),"No")</f>
        <v>No</v>
      </c>
      <c r="I2277" s="1" t="str">
        <f ca="1">IFERROR(__xludf.DUMMYFUNCTION("""COMPUTED_VALUE"""),"Will NOT work for them")</f>
        <v>Will NOT work for them</v>
      </c>
      <c r="J2277" s="1">
        <f ca="1">IFERROR(__xludf.DUMMYFUNCTION("""COMPUTED_VALUE"""),2)</f>
        <v>2</v>
      </c>
      <c r="K2277" s="1" t="str">
        <f ca="1">IFERROR(__xludf.DUMMYFUNCTION("""COMPUTED_VALUE"""),"Fully Remote with No option to visit offices")</f>
        <v>Fully Remote with No option to visit offices</v>
      </c>
      <c r="L2277" s="1" t="str">
        <f ca="1">IFERROR(__xludf.DUMMYFUNCTION("""COMPUTED_VALUE"""),"Employer who appreciates learning and enables that environment")</f>
        <v>Employer who appreciates learning and enables that environment</v>
      </c>
      <c r="M227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77" s="1" t="str">
        <f ca="1">IFERROR(__xludf.DUMMYFUNCTION("""COMPUTED_VALUE"""),"Design and Creative strategy in any company, Manage and drive End-to-End Projects or Products, Design and Develop amazing software, Entrepreneur or Start Up")</f>
        <v>Design and Creative strategy in any company, Manage and drive End-to-End Projects or Products, Design and Develop amazing software, Entrepreneur or Start Up</v>
      </c>
      <c r="O2277" s="1" t="str">
        <f ca="1">IFERROR(__xludf.DUMMYFUNCTION("""COMPUTED_VALUE"""),"Manager who clearly describes what she/he needs")</f>
        <v>Manager who clearly describes what she/he needs</v>
      </c>
      <c r="P2277" s="1" t="str">
        <f ca="1">IFERROR(__xludf.DUMMYFUNCTION("""COMPUTED_VALUE"""),"Work with 2 to 3 people in my team, Work with 5 to 6 people in my team")</f>
        <v>Work with 2 to 3 people in my team, Work with 5 to 6 people in my team</v>
      </c>
      <c r="Q2277" s="1" t="str">
        <f ca="1">IFERROR(__xludf.DUMMYFUNCTION("""COMPUTED_VALUE"""),"Yes, I Understand this is gonna happen everywhere")</f>
        <v>Yes, I Understand this is gonna happen everywhere</v>
      </c>
      <c r="R2277" s="1" t="str">
        <f ca="1">IFERROR(__xludf.DUMMYFUNCTION("""COMPUTED_VALUE"""),"This will be hard to do, but if it is the right company I would try")</f>
        <v>This will be hard to do, but if it is the right company I would try</v>
      </c>
      <c r="S2277" s="1" t="str">
        <f ca="1">IFERROR(__xludf.DUMMYFUNCTION("""COMPUTED_VALUE"""),"smartcharanraj123@gmail.com")</f>
        <v>smartcharanraj123@gmail.com</v>
      </c>
    </row>
    <row r="2278" spans="1:19" ht="12.5" x14ac:dyDescent="0.25">
      <c r="A2278" s="2">
        <f ca="1">IFERROR(__xludf.DUMMYFUNCTION("""COMPUTED_VALUE"""),45063.9834936574)</f>
        <v>45063.983493657397</v>
      </c>
      <c r="B2278" s="1" t="str">
        <f ca="1">IFERROR(__xludf.DUMMYFUNCTION("""COMPUTED_VALUE"""),"India")</f>
        <v>India</v>
      </c>
      <c r="C2278" s="1">
        <f ca="1">IFERROR(__xludf.DUMMYFUNCTION("""COMPUTED_VALUE"""),580030)</f>
        <v>580030</v>
      </c>
      <c r="D2278" s="1" t="str">
        <f ca="1">IFERROR(__xludf.DUMMYFUNCTION("""COMPUTED_VALUE"""),"Female")</f>
        <v>Female</v>
      </c>
      <c r="E2278" s="1" t="str">
        <f ca="1">IFERROR(__xludf.DUMMYFUNCTION("""COMPUTED_VALUE"""),"Influencers who had successful careers")</f>
        <v>Influencers who had successful careers</v>
      </c>
      <c r="F2278" s="1" t="str">
        <f ca="1">IFERROR(__xludf.DUMMYFUNCTION("""COMPUTED_VALUE"""),"Yes, I will earn and do that")</f>
        <v>Yes, I will earn and do that</v>
      </c>
      <c r="G2278" s="1" t="str">
        <f ca="1">IFERROR(__xludf.DUMMYFUNCTION("""COMPUTED_VALUE"""),"This will be hard to do, but if it is the right company I would try")</f>
        <v>This will be hard to do, but if it is the right company I would try</v>
      </c>
      <c r="H2278" s="1" t="str">
        <f ca="1">IFERROR(__xludf.DUMMYFUNCTION("""COMPUTED_VALUE"""),"No")</f>
        <v>No</v>
      </c>
      <c r="I2278" s="1" t="str">
        <f ca="1">IFERROR(__xludf.DUMMYFUNCTION("""COMPUTED_VALUE"""),"Will NOT work for them")</f>
        <v>Will NOT work for them</v>
      </c>
      <c r="J2278" s="1">
        <f ca="1">IFERROR(__xludf.DUMMYFUNCTION("""COMPUTED_VALUE"""),5)</f>
        <v>5</v>
      </c>
      <c r="K2278" s="1" t="str">
        <f ca="1">IFERROR(__xludf.DUMMYFUNCTION("""COMPUTED_VALUE"""),"Every Day Office Environment")</f>
        <v>Every Day Office Environment</v>
      </c>
      <c r="L22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7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78" s="1" t="str">
        <f ca="1">IFERROR(__xludf.DUMMYFUNCTION("""COMPUTED_VALUE"""),"Teaching in any of the institutes/colleges/online or offline, Manage and drive End-to-End Projects or Products, Design and Develop amazing software, Look deeply into Data and generate insights")</f>
        <v>Teaching in any of the institutes/colleges/online or offline, Manage and drive End-to-End Projects or Products, Design and Develop amazing software, Look deeply into Data and generate insights</v>
      </c>
      <c r="O2278" s="1" t="str">
        <f ca="1">IFERROR(__xludf.DUMMYFUNCTION("""COMPUTED_VALUE"""),"Manager who explains what is expected, sets a goal and helps achieve it")</f>
        <v>Manager who explains what is expected, sets a goal and helps achieve it</v>
      </c>
      <c r="P2278" s="1" t="str">
        <f ca="1">IFERROR(__xludf.DUMMYFUNCTION("""COMPUTED_VALUE"""),"Work with 2 to 3 people in my team, Work with 5 to 6 people in my team")</f>
        <v>Work with 2 to 3 people in my team, Work with 5 to 6 people in my team</v>
      </c>
      <c r="Q2278" s="1" t="str">
        <f ca="1">IFERROR(__xludf.DUMMYFUNCTION("""COMPUTED_VALUE"""),"Yes, I Understand this is gonna happen everywhere")</f>
        <v>Yes, I Understand this is gonna happen everywhere</v>
      </c>
      <c r="R2278" s="1" t="str">
        <f ca="1">IFERROR(__xludf.DUMMYFUNCTION("""COMPUTED_VALUE"""),"This will be hard to do, but if it is the right company I would try")</f>
        <v>This will be hard to do, but if it is the right company I would try</v>
      </c>
      <c r="S2278" s="1" t="str">
        <f ca="1">IFERROR(__xludf.DUMMYFUNCTION("""COMPUTED_VALUE"""),"pratikshaprasanna19@gmail.com")</f>
        <v>pratikshaprasanna19@gmail.com</v>
      </c>
    </row>
    <row r="2279" spans="1:19" ht="12.5" x14ac:dyDescent="0.25">
      <c r="A2279" s="2">
        <f ca="1">IFERROR(__xludf.DUMMYFUNCTION("""COMPUTED_VALUE"""),45063.9922760763)</f>
        <v>45063.9922760763</v>
      </c>
      <c r="B2279" s="1" t="str">
        <f ca="1">IFERROR(__xludf.DUMMYFUNCTION("""COMPUTED_VALUE"""),"India")</f>
        <v>India</v>
      </c>
      <c r="C2279" s="1">
        <f ca="1">IFERROR(__xludf.DUMMYFUNCTION("""COMPUTED_VALUE"""),534211)</f>
        <v>534211</v>
      </c>
      <c r="D2279" s="1" t="str">
        <f ca="1">IFERROR(__xludf.DUMMYFUNCTION("""COMPUTED_VALUE"""),"Female")</f>
        <v>Female</v>
      </c>
      <c r="E2279" s="1" t="str">
        <f ca="1">IFERROR(__xludf.DUMMYFUNCTION("""COMPUTED_VALUE"""),"Influencers who had successful careers")</f>
        <v>Influencers who had successful careers</v>
      </c>
      <c r="F2279" s="1" t="str">
        <f ca="1">IFERROR(__xludf.DUMMYFUNCTION("""COMPUTED_VALUE"""),"Yes, I will earn and do that")</f>
        <v>Yes, I will earn and do that</v>
      </c>
      <c r="G2279" s="1" t="str">
        <f ca="1">IFERROR(__xludf.DUMMYFUNCTION("""COMPUTED_VALUE"""),"Will work for 3 years or more")</f>
        <v>Will work for 3 years or more</v>
      </c>
      <c r="H2279" s="1" t="str">
        <f ca="1">IFERROR(__xludf.DUMMYFUNCTION("""COMPUTED_VALUE"""),"Yes")</f>
        <v>Yes</v>
      </c>
      <c r="I2279" s="1" t="str">
        <f ca="1">IFERROR(__xludf.DUMMYFUNCTION("""COMPUTED_VALUE"""),"Will NOT work for them")</f>
        <v>Will NOT work for them</v>
      </c>
      <c r="J2279" s="1">
        <f ca="1">IFERROR(__xludf.DUMMYFUNCTION("""COMPUTED_VALUE"""),3)</f>
        <v>3</v>
      </c>
      <c r="K2279" s="1" t="str">
        <f ca="1">IFERROR(__xludf.DUMMYFUNCTION("""COMPUTED_VALUE"""),"Fully Remote with Options to travel as and when needed")</f>
        <v>Fully Remote with Options to travel as and when needed</v>
      </c>
      <c r="L2279" s="1" t="str">
        <f ca="1">IFERROR(__xludf.DUMMYFUNCTION("""COMPUTED_VALUE"""),"Employer who appreciates learning and enables that environment")</f>
        <v>Employer who appreciates learning and enables that environment</v>
      </c>
      <c r="M227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279" s="1" t="str">
        <f ca="1">IFERROR(__xludf.DUMMYFUNCTION("""COMPUTED_VALUE"""),"Design and Creative strategy in any company, Business Operations in any organization, Design and Develop amazing software, An Artificial Intelligence Specialist / Talking to Robots")</f>
        <v>Design and Creative strategy in any company, Business Operations in any organization, Design and Develop amazing software, An Artificial Intelligence Specialist / Talking to Robots</v>
      </c>
      <c r="O2279" s="1" t="str">
        <f ca="1">IFERROR(__xludf.DUMMYFUNCTION("""COMPUTED_VALUE"""),"Manager who explains what is expected, sets a goal and helps achieve it")</f>
        <v>Manager who explains what is expected, sets a goal and helps achieve it</v>
      </c>
      <c r="P2279" s="1" t="str">
        <f ca="1">IFERROR(__xludf.DUMMYFUNCTION("""COMPUTED_VALUE"""),"Work with 5 to 6 people in my team")</f>
        <v>Work with 5 to 6 people in my team</v>
      </c>
      <c r="Q2279" s="1" t="str">
        <f ca="1">IFERROR(__xludf.DUMMYFUNCTION("""COMPUTED_VALUE"""),"Yes, I Understand this is gonna happen everywhere")</f>
        <v>Yes, I Understand this is gonna happen everywhere</v>
      </c>
      <c r="R2279" s="1" t="str">
        <f ca="1">IFERROR(__xludf.DUMMYFUNCTION("""COMPUTED_VALUE"""),"No way")</f>
        <v>No way</v>
      </c>
      <c r="S2279" s="1" t="str">
        <f ca="1">IFERROR(__xludf.DUMMYFUNCTION("""COMPUTED_VALUE"""),"sulakshana.undavalli3535@gmail.com")</f>
        <v>sulakshana.undavalli3535@gmail.com</v>
      </c>
    </row>
    <row r="2280" spans="1:19" ht="12.5" x14ac:dyDescent="0.25">
      <c r="A2280" s="2">
        <f ca="1">IFERROR(__xludf.DUMMYFUNCTION("""COMPUTED_VALUE"""),45063.9926944328)</f>
        <v>45063.992694432804</v>
      </c>
      <c r="B2280" s="1" t="str">
        <f ca="1">IFERROR(__xludf.DUMMYFUNCTION("""COMPUTED_VALUE"""),"India")</f>
        <v>India</v>
      </c>
      <c r="C2280" s="1">
        <f ca="1">IFERROR(__xludf.DUMMYFUNCTION("""COMPUTED_VALUE"""),518533)</f>
        <v>518533</v>
      </c>
      <c r="D2280" s="1" t="str">
        <f ca="1">IFERROR(__xludf.DUMMYFUNCTION("""COMPUTED_VALUE"""),"Female")</f>
        <v>Female</v>
      </c>
      <c r="E2280" s="1" t="str">
        <f ca="1">IFERROR(__xludf.DUMMYFUNCTION("""COMPUTED_VALUE"""),"My Parents")</f>
        <v>My Parents</v>
      </c>
      <c r="F2280" s="1" t="str">
        <f ca="1">IFERROR(__xludf.DUMMYFUNCTION("""COMPUTED_VALUE"""),"No I would not be pursuing Higher Education outside of India")</f>
        <v>No I would not be pursuing Higher Education outside of India</v>
      </c>
      <c r="G2280" s="1" t="str">
        <f ca="1">IFERROR(__xludf.DUMMYFUNCTION("""COMPUTED_VALUE"""),"Will work for 3 years or more")</f>
        <v>Will work for 3 years or more</v>
      </c>
      <c r="H2280" s="1" t="str">
        <f ca="1">IFERROR(__xludf.DUMMYFUNCTION("""COMPUTED_VALUE"""),"No")</f>
        <v>No</v>
      </c>
      <c r="I2280" s="1" t="str">
        <f ca="1">IFERROR(__xludf.DUMMYFUNCTION("""COMPUTED_VALUE"""),"Will NOT work for them")</f>
        <v>Will NOT work for them</v>
      </c>
      <c r="J2280" s="1">
        <f ca="1">IFERROR(__xludf.DUMMYFUNCTION("""COMPUTED_VALUE"""),6)</f>
        <v>6</v>
      </c>
      <c r="K2280" s="1" t="str">
        <f ca="1">IFERROR(__xludf.DUMMYFUNCTION("""COMPUTED_VALUE"""),"Hybrid Working Environment with less than 3 days a month at office")</f>
        <v>Hybrid Working Environment with less than 3 days a month at office</v>
      </c>
      <c r="L2280" s="1" t="str">
        <f ca="1">IFERROR(__xludf.DUMMYFUNCTION("""COMPUTED_VALUE"""),"Employer who appreciates learning and enables that environment")</f>
        <v>Employer who appreciates learning and enables that environment</v>
      </c>
      <c r="M2280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2280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2280" s="1" t="str">
        <f ca="1">IFERROR(__xludf.DUMMYFUNCTION("""COMPUTED_VALUE"""),"Manager who explains what is expected, sets a goal and helps achieve it")</f>
        <v>Manager who explains what is expected, sets a goal and helps achieve it</v>
      </c>
      <c r="P2280" s="1" t="str">
        <f ca="1">IFERROR(__xludf.DUMMYFUNCTION("""COMPUTED_VALUE"""),"Work with 2 to 3 people in my team")</f>
        <v>Work with 2 to 3 people in my team</v>
      </c>
      <c r="Q2280" s="1" t="str">
        <f ca="1">IFERROR(__xludf.DUMMYFUNCTION("""COMPUTED_VALUE"""),"Yes, I Understand this is gonna happen everywhere")</f>
        <v>Yes, I Understand this is gonna happen everywhere</v>
      </c>
      <c r="R2280" s="1" t="str">
        <f ca="1">IFERROR(__xludf.DUMMYFUNCTION("""COMPUTED_VALUE"""),"This will be hard to do, but if it is the right company I would try")</f>
        <v>This will be hard to do, but if it is the right company I would try</v>
      </c>
      <c r="S2280" s="1" t="str">
        <f ca="1">IFERROR(__xludf.DUMMYFUNCTION("""COMPUTED_VALUE"""),"palurulp@gmail.com")</f>
        <v>palurulp@gmail.com</v>
      </c>
    </row>
    <row r="2281" spans="1:19" ht="12.5" x14ac:dyDescent="0.25">
      <c r="A2281" s="2">
        <f ca="1">IFERROR(__xludf.DUMMYFUNCTION("""COMPUTED_VALUE"""),45063.9934159838)</f>
        <v>45063.993415983801</v>
      </c>
      <c r="B2281" s="1" t="str">
        <f ca="1">IFERROR(__xludf.DUMMYFUNCTION("""COMPUTED_VALUE"""),"India")</f>
        <v>India</v>
      </c>
      <c r="C2281" s="1">
        <f ca="1">IFERROR(__xludf.DUMMYFUNCTION("""COMPUTED_VALUE"""),416510)</f>
        <v>416510</v>
      </c>
      <c r="D2281" s="1" t="str">
        <f ca="1">IFERROR(__xludf.DUMMYFUNCTION("""COMPUTED_VALUE"""),"Male")</f>
        <v>Male</v>
      </c>
      <c r="E2281" s="1" t="str">
        <f ca="1">IFERROR(__xludf.DUMMYFUNCTION("""COMPUTED_VALUE"""),"My Parents")</f>
        <v>My Parents</v>
      </c>
      <c r="F2281" s="1" t="str">
        <f ca="1">IFERROR(__xludf.DUMMYFUNCTION("""COMPUTED_VALUE"""),"No I would not be pursuing Higher Education outside of India")</f>
        <v>No I would not be pursuing Higher Education outside of India</v>
      </c>
      <c r="G2281" s="1" t="str">
        <f ca="1">IFERROR(__xludf.DUMMYFUNCTION("""COMPUTED_VALUE"""),"No way")</f>
        <v>No way</v>
      </c>
      <c r="H2281" s="1" t="str">
        <f ca="1">IFERROR(__xludf.DUMMYFUNCTION("""COMPUTED_VALUE"""),"No")</f>
        <v>No</v>
      </c>
      <c r="I2281" s="1" t="str">
        <f ca="1">IFERROR(__xludf.DUMMYFUNCTION("""COMPUTED_VALUE"""),"Will NOT work for them")</f>
        <v>Will NOT work for them</v>
      </c>
      <c r="J2281" s="1">
        <f ca="1">IFERROR(__xludf.DUMMYFUNCTION("""COMPUTED_VALUE"""),5)</f>
        <v>5</v>
      </c>
      <c r="K2281" s="1" t="str">
        <f ca="1">IFERROR(__xludf.DUMMYFUNCTION("""COMPUTED_VALUE"""),"Hybrid Working Environment with less than 3 days a month at office")</f>
        <v>Hybrid Working Environment with less than 3 days a month at office</v>
      </c>
      <c r="L2281" s="1" t="str">
        <f ca="1">IFERROR(__xludf.DUMMYFUNCTION("""COMPUTED_VALUE"""),"Employer who appreciates learning and enables that environment")</f>
        <v>Employer who appreciates learning and enables that environment</v>
      </c>
      <c r="M228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81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281" s="1" t="str">
        <f ca="1">IFERROR(__xludf.DUMMYFUNCTION("""COMPUTED_VALUE"""),"Manager who clearly describes what she/he needs")</f>
        <v>Manager who clearly describes what she/he needs</v>
      </c>
      <c r="P2281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281" s="1" t="str">
        <f ca="1">IFERROR(__xludf.DUMMYFUNCTION("""COMPUTED_VALUE"""),"No")</f>
        <v>No</v>
      </c>
      <c r="R2281" s="1" t="str">
        <f ca="1">IFERROR(__xludf.DUMMYFUNCTION("""COMPUTED_VALUE"""),"No way")</f>
        <v>No way</v>
      </c>
      <c r="S2281" s="1" t="str">
        <f ca="1">IFERROR(__xludf.DUMMYFUNCTION("""COMPUTED_VALUE"""),"mibandatharv@gmail.com")</f>
        <v>mibandatharv@gmail.com</v>
      </c>
    </row>
    <row r="2282" spans="1:19" ht="12.5" x14ac:dyDescent="0.25">
      <c r="A2282" s="2">
        <f ca="1">IFERROR(__xludf.DUMMYFUNCTION("""COMPUTED_VALUE"""),45064.0030847337)</f>
        <v>45064.003084733697</v>
      </c>
      <c r="B2282" s="1" t="str">
        <f ca="1">IFERROR(__xludf.DUMMYFUNCTION("""COMPUTED_VALUE"""),"India")</f>
        <v>India</v>
      </c>
      <c r="C2282" s="1">
        <f ca="1">IFERROR(__xludf.DUMMYFUNCTION("""COMPUTED_VALUE"""),400606)</f>
        <v>400606</v>
      </c>
      <c r="D2282" s="1" t="str">
        <f ca="1">IFERROR(__xludf.DUMMYFUNCTION("""COMPUTED_VALUE"""),"Male")</f>
        <v>Male</v>
      </c>
      <c r="E2282" s="1" t="str">
        <f ca="1">IFERROR(__xludf.DUMMYFUNCTION("""COMPUTED_VALUE"""),"Influencers who had successful careers")</f>
        <v>Influencers who had successful careers</v>
      </c>
      <c r="F2282" s="1" t="str">
        <f ca="1">IFERROR(__xludf.DUMMYFUNCTION("""COMPUTED_VALUE"""),"Yes, I will earn and do that")</f>
        <v>Yes, I will earn and do that</v>
      </c>
      <c r="G2282" s="1" t="str">
        <f ca="1">IFERROR(__xludf.DUMMYFUNCTION("""COMPUTED_VALUE"""),"This will be hard to do, but if it is the right company I would try")</f>
        <v>This will be hard to do, but if it is the right company I would try</v>
      </c>
      <c r="H2282" s="1" t="str">
        <f ca="1">IFERROR(__xludf.DUMMYFUNCTION("""COMPUTED_VALUE"""),"No")</f>
        <v>No</v>
      </c>
      <c r="I2282" s="1" t="str">
        <f ca="1">IFERROR(__xludf.DUMMYFUNCTION("""COMPUTED_VALUE"""),"Will work for them")</f>
        <v>Will work for them</v>
      </c>
      <c r="J2282" s="1">
        <f ca="1">IFERROR(__xludf.DUMMYFUNCTION("""COMPUTED_VALUE"""),5)</f>
        <v>5</v>
      </c>
      <c r="K2282" s="1" t="str">
        <f ca="1">IFERROR(__xludf.DUMMYFUNCTION("""COMPUTED_VALUE"""),"Hybrid Working Environment with less than 3 days a month at office")</f>
        <v>Hybrid Working Environment with less than 3 days a month at office</v>
      </c>
      <c r="L22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8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282" s="1" t="str">
        <f ca="1">IFERROR(__xludf.DUMMYFUNCTION("""COMPUTED_VALUE"""),"Teaching in any of the institutes/colleges/online or offline, Look deeply into Data and generate insights, Work in a BPO setup for some well known client, Work as a freelancer and do my thing my way")</f>
        <v>Teaching in any of the institutes/colleges/online or offline, Look deeply into Data and generate insights, Work in a BPO setup for some well known client, Work as a freelancer and do my thing my way</v>
      </c>
      <c r="O2282" s="1" t="str">
        <f ca="1">IFERROR(__xludf.DUMMYFUNCTION("""COMPUTED_VALUE"""),"Manager who sets targets and expects me to achieve it")</f>
        <v>Manager who sets targets and expects me to achieve it</v>
      </c>
      <c r="P2282" s="1" t="str">
        <f ca="1">IFERROR(__xludf.DUMMYFUNCTION("""COMPUTED_VALUE"""),"Work with 5 to 6 people in my team")</f>
        <v>Work with 5 to 6 people in my team</v>
      </c>
      <c r="Q2282" s="1" t="str">
        <f ca="1">IFERROR(__xludf.DUMMYFUNCTION("""COMPUTED_VALUE"""),"I have NO other choice")</f>
        <v>I have NO other choice</v>
      </c>
      <c r="R2282" s="1" t="str">
        <f ca="1">IFERROR(__xludf.DUMMYFUNCTION("""COMPUTED_VALUE"""),"This will be hard to do, but if it is the right company I would try")</f>
        <v>This will be hard to do, but if it is the right company I would try</v>
      </c>
      <c r="S2282" s="1" t="str">
        <f ca="1">IFERROR(__xludf.DUMMYFUNCTION("""COMPUTED_VALUE"""),"kalyanitanawade17@gmail.com")</f>
        <v>kalyanitanawade17@gmail.com</v>
      </c>
    </row>
    <row r="2283" spans="1:19" ht="12.5" x14ac:dyDescent="0.25">
      <c r="A2283" s="2">
        <f ca="1">IFERROR(__xludf.DUMMYFUNCTION("""COMPUTED_VALUE"""),45064.0046909143)</f>
        <v>45064.004690914298</v>
      </c>
      <c r="B2283" s="1" t="str">
        <f ca="1">IFERROR(__xludf.DUMMYFUNCTION("""COMPUTED_VALUE"""),"India")</f>
        <v>India</v>
      </c>
      <c r="C2283" s="1">
        <f ca="1">IFERROR(__xludf.DUMMYFUNCTION("""COMPUTED_VALUE"""),583135)</f>
        <v>583135</v>
      </c>
      <c r="D2283" s="1" t="str">
        <f ca="1">IFERROR(__xludf.DUMMYFUNCTION("""COMPUTED_VALUE"""),"Male")</f>
        <v>Male</v>
      </c>
      <c r="E2283" s="1" t="str">
        <f ca="1">IFERROR(__xludf.DUMMYFUNCTION("""COMPUTED_VALUE"""),"People who have changed the world for better")</f>
        <v>People who have changed the world for better</v>
      </c>
      <c r="F2283" s="1" t="str">
        <f ca="1">IFERROR(__xludf.DUMMYFUNCTION("""COMPUTED_VALUE"""),"Yes, I will earn and do that")</f>
        <v>Yes, I will earn and do that</v>
      </c>
      <c r="G2283" s="1" t="str">
        <f ca="1">IFERROR(__xludf.DUMMYFUNCTION("""COMPUTED_VALUE"""),"This will be hard to do, but if it is the right company I would try")</f>
        <v>This will be hard to do, but if it is the right company I would try</v>
      </c>
      <c r="H2283" s="1" t="str">
        <f ca="1">IFERROR(__xludf.DUMMYFUNCTION("""COMPUTED_VALUE"""),"No")</f>
        <v>No</v>
      </c>
      <c r="I2283" s="1" t="str">
        <f ca="1">IFERROR(__xludf.DUMMYFUNCTION("""COMPUTED_VALUE"""),"Will NOT work for them")</f>
        <v>Will NOT work for them</v>
      </c>
      <c r="J2283" s="1">
        <f ca="1">IFERROR(__xludf.DUMMYFUNCTION("""COMPUTED_VALUE"""),1)</f>
        <v>1</v>
      </c>
      <c r="K2283" s="1" t="str">
        <f ca="1">IFERROR(__xludf.DUMMYFUNCTION("""COMPUTED_VALUE"""),"Fully Remote with Options to travel as and when needed")</f>
        <v>Fully Remote with Options to travel as and when needed</v>
      </c>
      <c r="L2283" s="1" t="str">
        <f ca="1">IFERROR(__xludf.DUMMYFUNCTION("""COMPUTED_VALUE"""),"Employer who appreciates learning and enables that environment")</f>
        <v>Employer who appreciates learning and enables that environment</v>
      </c>
      <c r="M2283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283" s="1" t="str">
        <f ca="1">IFERROR(__xludf.DUMMYFUNCTION("""COMPUTED_VALUE"""),"Manage and drive End-to-End Projects or Products, Work as a freelancer and do my thing my way, Entrepreneur or Start Up, I Want to sell things/Sales")</f>
        <v>Manage and drive End-to-End Projects or Products, Work as a freelancer and do my thing my way, Entrepreneur or Start Up, I Want to sell things/Sales</v>
      </c>
      <c r="O2283" s="1" t="str">
        <f ca="1">IFERROR(__xludf.DUMMYFUNCTION("""COMPUTED_VALUE"""),"Manager who explains what is expected, sets a goal and helps achieve it")</f>
        <v>Manager who explains what is expected, sets a goal and helps achieve it</v>
      </c>
      <c r="P2283" s="1" t="str">
        <f ca="1">IFERROR(__xludf.DUMMYFUNCTION("""COMPUTED_VALUE"""),"Work with 5 to 6 people in my team")</f>
        <v>Work with 5 to 6 people in my team</v>
      </c>
      <c r="Q2283" s="1" t="str">
        <f ca="1">IFERROR(__xludf.DUMMYFUNCTION("""COMPUTED_VALUE"""),"Yes, I Understand this is gonna happen everywhere")</f>
        <v>Yes, I Understand this is gonna happen everywhere</v>
      </c>
      <c r="R2283" s="1" t="str">
        <f ca="1">IFERROR(__xludf.DUMMYFUNCTION("""COMPUTED_VALUE"""),"This will be hard to do, but if it is the right company I would try")</f>
        <v>This will be hard to do, but if it is the right company I would try</v>
      </c>
      <c r="S2283" s="1" t="str">
        <f ca="1">IFERROR(__xludf.DUMMYFUNCTION("""COMPUTED_VALUE"""),"shivasharanagb@gmail.com")</f>
        <v>shivasharanagb@gmail.com</v>
      </c>
    </row>
    <row r="2284" spans="1:19" ht="12.5" x14ac:dyDescent="0.25">
      <c r="A2284" s="2">
        <f ca="1">IFERROR(__xludf.DUMMYFUNCTION("""COMPUTED_VALUE"""),45064.0061048379)</f>
        <v>45064.006104837899</v>
      </c>
      <c r="B2284" s="1" t="str">
        <f ca="1">IFERROR(__xludf.DUMMYFUNCTION("""COMPUTED_VALUE"""),"India")</f>
        <v>India</v>
      </c>
      <c r="C2284" s="1">
        <f ca="1">IFERROR(__xludf.DUMMYFUNCTION("""COMPUTED_VALUE"""),173214)</f>
        <v>173214</v>
      </c>
      <c r="D2284" s="1" t="str">
        <f ca="1">IFERROR(__xludf.DUMMYFUNCTION("""COMPUTED_VALUE"""),"Female")</f>
        <v>Female</v>
      </c>
      <c r="E2284" s="1" t="str">
        <f ca="1">IFERROR(__xludf.DUMMYFUNCTION("""COMPUTED_VALUE"""),"People who have changed the world for better")</f>
        <v>People who have changed the world for better</v>
      </c>
      <c r="F2284" s="1" t="str">
        <f ca="1">IFERROR(__xludf.DUMMYFUNCTION("""COMPUTED_VALUE"""),"No I would not be pursuing Higher Education outside of India")</f>
        <v>No I would not be pursuing Higher Education outside of India</v>
      </c>
      <c r="G2284" s="1" t="str">
        <f ca="1">IFERROR(__xludf.DUMMYFUNCTION("""COMPUTED_VALUE"""),"Will work for 3 years or more")</f>
        <v>Will work for 3 years or more</v>
      </c>
      <c r="H2284" s="1" t="str">
        <f ca="1">IFERROR(__xludf.DUMMYFUNCTION("""COMPUTED_VALUE"""),"No")</f>
        <v>No</v>
      </c>
      <c r="I2284" s="1" t="str">
        <f ca="1">IFERROR(__xludf.DUMMYFUNCTION("""COMPUTED_VALUE"""),"Will work for them")</f>
        <v>Will work for them</v>
      </c>
      <c r="J2284" s="1">
        <f ca="1">IFERROR(__xludf.DUMMYFUNCTION("""COMPUTED_VALUE"""),8)</f>
        <v>8</v>
      </c>
      <c r="K2284" s="1" t="str">
        <f ca="1">IFERROR(__xludf.DUMMYFUNCTION("""COMPUTED_VALUE"""),"Fully Remote with Options to travel as and when needed")</f>
        <v>Fully Remote with Options to travel as and when needed</v>
      </c>
      <c r="L2284" s="1" t="str">
        <f ca="1">IFERROR(__xludf.DUMMYFUNCTION("""COMPUTED_VALUE"""),"Employer who appreciates learning and enables that environment")</f>
        <v>Employer who appreciates learning and enables that environment</v>
      </c>
      <c r="M228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284" s="1" t="str">
        <f ca="1">IFERROR(__xludf.DUMMYFUNCTION("""COMPUTED_VALUE"""),"Business Operations in any organization, Look deeply into Data and generate insights, Work as a freelancer and do my thing my way, An Artificial Intelligence Specialist / Talking to Robots")</f>
        <v>Business Operations in any organization, Look deeply into Data and generate insights, Work as a freelancer and do my thing my way, An Artificial Intelligence Specialist / Talking to Robots</v>
      </c>
      <c r="O2284" s="1" t="str">
        <f ca="1">IFERROR(__xludf.DUMMYFUNCTION("""COMPUTED_VALUE"""),"Manager who explains what is expected, sets a goal and helps achieve it")</f>
        <v>Manager who explains what is expected, sets a goal and helps achieve it</v>
      </c>
      <c r="P2284" s="1" t="str">
        <f ca="1">IFERROR(__xludf.DUMMYFUNCTION("""COMPUTED_VALUE"""),"Work alone, Work with 5 to 6 people in my team, Work with more than 10 people in my team")</f>
        <v>Work alone, Work with 5 to 6 people in my team, Work with more than 10 people in my team</v>
      </c>
      <c r="Q2284" s="1" t="str">
        <f ca="1">IFERROR(__xludf.DUMMYFUNCTION("""COMPUTED_VALUE"""),"Yes, I Understand this is gonna happen everywhere")</f>
        <v>Yes, I Understand this is gonna happen everywhere</v>
      </c>
      <c r="R2284" s="1" t="str">
        <f ca="1">IFERROR(__xludf.DUMMYFUNCTION("""COMPUTED_VALUE"""),"This will be hard to do, but if it is the right company I would try")</f>
        <v>This will be hard to do, but if it is the right company I would try</v>
      </c>
      <c r="S2284" s="1" t="str">
        <f ca="1">IFERROR(__xludf.DUMMYFUNCTION("""COMPUTED_VALUE"""),"dipalithakur153@gmail.com")</f>
        <v>dipalithakur153@gmail.com</v>
      </c>
    </row>
    <row r="2285" spans="1:19" ht="12.5" x14ac:dyDescent="0.25">
      <c r="A2285" s="2">
        <f ca="1">IFERROR(__xludf.DUMMYFUNCTION("""COMPUTED_VALUE"""),45064.0114824074)</f>
        <v>45064.011482407397</v>
      </c>
      <c r="B2285" s="1" t="str">
        <f ca="1">IFERROR(__xludf.DUMMYFUNCTION("""COMPUTED_VALUE"""),"India")</f>
        <v>India</v>
      </c>
      <c r="C2285" s="1">
        <f ca="1">IFERROR(__xludf.DUMMYFUNCTION("""COMPUTED_VALUE"""),641603)</f>
        <v>641603</v>
      </c>
      <c r="D2285" s="1" t="str">
        <f ca="1">IFERROR(__xludf.DUMMYFUNCTION("""COMPUTED_VALUE"""),"Male")</f>
        <v>Male</v>
      </c>
      <c r="E2285" s="1" t="str">
        <f ca="1">IFERROR(__xludf.DUMMYFUNCTION("""COMPUTED_VALUE"""),"My Parents")</f>
        <v>My Parents</v>
      </c>
      <c r="F2285" s="1" t="str">
        <f ca="1">IFERROR(__xludf.DUMMYFUNCTION("""COMPUTED_VALUE"""),"Yes, I will earn and do that")</f>
        <v>Yes, I will earn and do that</v>
      </c>
      <c r="G2285" s="1" t="str">
        <f ca="1">IFERROR(__xludf.DUMMYFUNCTION("""COMPUTED_VALUE"""),"This will be hard to do, but if it is the right company I would try")</f>
        <v>This will be hard to do, but if it is the right company I would try</v>
      </c>
      <c r="H2285" s="1" t="str">
        <f ca="1">IFERROR(__xludf.DUMMYFUNCTION("""COMPUTED_VALUE"""),"Yes")</f>
        <v>Yes</v>
      </c>
      <c r="I2285" s="1" t="str">
        <f ca="1">IFERROR(__xludf.DUMMYFUNCTION("""COMPUTED_VALUE"""),"Will work for them")</f>
        <v>Will work for them</v>
      </c>
      <c r="J2285" s="1">
        <f ca="1">IFERROR(__xludf.DUMMYFUNCTION("""COMPUTED_VALUE"""),9)</f>
        <v>9</v>
      </c>
      <c r="K2285" s="1" t="str">
        <f ca="1">IFERROR(__xludf.DUMMYFUNCTION("""COMPUTED_VALUE"""),"Fully Remote with Options to travel as and when needed")</f>
        <v>Fully Remote with Options to travel as and when needed</v>
      </c>
      <c r="L22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85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285" s="1" t="str">
        <f ca="1">IFERROR(__xludf.DUMMYFUNCTION("""COMPUTED_VALUE"""),"Design and Creative strategy in any company, Business Operations in any organization, Entrepreneur or Start Up, I Want to sell things/Sales")</f>
        <v>Design and Creative strategy in any company, Business Operations in any organization, Entrepreneur or Start Up, I Want to sell things/Sales</v>
      </c>
      <c r="O2285" s="1" t="str">
        <f ca="1">IFERROR(__xludf.DUMMYFUNCTION("""COMPUTED_VALUE"""),"Manager who clearly describes what she/he needs")</f>
        <v>Manager who clearly describes what she/he needs</v>
      </c>
      <c r="P2285" s="1" t="str">
        <f ca="1">IFERROR(__xludf.DUMMYFUNCTION("""COMPUTED_VALUE"""),"Work with 2 to 3 people in my team, Work with 5 to 6 people in my team")</f>
        <v>Work with 2 to 3 people in my team, Work with 5 to 6 people in my team</v>
      </c>
      <c r="Q2285" s="1" t="str">
        <f ca="1">IFERROR(__xludf.DUMMYFUNCTION("""COMPUTED_VALUE"""),"Yes, I Understand this is gonna happen everywhere")</f>
        <v>Yes, I Understand this is gonna happen everywhere</v>
      </c>
      <c r="R2285" s="1" t="str">
        <f ca="1">IFERROR(__xludf.DUMMYFUNCTION("""COMPUTED_VALUE"""),"No way")</f>
        <v>No way</v>
      </c>
      <c r="S2285" s="1" t="str">
        <f ca="1">IFERROR(__xludf.DUMMYFUNCTION("""COMPUTED_VALUE"""),"sachinaadhithya11524@gmail.com")</f>
        <v>sachinaadhithya11524@gmail.com</v>
      </c>
    </row>
    <row r="2286" spans="1:19" ht="12.5" x14ac:dyDescent="0.25">
      <c r="A2286" s="2">
        <f ca="1">IFERROR(__xludf.DUMMYFUNCTION("""COMPUTED_VALUE"""),45064.0156584375)</f>
        <v>45064.0156584375</v>
      </c>
      <c r="B2286" s="1" t="str">
        <f ca="1">IFERROR(__xludf.DUMMYFUNCTION("""COMPUTED_VALUE"""),"India")</f>
        <v>India</v>
      </c>
      <c r="C2286" s="1">
        <f ca="1">IFERROR(__xludf.DUMMYFUNCTION("""COMPUTED_VALUE"""),605009)</f>
        <v>605009</v>
      </c>
      <c r="D2286" s="1" t="str">
        <f ca="1">IFERROR(__xludf.DUMMYFUNCTION("""COMPUTED_VALUE"""),"Male")</f>
        <v>Male</v>
      </c>
      <c r="E2286" s="1" t="str">
        <f ca="1">IFERROR(__xludf.DUMMYFUNCTION("""COMPUTED_VALUE"""),"My Parents")</f>
        <v>My Parents</v>
      </c>
      <c r="F2286" s="1" t="str">
        <f ca="1">IFERROR(__xludf.DUMMYFUNCTION("""COMPUTED_VALUE"""),"Yes, I will earn and do that")</f>
        <v>Yes, I will earn and do that</v>
      </c>
      <c r="G2286" s="1" t="str">
        <f ca="1">IFERROR(__xludf.DUMMYFUNCTION("""COMPUTED_VALUE"""),"This will be hard to do, but if it is the right company I would try")</f>
        <v>This will be hard to do, but if it is the right company I would try</v>
      </c>
      <c r="H2286" s="1" t="str">
        <f ca="1">IFERROR(__xludf.DUMMYFUNCTION("""COMPUTED_VALUE"""),"No")</f>
        <v>No</v>
      </c>
      <c r="I2286" s="1" t="str">
        <f ca="1">IFERROR(__xludf.DUMMYFUNCTION("""COMPUTED_VALUE"""),"Will NOT work for them")</f>
        <v>Will NOT work for them</v>
      </c>
      <c r="J2286" s="1">
        <f ca="1">IFERROR(__xludf.DUMMYFUNCTION("""COMPUTED_VALUE"""),8)</f>
        <v>8</v>
      </c>
      <c r="K2286" s="1" t="str">
        <f ca="1">IFERROR(__xludf.DUMMYFUNCTION("""COMPUTED_VALUE"""),"Every Day Office Environment")</f>
        <v>Every Day Office Environment</v>
      </c>
      <c r="L22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8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286" s="1" t="str">
        <f ca="1">IFERROR(__xludf.DUMMYFUNCTION("""COMPUTED_VALUE"""),"Design and Creative strategy in any company, Business Operations in any organization, Build and develop a Team, An Artificial Intelligence Specialist / Talking to Robots")</f>
        <v>Design and Creative strategy in any company, Business Operations in any organization, Build and develop a Team, An Artificial Intelligence Specialist / Talking to Robots</v>
      </c>
      <c r="O2286" s="1" t="str">
        <f ca="1">IFERROR(__xludf.DUMMYFUNCTION("""COMPUTED_VALUE"""),"Manager who explains what is expected, sets a goal and helps achieve it")</f>
        <v>Manager who explains what is expected, sets a goal and helps achieve it</v>
      </c>
      <c r="P2286" s="1" t="str">
        <f ca="1">IFERROR(__xludf.DUMMYFUNCTION("""COMPUTED_VALUE"""),"Work with 5 to 6 people in my team")</f>
        <v>Work with 5 to 6 people in my team</v>
      </c>
      <c r="Q2286" s="1" t="str">
        <f ca="1">IFERROR(__xludf.DUMMYFUNCTION("""COMPUTED_VALUE"""),"Yes")</f>
        <v>Yes</v>
      </c>
      <c r="R2286" s="1" t="str">
        <f ca="1">IFERROR(__xludf.DUMMYFUNCTION("""COMPUTED_VALUE"""),"No way")</f>
        <v>No way</v>
      </c>
      <c r="S2286" s="1" t="str">
        <f ca="1">IFERROR(__xludf.DUMMYFUNCTION("""COMPUTED_VALUE"""),"adityagoud6969@gmail.com")</f>
        <v>adityagoud6969@gmail.com</v>
      </c>
    </row>
    <row r="2287" spans="1:19" ht="12.5" x14ac:dyDescent="0.25">
      <c r="A2287" s="2">
        <f ca="1">IFERROR(__xludf.DUMMYFUNCTION("""COMPUTED_VALUE"""),45064.0182387037)</f>
        <v>45064.018238703698</v>
      </c>
      <c r="B2287" s="1" t="str">
        <f ca="1">IFERROR(__xludf.DUMMYFUNCTION("""COMPUTED_VALUE"""),"India")</f>
        <v>India</v>
      </c>
      <c r="C2287" s="1">
        <f ca="1">IFERROR(__xludf.DUMMYFUNCTION("""COMPUTED_VALUE"""),600107)</f>
        <v>600107</v>
      </c>
      <c r="D2287" s="1" t="str">
        <f ca="1">IFERROR(__xludf.DUMMYFUNCTION("""COMPUTED_VALUE"""),"Male")</f>
        <v>Male</v>
      </c>
      <c r="E2287" s="1" t="str">
        <f ca="1">IFERROR(__xludf.DUMMYFUNCTION("""COMPUTED_VALUE"""),"People who have changed the world for better")</f>
        <v>People who have changed the world for better</v>
      </c>
      <c r="F2287" s="1" t="str">
        <f ca="1">IFERROR(__xludf.DUMMYFUNCTION("""COMPUTED_VALUE"""),"No I would not be pursuing Higher Education outside of India")</f>
        <v>No I would not be pursuing Higher Education outside of India</v>
      </c>
      <c r="G2287" s="1" t="str">
        <f ca="1">IFERROR(__xludf.DUMMYFUNCTION("""COMPUTED_VALUE"""),"This will be hard to do, but if it is the right company I would try")</f>
        <v>This will be hard to do, but if it is the right company I would try</v>
      </c>
      <c r="H2287" s="1" t="str">
        <f ca="1">IFERROR(__xludf.DUMMYFUNCTION("""COMPUTED_VALUE"""),"No")</f>
        <v>No</v>
      </c>
      <c r="I2287" s="1" t="str">
        <f ca="1">IFERROR(__xludf.DUMMYFUNCTION("""COMPUTED_VALUE"""),"Will NOT work for them")</f>
        <v>Will NOT work for them</v>
      </c>
      <c r="J2287" s="1">
        <f ca="1">IFERROR(__xludf.DUMMYFUNCTION("""COMPUTED_VALUE"""),1)</f>
        <v>1</v>
      </c>
      <c r="K2287" s="1" t="str">
        <f ca="1">IFERROR(__xludf.DUMMYFUNCTION("""COMPUTED_VALUE"""),"Fully Remote with Options to travel as and when needed")</f>
        <v>Fully Remote with Options to travel as and when needed</v>
      </c>
      <c r="L2287" s="1" t="str">
        <f ca="1">IFERROR(__xludf.DUMMYFUNCTION("""COMPUTED_VALUE"""),"Employer who rewards learning and enables that environment")</f>
        <v>Employer who rewards learning and enables that environment</v>
      </c>
      <c r="M228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87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287" s="1" t="str">
        <f ca="1">IFERROR(__xludf.DUMMYFUNCTION("""COMPUTED_VALUE"""),"Manager who explains what is expected, sets a goal and helps achieve it")</f>
        <v>Manager who explains what is expected, sets a goal and helps achieve it</v>
      </c>
      <c r="P2287" s="1" t="str">
        <f ca="1">IFERROR(__xludf.DUMMYFUNCTION("""COMPUTED_VALUE"""),"Work with 7 to 10 or more people in my team")</f>
        <v>Work with 7 to 10 or more people in my team</v>
      </c>
      <c r="Q2287" s="1" t="str">
        <f ca="1">IFERROR(__xludf.DUMMYFUNCTION("""COMPUTED_VALUE"""),"Yes, I Understand this is gonna happen everywhere")</f>
        <v>Yes, I Understand this is gonna happen everywhere</v>
      </c>
      <c r="R2287" s="1" t="str">
        <f ca="1">IFERROR(__xludf.DUMMYFUNCTION("""COMPUTED_VALUE"""),"This will be hard to do, but if it is the right company I would try")</f>
        <v>This will be hard to do, but if it is the right company I would try</v>
      </c>
      <c r="S2287" s="1" t="str">
        <f ca="1">IFERROR(__xludf.DUMMYFUNCTION("""COMPUTED_VALUE"""),"naveen0808kumar@gmail.com")</f>
        <v>naveen0808kumar@gmail.com</v>
      </c>
    </row>
    <row r="2288" spans="1:19" ht="12.5" x14ac:dyDescent="0.25">
      <c r="A2288" s="2">
        <f ca="1">IFERROR(__xludf.DUMMYFUNCTION("""COMPUTED_VALUE"""),45064.0374514236)</f>
        <v>45064.037451423603</v>
      </c>
      <c r="B2288" s="1" t="str">
        <f ca="1">IFERROR(__xludf.DUMMYFUNCTION("""COMPUTED_VALUE"""),"India")</f>
        <v>India</v>
      </c>
      <c r="C2288" s="1">
        <f ca="1">IFERROR(__xludf.DUMMYFUNCTION("""COMPUTED_VALUE"""),533464)</f>
        <v>533464</v>
      </c>
      <c r="D2288" s="1" t="str">
        <f ca="1">IFERROR(__xludf.DUMMYFUNCTION("""COMPUTED_VALUE"""),"Male")</f>
        <v>Male</v>
      </c>
      <c r="E2288" s="1" t="str">
        <f ca="1">IFERROR(__xludf.DUMMYFUNCTION("""COMPUTED_VALUE"""),"People who have changed the world for better")</f>
        <v>People who have changed the world for better</v>
      </c>
      <c r="F2288" s="1" t="str">
        <f ca="1">IFERROR(__xludf.DUMMYFUNCTION("""COMPUTED_VALUE"""),"No I would not be pursuing Higher Education outside of India")</f>
        <v>No I would not be pursuing Higher Education outside of India</v>
      </c>
      <c r="G2288" s="1" t="str">
        <f ca="1">IFERROR(__xludf.DUMMYFUNCTION("""COMPUTED_VALUE"""),"This will be hard to do, but if it is the right company I would try")</f>
        <v>This will be hard to do, but if it is the right company I would try</v>
      </c>
      <c r="H2288" s="1" t="str">
        <f ca="1">IFERROR(__xludf.DUMMYFUNCTION("""COMPUTED_VALUE"""),"Yes")</f>
        <v>Yes</v>
      </c>
      <c r="I2288" s="1" t="str">
        <f ca="1">IFERROR(__xludf.DUMMYFUNCTION("""COMPUTED_VALUE"""),"Will work for them")</f>
        <v>Will work for them</v>
      </c>
      <c r="J2288" s="1">
        <f ca="1">IFERROR(__xludf.DUMMYFUNCTION("""COMPUTED_VALUE"""),6)</f>
        <v>6</v>
      </c>
      <c r="K2288" s="1" t="str">
        <f ca="1">IFERROR(__xludf.DUMMYFUNCTION("""COMPUTED_VALUE"""),"Every Day Office Environment")</f>
        <v>Every Day Office Environment</v>
      </c>
      <c r="L22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8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88" s="1" t="str">
        <f ca="1">IFERROR(__xludf.DUMMYFUNCTION("""COMPUTED_VALUE"""),"Design and Creative strategy in any company, Business Operations in any organization, Look deeply into Data and generate insights, Work as a freelancer and do my thing my way")</f>
        <v>Design and Creative strategy in any company, Business Operations in any organization, Look deeply into Data and generate insights, Work as a freelancer and do my thing my way</v>
      </c>
      <c r="O2288" s="1" t="str">
        <f ca="1">IFERROR(__xludf.DUMMYFUNCTION("""COMPUTED_VALUE"""),"Manager who clearly describes what she/he needs")</f>
        <v>Manager who clearly describes what she/he needs</v>
      </c>
      <c r="P2288" s="1" t="str">
        <f ca="1">IFERROR(__xludf.DUMMYFUNCTION("""COMPUTED_VALUE"""),"Work with 2 to 3 people in my team")</f>
        <v>Work with 2 to 3 people in my team</v>
      </c>
      <c r="Q2288" s="1" t="str">
        <f ca="1">IFERROR(__xludf.DUMMYFUNCTION("""COMPUTED_VALUE"""),"Yes, I Understand this is gonna happen everywhere")</f>
        <v>Yes, I Understand this is gonna happen everywhere</v>
      </c>
      <c r="R2288" s="1" t="str">
        <f ca="1">IFERROR(__xludf.DUMMYFUNCTION("""COMPUTED_VALUE"""),"This will be hard to do, but if it is the right company I would try")</f>
        <v>This will be hard to do, but if it is the right company I would try</v>
      </c>
      <c r="S2288" s="1" t="str">
        <f ca="1">IFERROR(__xludf.DUMMYFUNCTION("""COMPUTED_VALUE"""),"naveen7981425309@gmail.com")</f>
        <v>naveen7981425309@gmail.com</v>
      </c>
    </row>
    <row r="2289" spans="1:19" ht="12.5" x14ac:dyDescent="0.25">
      <c r="A2289" s="2">
        <f ca="1">IFERROR(__xludf.DUMMYFUNCTION("""COMPUTED_VALUE"""),45064.0375773379)</f>
        <v>45064.037577337898</v>
      </c>
      <c r="B2289" s="1" t="str">
        <f ca="1">IFERROR(__xludf.DUMMYFUNCTION("""COMPUTED_VALUE"""),"India")</f>
        <v>India</v>
      </c>
      <c r="C2289" s="1">
        <f ca="1">IFERROR(__xludf.DUMMYFUNCTION("""COMPUTED_VALUE"""),400064)</f>
        <v>400064</v>
      </c>
      <c r="D2289" s="1" t="str">
        <f ca="1">IFERROR(__xludf.DUMMYFUNCTION("""COMPUTED_VALUE"""),"Male")</f>
        <v>Male</v>
      </c>
      <c r="E2289" s="1" t="str">
        <f ca="1">IFERROR(__xludf.DUMMYFUNCTION("""COMPUTED_VALUE"""),"Social Media like LinkedIn")</f>
        <v>Social Media like LinkedIn</v>
      </c>
      <c r="F2289" s="1" t="str">
        <f ca="1">IFERROR(__xludf.DUMMYFUNCTION("""COMPUTED_VALUE"""),"No, But if someone could bare the cost I will")</f>
        <v>No, But if someone could bare the cost I will</v>
      </c>
      <c r="G2289" s="1" t="str">
        <f ca="1">IFERROR(__xludf.DUMMYFUNCTION("""COMPUTED_VALUE"""),"This will be hard to do, but if it is the right company I would try")</f>
        <v>This will be hard to do, but if it is the right company I would try</v>
      </c>
      <c r="H2289" s="1" t="str">
        <f ca="1">IFERROR(__xludf.DUMMYFUNCTION("""COMPUTED_VALUE"""),"No")</f>
        <v>No</v>
      </c>
      <c r="I2289" s="1" t="str">
        <f ca="1">IFERROR(__xludf.DUMMYFUNCTION("""COMPUTED_VALUE"""),"Will NOT work for them")</f>
        <v>Will NOT work for them</v>
      </c>
      <c r="J2289" s="1">
        <f ca="1">IFERROR(__xludf.DUMMYFUNCTION("""COMPUTED_VALUE"""),1)</f>
        <v>1</v>
      </c>
      <c r="K2289" s="1" t="str">
        <f ca="1">IFERROR(__xludf.DUMMYFUNCTION("""COMPUTED_VALUE"""),"Every Day Office Environment")</f>
        <v>Every Day Office Environment</v>
      </c>
      <c r="L22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89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289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289" s="1" t="str">
        <f ca="1">IFERROR(__xludf.DUMMYFUNCTION("""COMPUTED_VALUE"""),"Manager who explains what is expected, sets a goal and helps achieve it")</f>
        <v>Manager who explains what is expected, sets a goal and helps achieve it</v>
      </c>
      <c r="P2289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289" s="1" t="str">
        <f ca="1">IFERROR(__xludf.DUMMYFUNCTION("""COMPUTED_VALUE"""),"Yes, I Understand this is gonna happen everywhere")</f>
        <v>Yes, I Understand this is gonna happen everywhere</v>
      </c>
      <c r="R2289" s="1" t="str">
        <f ca="1">IFERROR(__xludf.DUMMYFUNCTION("""COMPUTED_VALUE"""),"No way")</f>
        <v>No way</v>
      </c>
      <c r="S2289" s="1" t="str">
        <f ca="1">IFERROR(__xludf.DUMMYFUNCTION("""COMPUTED_VALUE"""),"04aug2002@gmail.com")</f>
        <v>04aug2002@gmail.com</v>
      </c>
    </row>
    <row r="2290" spans="1:19" ht="12.5" x14ac:dyDescent="0.25">
      <c r="A2290" s="2">
        <f ca="1">IFERROR(__xludf.DUMMYFUNCTION("""COMPUTED_VALUE"""),45064.046837199)</f>
        <v>45064.046837198999</v>
      </c>
      <c r="B2290" s="1" t="str">
        <f ca="1">IFERROR(__xludf.DUMMYFUNCTION("""COMPUTED_VALUE"""),"India")</f>
        <v>India</v>
      </c>
      <c r="C2290" s="1">
        <f ca="1">IFERROR(__xludf.DUMMYFUNCTION("""COMPUTED_VALUE"""),400701)</f>
        <v>400701</v>
      </c>
      <c r="D2290" s="1" t="str">
        <f ca="1">IFERROR(__xludf.DUMMYFUNCTION("""COMPUTED_VALUE"""),"Male")</f>
        <v>Male</v>
      </c>
      <c r="E2290" s="1" t="str">
        <f ca="1">IFERROR(__xludf.DUMMYFUNCTION("""COMPUTED_VALUE"""),"My Parents")</f>
        <v>My Parents</v>
      </c>
      <c r="F2290" s="1" t="str">
        <f ca="1">IFERROR(__xludf.DUMMYFUNCTION("""COMPUTED_VALUE"""),"Yes, I will earn and do that")</f>
        <v>Yes, I will earn and do that</v>
      </c>
      <c r="G2290" s="1" t="str">
        <f ca="1">IFERROR(__xludf.DUMMYFUNCTION("""COMPUTED_VALUE"""),"This will be hard to do, but if it is the right company I would try")</f>
        <v>This will be hard to do, but if it is the right company I would try</v>
      </c>
      <c r="H2290" s="1" t="str">
        <f ca="1">IFERROR(__xludf.DUMMYFUNCTION("""COMPUTED_VALUE"""),"No")</f>
        <v>No</v>
      </c>
      <c r="I2290" s="1" t="str">
        <f ca="1">IFERROR(__xludf.DUMMYFUNCTION("""COMPUTED_VALUE"""),"Will NOT work for them")</f>
        <v>Will NOT work for them</v>
      </c>
      <c r="J2290" s="1">
        <f ca="1">IFERROR(__xludf.DUMMYFUNCTION("""COMPUTED_VALUE"""),5)</f>
        <v>5</v>
      </c>
      <c r="K2290" s="1" t="str">
        <f ca="1">IFERROR(__xludf.DUMMYFUNCTION("""COMPUTED_VALUE"""),"Hybrid Working Environment with more than 15 days a month at office")</f>
        <v>Hybrid Working Environment with more than 15 days a month at office</v>
      </c>
      <c r="L22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9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90" s="1" t="str">
        <f ca="1">IFERROR(__xludf.DUMMYFUNCTION("""COMPUTED_VALUE"""),"Teaching in any of the institutes/colleges/online or offline, Look deeply into Data and generate insights, Work as a freelancer and do my thing my way, Entrepreneur or Start Up")</f>
        <v>Teaching in any of the institutes/colleges/online or offline, Look deeply into Data and generate insights, Work as a freelancer and do my thing my way, Entrepreneur or Start Up</v>
      </c>
      <c r="O2290" s="1" t="str">
        <f ca="1">IFERROR(__xludf.DUMMYFUNCTION("""COMPUTED_VALUE"""),"Manager who clearly describes what she/he needs")</f>
        <v>Manager who clearly describes what she/he needs</v>
      </c>
      <c r="P2290" s="1" t="str">
        <f ca="1">IFERROR(__xludf.DUMMYFUNCTION("""COMPUTED_VALUE"""),"Work with 2 to 3 people in my team, Work with 5 to 6 people in my team")</f>
        <v>Work with 2 to 3 people in my team, Work with 5 to 6 people in my team</v>
      </c>
      <c r="Q2290" s="1" t="str">
        <f ca="1">IFERROR(__xludf.DUMMYFUNCTION("""COMPUTED_VALUE"""),"Yes, I Understand this is gonna happen everywhere")</f>
        <v>Yes, I Understand this is gonna happen everywhere</v>
      </c>
      <c r="R2290" s="1" t="str">
        <f ca="1">IFERROR(__xludf.DUMMYFUNCTION("""COMPUTED_VALUE"""),"This will be hard to do, but if it is the right company I would try")</f>
        <v>This will be hard to do, but if it is the right company I would try</v>
      </c>
      <c r="S2290" s="1" t="str">
        <f ca="1">IFERROR(__xludf.DUMMYFUNCTION("""COMPUTED_VALUE"""),"architshivdas68@gmail.com")</f>
        <v>architshivdas68@gmail.com</v>
      </c>
    </row>
    <row r="2291" spans="1:19" ht="12.5" x14ac:dyDescent="0.25">
      <c r="A2291" s="2">
        <f ca="1">IFERROR(__xludf.DUMMYFUNCTION("""COMPUTED_VALUE"""),45064.1012143981)</f>
        <v>45064.101214398099</v>
      </c>
      <c r="B2291" s="1" t="str">
        <f ca="1">IFERROR(__xludf.DUMMYFUNCTION("""COMPUTED_VALUE"""),"India")</f>
        <v>India</v>
      </c>
      <c r="C2291" s="1">
        <f ca="1">IFERROR(__xludf.DUMMYFUNCTION("""COMPUTED_VALUE"""),600073)</f>
        <v>600073</v>
      </c>
      <c r="D2291" s="1" t="str">
        <f ca="1">IFERROR(__xludf.DUMMYFUNCTION("""COMPUTED_VALUE"""),"Male")</f>
        <v>Male</v>
      </c>
      <c r="E2291" s="1" t="str">
        <f ca="1">IFERROR(__xludf.DUMMYFUNCTION("""COMPUTED_VALUE"""),"My Parents")</f>
        <v>My Parents</v>
      </c>
      <c r="F2291" s="1" t="str">
        <f ca="1">IFERROR(__xludf.DUMMYFUNCTION("""COMPUTED_VALUE"""),"Yes, I will earn and do that")</f>
        <v>Yes, I will earn and do that</v>
      </c>
      <c r="G2291" s="1" t="str">
        <f ca="1">IFERROR(__xludf.DUMMYFUNCTION("""COMPUTED_VALUE"""),"This will be hard to do, but if it is the right company I would try")</f>
        <v>This will be hard to do, but if it is the right company I would try</v>
      </c>
      <c r="H2291" s="1" t="str">
        <f ca="1">IFERROR(__xludf.DUMMYFUNCTION("""COMPUTED_VALUE"""),"No")</f>
        <v>No</v>
      </c>
      <c r="I2291" s="1" t="str">
        <f ca="1">IFERROR(__xludf.DUMMYFUNCTION("""COMPUTED_VALUE"""),"Will NOT work for them")</f>
        <v>Will NOT work for them</v>
      </c>
      <c r="J2291" s="1">
        <f ca="1">IFERROR(__xludf.DUMMYFUNCTION("""COMPUTED_VALUE"""),8)</f>
        <v>8</v>
      </c>
      <c r="K2291" s="1" t="str">
        <f ca="1">IFERROR(__xludf.DUMMYFUNCTION("""COMPUTED_VALUE"""),"Fully Remote with No option to visit offices")</f>
        <v>Fully Remote with No option to visit offices</v>
      </c>
      <c r="L2291" s="1" t="str">
        <f ca="1">IFERROR(__xludf.DUMMYFUNCTION("""COMPUTED_VALUE"""),"Employer who appreciates learning and enables that environment")</f>
        <v>Employer who appreciates learning and enables that environment</v>
      </c>
      <c r="M229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91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2291" s="1" t="str">
        <f ca="1">IFERROR(__xludf.DUMMYFUNCTION("""COMPUTED_VALUE"""),"Manager who sets goal and helps me achieve it")</f>
        <v>Manager who sets goal and helps me achieve it</v>
      </c>
      <c r="P2291" s="1" t="str">
        <f ca="1">IFERROR(__xludf.DUMMYFUNCTION("""COMPUTED_VALUE"""),"Work with more than 10 people in my team")</f>
        <v>Work with more than 10 people in my team</v>
      </c>
      <c r="Q2291" s="1" t="str">
        <f ca="1">IFERROR(__xludf.DUMMYFUNCTION("""COMPUTED_VALUE"""),"Yes, I Understand this is gonna happen everywhere")</f>
        <v>Yes, I Understand this is gonna happen everywhere</v>
      </c>
      <c r="R2291" s="1" t="str">
        <f ca="1">IFERROR(__xludf.DUMMYFUNCTION("""COMPUTED_VALUE"""),"No way")</f>
        <v>No way</v>
      </c>
      <c r="S2291" s="1" t="str">
        <f ca="1">IFERROR(__xludf.DUMMYFUNCTION("""COMPUTED_VALUE"""),"reddy09ganesh@gmail.com")</f>
        <v>reddy09ganesh@gmail.com</v>
      </c>
    </row>
    <row r="2292" spans="1:19" ht="12.5" x14ac:dyDescent="0.25">
      <c r="A2292" s="2">
        <f ca="1">IFERROR(__xludf.DUMMYFUNCTION("""COMPUTED_VALUE"""),45064.1570000231)</f>
        <v>45064.1570000231</v>
      </c>
      <c r="B2292" s="1" t="str">
        <f ca="1">IFERROR(__xludf.DUMMYFUNCTION("""COMPUTED_VALUE"""),"Other")</f>
        <v>Other</v>
      </c>
      <c r="C2292" s="1" t="str">
        <f ca="1">IFERROR(__xludf.DUMMYFUNCTION("""COMPUTED_VALUE"""),"L19jg")</f>
        <v>L19jg</v>
      </c>
      <c r="D2292" s="1" t="str">
        <f ca="1">IFERROR(__xludf.DUMMYFUNCTION("""COMPUTED_VALUE"""),"Male")</f>
        <v>Male</v>
      </c>
      <c r="E2292" s="1" t="str">
        <f ca="1">IFERROR(__xludf.DUMMYFUNCTION("""COMPUTED_VALUE"""),"People who have changed the world for better")</f>
        <v>People who have changed the world for better</v>
      </c>
      <c r="F2292" s="1" t="str">
        <f ca="1">IFERROR(__xludf.DUMMYFUNCTION("""COMPUTED_VALUE"""),"No I would not be pursuing Higher Education outside of India")</f>
        <v>No I would not be pursuing Higher Education outside of India</v>
      </c>
      <c r="G2292" s="1" t="str">
        <f ca="1">IFERROR(__xludf.DUMMYFUNCTION("""COMPUTED_VALUE"""),"No way")</f>
        <v>No way</v>
      </c>
      <c r="H2292" s="1" t="str">
        <f ca="1">IFERROR(__xludf.DUMMYFUNCTION("""COMPUTED_VALUE"""),"Yes")</f>
        <v>Yes</v>
      </c>
      <c r="I2292" s="1" t="str">
        <f ca="1">IFERROR(__xludf.DUMMYFUNCTION("""COMPUTED_VALUE"""),"Will work for them")</f>
        <v>Will work for them</v>
      </c>
      <c r="J2292" s="1">
        <f ca="1">IFERROR(__xludf.DUMMYFUNCTION("""COMPUTED_VALUE"""),9)</f>
        <v>9</v>
      </c>
      <c r="K2292" s="1" t="str">
        <f ca="1">IFERROR(__xludf.DUMMYFUNCTION("""COMPUTED_VALUE"""),"Fully Remote with No option to visit offices")</f>
        <v>Fully Remote with No option to visit offices</v>
      </c>
      <c r="L2292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29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292" s="1" t="str">
        <f ca="1">IFERROR(__xludf.DUMMYFUNCTION("""COMPUTED_VALUE"""),"Design and Develop amazing software, I Want to sell things/Sales, An Artificial Intelligence Specialist / Talking to Robots, Manufacturing / Oil and Gas/ Construction / Hard Physical Work related")</f>
        <v>Design and Develop amazing software, I Want to sell things/Sales, An Artificial Intelligence Specialist / Talking to Robots, Manufacturing / Oil and Gas/ Construction / Hard Physical Work related</v>
      </c>
      <c r="O2292" s="1" t="str">
        <f ca="1">IFERROR(__xludf.DUMMYFUNCTION("""COMPUTED_VALUE"""),"Manager who sets unrealistic targets")</f>
        <v>Manager who sets unrealistic targets</v>
      </c>
      <c r="P2292" s="1" t="str">
        <f ca="1">IFERROR(__xludf.DUMMYFUNCTION("""COMPUTED_VALUE"""),"Work alone")</f>
        <v>Work alone</v>
      </c>
      <c r="Q2292" s="1" t="str">
        <f ca="1">IFERROR(__xludf.DUMMYFUNCTION("""COMPUTED_VALUE"""),"Yes")</f>
        <v>Yes</v>
      </c>
      <c r="R2292" s="1" t="str">
        <f ca="1">IFERROR(__xludf.DUMMYFUNCTION("""COMPUTED_VALUE"""),"No way")</f>
        <v>No way</v>
      </c>
      <c r="S2292" s="1" t="str">
        <f ca="1">IFERROR(__xludf.DUMMYFUNCTION("""COMPUTED_VALUE"""),"stephensandeepjalem1234@gmail.com")</f>
        <v>stephensandeepjalem1234@gmail.com</v>
      </c>
    </row>
    <row r="2293" spans="1:19" ht="12.5" x14ac:dyDescent="0.25">
      <c r="A2293" s="2">
        <f ca="1">IFERROR(__xludf.DUMMYFUNCTION("""COMPUTED_VALUE"""),45064.2274226736)</f>
        <v>45064.227422673597</v>
      </c>
      <c r="B2293" s="1" t="str">
        <f ca="1">IFERROR(__xludf.DUMMYFUNCTION("""COMPUTED_VALUE"""),"India")</f>
        <v>India</v>
      </c>
      <c r="C2293" s="1">
        <f ca="1">IFERROR(__xludf.DUMMYFUNCTION("""COMPUTED_VALUE"""),562125)</f>
        <v>562125</v>
      </c>
      <c r="D2293" s="1" t="str">
        <f ca="1">IFERROR(__xludf.DUMMYFUNCTION("""COMPUTED_VALUE"""),"Female")</f>
        <v>Female</v>
      </c>
      <c r="E2293" s="1" t="str">
        <f ca="1">IFERROR(__xludf.DUMMYFUNCTION("""COMPUTED_VALUE"""),"My Parents")</f>
        <v>My Parents</v>
      </c>
      <c r="F2293" s="1" t="str">
        <f ca="1">IFERROR(__xludf.DUMMYFUNCTION("""COMPUTED_VALUE"""),"Yes, I will earn and do that")</f>
        <v>Yes, I will earn and do that</v>
      </c>
      <c r="G2293" s="1" t="str">
        <f ca="1">IFERROR(__xludf.DUMMYFUNCTION("""COMPUTED_VALUE"""),"This will be hard to do, but if it is the right company I would try")</f>
        <v>This will be hard to do, but if it is the right company I would try</v>
      </c>
      <c r="H2293" s="1" t="str">
        <f ca="1">IFERROR(__xludf.DUMMYFUNCTION("""COMPUTED_VALUE"""),"No")</f>
        <v>No</v>
      </c>
      <c r="I2293" s="1" t="str">
        <f ca="1">IFERROR(__xludf.DUMMYFUNCTION("""COMPUTED_VALUE"""),"Will work for them")</f>
        <v>Will work for them</v>
      </c>
      <c r="J2293" s="1">
        <f ca="1">IFERROR(__xludf.DUMMYFUNCTION("""COMPUTED_VALUE"""),7)</f>
        <v>7</v>
      </c>
      <c r="K2293" s="1" t="str">
        <f ca="1">IFERROR(__xludf.DUMMYFUNCTION("""COMPUTED_VALUE"""),"Hybrid Working Environment with more than 15 days a month at office")</f>
        <v>Hybrid Working Environment with more than 15 days a month at office</v>
      </c>
      <c r="L2293" s="1" t="str">
        <f ca="1">IFERROR(__xludf.DUMMYFUNCTION("""COMPUTED_VALUE"""),"Employer who appreciates learning and enables that environment")</f>
        <v>Employer who appreciates learning and enables that environment</v>
      </c>
      <c r="M229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293" s="1" t="str">
        <f ca="1">IFERROR(__xludf.DUMMYFUNCTION("""COMPUTED_VALUE"""),"Design and Creative strategy in any company, Teaching in any of the institutes/colleges/online or offline, Design and Develop amazing software, Look deeply into Data and generate insights")</f>
        <v>Design and Creative strategy in any company, Teaching in any of the institutes/colleges/online or offline, Design and Develop amazing software, Look deeply into Data and generate insights</v>
      </c>
      <c r="O2293" s="1" t="str">
        <f ca="1">IFERROR(__xludf.DUMMYFUNCTION("""COMPUTED_VALUE"""),"Manager who sets goal and helps me achieve it")</f>
        <v>Manager who sets goal and helps me achieve it</v>
      </c>
      <c r="P2293" s="1" t="str">
        <f ca="1">IFERROR(__xludf.DUMMYFUNCTION("""COMPUTED_VALUE"""),"Work with 5 to 6 people in my team")</f>
        <v>Work with 5 to 6 people in my team</v>
      </c>
      <c r="Q2293" s="1" t="str">
        <f ca="1">IFERROR(__xludf.DUMMYFUNCTION("""COMPUTED_VALUE"""),"Yes, I Understand this is gonna happen everywhere")</f>
        <v>Yes, I Understand this is gonna happen everywhere</v>
      </c>
      <c r="R2293" s="1" t="str">
        <f ca="1">IFERROR(__xludf.DUMMYFUNCTION("""COMPUTED_VALUE"""),"No way")</f>
        <v>No way</v>
      </c>
      <c r="S2293" s="1" t="str">
        <f ca="1">IFERROR(__xludf.DUMMYFUNCTION("""COMPUTED_VALUE"""),"ushakiranb375@gmail.com")</f>
        <v>ushakiranb375@gmail.com</v>
      </c>
    </row>
    <row r="2294" spans="1:19" ht="12.5" x14ac:dyDescent="0.25">
      <c r="A2294" s="2">
        <f ca="1">IFERROR(__xludf.DUMMYFUNCTION("""COMPUTED_VALUE"""),45064.2365674189)</f>
        <v>45064.236567418899</v>
      </c>
      <c r="B2294" s="1" t="str">
        <f ca="1">IFERROR(__xludf.DUMMYFUNCTION("""COMPUTED_VALUE"""),"India")</f>
        <v>India</v>
      </c>
      <c r="C2294" s="1">
        <f ca="1">IFERROR(__xludf.DUMMYFUNCTION("""COMPUTED_VALUE"""),221010)</f>
        <v>221010</v>
      </c>
      <c r="D2294" s="1" t="str">
        <f ca="1">IFERROR(__xludf.DUMMYFUNCTION("""COMPUTED_VALUE"""),"Male")</f>
        <v>Male</v>
      </c>
      <c r="E2294" s="1" t="str">
        <f ca="1">IFERROR(__xludf.DUMMYFUNCTION("""COMPUTED_VALUE"""),"People who have changed the world for better")</f>
        <v>People who have changed the world for better</v>
      </c>
      <c r="F2294" s="1" t="str">
        <f ca="1">IFERROR(__xludf.DUMMYFUNCTION("""COMPUTED_VALUE"""),"Yes, I will earn and do that")</f>
        <v>Yes, I will earn and do that</v>
      </c>
      <c r="G2294" s="1" t="str">
        <f ca="1">IFERROR(__xludf.DUMMYFUNCTION("""COMPUTED_VALUE"""),"This will be hard to do, but if it is the right company I would try")</f>
        <v>This will be hard to do, but if it is the right company I would try</v>
      </c>
      <c r="H2294" s="1" t="str">
        <f ca="1">IFERROR(__xludf.DUMMYFUNCTION("""COMPUTED_VALUE"""),"No")</f>
        <v>No</v>
      </c>
      <c r="I2294" s="1" t="str">
        <f ca="1">IFERROR(__xludf.DUMMYFUNCTION("""COMPUTED_VALUE"""),"Will NOT work for them")</f>
        <v>Will NOT work for them</v>
      </c>
      <c r="J2294" s="1">
        <f ca="1">IFERROR(__xludf.DUMMYFUNCTION("""COMPUTED_VALUE"""),5)</f>
        <v>5</v>
      </c>
      <c r="K2294" s="1" t="str">
        <f ca="1">IFERROR(__xludf.DUMMYFUNCTION("""COMPUTED_VALUE"""),"Every Day Office Environment")</f>
        <v>Every Day Office Environment</v>
      </c>
      <c r="L22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9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294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2294" s="1" t="str">
        <f ca="1">IFERROR(__xludf.DUMMYFUNCTION("""COMPUTED_VALUE"""),"Manager who explains what is expected, sets a goal and helps achieve it")</f>
        <v>Manager who explains what is expected, sets a goal and helps achieve it</v>
      </c>
      <c r="P2294" s="1" t="str">
        <f ca="1">IFERROR(__xludf.DUMMYFUNCTION("""COMPUTED_VALUE"""),"Work alone, Work with 7 to 10 or more people in my team")</f>
        <v>Work alone, Work with 7 to 10 or more people in my team</v>
      </c>
      <c r="Q2294" s="1" t="str">
        <f ca="1">IFERROR(__xludf.DUMMYFUNCTION("""COMPUTED_VALUE"""),"Yes, I Understand this is gonna happen everywhere")</f>
        <v>Yes, I Understand this is gonna happen everywhere</v>
      </c>
      <c r="R2294" s="1" t="str">
        <f ca="1">IFERROR(__xludf.DUMMYFUNCTION("""COMPUTED_VALUE"""),"This will be hard to do, but if it is the right company I would try")</f>
        <v>This will be hard to do, but if it is the right company I would try</v>
      </c>
      <c r="S2294" s="1" t="str">
        <f ca="1">IFERROR(__xludf.DUMMYFUNCTION("""COMPUTED_VALUE"""),"rachitsarraf7004@gmail.com")</f>
        <v>rachitsarraf7004@gmail.com</v>
      </c>
    </row>
    <row r="2295" spans="1:19" ht="12.5" x14ac:dyDescent="0.25">
      <c r="A2295" s="2">
        <f ca="1">IFERROR(__xludf.DUMMYFUNCTION("""COMPUTED_VALUE"""),45064.2631166435)</f>
        <v>45064.263116643502</v>
      </c>
      <c r="B2295" s="1" t="str">
        <f ca="1">IFERROR(__xludf.DUMMYFUNCTION("""COMPUTED_VALUE"""),"India")</f>
        <v>India</v>
      </c>
      <c r="C2295" s="1">
        <f ca="1">IFERROR(__xludf.DUMMYFUNCTION("""COMPUTED_VALUE"""),560078)</f>
        <v>560078</v>
      </c>
      <c r="D2295" s="1" t="str">
        <f ca="1">IFERROR(__xludf.DUMMYFUNCTION("""COMPUTED_VALUE"""),"Male")</f>
        <v>Male</v>
      </c>
      <c r="E2295" s="1" t="str">
        <f ca="1">IFERROR(__xludf.DUMMYFUNCTION("""COMPUTED_VALUE"""),"My Parents")</f>
        <v>My Parents</v>
      </c>
      <c r="F2295" s="1" t="str">
        <f ca="1">IFERROR(__xludf.DUMMYFUNCTION("""COMPUTED_VALUE"""),"No, But if someone could bare the cost I will")</f>
        <v>No, But if someone could bare the cost I will</v>
      </c>
      <c r="G2295" s="1" t="str">
        <f ca="1">IFERROR(__xludf.DUMMYFUNCTION("""COMPUTED_VALUE"""),"This will be hard to do, but if it is the right company I would try")</f>
        <v>This will be hard to do, but if it is the right company I would try</v>
      </c>
      <c r="H2295" s="1" t="str">
        <f ca="1">IFERROR(__xludf.DUMMYFUNCTION("""COMPUTED_VALUE"""),"No")</f>
        <v>No</v>
      </c>
      <c r="I2295" s="1" t="str">
        <f ca="1">IFERROR(__xludf.DUMMYFUNCTION("""COMPUTED_VALUE"""),"Will NOT work for them")</f>
        <v>Will NOT work for them</v>
      </c>
      <c r="J2295" s="1">
        <f ca="1">IFERROR(__xludf.DUMMYFUNCTION("""COMPUTED_VALUE"""),8)</f>
        <v>8</v>
      </c>
      <c r="K2295" s="1" t="str">
        <f ca="1">IFERROR(__xludf.DUMMYFUNCTION("""COMPUTED_VALUE"""),"Fully Remote with Options to travel as and when needed")</f>
        <v>Fully Remote with Options to travel as and when needed</v>
      </c>
      <c r="L2295" s="1" t="str">
        <f ca="1">IFERROR(__xludf.DUMMYFUNCTION("""COMPUTED_VALUE"""),"Employer who rewards learning and enables that environment")</f>
        <v>Employer who rewards learning and enables that environment</v>
      </c>
      <c r="M229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295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2295" s="1" t="str">
        <f ca="1">IFERROR(__xludf.DUMMYFUNCTION("""COMPUTED_VALUE"""),"Manager who explains what is expected, sets a goal and helps achieve it")</f>
        <v>Manager who explains what is expected, sets a goal and helps achieve it</v>
      </c>
      <c r="P2295" s="1" t="str">
        <f ca="1">IFERROR(__xludf.DUMMYFUNCTION("""COMPUTED_VALUE"""),"Work alone")</f>
        <v>Work alone</v>
      </c>
      <c r="Q2295" s="1" t="str">
        <f ca="1">IFERROR(__xludf.DUMMYFUNCTION("""COMPUTED_VALUE"""),"Yes, I Understand this is gonna happen everywhere")</f>
        <v>Yes, I Understand this is gonna happen everywhere</v>
      </c>
      <c r="R2295" s="1" t="str">
        <f ca="1">IFERROR(__xludf.DUMMYFUNCTION("""COMPUTED_VALUE"""),"This will be hard to do, but if it is the right company I would try")</f>
        <v>This will be hard to do, but if it is the right company I would try</v>
      </c>
      <c r="S2295" s="1" t="str">
        <f ca="1">IFERROR(__xludf.DUMMYFUNCTION("""COMPUTED_VALUE"""),"chouhanvishald@gmail.com")</f>
        <v>chouhanvishald@gmail.com</v>
      </c>
    </row>
    <row r="2296" spans="1:19" ht="12.5" x14ac:dyDescent="0.25">
      <c r="A2296" s="2">
        <f ca="1">IFERROR(__xludf.DUMMYFUNCTION("""COMPUTED_VALUE"""),45064.2821271064)</f>
        <v>45064.282127106402</v>
      </c>
      <c r="B2296" s="1" t="str">
        <f ca="1">IFERROR(__xludf.DUMMYFUNCTION("""COMPUTED_VALUE"""),"India")</f>
        <v>India</v>
      </c>
      <c r="C2296" s="1">
        <f ca="1">IFERROR(__xludf.DUMMYFUNCTION("""COMPUTED_VALUE"""),123401)</f>
        <v>123401</v>
      </c>
      <c r="D2296" s="1" t="str">
        <f ca="1">IFERROR(__xludf.DUMMYFUNCTION("""COMPUTED_VALUE"""),"Female")</f>
        <v>Female</v>
      </c>
      <c r="E2296" s="1" t="str">
        <f ca="1">IFERROR(__xludf.DUMMYFUNCTION("""COMPUTED_VALUE"""),"People who have changed the world for better")</f>
        <v>People who have changed the world for better</v>
      </c>
      <c r="F2296" s="1" t="str">
        <f ca="1">IFERROR(__xludf.DUMMYFUNCTION("""COMPUTED_VALUE"""),"No I would not be pursuing Higher Education outside of India")</f>
        <v>No I would not be pursuing Higher Education outside of India</v>
      </c>
      <c r="G2296" s="1" t="str">
        <f ca="1">IFERROR(__xludf.DUMMYFUNCTION("""COMPUTED_VALUE"""),"Will work for 3 years or more")</f>
        <v>Will work for 3 years or more</v>
      </c>
      <c r="H2296" s="1" t="str">
        <f ca="1">IFERROR(__xludf.DUMMYFUNCTION("""COMPUTED_VALUE"""),"No")</f>
        <v>No</v>
      </c>
      <c r="I2296" s="1" t="str">
        <f ca="1">IFERROR(__xludf.DUMMYFUNCTION("""COMPUTED_VALUE"""),"Will NOT work for them")</f>
        <v>Will NOT work for them</v>
      </c>
      <c r="J2296" s="1">
        <f ca="1">IFERROR(__xludf.DUMMYFUNCTION("""COMPUTED_VALUE"""),3)</f>
        <v>3</v>
      </c>
      <c r="K2296" s="1" t="str">
        <f ca="1">IFERROR(__xludf.DUMMYFUNCTION("""COMPUTED_VALUE"""),"Hybrid Working Environment with less than 3 days a month at office")</f>
        <v>Hybrid Working Environment with less than 3 days a month at office</v>
      </c>
      <c r="L2296" s="1" t="str">
        <f ca="1">IFERROR(__xludf.DUMMYFUNCTION("""COMPUTED_VALUE"""),"Employer who appreciates learning and enables that environment")</f>
        <v>Employer who appreciates learning and enables that environment</v>
      </c>
      <c r="M229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296" s="1" t="str">
        <f ca="1">IFERROR(__xludf.DUMMYFUNCTION("""COMPUTED_VALUE"""),"Teaching in any of the institutes/colleges/online or offline, Business Operations in any organization, Look deeply into Data and generate insights, Entrepreneur or Start Up")</f>
        <v>Teaching in any of the institutes/colleges/online or offline, Business Operations in any organization, Look deeply into Data and generate insights, Entrepreneur or Start Up</v>
      </c>
      <c r="O2296" s="1" t="str">
        <f ca="1">IFERROR(__xludf.DUMMYFUNCTION("""COMPUTED_VALUE"""),"Manager who explains what is expected, sets a goal and helps achieve it")</f>
        <v>Manager who explains what is expected, sets a goal and helps achieve it</v>
      </c>
      <c r="P2296" s="1" t="str">
        <f ca="1">IFERROR(__xludf.DUMMYFUNCTION("""COMPUTED_VALUE"""),"Work with 2 to 3 people in my team")</f>
        <v>Work with 2 to 3 people in my team</v>
      </c>
      <c r="Q2296" s="1" t="str">
        <f ca="1">IFERROR(__xludf.DUMMYFUNCTION("""COMPUTED_VALUE"""),"Yes, I Understand this is gonna happen everywhere")</f>
        <v>Yes, I Understand this is gonna happen everywhere</v>
      </c>
      <c r="R2296" s="1" t="str">
        <f ca="1">IFERROR(__xludf.DUMMYFUNCTION("""COMPUTED_VALUE"""),"This will be hard to do, but if it is the right company I would try")</f>
        <v>This will be hard to do, but if it is the right company I would try</v>
      </c>
      <c r="S2296" s="1" t="str">
        <f ca="1">IFERROR(__xludf.DUMMYFUNCTION("""COMPUTED_VALUE"""),"vidhiydvydv010@gmail.com")</f>
        <v>vidhiydvydv010@gmail.com</v>
      </c>
    </row>
    <row r="2297" spans="1:19" ht="12.5" x14ac:dyDescent="0.25">
      <c r="A2297" s="2">
        <f ca="1">IFERROR(__xludf.DUMMYFUNCTION("""COMPUTED_VALUE"""),45064.287397662)</f>
        <v>45064.287397662003</v>
      </c>
      <c r="B2297" s="1" t="str">
        <f ca="1">IFERROR(__xludf.DUMMYFUNCTION("""COMPUTED_VALUE"""),"India")</f>
        <v>India</v>
      </c>
      <c r="C2297" s="1">
        <f ca="1">IFERROR(__xludf.DUMMYFUNCTION("""COMPUTED_VALUE"""),560067)</f>
        <v>560067</v>
      </c>
      <c r="D2297" s="1" t="str">
        <f ca="1">IFERROR(__xludf.DUMMYFUNCTION("""COMPUTED_VALUE"""),"Male")</f>
        <v>Male</v>
      </c>
      <c r="E2297" s="1" t="str">
        <f ca="1">IFERROR(__xludf.DUMMYFUNCTION("""COMPUTED_VALUE"""),"People who have changed the world for better")</f>
        <v>People who have changed the world for better</v>
      </c>
      <c r="F2297" s="1" t="str">
        <f ca="1">IFERROR(__xludf.DUMMYFUNCTION("""COMPUTED_VALUE"""),"No I would not be pursuing Higher Education outside of India")</f>
        <v>No I would not be pursuing Higher Education outside of India</v>
      </c>
      <c r="G2297" s="1" t="str">
        <f ca="1">IFERROR(__xludf.DUMMYFUNCTION("""COMPUTED_VALUE"""),"Will work for 3 years or more")</f>
        <v>Will work for 3 years or more</v>
      </c>
      <c r="H2297" s="1" t="str">
        <f ca="1">IFERROR(__xludf.DUMMYFUNCTION("""COMPUTED_VALUE"""),"No")</f>
        <v>No</v>
      </c>
      <c r="I2297" s="1" t="str">
        <f ca="1">IFERROR(__xludf.DUMMYFUNCTION("""COMPUTED_VALUE"""),"Will NOT work for them")</f>
        <v>Will NOT work for them</v>
      </c>
      <c r="J2297" s="1">
        <f ca="1">IFERROR(__xludf.DUMMYFUNCTION("""COMPUTED_VALUE"""),5)</f>
        <v>5</v>
      </c>
      <c r="K2297" s="1" t="str">
        <f ca="1">IFERROR(__xludf.DUMMYFUNCTION("""COMPUTED_VALUE"""),"Hybrid Working Environment with more than 15 days a month at office")</f>
        <v>Hybrid Working Environment with more than 15 days a month at office</v>
      </c>
      <c r="L22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97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297" s="1" t="str">
        <f ca="1">IFERROR(__xludf.DUMMYFUNCTION("""COMPUTED_VALUE"""),"Design and Develop amazing software, Look deeply into Data and generate insights, Entrepreneur or Start Up, An Artificial Intelligence Specialist / Talking to Robots")</f>
        <v>Design and Develop amazing software, Look deeply into Data and generate insights, Entrepreneur or Start Up, An Artificial Intelligence Specialist / Talking to Robots</v>
      </c>
      <c r="O2297" s="1" t="str">
        <f ca="1">IFERROR(__xludf.DUMMYFUNCTION("""COMPUTED_VALUE"""),"Manager who explains what is expected, sets a goal and helps achieve it")</f>
        <v>Manager who explains what is expected, sets a goal and helps achieve it</v>
      </c>
      <c r="P2297" s="1" t="str">
        <f ca="1">IFERROR(__xludf.DUMMYFUNCTION("""COMPUTED_VALUE"""),"Work with 2 to 3 people in my team")</f>
        <v>Work with 2 to 3 people in my team</v>
      </c>
      <c r="Q2297" s="1" t="str">
        <f ca="1">IFERROR(__xludf.DUMMYFUNCTION("""COMPUTED_VALUE"""),"I have NO other choice")</f>
        <v>I have NO other choice</v>
      </c>
      <c r="R2297" s="1" t="str">
        <f ca="1">IFERROR(__xludf.DUMMYFUNCTION("""COMPUTED_VALUE"""),"Will work for 7 years or more")</f>
        <v>Will work for 7 years or more</v>
      </c>
      <c r="S2297" s="1" t="str">
        <f ca="1">IFERROR(__xludf.DUMMYFUNCTION("""COMPUTED_VALUE"""),"gururajsnaik115@gmail.com")</f>
        <v>gururajsnaik115@gmail.com</v>
      </c>
    </row>
    <row r="2298" spans="1:19" ht="12.5" x14ac:dyDescent="0.25">
      <c r="A2298" s="2">
        <f ca="1">IFERROR(__xludf.DUMMYFUNCTION("""COMPUTED_VALUE"""),45064.2875952083)</f>
        <v>45064.287595208298</v>
      </c>
      <c r="B2298" s="1" t="str">
        <f ca="1">IFERROR(__xludf.DUMMYFUNCTION("""COMPUTED_VALUE"""),"India")</f>
        <v>India</v>
      </c>
      <c r="C2298" s="1">
        <f ca="1">IFERROR(__xludf.DUMMYFUNCTION("""COMPUTED_VALUE"""),533101)</f>
        <v>533101</v>
      </c>
      <c r="D2298" s="1" t="str">
        <f ca="1">IFERROR(__xludf.DUMMYFUNCTION("""COMPUTED_VALUE"""),"Female")</f>
        <v>Female</v>
      </c>
      <c r="E2298" s="1" t="str">
        <f ca="1">IFERROR(__xludf.DUMMYFUNCTION("""COMPUTED_VALUE"""),"My Parents")</f>
        <v>My Parents</v>
      </c>
      <c r="F2298" s="1" t="str">
        <f ca="1">IFERROR(__xludf.DUMMYFUNCTION("""COMPUTED_VALUE"""),"No, But if someone could bare the cost I will")</f>
        <v>No, But if someone could bare the cost I will</v>
      </c>
      <c r="G2298" s="1" t="str">
        <f ca="1">IFERROR(__xludf.DUMMYFUNCTION("""COMPUTED_VALUE"""),"Will work for 3 years or more")</f>
        <v>Will work for 3 years or more</v>
      </c>
      <c r="H2298" s="1" t="str">
        <f ca="1">IFERROR(__xludf.DUMMYFUNCTION("""COMPUTED_VALUE"""),"Yes")</f>
        <v>Yes</v>
      </c>
      <c r="I2298" s="1" t="str">
        <f ca="1">IFERROR(__xludf.DUMMYFUNCTION("""COMPUTED_VALUE"""),"Will NOT work for them")</f>
        <v>Will NOT work for them</v>
      </c>
      <c r="J2298" s="1">
        <f ca="1">IFERROR(__xludf.DUMMYFUNCTION("""COMPUTED_VALUE"""),5)</f>
        <v>5</v>
      </c>
      <c r="K2298" s="1" t="str">
        <f ca="1">IFERROR(__xludf.DUMMYFUNCTION("""COMPUTED_VALUE"""),"Hybrid Working Environment with less than 3 days a month at office")</f>
        <v>Hybrid Working Environment with less than 3 days a month at office</v>
      </c>
      <c r="L2298" s="1" t="str">
        <f ca="1">IFERROR(__xludf.DUMMYFUNCTION("""COMPUTED_VALUE"""),"Employer who rewards learning and enables that environment")</f>
        <v>Employer who rewards learning and enables that environment</v>
      </c>
      <c r="M229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298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2298" s="1" t="str">
        <f ca="1">IFERROR(__xludf.DUMMYFUNCTION("""COMPUTED_VALUE"""),"Manager who clearly describes what she/he needs")</f>
        <v>Manager who clearly describes what she/he needs</v>
      </c>
      <c r="P229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298" s="1" t="str">
        <f ca="1">IFERROR(__xludf.DUMMYFUNCTION("""COMPUTED_VALUE"""),"Yes, I Understand this is gonna happen everywhere")</f>
        <v>Yes, I Understand this is gonna happen everywhere</v>
      </c>
      <c r="R2298" s="1" t="str">
        <f ca="1">IFERROR(__xludf.DUMMYFUNCTION("""COMPUTED_VALUE"""),"This will be hard to do, but if it is the right company I would try")</f>
        <v>This will be hard to do, but if it is the right company I would try</v>
      </c>
      <c r="S2298" s="1" t="str">
        <f ca="1">IFERROR(__xludf.DUMMYFUNCTION("""COMPUTED_VALUE"""),"sulochanavoduri333@gmail.com")</f>
        <v>sulochanavoduri333@gmail.com</v>
      </c>
    </row>
    <row r="2299" spans="1:19" ht="12.5" x14ac:dyDescent="0.25">
      <c r="A2299" s="2">
        <f ca="1">IFERROR(__xludf.DUMMYFUNCTION("""COMPUTED_VALUE"""),45064.3119454629)</f>
        <v>45064.311945462898</v>
      </c>
      <c r="B2299" s="1" t="str">
        <f ca="1">IFERROR(__xludf.DUMMYFUNCTION("""COMPUTED_VALUE"""),"India")</f>
        <v>India</v>
      </c>
      <c r="C2299" s="1">
        <f ca="1">IFERROR(__xludf.DUMMYFUNCTION("""COMPUTED_VALUE"""),522003)</f>
        <v>522003</v>
      </c>
      <c r="D2299" s="1" t="str">
        <f ca="1">IFERROR(__xludf.DUMMYFUNCTION("""COMPUTED_VALUE"""),"Female")</f>
        <v>Female</v>
      </c>
      <c r="E2299" s="1" t="str">
        <f ca="1">IFERROR(__xludf.DUMMYFUNCTION("""COMPUTED_VALUE"""),"Influencers who had successful careers")</f>
        <v>Influencers who had successful careers</v>
      </c>
      <c r="F2299" s="1" t="str">
        <f ca="1">IFERROR(__xludf.DUMMYFUNCTION("""COMPUTED_VALUE"""),"No I would not be pursuing Higher Education outside of India")</f>
        <v>No I would not be pursuing Higher Education outside of India</v>
      </c>
      <c r="G2299" s="1" t="str">
        <f ca="1">IFERROR(__xludf.DUMMYFUNCTION("""COMPUTED_VALUE"""),"This will be hard to do, but if it is the right company I would try")</f>
        <v>This will be hard to do, but if it is the right company I would try</v>
      </c>
      <c r="H2299" s="1" t="str">
        <f ca="1">IFERROR(__xludf.DUMMYFUNCTION("""COMPUTED_VALUE"""),"No")</f>
        <v>No</v>
      </c>
      <c r="I2299" s="1" t="str">
        <f ca="1">IFERROR(__xludf.DUMMYFUNCTION("""COMPUTED_VALUE"""),"Will NOT work for them")</f>
        <v>Will NOT work for them</v>
      </c>
      <c r="J2299" s="1">
        <f ca="1">IFERROR(__xludf.DUMMYFUNCTION("""COMPUTED_VALUE"""),5)</f>
        <v>5</v>
      </c>
      <c r="K2299" s="1" t="str">
        <f ca="1">IFERROR(__xludf.DUMMYFUNCTION("""COMPUTED_VALUE"""),"Every Day Office Environment")</f>
        <v>Every Day Office Environment</v>
      </c>
      <c r="L22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29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299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299" s="1" t="str">
        <f ca="1">IFERROR(__xludf.DUMMYFUNCTION("""COMPUTED_VALUE"""),"Manager who explains what is expected, sets a goal and helps achieve it")</f>
        <v>Manager who explains what is expected, sets a goal and helps achieve it</v>
      </c>
      <c r="P2299" s="1" t="str">
        <f ca="1">IFERROR(__xludf.DUMMYFUNCTION("""COMPUTED_VALUE"""),"Work with 5 to 6 people in my team")</f>
        <v>Work with 5 to 6 people in my team</v>
      </c>
      <c r="Q2299" s="1" t="str">
        <f ca="1">IFERROR(__xludf.DUMMYFUNCTION("""COMPUTED_VALUE"""),"No")</f>
        <v>No</v>
      </c>
      <c r="R2299" s="1" t="str">
        <f ca="1">IFERROR(__xludf.DUMMYFUNCTION("""COMPUTED_VALUE"""),"This will be hard to do, but if it is the right company I would try")</f>
        <v>This will be hard to do, but if it is the right company I would try</v>
      </c>
      <c r="S2299" s="1" t="str">
        <f ca="1">IFERROR(__xludf.DUMMYFUNCTION("""COMPUTED_VALUE"""),"skaakifa14@gmail.com")</f>
        <v>skaakifa14@gmail.com</v>
      </c>
    </row>
    <row r="2300" spans="1:19" ht="12.5" x14ac:dyDescent="0.25">
      <c r="A2300" s="2">
        <f ca="1">IFERROR(__xludf.DUMMYFUNCTION("""COMPUTED_VALUE"""),45064.3122909143)</f>
        <v>45064.312290914299</v>
      </c>
      <c r="B2300" s="1" t="str">
        <f ca="1">IFERROR(__xludf.DUMMYFUNCTION("""COMPUTED_VALUE"""),"India")</f>
        <v>India</v>
      </c>
      <c r="C2300" s="1">
        <f ca="1">IFERROR(__xludf.DUMMYFUNCTION("""COMPUTED_VALUE"""),581115)</f>
        <v>581115</v>
      </c>
      <c r="D2300" s="1" t="str">
        <f ca="1">IFERROR(__xludf.DUMMYFUNCTION("""COMPUTED_VALUE"""),"Male")</f>
        <v>Male</v>
      </c>
      <c r="E2300" s="1" t="str">
        <f ca="1">IFERROR(__xludf.DUMMYFUNCTION("""COMPUTED_VALUE"""),"Social Media like LinkedIn")</f>
        <v>Social Media like LinkedIn</v>
      </c>
      <c r="F2300" s="1" t="str">
        <f ca="1">IFERROR(__xludf.DUMMYFUNCTION("""COMPUTED_VALUE"""),"No I would not be pursuing Higher Education outside of India")</f>
        <v>No I would not be pursuing Higher Education outside of India</v>
      </c>
      <c r="G2300" s="1" t="str">
        <f ca="1">IFERROR(__xludf.DUMMYFUNCTION("""COMPUTED_VALUE"""),"Will work for 3 years or more")</f>
        <v>Will work for 3 years or more</v>
      </c>
      <c r="H2300" s="1" t="str">
        <f ca="1">IFERROR(__xludf.DUMMYFUNCTION("""COMPUTED_VALUE"""),"No")</f>
        <v>No</v>
      </c>
      <c r="I2300" s="1" t="str">
        <f ca="1">IFERROR(__xludf.DUMMYFUNCTION("""COMPUTED_VALUE"""),"Will NOT work for them")</f>
        <v>Will NOT work for them</v>
      </c>
      <c r="J2300" s="1">
        <f ca="1">IFERROR(__xludf.DUMMYFUNCTION("""COMPUTED_VALUE"""),5)</f>
        <v>5</v>
      </c>
      <c r="K2300" s="1" t="str">
        <f ca="1">IFERROR(__xludf.DUMMYFUNCTION("""COMPUTED_VALUE"""),"Every Day Office Environment")</f>
        <v>Every Day Office Environment</v>
      </c>
      <c r="L2300" s="1" t="str">
        <f ca="1">IFERROR(__xludf.DUMMYFUNCTION("""COMPUTED_VALUE"""),"Employer who appreciates learning and enables that environment")</f>
        <v>Employer who appreciates learning and enables that environment</v>
      </c>
      <c r="M230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300" s="1" t="str">
        <f ca="1">IFERROR(__xludf.DUMMYFUNCTION("""COMPUTED_VALUE"""),"Business Operations in any organization, Build and develop a Team, Design and Develop amazing software, An Artificial Intelligence Specialist / Talking to Robots")</f>
        <v>Business Operations in any organization, Build and develop a Team, Design and Develop amazing software, An Artificial Intelligence Specialist / Talking to Robots</v>
      </c>
      <c r="O2300" s="1" t="str">
        <f ca="1">IFERROR(__xludf.DUMMYFUNCTION("""COMPUTED_VALUE"""),"Manager who clearly describes what she/he needs")</f>
        <v>Manager who clearly describes what she/he needs</v>
      </c>
      <c r="P2300" s="1" t="str">
        <f ca="1">IFERROR(__xludf.DUMMYFUNCTION("""COMPUTED_VALUE"""),"Work with more than 10 people in my team")</f>
        <v>Work with more than 10 people in my team</v>
      </c>
      <c r="Q2300" s="1" t="str">
        <f ca="1">IFERROR(__xludf.DUMMYFUNCTION("""COMPUTED_VALUE"""),"Yes, I Understand this is gonna happen everywhere")</f>
        <v>Yes, I Understand this is gonna happen everywhere</v>
      </c>
      <c r="R2300" s="1" t="str">
        <f ca="1">IFERROR(__xludf.DUMMYFUNCTION("""COMPUTED_VALUE"""),"Will work for 7 years or more")</f>
        <v>Will work for 7 years or more</v>
      </c>
      <c r="S2300" s="1" t="str">
        <f ca="1">IFERROR(__xludf.DUMMYFUNCTION("""COMPUTED_VALUE"""),"bakaleprajwal@gmail.com")</f>
        <v>bakaleprajwal@gmail.com</v>
      </c>
    </row>
    <row r="2301" spans="1:19" ht="12.5" x14ac:dyDescent="0.25">
      <c r="A2301" s="2">
        <f ca="1">IFERROR(__xludf.DUMMYFUNCTION("""COMPUTED_VALUE"""),45064.3176253125)</f>
        <v>45064.317625312498</v>
      </c>
      <c r="B2301" s="1" t="str">
        <f ca="1">IFERROR(__xludf.DUMMYFUNCTION("""COMPUTED_VALUE"""),"India")</f>
        <v>India</v>
      </c>
      <c r="C2301" s="1">
        <f ca="1">IFERROR(__xludf.DUMMYFUNCTION("""COMPUTED_VALUE"""),600116)</f>
        <v>600116</v>
      </c>
      <c r="D2301" s="1" t="str">
        <f ca="1">IFERROR(__xludf.DUMMYFUNCTION("""COMPUTED_VALUE"""),"Female")</f>
        <v>Female</v>
      </c>
      <c r="E2301" s="1" t="str">
        <f ca="1">IFERROR(__xludf.DUMMYFUNCTION("""COMPUTED_VALUE"""),"Influencers who had successful careers")</f>
        <v>Influencers who had successful careers</v>
      </c>
      <c r="F2301" s="1" t="str">
        <f ca="1">IFERROR(__xludf.DUMMYFUNCTION("""COMPUTED_VALUE"""),"No, But if someone could bare the cost I will")</f>
        <v>No, But if someone could bare the cost I will</v>
      </c>
      <c r="G2301" s="1" t="str">
        <f ca="1">IFERROR(__xludf.DUMMYFUNCTION("""COMPUTED_VALUE"""),"This will be hard to do, but if it is the right company I would try")</f>
        <v>This will be hard to do, but if it is the right company I would try</v>
      </c>
      <c r="H2301" s="1" t="str">
        <f ca="1">IFERROR(__xludf.DUMMYFUNCTION("""COMPUTED_VALUE"""),"No")</f>
        <v>No</v>
      </c>
      <c r="I2301" s="1" t="str">
        <f ca="1">IFERROR(__xludf.DUMMYFUNCTION("""COMPUTED_VALUE"""),"Will NOT work for them")</f>
        <v>Will NOT work for them</v>
      </c>
      <c r="J2301" s="1">
        <f ca="1">IFERROR(__xludf.DUMMYFUNCTION("""COMPUTED_VALUE"""),6)</f>
        <v>6</v>
      </c>
      <c r="K2301" s="1" t="str">
        <f ca="1">IFERROR(__xludf.DUMMYFUNCTION("""COMPUTED_VALUE"""),"Hybrid Working Environment with less than 3 days a month at office")</f>
        <v>Hybrid Working Environment with less than 3 days a month at office</v>
      </c>
      <c r="L2301" s="1" t="str">
        <f ca="1">IFERROR(__xludf.DUMMYFUNCTION("""COMPUTED_VALUE"""),"Employer who appreciates learning and enables that environment")</f>
        <v>Employer who appreciates learning and enables that environment</v>
      </c>
      <c r="M230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01" s="1" t="str">
        <f ca="1">IFERROR(__xludf.DUMMYFUNCTION("""COMPUTED_VALUE"""),"Look deeply into Data and generate insights, Work as a freelancer and do my thing my way, Entrepreneur or Start Up, An Artificial Intelligence Specialist / Talking to Robots")</f>
        <v>Look deeply into Data and generate insights, Work as a freelancer and do my thing my way, Entrepreneur or Start Up, An Artificial Intelligence Specialist / Talking to Robots</v>
      </c>
      <c r="O2301" s="1" t="str">
        <f ca="1">IFERROR(__xludf.DUMMYFUNCTION("""COMPUTED_VALUE"""),"Manager who explains what is expected, sets a goal and helps achieve it")</f>
        <v>Manager who explains what is expected, sets a goal and helps achieve it</v>
      </c>
      <c r="P2301" s="1" t="str">
        <f ca="1">IFERROR(__xludf.DUMMYFUNCTION("""COMPUTED_VALUE"""),"Work with 5 to 6 people in my team")</f>
        <v>Work with 5 to 6 people in my team</v>
      </c>
      <c r="Q2301" s="1" t="str">
        <f ca="1">IFERROR(__xludf.DUMMYFUNCTION("""COMPUTED_VALUE"""),"Yes, I Understand this is gonna happen everywhere")</f>
        <v>Yes, I Understand this is gonna happen everywhere</v>
      </c>
      <c r="R2301" s="1" t="str">
        <f ca="1">IFERROR(__xludf.DUMMYFUNCTION("""COMPUTED_VALUE"""),"This will be hard to do, but if it is the right company I would try")</f>
        <v>This will be hard to do, but if it is the right company I would try</v>
      </c>
      <c r="S2301" s="1" t="str">
        <f ca="1">IFERROR(__xludf.DUMMYFUNCTION("""COMPUTED_VALUE"""),"mynenipushpa83@gmail.com")</f>
        <v>mynenipushpa83@gmail.com</v>
      </c>
    </row>
    <row r="2302" spans="1:19" ht="12.5" x14ac:dyDescent="0.25">
      <c r="A2302" s="2">
        <f ca="1">IFERROR(__xludf.DUMMYFUNCTION("""COMPUTED_VALUE"""),45064.3204960069)</f>
        <v>45064.320496006898</v>
      </c>
      <c r="B2302" s="1" t="str">
        <f ca="1">IFERROR(__xludf.DUMMYFUNCTION("""COMPUTED_VALUE"""),"India")</f>
        <v>India</v>
      </c>
      <c r="C2302" s="1">
        <f ca="1">IFERROR(__xludf.DUMMYFUNCTION("""COMPUTED_VALUE"""),637017)</f>
        <v>637017</v>
      </c>
      <c r="D2302" s="1" t="str">
        <f ca="1">IFERROR(__xludf.DUMMYFUNCTION("""COMPUTED_VALUE"""),"Female")</f>
        <v>Female</v>
      </c>
      <c r="E2302" s="1" t="str">
        <f ca="1">IFERROR(__xludf.DUMMYFUNCTION("""COMPUTED_VALUE"""),"People from my circle, but not family members")</f>
        <v>People from my circle, but not family members</v>
      </c>
      <c r="F2302" s="1" t="str">
        <f ca="1">IFERROR(__xludf.DUMMYFUNCTION("""COMPUTED_VALUE"""),"No I would not be pursuing Higher Education outside of India")</f>
        <v>No I would not be pursuing Higher Education outside of India</v>
      </c>
      <c r="G2302" s="1" t="str">
        <f ca="1">IFERROR(__xludf.DUMMYFUNCTION("""COMPUTED_VALUE"""),"This will be hard to do, but if it is the right company I would try")</f>
        <v>This will be hard to do, but if it is the right company I would try</v>
      </c>
      <c r="H2302" s="1" t="str">
        <f ca="1">IFERROR(__xludf.DUMMYFUNCTION("""COMPUTED_VALUE"""),"Yes")</f>
        <v>Yes</v>
      </c>
      <c r="I2302" s="1" t="str">
        <f ca="1">IFERROR(__xludf.DUMMYFUNCTION("""COMPUTED_VALUE"""),"Will work for them")</f>
        <v>Will work for them</v>
      </c>
      <c r="J2302" s="1">
        <f ca="1">IFERROR(__xludf.DUMMYFUNCTION("""COMPUTED_VALUE"""),1)</f>
        <v>1</v>
      </c>
      <c r="K2302" s="1" t="str">
        <f ca="1">IFERROR(__xludf.DUMMYFUNCTION("""COMPUTED_VALUE"""),"Fully Remote with Options to travel as and when needed")</f>
        <v>Fully Remote with Options to travel as and when needed</v>
      </c>
      <c r="L2302" s="1" t="str">
        <f ca="1">IFERROR(__xludf.DUMMYFUNCTION("""COMPUTED_VALUE"""),"Employer who rewards learning and enables that environment")</f>
        <v>Employer who rewards learning and enables that environment</v>
      </c>
      <c r="M230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302" s="1" t="str">
        <f ca="1">IFERROR(__xludf.DUMMYFUNCTION("""COMPUTED_VALUE"""),"Business Operations in any organization, Manage and drive End-to-End Projects or Products, Build and develop a Team, Work as a freelancer and do my thing my way")</f>
        <v>Business Operations in any organization, Manage and drive End-to-End Projects or Products, Build and develop a Team, Work as a freelancer and do my thing my way</v>
      </c>
      <c r="O2302" s="1" t="str">
        <f ca="1">IFERROR(__xludf.DUMMYFUNCTION("""COMPUTED_VALUE"""),"Manager who sets goal and helps me achieve it")</f>
        <v>Manager who sets goal and helps me achieve it</v>
      </c>
      <c r="P2302" s="1" t="str">
        <f ca="1">IFERROR(__xludf.DUMMYFUNCTION("""COMPUTED_VALUE"""),"Work with 7 to 10 or more people in my team")</f>
        <v>Work with 7 to 10 or more people in my team</v>
      </c>
      <c r="Q2302" s="1" t="str">
        <f ca="1">IFERROR(__xludf.DUMMYFUNCTION("""COMPUTED_VALUE"""),"Yes, I Understand this is gonna happen everywhere")</f>
        <v>Yes, I Understand this is gonna happen everywhere</v>
      </c>
      <c r="R2302" s="1" t="str">
        <f ca="1">IFERROR(__xludf.DUMMYFUNCTION("""COMPUTED_VALUE"""),"This will be hard to do, but if it is the right company I would try")</f>
        <v>This will be hard to do, but if it is the right company I would try</v>
      </c>
      <c r="S2302" s="1" t="str">
        <f ca="1">IFERROR(__xludf.DUMMYFUNCTION("""COMPUTED_VALUE"""),"aarthivelu3005@gmail.com")</f>
        <v>aarthivelu3005@gmail.com</v>
      </c>
    </row>
    <row r="2303" spans="1:19" ht="12.5" x14ac:dyDescent="0.25">
      <c r="A2303" s="2">
        <f ca="1">IFERROR(__xludf.DUMMYFUNCTION("""COMPUTED_VALUE"""),45064.3286172916)</f>
        <v>45064.328617291598</v>
      </c>
      <c r="B2303" s="1" t="str">
        <f ca="1">IFERROR(__xludf.DUMMYFUNCTION("""COMPUTED_VALUE"""),"India")</f>
        <v>India</v>
      </c>
      <c r="C2303" s="1">
        <f ca="1">IFERROR(__xludf.DUMMYFUNCTION("""COMPUTED_VALUE"""),560067)</f>
        <v>560067</v>
      </c>
      <c r="D2303" s="1" t="str">
        <f ca="1">IFERROR(__xludf.DUMMYFUNCTION("""COMPUTED_VALUE"""),"Female")</f>
        <v>Female</v>
      </c>
      <c r="E2303" s="1" t="str">
        <f ca="1">IFERROR(__xludf.DUMMYFUNCTION("""COMPUTED_VALUE"""),"My Parents")</f>
        <v>My Parents</v>
      </c>
      <c r="F2303" s="1" t="str">
        <f ca="1">IFERROR(__xludf.DUMMYFUNCTION("""COMPUTED_VALUE"""),"No I would not be pursuing Higher Education outside of India")</f>
        <v>No I would not be pursuing Higher Education outside of India</v>
      </c>
      <c r="G2303" s="1" t="str">
        <f ca="1">IFERROR(__xludf.DUMMYFUNCTION("""COMPUTED_VALUE"""),"Will work for 3 years or more")</f>
        <v>Will work for 3 years or more</v>
      </c>
      <c r="H2303" s="1" t="str">
        <f ca="1">IFERROR(__xludf.DUMMYFUNCTION("""COMPUTED_VALUE"""),"No")</f>
        <v>No</v>
      </c>
      <c r="I2303" s="1" t="str">
        <f ca="1">IFERROR(__xludf.DUMMYFUNCTION("""COMPUTED_VALUE"""),"Will NOT work for them")</f>
        <v>Will NOT work for them</v>
      </c>
      <c r="J2303" s="1">
        <f ca="1">IFERROR(__xludf.DUMMYFUNCTION("""COMPUTED_VALUE"""),1)</f>
        <v>1</v>
      </c>
      <c r="K2303" s="1" t="str">
        <f ca="1">IFERROR(__xludf.DUMMYFUNCTION("""COMPUTED_VALUE"""),"Hybrid Working Environment with more than 15 days a month at office")</f>
        <v>Hybrid Working Environment with more than 15 days a month at office</v>
      </c>
      <c r="L2303" s="1" t="str">
        <f ca="1">IFERROR(__xludf.DUMMYFUNCTION("""COMPUTED_VALUE"""),"Employer who appreciates learning and enables that environment")</f>
        <v>Employer who appreciates learning and enables that environment</v>
      </c>
      <c r="M2303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303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303" s="1" t="str">
        <f ca="1">IFERROR(__xludf.DUMMYFUNCTION("""COMPUTED_VALUE"""),"Manager who sets targets and expects me to achieve it")</f>
        <v>Manager who sets targets and expects me to achieve it</v>
      </c>
      <c r="P2303" s="1" t="str">
        <f ca="1">IFERROR(__xludf.DUMMYFUNCTION("""COMPUTED_VALUE"""),"Work with 5 to 6 people in my team")</f>
        <v>Work with 5 to 6 people in my team</v>
      </c>
      <c r="Q2303" s="1" t="str">
        <f ca="1">IFERROR(__xludf.DUMMYFUNCTION("""COMPUTED_VALUE"""),"No")</f>
        <v>No</v>
      </c>
      <c r="R2303" s="1" t="str">
        <f ca="1">IFERROR(__xludf.DUMMYFUNCTION("""COMPUTED_VALUE"""),"Will work for 7 years or more")</f>
        <v>Will work for 7 years or more</v>
      </c>
      <c r="S2303" s="1" t="str">
        <f ca="1">IFERROR(__xludf.DUMMYFUNCTION("""COMPUTED_VALUE"""),"sahanamjsahanamj3@gmail.com")</f>
        <v>sahanamjsahanamj3@gmail.com</v>
      </c>
    </row>
    <row r="2304" spans="1:19" ht="12.5" x14ac:dyDescent="0.25">
      <c r="A2304" s="2">
        <f ca="1">IFERROR(__xludf.DUMMYFUNCTION("""COMPUTED_VALUE"""),45064.3355333101)</f>
        <v>45064.335533310099</v>
      </c>
      <c r="B2304" s="1" t="str">
        <f ca="1">IFERROR(__xludf.DUMMYFUNCTION("""COMPUTED_VALUE"""),"India")</f>
        <v>India</v>
      </c>
      <c r="C2304" s="1">
        <f ca="1">IFERROR(__xludf.DUMMYFUNCTION("""COMPUTED_VALUE"""),560067)</f>
        <v>560067</v>
      </c>
      <c r="D2304" s="1" t="str">
        <f ca="1">IFERROR(__xludf.DUMMYFUNCTION("""COMPUTED_VALUE"""),"Female")</f>
        <v>Female</v>
      </c>
      <c r="E2304" s="1" t="str">
        <f ca="1">IFERROR(__xludf.DUMMYFUNCTION("""COMPUTED_VALUE"""),"People who have changed the world for better")</f>
        <v>People who have changed the world for better</v>
      </c>
      <c r="F2304" s="1" t="str">
        <f ca="1">IFERROR(__xludf.DUMMYFUNCTION("""COMPUTED_VALUE"""),"Yes, I will earn and do that")</f>
        <v>Yes, I will earn and do that</v>
      </c>
      <c r="G2304" s="1" t="str">
        <f ca="1">IFERROR(__xludf.DUMMYFUNCTION("""COMPUTED_VALUE"""),"Will work for 3 years or more")</f>
        <v>Will work for 3 years or more</v>
      </c>
      <c r="H2304" s="1" t="str">
        <f ca="1">IFERROR(__xludf.DUMMYFUNCTION("""COMPUTED_VALUE"""),"No")</f>
        <v>No</v>
      </c>
      <c r="I2304" s="1" t="str">
        <f ca="1">IFERROR(__xludf.DUMMYFUNCTION("""COMPUTED_VALUE"""),"Will NOT work for them")</f>
        <v>Will NOT work for them</v>
      </c>
      <c r="J2304" s="1">
        <f ca="1">IFERROR(__xludf.DUMMYFUNCTION("""COMPUTED_VALUE"""),7)</f>
        <v>7</v>
      </c>
      <c r="K2304" s="1" t="str">
        <f ca="1">IFERROR(__xludf.DUMMYFUNCTION("""COMPUTED_VALUE"""),"Hybrid Working Environment with more than 15 days a month at office")</f>
        <v>Hybrid Working Environment with more than 15 days a month at office</v>
      </c>
      <c r="L2304" s="1" t="str">
        <f ca="1">IFERROR(__xludf.DUMMYFUNCTION("""COMPUTED_VALUE"""),"Employer who appreciates learning and enables that environment")</f>
        <v>Employer who appreciates learning and enables that environment</v>
      </c>
      <c r="M2304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304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2304" s="1" t="str">
        <f ca="1">IFERROR(__xludf.DUMMYFUNCTION("""COMPUTED_VALUE"""),"Manager who explains what is expected, sets a goal and helps achieve it")</f>
        <v>Manager who explains what is expected, sets a goal and helps achieve it</v>
      </c>
      <c r="P2304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304" s="1" t="str">
        <f ca="1">IFERROR(__xludf.DUMMYFUNCTION("""COMPUTED_VALUE"""),"Yes, I Understand this is gonna happen everywhere")</f>
        <v>Yes, I Understand this is gonna happen everywhere</v>
      </c>
      <c r="R2304" s="1" t="str">
        <f ca="1">IFERROR(__xludf.DUMMYFUNCTION("""COMPUTED_VALUE"""),"Will work for 7 years or more")</f>
        <v>Will work for 7 years or more</v>
      </c>
      <c r="S2304" s="1" t="str">
        <f ca="1">IFERROR(__xludf.DUMMYFUNCTION("""COMPUTED_VALUE"""),"sumeghagudi0@gmail.com")</f>
        <v>sumeghagudi0@gmail.com</v>
      </c>
    </row>
    <row r="2305" spans="1:19" ht="12.5" x14ac:dyDescent="0.25">
      <c r="A2305" s="2">
        <f ca="1">IFERROR(__xludf.DUMMYFUNCTION("""COMPUTED_VALUE"""),45064.3390738888)</f>
        <v>45064.339073888797</v>
      </c>
      <c r="B2305" s="1" t="str">
        <f ca="1">IFERROR(__xludf.DUMMYFUNCTION("""COMPUTED_VALUE"""),"India")</f>
        <v>India</v>
      </c>
      <c r="C2305" s="1">
        <f ca="1">IFERROR(__xludf.DUMMYFUNCTION("""COMPUTED_VALUE"""),143602)</f>
        <v>143602</v>
      </c>
      <c r="D2305" s="1" t="str">
        <f ca="1">IFERROR(__xludf.DUMMYFUNCTION("""COMPUTED_VALUE"""),"Male")</f>
        <v>Male</v>
      </c>
      <c r="E2305" s="1" t="str">
        <f ca="1">IFERROR(__xludf.DUMMYFUNCTION("""COMPUTED_VALUE"""),"Influencers who had successful careers")</f>
        <v>Influencers who had successful careers</v>
      </c>
      <c r="F2305" s="1" t="str">
        <f ca="1">IFERROR(__xludf.DUMMYFUNCTION("""COMPUTED_VALUE"""),"Yes, I will earn and do that")</f>
        <v>Yes, I will earn and do that</v>
      </c>
      <c r="G2305" s="1" t="str">
        <f ca="1">IFERROR(__xludf.DUMMYFUNCTION("""COMPUTED_VALUE"""),"No way")</f>
        <v>No way</v>
      </c>
      <c r="H2305" s="1" t="str">
        <f ca="1">IFERROR(__xludf.DUMMYFUNCTION("""COMPUTED_VALUE"""),"No")</f>
        <v>No</v>
      </c>
      <c r="I2305" s="1" t="str">
        <f ca="1">IFERROR(__xludf.DUMMYFUNCTION("""COMPUTED_VALUE"""),"Will NOT work for them")</f>
        <v>Will NOT work for them</v>
      </c>
      <c r="J2305" s="1">
        <f ca="1">IFERROR(__xludf.DUMMYFUNCTION("""COMPUTED_VALUE"""),1)</f>
        <v>1</v>
      </c>
      <c r="K2305" s="1" t="str">
        <f ca="1">IFERROR(__xludf.DUMMYFUNCTION("""COMPUTED_VALUE"""),"Hybrid Working Environment with more than 15 days a month at office")</f>
        <v>Hybrid Working Environment with more than 15 days a month at office</v>
      </c>
      <c r="L23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05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305" s="1" t="str">
        <f ca="1">IFERROR(__xludf.DUMMYFUNCTION("""COMPUTED_VALUE"""),"Look deeply into Data and generate insights, Become a content Creator in some platform, Entrepreneur or Start Up, I Want to sell things/Sales")</f>
        <v>Look deeply into Data and generate insights, Become a content Creator in some platform, Entrepreneur or Start Up, I Want to sell things/Sales</v>
      </c>
      <c r="O2305" s="1" t="str">
        <f ca="1">IFERROR(__xludf.DUMMYFUNCTION("""COMPUTED_VALUE"""),"Manager who clearly describes what she/he needs")</f>
        <v>Manager who clearly describes what she/he needs</v>
      </c>
      <c r="P2305" s="1" t="str">
        <f ca="1">IFERROR(__xludf.DUMMYFUNCTION("""COMPUTED_VALUE"""),"Work alone")</f>
        <v>Work alone</v>
      </c>
      <c r="Q2305" s="1" t="str">
        <f ca="1">IFERROR(__xludf.DUMMYFUNCTION("""COMPUTED_VALUE"""),"No")</f>
        <v>No</v>
      </c>
      <c r="R2305" s="1" t="str">
        <f ca="1">IFERROR(__xludf.DUMMYFUNCTION("""COMPUTED_VALUE"""),"No way")</f>
        <v>No way</v>
      </c>
      <c r="S2305" s="1" t="str">
        <f ca="1">IFERROR(__xludf.DUMMYFUNCTION("""COMPUTED_VALUE"""),"navbhinder01@gmail.com")</f>
        <v>navbhinder01@gmail.com</v>
      </c>
    </row>
    <row r="2306" spans="1:19" ht="12.5" x14ac:dyDescent="0.25">
      <c r="A2306" s="2">
        <f ca="1">IFERROR(__xludf.DUMMYFUNCTION("""COMPUTED_VALUE"""),45064.3618388657)</f>
        <v>45064.361838865698</v>
      </c>
      <c r="B2306" s="1" t="str">
        <f ca="1">IFERROR(__xludf.DUMMYFUNCTION("""COMPUTED_VALUE"""),"India")</f>
        <v>India</v>
      </c>
      <c r="C2306" s="1">
        <f ca="1">IFERROR(__xludf.DUMMYFUNCTION("""COMPUTED_VALUE"""),263139)</f>
        <v>263139</v>
      </c>
      <c r="D2306" s="1" t="str">
        <f ca="1">IFERROR(__xludf.DUMMYFUNCTION("""COMPUTED_VALUE"""),"Female")</f>
        <v>Female</v>
      </c>
      <c r="E2306" s="1" t="str">
        <f ca="1">IFERROR(__xludf.DUMMYFUNCTION("""COMPUTED_VALUE"""),"Social Media like LinkedIn")</f>
        <v>Social Media like LinkedIn</v>
      </c>
      <c r="F2306" s="1" t="str">
        <f ca="1">IFERROR(__xludf.DUMMYFUNCTION("""COMPUTED_VALUE"""),"Yes, I will earn and do that")</f>
        <v>Yes, I will earn and do that</v>
      </c>
      <c r="G2306" s="1" t="str">
        <f ca="1">IFERROR(__xludf.DUMMYFUNCTION("""COMPUTED_VALUE"""),"This will be hard to do, but if it is the right company I would try")</f>
        <v>This will be hard to do, but if it is the right company I would try</v>
      </c>
      <c r="H2306" s="1" t="str">
        <f ca="1">IFERROR(__xludf.DUMMYFUNCTION("""COMPUTED_VALUE"""),"No")</f>
        <v>No</v>
      </c>
      <c r="I2306" s="1" t="str">
        <f ca="1">IFERROR(__xludf.DUMMYFUNCTION("""COMPUTED_VALUE"""),"Will NOT work for them")</f>
        <v>Will NOT work for them</v>
      </c>
      <c r="J2306" s="1">
        <f ca="1">IFERROR(__xludf.DUMMYFUNCTION("""COMPUTED_VALUE"""),2)</f>
        <v>2</v>
      </c>
      <c r="K2306" s="1" t="str">
        <f ca="1">IFERROR(__xludf.DUMMYFUNCTION("""COMPUTED_VALUE"""),"Hybrid Working Environment with more than 15 days a month at office")</f>
        <v>Hybrid Working Environment with more than 15 days a month at office</v>
      </c>
      <c r="L2306" s="1" t="str">
        <f ca="1">IFERROR(__xludf.DUMMYFUNCTION("""COMPUTED_VALUE"""),"Employer who rewards learning and enables that environment")</f>
        <v>Employer who rewards learning and enables that environment</v>
      </c>
      <c r="M230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06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306" s="1" t="str">
        <f ca="1">IFERROR(__xludf.DUMMYFUNCTION("""COMPUTED_VALUE"""),"Manager who explains what is expected, sets a goal and helps achieve it")</f>
        <v>Manager who explains what is expected, sets a goal and helps achieve it</v>
      </c>
      <c r="P2306" s="1" t="str">
        <f ca="1">IFERROR(__xludf.DUMMYFUNCTION("""COMPUTED_VALUE"""),"Work with 5 to 6 people in my team")</f>
        <v>Work with 5 to 6 people in my team</v>
      </c>
      <c r="Q2306" s="1" t="str">
        <f ca="1">IFERROR(__xludf.DUMMYFUNCTION("""COMPUTED_VALUE"""),"Yes, I Understand this is gonna happen everywhere")</f>
        <v>Yes, I Understand this is gonna happen everywhere</v>
      </c>
      <c r="R2306" s="1" t="str">
        <f ca="1">IFERROR(__xludf.DUMMYFUNCTION("""COMPUTED_VALUE"""),"No way")</f>
        <v>No way</v>
      </c>
      <c r="S2306" s="1" t="str">
        <f ca="1">IFERROR(__xludf.DUMMYFUNCTION("""COMPUTED_VALUE"""),"miyananisha123@gmail.com")</f>
        <v>miyananisha123@gmail.com</v>
      </c>
    </row>
    <row r="2307" spans="1:19" ht="12.5" x14ac:dyDescent="0.25">
      <c r="A2307" s="2">
        <f ca="1">IFERROR(__xludf.DUMMYFUNCTION("""COMPUTED_VALUE"""),45064.3639310879)</f>
        <v>45064.363931087901</v>
      </c>
      <c r="B2307" s="1" t="str">
        <f ca="1">IFERROR(__xludf.DUMMYFUNCTION("""COMPUTED_VALUE"""),"India")</f>
        <v>India</v>
      </c>
      <c r="C2307" s="1">
        <f ca="1">IFERROR(__xludf.DUMMYFUNCTION("""COMPUTED_VALUE"""),500072)</f>
        <v>500072</v>
      </c>
      <c r="D2307" s="1" t="str">
        <f ca="1">IFERROR(__xludf.DUMMYFUNCTION("""COMPUTED_VALUE"""),"Male")</f>
        <v>Male</v>
      </c>
      <c r="E2307" s="1" t="str">
        <f ca="1">IFERROR(__xludf.DUMMYFUNCTION("""COMPUTED_VALUE"""),"People from my circle, but not family members")</f>
        <v>People from my circle, but not family members</v>
      </c>
      <c r="F2307" s="1" t="str">
        <f ca="1">IFERROR(__xludf.DUMMYFUNCTION("""COMPUTED_VALUE"""),"Yes, I will earn and do that")</f>
        <v>Yes, I will earn and do that</v>
      </c>
      <c r="G2307" s="1" t="str">
        <f ca="1">IFERROR(__xludf.DUMMYFUNCTION("""COMPUTED_VALUE"""),"Will work for 3 years or more")</f>
        <v>Will work for 3 years or more</v>
      </c>
      <c r="H2307" s="1" t="str">
        <f ca="1">IFERROR(__xludf.DUMMYFUNCTION("""COMPUTED_VALUE"""),"No")</f>
        <v>No</v>
      </c>
      <c r="I2307" s="1" t="str">
        <f ca="1">IFERROR(__xludf.DUMMYFUNCTION("""COMPUTED_VALUE"""),"Will NOT work for them")</f>
        <v>Will NOT work for them</v>
      </c>
      <c r="J2307" s="1">
        <f ca="1">IFERROR(__xludf.DUMMYFUNCTION("""COMPUTED_VALUE"""),5)</f>
        <v>5</v>
      </c>
      <c r="K2307" s="1" t="str">
        <f ca="1">IFERROR(__xludf.DUMMYFUNCTION("""COMPUTED_VALUE"""),"Hybrid Working Environment with less than 3 days a month at office")</f>
        <v>Hybrid Working Environment with less than 3 days a month at office</v>
      </c>
      <c r="L2307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3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07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2307" s="1" t="str">
        <f ca="1">IFERROR(__xludf.DUMMYFUNCTION("""COMPUTED_VALUE"""),"Manager who sets goal and helps me achieve it")</f>
        <v>Manager who sets goal and helps me achieve it</v>
      </c>
      <c r="P2307" s="1" t="str">
        <f ca="1">IFERROR(__xludf.DUMMYFUNCTION("""COMPUTED_VALUE"""),"Work with 5 to 6 people in my team")</f>
        <v>Work with 5 to 6 people in my team</v>
      </c>
      <c r="Q2307" s="1" t="str">
        <f ca="1">IFERROR(__xludf.DUMMYFUNCTION("""COMPUTED_VALUE"""),"Yes")</f>
        <v>Yes</v>
      </c>
      <c r="R2307" s="1" t="str">
        <f ca="1">IFERROR(__xludf.DUMMYFUNCTION("""COMPUTED_VALUE"""),"This will be hard to do, but if it is the right company I would try")</f>
        <v>This will be hard to do, but if it is the right company I would try</v>
      </c>
      <c r="S2307" s="1" t="str">
        <f ca="1">IFERROR(__xludf.DUMMYFUNCTION("""COMPUTED_VALUE"""),"bharathkune03@gmail.com")</f>
        <v>bharathkune03@gmail.com</v>
      </c>
    </row>
    <row r="2308" spans="1:19" ht="12.5" x14ac:dyDescent="0.25">
      <c r="A2308" s="2">
        <f ca="1">IFERROR(__xludf.DUMMYFUNCTION("""COMPUTED_VALUE"""),45064.3653003472)</f>
        <v>45064.365300347199</v>
      </c>
      <c r="B2308" s="1" t="str">
        <f ca="1">IFERROR(__xludf.DUMMYFUNCTION("""COMPUTED_VALUE"""),"India")</f>
        <v>India</v>
      </c>
      <c r="C2308" s="1">
        <f ca="1">IFERROR(__xludf.DUMMYFUNCTION("""COMPUTED_VALUE"""),411043)</f>
        <v>411043</v>
      </c>
      <c r="D2308" s="1" t="str">
        <f ca="1">IFERROR(__xludf.DUMMYFUNCTION("""COMPUTED_VALUE"""),"Female")</f>
        <v>Female</v>
      </c>
      <c r="E2308" s="1" t="str">
        <f ca="1">IFERROR(__xludf.DUMMYFUNCTION("""COMPUTED_VALUE"""),"Social Media like LinkedIn")</f>
        <v>Social Media like LinkedIn</v>
      </c>
      <c r="F2308" s="1" t="str">
        <f ca="1">IFERROR(__xludf.DUMMYFUNCTION("""COMPUTED_VALUE"""),"Yes, I will earn and do that")</f>
        <v>Yes, I will earn and do that</v>
      </c>
      <c r="G2308" s="1" t="str">
        <f ca="1">IFERROR(__xludf.DUMMYFUNCTION("""COMPUTED_VALUE"""),"This will be hard to do, but if it is the right company I would try")</f>
        <v>This will be hard to do, but if it is the right company I would try</v>
      </c>
      <c r="H2308" s="1" t="str">
        <f ca="1">IFERROR(__xludf.DUMMYFUNCTION("""COMPUTED_VALUE"""),"No")</f>
        <v>No</v>
      </c>
      <c r="I2308" s="1" t="str">
        <f ca="1">IFERROR(__xludf.DUMMYFUNCTION("""COMPUTED_VALUE"""),"Will work for them")</f>
        <v>Will work for them</v>
      </c>
      <c r="J2308" s="1">
        <f ca="1">IFERROR(__xludf.DUMMYFUNCTION("""COMPUTED_VALUE"""),6)</f>
        <v>6</v>
      </c>
      <c r="K2308" s="1" t="str">
        <f ca="1">IFERROR(__xludf.DUMMYFUNCTION("""COMPUTED_VALUE"""),"Hybrid Working Environment with more than 15 days a month at office")</f>
        <v>Hybrid Working Environment with more than 15 days a month at office</v>
      </c>
      <c r="L2308" s="1" t="str">
        <f ca="1">IFERROR(__xludf.DUMMYFUNCTION("""COMPUTED_VALUE"""),"Employer who appreciates learning and enables that environment")</f>
        <v>Employer who appreciates learning and enables that environment</v>
      </c>
      <c r="M230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308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2308" s="1" t="str">
        <f ca="1">IFERROR(__xludf.DUMMYFUNCTION("""COMPUTED_VALUE"""),"Manager who explains what is expected, sets a goal and helps achieve it")</f>
        <v>Manager who explains what is expected, sets a goal and helps achieve it</v>
      </c>
      <c r="P2308" s="1" t="str">
        <f ca="1">IFERROR(__xludf.DUMMYFUNCTION("""COMPUTED_VALUE"""),"Work with 5 to 6 people in my team")</f>
        <v>Work with 5 to 6 people in my team</v>
      </c>
      <c r="Q2308" s="1" t="str">
        <f ca="1">IFERROR(__xludf.DUMMYFUNCTION("""COMPUTED_VALUE"""),"Yes, I Understand this is gonna happen everywhere")</f>
        <v>Yes, I Understand this is gonna happen everywhere</v>
      </c>
      <c r="R2308" s="1" t="str">
        <f ca="1">IFERROR(__xludf.DUMMYFUNCTION("""COMPUTED_VALUE"""),"No way")</f>
        <v>No way</v>
      </c>
      <c r="S2308" s="1" t="str">
        <f ca="1">IFERROR(__xludf.DUMMYFUNCTION("""COMPUTED_VALUE"""),"rutikajadhav8482@gmail.com")</f>
        <v>rutikajadhav8482@gmail.com</v>
      </c>
    </row>
    <row r="2309" spans="1:19" ht="12.5" x14ac:dyDescent="0.25">
      <c r="A2309" s="2">
        <f ca="1">IFERROR(__xludf.DUMMYFUNCTION("""COMPUTED_VALUE"""),45064.3836276967)</f>
        <v>45064.383627696698</v>
      </c>
      <c r="B2309" s="1" t="str">
        <f ca="1">IFERROR(__xludf.DUMMYFUNCTION("""COMPUTED_VALUE"""),"India")</f>
        <v>India</v>
      </c>
      <c r="C2309" s="1">
        <f ca="1">IFERROR(__xludf.DUMMYFUNCTION("""COMPUTED_VALUE"""),416509)</f>
        <v>416509</v>
      </c>
      <c r="D2309" s="1" t="str">
        <f ca="1">IFERROR(__xludf.DUMMYFUNCTION("""COMPUTED_VALUE"""),"Male")</f>
        <v>Male</v>
      </c>
      <c r="E2309" s="1" t="str">
        <f ca="1">IFERROR(__xludf.DUMMYFUNCTION("""COMPUTED_VALUE"""),"People who have changed the world for better")</f>
        <v>People who have changed the world for better</v>
      </c>
      <c r="F2309" s="1" t="str">
        <f ca="1">IFERROR(__xludf.DUMMYFUNCTION("""COMPUTED_VALUE"""),"No, But if someone could bare the cost I will")</f>
        <v>No, But if someone could bare the cost I will</v>
      </c>
      <c r="G2309" s="1" t="str">
        <f ca="1">IFERROR(__xludf.DUMMYFUNCTION("""COMPUTED_VALUE"""),"Will work for 3 years or more")</f>
        <v>Will work for 3 years or more</v>
      </c>
      <c r="H2309" s="1" t="str">
        <f ca="1">IFERROR(__xludf.DUMMYFUNCTION("""COMPUTED_VALUE"""),"No")</f>
        <v>No</v>
      </c>
      <c r="I2309" s="1" t="str">
        <f ca="1">IFERROR(__xludf.DUMMYFUNCTION("""COMPUTED_VALUE"""),"Will NOT work for them")</f>
        <v>Will NOT work for them</v>
      </c>
      <c r="J2309" s="1">
        <f ca="1">IFERROR(__xludf.DUMMYFUNCTION("""COMPUTED_VALUE"""),7)</f>
        <v>7</v>
      </c>
      <c r="K2309" s="1" t="str">
        <f ca="1">IFERROR(__xludf.DUMMYFUNCTION("""COMPUTED_VALUE"""),"Hybrid Working Environment with more than 15 days a month at office")</f>
        <v>Hybrid Working Environment with more than 15 days a month at office</v>
      </c>
      <c r="L2309" s="1" t="str">
        <f ca="1">IFERROR(__xludf.DUMMYFUNCTION("""COMPUTED_VALUE"""),"Employer who rewards learning and enables that environment")</f>
        <v>Employer who rewards learning and enables that environment</v>
      </c>
      <c r="M2309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309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2309" s="1" t="str">
        <f ca="1">IFERROR(__xludf.DUMMYFUNCTION("""COMPUTED_VALUE"""),"Manager who clearly describes what she/he needs")</f>
        <v>Manager who clearly describes what she/he needs</v>
      </c>
      <c r="P2309" s="1" t="str">
        <f ca="1">IFERROR(__xludf.DUMMYFUNCTION("""COMPUTED_VALUE"""),"Work with 2 to 3 people in my team")</f>
        <v>Work with 2 to 3 people in my team</v>
      </c>
      <c r="Q2309" s="1" t="str">
        <f ca="1">IFERROR(__xludf.DUMMYFUNCTION("""COMPUTED_VALUE"""),"Yes, I Understand this is gonna happen everywhere")</f>
        <v>Yes, I Understand this is gonna happen everywhere</v>
      </c>
      <c r="R2309" s="1" t="str">
        <f ca="1">IFERROR(__xludf.DUMMYFUNCTION("""COMPUTED_VALUE"""),"This will be hard to do, but if it is the right company I would try")</f>
        <v>This will be hard to do, but if it is the right company I would try</v>
      </c>
      <c r="S2309" s="1" t="str">
        <f ca="1">IFERROR(__xludf.DUMMYFUNCTION("""COMPUTED_VALUE"""),"iamsrohits09@gmail.com")</f>
        <v>iamsrohits09@gmail.com</v>
      </c>
    </row>
    <row r="2310" spans="1:19" ht="12.5" x14ac:dyDescent="0.25">
      <c r="A2310" s="2">
        <f ca="1">IFERROR(__xludf.DUMMYFUNCTION("""COMPUTED_VALUE"""),45064.3919526388)</f>
        <v>45064.391952638798</v>
      </c>
      <c r="B2310" s="1" t="str">
        <f ca="1">IFERROR(__xludf.DUMMYFUNCTION("""COMPUTED_VALUE"""),"India")</f>
        <v>India</v>
      </c>
      <c r="C2310" s="1">
        <f ca="1">IFERROR(__xludf.DUMMYFUNCTION("""COMPUTED_VALUE"""),416007)</f>
        <v>416007</v>
      </c>
      <c r="D2310" s="1" t="str">
        <f ca="1">IFERROR(__xludf.DUMMYFUNCTION("""COMPUTED_VALUE"""),"Male")</f>
        <v>Male</v>
      </c>
      <c r="E2310" s="1" t="str">
        <f ca="1">IFERROR(__xludf.DUMMYFUNCTION("""COMPUTED_VALUE"""),"People who have changed the world for better")</f>
        <v>People who have changed the world for better</v>
      </c>
      <c r="F2310" s="1" t="str">
        <f ca="1">IFERROR(__xludf.DUMMYFUNCTION("""COMPUTED_VALUE"""),"No, But if someone could bare the cost I will")</f>
        <v>No, But if someone could bare the cost I will</v>
      </c>
      <c r="G2310" s="1" t="str">
        <f ca="1">IFERROR(__xludf.DUMMYFUNCTION("""COMPUTED_VALUE"""),"This will be hard to do, but if it is the right company I would try")</f>
        <v>This will be hard to do, but if it is the right company I would try</v>
      </c>
      <c r="H2310" s="1" t="str">
        <f ca="1">IFERROR(__xludf.DUMMYFUNCTION("""COMPUTED_VALUE"""),"No")</f>
        <v>No</v>
      </c>
      <c r="I2310" s="1" t="str">
        <f ca="1">IFERROR(__xludf.DUMMYFUNCTION("""COMPUTED_VALUE"""),"Will NOT work for them")</f>
        <v>Will NOT work for them</v>
      </c>
      <c r="J2310" s="1">
        <f ca="1">IFERROR(__xludf.DUMMYFUNCTION("""COMPUTED_VALUE"""),6)</f>
        <v>6</v>
      </c>
      <c r="K2310" s="1" t="str">
        <f ca="1">IFERROR(__xludf.DUMMYFUNCTION("""COMPUTED_VALUE"""),"Hybrid Working Environment with more than 15 days a month at office")</f>
        <v>Hybrid Working Environment with more than 15 days a month at office</v>
      </c>
      <c r="L23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1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10" s="1" t="str">
        <f ca="1">IFERROR(__xludf.DUMMYFUNCTION("""COMPUTED_VALUE"""),"Manage and drive End-to-End Projects or Products, Build and develop a Team, Look deeply into Data and generate insights, Entrepreneur or Start Up")</f>
        <v>Manage and drive End-to-End Projects or Products, Build and develop a Team, Look deeply into Data and generate insights, Entrepreneur or Start Up</v>
      </c>
      <c r="O2310" s="1" t="str">
        <f ca="1">IFERROR(__xludf.DUMMYFUNCTION("""COMPUTED_VALUE"""),"Manager who explains what is expected, sets a goal and helps achieve it")</f>
        <v>Manager who explains what is expected, sets a goal and helps achieve it</v>
      </c>
      <c r="P2310" s="1" t="str">
        <f ca="1">IFERROR(__xludf.DUMMYFUNCTION("""COMPUTED_VALUE"""),"Work with 5 to 6 people in my team")</f>
        <v>Work with 5 to 6 people in my team</v>
      </c>
      <c r="Q2310" s="1" t="str">
        <f ca="1">IFERROR(__xludf.DUMMYFUNCTION("""COMPUTED_VALUE"""),"Yes, I Understand this is gonna happen everywhere")</f>
        <v>Yes, I Understand this is gonna happen everywhere</v>
      </c>
      <c r="R2310" s="1" t="str">
        <f ca="1">IFERROR(__xludf.DUMMYFUNCTION("""COMPUTED_VALUE"""),"This will be hard to do, but if it is the right company I would try")</f>
        <v>This will be hard to do, but if it is the right company I would try</v>
      </c>
      <c r="S2310" s="1" t="str">
        <f ca="1">IFERROR(__xludf.DUMMYFUNCTION("""COMPUTED_VALUE"""),"chandekaraditya45@gmail.com")</f>
        <v>chandekaraditya45@gmail.com</v>
      </c>
    </row>
    <row r="2311" spans="1:19" ht="12.5" x14ac:dyDescent="0.25">
      <c r="A2311" s="2">
        <f ca="1">IFERROR(__xludf.DUMMYFUNCTION("""COMPUTED_VALUE"""),45064.3926789351)</f>
        <v>45064.392678935103</v>
      </c>
      <c r="B2311" s="1" t="str">
        <f ca="1">IFERROR(__xludf.DUMMYFUNCTION("""COMPUTED_VALUE"""),"India")</f>
        <v>India</v>
      </c>
      <c r="C2311" s="1">
        <f ca="1">IFERROR(__xludf.DUMMYFUNCTION("""COMPUTED_VALUE"""),521286)</f>
        <v>521286</v>
      </c>
      <c r="D2311" s="1" t="str">
        <f ca="1">IFERROR(__xludf.DUMMYFUNCTION("""COMPUTED_VALUE"""),"Female")</f>
        <v>Female</v>
      </c>
      <c r="E2311" s="1" t="str">
        <f ca="1">IFERROR(__xludf.DUMMYFUNCTION("""COMPUTED_VALUE"""),"My Parents")</f>
        <v>My Parents</v>
      </c>
      <c r="F2311" s="1" t="str">
        <f ca="1">IFERROR(__xludf.DUMMYFUNCTION("""COMPUTED_VALUE"""),"No, But if someone could bare the cost I will")</f>
        <v>No, But if someone could bare the cost I will</v>
      </c>
      <c r="G2311" s="1" t="str">
        <f ca="1">IFERROR(__xludf.DUMMYFUNCTION("""COMPUTED_VALUE"""),"This will be hard to do, but if it is the right company I would try")</f>
        <v>This will be hard to do, but if it is the right company I would try</v>
      </c>
      <c r="H2311" s="1" t="str">
        <f ca="1">IFERROR(__xludf.DUMMYFUNCTION("""COMPUTED_VALUE"""),"No")</f>
        <v>No</v>
      </c>
      <c r="I2311" s="1" t="str">
        <f ca="1">IFERROR(__xludf.DUMMYFUNCTION("""COMPUTED_VALUE"""),"Will NOT work for them")</f>
        <v>Will NOT work for them</v>
      </c>
      <c r="J2311" s="1">
        <f ca="1">IFERROR(__xludf.DUMMYFUNCTION("""COMPUTED_VALUE"""),1)</f>
        <v>1</v>
      </c>
      <c r="K2311" s="1" t="str">
        <f ca="1">IFERROR(__xludf.DUMMYFUNCTION("""COMPUTED_VALUE"""),"Fully Remote with Options to travel as and when needed")</f>
        <v>Fully Remote with Options to travel as and when needed</v>
      </c>
      <c r="L2311" s="1" t="str">
        <f ca="1">IFERROR(__xludf.DUMMYFUNCTION("""COMPUTED_VALUE"""),"Employer who appreciates learning and enables that environment")</f>
        <v>Employer who appreciates learning and enables that environment</v>
      </c>
      <c r="M231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11" s="1" t="str">
        <f ca="1">IFERROR(__xludf.DUMMYFUNCTION("""COMPUTED_VALUE"""),"Manage and drive End-to-End Projects or Products, Build and develop a Team, Design and Develop amazing software, Entrepreneur or Start Up")</f>
        <v>Manage and drive End-to-End Projects or Products, Build and develop a Team, Design and Develop amazing software, Entrepreneur or Start Up</v>
      </c>
      <c r="O2311" s="1" t="str">
        <f ca="1">IFERROR(__xludf.DUMMYFUNCTION("""COMPUTED_VALUE"""),"Manager who sets goal and helps me achieve it")</f>
        <v>Manager who sets goal and helps me achieve it</v>
      </c>
      <c r="P2311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2311" s="1" t="str">
        <f ca="1">IFERROR(__xludf.DUMMYFUNCTION("""COMPUTED_VALUE"""),"Yes, I Understand this is gonna happen everywhere")</f>
        <v>Yes, I Understand this is gonna happen everywhere</v>
      </c>
      <c r="R2311" s="1" t="str">
        <f ca="1">IFERROR(__xludf.DUMMYFUNCTION("""COMPUTED_VALUE"""),"This will be hard to do, but if it is the right company I would try")</f>
        <v>This will be hard to do, but if it is the right company I would try</v>
      </c>
      <c r="S2311" s="1" t="str">
        <f ca="1">IFERROR(__xludf.DUMMYFUNCTION("""COMPUTED_VALUE"""),"lakshmimandava2000@gmail.com")</f>
        <v>lakshmimandava2000@gmail.com</v>
      </c>
    </row>
    <row r="2312" spans="1:19" ht="12.5" x14ac:dyDescent="0.25">
      <c r="A2312" s="2">
        <f ca="1">IFERROR(__xludf.DUMMYFUNCTION("""COMPUTED_VALUE"""),45064.3986549537)</f>
        <v>45064.3986549537</v>
      </c>
      <c r="B2312" s="1" t="str">
        <f ca="1">IFERROR(__xludf.DUMMYFUNCTION("""COMPUTED_VALUE"""),"India")</f>
        <v>India</v>
      </c>
      <c r="C2312" s="1">
        <f ca="1">IFERROR(__xludf.DUMMYFUNCTION("""COMPUTED_VALUE"""),533464)</f>
        <v>533464</v>
      </c>
      <c r="D2312" s="1" t="str">
        <f ca="1">IFERROR(__xludf.DUMMYFUNCTION("""COMPUTED_VALUE"""),"Male")</f>
        <v>Male</v>
      </c>
      <c r="E2312" s="1" t="str">
        <f ca="1">IFERROR(__xludf.DUMMYFUNCTION("""COMPUTED_VALUE"""),"My Parents")</f>
        <v>My Parents</v>
      </c>
      <c r="F2312" s="1" t="str">
        <f ca="1">IFERROR(__xludf.DUMMYFUNCTION("""COMPUTED_VALUE"""),"No I would not be pursuing Higher Education outside of India")</f>
        <v>No I would not be pursuing Higher Education outside of India</v>
      </c>
      <c r="G2312" s="1" t="str">
        <f ca="1">IFERROR(__xludf.DUMMYFUNCTION("""COMPUTED_VALUE"""),"This will be hard to do, but if it is the right company I would try")</f>
        <v>This will be hard to do, but if it is the right company I would try</v>
      </c>
      <c r="H2312" s="1" t="str">
        <f ca="1">IFERROR(__xludf.DUMMYFUNCTION("""COMPUTED_VALUE"""),"No")</f>
        <v>No</v>
      </c>
      <c r="I2312" s="1" t="str">
        <f ca="1">IFERROR(__xludf.DUMMYFUNCTION("""COMPUTED_VALUE"""),"Will NOT work for them")</f>
        <v>Will NOT work for them</v>
      </c>
      <c r="J2312" s="1">
        <f ca="1">IFERROR(__xludf.DUMMYFUNCTION("""COMPUTED_VALUE"""),6)</f>
        <v>6</v>
      </c>
      <c r="K2312" s="1" t="str">
        <f ca="1">IFERROR(__xludf.DUMMYFUNCTION("""COMPUTED_VALUE"""),"Fully Remote with Options to travel as and when needed")</f>
        <v>Fully Remote with Options to travel as and when needed</v>
      </c>
      <c r="L2312" s="1" t="str">
        <f ca="1">IFERROR(__xludf.DUMMYFUNCTION("""COMPUTED_VALUE"""),"Employer who appreciates learning and enables that environment")</f>
        <v>Employer who appreciates learning and enables that environment</v>
      </c>
      <c r="M231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312" s="1" t="str">
        <f ca="1">IFERROR(__xludf.DUMMYFUNCTION("""COMPUTED_VALUE"""),"Business Operations in any organization, Manage and drive End-to-End Projects or Products, Build and develop a Team, Manufacturing / Oil and Gas/ Construction / Hard Physical Work related")</f>
        <v>Business Operations in any organization, Manage and drive End-to-End Projects or Products, Build and develop a Team, Manufacturing / Oil and Gas/ Construction / Hard Physical Work related</v>
      </c>
      <c r="O2312" s="1" t="str">
        <f ca="1">IFERROR(__xludf.DUMMYFUNCTION("""COMPUTED_VALUE"""),"Manager who explains what is expected, sets a goal and helps achieve it")</f>
        <v>Manager who explains what is expected, sets a goal and helps achieve it</v>
      </c>
      <c r="P231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312" s="1" t="str">
        <f ca="1">IFERROR(__xludf.DUMMYFUNCTION("""COMPUTED_VALUE"""),"Yes, I Understand this is gonna happen everywhere")</f>
        <v>Yes, I Understand this is gonna happen everywhere</v>
      </c>
      <c r="R2312" s="1" t="str">
        <f ca="1">IFERROR(__xludf.DUMMYFUNCTION("""COMPUTED_VALUE"""),"This will be hard to do, but if it is the right company I would try")</f>
        <v>This will be hard to do, but if it is the right company I would try</v>
      </c>
      <c r="S2312" s="1" t="str">
        <f ca="1">IFERROR(__xludf.DUMMYFUNCTION("""COMPUTED_VALUE"""),"ravinteja123@gmail.com")</f>
        <v>ravinteja123@gmail.com</v>
      </c>
    </row>
    <row r="2313" spans="1:19" ht="12.5" x14ac:dyDescent="0.25">
      <c r="A2313" s="2">
        <f ca="1">IFERROR(__xludf.DUMMYFUNCTION("""COMPUTED_VALUE"""),45064.3990500115)</f>
        <v>45064.399050011503</v>
      </c>
      <c r="B2313" s="1" t="str">
        <f ca="1">IFERROR(__xludf.DUMMYFUNCTION("""COMPUTED_VALUE"""),"India")</f>
        <v>India</v>
      </c>
      <c r="C2313" s="1">
        <f ca="1">IFERROR(__xludf.DUMMYFUNCTION("""COMPUTED_VALUE"""),500038)</f>
        <v>500038</v>
      </c>
      <c r="D2313" s="1" t="str">
        <f ca="1">IFERROR(__xludf.DUMMYFUNCTION("""COMPUTED_VALUE"""),"Male")</f>
        <v>Male</v>
      </c>
      <c r="E2313" s="1" t="str">
        <f ca="1">IFERROR(__xludf.DUMMYFUNCTION("""COMPUTED_VALUE"""),"My Parents")</f>
        <v>My Parents</v>
      </c>
      <c r="F2313" s="1" t="str">
        <f ca="1">IFERROR(__xludf.DUMMYFUNCTION("""COMPUTED_VALUE"""),"No I would not be pursuing Higher Education outside of India")</f>
        <v>No I would not be pursuing Higher Education outside of India</v>
      </c>
      <c r="G2313" s="1" t="str">
        <f ca="1">IFERROR(__xludf.DUMMYFUNCTION("""COMPUTED_VALUE"""),"Will work for 3 years or more")</f>
        <v>Will work for 3 years or more</v>
      </c>
      <c r="H2313" s="1" t="str">
        <f ca="1">IFERROR(__xludf.DUMMYFUNCTION("""COMPUTED_VALUE"""),"No")</f>
        <v>No</v>
      </c>
      <c r="I2313" s="1" t="str">
        <f ca="1">IFERROR(__xludf.DUMMYFUNCTION("""COMPUTED_VALUE"""),"Will NOT work for them")</f>
        <v>Will NOT work for them</v>
      </c>
      <c r="J2313" s="1">
        <f ca="1">IFERROR(__xludf.DUMMYFUNCTION("""COMPUTED_VALUE"""),9)</f>
        <v>9</v>
      </c>
      <c r="K2313" s="1" t="str">
        <f ca="1">IFERROR(__xludf.DUMMYFUNCTION("""COMPUTED_VALUE"""),"Hybrid Working Environment with less than 3 days a month at office")</f>
        <v>Hybrid Working Environment with less than 3 days a month at office</v>
      </c>
      <c r="L23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1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13" s="1" t="str">
        <f ca="1">IFERROR(__xludf.DUMMYFUNCTION("""COMPUTED_VALUE"""),"Manage and drive End-to-End Projects or Products, Look deeply into Data and generate insights, Entrepreneur or Start Up, An Artificial Intelligence Specialist / Talking to Robots")</f>
        <v>Manage and drive End-to-End Projects or Products, Look deeply into Data and generate insights, Entrepreneur or Start Up, An Artificial Intelligence Specialist / Talking to Robots</v>
      </c>
      <c r="O2313" s="1" t="str">
        <f ca="1">IFERROR(__xludf.DUMMYFUNCTION("""COMPUTED_VALUE"""),"Manager who explains what is expected, sets a goal and helps achieve it")</f>
        <v>Manager who explains what is expected, sets a goal and helps achieve it</v>
      </c>
      <c r="P2313" s="1" t="str">
        <f ca="1">IFERROR(__xludf.DUMMYFUNCTION("""COMPUTED_VALUE"""),"Work with more than 10 people in my team")</f>
        <v>Work with more than 10 people in my team</v>
      </c>
      <c r="Q2313" s="1" t="str">
        <f ca="1">IFERROR(__xludf.DUMMYFUNCTION("""COMPUTED_VALUE"""),"Yes, I Understand this is gonna happen everywhere")</f>
        <v>Yes, I Understand this is gonna happen everywhere</v>
      </c>
      <c r="R2313" s="1" t="str">
        <f ca="1">IFERROR(__xludf.DUMMYFUNCTION("""COMPUTED_VALUE"""),"No way")</f>
        <v>No way</v>
      </c>
      <c r="S2313" s="1" t="str">
        <f ca="1">IFERROR(__xludf.DUMMYFUNCTION("""COMPUTED_VALUE"""),"trivikramnaidu15@gmail.com")</f>
        <v>trivikramnaidu15@gmail.com</v>
      </c>
    </row>
    <row r="2314" spans="1:19" ht="12.5" x14ac:dyDescent="0.25">
      <c r="A2314" s="2">
        <f ca="1">IFERROR(__xludf.DUMMYFUNCTION("""COMPUTED_VALUE"""),45064.4001185648)</f>
        <v>45064.400118564801</v>
      </c>
      <c r="B2314" s="1" t="str">
        <f ca="1">IFERROR(__xludf.DUMMYFUNCTION("""COMPUTED_VALUE"""),"India")</f>
        <v>India</v>
      </c>
      <c r="C2314" s="1">
        <f ca="1">IFERROR(__xludf.DUMMYFUNCTION("""COMPUTED_VALUE"""),533001)</f>
        <v>533001</v>
      </c>
      <c r="D2314" s="1" t="str">
        <f ca="1">IFERROR(__xludf.DUMMYFUNCTION("""COMPUTED_VALUE"""),"Male")</f>
        <v>Male</v>
      </c>
      <c r="E2314" s="1" t="str">
        <f ca="1">IFERROR(__xludf.DUMMYFUNCTION("""COMPUTED_VALUE"""),"People from my circle, but not family members")</f>
        <v>People from my circle, but not family members</v>
      </c>
      <c r="F2314" s="1" t="str">
        <f ca="1">IFERROR(__xludf.DUMMYFUNCTION("""COMPUTED_VALUE"""),"No I would not be pursuing Higher Education outside of India")</f>
        <v>No I would not be pursuing Higher Education outside of India</v>
      </c>
      <c r="G2314" s="1" t="str">
        <f ca="1">IFERROR(__xludf.DUMMYFUNCTION("""COMPUTED_VALUE"""),"Will work for 3 years or more")</f>
        <v>Will work for 3 years or more</v>
      </c>
      <c r="H2314" s="1" t="str">
        <f ca="1">IFERROR(__xludf.DUMMYFUNCTION("""COMPUTED_VALUE"""),"Yes")</f>
        <v>Yes</v>
      </c>
      <c r="I2314" s="1" t="str">
        <f ca="1">IFERROR(__xludf.DUMMYFUNCTION("""COMPUTED_VALUE"""),"Will work for them")</f>
        <v>Will work for them</v>
      </c>
      <c r="J2314" s="1">
        <f ca="1">IFERROR(__xludf.DUMMYFUNCTION("""COMPUTED_VALUE"""),4)</f>
        <v>4</v>
      </c>
      <c r="K2314" s="1" t="str">
        <f ca="1">IFERROR(__xludf.DUMMYFUNCTION("""COMPUTED_VALUE"""),"Fully Remote with Options to travel as and when needed")</f>
        <v>Fully Remote with Options to travel as and when needed</v>
      </c>
      <c r="L23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1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14" s="1" t="str">
        <f ca="1">IFERROR(__xludf.DUMMYFUNCTION("""COMPUTED_VALUE"""),"Teaching in any of the institutes/colleges/online or offline, Build and develop a Team, Look deeply into Data and generate insights, Entrepreneur or Start Up")</f>
        <v>Teaching in any of the institutes/colleges/online or offline, Build and develop a Team, Look deeply into Data and generate insights, Entrepreneur or Start Up</v>
      </c>
      <c r="O2314" s="1" t="str">
        <f ca="1">IFERROR(__xludf.DUMMYFUNCTION("""COMPUTED_VALUE"""),"Manager who explains what is expected, sets a goal and helps achieve it")</f>
        <v>Manager who explains what is expected, sets a goal and helps achieve it</v>
      </c>
      <c r="P2314" s="1" t="str">
        <f ca="1">IFERROR(__xludf.DUMMYFUNCTION("""COMPUTED_VALUE"""),"Work alone, Work with 2 to 3 people in my team")</f>
        <v>Work alone, Work with 2 to 3 people in my team</v>
      </c>
      <c r="Q2314" s="1" t="str">
        <f ca="1">IFERROR(__xludf.DUMMYFUNCTION("""COMPUTED_VALUE"""),"Yes, I Understand this is gonna happen everywhere")</f>
        <v>Yes, I Understand this is gonna happen everywhere</v>
      </c>
      <c r="R2314" s="1" t="str">
        <f ca="1">IFERROR(__xludf.DUMMYFUNCTION("""COMPUTED_VALUE"""),"This will be hard to do, but if it is the right company I would try")</f>
        <v>This will be hard to do, but if it is the right company I would try</v>
      </c>
      <c r="S2314" s="1" t="str">
        <f ca="1">IFERROR(__xludf.DUMMYFUNCTION("""COMPUTED_VALUE"""),"narasimha.1061@gmail.com")</f>
        <v>narasimha.1061@gmail.com</v>
      </c>
    </row>
    <row r="2315" spans="1:19" ht="12.5" x14ac:dyDescent="0.25">
      <c r="A2315" s="2">
        <f ca="1">IFERROR(__xludf.DUMMYFUNCTION("""COMPUTED_VALUE"""),45064.400509375)</f>
        <v>45064.400509375002</v>
      </c>
      <c r="B2315" s="1" t="str">
        <f ca="1">IFERROR(__xludf.DUMMYFUNCTION("""COMPUTED_VALUE"""),"India")</f>
        <v>India</v>
      </c>
      <c r="C2315" s="1">
        <f ca="1">IFERROR(__xludf.DUMMYFUNCTION("""COMPUTED_VALUE"""),416118)</f>
        <v>416118</v>
      </c>
      <c r="D2315" s="1" t="str">
        <f ca="1">IFERROR(__xludf.DUMMYFUNCTION("""COMPUTED_VALUE"""),"Male")</f>
        <v>Male</v>
      </c>
      <c r="E2315" s="1" t="str">
        <f ca="1">IFERROR(__xludf.DUMMYFUNCTION("""COMPUTED_VALUE"""),"My Parents")</f>
        <v>My Parents</v>
      </c>
      <c r="F2315" s="1" t="str">
        <f ca="1">IFERROR(__xludf.DUMMYFUNCTION("""COMPUTED_VALUE"""),"Yes, I will earn and do that")</f>
        <v>Yes, I will earn and do that</v>
      </c>
      <c r="G2315" s="1" t="str">
        <f ca="1">IFERROR(__xludf.DUMMYFUNCTION("""COMPUTED_VALUE"""),"Will work for 3 years or more")</f>
        <v>Will work for 3 years or more</v>
      </c>
      <c r="H2315" s="1" t="str">
        <f ca="1">IFERROR(__xludf.DUMMYFUNCTION("""COMPUTED_VALUE"""),"No")</f>
        <v>No</v>
      </c>
      <c r="I2315" s="1" t="str">
        <f ca="1">IFERROR(__xludf.DUMMYFUNCTION("""COMPUTED_VALUE"""),"Will work for them")</f>
        <v>Will work for them</v>
      </c>
      <c r="J2315" s="1">
        <f ca="1">IFERROR(__xludf.DUMMYFUNCTION("""COMPUTED_VALUE"""),6)</f>
        <v>6</v>
      </c>
      <c r="K2315" s="1" t="str">
        <f ca="1">IFERROR(__xludf.DUMMYFUNCTION("""COMPUTED_VALUE"""),"Hybrid Working Environment with less than 3 days a month at office")</f>
        <v>Hybrid Working Environment with less than 3 days a month at office</v>
      </c>
      <c r="L2315" s="1" t="str">
        <f ca="1">IFERROR(__xludf.DUMMYFUNCTION("""COMPUTED_VALUE"""),"Employer who appreciates learning and enables that environment")</f>
        <v>Employer who appreciates learning and enables that environment</v>
      </c>
      <c r="M231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15" s="1" t="str">
        <f ca="1">IFERROR(__xludf.DUMMYFUNCTION("""COMPUTED_VALUE"""),"Business Operations in any organization, Manage and drive End-to-End Projects or Products, Entrepreneur or Start Up, Manufacturing / Oil and Gas/ Construction / Hard Physical Work related")</f>
        <v>Business Operations in any organization, Manage and drive End-to-End Projects or Products, Entrepreneur or Start Up, Manufacturing / Oil and Gas/ Construction / Hard Physical Work related</v>
      </c>
      <c r="O2315" s="1" t="str">
        <f ca="1">IFERROR(__xludf.DUMMYFUNCTION("""COMPUTED_VALUE"""),"Manager who sets goal and helps me achieve it")</f>
        <v>Manager who sets goal and helps me achieve it</v>
      </c>
      <c r="P2315" s="1" t="str">
        <f ca="1">IFERROR(__xludf.DUMMYFUNCTION("""COMPUTED_VALUE"""),"Work with 5 to 6 people in my team")</f>
        <v>Work with 5 to 6 people in my team</v>
      </c>
      <c r="Q2315" s="1" t="str">
        <f ca="1">IFERROR(__xludf.DUMMYFUNCTION("""COMPUTED_VALUE"""),"Yes, I Understand this is gonna happen everywhere")</f>
        <v>Yes, I Understand this is gonna happen everywhere</v>
      </c>
      <c r="R2315" s="1" t="str">
        <f ca="1">IFERROR(__xludf.DUMMYFUNCTION("""COMPUTED_VALUE"""),"This will be hard to do, but if it is the right company I would try")</f>
        <v>This will be hard to do, but if it is the right company I would try</v>
      </c>
      <c r="S2315" s="1" t="str">
        <f ca="1">IFERROR(__xludf.DUMMYFUNCTION("""COMPUTED_VALUE"""),"rushirpatil0807@gmail.com")</f>
        <v>rushirpatil0807@gmail.com</v>
      </c>
    </row>
    <row r="2316" spans="1:19" ht="12.5" x14ac:dyDescent="0.25">
      <c r="A2316" s="2">
        <f ca="1">IFERROR(__xludf.DUMMYFUNCTION("""COMPUTED_VALUE"""),45064.4129134838)</f>
        <v>45064.4129134838</v>
      </c>
      <c r="B2316" s="1" t="str">
        <f ca="1">IFERROR(__xludf.DUMMYFUNCTION("""COMPUTED_VALUE"""),"India")</f>
        <v>India</v>
      </c>
      <c r="C2316" s="1">
        <f ca="1">IFERROR(__xludf.DUMMYFUNCTION("""COMPUTED_VALUE"""),500072)</f>
        <v>500072</v>
      </c>
      <c r="D2316" s="1" t="str">
        <f ca="1">IFERROR(__xludf.DUMMYFUNCTION("""COMPUTED_VALUE"""),"Male")</f>
        <v>Male</v>
      </c>
      <c r="E2316" s="1" t="str">
        <f ca="1">IFERROR(__xludf.DUMMYFUNCTION("""COMPUTED_VALUE"""),"People from my circle, but not family members")</f>
        <v>People from my circle, but not family members</v>
      </c>
      <c r="F2316" s="1" t="str">
        <f ca="1">IFERROR(__xludf.DUMMYFUNCTION("""COMPUTED_VALUE"""),"Yes, I will earn and do that")</f>
        <v>Yes, I will earn and do that</v>
      </c>
      <c r="G2316" s="1" t="str">
        <f ca="1">IFERROR(__xludf.DUMMYFUNCTION("""COMPUTED_VALUE"""),"This will be hard to do, but if it is the right company I would try")</f>
        <v>This will be hard to do, but if it is the right company I would try</v>
      </c>
      <c r="H2316" s="1" t="str">
        <f ca="1">IFERROR(__xludf.DUMMYFUNCTION("""COMPUTED_VALUE"""),"No")</f>
        <v>No</v>
      </c>
      <c r="I2316" s="1" t="str">
        <f ca="1">IFERROR(__xludf.DUMMYFUNCTION("""COMPUTED_VALUE"""),"Will NOT work for them")</f>
        <v>Will NOT work for them</v>
      </c>
      <c r="J2316" s="1">
        <f ca="1">IFERROR(__xludf.DUMMYFUNCTION("""COMPUTED_VALUE"""),5)</f>
        <v>5</v>
      </c>
      <c r="K2316" s="1" t="str">
        <f ca="1">IFERROR(__xludf.DUMMYFUNCTION("""COMPUTED_VALUE"""),"Hybrid Working Environment with more than 15 days a month at office")</f>
        <v>Hybrid Working Environment with more than 15 days a month at office</v>
      </c>
      <c r="L23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1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16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316" s="1" t="str">
        <f ca="1">IFERROR(__xludf.DUMMYFUNCTION("""COMPUTED_VALUE"""),"Manager who explains what is expected, sets a goal and helps achieve it")</f>
        <v>Manager who explains what is expected, sets a goal and helps achieve it</v>
      </c>
      <c r="P2316" s="1" t="str">
        <f ca="1">IFERROR(__xludf.DUMMYFUNCTION("""COMPUTED_VALUE"""),"Work with 2 to 3 people in my team")</f>
        <v>Work with 2 to 3 people in my team</v>
      </c>
      <c r="Q2316" s="1" t="str">
        <f ca="1">IFERROR(__xludf.DUMMYFUNCTION("""COMPUTED_VALUE"""),"Yes, I Understand this is gonna happen everywhere")</f>
        <v>Yes, I Understand this is gonna happen everywhere</v>
      </c>
      <c r="R2316" s="1" t="str">
        <f ca="1">IFERROR(__xludf.DUMMYFUNCTION("""COMPUTED_VALUE"""),"This will be hard to do, but if it is the right company I would try")</f>
        <v>This will be hard to do, but if it is the right company I would try</v>
      </c>
      <c r="S2316" s="1" t="str">
        <f ca="1">IFERROR(__xludf.DUMMYFUNCTION("""COMPUTED_VALUE"""),"madhanjio3000@gmail.com")</f>
        <v>madhanjio3000@gmail.com</v>
      </c>
    </row>
    <row r="2317" spans="1:19" ht="12.5" x14ac:dyDescent="0.25">
      <c r="A2317" s="2">
        <f ca="1">IFERROR(__xludf.DUMMYFUNCTION("""COMPUTED_VALUE"""),45064.4132316551)</f>
        <v>45064.413231655097</v>
      </c>
      <c r="B2317" s="1" t="str">
        <f ca="1">IFERROR(__xludf.DUMMYFUNCTION("""COMPUTED_VALUE"""),"India")</f>
        <v>India</v>
      </c>
      <c r="C2317" s="1">
        <f ca="1">IFERROR(__xludf.DUMMYFUNCTION("""COMPUTED_VALUE"""),500048)</f>
        <v>500048</v>
      </c>
      <c r="D2317" s="1" t="str">
        <f ca="1">IFERROR(__xludf.DUMMYFUNCTION("""COMPUTED_VALUE"""),"Female")</f>
        <v>Female</v>
      </c>
      <c r="E2317" s="1" t="str">
        <f ca="1">IFERROR(__xludf.DUMMYFUNCTION("""COMPUTED_VALUE"""),"Influencers who had successful careers")</f>
        <v>Influencers who had successful careers</v>
      </c>
      <c r="F2317" s="1" t="str">
        <f ca="1">IFERROR(__xludf.DUMMYFUNCTION("""COMPUTED_VALUE"""),"Yes, I will earn and do that")</f>
        <v>Yes, I will earn and do that</v>
      </c>
      <c r="G2317" s="1" t="str">
        <f ca="1">IFERROR(__xludf.DUMMYFUNCTION("""COMPUTED_VALUE"""),"Will work for 3 years or more")</f>
        <v>Will work for 3 years or more</v>
      </c>
      <c r="H2317" s="1" t="str">
        <f ca="1">IFERROR(__xludf.DUMMYFUNCTION("""COMPUTED_VALUE"""),"No")</f>
        <v>No</v>
      </c>
      <c r="I2317" s="1" t="str">
        <f ca="1">IFERROR(__xludf.DUMMYFUNCTION("""COMPUTED_VALUE"""),"Will NOT work for them")</f>
        <v>Will NOT work for them</v>
      </c>
      <c r="J2317" s="1">
        <f ca="1">IFERROR(__xludf.DUMMYFUNCTION("""COMPUTED_VALUE"""),3)</f>
        <v>3</v>
      </c>
      <c r="K2317" s="1" t="str">
        <f ca="1">IFERROR(__xludf.DUMMYFUNCTION("""COMPUTED_VALUE"""),"Hybrid Working Environment with more than 15 days a month at office")</f>
        <v>Hybrid Working Environment with more than 15 days a month at office</v>
      </c>
      <c r="L23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1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317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317" s="1" t="str">
        <f ca="1">IFERROR(__xludf.DUMMYFUNCTION("""COMPUTED_VALUE"""),"Manager who sets goal and helps me achieve it")</f>
        <v>Manager who sets goal and helps me achieve it</v>
      </c>
      <c r="P2317" s="1" t="str">
        <f ca="1">IFERROR(__xludf.DUMMYFUNCTION("""COMPUTED_VALUE"""),"Work with 2 to 3 people in my team")</f>
        <v>Work with 2 to 3 people in my team</v>
      </c>
      <c r="Q2317" s="1" t="str">
        <f ca="1">IFERROR(__xludf.DUMMYFUNCTION("""COMPUTED_VALUE"""),"Yes, I Understand this is gonna happen everywhere")</f>
        <v>Yes, I Understand this is gonna happen everywhere</v>
      </c>
      <c r="R2317" s="1" t="str">
        <f ca="1">IFERROR(__xludf.DUMMYFUNCTION("""COMPUTED_VALUE"""),"This will be hard to do, but if it is the right company I would try")</f>
        <v>This will be hard to do, but if it is the right company I would try</v>
      </c>
      <c r="S2317" s="1" t="str">
        <f ca="1">IFERROR(__xludf.DUMMYFUNCTION("""COMPUTED_VALUE"""),"munigalamounika95@gmail.com")</f>
        <v>munigalamounika95@gmail.com</v>
      </c>
    </row>
    <row r="2318" spans="1:19" ht="12.5" x14ac:dyDescent="0.25">
      <c r="A2318" s="2">
        <f ca="1">IFERROR(__xludf.DUMMYFUNCTION("""COMPUTED_VALUE"""),45064.4173228819)</f>
        <v>45064.417322881898</v>
      </c>
      <c r="B2318" s="1" t="str">
        <f ca="1">IFERROR(__xludf.DUMMYFUNCTION("""COMPUTED_VALUE"""),"India")</f>
        <v>India</v>
      </c>
      <c r="C2318" s="1">
        <f ca="1">IFERROR(__xludf.DUMMYFUNCTION("""COMPUTED_VALUE"""),621704)</f>
        <v>621704</v>
      </c>
      <c r="D2318" s="1" t="str">
        <f ca="1">IFERROR(__xludf.DUMMYFUNCTION("""COMPUTED_VALUE"""),"Male")</f>
        <v>Male</v>
      </c>
      <c r="E2318" s="1" t="str">
        <f ca="1">IFERROR(__xludf.DUMMYFUNCTION("""COMPUTED_VALUE"""),"My Parents")</f>
        <v>My Parents</v>
      </c>
      <c r="F2318" s="1" t="str">
        <f ca="1">IFERROR(__xludf.DUMMYFUNCTION("""COMPUTED_VALUE"""),"Yes, I will earn and do that")</f>
        <v>Yes, I will earn and do that</v>
      </c>
      <c r="G2318" s="1" t="str">
        <f ca="1">IFERROR(__xludf.DUMMYFUNCTION("""COMPUTED_VALUE"""),"Will work for 3 years or more")</f>
        <v>Will work for 3 years or more</v>
      </c>
      <c r="H2318" s="1" t="str">
        <f ca="1">IFERROR(__xludf.DUMMYFUNCTION("""COMPUTED_VALUE"""),"Yes")</f>
        <v>Yes</v>
      </c>
      <c r="I2318" s="1" t="str">
        <f ca="1">IFERROR(__xludf.DUMMYFUNCTION("""COMPUTED_VALUE"""),"Will work for them")</f>
        <v>Will work for them</v>
      </c>
      <c r="J2318" s="1">
        <f ca="1">IFERROR(__xludf.DUMMYFUNCTION("""COMPUTED_VALUE"""),3)</f>
        <v>3</v>
      </c>
      <c r="K2318" s="1" t="str">
        <f ca="1">IFERROR(__xludf.DUMMYFUNCTION("""COMPUTED_VALUE"""),"Every Day Office Environment")</f>
        <v>Every Day Office Environment</v>
      </c>
      <c r="L2318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31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18" s="1" t="str">
        <f ca="1">IFERROR(__xludf.DUMMYFUNCTION("""COMPUTED_VALUE"""),"Design and Creative strategy in any company, Teaching in any of the institutes/colleges/online or offline, Design and Develop amazing software, Work in a BPO setup for some well known client")</f>
        <v>Design and Creative strategy in any company, Teaching in any of the institutes/colleges/online or offline, Design and Develop amazing software, Work in a BPO setup for some well known client</v>
      </c>
      <c r="O2318" s="1" t="str">
        <f ca="1">IFERROR(__xludf.DUMMYFUNCTION("""COMPUTED_VALUE"""),"Manager who sets goal and helps me achieve it")</f>
        <v>Manager who sets goal and helps me achieve it</v>
      </c>
      <c r="P2318" s="1" t="str">
        <f ca="1">IFERROR(__xludf.DUMMYFUNCTION("""COMPUTED_VALUE"""),"Work with 5 to 6 people in my team")</f>
        <v>Work with 5 to 6 people in my team</v>
      </c>
      <c r="Q2318" s="1" t="str">
        <f ca="1">IFERROR(__xludf.DUMMYFUNCTION("""COMPUTED_VALUE"""),"Yes, I Understand this is gonna happen everywhere")</f>
        <v>Yes, I Understand this is gonna happen everywhere</v>
      </c>
      <c r="R2318" s="1" t="str">
        <f ca="1">IFERROR(__xludf.DUMMYFUNCTION("""COMPUTED_VALUE"""),"Will work for 7 years or more")</f>
        <v>Will work for 7 years or more</v>
      </c>
      <c r="S2318" s="1" t="str">
        <f ca="1">IFERROR(__xludf.DUMMYFUNCTION("""COMPUTED_VALUE"""),"gayathriautos2015@gmail.com")</f>
        <v>gayathriautos2015@gmail.com</v>
      </c>
    </row>
    <row r="2319" spans="1:19" ht="12.5" x14ac:dyDescent="0.25">
      <c r="A2319" s="2">
        <f ca="1">IFERROR(__xludf.DUMMYFUNCTION("""COMPUTED_VALUE"""),45064.4218247453)</f>
        <v>45064.421824745303</v>
      </c>
      <c r="B2319" s="1" t="str">
        <f ca="1">IFERROR(__xludf.DUMMYFUNCTION("""COMPUTED_VALUE"""),"India")</f>
        <v>India</v>
      </c>
      <c r="C2319" s="1">
        <f ca="1">IFERROR(__xludf.DUMMYFUNCTION("""COMPUTED_VALUE"""),637015)</f>
        <v>637015</v>
      </c>
      <c r="D2319" s="1" t="str">
        <f ca="1">IFERROR(__xludf.DUMMYFUNCTION("""COMPUTED_VALUE"""),"Female")</f>
        <v>Female</v>
      </c>
      <c r="E2319" s="1" t="str">
        <f ca="1">IFERROR(__xludf.DUMMYFUNCTION("""COMPUTED_VALUE"""),"Influencers who had successful careers")</f>
        <v>Influencers who had successful careers</v>
      </c>
      <c r="F2319" s="1" t="str">
        <f ca="1">IFERROR(__xludf.DUMMYFUNCTION("""COMPUTED_VALUE"""),"No I would not be pursuing Higher Education outside of India")</f>
        <v>No I would not be pursuing Higher Education outside of India</v>
      </c>
      <c r="G2319" s="1" t="str">
        <f ca="1">IFERROR(__xludf.DUMMYFUNCTION("""COMPUTED_VALUE"""),"No way")</f>
        <v>No way</v>
      </c>
      <c r="H2319" s="1" t="str">
        <f ca="1">IFERROR(__xludf.DUMMYFUNCTION("""COMPUTED_VALUE"""),"No")</f>
        <v>No</v>
      </c>
      <c r="I2319" s="1" t="str">
        <f ca="1">IFERROR(__xludf.DUMMYFUNCTION("""COMPUTED_VALUE"""),"Will NOT work for them")</f>
        <v>Will NOT work for them</v>
      </c>
      <c r="J2319" s="1">
        <f ca="1">IFERROR(__xludf.DUMMYFUNCTION("""COMPUTED_VALUE"""),9)</f>
        <v>9</v>
      </c>
      <c r="K2319" s="1" t="str">
        <f ca="1">IFERROR(__xludf.DUMMYFUNCTION("""COMPUTED_VALUE"""),"Fully Remote with Options to travel as and when needed")</f>
        <v>Fully Remote with Options to travel as and when needed</v>
      </c>
      <c r="L2319" s="1" t="str">
        <f ca="1">IFERROR(__xludf.DUMMYFUNCTION("""COMPUTED_VALUE"""),"Employer who rewards learning and enables that environment")</f>
        <v>Employer who rewards learning and enables that environment</v>
      </c>
      <c r="M231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19" s="1" t="str">
        <f ca="1">IFERROR(__xludf.DUMMYFUNCTION("""COMPUTED_VALUE"""),"Teaching in any of the institutes/colleges/online or offline, Business Operations in any organization, Build and develop a Team, Look deeply into Data and generate insights")</f>
        <v>Teaching in any of the institutes/colleges/online or offline, Business Operations in any organization, Build and develop a Team, Look deeply into Data and generate insights</v>
      </c>
      <c r="O2319" s="1" t="str">
        <f ca="1">IFERROR(__xludf.DUMMYFUNCTION("""COMPUTED_VALUE"""),"Manager who explains what is expected, sets a goal and helps achieve it")</f>
        <v>Manager who explains what is expected, sets a goal and helps achieve it</v>
      </c>
      <c r="P2319" s="1" t="str">
        <f ca="1">IFERROR(__xludf.DUMMYFUNCTION("""COMPUTED_VALUE"""),"Work with 7 to 10 or more people in my team")</f>
        <v>Work with 7 to 10 or more people in my team</v>
      </c>
      <c r="Q2319" s="1" t="str">
        <f ca="1">IFERROR(__xludf.DUMMYFUNCTION("""COMPUTED_VALUE"""),"No")</f>
        <v>No</v>
      </c>
      <c r="R2319" s="1" t="str">
        <f ca="1">IFERROR(__xludf.DUMMYFUNCTION("""COMPUTED_VALUE"""),"No way")</f>
        <v>No way</v>
      </c>
      <c r="S2319" s="1" t="str">
        <f ca="1">IFERROR(__xludf.DUMMYFUNCTION("""COMPUTED_VALUE"""),"its.anumitha163@gmail.com")</f>
        <v>its.anumitha163@gmail.com</v>
      </c>
    </row>
    <row r="2320" spans="1:19" ht="12.5" x14ac:dyDescent="0.25">
      <c r="A2320" s="2">
        <f ca="1">IFERROR(__xludf.DUMMYFUNCTION("""COMPUTED_VALUE"""),45064.423488993)</f>
        <v>45064.423488993001</v>
      </c>
      <c r="B2320" s="1" t="str">
        <f ca="1">IFERROR(__xludf.DUMMYFUNCTION("""COMPUTED_VALUE"""),"India")</f>
        <v>India</v>
      </c>
      <c r="C2320" s="1">
        <f ca="1">IFERROR(__xludf.DUMMYFUNCTION("""COMPUTED_VALUE"""),637405)</f>
        <v>637405</v>
      </c>
      <c r="D2320" s="1" t="str">
        <f ca="1">IFERROR(__xludf.DUMMYFUNCTION("""COMPUTED_VALUE"""),"Male")</f>
        <v>Male</v>
      </c>
      <c r="E2320" s="1" t="str">
        <f ca="1">IFERROR(__xludf.DUMMYFUNCTION("""COMPUTED_VALUE"""),"My Parents")</f>
        <v>My Parents</v>
      </c>
      <c r="F2320" s="1" t="str">
        <f ca="1">IFERROR(__xludf.DUMMYFUNCTION("""COMPUTED_VALUE"""),"Yes, I will earn and do that")</f>
        <v>Yes, I will earn and do that</v>
      </c>
      <c r="G2320" s="1" t="str">
        <f ca="1">IFERROR(__xludf.DUMMYFUNCTION("""COMPUTED_VALUE"""),"Will work for 3 years or more")</f>
        <v>Will work for 3 years or more</v>
      </c>
      <c r="H2320" s="1" t="str">
        <f ca="1">IFERROR(__xludf.DUMMYFUNCTION("""COMPUTED_VALUE"""),"Yes")</f>
        <v>Yes</v>
      </c>
      <c r="I2320" s="1" t="str">
        <f ca="1">IFERROR(__xludf.DUMMYFUNCTION("""COMPUTED_VALUE"""),"Will work for them")</f>
        <v>Will work for them</v>
      </c>
      <c r="J2320" s="1">
        <f ca="1">IFERROR(__xludf.DUMMYFUNCTION("""COMPUTED_VALUE"""),6)</f>
        <v>6</v>
      </c>
      <c r="K2320" s="1" t="str">
        <f ca="1">IFERROR(__xludf.DUMMYFUNCTION("""COMPUTED_VALUE"""),"Every Day Office Environment")</f>
        <v>Every Day Office Environment</v>
      </c>
      <c r="L2320" s="1" t="str">
        <f ca="1">IFERROR(__xludf.DUMMYFUNCTION("""COMPUTED_VALUE"""),"Employer who appreciates learning and enables that environment")</f>
        <v>Employer who appreciates learning and enables that environment</v>
      </c>
      <c r="M232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320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2320" s="1" t="str">
        <f ca="1">IFERROR(__xludf.DUMMYFUNCTION("""COMPUTED_VALUE"""),"Manager who clearly describes what she/he needs")</f>
        <v>Manager who clearly describes what she/he needs</v>
      </c>
      <c r="P2320" s="1" t="str">
        <f ca="1">IFERROR(__xludf.DUMMYFUNCTION("""COMPUTED_VALUE"""),"Work with 5 to 6 people in my team")</f>
        <v>Work with 5 to 6 people in my team</v>
      </c>
      <c r="Q2320" s="1" t="str">
        <f ca="1">IFERROR(__xludf.DUMMYFUNCTION("""COMPUTED_VALUE"""),"Yes")</f>
        <v>Yes</v>
      </c>
      <c r="R2320" s="1" t="str">
        <f ca="1">IFERROR(__xludf.DUMMYFUNCTION("""COMPUTED_VALUE"""),"This will be hard to do, but if it is the right company I would try")</f>
        <v>This will be hard to do, but if it is the right company I would try</v>
      </c>
      <c r="S2320" s="1" t="str">
        <f ca="1">IFERROR(__xludf.DUMMYFUNCTION("""COMPUTED_VALUE"""),"21bmcs105arunraji@skacas.ac.in")</f>
        <v>21bmcs105arunraji@skacas.ac.in</v>
      </c>
    </row>
    <row r="2321" spans="1:19" ht="12.5" x14ac:dyDescent="0.25">
      <c r="A2321" s="2">
        <f ca="1">IFERROR(__xludf.DUMMYFUNCTION("""COMPUTED_VALUE"""),45064.426394618)</f>
        <v>45064.426394618</v>
      </c>
      <c r="B2321" s="1" t="str">
        <f ca="1">IFERROR(__xludf.DUMMYFUNCTION("""COMPUTED_VALUE"""),"India")</f>
        <v>India</v>
      </c>
      <c r="C2321" s="1">
        <f ca="1">IFERROR(__xludf.DUMMYFUNCTION("""COMPUTED_VALUE"""),621705)</f>
        <v>621705</v>
      </c>
      <c r="D2321" s="1" t="str">
        <f ca="1">IFERROR(__xludf.DUMMYFUNCTION("""COMPUTED_VALUE"""),"Female")</f>
        <v>Female</v>
      </c>
      <c r="E2321" s="1" t="str">
        <f ca="1">IFERROR(__xludf.DUMMYFUNCTION("""COMPUTED_VALUE"""),"Influencers who had successful careers")</f>
        <v>Influencers who had successful careers</v>
      </c>
      <c r="F2321" s="1" t="str">
        <f ca="1">IFERROR(__xludf.DUMMYFUNCTION("""COMPUTED_VALUE"""),"No I would not be pursuing Higher Education outside of India")</f>
        <v>No I would not be pursuing Higher Education outside of India</v>
      </c>
      <c r="G2321" s="1" t="str">
        <f ca="1">IFERROR(__xludf.DUMMYFUNCTION("""COMPUTED_VALUE"""),"This will be hard to do, but if it is the right company I would try")</f>
        <v>This will be hard to do, but if it is the right company I would try</v>
      </c>
      <c r="H2321" s="1" t="str">
        <f ca="1">IFERROR(__xludf.DUMMYFUNCTION("""COMPUTED_VALUE"""),"No")</f>
        <v>No</v>
      </c>
      <c r="I2321" s="1" t="str">
        <f ca="1">IFERROR(__xludf.DUMMYFUNCTION("""COMPUTED_VALUE"""),"Will NOT work for them")</f>
        <v>Will NOT work for them</v>
      </c>
      <c r="J2321" s="1">
        <f ca="1">IFERROR(__xludf.DUMMYFUNCTION("""COMPUTED_VALUE"""),10)</f>
        <v>10</v>
      </c>
      <c r="K2321" s="1" t="str">
        <f ca="1">IFERROR(__xludf.DUMMYFUNCTION("""COMPUTED_VALUE"""),"Every Day Office Environment")</f>
        <v>Every Day Office Environment</v>
      </c>
      <c r="L2321" s="1" t="str">
        <f ca="1">IFERROR(__xludf.DUMMYFUNCTION("""COMPUTED_VALUE"""),"Employer who appreciates learning and enables that environment")</f>
        <v>Employer who appreciates learning and enables that environment</v>
      </c>
      <c r="M232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321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2321" s="1" t="str">
        <f ca="1">IFERROR(__xludf.DUMMYFUNCTION("""COMPUTED_VALUE"""),"Manager who clearly describes what she/he needs")</f>
        <v>Manager who clearly describes what she/he needs</v>
      </c>
      <c r="P2321" s="1" t="str">
        <f ca="1">IFERROR(__xludf.DUMMYFUNCTION("""COMPUTED_VALUE"""),"Work alone")</f>
        <v>Work alone</v>
      </c>
      <c r="Q2321" s="1" t="str">
        <f ca="1">IFERROR(__xludf.DUMMYFUNCTION("""COMPUTED_VALUE"""),"I have NO other choice")</f>
        <v>I have NO other choice</v>
      </c>
      <c r="R2321" s="1" t="str">
        <f ca="1">IFERROR(__xludf.DUMMYFUNCTION("""COMPUTED_VALUE"""),"Will work for 7 years or more")</f>
        <v>Will work for 7 years or more</v>
      </c>
      <c r="S2321" s="1" t="str">
        <f ca="1">IFERROR(__xludf.DUMMYFUNCTION("""COMPUTED_VALUE"""),"ua21en012harini.m@gmail.com")</f>
        <v>ua21en012harini.m@gmail.com</v>
      </c>
    </row>
    <row r="2322" spans="1:19" ht="12.5" x14ac:dyDescent="0.25">
      <c r="A2322" s="2">
        <f ca="1">IFERROR(__xludf.DUMMYFUNCTION("""COMPUTED_VALUE"""),45064.4275998726)</f>
        <v>45064.427599872601</v>
      </c>
      <c r="B2322" s="1" t="str">
        <f ca="1">IFERROR(__xludf.DUMMYFUNCTION("""COMPUTED_VALUE"""),"India")</f>
        <v>India</v>
      </c>
      <c r="C2322" s="1">
        <f ca="1">IFERROR(__xludf.DUMMYFUNCTION("""COMPUTED_VALUE"""),532001)</f>
        <v>532001</v>
      </c>
      <c r="D2322" s="1" t="str">
        <f ca="1">IFERROR(__xludf.DUMMYFUNCTION("""COMPUTED_VALUE"""),"Male")</f>
        <v>Male</v>
      </c>
      <c r="E2322" s="1" t="str">
        <f ca="1">IFERROR(__xludf.DUMMYFUNCTION("""COMPUTED_VALUE"""),"People who have changed the world for better")</f>
        <v>People who have changed the world for better</v>
      </c>
      <c r="F2322" s="1" t="str">
        <f ca="1">IFERROR(__xludf.DUMMYFUNCTION("""COMPUTED_VALUE"""),"No I would not be pursuing Higher Education outside of India")</f>
        <v>No I would not be pursuing Higher Education outside of India</v>
      </c>
      <c r="G2322" s="1" t="str">
        <f ca="1">IFERROR(__xludf.DUMMYFUNCTION("""COMPUTED_VALUE"""),"No way")</f>
        <v>No way</v>
      </c>
      <c r="H2322" s="1" t="str">
        <f ca="1">IFERROR(__xludf.DUMMYFUNCTION("""COMPUTED_VALUE"""),"No")</f>
        <v>No</v>
      </c>
      <c r="I2322" s="1" t="str">
        <f ca="1">IFERROR(__xludf.DUMMYFUNCTION("""COMPUTED_VALUE"""),"Will NOT work for them")</f>
        <v>Will NOT work for them</v>
      </c>
      <c r="J2322" s="1">
        <f ca="1">IFERROR(__xludf.DUMMYFUNCTION("""COMPUTED_VALUE"""),1)</f>
        <v>1</v>
      </c>
      <c r="K2322" s="1" t="str">
        <f ca="1">IFERROR(__xludf.DUMMYFUNCTION("""COMPUTED_VALUE"""),"Fully Remote with No option to visit offices")</f>
        <v>Fully Remote with No option to visit offices</v>
      </c>
      <c r="L2322" s="1" t="str">
        <f ca="1">IFERROR(__xludf.DUMMYFUNCTION("""COMPUTED_VALUE"""),"Employer who appreciates learning and enables that environment")</f>
        <v>Employer who appreciates learning and enables that environment</v>
      </c>
      <c r="M232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322" s="1" t="str">
        <f ca="1">IFERROR(__xludf.DUMMYFUNCTION("""COMPUTED_VALUE"""),"Teaching in any of the institutes/colleges/online or offline, Work as a freelancer and do my thing my way, Become a content Creator in some platform, An Artificial Intelligence Specialist / Talking to Robots")</f>
        <v>Teaching in any of the institutes/colleges/online or offline, Work as a freelancer and do my thing my way, Become a content Creator in some platform, An Artificial Intelligence Specialist / Talking to Robots</v>
      </c>
      <c r="O2322" s="1" t="str">
        <f ca="1">IFERROR(__xludf.DUMMYFUNCTION("""COMPUTED_VALUE"""),"Manager who explains what is expected, sets a goal and helps achieve it")</f>
        <v>Manager who explains what is expected, sets a goal and helps achieve it</v>
      </c>
      <c r="P2322" s="1" t="str">
        <f ca="1">IFERROR(__xludf.DUMMYFUNCTION("""COMPUTED_VALUE"""),"Work with 2 to 3 people in my team")</f>
        <v>Work with 2 to 3 people in my team</v>
      </c>
      <c r="Q2322" s="1" t="str">
        <f ca="1">IFERROR(__xludf.DUMMYFUNCTION("""COMPUTED_VALUE"""),"No")</f>
        <v>No</v>
      </c>
      <c r="R2322" s="1" t="str">
        <f ca="1">IFERROR(__xludf.DUMMYFUNCTION("""COMPUTED_VALUE"""),"No way")</f>
        <v>No way</v>
      </c>
      <c r="S2322" s="1" t="str">
        <f ca="1">IFERROR(__xludf.DUMMYFUNCTION("""COMPUTED_VALUE"""),"mslaxman1729@gmail.com")</f>
        <v>mslaxman1729@gmail.com</v>
      </c>
    </row>
    <row r="2323" spans="1:19" ht="12.5" x14ac:dyDescent="0.25">
      <c r="A2323" s="2">
        <f ca="1">IFERROR(__xludf.DUMMYFUNCTION("""COMPUTED_VALUE"""),45064.4302337615)</f>
        <v>45064.430233761501</v>
      </c>
      <c r="B2323" s="1" t="str">
        <f ca="1">IFERROR(__xludf.DUMMYFUNCTION("""COMPUTED_VALUE"""),"India")</f>
        <v>India</v>
      </c>
      <c r="C2323" s="1">
        <f ca="1">IFERROR(__xludf.DUMMYFUNCTION("""COMPUTED_VALUE"""),637001)</f>
        <v>637001</v>
      </c>
      <c r="D2323" s="1" t="str">
        <f ca="1">IFERROR(__xludf.DUMMYFUNCTION("""COMPUTED_VALUE"""),"Female")</f>
        <v>Female</v>
      </c>
      <c r="E2323" s="1" t="str">
        <f ca="1">IFERROR(__xludf.DUMMYFUNCTION("""COMPUTED_VALUE"""),"People from my circle, but not family members")</f>
        <v>People from my circle, but not family members</v>
      </c>
      <c r="F2323" s="1" t="str">
        <f ca="1">IFERROR(__xludf.DUMMYFUNCTION("""COMPUTED_VALUE"""),"Yes, I will earn and do that")</f>
        <v>Yes, I will earn and do that</v>
      </c>
      <c r="G2323" s="1" t="str">
        <f ca="1">IFERROR(__xludf.DUMMYFUNCTION("""COMPUTED_VALUE"""),"No way")</f>
        <v>No way</v>
      </c>
      <c r="H2323" s="1" t="str">
        <f ca="1">IFERROR(__xludf.DUMMYFUNCTION("""COMPUTED_VALUE"""),"No")</f>
        <v>No</v>
      </c>
      <c r="I2323" s="1" t="str">
        <f ca="1">IFERROR(__xludf.DUMMYFUNCTION("""COMPUTED_VALUE"""),"Will NOT work for them")</f>
        <v>Will NOT work for them</v>
      </c>
      <c r="J2323" s="1">
        <f ca="1">IFERROR(__xludf.DUMMYFUNCTION("""COMPUTED_VALUE"""),1)</f>
        <v>1</v>
      </c>
      <c r="K2323" s="1" t="str">
        <f ca="1">IFERROR(__xludf.DUMMYFUNCTION("""COMPUTED_VALUE"""),"Fully Remote with Options to travel as and when needed")</f>
        <v>Fully Remote with Options to travel as and when needed</v>
      </c>
      <c r="L2323" s="1" t="str">
        <f ca="1">IFERROR(__xludf.DUMMYFUNCTION("""COMPUTED_VALUE"""),"Employer who appreciates learning and enables that environment")</f>
        <v>Employer who appreciates learning and enables that environment</v>
      </c>
      <c r="M2323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323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323" s="1" t="str">
        <f ca="1">IFERROR(__xludf.DUMMYFUNCTION("""COMPUTED_VALUE"""),"Manager who clearly describes what she/he needs")</f>
        <v>Manager who clearly describes what she/he needs</v>
      </c>
      <c r="P2323" s="1" t="str">
        <f ca="1">IFERROR(__xludf.DUMMYFUNCTION("""COMPUTED_VALUE"""),"Work alone")</f>
        <v>Work alone</v>
      </c>
      <c r="Q2323" s="1" t="str">
        <f ca="1">IFERROR(__xludf.DUMMYFUNCTION("""COMPUTED_VALUE"""),"Yes, I Understand this is gonna happen everywhere")</f>
        <v>Yes, I Understand this is gonna happen everywhere</v>
      </c>
      <c r="R2323" s="1" t="str">
        <f ca="1">IFERROR(__xludf.DUMMYFUNCTION("""COMPUTED_VALUE"""),"No way")</f>
        <v>No way</v>
      </c>
      <c r="S2323" s="1" t="str">
        <f ca="1">IFERROR(__xludf.DUMMYFUNCTION("""COMPUTED_VALUE"""),"sujaroshini0408@gmail.com")</f>
        <v>sujaroshini0408@gmail.com</v>
      </c>
    </row>
    <row r="2324" spans="1:19" ht="12.5" x14ac:dyDescent="0.25">
      <c r="A2324" s="2">
        <f ca="1">IFERROR(__xludf.DUMMYFUNCTION("""COMPUTED_VALUE"""),45064.4331098958)</f>
        <v>45064.433109895799</v>
      </c>
      <c r="B2324" s="1" t="str">
        <f ca="1">IFERROR(__xludf.DUMMYFUNCTION("""COMPUTED_VALUE"""),"India")</f>
        <v>India</v>
      </c>
      <c r="C2324" s="1">
        <f ca="1">IFERROR(__xludf.DUMMYFUNCTION("""COMPUTED_VALUE"""),637001)</f>
        <v>637001</v>
      </c>
      <c r="D2324" s="1" t="str">
        <f ca="1">IFERROR(__xludf.DUMMYFUNCTION("""COMPUTED_VALUE"""),"Female")</f>
        <v>Female</v>
      </c>
      <c r="E2324" s="1" t="str">
        <f ca="1">IFERROR(__xludf.DUMMYFUNCTION("""COMPUTED_VALUE"""),"People from my circle, but not family members")</f>
        <v>People from my circle, but not family members</v>
      </c>
      <c r="F2324" s="1" t="str">
        <f ca="1">IFERROR(__xludf.DUMMYFUNCTION("""COMPUTED_VALUE"""),"Yes, I will earn and do that")</f>
        <v>Yes, I will earn and do that</v>
      </c>
      <c r="G2324" s="1" t="str">
        <f ca="1">IFERROR(__xludf.DUMMYFUNCTION("""COMPUTED_VALUE"""),"This will be hard to do, but if it is the right company I would try")</f>
        <v>This will be hard to do, but if it is the right company I would try</v>
      </c>
      <c r="H2324" s="1" t="str">
        <f ca="1">IFERROR(__xludf.DUMMYFUNCTION("""COMPUTED_VALUE"""),"Yes")</f>
        <v>Yes</v>
      </c>
      <c r="I2324" s="1" t="str">
        <f ca="1">IFERROR(__xludf.DUMMYFUNCTION("""COMPUTED_VALUE"""),"Will work for them")</f>
        <v>Will work for them</v>
      </c>
      <c r="J2324" s="1">
        <f ca="1">IFERROR(__xludf.DUMMYFUNCTION("""COMPUTED_VALUE"""),5)</f>
        <v>5</v>
      </c>
      <c r="K2324" s="1" t="str">
        <f ca="1">IFERROR(__xludf.DUMMYFUNCTION("""COMPUTED_VALUE"""),"Hybrid Working Environment with more than 15 days a month at office")</f>
        <v>Hybrid Working Environment with more than 15 days a month at office</v>
      </c>
      <c r="L2324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324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324" s="1" t="str">
        <f ca="1">IFERROR(__xludf.DUMMYFUNCTION("""COMPUTED_VALUE"""),"Build and develop a Team, Become a content Creator in some platform, Entrepreneur or Start Up, I Want to sell things/Sales")</f>
        <v>Build and develop a Team, Become a content Creator in some platform, Entrepreneur or Start Up, I Want to sell things/Sales</v>
      </c>
      <c r="O2324" s="1" t="str">
        <f ca="1">IFERROR(__xludf.DUMMYFUNCTION("""COMPUTED_VALUE"""),"Manager who sets goal and helps me achieve it")</f>
        <v>Manager who sets goal and helps me achieve it</v>
      </c>
      <c r="P2324" s="1" t="str">
        <f ca="1">IFERROR(__xludf.DUMMYFUNCTION("""COMPUTED_VALUE"""),"Work with 7 to 10 or more people in my team")</f>
        <v>Work with 7 to 10 or more people in my team</v>
      </c>
      <c r="Q2324" s="1" t="str">
        <f ca="1">IFERROR(__xludf.DUMMYFUNCTION("""COMPUTED_VALUE"""),"Yes")</f>
        <v>Yes</v>
      </c>
      <c r="R2324" s="1" t="str">
        <f ca="1">IFERROR(__xludf.DUMMYFUNCTION("""COMPUTED_VALUE"""),"This will be hard to do, but if it is the right company I would try")</f>
        <v>This will be hard to do, but if it is the right company I would try</v>
      </c>
      <c r="S2324" s="1" t="str">
        <f ca="1">IFERROR(__xludf.DUMMYFUNCTION("""COMPUTED_VALUE"""),"kavipriyajramesh@gmail.com")</f>
        <v>kavipriyajramesh@gmail.com</v>
      </c>
    </row>
    <row r="2325" spans="1:19" ht="12.5" x14ac:dyDescent="0.25">
      <c r="A2325" s="2">
        <f ca="1">IFERROR(__xludf.DUMMYFUNCTION("""COMPUTED_VALUE"""),45064.43354353)</f>
        <v>45064.433543530002</v>
      </c>
      <c r="B2325" s="1" t="str">
        <f ca="1">IFERROR(__xludf.DUMMYFUNCTION("""COMPUTED_VALUE"""),"India")</f>
        <v>India</v>
      </c>
      <c r="C2325" s="1">
        <f ca="1">IFERROR(__xludf.DUMMYFUNCTION("""COMPUTED_VALUE"""),600016)</f>
        <v>600016</v>
      </c>
      <c r="D2325" s="1" t="str">
        <f ca="1">IFERROR(__xludf.DUMMYFUNCTION("""COMPUTED_VALUE"""),"Male")</f>
        <v>Male</v>
      </c>
      <c r="E2325" s="1" t="str">
        <f ca="1">IFERROR(__xludf.DUMMYFUNCTION("""COMPUTED_VALUE"""),"Influencers who had successful careers")</f>
        <v>Influencers who had successful careers</v>
      </c>
      <c r="F2325" s="1" t="str">
        <f ca="1">IFERROR(__xludf.DUMMYFUNCTION("""COMPUTED_VALUE"""),"Yes, I will earn and do that")</f>
        <v>Yes, I will earn and do that</v>
      </c>
      <c r="G2325" s="1" t="str">
        <f ca="1">IFERROR(__xludf.DUMMYFUNCTION("""COMPUTED_VALUE"""),"This will be hard to do, but if it is the right company I would try")</f>
        <v>This will be hard to do, but if it is the right company I would try</v>
      </c>
      <c r="H2325" s="1" t="str">
        <f ca="1">IFERROR(__xludf.DUMMYFUNCTION("""COMPUTED_VALUE"""),"No")</f>
        <v>No</v>
      </c>
      <c r="I2325" s="1" t="str">
        <f ca="1">IFERROR(__xludf.DUMMYFUNCTION("""COMPUTED_VALUE"""),"Will NOT work for them")</f>
        <v>Will NOT work for them</v>
      </c>
      <c r="J2325" s="1">
        <f ca="1">IFERROR(__xludf.DUMMYFUNCTION("""COMPUTED_VALUE"""),5)</f>
        <v>5</v>
      </c>
      <c r="K2325" s="1" t="str">
        <f ca="1">IFERROR(__xludf.DUMMYFUNCTION("""COMPUTED_VALUE"""),"Hybrid Working Environment with less than 3 days a month at office")</f>
        <v>Hybrid Working Environment with less than 3 days a month at office</v>
      </c>
      <c r="L23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2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25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2325" s="1" t="str">
        <f ca="1">IFERROR(__xludf.DUMMYFUNCTION("""COMPUTED_VALUE"""),"Manager who explains what is expected, sets a goal and helps achieve it")</f>
        <v>Manager who explains what is expected, sets a goal and helps achieve it</v>
      </c>
      <c r="P2325" s="1" t="str">
        <f ca="1">IFERROR(__xludf.DUMMYFUNCTION("""COMPUTED_VALUE"""),"Work with 5 to 6 people in my team")</f>
        <v>Work with 5 to 6 people in my team</v>
      </c>
      <c r="Q2325" s="1" t="str">
        <f ca="1">IFERROR(__xludf.DUMMYFUNCTION("""COMPUTED_VALUE"""),"No")</f>
        <v>No</v>
      </c>
      <c r="R2325" s="1" t="str">
        <f ca="1">IFERROR(__xludf.DUMMYFUNCTION("""COMPUTED_VALUE"""),"No way")</f>
        <v>No way</v>
      </c>
      <c r="S2325" s="1" t="str">
        <f ca="1">IFERROR(__xludf.DUMMYFUNCTION("""COMPUTED_VALUE"""),"praveenvijay4698@gmail.com")</f>
        <v>praveenvijay4698@gmail.com</v>
      </c>
    </row>
    <row r="2326" spans="1:19" ht="12.5" x14ac:dyDescent="0.25">
      <c r="A2326" s="2">
        <f ca="1">IFERROR(__xludf.DUMMYFUNCTION("""COMPUTED_VALUE"""),45064.4345921759)</f>
        <v>45064.434592175901</v>
      </c>
      <c r="B2326" s="1" t="str">
        <f ca="1">IFERROR(__xludf.DUMMYFUNCTION("""COMPUTED_VALUE"""),"India")</f>
        <v>India</v>
      </c>
      <c r="C2326" s="1">
        <f ca="1">IFERROR(__xludf.DUMMYFUNCTION("""COMPUTED_VALUE"""),621713)</f>
        <v>621713</v>
      </c>
      <c r="D2326" s="1" t="str">
        <f ca="1">IFERROR(__xludf.DUMMYFUNCTION("""COMPUTED_VALUE"""),"Female")</f>
        <v>Female</v>
      </c>
      <c r="E2326" s="1" t="str">
        <f ca="1">IFERROR(__xludf.DUMMYFUNCTION("""COMPUTED_VALUE"""),"Influencers who had successful careers")</f>
        <v>Influencers who had successful careers</v>
      </c>
      <c r="F2326" s="1" t="str">
        <f ca="1">IFERROR(__xludf.DUMMYFUNCTION("""COMPUTED_VALUE"""),"No I would not be pursuing Higher Education outside of India")</f>
        <v>No I would not be pursuing Higher Education outside of India</v>
      </c>
      <c r="G2326" s="1" t="str">
        <f ca="1">IFERROR(__xludf.DUMMYFUNCTION("""COMPUTED_VALUE"""),"This will be hard to do, but if it is the right company I would try")</f>
        <v>This will be hard to do, but if it is the right company I would try</v>
      </c>
      <c r="H2326" s="1" t="str">
        <f ca="1">IFERROR(__xludf.DUMMYFUNCTION("""COMPUTED_VALUE"""),"No")</f>
        <v>No</v>
      </c>
      <c r="I2326" s="1" t="str">
        <f ca="1">IFERROR(__xludf.DUMMYFUNCTION("""COMPUTED_VALUE"""),"Will NOT work for them")</f>
        <v>Will NOT work for them</v>
      </c>
      <c r="J2326" s="1">
        <f ca="1">IFERROR(__xludf.DUMMYFUNCTION("""COMPUTED_VALUE"""),1)</f>
        <v>1</v>
      </c>
      <c r="K2326" s="1" t="str">
        <f ca="1">IFERROR(__xludf.DUMMYFUNCTION("""COMPUTED_VALUE"""),"Every Day Office Environment")</f>
        <v>Every Day Office Environment</v>
      </c>
      <c r="L2326" s="1" t="str">
        <f ca="1">IFERROR(__xludf.DUMMYFUNCTION("""COMPUTED_VALUE"""),"Employer who rewards learning and enables that environment")</f>
        <v>Employer who rewards learning and enables that environment</v>
      </c>
      <c r="M232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26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2326" s="1" t="str">
        <f ca="1">IFERROR(__xludf.DUMMYFUNCTION("""COMPUTED_VALUE"""),"Manager who explains what is expected, sets a goal and helps achieve it")</f>
        <v>Manager who explains what is expected, sets a goal and helps achieve it</v>
      </c>
      <c r="P2326" s="1" t="str">
        <f ca="1">IFERROR(__xludf.DUMMYFUNCTION("""COMPUTED_VALUE"""),"Work with 2 to 3 people in my team")</f>
        <v>Work with 2 to 3 people in my team</v>
      </c>
      <c r="Q2326" s="1" t="str">
        <f ca="1">IFERROR(__xludf.DUMMYFUNCTION("""COMPUTED_VALUE"""),"Yes, I Understand this is gonna happen everywhere")</f>
        <v>Yes, I Understand this is gonna happen everywhere</v>
      </c>
      <c r="R2326" s="1" t="str">
        <f ca="1">IFERROR(__xludf.DUMMYFUNCTION("""COMPUTED_VALUE"""),"This will be hard to do, but if it is the right company I would try")</f>
        <v>This will be hard to do, but if it is the right company I would try</v>
      </c>
      <c r="S2326" s="1" t="str">
        <f ca="1">IFERROR(__xludf.DUMMYFUNCTION("""COMPUTED_VALUE"""),"s.athirai035@gmail.com")</f>
        <v>s.athirai035@gmail.com</v>
      </c>
    </row>
    <row r="2327" spans="1:19" ht="12.5" x14ac:dyDescent="0.25">
      <c r="A2327" s="2">
        <f ca="1">IFERROR(__xludf.DUMMYFUNCTION("""COMPUTED_VALUE"""),45064.4374754282)</f>
        <v>45064.437475428203</v>
      </c>
      <c r="B2327" s="1" t="str">
        <f ca="1">IFERROR(__xludf.DUMMYFUNCTION("""COMPUTED_VALUE"""),"India")</f>
        <v>India</v>
      </c>
      <c r="C2327" s="1">
        <f ca="1">IFERROR(__xludf.DUMMYFUNCTION("""COMPUTED_VALUE"""),500006)</f>
        <v>500006</v>
      </c>
      <c r="D2327" s="1" t="str">
        <f ca="1">IFERROR(__xludf.DUMMYFUNCTION("""COMPUTED_VALUE"""),"Female")</f>
        <v>Female</v>
      </c>
      <c r="E2327" s="1" t="str">
        <f ca="1">IFERROR(__xludf.DUMMYFUNCTION("""COMPUTED_VALUE"""),"My Parents")</f>
        <v>My Parents</v>
      </c>
      <c r="F2327" s="1" t="str">
        <f ca="1">IFERROR(__xludf.DUMMYFUNCTION("""COMPUTED_VALUE"""),"No I would not be pursuing Higher Education outside of India")</f>
        <v>No I would not be pursuing Higher Education outside of India</v>
      </c>
      <c r="G2327" s="1" t="str">
        <f ca="1">IFERROR(__xludf.DUMMYFUNCTION("""COMPUTED_VALUE"""),"Will work for 3 years or more")</f>
        <v>Will work for 3 years or more</v>
      </c>
      <c r="H2327" s="1" t="str">
        <f ca="1">IFERROR(__xludf.DUMMYFUNCTION("""COMPUTED_VALUE"""),"No")</f>
        <v>No</v>
      </c>
      <c r="I2327" s="1" t="str">
        <f ca="1">IFERROR(__xludf.DUMMYFUNCTION("""COMPUTED_VALUE"""),"Will NOT work for them")</f>
        <v>Will NOT work for them</v>
      </c>
      <c r="J2327" s="1">
        <f ca="1">IFERROR(__xludf.DUMMYFUNCTION("""COMPUTED_VALUE"""),8)</f>
        <v>8</v>
      </c>
      <c r="K2327" s="1" t="str">
        <f ca="1">IFERROR(__xludf.DUMMYFUNCTION("""COMPUTED_VALUE"""),"Hybrid Working Environment with more than 15 days a month at office")</f>
        <v>Hybrid Working Environment with more than 15 days a month at office</v>
      </c>
      <c r="L2327" s="1" t="str">
        <f ca="1">IFERROR(__xludf.DUMMYFUNCTION("""COMPUTED_VALUE"""),"Employer who appreciates learning and enables that environment")</f>
        <v>Employer who appreciates learning and enables that environment</v>
      </c>
      <c r="M232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27" s="1" t="str">
        <f ca="1">IFERROR(__xludf.DUMMYFUNCTION("""COMPUTED_VALUE"""),"Design and Creative strategy in any company, Teaching in any of the institutes/colleges/online or offline, Build and develop a Team, Work in a BPO setup for some well known client")</f>
        <v>Design and Creative strategy in any company, Teaching in any of the institutes/colleges/online or offline, Build and develop a Team, Work in a BPO setup for some well known client</v>
      </c>
      <c r="O2327" s="1" t="str">
        <f ca="1">IFERROR(__xludf.DUMMYFUNCTION("""COMPUTED_VALUE"""),"Manager who explains what is expected, sets a goal and helps achieve it")</f>
        <v>Manager who explains what is expected, sets a goal and helps achieve it</v>
      </c>
      <c r="P2327" s="1" t="str">
        <f ca="1">IFERROR(__xludf.DUMMYFUNCTION("""COMPUTED_VALUE"""),"Work with 5 to 6 people in my team")</f>
        <v>Work with 5 to 6 people in my team</v>
      </c>
      <c r="Q2327" s="1" t="str">
        <f ca="1">IFERROR(__xludf.DUMMYFUNCTION("""COMPUTED_VALUE"""),"Yes, I Understand this is gonna happen everywhere")</f>
        <v>Yes, I Understand this is gonna happen everywhere</v>
      </c>
      <c r="R2327" s="1" t="str">
        <f ca="1">IFERROR(__xludf.DUMMYFUNCTION("""COMPUTED_VALUE"""),"This will be hard to do, but if it is the right company I would try")</f>
        <v>This will be hard to do, but if it is the right company I would try</v>
      </c>
      <c r="S2327" s="1" t="str">
        <f ca="1">IFERROR(__xludf.DUMMYFUNCTION("""COMPUTED_VALUE"""),"mounikanusha7@gmail.com")</f>
        <v>mounikanusha7@gmail.com</v>
      </c>
    </row>
    <row r="2328" spans="1:19" ht="12.5" x14ac:dyDescent="0.25">
      <c r="A2328" s="2">
        <f ca="1">IFERROR(__xludf.DUMMYFUNCTION("""COMPUTED_VALUE"""),45064.4378404629)</f>
        <v>45064.437840462902</v>
      </c>
      <c r="B2328" s="1" t="str">
        <f ca="1">IFERROR(__xludf.DUMMYFUNCTION("""COMPUTED_VALUE"""),"India")</f>
        <v>India</v>
      </c>
      <c r="C2328" s="1">
        <f ca="1">IFERROR(__xludf.DUMMYFUNCTION("""COMPUTED_VALUE"""),143602)</f>
        <v>143602</v>
      </c>
      <c r="D2328" s="1" t="str">
        <f ca="1">IFERROR(__xludf.DUMMYFUNCTION("""COMPUTED_VALUE"""),"Female")</f>
        <v>Female</v>
      </c>
      <c r="E2328" s="1" t="str">
        <f ca="1">IFERROR(__xludf.DUMMYFUNCTION("""COMPUTED_VALUE"""),"People who have changed the world for better")</f>
        <v>People who have changed the world for better</v>
      </c>
      <c r="F2328" s="1" t="str">
        <f ca="1">IFERROR(__xludf.DUMMYFUNCTION("""COMPUTED_VALUE"""),"Yes, I will earn and do that")</f>
        <v>Yes, I will earn and do that</v>
      </c>
      <c r="G2328" s="1" t="str">
        <f ca="1">IFERROR(__xludf.DUMMYFUNCTION("""COMPUTED_VALUE"""),"Will work for 3 years or more")</f>
        <v>Will work for 3 years or more</v>
      </c>
      <c r="H2328" s="1" t="str">
        <f ca="1">IFERROR(__xludf.DUMMYFUNCTION("""COMPUTED_VALUE"""),"No")</f>
        <v>No</v>
      </c>
      <c r="I2328" s="1" t="str">
        <f ca="1">IFERROR(__xludf.DUMMYFUNCTION("""COMPUTED_VALUE"""),"Will NOT work for them")</f>
        <v>Will NOT work for them</v>
      </c>
      <c r="J2328" s="1">
        <f ca="1">IFERROR(__xludf.DUMMYFUNCTION("""COMPUTED_VALUE"""),6)</f>
        <v>6</v>
      </c>
      <c r="K2328" s="1" t="str">
        <f ca="1">IFERROR(__xludf.DUMMYFUNCTION("""COMPUTED_VALUE"""),"Fully Remote with Options to travel as and when needed")</f>
        <v>Fully Remote with Options to travel as and when needed</v>
      </c>
      <c r="L23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2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28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2328" s="1" t="str">
        <f ca="1">IFERROR(__xludf.DUMMYFUNCTION("""COMPUTED_VALUE"""),"Manager who explains what is expected, sets a goal and helps achieve it")</f>
        <v>Manager who explains what is expected, sets a goal and helps achieve it</v>
      </c>
      <c r="P2328" s="1" t="str">
        <f ca="1">IFERROR(__xludf.DUMMYFUNCTION("""COMPUTED_VALUE"""),"Work with more than 10 people in my team")</f>
        <v>Work with more than 10 people in my team</v>
      </c>
      <c r="Q2328" s="1" t="str">
        <f ca="1">IFERROR(__xludf.DUMMYFUNCTION("""COMPUTED_VALUE"""),"Yes, I Understand this is gonna happen everywhere")</f>
        <v>Yes, I Understand this is gonna happen everywhere</v>
      </c>
      <c r="R2328" s="1" t="str">
        <f ca="1">IFERROR(__xludf.DUMMYFUNCTION("""COMPUTED_VALUE"""),"No way")</f>
        <v>No way</v>
      </c>
      <c r="S2328" s="1" t="str">
        <f ca="1">IFERROR(__xludf.DUMMYFUNCTION("""COMPUTED_VALUE"""),"palakbawa06@gmail.com")</f>
        <v>palakbawa06@gmail.com</v>
      </c>
    </row>
    <row r="2329" spans="1:19" ht="12.5" x14ac:dyDescent="0.25">
      <c r="A2329" s="2">
        <f ca="1">IFERROR(__xludf.DUMMYFUNCTION("""COMPUTED_VALUE"""),45064.4386791435)</f>
        <v>45064.438679143503</v>
      </c>
      <c r="B2329" s="1" t="str">
        <f ca="1">IFERROR(__xludf.DUMMYFUNCTION("""COMPUTED_VALUE"""),"India")</f>
        <v>India</v>
      </c>
      <c r="C2329" s="1">
        <f ca="1">IFERROR(__xludf.DUMMYFUNCTION("""COMPUTED_VALUE"""),606)</f>
        <v>606</v>
      </c>
      <c r="D2329" s="1" t="str">
        <f ca="1">IFERROR(__xludf.DUMMYFUNCTION("""COMPUTED_VALUE"""),"Female")</f>
        <v>Female</v>
      </c>
      <c r="E2329" s="1" t="str">
        <f ca="1">IFERROR(__xludf.DUMMYFUNCTION("""COMPUTED_VALUE"""),"People from my circle, but not family members")</f>
        <v>People from my circle, but not family members</v>
      </c>
      <c r="F2329" s="1" t="str">
        <f ca="1">IFERROR(__xludf.DUMMYFUNCTION("""COMPUTED_VALUE"""),"No I would not be pursuing Higher Education outside of India")</f>
        <v>No I would not be pursuing Higher Education outside of India</v>
      </c>
      <c r="G2329" s="1" t="str">
        <f ca="1">IFERROR(__xludf.DUMMYFUNCTION("""COMPUTED_VALUE"""),"This will be hard to do, but if it is the right company I would try")</f>
        <v>This will be hard to do, but if it is the right company I would try</v>
      </c>
      <c r="H2329" s="1" t="str">
        <f ca="1">IFERROR(__xludf.DUMMYFUNCTION("""COMPUTED_VALUE"""),"No")</f>
        <v>No</v>
      </c>
      <c r="I2329" s="1" t="str">
        <f ca="1">IFERROR(__xludf.DUMMYFUNCTION("""COMPUTED_VALUE"""),"Will NOT work for them")</f>
        <v>Will NOT work for them</v>
      </c>
      <c r="J2329" s="1">
        <f ca="1">IFERROR(__xludf.DUMMYFUNCTION("""COMPUTED_VALUE"""),6)</f>
        <v>6</v>
      </c>
      <c r="K2329" s="1" t="str">
        <f ca="1">IFERROR(__xludf.DUMMYFUNCTION("""COMPUTED_VALUE"""),"Every Day Office Environment")</f>
        <v>Every Day Office Environment</v>
      </c>
      <c r="L2329" s="1" t="str">
        <f ca="1">IFERROR(__xludf.DUMMYFUNCTION("""COMPUTED_VALUE"""),"Employer who appreciates learning and enables that environment")</f>
        <v>Employer who appreciates learning and enables that environment</v>
      </c>
      <c r="M232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329" s="1" t="str">
        <f ca="1">IFERROR(__xludf.DUMMYFUNCTION("""COMPUTED_VALUE"""),"Design and Creative strategy in any company, Teaching in any of the institutes/colleges/online or offline, Work as a freelancer and do my thing my way, Become a content Creator in some platform")</f>
        <v>Design and Creative strategy in any company, Teaching in any of the institutes/colleges/online or offline, Work as a freelancer and do my thing my way, Become a content Creator in some platform</v>
      </c>
      <c r="O2329" s="1" t="str">
        <f ca="1">IFERROR(__xludf.DUMMYFUNCTION("""COMPUTED_VALUE"""),"Manager who sets goal and helps me achieve it")</f>
        <v>Manager who sets goal and helps me achieve it</v>
      </c>
      <c r="P2329" s="1" t="str">
        <f ca="1">IFERROR(__xludf.DUMMYFUNCTION("""COMPUTED_VALUE"""),"Work with 5 to 6 people in my team")</f>
        <v>Work with 5 to 6 people in my team</v>
      </c>
      <c r="Q2329" s="1" t="str">
        <f ca="1">IFERROR(__xludf.DUMMYFUNCTION("""COMPUTED_VALUE"""),"Yes, I Understand this is gonna happen everywhere")</f>
        <v>Yes, I Understand this is gonna happen everywhere</v>
      </c>
      <c r="R2329" s="1" t="str">
        <f ca="1">IFERROR(__xludf.DUMMYFUNCTION("""COMPUTED_VALUE"""),"This will be hard to do, but if it is the right company I would try")</f>
        <v>This will be hard to do, but if it is the right company I would try</v>
      </c>
      <c r="S2329" s="1" t="str">
        <f ca="1">IFERROR(__xludf.DUMMYFUNCTION("""COMPUTED_VALUE"""),"josephshiny0102@gmail.com")</f>
        <v>josephshiny0102@gmail.com</v>
      </c>
    </row>
    <row r="2330" spans="1:19" ht="12.5" x14ac:dyDescent="0.25">
      <c r="A2330" s="2">
        <f ca="1">IFERROR(__xludf.DUMMYFUNCTION("""COMPUTED_VALUE"""),45064.4395721759)</f>
        <v>45064.439572175899</v>
      </c>
      <c r="B2330" s="1" t="str">
        <f ca="1">IFERROR(__xludf.DUMMYFUNCTION("""COMPUTED_VALUE"""),"India")</f>
        <v>India</v>
      </c>
      <c r="C2330" s="1">
        <f ca="1">IFERROR(__xludf.DUMMYFUNCTION("""COMPUTED_VALUE"""),621704)</f>
        <v>621704</v>
      </c>
      <c r="D2330" s="1" t="str">
        <f ca="1">IFERROR(__xludf.DUMMYFUNCTION("""COMPUTED_VALUE"""),"Female")</f>
        <v>Female</v>
      </c>
      <c r="E2330" s="1" t="str">
        <f ca="1">IFERROR(__xludf.DUMMYFUNCTION("""COMPUTED_VALUE"""),"Influencers who had successful careers")</f>
        <v>Influencers who had successful careers</v>
      </c>
      <c r="F2330" s="1" t="str">
        <f ca="1">IFERROR(__xludf.DUMMYFUNCTION("""COMPUTED_VALUE"""),"No I would not be pursuing Higher Education outside of India")</f>
        <v>No I would not be pursuing Higher Education outside of India</v>
      </c>
      <c r="G2330" s="1" t="str">
        <f ca="1">IFERROR(__xludf.DUMMYFUNCTION("""COMPUTED_VALUE"""),"Will work for 3 years or more")</f>
        <v>Will work for 3 years or more</v>
      </c>
      <c r="H2330" s="1" t="str">
        <f ca="1">IFERROR(__xludf.DUMMYFUNCTION("""COMPUTED_VALUE"""),"No")</f>
        <v>No</v>
      </c>
      <c r="I2330" s="1" t="str">
        <f ca="1">IFERROR(__xludf.DUMMYFUNCTION("""COMPUTED_VALUE"""),"Will NOT work for them")</f>
        <v>Will NOT work for them</v>
      </c>
      <c r="J2330" s="1">
        <f ca="1">IFERROR(__xludf.DUMMYFUNCTION("""COMPUTED_VALUE"""),7)</f>
        <v>7</v>
      </c>
      <c r="K2330" s="1" t="str">
        <f ca="1">IFERROR(__xludf.DUMMYFUNCTION("""COMPUTED_VALUE"""),"Hybrid Working Environment with more than 15 days a month at office")</f>
        <v>Hybrid Working Environment with more than 15 days a month at office</v>
      </c>
      <c r="L2330" s="1" t="str">
        <f ca="1">IFERROR(__xludf.DUMMYFUNCTION("""COMPUTED_VALUE"""),"Employer who appreciates learning and enables that environment")</f>
        <v>Employer who appreciates learning and enables that environment</v>
      </c>
      <c r="M2330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330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2330" s="1" t="str">
        <f ca="1">IFERROR(__xludf.DUMMYFUNCTION("""COMPUTED_VALUE"""),"Manager who explains what is expected, sets a goal and helps achieve it")</f>
        <v>Manager who explains what is expected, sets a goal and helps achieve it</v>
      </c>
      <c r="P233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330" s="1" t="str">
        <f ca="1">IFERROR(__xludf.DUMMYFUNCTION("""COMPUTED_VALUE"""),"Yes, I Understand this is gonna happen everywhere")</f>
        <v>Yes, I Understand this is gonna happen everywhere</v>
      </c>
      <c r="R2330" s="1" t="str">
        <f ca="1">IFERROR(__xludf.DUMMYFUNCTION("""COMPUTED_VALUE"""),"This will be hard to do, but if it is the right company I would try")</f>
        <v>This will be hard to do, but if it is the right company I would try</v>
      </c>
      <c r="S2330" s="1" t="str">
        <f ca="1">IFERROR(__xludf.DUMMYFUNCTION("""COMPUTED_VALUE"""),"stddharshana.cs@cauverycollege.ac.in")</f>
        <v>stddharshana.cs@cauverycollege.ac.in</v>
      </c>
    </row>
    <row r="2331" spans="1:19" ht="12.5" x14ac:dyDescent="0.25">
      <c r="A2331" s="2">
        <f ca="1">IFERROR(__xludf.DUMMYFUNCTION("""COMPUTED_VALUE"""),45064.4458303009)</f>
        <v>45064.445830300901</v>
      </c>
      <c r="B2331" s="1" t="str">
        <f ca="1">IFERROR(__xludf.DUMMYFUNCTION("""COMPUTED_VALUE"""),"India")</f>
        <v>India</v>
      </c>
      <c r="C2331" s="1">
        <f ca="1">IFERROR(__xludf.DUMMYFUNCTION("""COMPUTED_VALUE"""),636204)</f>
        <v>636204</v>
      </c>
      <c r="D2331" s="1" t="str">
        <f ca="1">IFERROR(__xludf.DUMMYFUNCTION("""COMPUTED_VALUE"""),"Female")</f>
        <v>Female</v>
      </c>
      <c r="E2331" s="1" t="str">
        <f ca="1">IFERROR(__xludf.DUMMYFUNCTION("""COMPUTED_VALUE"""),"People who have changed the world for better")</f>
        <v>People who have changed the world for better</v>
      </c>
      <c r="F2331" s="1" t="str">
        <f ca="1">IFERROR(__xludf.DUMMYFUNCTION("""COMPUTED_VALUE"""),"No I would not be pursuing Higher Education outside of India")</f>
        <v>No I would not be pursuing Higher Education outside of India</v>
      </c>
      <c r="G2331" s="1" t="str">
        <f ca="1">IFERROR(__xludf.DUMMYFUNCTION("""COMPUTED_VALUE"""),"No way")</f>
        <v>No way</v>
      </c>
      <c r="H2331" s="1" t="str">
        <f ca="1">IFERROR(__xludf.DUMMYFUNCTION("""COMPUTED_VALUE"""),"No")</f>
        <v>No</v>
      </c>
      <c r="I2331" s="1" t="str">
        <f ca="1">IFERROR(__xludf.DUMMYFUNCTION("""COMPUTED_VALUE"""),"Will NOT work for them")</f>
        <v>Will NOT work for them</v>
      </c>
      <c r="J2331" s="1">
        <f ca="1">IFERROR(__xludf.DUMMYFUNCTION("""COMPUTED_VALUE"""),7)</f>
        <v>7</v>
      </c>
      <c r="K2331" s="1" t="str">
        <f ca="1">IFERROR(__xludf.DUMMYFUNCTION("""COMPUTED_VALUE"""),"Hybrid Working Environment with more than 15 days a month at office")</f>
        <v>Hybrid Working Environment with more than 15 days a month at office</v>
      </c>
      <c r="L2331" s="1" t="str">
        <f ca="1">IFERROR(__xludf.DUMMYFUNCTION("""COMPUTED_VALUE"""),"Employer who appreciates learning and enables that environment")</f>
        <v>Employer who appreciates learning and enables that environment</v>
      </c>
      <c r="M233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31" s="1" t="str">
        <f ca="1">IFERROR(__xludf.DUMMYFUNCTION("""COMPUTED_VALUE"""),"Design and Creative strategy in any company, Business Operations in any organization, Entrepreneur or Start Up, Manufacturing / Oil and Gas/ Construction / Hard Physical Work related")</f>
        <v>Design and Creative strategy in any company, Business Operations in any organization, Entrepreneur or Start Up, Manufacturing / Oil and Gas/ Construction / Hard Physical Work related</v>
      </c>
      <c r="O2331" s="1" t="str">
        <f ca="1">IFERROR(__xludf.DUMMYFUNCTION("""COMPUTED_VALUE"""),"Manager who sets goal and helps me achieve it")</f>
        <v>Manager who sets goal and helps me achieve it</v>
      </c>
      <c r="P2331" s="1" t="str">
        <f ca="1">IFERROR(__xludf.DUMMYFUNCTION("""COMPUTED_VALUE"""),"Work alone")</f>
        <v>Work alone</v>
      </c>
      <c r="Q2331" s="1" t="str">
        <f ca="1">IFERROR(__xludf.DUMMYFUNCTION("""COMPUTED_VALUE"""),"No")</f>
        <v>No</v>
      </c>
      <c r="R2331" s="1" t="str">
        <f ca="1">IFERROR(__xludf.DUMMYFUNCTION("""COMPUTED_VALUE"""),"No way")</f>
        <v>No way</v>
      </c>
      <c r="S2331" s="1" t="str">
        <f ca="1">IFERROR(__xludf.DUMMYFUNCTION("""COMPUTED_VALUE"""),"tharanimathi714@gmail.com")</f>
        <v>tharanimathi714@gmail.com</v>
      </c>
    </row>
    <row r="2332" spans="1:19" ht="12.5" x14ac:dyDescent="0.25">
      <c r="A2332" s="2">
        <f ca="1">IFERROR(__xludf.DUMMYFUNCTION("""COMPUTED_VALUE"""),45064.4482200694)</f>
        <v>45064.448220069396</v>
      </c>
      <c r="B2332" s="1" t="str">
        <f ca="1">IFERROR(__xludf.DUMMYFUNCTION("""COMPUTED_VALUE"""),"India")</f>
        <v>India</v>
      </c>
      <c r="C2332" s="1">
        <f ca="1">IFERROR(__xludf.DUMMYFUNCTION("""COMPUTED_VALUE"""),760001)</f>
        <v>760001</v>
      </c>
      <c r="D2332" s="1" t="str">
        <f ca="1">IFERROR(__xludf.DUMMYFUNCTION("""COMPUTED_VALUE"""),"Female")</f>
        <v>Female</v>
      </c>
      <c r="E2332" s="1" t="str">
        <f ca="1">IFERROR(__xludf.DUMMYFUNCTION("""COMPUTED_VALUE"""),"Influencers who had successful careers")</f>
        <v>Influencers who had successful careers</v>
      </c>
      <c r="F2332" s="1" t="str">
        <f ca="1">IFERROR(__xludf.DUMMYFUNCTION("""COMPUTED_VALUE"""),"No, But if someone could bare the cost I will")</f>
        <v>No, But if someone could bare the cost I will</v>
      </c>
      <c r="G2332" s="1" t="str">
        <f ca="1">IFERROR(__xludf.DUMMYFUNCTION("""COMPUTED_VALUE"""),"Will work for 3 years or more")</f>
        <v>Will work for 3 years or more</v>
      </c>
      <c r="H2332" s="1" t="str">
        <f ca="1">IFERROR(__xludf.DUMMYFUNCTION("""COMPUTED_VALUE"""),"Yes")</f>
        <v>Yes</v>
      </c>
      <c r="I2332" s="1" t="str">
        <f ca="1">IFERROR(__xludf.DUMMYFUNCTION("""COMPUTED_VALUE"""),"Will NOT work for them")</f>
        <v>Will NOT work for them</v>
      </c>
      <c r="J2332" s="1">
        <f ca="1">IFERROR(__xludf.DUMMYFUNCTION("""COMPUTED_VALUE"""),5)</f>
        <v>5</v>
      </c>
      <c r="K2332" s="1" t="str">
        <f ca="1">IFERROR(__xludf.DUMMYFUNCTION("""COMPUTED_VALUE"""),"Fully Remote with No option to visit offices")</f>
        <v>Fully Remote with No option to visit offices</v>
      </c>
      <c r="L23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3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332" s="1" t="str">
        <f ca="1">IFERROR(__xludf.DUMMYFUNCTION("""COMPUTED_VALUE"""),"Design and Creative strategy in any company, Teaching in any of the institutes/colleges/online or offline, Work as a freelancer and do my thing my way, Entrepreneur or Start Up")</f>
        <v>Design and Creative strategy in any company, Teaching in any of the institutes/colleges/online or offline, Work as a freelancer and do my thing my way, Entrepreneur or Start Up</v>
      </c>
      <c r="O2332" s="1" t="str">
        <f ca="1">IFERROR(__xludf.DUMMYFUNCTION("""COMPUTED_VALUE"""),"Manager who sets goal and helps me achieve it")</f>
        <v>Manager who sets goal and helps me achieve it</v>
      </c>
      <c r="P2332" s="1" t="str">
        <f ca="1">IFERROR(__xludf.DUMMYFUNCTION("""COMPUTED_VALUE"""),"Work alone, Work with 7 to 10 or more people in my team")</f>
        <v>Work alone, Work with 7 to 10 or more people in my team</v>
      </c>
      <c r="Q2332" s="1" t="str">
        <f ca="1">IFERROR(__xludf.DUMMYFUNCTION("""COMPUTED_VALUE"""),"No")</f>
        <v>No</v>
      </c>
      <c r="R2332" s="1" t="str">
        <f ca="1">IFERROR(__xludf.DUMMYFUNCTION("""COMPUTED_VALUE"""),"This will be hard to do, but if it is the right company I would try")</f>
        <v>This will be hard to do, but if it is the right company I would try</v>
      </c>
      <c r="S2332" s="1" t="str">
        <f ca="1">IFERROR(__xludf.DUMMYFUNCTION("""COMPUTED_VALUE"""),"bishnupriyagouda13@gmail.com")</f>
        <v>bishnupriyagouda13@gmail.com</v>
      </c>
    </row>
    <row r="2333" spans="1:19" ht="12.5" x14ac:dyDescent="0.25">
      <c r="A2333" s="2">
        <f ca="1">IFERROR(__xludf.DUMMYFUNCTION("""COMPUTED_VALUE"""),45064.4519441088)</f>
        <v>45064.451944108798</v>
      </c>
      <c r="B2333" s="1" t="str">
        <f ca="1">IFERROR(__xludf.DUMMYFUNCTION("""COMPUTED_VALUE"""),"India")</f>
        <v>India</v>
      </c>
      <c r="C2333" s="1">
        <f ca="1">IFERROR(__xludf.DUMMYFUNCTION("""COMPUTED_VALUE"""),421201)</f>
        <v>421201</v>
      </c>
      <c r="D2333" s="1" t="str">
        <f ca="1">IFERROR(__xludf.DUMMYFUNCTION("""COMPUTED_VALUE"""),"Female")</f>
        <v>Female</v>
      </c>
      <c r="E2333" s="1" t="str">
        <f ca="1">IFERROR(__xludf.DUMMYFUNCTION("""COMPUTED_VALUE"""),"My Parents")</f>
        <v>My Parents</v>
      </c>
      <c r="F2333" s="1" t="str">
        <f ca="1">IFERROR(__xludf.DUMMYFUNCTION("""COMPUTED_VALUE"""),"Yes, I will earn and do that")</f>
        <v>Yes, I will earn and do that</v>
      </c>
      <c r="G2333" s="1" t="str">
        <f ca="1">IFERROR(__xludf.DUMMYFUNCTION("""COMPUTED_VALUE"""),"Will work for 3 years or more")</f>
        <v>Will work for 3 years or more</v>
      </c>
      <c r="H2333" s="1" t="str">
        <f ca="1">IFERROR(__xludf.DUMMYFUNCTION("""COMPUTED_VALUE"""),"No")</f>
        <v>No</v>
      </c>
      <c r="I2333" s="1" t="str">
        <f ca="1">IFERROR(__xludf.DUMMYFUNCTION("""COMPUTED_VALUE"""),"Will NOT work for them")</f>
        <v>Will NOT work for them</v>
      </c>
      <c r="J2333" s="1">
        <f ca="1">IFERROR(__xludf.DUMMYFUNCTION("""COMPUTED_VALUE"""),2)</f>
        <v>2</v>
      </c>
      <c r="K2333" s="1" t="str">
        <f ca="1">IFERROR(__xludf.DUMMYFUNCTION("""COMPUTED_VALUE"""),"Every Day Office Environment")</f>
        <v>Every Day Office Environment</v>
      </c>
      <c r="L2333" s="1" t="str">
        <f ca="1">IFERROR(__xludf.DUMMYFUNCTION("""COMPUTED_VALUE"""),"Employer who appreciates learning and enables that environment")</f>
        <v>Employer who appreciates learning and enables that environment</v>
      </c>
      <c r="M233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33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333" s="1" t="str">
        <f ca="1">IFERROR(__xludf.DUMMYFUNCTION("""COMPUTED_VALUE"""),"Manager who explains what is expected, sets a goal and helps achieve it")</f>
        <v>Manager who explains what is expected, sets a goal and helps achieve it</v>
      </c>
      <c r="P2333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333" s="1" t="str">
        <f ca="1">IFERROR(__xludf.DUMMYFUNCTION("""COMPUTED_VALUE"""),"Yes, I Understand this is gonna happen everywhere")</f>
        <v>Yes, I Understand this is gonna happen everywhere</v>
      </c>
      <c r="R2333" s="1" t="str">
        <f ca="1">IFERROR(__xludf.DUMMYFUNCTION("""COMPUTED_VALUE"""),"Will work for 7 years or more")</f>
        <v>Will work for 7 years or more</v>
      </c>
      <c r="S2333" s="1" t="str">
        <f ca="1">IFERROR(__xludf.DUMMYFUNCTION("""COMPUTED_VALUE"""),"varshanaik.2019@gmail.com")</f>
        <v>varshanaik.2019@gmail.com</v>
      </c>
    </row>
    <row r="2334" spans="1:19" ht="12.5" x14ac:dyDescent="0.25">
      <c r="A2334" s="2">
        <f ca="1">IFERROR(__xludf.DUMMYFUNCTION("""COMPUTED_VALUE"""),45064.4546670833)</f>
        <v>45064.454667083301</v>
      </c>
      <c r="B2334" s="1" t="str">
        <f ca="1">IFERROR(__xludf.DUMMYFUNCTION("""COMPUTED_VALUE"""),"India")</f>
        <v>India</v>
      </c>
      <c r="C2334" s="1">
        <f ca="1">IFERROR(__xludf.DUMMYFUNCTION("""COMPUTED_VALUE"""),621207)</f>
        <v>621207</v>
      </c>
      <c r="D2334" s="1" t="str">
        <f ca="1">IFERROR(__xludf.DUMMYFUNCTION("""COMPUTED_VALUE"""),"Female")</f>
        <v>Female</v>
      </c>
      <c r="E2334" s="1" t="str">
        <f ca="1">IFERROR(__xludf.DUMMYFUNCTION("""COMPUTED_VALUE"""),"People who have changed the world for better")</f>
        <v>People who have changed the world for better</v>
      </c>
      <c r="F2334" s="1" t="str">
        <f ca="1">IFERROR(__xludf.DUMMYFUNCTION("""COMPUTED_VALUE"""),"No I would not be pursuing Higher Education outside of India")</f>
        <v>No I would not be pursuing Higher Education outside of India</v>
      </c>
      <c r="G2334" s="1" t="str">
        <f ca="1">IFERROR(__xludf.DUMMYFUNCTION("""COMPUTED_VALUE"""),"Will work for 3 years or more")</f>
        <v>Will work for 3 years or more</v>
      </c>
      <c r="H2334" s="1" t="str">
        <f ca="1">IFERROR(__xludf.DUMMYFUNCTION("""COMPUTED_VALUE"""),"No")</f>
        <v>No</v>
      </c>
      <c r="I2334" s="1" t="str">
        <f ca="1">IFERROR(__xludf.DUMMYFUNCTION("""COMPUTED_VALUE"""),"Will NOT work for them")</f>
        <v>Will NOT work for them</v>
      </c>
      <c r="J2334" s="1">
        <f ca="1">IFERROR(__xludf.DUMMYFUNCTION("""COMPUTED_VALUE"""),4)</f>
        <v>4</v>
      </c>
      <c r="K2334" s="1" t="str">
        <f ca="1">IFERROR(__xludf.DUMMYFUNCTION("""COMPUTED_VALUE"""),"Hybrid Working Environment with more than 15 days a month at office")</f>
        <v>Hybrid Working Environment with more than 15 days a month at office</v>
      </c>
      <c r="L23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3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334" s="1" t="str">
        <f ca="1">IFERROR(__xludf.DUMMYFUNCTION("""COMPUTED_VALUE"""),"Design and Creative strategy in any company, Teaching in any of the institutes/colleges/online or offline, Design and Develop amazing software, Become a content Creator in some platform")</f>
        <v>Design and Creative strategy in any company, Teaching in any of the institutes/colleges/online or offline, Design and Develop amazing software, Become a content Creator in some platform</v>
      </c>
      <c r="O2334" s="1" t="str">
        <f ca="1">IFERROR(__xludf.DUMMYFUNCTION("""COMPUTED_VALUE"""),"Manager who sets goal and helps me achieve it")</f>
        <v>Manager who sets goal and helps me achieve it</v>
      </c>
      <c r="P2334" s="1" t="str">
        <f ca="1">IFERROR(__xludf.DUMMYFUNCTION("""COMPUTED_VALUE"""),"Work with 2 to 3 people in my team")</f>
        <v>Work with 2 to 3 people in my team</v>
      </c>
      <c r="Q2334" s="1" t="str">
        <f ca="1">IFERROR(__xludf.DUMMYFUNCTION("""COMPUTED_VALUE"""),"No")</f>
        <v>No</v>
      </c>
      <c r="R2334" s="1" t="str">
        <f ca="1">IFERROR(__xludf.DUMMYFUNCTION("""COMPUTED_VALUE"""),"This will be hard to do, but if it is the right company I would try")</f>
        <v>This will be hard to do, but if it is the right company I would try</v>
      </c>
      <c r="S2334" s="1" t="str">
        <f ca="1">IFERROR(__xludf.DUMMYFUNCTION("""COMPUTED_VALUE"""),"shuruthikaravi2020@gmail.com")</f>
        <v>shuruthikaravi2020@gmail.com</v>
      </c>
    </row>
    <row r="2335" spans="1:19" ht="12.5" x14ac:dyDescent="0.25">
      <c r="A2335" s="2">
        <f ca="1">IFERROR(__xludf.DUMMYFUNCTION("""COMPUTED_VALUE"""),45064.4571830902)</f>
        <v>45064.457183090199</v>
      </c>
      <c r="B2335" s="1" t="str">
        <f ca="1">IFERROR(__xludf.DUMMYFUNCTION("""COMPUTED_VALUE"""),"India")</f>
        <v>India</v>
      </c>
      <c r="C2335" s="1">
        <f ca="1">IFERROR(__xludf.DUMMYFUNCTION("""COMPUTED_VALUE"""),673603)</f>
        <v>673603</v>
      </c>
      <c r="D2335" s="1" t="str">
        <f ca="1">IFERROR(__xludf.DUMMYFUNCTION("""COMPUTED_VALUE"""),"Male")</f>
        <v>Male</v>
      </c>
      <c r="E2335" s="1" t="str">
        <f ca="1">IFERROR(__xludf.DUMMYFUNCTION("""COMPUTED_VALUE"""),"People from my circle, but not family members")</f>
        <v>People from my circle, but not family members</v>
      </c>
      <c r="F2335" s="1" t="str">
        <f ca="1">IFERROR(__xludf.DUMMYFUNCTION("""COMPUTED_VALUE"""),"Yes, I will earn and do that")</f>
        <v>Yes, I will earn and do that</v>
      </c>
      <c r="G2335" s="1" t="str">
        <f ca="1">IFERROR(__xludf.DUMMYFUNCTION("""COMPUTED_VALUE"""),"This will be hard to do, but if it is the right company I would try")</f>
        <v>This will be hard to do, but if it is the right company I would try</v>
      </c>
      <c r="H2335" s="1" t="str">
        <f ca="1">IFERROR(__xludf.DUMMYFUNCTION("""COMPUTED_VALUE"""),"Yes")</f>
        <v>Yes</v>
      </c>
      <c r="I2335" s="1" t="str">
        <f ca="1">IFERROR(__xludf.DUMMYFUNCTION("""COMPUTED_VALUE"""),"Will work for them")</f>
        <v>Will work for them</v>
      </c>
      <c r="J2335" s="1">
        <f ca="1">IFERROR(__xludf.DUMMYFUNCTION("""COMPUTED_VALUE"""),7)</f>
        <v>7</v>
      </c>
      <c r="K2335" s="1" t="str">
        <f ca="1">IFERROR(__xludf.DUMMYFUNCTION("""COMPUTED_VALUE"""),"Fully Remote with Options to travel as and when needed")</f>
        <v>Fully Remote with Options to travel as and when needed</v>
      </c>
      <c r="L2335" s="1" t="str">
        <f ca="1">IFERROR(__xludf.DUMMYFUNCTION("""COMPUTED_VALUE"""),"Employer who rewards learning and enables that environment")</f>
        <v>Employer who rewards learning and enables that environment</v>
      </c>
      <c r="M233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35" s="1" t="str">
        <f ca="1">IFERROR(__xludf.DUMMYFUNCTION("""COMPUTED_VALUE"""),"Design and Creative strategy in any company, Business Operations in any organization, Entrepreneur or Start Up, I Want to sell things/Sales")</f>
        <v>Design and Creative strategy in any company, Business Operations in any organization, Entrepreneur or Start Up, I Want to sell things/Sales</v>
      </c>
      <c r="O2335" s="1" t="str">
        <f ca="1">IFERROR(__xludf.DUMMYFUNCTION("""COMPUTED_VALUE"""),"Manager who sets goal and helps me achieve it")</f>
        <v>Manager who sets goal and helps me achieve it</v>
      </c>
      <c r="P2335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335" s="1" t="str">
        <f ca="1">IFERROR(__xludf.DUMMYFUNCTION("""COMPUTED_VALUE"""),"No")</f>
        <v>No</v>
      </c>
      <c r="R2335" s="1" t="str">
        <f ca="1">IFERROR(__xludf.DUMMYFUNCTION("""COMPUTED_VALUE"""),"This will be hard to do, but if it is the right company I would try")</f>
        <v>This will be hard to do, but if it is the right company I would try</v>
      </c>
      <c r="S2335" s="1" t="str">
        <f ca="1">IFERROR(__xludf.DUMMYFUNCTION("""COMPUTED_VALUE"""),"onyxsanthosh0019@gmail.com")</f>
        <v>onyxsanthosh0019@gmail.com</v>
      </c>
    </row>
    <row r="2336" spans="1:19" ht="12.5" x14ac:dyDescent="0.25">
      <c r="A2336" s="2">
        <f ca="1">IFERROR(__xludf.DUMMYFUNCTION("""COMPUTED_VALUE"""),45064.4574606597)</f>
        <v>45064.457460659702</v>
      </c>
      <c r="B2336" s="1" t="str">
        <f ca="1">IFERROR(__xludf.DUMMYFUNCTION("""COMPUTED_VALUE"""),"India")</f>
        <v>India</v>
      </c>
      <c r="C2336" s="1">
        <f ca="1">IFERROR(__xludf.DUMMYFUNCTION("""COMPUTED_VALUE"""),110071)</f>
        <v>110071</v>
      </c>
      <c r="D2336" s="1" t="str">
        <f ca="1">IFERROR(__xludf.DUMMYFUNCTION("""COMPUTED_VALUE"""),"Male")</f>
        <v>Male</v>
      </c>
      <c r="E2336" s="1" t="str">
        <f ca="1">IFERROR(__xludf.DUMMYFUNCTION("""COMPUTED_VALUE"""),"People from my circle, but not family members")</f>
        <v>People from my circle, but not family members</v>
      </c>
      <c r="F2336" s="1" t="str">
        <f ca="1">IFERROR(__xludf.DUMMYFUNCTION("""COMPUTED_VALUE"""),"No I would not be pursuing Higher Education outside of India")</f>
        <v>No I would not be pursuing Higher Education outside of India</v>
      </c>
      <c r="G2336" s="1" t="str">
        <f ca="1">IFERROR(__xludf.DUMMYFUNCTION("""COMPUTED_VALUE"""),"Will work for 3 years or more")</f>
        <v>Will work for 3 years or more</v>
      </c>
      <c r="H2336" s="1" t="str">
        <f ca="1">IFERROR(__xludf.DUMMYFUNCTION("""COMPUTED_VALUE"""),"No")</f>
        <v>No</v>
      </c>
      <c r="I2336" s="1" t="str">
        <f ca="1">IFERROR(__xludf.DUMMYFUNCTION("""COMPUTED_VALUE"""),"Will NOT work for them")</f>
        <v>Will NOT work for them</v>
      </c>
      <c r="J2336" s="1">
        <f ca="1">IFERROR(__xludf.DUMMYFUNCTION("""COMPUTED_VALUE"""),7)</f>
        <v>7</v>
      </c>
      <c r="K2336" s="1" t="str">
        <f ca="1">IFERROR(__xludf.DUMMYFUNCTION("""COMPUTED_VALUE"""),"Hybrid Working Environment with more than 15 days a month at office")</f>
        <v>Hybrid Working Environment with more than 15 days a month at office</v>
      </c>
      <c r="L23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3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36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2336" s="1" t="str">
        <f ca="1">IFERROR(__xludf.DUMMYFUNCTION("""COMPUTED_VALUE"""),"Manager who explains what is expected, sets a goal and helps achieve it")</f>
        <v>Manager who explains what is expected, sets a goal and helps achieve it</v>
      </c>
      <c r="P2336" s="1" t="str">
        <f ca="1">IFERROR(__xludf.DUMMYFUNCTION("""COMPUTED_VALUE"""),"Work with 5 to 6 people in my team")</f>
        <v>Work with 5 to 6 people in my team</v>
      </c>
      <c r="Q2336" s="1" t="str">
        <f ca="1">IFERROR(__xludf.DUMMYFUNCTION("""COMPUTED_VALUE"""),"Yes, I Understand this is gonna happen everywhere")</f>
        <v>Yes, I Understand this is gonna happen everywhere</v>
      </c>
      <c r="R2336" s="1" t="str">
        <f ca="1">IFERROR(__xludf.DUMMYFUNCTION("""COMPUTED_VALUE"""),"This will be hard to do, but if it is the right company I would try")</f>
        <v>This will be hard to do, but if it is the right company I would try</v>
      </c>
      <c r="S2336" s="1" t="str">
        <f ca="1">IFERROR(__xludf.DUMMYFUNCTION("""COMPUTED_VALUE"""),"shokeendeep47@gmail.com")</f>
        <v>shokeendeep47@gmail.com</v>
      </c>
    </row>
    <row r="2337" spans="1:19" ht="12.5" x14ac:dyDescent="0.25">
      <c r="A2337" s="2">
        <f ca="1">IFERROR(__xludf.DUMMYFUNCTION("""COMPUTED_VALUE"""),45064.4578213888)</f>
        <v>45064.457821388802</v>
      </c>
      <c r="B2337" s="1" t="str">
        <f ca="1">IFERROR(__xludf.DUMMYFUNCTION("""COMPUTED_VALUE"""),"India")</f>
        <v>India</v>
      </c>
      <c r="C2337" s="1">
        <f ca="1">IFERROR(__xludf.DUMMYFUNCTION("""COMPUTED_VALUE"""),501510)</f>
        <v>501510</v>
      </c>
      <c r="D2337" s="1" t="str">
        <f ca="1">IFERROR(__xludf.DUMMYFUNCTION("""COMPUTED_VALUE"""),"Male")</f>
        <v>Male</v>
      </c>
      <c r="E2337" s="1" t="str">
        <f ca="1">IFERROR(__xludf.DUMMYFUNCTION("""COMPUTED_VALUE"""),"Influencers who had successful careers")</f>
        <v>Influencers who had successful careers</v>
      </c>
      <c r="F2337" s="1" t="str">
        <f ca="1">IFERROR(__xludf.DUMMYFUNCTION("""COMPUTED_VALUE"""),"No I would not be pursuing Higher Education outside of India")</f>
        <v>No I would not be pursuing Higher Education outside of India</v>
      </c>
      <c r="G2337" s="1" t="str">
        <f ca="1">IFERROR(__xludf.DUMMYFUNCTION("""COMPUTED_VALUE"""),"This will be hard to do, but if it is the right company I would try")</f>
        <v>This will be hard to do, but if it is the right company I would try</v>
      </c>
      <c r="H2337" s="1" t="str">
        <f ca="1">IFERROR(__xludf.DUMMYFUNCTION("""COMPUTED_VALUE"""),"No")</f>
        <v>No</v>
      </c>
      <c r="I2337" s="1" t="str">
        <f ca="1">IFERROR(__xludf.DUMMYFUNCTION("""COMPUTED_VALUE"""),"Will NOT work for them")</f>
        <v>Will NOT work for them</v>
      </c>
      <c r="J2337" s="1">
        <f ca="1">IFERROR(__xludf.DUMMYFUNCTION("""COMPUTED_VALUE"""),5)</f>
        <v>5</v>
      </c>
      <c r="K2337" s="1" t="str">
        <f ca="1">IFERROR(__xludf.DUMMYFUNCTION("""COMPUTED_VALUE"""),"Fully Remote with Options to travel as and when needed")</f>
        <v>Fully Remote with Options to travel as and when needed</v>
      </c>
      <c r="L2337" s="1" t="str">
        <f ca="1">IFERROR(__xludf.DUMMYFUNCTION("""COMPUTED_VALUE"""),"Employer who appreciates learning and enables that environment")</f>
        <v>Employer who appreciates learning and enables that environment</v>
      </c>
      <c r="M233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37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337" s="1" t="str">
        <f ca="1">IFERROR(__xludf.DUMMYFUNCTION("""COMPUTED_VALUE"""),"Manager who sets goal and helps me achieve it")</f>
        <v>Manager who sets goal and helps me achieve it</v>
      </c>
      <c r="P2337" s="1" t="str">
        <f ca="1">IFERROR(__xludf.DUMMYFUNCTION("""COMPUTED_VALUE"""),"Work with more than 10 people in my team")</f>
        <v>Work with more than 10 people in my team</v>
      </c>
      <c r="Q2337" s="1" t="str">
        <f ca="1">IFERROR(__xludf.DUMMYFUNCTION("""COMPUTED_VALUE"""),"No")</f>
        <v>No</v>
      </c>
      <c r="R2337" s="1" t="str">
        <f ca="1">IFERROR(__xludf.DUMMYFUNCTION("""COMPUTED_VALUE"""),"This will be hard to do, but if it is the right company I would try")</f>
        <v>This will be hard to do, but if it is the right company I would try</v>
      </c>
      <c r="S2337" s="1" t="str">
        <f ca="1">IFERROR(__xludf.DUMMYFUNCTION("""COMPUTED_VALUE"""),"janipalliraviteja@gmail.com")</f>
        <v>janipalliraviteja@gmail.com</v>
      </c>
    </row>
    <row r="2338" spans="1:19" ht="12.5" x14ac:dyDescent="0.25">
      <c r="A2338" s="2">
        <f ca="1">IFERROR(__xludf.DUMMYFUNCTION("""COMPUTED_VALUE"""),45064.4600645023)</f>
        <v>45064.460064502302</v>
      </c>
      <c r="B2338" s="1" t="str">
        <f ca="1">IFERROR(__xludf.DUMMYFUNCTION("""COMPUTED_VALUE"""),"India")</f>
        <v>India</v>
      </c>
      <c r="C2338" s="1">
        <f ca="1">IFERROR(__xludf.DUMMYFUNCTION("""COMPUTED_VALUE"""),416234)</f>
        <v>416234</v>
      </c>
      <c r="D2338" s="1" t="str">
        <f ca="1">IFERROR(__xludf.DUMMYFUNCTION("""COMPUTED_VALUE"""),"Male")</f>
        <v>Male</v>
      </c>
      <c r="E2338" s="1" t="str">
        <f ca="1">IFERROR(__xludf.DUMMYFUNCTION("""COMPUTED_VALUE"""),"My Parents")</f>
        <v>My Parents</v>
      </c>
      <c r="F2338" s="1" t="str">
        <f ca="1">IFERROR(__xludf.DUMMYFUNCTION("""COMPUTED_VALUE"""),"No I would not be pursuing Higher Education outside of India")</f>
        <v>No I would not be pursuing Higher Education outside of India</v>
      </c>
      <c r="G2338" s="1" t="str">
        <f ca="1">IFERROR(__xludf.DUMMYFUNCTION("""COMPUTED_VALUE"""),"This will be hard to do, but if it is the right company I would try")</f>
        <v>This will be hard to do, but if it is the right company I would try</v>
      </c>
      <c r="H2338" s="1" t="str">
        <f ca="1">IFERROR(__xludf.DUMMYFUNCTION("""COMPUTED_VALUE"""),"Yes")</f>
        <v>Yes</v>
      </c>
      <c r="I2338" s="1" t="str">
        <f ca="1">IFERROR(__xludf.DUMMYFUNCTION("""COMPUTED_VALUE"""),"Will work for them")</f>
        <v>Will work for them</v>
      </c>
      <c r="J2338" s="1">
        <f ca="1">IFERROR(__xludf.DUMMYFUNCTION("""COMPUTED_VALUE"""),5)</f>
        <v>5</v>
      </c>
      <c r="K2338" s="1" t="str">
        <f ca="1">IFERROR(__xludf.DUMMYFUNCTION("""COMPUTED_VALUE"""),"Every Day Office Environment")</f>
        <v>Every Day Office Environment</v>
      </c>
      <c r="L2338" s="1" t="str">
        <f ca="1">IFERROR(__xludf.DUMMYFUNCTION("""COMPUTED_VALUE"""),"Employer who appreciates learning and enables that environment")</f>
        <v>Employer who appreciates learning and enables that environment</v>
      </c>
      <c r="M233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338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2338" s="1" t="str">
        <f ca="1">IFERROR(__xludf.DUMMYFUNCTION("""COMPUTED_VALUE"""),"Manager who explains what is expected, sets a goal and helps achieve it")</f>
        <v>Manager who explains what is expected, sets a goal and helps achieve it</v>
      </c>
      <c r="P2338" s="1" t="str">
        <f ca="1">IFERROR(__xludf.DUMMYFUNCTION("""COMPUTED_VALUE"""),"Work with 5 to 6 people in my team")</f>
        <v>Work with 5 to 6 people in my team</v>
      </c>
      <c r="Q2338" s="1" t="str">
        <f ca="1">IFERROR(__xludf.DUMMYFUNCTION("""COMPUTED_VALUE"""),"Yes, I Understand this is gonna happen everywhere")</f>
        <v>Yes, I Understand this is gonna happen everywhere</v>
      </c>
      <c r="R2338" s="1" t="str">
        <f ca="1">IFERROR(__xludf.DUMMYFUNCTION("""COMPUTED_VALUE"""),"This will be hard to do, but if it is the right company I would try")</f>
        <v>This will be hard to do, but if it is the right company I would try</v>
      </c>
      <c r="S2338" s="1" t="str">
        <f ca="1">IFERROR(__xludf.DUMMYFUNCTION("""COMPUTED_VALUE"""),"athyaad3@gmail.com")</f>
        <v>athyaad3@gmail.com</v>
      </c>
    </row>
    <row r="2339" spans="1:19" ht="12.5" x14ac:dyDescent="0.25">
      <c r="A2339" s="2">
        <f ca="1">IFERROR(__xludf.DUMMYFUNCTION("""COMPUTED_VALUE"""),45064.464320706)</f>
        <v>45064.464320706</v>
      </c>
      <c r="B2339" s="1" t="str">
        <f ca="1">IFERROR(__xludf.DUMMYFUNCTION("""COMPUTED_VALUE"""),"India")</f>
        <v>India</v>
      </c>
      <c r="C2339" s="1">
        <f ca="1">IFERROR(__xludf.DUMMYFUNCTION("""COMPUTED_VALUE"""),591123)</f>
        <v>591123</v>
      </c>
      <c r="D2339" s="1" t="str">
        <f ca="1">IFERROR(__xludf.DUMMYFUNCTION("""COMPUTED_VALUE"""),"Male")</f>
        <v>Male</v>
      </c>
      <c r="E2339" s="1" t="str">
        <f ca="1">IFERROR(__xludf.DUMMYFUNCTION("""COMPUTED_VALUE"""),"Social Media like LinkedIn")</f>
        <v>Social Media like LinkedIn</v>
      </c>
      <c r="F2339" s="1" t="str">
        <f ca="1">IFERROR(__xludf.DUMMYFUNCTION("""COMPUTED_VALUE"""),"Yes, I will earn and do that")</f>
        <v>Yes, I will earn and do that</v>
      </c>
      <c r="G2339" s="1" t="str">
        <f ca="1">IFERROR(__xludf.DUMMYFUNCTION("""COMPUTED_VALUE"""),"This will be hard to do, but if it is the right company I would try")</f>
        <v>This will be hard to do, but if it is the right company I would try</v>
      </c>
      <c r="H2339" s="1" t="str">
        <f ca="1">IFERROR(__xludf.DUMMYFUNCTION("""COMPUTED_VALUE"""),"No")</f>
        <v>No</v>
      </c>
      <c r="I2339" s="1" t="str">
        <f ca="1">IFERROR(__xludf.DUMMYFUNCTION("""COMPUTED_VALUE"""),"Will NOT work for them")</f>
        <v>Will NOT work for them</v>
      </c>
      <c r="J2339" s="1">
        <f ca="1">IFERROR(__xludf.DUMMYFUNCTION("""COMPUTED_VALUE"""),5)</f>
        <v>5</v>
      </c>
      <c r="K2339" s="1" t="str">
        <f ca="1">IFERROR(__xludf.DUMMYFUNCTION("""COMPUTED_VALUE"""),"Hybrid Working Environment with less than 3 days a month at office")</f>
        <v>Hybrid Working Environment with less than 3 days a month at office</v>
      </c>
      <c r="L2339" s="1" t="str">
        <f ca="1">IFERROR(__xludf.DUMMYFUNCTION("""COMPUTED_VALUE"""),"Employer who appreciates learning and enables that environment")</f>
        <v>Employer who appreciates learning and enables that environment</v>
      </c>
      <c r="M233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339" s="1" t="str">
        <f ca="1">IFERROR(__xludf.DUMMYFUNCTION("""COMPUTED_VALUE"""),"Manage and drive End-to-End Projects or Products, Look deeply into Data and generate insights, Work as a freelancer and do my thing my way, Become a content Creator in some platform")</f>
        <v>Manage and drive End-to-End Projects or Products, Look deeply into Data and generate insights, Work as a freelancer and do my thing my way, Become a content Creator in some platform</v>
      </c>
      <c r="O2339" s="1" t="str">
        <f ca="1">IFERROR(__xludf.DUMMYFUNCTION("""COMPUTED_VALUE"""),"Manager who explains what is expected, sets a goal and helps achieve it")</f>
        <v>Manager who explains what is expected, sets a goal and helps achieve it</v>
      </c>
      <c r="P2339" s="1" t="str">
        <f ca="1">IFERROR(__xludf.DUMMYFUNCTION("""COMPUTED_VALUE"""),"Work with 2 to 3 people in my team, Work with 7 to 10 or more people in my team")</f>
        <v>Work with 2 to 3 people in my team, Work with 7 to 10 or more people in my team</v>
      </c>
      <c r="Q2339" s="1" t="str">
        <f ca="1">IFERROR(__xludf.DUMMYFUNCTION("""COMPUTED_VALUE"""),"Yes, I Understand this is gonna happen everywhere")</f>
        <v>Yes, I Understand this is gonna happen everywhere</v>
      </c>
      <c r="R2339" s="1" t="str">
        <f ca="1">IFERROR(__xludf.DUMMYFUNCTION("""COMPUTED_VALUE"""),"This will be hard to do, but if it is the right company I would try")</f>
        <v>This will be hard to do, but if it is the right company I would try</v>
      </c>
      <c r="S2339" s="1" t="str">
        <f ca="1">IFERROR(__xludf.DUMMYFUNCTION("""COMPUTED_VALUE"""),"saikiransalimath555@gmail.com")</f>
        <v>saikiransalimath555@gmail.com</v>
      </c>
    </row>
    <row r="2340" spans="1:19" ht="12.5" x14ac:dyDescent="0.25">
      <c r="A2340" s="2">
        <f ca="1">IFERROR(__xludf.DUMMYFUNCTION("""COMPUTED_VALUE"""),45064.4644484722)</f>
        <v>45064.464448472201</v>
      </c>
      <c r="B2340" s="1" t="str">
        <f ca="1">IFERROR(__xludf.DUMMYFUNCTION("""COMPUTED_VALUE"""),"India")</f>
        <v>India</v>
      </c>
      <c r="C2340" s="1">
        <f ca="1">IFERROR(__xludf.DUMMYFUNCTION("""COMPUTED_VALUE"""),424201)</f>
        <v>424201</v>
      </c>
      <c r="D2340" s="1" t="str">
        <f ca="1">IFERROR(__xludf.DUMMYFUNCTION("""COMPUTED_VALUE"""),"Female")</f>
        <v>Female</v>
      </c>
      <c r="E2340" s="1" t="str">
        <f ca="1">IFERROR(__xludf.DUMMYFUNCTION("""COMPUTED_VALUE"""),"People who have changed the world for better")</f>
        <v>People who have changed the world for better</v>
      </c>
      <c r="F2340" s="1" t="str">
        <f ca="1">IFERROR(__xludf.DUMMYFUNCTION("""COMPUTED_VALUE"""),"No I would not be pursuing Higher Education outside of India")</f>
        <v>No I would not be pursuing Higher Education outside of India</v>
      </c>
      <c r="G2340" s="1" t="str">
        <f ca="1">IFERROR(__xludf.DUMMYFUNCTION("""COMPUTED_VALUE"""),"This will be hard to do, but if it is the right company I would try")</f>
        <v>This will be hard to do, but if it is the right company I would try</v>
      </c>
      <c r="H2340" s="1" t="str">
        <f ca="1">IFERROR(__xludf.DUMMYFUNCTION("""COMPUTED_VALUE"""),"No")</f>
        <v>No</v>
      </c>
      <c r="I2340" s="1" t="str">
        <f ca="1">IFERROR(__xludf.DUMMYFUNCTION("""COMPUTED_VALUE"""),"Will NOT work for them")</f>
        <v>Will NOT work for them</v>
      </c>
      <c r="J2340" s="1">
        <f ca="1">IFERROR(__xludf.DUMMYFUNCTION("""COMPUTED_VALUE"""),3)</f>
        <v>3</v>
      </c>
      <c r="K2340" s="1" t="str">
        <f ca="1">IFERROR(__xludf.DUMMYFUNCTION("""COMPUTED_VALUE"""),"Fully Remote with Options to travel as and when needed")</f>
        <v>Fully Remote with Options to travel as and when needed</v>
      </c>
      <c r="L23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40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340" s="1" t="str">
        <f ca="1">IFERROR(__xludf.DUMMYFUNCTION("""COMPUTED_VALUE"""),"Teaching in any of the institutes/colleges/online or offline, Build and develop a Team, Work as a freelancer and do my thing my way, Become a content Creator in some platform")</f>
        <v>Teaching in any of the institutes/colleges/online or offline, Build and develop a Team, Work as a freelancer and do my thing my way, Become a content Creator in some platform</v>
      </c>
      <c r="O2340" s="1" t="str">
        <f ca="1">IFERROR(__xludf.DUMMYFUNCTION("""COMPUTED_VALUE"""),"Manager who explains what is expected, sets a goal and helps achieve it")</f>
        <v>Manager who explains what is expected, sets a goal and helps achieve it</v>
      </c>
      <c r="P2340" s="1" t="str">
        <f ca="1">IFERROR(__xludf.DUMMYFUNCTION("""COMPUTED_VALUE"""),"Work with 5 to 6 people in my team")</f>
        <v>Work with 5 to 6 people in my team</v>
      </c>
      <c r="Q2340" s="1" t="str">
        <f ca="1">IFERROR(__xludf.DUMMYFUNCTION("""COMPUTED_VALUE"""),"Yes, I Understand this is gonna happen everywhere")</f>
        <v>Yes, I Understand this is gonna happen everywhere</v>
      </c>
      <c r="R2340" s="1" t="str">
        <f ca="1">IFERROR(__xludf.DUMMYFUNCTION("""COMPUTED_VALUE"""),"This will be hard to do, but if it is the right company I would try")</f>
        <v>This will be hard to do, but if it is the right company I would try</v>
      </c>
      <c r="S2340" s="1" t="str">
        <f ca="1">IFERROR(__xludf.DUMMYFUNCTION("""COMPUTED_VALUE"""),"sgpatil559@gmail.com")</f>
        <v>sgpatil559@gmail.com</v>
      </c>
    </row>
    <row r="2341" spans="1:19" ht="12.5" x14ac:dyDescent="0.25">
      <c r="A2341" s="2">
        <f ca="1">IFERROR(__xludf.DUMMYFUNCTION("""COMPUTED_VALUE"""),45064.4685166666)</f>
        <v>45064.468516666602</v>
      </c>
      <c r="B2341" s="1" t="str">
        <f ca="1">IFERROR(__xludf.DUMMYFUNCTION("""COMPUTED_VALUE"""),"India")</f>
        <v>India</v>
      </c>
      <c r="C2341" s="1">
        <f ca="1">IFERROR(__xludf.DUMMYFUNCTION("""COMPUTED_VALUE"""),143001)</f>
        <v>143001</v>
      </c>
      <c r="D2341" s="1" t="str">
        <f ca="1">IFERROR(__xludf.DUMMYFUNCTION("""COMPUTED_VALUE"""),"Female")</f>
        <v>Female</v>
      </c>
      <c r="E2341" s="1" t="str">
        <f ca="1">IFERROR(__xludf.DUMMYFUNCTION("""COMPUTED_VALUE"""),"Social Media like LinkedIn")</f>
        <v>Social Media like LinkedIn</v>
      </c>
      <c r="F2341" s="1" t="str">
        <f ca="1">IFERROR(__xludf.DUMMYFUNCTION("""COMPUTED_VALUE"""),"Yes, I will earn and do that")</f>
        <v>Yes, I will earn and do that</v>
      </c>
      <c r="G2341" s="1" t="str">
        <f ca="1">IFERROR(__xludf.DUMMYFUNCTION("""COMPUTED_VALUE"""),"This will be hard to do, but if it is the right company I would try")</f>
        <v>This will be hard to do, but if it is the right company I would try</v>
      </c>
      <c r="H2341" s="1" t="str">
        <f ca="1">IFERROR(__xludf.DUMMYFUNCTION("""COMPUTED_VALUE"""),"Yes")</f>
        <v>Yes</v>
      </c>
      <c r="I2341" s="1" t="str">
        <f ca="1">IFERROR(__xludf.DUMMYFUNCTION("""COMPUTED_VALUE"""),"Will NOT work for them")</f>
        <v>Will NOT work for them</v>
      </c>
      <c r="J2341" s="1">
        <f ca="1">IFERROR(__xludf.DUMMYFUNCTION("""COMPUTED_VALUE"""),4)</f>
        <v>4</v>
      </c>
      <c r="K2341" s="1" t="str">
        <f ca="1">IFERROR(__xludf.DUMMYFUNCTION("""COMPUTED_VALUE"""),"Fully Remote with Options to travel as and when needed")</f>
        <v>Fully Remote with Options to travel as and when needed</v>
      </c>
      <c r="L23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4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41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2341" s="1" t="str">
        <f ca="1">IFERROR(__xludf.DUMMYFUNCTION("""COMPUTED_VALUE"""),"Manager who explains what is expected, sets a goal and helps achieve it")</f>
        <v>Manager who explains what is expected, sets a goal and helps achieve it</v>
      </c>
      <c r="P2341" s="1" t="str">
        <f ca="1">IFERROR(__xludf.DUMMYFUNCTION("""COMPUTED_VALUE"""),"Work with 5 to 6 people in my team")</f>
        <v>Work with 5 to 6 people in my team</v>
      </c>
      <c r="Q2341" s="1" t="str">
        <f ca="1">IFERROR(__xludf.DUMMYFUNCTION("""COMPUTED_VALUE"""),"No")</f>
        <v>No</v>
      </c>
      <c r="R2341" s="1" t="str">
        <f ca="1">IFERROR(__xludf.DUMMYFUNCTION("""COMPUTED_VALUE"""),"No way")</f>
        <v>No way</v>
      </c>
      <c r="S2341" s="1" t="str">
        <f ca="1">IFERROR(__xludf.DUMMYFUNCTION("""COMPUTED_VALUE"""),"naibmehak9@gmail.com")</f>
        <v>naibmehak9@gmail.com</v>
      </c>
    </row>
    <row r="2342" spans="1:19" ht="12.5" x14ac:dyDescent="0.25">
      <c r="A2342" s="2">
        <f ca="1">IFERROR(__xludf.DUMMYFUNCTION("""COMPUTED_VALUE"""),45064.4698357637)</f>
        <v>45064.469835763797</v>
      </c>
      <c r="B2342" s="1" t="str">
        <f ca="1">IFERROR(__xludf.DUMMYFUNCTION("""COMPUTED_VALUE"""),"India")</f>
        <v>India</v>
      </c>
      <c r="C2342" s="1">
        <f ca="1">IFERROR(__xludf.DUMMYFUNCTION("""COMPUTED_VALUE"""),580030)</f>
        <v>580030</v>
      </c>
      <c r="D2342" s="1" t="str">
        <f ca="1">IFERROR(__xludf.DUMMYFUNCTION("""COMPUTED_VALUE"""),"Female")</f>
        <v>Female</v>
      </c>
      <c r="E2342" s="1" t="str">
        <f ca="1">IFERROR(__xludf.DUMMYFUNCTION("""COMPUTED_VALUE"""),"Influencers who had successful careers")</f>
        <v>Influencers who had successful careers</v>
      </c>
      <c r="F2342" s="1" t="str">
        <f ca="1">IFERROR(__xludf.DUMMYFUNCTION("""COMPUTED_VALUE"""),"Yes, I will earn and do that")</f>
        <v>Yes, I will earn and do that</v>
      </c>
      <c r="G2342" s="1" t="str">
        <f ca="1">IFERROR(__xludf.DUMMYFUNCTION("""COMPUTED_VALUE"""),"This will be hard to do, but if it is the right company I would try")</f>
        <v>This will be hard to do, but if it is the right company I would try</v>
      </c>
      <c r="H2342" s="1" t="str">
        <f ca="1">IFERROR(__xludf.DUMMYFUNCTION("""COMPUTED_VALUE"""),"No")</f>
        <v>No</v>
      </c>
      <c r="I2342" s="1" t="str">
        <f ca="1">IFERROR(__xludf.DUMMYFUNCTION("""COMPUTED_VALUE"""),"Will NOT work for them")</f>
        <v>Will NOT work for them</v>
      </c>
      <c r="J2342" s="1">
        <f ca="1">IFERROR(__xludf.DUMMYFUNCTION("""COMPUTED_VALUE"""),5)</f>
        <v>5</v>
      </c>
      <c r="K2342" s="1" t="str">
        <f ca="1">IFERROR(__xludf.DUMMYFUNCTION("""COMPUTED_VALUE"""),"Every Day Office Environment")</f>
        <v>Every Day Office Environment</v>
      </c>
      <c r="L23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4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42" s="1" t="str">
        <f ca="1">IFERROR(__xludf.DUMMYFUNCTION("""COMPUTED_VALUE"""),"Design and Creative strategy in any company, Manage and drive End-to-End Projects or Products, Design and Develop amazing software, An Artificial Intelligence Specialist / Talking to Robots")</f>
        <v>Design and Creative strategy in any company, Manage and drive End-to-End Projects or Products, Design and Develop amazing software, An Artificial Intelligence Specialist / Talking to Robots</v>
      </c>
      <c r="O2342" s="1" t="str">
        <f ca="1">IFERROR(__xludf.DUMMYFUNCTION("""COMPUTED_VALUE"""),"Manager who explains what is expected, sets a goal and helps achieve it")</f>
        <v>Manager who explains what is expected, sets a goal and helps achieve it</v>
      </c>
      <c r="P2342" s="1" t="str">
        <f ca="1">IFERROR(__xludf.DUMMYFUNCTION("""COMPUTED_VALUE"""),"Work with 2 to 3 people in my team, Work with 5 to 6 people in my team")</f>
        <v>Work with 2 to 3 people in my team, Work with 5 to 6 people in my team</v>
      </c>
      <c r="Q2342" s="1" t="str">
        <f ca="1">IFERROR(__xludf.DUMMYFUNCTION("""COMPUTED_VALUE"""),"Yes, I Understand this is gonna happen everywhere")</f>
        <v>Yes, I Understand this is gonna happen everywhere</v>
      </c>
      <c r="R2342" s="1" t="str">
        <f ca="1">IFERROR(__xludf.DUMMYFUNCTION("""COMPUTED_VALUE"""),"This will be hard to do, but if it is the right company I would try")</f>
        <v>This will be hard to do, but if it is the right company I would try</v>
      </c>
      <c r="S2342" s="1" t="str">
        <f ca="1">IFERROR(__xludf.DUMMYFUNCTION("""COMPUTED_VALUE"""),"bhumikasunkad@gmail.com")</f>
        <v>bhumikasunkad@gmail.com</v>
      </c>
    </row>
    <row r="2343" spans="1:19" ht="12.5" x14ac:dyDescent="0.25">
      <c r="A2343" s="2">
        <f ca="1">IFERROR(__xludf.DUMMYFUNCTION("""COMPUTED_VALUE"""),45064.469878125)</f>
        <v>45064.469878124997</v>
      </c>
      <c r="B2343" s="1" t="str">
        <f ca="1">IFERROR(__xludf.DUMMYFUNCTION("""COMPUTED_VALUE"""),"India")</f>
        <v>India</v>
      </c>
      <c r="C2343" s="1">
        <f ca="1">IFERROR(__xludf.DUMMYFUNCTION("""COMPUTED_VALUE"""),560076)</f>
        <v>560076</v>
      </c>
      <c r="D2343" s="1" t="str">
        <f ca="1">IFERROR(__xludf.DUMMYFUNCTION("""COMPUTED_VALUE"""),"Male")</f>
        <v>Male</v>
      </c>
      <c r="E2343" s="1" t="str">
        <f ca="1">IFERROR(__xludf.DUMMYFUNCTION("""COMPUTED_VALUE"""),"Influencers who had successful careers")</f>
        <v>Influencers who had successful careers</v>
      </c>
      <c r="F2343" s="1" t="str">
        <f ca="1">IFERROR(__xludf.DUMMYFUNCTION("""COMPUTED_VALUE"""),"No, But if someone could bare the cost I will")</f>
        <v>No, But if someone could bare the cost I will</v>
      </c>
      <c r="G2343" s="1" t="str">
        <f ca="1">IFERROR(__xludf.DUMMYFUNCTION("""COMPUTED_VALUE"""),"No way")</f>
        <v>No way</v>
      </c>
      <c r="H2343" s="1" t="str">
        <f ca="1">IFERROR(__xludf.DUMMYFUNCTION("""COMPUTED_VALUE"""),"No")</f>
        <v>No</v>
      </c>
      <c r="I2343" s="1" t="str">
        <f ca="1">IFERROR(__xludf.DUMMYFUNCTION("""COMPUTED_VALUE"""),"Will NOT work for them")</f>
        <v>Will NOT work for them</v>
      </c>
      <c r="J2343" s="1">
        <f ca="1">IFERROR(__xludf.DUMMYFUNCTION("""COMPUTED_VALUE"""),7)</f>
        <v>7</v>
      </c>
      <c r="K2343" s="1" t="str">
        <f ca="1">IFERROR(__xludf.DUMMYFUNCTION("""COMPUTED_VALUE"""),"Hybrid Working Environment with more than 15 days a month at office")</f>
        <v>Hybrid Working Environment with more than 15 days a month at office</v>
      </c>
      <c r="L2343" s="1" t="str">
        <f ca="1">IFERROR(__xludf.DUMMYFUNCTION("""COMPUTED_VALUE"""),"Employer who appreciates learning and enables that environment")</f>
        <v>Employer who appreciates learning and enables that environment</v>
      </c>
      <c r="M23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43" s="1" t="str">
        <f ca="1">IFERROR(__xludf.DUMMYFUNCTION("""COMPUTED_VALUE"""),"Look deeply into Data and generate insights, Work as a freelancer and do my thing my way, Entrepreneur or Start Up, I Want to sell things/Sales")</f>
        <v>Look deeply into Data and generate insights, Work as a freelancer and do my thing my way, Entrepreneur or Start Up, I Want to sell things/Sales</v>
      </c>
      <c r="O2343" s="1" t="str">
        <f ca="1">IFERROR(__xludf.DUMMYFUNCTION("""COMPUTED_VALUE"""),"Manager who clearly describes what she/he needs")</f>
        <v>Manager who clearly describes what she/he needs</v>
      </c>
      <c r="P2343" s="1" t="str">
        <f ca="1">IFERROR(__xludf.DUMMYFUNCTION("""COMPUTED_VALUE"""),"Work with 2 to 3 people in my team")</f>
        <v>Work with 2 to 3 people in my team</v>
      </c>
      <c r="Q2343" s="1" t="str">
        <f ca="1">IFERROR(__xludf.DUMMYFUNCTION("""COMPUTED_VALUE"""),"Yes, I Understand this is gonna happen everywhere")</f>
        <v>Yes, I Understand this is gonna happen everywhere</v>
      </c>
      <c r="R2343" s="1" t="str">
        <f ca="1">IFERROR(__xludf.DUMMYFUNCTION("""COMPUTED_VALUE"""),"No way")</f>
        <v>No way</v>
      </c>
      <c r="S2343" s="1" t="str">
        <f ca="1">IFERROR(__xludf.DUMMYFUNCTION("""COMPUTED_VALUE"""),"inbarajnavaladi@gmail.com")</f>
        <v>inbarajnavaladi@gmail.com</v>
      </c>
    </row>
    <row r="2344" spans="1:19" ht="12.5" x14ac:dyDescent="0.25">
      <c r="A2344" s="2">
        <f ca="1">IFERROR(__xludf.DUMMYFUNCTION("""COMPUTED_VALUE"""),45064.4701616088)</f>
        <v>45064.470161608799</v>
      </c>
      <c r="B2344" s="1" t="str">
        <f ca="1">IFERROR(__xludf.DUMMYFUNCTION("""COMPUTED_VALUE"""),"India")</f>
        <v>India</v>
      </c>
      <c r="C2344" s="1">
        <f ca="1">IFERROR(__xludf.DUMMYFUNCTION("""COMPUTED_VALUE"""),673603)</f>
        <v>673603</v>
      </c>
      <c r="D2344" s="1" t="str">
        <f ca="1">IFERROR(__xludf.DUMMYFUNCTION("""COMPUTED_VALUE"""),"Male")</f>
        <v>Male</v>
      </c>
      <c r="E2344" s="1" t="str">
        <f ca="1">IFERROR(__xludf.DUMMYFUNCTION("""COMPUTED_VALUE"""),"My Parents")</f>
        <v>My Parents</v>
      </c>
      <c r="F2344" s="1" t="str">
        <f ca="1">IFERROR(__xludf.DUMMYFUNCTION("""COMPUTED_VALUE"""),"Yes, I will earn and do that")</f>
        <v>Yes, I will earn and do that</v>
      </c>
      <c r="G2344" s="1" t="str">
        <f ca="1">IFERROR(__xludf.DUMMYFUNCTION("""COMPUTED_VALUE"""),"No way")</f>
        <v>No way</v>
      </c>
      <c r="H2344" s="1" t="str">
        <f ca="1">IFERROR(__xludf.DUMMYFUNCTION("""COMPUTED_VALUE"""),"Yes")</f>
        <v>Yes</v>
      </c>
      <c r="I2344" s="1" t="str">
        <f ca="1">IFERROR(__xludf.DUMMYFUNCTION("""COMPUTED_VALUE"""),"Will work for them")</f>
        <v>Will work for them</v>
      </c>
      <c r="J2344" s="1">
        <f ca="1">IFERROR(__xludf.DUMMYFUNCTION("""COMPUTED_VALUE"""),5)</f>
        <v>5</v>
      </c>
      <c r="K2344" s="1" t="str">
        <f ca="1">IFERROR(__xludf.DUMMYFUNCTION("""COMPUTED_VALUE"""),"Every Day Office Environment")</f>
        <v>Every Day Office Environment</v>
      </c>
      <c r="L2344" s="1" t="str">
        <f ca="1">IFERROR(__xludf.DUMMYFUNCTION("""COMPUTED_VALUE"""),"Employer who appreciates learning and enables that environment")</f>
        <v>Employer who appreciates learning and enables that environment</v>
      </c>
      <c r="M234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44" s="1" t="str">
        <f ca="1">IFERROR(__xludf.DUMMYFUNCTION("""COMPUTED_VALUE"""),"Build and develop a Team, Work as a freelancer and do my thing my way, An Artificial Intelligence Specialist / Talking to Robots, Manufacturing / Oil and Gas/ Construction / Hard Physical Work related")</f>
        <v>Build and develop a Team, Work as a freelancer and do my thing my way, An Artificial Intelligence Specialist / Talking to Robots, Manufacturing / Oil and Gas/ Construction / Hard Physical Work related</v>
      </c>
      <c r="O2344" s="1" t="str">
        <f ca="1">IFERROR(__xludf.DUMMYFUNCTION("""COMPUTED_VALUE"""),"Manager who sets goal and helps me achieve it")</f>
        <v>Manager who sets goal and helps me achieve it</v>
      </c>
      <c r="P2344" s="1" t="str">
        <f ca="1">IFERROR(__xludf.DUMMYFUNCTION("""COMPUTED_VALUE"""),"Work with more than 10 people in my team")</f>
        <v>Work with more than 10 people in my team</v>
      </c>
      <c r="Q2344" s="1" t="str">
        <f ca="1">IFERROR(__xludf.DUMMYFUNCTION("""COMPUTED_VALUE"""),"I have NO other choice")</f>
        <v>I have NO other choice</v>
      </c>
      <c r="R2344" s="1" t="str">
        <f ca="1">IFERROR(__xludf.DUMMYFUNCTION("""COMPUTED_VALUE"""),"No way")</f>
        <v>No way</v>
      </c>
      <c r="S2344" s="1" t="str">
        <f ca="1">IFERROR(__xludf.DUMMYFUNCTION("""COMPUTED_VALUE"""),"albertgimmy2005@gmail.com")</f>
        <v>albertgimmy2005@gmail.com</v>
      </c>
    </row>
    <row r="2345" spans="1:19" ht="12.5" x14ac:dyDescent="0.25">
      <c r="A2345" s="2">
        <f ca="1">IFERROR(__xludf.DUMMYFUNCTION("""COMPUTED_VALUE"""),45064.4702962615)</f>
        <v>45064.470296261497</v>
      </c>
      <c r="B2345" s="1" t="str">
        <f ca="1">IFERROR(__xludf.DUMMYFUNCTION("""COMPUTED_VALUE"""),"India")</f>
        <v>India</v>
      </c>
      <c r="C2345" s="1">
        <f ca="1">IFERROR(__xludf.DUMMYFUNCTION("""COMPUTED_VALUE"""),673604)</f>
        <v>673604</v>
      </c>
      <c r="D2345" s="1" t="str">
        <f ca="1">IFERROR(__xludf.DUMMYFUNCTION("""COMPUTED_VALUE"""),"Male")</f>
        <v>Male</v>
      </c>
      <c r="E2345" s="1" t="str">
        <f ca="1">IFERROR(__xludf.DUMMYFUNCTION("""COMPUTED_VALUE"""),"My Parents")</f>
        <v>My Parents</v>
      </c>
      <c r="F2345" s="1" t="str">
        <f ca="1">IFERROR(__xludf.DUMMYFUNCTION("""COMPUTED_VALUE"""),"Yes, I will earn and do that")</f>
        <v>Yes, I will earn and do that</v>
      </c>
      <c r="G2345" s="1" t="str">
        <f ca="1">IFERROR(__xludf.DUMMYFUNCTION("""COMPUTED_VALUE"""),"This will be hard to do, but if it is the right company I would try")</f>
        <v>This will be hard to do, but if it is the right company I would try</v>
      </c>
      <c r="H2345" s="1" t="str">
        <f ca="1">IFERROR(__xludf.DUMMYFUNCTION("""COMPUTED_VALUE"""),"Yes")</f>
        <v>Yes</v>
      </c>
      <c r="I2345" s="1" t="str">
        <f ca="1">IFERROR(__xludf.DUMMYFUNCTION("""COMPUTED_VALUE"""),"Will work for them")</f>
        <v>Will work for them</v>
      </c>
      <c r="J2345" s="1">
        <f ca="1">IFERROR(__xludf.DUMMYFUNCTION("""COMPUTED_VALUE"""),8)</f>
        <v>8</v>
      </c>
      <c r="K2345" s="1" t="str">
        <f ca="1">IFERROR(__xludf.DUMMYFUNCTION("""COMPUTED_VALUE"""),"Every Day Office Environment")</f>
        <v>Every Day Office Environment</v>
      </c>
      <c r="L2345" s="1" t="str">
        <f ca="1">IFERROR(__xludf.DUMMYFUNCTION("""COMPUTED_VALUE"""),"Employer who rewards learning and enables that environment")</f>
        <v>Employer who rewards learning and enables that environment</v>
      </c>
      <c r="M234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45" s="1" t="str">
        <f ca="1">IFERROR(__xludf.DUMMYFUNCTION("""COMPUTED_VALUE"""),"Design and Creative strategy in any company, Build and develop a Team, Design and Develop amazing software, I Want to sell things/Sales")</f>
        <v>Design and Creative strategy in any company, Build and develop a Team, Design and Develop amazing software, I Want to sell things/Sales</v>
      </c>
      <c r="O2345" s="1" t="str">
        <f ca="1">IFERROR(__xludf.DUMMYFUNCTION("""COMPUTED_VALUE"""),"Manager who clearly describes what she/he needs")</f>
        <v>Manager who clearly describes what she/he needs</v>
      </c>
      <c r="P2345" s="1" t="str">
        <f ca="1">IFERROR(__xludf.DUMMYFUNCTION("""COMPUTED_VALUE"""),"Work with more than 10 people in my team")</f>
        <v>Work with more than 10 people in my team</v>
      </c>
      <c r="Q2345" s="1" t="str">
        <f ca="1">IFERROR(__xludf.DUMMYFUNCTION("""COMPUTED_VALUE"""),"No")</f>
        <v>No</v>
      </c>
      <c r="R2345" s="1" t="str">
        <f ca="1">IFERROR(__xludf.DUMMYFUNCTION("""COMPUTED_VALUE"""),"This will be hard to do, but if it is the right company I would try")</f>
        <v>This will be hard to do, but if it is the right company I would try</v>
      </c>
      <c r="S2345" s="1" t="str">
        <f ca="1">IFERROR(__xludf.DUMMYFUNCTION("""COMPUTED_VALUE"""),"mrudhulj@gmail.com")</f>
        <v>mrudhulj@gmail.com</v>
      </c>
    </row>
    <row r="2346" spans="1:19" ht="12.5" x14ac:dyDescent="0.25">
      <c r="A2346" s="2">
        <f ca="1">IFERROR(__xludf.DUMMYFUNCTION("""COMPUTED_VALUE"""),45064.4729657407)</f>
        <v>45064.472965740701</v>
      </c>
      <c r="B2346" s="1" t="str">
        <f ca="1">IFERROR(__xludf.DUMMYFUNCTION("""COMPUTED_VALUE"""),"India")</f>
        <v>India</v>
      </c>
      <c r="C2346" s="1">
        <f ca="1">IFERROR(__xludf.DUMMYFUNCTION("""COMPUTED_VALUE"""),302020)</f>
        <v>302020</v>
      </c>
      <c r="D2346" s="1" t="str">
        <f ca="1">IFERROR(__xludf.DUMMYFUNCTION("""COMPUTED_VALUE"""),"Female")</f>
        <v>Female</v>
      </c>
      <c r="E2346" s="1" t="str">
        <f ca="1">IFERROR(__xludf.DUMMYFUNCTION("""COMPUTED_VALUE"""),"My Parents")</f>
        <v>My Parents</v>
      </c>
      <c r="F2346" s="1" t="str">
        <f ca="1">IFERROR(__xludf.DUMMYFUNCTION("""COMPUTED_VALUE"""),"Yes, I will earn and do that")</f>
        <v>Yes, I will earn and do that</v>
      </c>
      <c r="G2346" s="1" t="str">
        <f ca="1">IFERROR(__xludf.DUMMYFUNCTION("""COMPUTED_VALUE"""),"Will work for 3 years or more")</f>
        <v>Will work for 3 years or more</v>
      </c>
      <c r="H2346" s="1" t="str">
        <f ca="1">IFERROR(__xludf.DUMMYFUNCTION("""COMPUTED_VALUE"""),"No")</f>
        <v>No</v>
      </c>
      <c r="I2346" s="1" t="str">
        <f ca="1">IFERROR(__xludf.DUMMYFUNCTION("""COMPUTED_VALUE"""),"Will NOT work for them")</f>
        <v>Will NOT work for them</v>
      </c>
      <c r="J2346" s="1">
        <f ca="1">IFERROR(__xludf.DUMMYFUNCTION("""COMPUTED_VALUE"""),4)</f>
        <v>4</v>
      </c>
      <c r="K2346" s="1" t="str">
        <f ca="1">IFERROR(__xludf.DUMMYFUNCTION("""COMPUTED_VALUE"""),"Hybrid Working Environment with more than 15 days a month at office")</f>
        <v>Hybrid Working Environment with more than 15 days a month at office</v>
      </c>
      <c r="L23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4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346" s="1" t="str">
        <f ca="1">IFERROR(__xludf.DUMMYFUNCTION("""COMPUTED_VALUE"""),"Business Operations in any organization, Build and develop a Team, Become a content Creator in some platform, Entrepreneur or Start Up")</f>
        <v>Business Operations in any organization, Build and develop a Team, Become a content Creator in some platform, Entrepreneur or Start Up</v>
      </c>
      <c r="O2346" s="1" t="str">
        <f ca="1">IFERROR(__xludf.DUMMYFUNCTION("""COMPUTED_VALUE"""),"Manager who explains what is expected, sets a goal and helps achieve it")</f>
        <v>Manager who explains what is expected, sets a goal and helps achieve it</v>
      </c>
      <c r="P2346" s="1" t="str">
        <f ca="1">IFERROR(__xludf.DUMMYFUNCTION("""COMPUTED_VALUE"""),"Work with more than 10 people in my team")</f>
        <v>Work with more than 10 people in my team</v>
      </c>
      <c r="Q2346" s="1" t="str">
        <f ca="1">IFERROR(__xludf.DUMMYFUNCTION("""COMPUTED_VALUE"""),"Yes, I Understand this is gonna happen everywhere")</f>
        <v>Yes, I Understand this is gonna happen everywhere</v>
      </c>
      <c r="R2346" s="1" t="str">
        <f ca="1">IFERROR(__xludf.DUMMYFUNCTION("""COMPUTED_VALUE"""),"This will be hard to do, but if it is the right company I would try")</f>
        <v>This will be hard to do, but if it is the right company I would try</v>
      </c>
      <c r="S2346" s="1" t="str">
        <f ca="1">IFERROR(__xludf.DUMMYFUNCTION("""COMPUTED_VALUE"""),"palakbissa.05@gmail.com")</f>
        <v>palakbissa.05@gmail.com</v>
      </c>
    </row>
    <row r="2347" spans="1:19" ht="12.5" x14ac:dyDescent="0.25">
      <c r="A2347" s="2">
        <f ca="1">IFERROR(__xludf.DUMMYFUNCTION("""COMPUTED_VALUE"""),45064.4743296296)</f>
        <v>45064.4743296296</v>
      </c>
      <c r="B2347" s="1" t="str">
        <f ca="1">IFERROR(__xludf.DUMMYFUNCTION("""COMPUTED_VALUE"""),"India")</f>
        <v>India</v>
      </c>
      <c r="C2347" s="1">
        <f ca="1">IFERROR(__xludf.DUMMYFUNCTION("""COMPUTED_VALUE"""),591304)</f>
        <v>591304</v>
      </c>
      <c r="D2347" s="1" t="str">
        <f ca="1">IFERROR(__xludf.DUMMYFUNCTION("""COMPUTED_VALUE"""),"Male")</f>
        <v>Male</v>
      </c>
      <c r="E2347" s="1" t="str">
        <f ca="1">IFERROR(__xludf.DUMMYFUNCTION("""COMPUTED_VALUE"""),"Influencers who had successful careers")</f>
        <v>Influencers who had successful careers</v>
      </c>
      <c r="F2347" s="1" t="str">
        <f ca="1">IFERROR(__xludf.DUMMYFUNCTION("""COMPUTED_VALUE"""),"No I would not be pursuing Higher Education outside of India")</f>
        <v>No I would not be pursuing Higher Education outside of India</v>
      </c>
      <c r="G2347" s="1" t="str">
        <f ca="1">IFERROR(__xludf.DUMMYFUNCTION("""COMPUTED_VALUE"""),"This will be hard to do, but if it is the right company I would try")</f>
        <v>This will be hard to do, but if it is the right company I would try</v>
      </c>
      <c r="H2347" s="1" t="str">
        <f ca="1">IFERROR(__xludf.DUMMYFUNCTION("""COMPUTED_VALUE"""),"No")</f>
        <v>No</v>
      </c>
      <c r="I2347" s="1" t="str">
        <f ca="1">IFERROR(__xludf.DUMMYFUNCTION("""COMPUTED_VALUE"""),"Will work for them")</f>
        <v>Will work for them</v>
      </c>
      <c r="J2347" s="1">
        <f ca="1">IFERROR(__xludf.DUMMYFUNCTION("""COMPUTED_VALUE"""),6)</f>
        <v>6</v>
      </c>
      <c r="K2347" s="1" t="str">
        <f ca="1">IFERROR(__xludf.DUMMYFUNCTION("""COMPUTED_VALUE"""),"Every Day Office Environment")</f>
        <v>Every Day Office Environment</v>
      </c>
      <c r="L2347" s="1" t="str">
        <f ca="1">IFERROR(__xludf.DUMMYFUNCTION("""COMPUTED_VALUE"""),"Employer who appreciates learning and enables that environment")</f>
        <v>Employer who appreciates learning and enables that environment</v>
      </c>
      <c r="M234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47" s="1" t="str">
        <f ca="1">IFERROR(__xludf.DUMMYFUNCTION("""COMPUTED_VALUE"""),"Business Operations in any organization, Manage and drive End-to-End Projects or Products, Design and Develop amazing software, Manufacturing / Oil and Gas/ Construction / Hard Physical Work related")</f>
        <v>Business Operations in any organization, Manage and drive End-to-End Projects or Products, Design and Develop amazing software, Manufacturing / Oil and Gas/ Construction / Hard Physical Work related</v>
      </c>
      <c r="O2347" s="1" t="str">
        <f ca="1">IFERROR(__xludf.DUMMYFUNCTION("""COMPUTED_VALUE"""),"Manager who sets goal and helps me achieve it")</f>
        <v>Manager who sets goal and helps me achieve it</v>
      </c>
      <c r="P2347" s="1" t="str">
        <f ca="1">IFERROR(__xludf.DUMMYFUNCTION("""COMPUTED_VALUE"""),"Work with 5 to 6 people in my team")</f>
        <v>Work with 5 to 6 people in my team</v>
      </c>
      <c r="Q2347" s="1" t="str">
        <f ca="1">IFERROR(__xludf.DUMMYFUNCTION("""COMPUTED_VALUE"""),"Yes, I Understand this is gonna happen everywhere")</f>
        <v>Yes, I Understand this is gonna happen everywhere</v>
      </c>
      <c r="R2347" s="1" t="str">
        <f ca="1">IFERROR(__xludf.DUMMYFUNCTION("""COMPUTED_VALUE"""),"This will be hard to do, but if it is the right company I would try")</f>
        <v>This will be hard to do, but if it is the right company I would try</v>
      </c>
      <c r="S2347" s="1" t="str">
        <f ca="1">IFERROR(__xludf.DUMMYFUNCTION("""COMPUTED_VALUE"""),"abhisheknkambale99@gmail.com")</f>
        <v>abhisheknkambale99@gmail.com</v>
      </c>
    </row>
    <row r="2348" spans="1:19" ht="12.5" x14ac:dyDescent="0.25">
      <c r="A2348" s="2">
        <f ca="1">IFERROR(__xludf.DUMMYFUNCTION("""COMPUTED_VALUE"""),45064.4745345023)</f>
        <v>45064.474534502297</v>
      </c>
      <c r="B2348" s="1" t="str">
        <f ca="1">IFERROR(__xludf.DUMMYFUNCTION("""COMPUTED_VALUE"""),"India")</f>
        <v>India</v>
      </c>
      <c r="C2348" s="1">
        <f ca="1">IFERROR(__xludf.DUMMYFUNCTION("""COMPUTED_VALUE"""),591123)</f>
        <v>591123</v>
      </c>
      <c r="D2348" s="1" t="str">
        <f ca="1">IFERROR(__xludf.DUMMYFUNCTION("""COMPUTED_VALUE"""),"Male")</f>
        <v>Male</v>
      </c>
      <c r="E2348" s="1" t="str">
        <f ca="1">IFERROR(__xludf.DUMMYFUNCTION("""COMPUTED_VALUE"""),"People who have changed the world for better")</f>
        <v>People who have changed the world for better</v>
      </c>
      <c r="F2348" s="1" t="str">
        <f ca="1">IFERROR(__xludf.DUMMYFUNCTION("""COMPUTED_VALUE"""),"Yes, I will earn and do that")</f>
        <v>Yes, I will earn and do that</v>
      </c>
      <c r="G2348" s="1" t="str">
        <f ca="1">IFERROR(__xludf.DUMMYFUNCTION("""COMPUTED_VALUE"""),"Will work for 3 years or more")</f>
        <v>Will work for 3 years or more</v>
      </c>
      <c r="H2348" s="1" t="str">
        <f ca="1">IFERROR(__xludf.DUMMYFUNCTION("""COMPUTED_VALUE"""),"No")</f>
        <v>No</v>
      </c>
      <c r="I2348" s="1" t="str">
        <f ca="1">IFERROR(__xludf.DUMMYFUNCTION("""COMPUTED_VALUE"""),"Will work for them")</f>
        <v>Will work for them</v>
      </c>
      <c r="J2348" s="1">
        <f ca="1">IFERROR(__xludf.DUMMYFUNCTION("""COMPUTED_VALUE"""),9)</f>
        <v>9</v>
      </c>
      <c r="K2348" s="1" t="str">
        <f ca="1">IFERROR(__xludf.DUMMYFUNCTION("""COMPUTED_VALUE"""),"Hybrid Working Environment with more than 15 days a month at office")</f>
        <v>Hybrid Working Environment with more than 15 days a month at office</v>
      </c>
      <c r="L2348" s="1" t="str">
        <f ca="1">IFERROR(__xludf.DUMMYFUNCTION("""COMPUTED_VALUE"""),"Employer who appreciates learning and enables that environment")</f>
        <v>Employer who appreciates learning and enables that environment</v>
      </c>
      <c r="M234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4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348" s="1" t="str">
        <f ca="1">IFERROR(__xludf.DUMMYFUNCTION("""COMPUTED_VALUE"""),"Manager who clearly describes what she/he needs")</f>
        <v>Manager who clearly describes what she/he needs</v>
      </c>
      <c r="P2348" s="1" t="str">
        <f ca="1">IFERROR(__xludf.DUMMYFUNCTION("""COMPUTED_VALUE"""),"Work with more than 10 people in my team")</f>
        <v>Work with more than 10 people in my team</v>
      </c>
      <c r="Q2348" s="1" t="str">
        <f ca="1">IFERROR(__xludf.DUMMYFUNCTION("""COMPUTED_VALUE"""),"Yes, I Understand this is gonna happen everywhere")</f>
        <v>Yes, I Understand this is gonna happen everywhere</v>
      </c>
      <c r="R2348" s="1" t="str">
        <f ca="1">IFERROR(__xludf.DUMMYFUNCTION("""COMPUTED_VALUE"""),"This will be hard to do, but if it is the right company I would try")</f>
        <v>This will be hard to do, but if it is the right company I would try</v>
      </c>
      <c r="S2348" s="1" t="str">
        <f ca="1">IFERROR(__xludf.DUMMYFUNCTION("""COMPUTED_VALUE"""),"manjunathbmadiwalar199926@gmail.com")</f>
        <v>manjunathbmadiwalar199926@gmail.com</v>
      </c>
    </row>
    <row r="2349" spans="1:19" ht="12.5" x14ac:dyDescent="0.25">
      <c r="A2349" s="2">
        <f ca="1">IFERROR(__xludf.DUMMYFUNCTION("""COMPUTED_VALUE"""),45064.4761668634)</f>
        <v>45064.476166863402</v>
      </c>
      <c r="B2349" s="1" t="str">
        <f ca="1">IFERROR(__xludf.DUMMYFUNCTION("""COMPUTED_VALUE"""),"India")</f>
        <v>India</v>
      </c>
      <c r="C2349" s="1">
        <f ca="1">IFERROR(__xludf.DUMMYFUNCTION("""COMPUTED_VALUE"""),400058)</f>
        <v>400058</v>
      </c>
      <c r="D2349" s="1" t="str">
        <f ca="1">IFERROR(__xludf.DUMMYFUNCTION("""COMPUTED_VALUE"""),"Male")</f>
        <v>Male</v>
      </c>
      <c r="E2349" s="1" t="str">
        <f ca="1">IFERROR(__xludf.DUMMYFUNCTION("""COMPUTED_VALUE"""),"Influencers who had successful careers")</f>
        <v>Influencers who had successful careers</v>
      </c>
      <c r="F2349" s="1" t="str">
        <f ca="1">IFERROR(__xludf.DUMMYFUNCTION("""COMPUTED_VALUE"""),"No I would not be pursuing Higher Education outside of India")</f>
        <v>No I would not be pursuing Higher Education outside of India</v>
      </c>
      <c r="G2349" s="1" t="str">
        <f ca="1">IFERROR(__xludf.DUMMYFUNCTION("""COMPUTED_VALUE"""),"This will be hard to do, but if it is the right company I would try")</f>
        <v>This will be hard to do, but if it is the right company I would try</v>
      </c>
      <c r="H2349" s="1" t="str">
        <f ca="1">IFERROR(__xludf.DUMMYFUNCTION("""COMPUTED_VALUE"""),"No")</f>
        <v>No</v>
      </c>
      <c r="I2349" s="1" t="str">
        <f ca="1">IFERROR(__xludf.DUMMYFUNCTION("""COMPUTED_VALUE"""),"Will NOT work for them")</f>
        <v>Will NOT work for them</v>
      </c>
      <c r="J2349" s="1">
        <f ca="1">IFERROR(__xludf.DUMMYFUNCTION("""COMPUTED_VALUE"""),5)</f>
        <v>5</v>
      </c>
      <c r="K2349" s="1" t="str">
        <f ca="1">IFERROR(__xludf.DUMMYFUNCTION("""COMPUTED_VALUE"""),"Hybrid Working Environment with less than 3 days a month at office")</f>
        <v>Hybrid Working Environment with less than 3 days a month at office</v>
      </c>
      <c r="L23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4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49" s="1" t="str">
        <f ca="1">IFERROR(__xludf.DUMMYFUNCTION("""COMPUTED_VALUE"""),"Business Operations in any organization, Become a content Creator in some platform, Entrepreneur or Start Up, I Want to sell things/Sales")</f>
        <v>Business Operations in any organization, Become a content Creator in some platform, Entrepreneur or Start Up, I Want to sell things/Sales</v>
      </c>
      <c r="O2349" s="1" t="str">
        <f ca="1">IFERROR(__xludf.DUMMYFUNCTION("""COMPUTED_VALUE"""),"Manager who explains what is expected, sets a goal and helps achieve it")</f>
        <v>Manager who explains what is expected, sets a goal and helps achieve it</v>
      </c>
      <c r="P2349" s="1" t="str">
        <f ca="1">IFERROR(__xludf.DUMMYFUNCTION("""COMPUTED_VALUE"""),"Work alone")</f>
        <v>Work alone</v>
      </c>
      <c r="Q2349" s="1" t="str">
        <f ca="1">IFERROR(__xludf.DUMMYFUNCTION("""COMPUTED_VALUE"""),"Yes, I Understand this is gonna happen everywhere")</f>
        <v>Yes, I Understand this is gonna happen everywhere</v>
      </c>
      <c r="R2349" s="1" t="str">
        <f ca="1">IFERROR(__xludf.DUMMYFUNCTION("""COMPUTED_VALUE"""),"This will be hard to do, but if it is the right company I would try")</f>
        <v>This will be hard to do, but if it is the right company I would try</v>
      </c>
      <c r="S2349" s="1" t="str">
        <f ca="1">IFERROR(__xludf.DUMMYFUNCTION("""COMPUTED_VALUE"""),"humzashaikh2005@gmail.com")</f>
        <v>humzashaikh2005@gmail.com</v>
      </c>
    </row>
    <row r="2350" spans="1:19" ht="12.5" x14ac:dyDescent="0.25">
      <c r="A2350" s="2">
        <f ca="1">IFERROR(__xludf.DUMMYFUNCTION("""COMPUTED_VALUE"""),45064.4767020138)</f>
        <v>45064.476702013802</v>
      </c>
      <c r="B2350" s="1" t="str">
        <f ca="1">IFERROR(__xludf.DUMMYFUNCTION("""COMPUTED_VALUE"""),"India")</f>
        <v>India</v>
      </c>
      <c r="C2350" s="1">
        <f ca="1">IFERROR(__xludf.DUMMYFUNCTION("""COMPUTED_VALUE"""),637001)</f>
        <v>637001</v>
      </c>
      <c r="D2350" s="1" t="str">
        <f ca="1">IFERROR(__xludf.DUMMYFUNCTION("""COMPUTED_VALUE"""),"Female")</f>
        <v>Female</v>
      </c>
      <c r="E2350" s="1" t="str">
        <f ca="1">IFERROR(__xludf.DUMMYFUNCTION("""COMPUTED_VALUE"""),"People who have changed the world for better")</f>
        <v>People who have changed the world for better</v>
      </c>
      <c r="F2350" s="1" t="str">
        <f ca="1">IFERROR(__xludf.DUMMYFUNCTION("""COMPUTED_VALUE"""),"Yes, I will earn and do that")</f>
        <v>Yes, I will earn and do that</v>
      </c>
      <c r="G2350" s="1" t="str">
        <f ca="1">IFERROR(__xludf.DUMMYFUNCTION("""COMPUTED_VALUE"""),"No way")</f>
        <v>No way</v>
      </c>
      <c r="H2350" s="1" t="str">
        <f ca="1">IFERROR(__xludf.DUMMYFUNCTION("""COMPUTED_VALUE"""),"No")</f>
        <v>No</v>
      </c>
      <c r="I2350" s="1" t="str">
        <f ca="1">IFERROR(__xludf.DUMMYFUNCTION("""COMPUTED_VALUE"""),"Will NOT work for them")</f>
        <v>Will NOT work for them</v>
      </c>
      <c r="J2350" s="1">
        <f ca="1">IFERROR(__xludf.DUMMYFUNCTION("""COMPUTED_VALUE"""),1)</f>
        <v>1</v>
      </c>
      <c r="K2350" s="1" t="str">
        <f ca="1">IFERROR(__xludf.DUMMYFUNCTION("""COMPUTED_VALUE"""),"Fully Remote with Options to travel as and when needed")</f>
        <v>Fully Remote with Options to travel as and when needed</v>
      </c>
      <c r="L2350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35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50" s="1" t="str">
        <f ca="1">IFERROR(__xludf.DUMMYFUNCTION("""COMPUTED_VALUE"""),"Business Operations in any organization, Work in a BPO setup for some well known client, Entrepreneur or Start Up, Manufacturing / Oil and Gas/ Construction / Hard Physical Work related")</f>
        <v>Business Operations in any organization, Work in a BPO setup for some well known client, Entrepreneur or Start Up, Manufacturing / Oil and Gas/ Construction / Hard Physical Work related</v>
      </c>
      <c r="O2350" s="1" t="str">
        <f ca="1">IFERROR(__xludf.DUMMYFUNCTION("""COMPUTED_VALUE"""),"Manager who explains what is expected, sets a goal and helps achieve it")</f>
        <v>Manager who explains what is expected, sets a goal and helps achieve it</v>
      </c>
      <c r="P2350" s="1" t="str">
        <f ca="1">IFERROR(__xludf.DUMMYFUNCTION("""COMPUTED_VALUE"""),"Work with 2 to 3 people in my team")</f>
        <v>Work with 2 to 3 people in my team</v>
      </c>
      <c r="Q2350" s="1" t="str">
        <f ca="1">IFERROR(__xludf.DUMMYFUNCTION("""COMPUTED_VALUE"""),"No")</f>
        <v>No</v>
      </c>
      <c r="R2350" s="1" t="str">
        <f ca="1">IFERROR(__xludf.DUMMYFUNCTION("""COMPUTED_VALUE"""),"No way")</f>
        <v>No way</v>
      </c>
      <c r="S2350" s="1" t="str">
        <f ca="1">IFERROR(__xludf.DUMMYFUNCTION("""COMPUTED_VALUE"""),"kalarasiga2003@gmail.com")</f>
        <v>kalarasiga2003@gmail.com</v>
      </c>
    </row>
    <row r="2351" spans="1:19" ht="12.5" x14ac:dyDescent="0.25">
      <c r="A2351" s="2">
        <f ca="1">IFERROR(__xludf.DUMMYFUNCTION("""COMPUTED_VALUE"""),45064.4793890277)</f>
        <v>45064.4793890277</v>
      </c>
      <c r="B2351" s="1" t="str">
        <f ca="1">IFERROR(__xludf.DUMMYFUNCTION("""COMPUTED_VALUE"""),"India")</f>
        <v>India</v>
      </c>
      <c r="C2351" s="1">
        <f ca="1">IFERROR(__xludf.DUMMYFUNCTION("""COMPUTED_VALUE"""),560017)</f>
        <v>560017</v>
      </c>
      <c r="D2351" s="1" t="str">
        <f ca="1">IFERROR(__xludf.DUMMYFUNCTION("""COMPUTED_VALUE"""),"Female")</f>
        <v>Female</v>
      </c>
      <c r="E2351" s="1" t="str">
        <f ca="1">IFERROR(__xludf.DUMMYFUNCTION("""COMPUTED_VALUE"""),"People who have changed the world for better")</f>
        <v>People who have changed the world for better</v>
      </c>
      <c r="F2351" s="1" t="str">
        <f ca="1">IFERROR(__xludf.DUMMYFUNCTION("""COMPUTED_VALUE"""),"Yes, I will earn and do that")</f>
        <v>Yes, I will earn and do that</v>
      </c>
      <c r="G2351" s="1" t="str">
        <f ca="1">IFERROR(__xludf.DUMMYFUNCTION("""COMPUTED_VALUE"""),"Will work for 3 years or more")</f>
        <v>Will work for 3 years or more</v>
      </c>
      <c r="H2351" s="1" t="str">
        <f ca="1">IFERROR(__xludf.DUMMYFUNCTION("""COMPUTED_VALUE"""),"Yes")</f>
        <v>Yes</v>
      </c>
      <c r="I2351" s="1" t="str">
        <f ca="1">IFERROR(__xludf.DUMMYFUNCTION("""COMPUTED_VALUE"""),"Will work for them")</f>
        <v>Will work for them</v>
      </c>
      <c r="J2351" s="1">
        <f ca="1">IFERROR(__xludf.DUMMYFUNCTION("""COMPUTED_VALUE"""),5)</f>
        <v>5</v>
      </c>
      <c r="K2351" s="1" t="str">
        <f ca="1">IFERROR(__xludf.DUMMYFUNCTION("""COMPUTED_VALUE"""),"Fully Remote with Options to travel as and when needed")</f>
        <v>Fully Remote with Options to travel as and when needed</v>
      </c>
      <c r="L23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5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51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2351" s="1" t="str">
        <f ca="1">IFERROR(__xludf.DUMMYFUNCTION("""COMPUTED_VALUE"""),"Manager who explains what is expected, sets a goal and helps achieve it")</f>
        <v>Manager who explains what is expected, sets a goal and helps achieve it</v>
      </c>
      <c r="P2351" s="1" t="str">
        <f ca="1">IFERROR(__xludf.DUMMYFUNCTION("""COMPUTED_VALUE"""),"Work with 5 to 6 people in my team")</f>
        <v>Work with 5 to 6 people in my team</v>
      </c>
      <c r="Q2351" s="1" t="str">
        <f ca="1">IFERROR(__xludf.DUMMYFUNCTION("""COMPUTED_VALUE"""),"Yes, I Understand this is gonna happen everywhere")</f>
        <v>Yes, I Understand this is gonna happen everywhere</v>
      </c>
      <c r="R2351" s="1" t="str">
        <f ca="1">IFERROR(__xludf.DUMMYFUNCTION("""COMPUTED_VALUE"""),"This will be hard to do, but if it is the right company I would try")</f>
        <v>This will be hard to do, but if it is the right company I would try</v>
      </c>
      <c r="S2351" s="1" t="str">
        <f ca="1">IFERROR(__xludf.DUMMYFUNCTION("""COMPUTED_VALUE"""),"sreevgagana@gmail.com")</f>
        <v>sreevgagana@gmail.com</v>
      </c>
    </row>
    <row r="2352" spans="1:19" ht="12.5" x14ac:dyDescent="0.25">
      <c r="A2352" s="2">
        <f ca="1">IFERROR(__xludf.DUMMYFUNCTION("""COMPUTED_VALUE"""),45064.482071956)</f>
        <v>45064.482071956001</v>
      </c>
      <c r="B2352" s="1" t="str">
        <f ca="1">IFERROR(__xludf.DUMMYFUNCTION("""COMPUTED_VALUE"""),"India")</f>
        <v>India</v>
      </c>
      <c r="C2352" s="1">
        <f ca="1">IFERROR(__xludf.DUMMYFUNCTION("""COMPUTED_VALUE"""),580001)</f>
        <v>580001</v>
      </c>
      <c r="D2352" s="1" t="str">
        <f ca="1">IFERROR(__xludf.DUMMYFUNCTION("""COMPUTED_VALUE"""),"Male")</f>
        <v>Male</v>
      </c>
      <c r="E2352" s="1" t="str">
        <f ca="1">IFERROR(__xludf.DUMMYFUNCTION("""COMPUTED_VALUE"""),"Social Media like LinkedIn")</f>
        <v>Social Media like LinkedIn</v>
      </c>
      <c r="F2352" s="1" t="str">
        <f ca="1">IFERROR(__xludf.DUMMYFUNCTION("""COMPUTED_VALUE"""),"No I would not be pursuing Higher Education outside of India")</f>
        <v>No I would not be pursuing Higher Education outside of India</v>
      </c>
      <c r="G2352" s="1" t="str">
        <f ca="1">IFERROR(__xludf.DUMMYFUNCTION("""COMPUTED_VALUE"""),"Will work for 3 years or more")</f>
        <v>Will work for 3 years or more</v>
      </c>
      <c r="H2352" s="1" t="str">
        <f ca="1">IFERROR(__xludf.DUMMYFUNCTION("""COMPUTED_VALUE"""),"No")</f>
        <v>No</v>
      </c>
      <c r="I2352" s="1" t="str">
        <f ca="1">IFERROR(__xludf.DUMMYFUNCTION("""COMPUTED_VALUE"""),"Will NOT work for them")</f>
        <v>Will NOT work for them</v>
      </c>
      <c r="J2352" s="1">
        <f ca="1">IFERROR(__xludf.DUMMYFUNCTION("""COMPUTED_VALUE"""),1)</f>
        <v>1</v>
      </c>
      <c r="K2352" s="1" t="str">
        <f ca="1">IFERROR(__xludf.DUMMYFUNCTION("""COMPUTED_VALUE"""),"Hybrid Working Environment with more than 15 days a month at office")</f>
        <v>Hybrid Working Environment with more than 15 days a month at office</v>
      </c>
      <c r="L2352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352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352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2352" s="1" t="str">
        <f ca="1">IFERROR(__xludf.DUMMYFUNCTION("""COMPUTED_VALUE"""),"Manager who sets goal and helps me achieve it")</f>
        <v>Manager who sets goal and helps me achieve it</v>
      </c>
      <c r="P2352" s="1" t="str">
        <f ca="1">IFERROR(__xludf.DUMMYFUNCTION("""COMPUTED_VALUE"""),"Work with 5 to 6 people in my team")</f>
        <v>Work with 5 to 6 people in my team</v>
      </c>
      <c r="Q2352" s="1" t="str">
        <f ca="1">IFERROR(__xludf.DUMMYFUNCTION("""COMPUTED_VALUE"""),"Yes, I Understand this is gonna happen everywhere")</f>
        <v>Yes, I Understand this is gonna happen everywhere</v>
      </c>
      <c r="R2352" s="1" t="str">
        <f ca="1">IFERROR(__xludf.DUMMYFUNCTION("""COMPUTED_VALUE"""),"No way")</f>
        <v>No way</v>
      </c>
      <c r="S2352" s="1" t="str">
        <f ca="1">IFERROR(__xludf.DUMMYFUNCTION("""COMPUTED_VALUE"""),"moterastadium2@gmail.com")</f>
        <v>moterastadium2@gmail.com</v>
      </c>
    </row>
    <row r="2353" spans="1:19" ht="12.5" x14ac:dyDescent="0.25">
      <c r="A2353" s="2">
        <f ca="1">IFERROR(__xludf.DUMMYFUNCTION("""COMPUTED_VALUE"""),45064.483376331)</f>
        <v>45064.483376331002</v>
      </c>
      <c r="B2353" s="1" t="str">
        <f ca="1">IFERROR(__xludf.DUMMYFUNCTION("""COMPUTED_VALUE"""),"India")</f>
        <v>India</v>
      </c>
      <c r="C2353" s="1">
        <f ca="1">IFERROR(__xludf.DUMMYFUNCTION("""COMPUTED_VALUE"""),591123)</f>
        <v>591123</v>
      </c>
      <c r="D2353" s="1" t="str">
        <f ca="1">IFERROR(__xludf.DUMMYFUNCTION("""COMPUTED_VALUE"""),"Male")</f>
        <v>Male</v>
      </c>
      <c r="E2353" s="1" t="str">
        <f ca="1">IFERROR(__xludf.DUMMYFUNCTION("""COMPUTED_VALUE"""),"My Parents")</f>
        <v>My Parents</v>
      </c>
      <c r="F2353" s="1" t="str">
        <f ca="1">IFERROR(__xludf.DUMMYFUNCTION("""COMPUTED_VALUE"""),"Yes, I will earn and do that")</f>
        <v>Yes, I will earn and do that</v>
      </c>
      <c r="G2353" s="1" t="str">
        <f ca="1">IFERROR(__xludf.DUMMYFUNCTION("""COMPUTED_VALUE"""),"Will work for 3 years or more")</f>
        <v>Will work for 3 years or more</v>
      </c>
      <c r="H2353" s="1" t="str">
        <f ca="1">IFERROR(__xludf.DUMMYFUNCTION("""COMPUTED_VALUE"""),"Yes")</f>
        <v>Yes</v>
      </c>
      <c r="I2353" s="1" t="str">
        <f ca="1">IFERROR(__xludf.DUMMYFUNCTION("""COMPUTED_VALUE"""),"Will work for them")</f>
        <v>Will work for them</v>
      </c>
      <c r="J2353" s="1">
        <f ca="1">IFERROR(__xludf.DUMMYFUNCTION("""COMPUTED_VALUE"""),7)</f>
        <v>7</v>
      </c>
      <c r="K2353" s="1" t="str">
        <f ca="1">IFERROR(__xludf.DUMMYFUNCTION("""COMPUTED_VALUE"""),"Every Day Office Environment")</f>
        <v>Every Day Office Environment</v>
      </c>
      <c r="L23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5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53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2353" s="1" t="str">
        <f ca="1">IFERROR(__xludf.DUMMYFUNCTION("""COMPUTED_VALUE"""),"Manager who sets goal and helps me achieve it")</f>
        <v>Manager who sets goal and helps me achieve it</v>
      </c>
      <c r="P2353" s="1" t="str">
        <f ca="1">IFERROR(__xludf.DUMMYFUNCTION("""COMPUTED_VALUE"""),"Work alone")</f>
        <v>Work alone</v>
      </c>
      <c r="Q2353" s="1" t="str">
        <f ca="1">IFERROR(__xludf.DUMMYFUNCTION("""COMPUTED_VALUE"""),"Yes")</f>
        <v>Yes</v>
      </c>
      <c r="R2353" s="1" t="str">
        <f ca="1">IFERROR(__xludf.DUMMYFUNCTION("""COMPUTED_VALUE"""),"Will work for 7 years or more")</f>
        <v>Will work for 7 years or more</v>
      </c>
      <c r="S2353" s="1" t="str">
        <f ca="1">IFERROR(__xludf.DUMMYFUNCTION("""COMPUTED_VALUE"""),"kskrn8411@gmail.com")</f>
        <v>kskrn8411@gmail.com</v>
      </c>
    </row>
    <row r="2354" spans="1:19" ht="12.5" x14ac:dyDescent="0.25">
      <c r="A2354" s="2">
        <f ca="1">IFERROR(__xludf.DUMMYFUNCTION("""COMPUTED_VALUE"""),45064.4834103125)</f>
        <v>45064.483410312503</v>
      </c>
      <c r="B2354" s="1" t="str">
        <f ca="1">IFERROR(__xludf.DUMMYFUNCTION("""COMPUTED_VALUE"""),"India")</f>
        <v>India</v>
      </c>
      <c r="C2354" s="1">
        <f ca="1">IFERROR(__xludf.DUMMYFUNCTION("""COMPUTED_VALUE"""),586109)</f>
        <v>586109</v>
      </c>
      <c r="D2354" s="1" t="str">
        <f ca="1">IFERROR(__xludf.DUMMYFUNCTION("""COMPUTED_VALUE"""),"Male")</f>
        <v>Male</v>
      </c>
      <c r="E2354" s="1" t="str">
        <f ca="1">IFERROR(__xludf.DUMMYFUNCTION("""COMPUTED_VALUE"""),"My Parents")</f>
        <v>My Parents</v>
      </c>
      <c r="F2354" s="1" t="str">
        <f ca="1">IFERROR(__xludf.DUMMYFUNCTION("""COMPUTED_VALUE"""),"No I would not be pursuing Higher Education outside of India")</f>
        <v>No I would not be pursuing Higher Education outside of India</v>
      </c>
      <c r="G2354" s="1" t="str">
        <f ca="1">IFERROR(__xludf.DUMMYFUNCTION("""COMPUTED_VALUE"""),"This will be hard to do, but if it is the right company I would try")</f>
        <v>This will be hard to do, but if it is the right company I would try</v>
      </c>
      <c r="H2354" s="1" t="str">
        <f ca="1">IFERROR(__xludf.DUMMYFUNCTION("""COMPUTED_VALUE"""),"Yes")</f>
        <v>Yes</v>
      </c>
      <c r="I2354" s="1" t="str">
        <f ca="1">IFERROR(__xludf.DUMMYFUNCTION("""COMPUTED_VALUE"""),"Will work for them")</f>
        <v>Will work for them</v>
      </c>
      <c r="J2354" s="1">
        <f ca="1">IFERROR(__xludf.DUMMYFUNCTION("""COMPUTED_VALUE"""),6)</f>
        <v>6</v>
      </c>
      <c r="K2354" s="1" t="str">
        <f ca="1">IFERROR(__xludf.DUMMYFUNCTION("""COMPUTED_VALUE"""),"Fully Remote with Options to travel as and when needed")</f>
        <v>Fully Remote with Options to travel as and when needed</v>
      </c>
      <c r="L23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54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354" s="1" t="str">
        <f ca="1">IFERROR(__xludf.DUMMYFUNCTION("""COMPUTED_VALUE"""),"Business Operations in any organization, Work in a BPO setup for some well known client, Become a content Creator in some platform, Entrepreneur or Start Up")</f>
        <v>Business Operations in any organization, Work in a BPO setup for some well known client, Become a content Creator in some platform, Entrepreneur or Start Up</v>
      </c>
      <c r="O2354" s="1" t="str">
        <f ca="1">IFERROR(__xludf.DUMMYFUNCTION("""COMPUTED_VALUE"""),"Manager who explains what is expected, sets a goal and helps achieve it")</f>
        <v>Manager who explains what is expected, sets a goal and helps achieve it</v>
      </c>
      <c r="P2354" s="1" t="str">
        <f ca="1">IFERROR(__xludf.DUMMYFUNCTION("""COMPUTED_VALUE"""),"Work with 2 to 3 people in my team, Work with 5 to 6 people in my team")</f>
        <v>Work with 2 to 3 people in my team, Work with 5 to 6 people in my team</v>
      </c>
      <c r="Q2354" s="1" t="str">
        <f ca="1">IFERROR(__xludf.DUMMYFUNCTION("""COMPUTED_VALUE"""),"Yes, I Understand this is gonna happen everywhere")</f>
        <v>Yes, I Understand this is gonna happen everywhere</v>
      </c>
      <c r="R2354" s="1" t="str">
        <f ca="1">IFERROR(__xludf.DUMMYFUNCTION("""COMPUTED_VALUE"""),"No way")</f>
        <v>No way</v>
      </c>
      <c r="S2354" s="1" t="str">
        <f ca="1">IFERROR(__xludf.DUMMYFUNCTION("""COMPUTED_VALUE"""),"bhushetti82@gmail.com")</f>
        <v>bhushetti82@gmail.com</v>
      </c>
    </row>
    <row r="2355" spans="1:19" ht="12.5" x14ac:dyDescent="0.25">
      <c r="A2355" s="2">
        <f ca="1">IFERROR(__xludf.DUMMYFUNCTION("""COMPUTED_VALUE"""),45064.4843991435)</f>
        <v>45064.484399143497</v>
      </c>
      <c r="B2355" s="1" t="str">
        <f ca="1">IFERROR(__xludf.DUMMYFUNCTION("""COMPUTED_VALUE"""),"India")</f>
        <v>India</v>
      </c>
      <c r="C2355" s="1">
        <f ca="1">IFERROR(__xludf.DUMMYFUNCTION("""COMPUTED_VALUE"""),625531)</f>
        <v>625531</v>
      </c>
      <c r="D2355" s="1" t="str">
        <f ca="1">IFERROR(__xludf.DUMMYFUNCTION("""COMPUTED_VALUE"""),"Male")</f>
        <v>Male</v>
      </c>
      <c r="E2355" s="1" t="str">
        <f ca="1">IFERROR(__xludf.DUMMYFUNCTION("""COMPUTED_VALUE"""),"Social Media like LinkedIn")</f>
        <v>Social Media like LinkedIn</v>
      </c>
      <c r="F2355" s="1" t="str">
        <f ca="1">IFERROR(__xludf.DUMMYFUNCTION("""COMPUTED_VALUE"""),"No I would not be pursuing Higher Education outside of India")</f>
        <v>No I would not be pursuing Higher Education outside of India</v>
      </c>
      <c r="G2355" s="1" t="str">
        <f ca="1">IFERROR(__xludf.DUMMYFUNCTION("""COMPUTED_VALUE"""),"This will be hard to do, but if it is the right company I would try")</f>
        <v>This will be hard to do, but if it is the right company I would try</v>
      </c>
      <c r="H2355" s="1" t="str">
        <f ca="1">IFERROR(__xludf.DUMMYFUNCTION("""COMPUTED_VALUE"""),"No")</f>
        <v>No</v>
      </c>
      <c r="I2355" s="1" t="str">
        <f ca="1">IFERROR(__xludf.DUMMYFUNCTION("""COMPUTED_VALUE"""),"Will NOT work for them")</f>
        <v>Will NOT work for them</v>
      </c>
      <c r="J2355" s="1">
        <f ca="1">IFERROR(__xludf.DUMMYFUNCTION("""COMPUTED_VALUE"""),8)</f>
        <v>8</v>
      </c>
      <c r="K2355" s="1" t="str">
        <f ca="1">IFERROR(__xludf.DUMMYFUNCTION("""COMPUTED_VALUE"""),"Every Day Office Environment")</f>
        <v>Every Day Office Environment</v>
      </c>
      <c r="L2355" s="1" t="str">
        <f ca="1">IFERROR(__xludf.DUMMYFUNCTION("""COMPUTED_VALUE"""),"Employer who appreciates learning and enables that environment")</f>
        <v>Employer who appreciates learning and enables that environment</v>
      </c>
      <c r="M235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355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2355" s="1" t="str">
        <f ca="1">IFERROR(__xludf.DUMMYFUNCTION("""COMPUTED_VALUE"""),"Manager who sets targets and expects me to achieve it")</f>
        <v>Manager who sets targets and expects me to achieve it</v>
      </c>
      <c r="P2355" s="1" t="str">
        <f ca="1">IFERROR(__xludf.DUMMYFUNCTION("""COMPUTED_VALUE"""),"Work with 5 to 6 people in my team")</f>
        <v>Work with 5 to 6 people in my team</v>
      </c>
      <c r="Q2355" s="1" t="str">
        <f ca="1">IFERROR(__xludf.DUMMYFUNCTION("""COMPUTED_VALUE"""),"Yes, I Understand this is gonna happen everywhere")</f>
        <v>Yes, I Understand this is gonna happen everywhere</v>
      </c>
      <c r="R2355" s="1" t="str">
        <f ca="1">IFERROR(__xludf.DUMMYFUNCTION("""COMPUTED_VALUE"""),"This will be hard to do, but if it is the right company I would try")</f>
        <v>This will be hard to do, but if it is the right company I would try</v>
      </c>
      <c r="S2355" s="1" t="str">
        <f ca="1">IFERROR(__xludf.DUMMYFUNCTION("""COMPUTED_VALUE"""),"premmanoharan15@gmail.com")</f>
        <v>premmanoharan15@gmail.com</v>
      </c>
    </row>
    <row r="2356" spans="1:19" ht="12.5" x14ac:dyDescent="0.25">
      <c r="A2356" s="2">
        <f ca="1">IFERROR(__xludf.DUMMYFUNCTION("""COMPUTED_VALUE"""),45064.486045081)</f>
        <v>45064.486045081001</v>
      </c>
      <c r="B2356" s="1" t="str">
        <f ca="1">IFERROR(__xludf.DUMMYFUNCTION("""COMPUTED_VALUE"""),"India")</f>
        <v>India</v>
      </c>
      <c r="C2356" s="1">
        <f ca="1">IFERROR(__xludf.DUMMYFUNCTION("""COMPUTED_VALUE"""),590006)</f>
        <v>590006</v>
      </c>
      <c r="D2356" s="1" t="str">
        <f ca="1">IFERROR(__xludf.DUMMYFUNCTION("""COMPUTED_VALUE"""),"Male")</f>
        <v>Male</v>
      </c>
      <c r="E2356" s="1" t="str">
        <f ca="1">IFERROR(__xludf.DUMMYFUNCTION("""COMPUTED_VALUE"""),"People who have changed the world for better")</f>
        <v>People who have changed the world for better</v>
      </c>
      <c r="F2356" s="1" t="str">
        <f ca="1">IFERROR(__xludf.DUMMYFUNCTION("""COMPUTED_VALUE"""),"No I would not be pursuing Higher Education outside of India")</f>
        <v>No I would not be pursuing Higher Education outside of India</v>
      </c>
      <c r="G2356" s="1" t="str">
        <f ca="1">IFERROR(__xludf.DUMMYFUNCTION("""COMPUTED_VALUE"""),"This will be hard to do, but if it is the right company I would try")</f>
        <v>This will be hard to do, but if it is the right company I would try</v>
      </c>
      <c r="H2356" s="1" t="str">
        <f ca="1">IFERROR(__xludf.DUMMYFUNCTION("""COMPUTED_VALUE"""),"No")</f>
        <v>No</v>
      </c>
      <c r="I2356" s="1" t="str">
        <f ca="1">IFERROR(__xludf.DUMMYFUNCTION("""COMPUTED_VALUE"""),"Will NOT work for them")</f>
        <v>Will NOT work for them</v>
      </c>
      <c r="J2356" s="1">
        <f ca="1">IFERROR(__xludf.DUMMYFUNCTION("""COMPUTED_VALUE"""),5)</f>
        <v>5</v>
      </c>
      <c r="K2356" s="1" t="str">
        <f ca="1">IFERROR(__xludf.DUMMYFUNCTION("""COMPUTED_VALUE"""),"Fully Remote with Options to travel as and when needed")</f>
        <v>Fully Remote with Options to travel as and when needed</v>
      </c>
      <c r="L2356" s="1" t="str">
        <f ca="1">IFERROR(__xludf.DUMMYFUNCTION("""COMPUTED_VALUE"""),"Employer who rewards learning and enables that environment")</f>
        <v>Employer who rewards learning and enables that environment</v>
      </c>
      <c r="M235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56" s="1" t="str">
        <f ca="1">IFERROR(__xludf.DUMMYFUNCTION("""COMPUTED_VALUE"""),"Manage and drive End-to-End Projects or Products, Build and develop a Team, Look deeply into Data and generate insights, Entrepreneur or Start Up")</f>
        <v>Manage and drive End-to-End Projects or Products, Build and develop a Team, Look deeply into Data and generate insights, Entrepreneur or Start Up</v>
      </c>
      <c r="O2356" s="1" t="str">
        <f ca="1">IFERROR(__xludf.DUMMYFUNCTION("""COMPUTED_VALUE"""),"Manager who sets goal and helps me achieve it")</f>
        <v>Manager who sets goal and helps me achieve it</v>
      </c>
      <c r="P2356" s="1" t="str">
        <f ca="1">IFERROR(__xludf.DUMMYFUNCTION("""COMPUTED_VALUE"""),"Work with 5 to 6 people in my team")</f>
        <v>Work with 5 to 6 people in my team</v>
      </c>
      <c r="Q2356" s="1" t="str">
        <f ca="1">IFERROR(__xludf.DUMMYFUNCTION("""COMPUTED_VALUE"""),"No")</f>
        <v>No</v>
      </c>
      <c r="R2356" s="1" t="str">
        <f ca="1">IFERROR(__xludf.DUMMYFUNCTION("""COMPUTED_VALUE"""),"No way")</f>
        <v>No way</v>
      </c>
      <c r="S2356" s="1" t="str">
        <f ca="1">IFERROR(__xludf.DUMMYFUNCTION("""COMPUTED_VALUE"""),"suyograne778@gmail.com")</f>
        <v>suyograne778@gmail.com</v>
      </c>
    </row>
    <row r="2357" spans="1:19" ht="12.5" x14ac:dyDescent="0.25">
      <c r="A2357" s="2">
        <f ca="1">IFERROR(__xludf.DUMMYFUNCTION("""COMPUTED_VALUE"""),45064.4870303703)</f>
        <v>45064.487030370299</v>
      </c>
      <c r="B2357" s="1" t="str">
        <f ca="1">IFERROR(__xludf.DUMMYFUNCTION("""COMPUTED_VALUE"""),"India")</f>
        <v>India</v>
      </c>
      <c r="C2357" s="1">
        <f ca="1">IFERROR(__xludf.DUMMYFUNCTION("""COMPUTED_VALUE"""),301019)</f>
        <v>301019</v>
      </c>
      <c r="D2357" s="1" t="str">
        <f ca="1">IFERROR(__xludf.DUMMYFUNCTION("""COMPUTED_VALUE"""),"Female")</f>
        <v>Female</v>
      </c>
      <c r="E2357" s="1" t="str">
        <f ca="1">IFERROR(__xludf.DUMMYFUNCTION("""COMPUTED_VALUE"""),"My Parents")</f>
        <v>My Parents</v>
      </c>
      <c r="F2357" s="1" t="str">
        <f ca="1">IFERROR(__xludf.DUMMYFUNCTION("""COMPUTED_VALUE"""),"Yes, I will earn and do that")</f>
        <v>Yes, I will earn and do that</v>
      </c>
      <c r="G2357" s="1" t="str">
        <f ca="1">IFERROR(__xludf.DUMMYFUNCTION("""COMPUTED_VALUE"""),"Will work for 3 years or more")</f>
        <v>Will work for 3 years or more</v>
      </c>
      <c r="H2357" s="1" t="str">
        <f ca="1">IFERROR(__xludf.DUMMYFUNCTION("""COMPUTED_VALUE"""),"Yes")</f>
        <v>Yes</v>
      </c>
      <c r="I2357" s="1" t="str">
        <f ca="1">IFERROR(__xludf.DUMMYFUNCTION("""COMPUTED_VALUE"""),"Will NOT work for them")</f>
        <v>Will NOT work for them</v>
      </c>
      <c r="J2357" s="1">
        <f ca="1">IFERROR(__xludf.DUMMYFUNCTION("""COMPUTED_VALUE"""),6)</f>
        <v>6</v>
      </c>
      <c r="K2357" s="1" t="str">
        <f ca="1">IFERROR(__xludf.DUMMYFUNCTION("""COMPUTED_VALUE"""),"Hybrid Working Environment with less than 3 days a month at office")</f>
        <v>Hybrid Working Environment with less than 3 days a month at office</v>
      </c>
      <c r="L2357" s="1" t="str">
        <f ca="1">IFERROR(__xludf.DUMMYFUNCTION("""COMPUTED_VALUE"""),"Employer who appreciates learning and enables that environment")</f>
        <v>Employer who appreciates learning and enables that environment</v>
      </c>
      <c r="M2357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357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2357" s="1" t="str">
        <f ca="1">IFERROR(__xludf.DUMMYFUNCTION("""COMPUTED_VALUE"""),"Manager who explains what is expected, sets a goal and helps achieve it")</f>
        <v>Manager who explains what is expected, sets a goal and helps achieve it</v>
      </c>
      <c r="P2357" s="1" t="str">
        <f ca="1">IFERROR(__xludf.DUMMYFUNCTION("""COMPUTED_VALUE"""),"Work with 5 to 6 people in my team")</f>
        <v>Work with 5 to 6 people in my team</v>
      </c>
      <c r="Q2357" s="1" t="str">
        <f ca="1">IFERROR(__xludf.DUMMYFUNCTION("""COMPUTED_VALUE"""),"Yes, I Understand this is gonna happen everywhere")</f>
        <v>Yes, I Understand this is gonna happen everywhere</v>
      </c>
      <c r="R2357" s="1" t="str">
        <f ca="1">IFERROR(__xludf.DUMMYFUNCTION("""COMPUTED_VALUE"""),"This will be hard to do, but if it is the right company I would try")</f>
        <v>This will be hard to do, but if it is the right company I would try</v>
      </c>
      <c r="S2357" s="1" t="str">
        <f ca="1">IFERROR(__xludf.DUMMYFUNCTION("""COMPUTED_VALUE"""),"richasaraswat1999@gmail.com")</f>
        <v>richasaraswat1999@gmail.com</v>
      </c>
    </row>
    <row r="2358" spans="1:19" ht="12.5" x14ac:dyDescent="0.25">
      <c r="A2358" s="2">
        <f ca="1">IFERROR(__xludf.DUMMYFUNCTION("""COMPUTED_VALUE"""),45064.4871971412)</f>
        <v>45064.487197141199</v>
      </c>
      <c r="B2358" s="1" t="str">
        <f ca="1">IFERROR(__xludf.DUMMYFUNCTION("""COMPUTED_VALUE"""),"India")</f>
        <v>India</v>
      </c>
      <c r="C2358" s="1">
        <f ca="1">IFERROR(__xludf.DUMMYFUNCTION("""COMPUTED_VALUE"""),591231)</f>
        <v>591231</v>
      </c>
      <c r="D2358" s="1" t="str">
        <f ca="1">IFERROR(__xludf.DUMMYFUNCTION("""COMPUTED_VALUE"""),"Male")</f>
        <v>Male</v>
      </c>
      <c r="E2358" s="1" t="str">
        <f ca="1">IFERROR(__xludf.DUMMYFUNCTION("""COMPUTED_VALUE"""),"Social Media like LinkedIn")</f>
        <v>Social Media like LinkedIn</v>
      </c>
      <c r="F2358" s="1" t="str">
        <f ca="1">IFERROR(__xludf.DUMMYFUNCTION("""COMPUTED_VALUE"""),"No I would not be pursuing Higher Education outside of India")</f>
        <v>No I would not be pursuing Higher Education outside of India</v>
      </c>
      <c r="G2358" s="1" t="str">
        <f ca="1">IFERROR(__xludf.DUMMYFUNCTION("""COMPUTED_VALUE"""),"Will work for 3 years or more")</f>
        <v>Will work for 3 years or more</v>
      </c>
      <c r="H2358" s="1" t="str">
        <f ca="1">IFERROR(__xludf.DUMMYFUNCTION("""COMPUTED_VALUE"""),"No")</f>
        <v>No</v>
      </c>
      <c r="I2358" s="1" t="str">
        <f ca="1">IFERROR(__xludf.DUMMYFUNCTION("""COMPUTED_VALUE"""),"Will NOT work for them")</f>
        <v>Will NOT work for them</v>
      </c>
      <c r="J2358" s="1">
        <f ca="1">IFERROR(__xludf.DUMMYFUNCTION("""COMPUTED_VALUE"""),3)</f>
        <v>3</v>
      </c>
      <c r="K2358" s="1" t="str">
        <f ca="1">IFERROR(__xludf.DUMMYFUNCTION("""COMPUTED_VALUE"""),"Hybrid Working Environment with more than 15 days a month at office")</f>
        <v>Hybrid Working Environment with more than 15 days a month at office</v>
      </c>
      <c r="L23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5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58" s="1" t="str">
        <f ca="1">IFERROR(__xludf.DUMMYFUNCTION("""COMPUTED_VALUE"""),"Design and Creative strategy in any company, Teaching in any of the institutes/colleges/online or offline, Design and Develop amazing software, Become a content Creator in some platform")</f>
        <v>Design and Creative strategy in any company, Teaching in any of the institutes/colleges/online or offline, Design and Develop amazing software, Become a content Creator in some platform</v>
      </c>
      <c r="O2358" s="1" t="str">
        <f ca="1">IFERROR(__xludf.DUMMYFUNCTION("""COMPUTED_VALUE"""),"Manager who explains what is expected, sets a goal and helps achieve it")</f>
        <v>Manager who explains what is expected, sets a goal and helps achieve it</v>
      </c>
      <c r="P2358" s="1" t="str">
        <f ca="1">IFERROR(__xludf.DUMMYFUNCTION("""COMPUTED_VALUE"""),"Work with 5 to 6 people in my team")</f>
        <v>Work with 5 to 6 people in my team</v>
      </c>
      <c r="Q2358" s="1" t="str">
        <f ca="1">IFERROR(__xludf.DUMMYFUNCTION("""COMPUTED_VALUE"""),"No")</f>
        <v>No</v>
      </c>
      <c r="R2358" s="1" t="str">
        <f ca="1">IFERROR(__xludf.DUMMYFUNCTION("""COMPUTED_VALUE"""),"This will be hard to do, but if it is the right company I would try")</f>
        <v>This will be hard to do, but if it is the right company I would try</v>
      </c>
      <c r="S2358" s="1" t="str">
        <f ca="1">IFERROR(__xludf.DUMMYFUNCTION("""COMPUTED_VALUE"""),"sammedchougala144@gmail.com")</f>
        <v>sammedchougala144@gmail.com</v>
      </c>
    </row>
    <row r="2359" spans="1:19" ht="12.5" x14ac:dyDescent="0.25">
      <c r="A2359" s="2">
        <f ca="1">IFERROR(__xludf.DUMMYFUNCTION("""COMPUTED_VALUE"""),45064.4872394097)</f>
        <v>45064.487239409696</v>
      </c>
      <c r="B2359" s="1" t="str">
        <f ca="1">IFERROR(__xludf.DUMMYFUNCTION("""COMPUTED_VALUE"""),"India")</f>
        <v>India</v>
      </c>
      <c r="C2359" s="1">
        <f ca="1">IFERROR(__xludf.DUMMYFUNCTION("""COMPUTED_VALUE"""),600093)</f>
        <v>600093</v>
      </c>
      <c r="D2359" s="1" t="str">
        <f ca="1">IFERROR(__xludf.DUMMYFUNCTION("""COMPUTED_VALUE"""),"Male")</f>
        <v>Male</v>
      </c>
      <c r="E2359" s="1" t="str">
        <f ca="1">IFERROR(__xludf.DUMMYFUNCTION("""COMPUTED_VALUE"""),"My Parents")</f>
        <v>My Parents</v>
      </c>
      <c r="F2359" s="1" t="str">
        <f ca="1">IFERROR(__xludf.DUMMYFUNCTION("""COMPUTED_VALUE"""),"No I would not be pursuing Higher Education outside of India")</f>
        <v>No I would not be pursuing Higher Education outside of India</v>
      </c>
      <c r="G2359" s="1" t="str">
        <f ca="1">IFERROR(__xludf.DUMMYFUNCTION("""COMPUTED_VALUE"""),"Will work for 3 years or more")</f>
        <v>Will work for 3 years or more</v>
      </c>
      <c r="H2359" s="1" t="str">
        <f ca="1">IFERROR(__xludf.DUMMYFUNCTION("""COMPUTED_VALUE"""),"No")</f>
        <v>No</v>
      </c>
      <c r="I2359" s="1" t="str">
        <f ca="1">IFERROR(__xludf.DUMMYFUNCTION("""COMPUTED_VALUE"""),"Will NOT work for them")</f>
        <v>Will NOT work for them</v>
      </c>
      <c r="J2359" s="1">
        <f ca="1">IFERROR(__xludf.DUMMYFUNCTION("""COMPUTED_VALUE"""),4)</f>
        <v>4</v>
      </c>
      <c r="K2359" s="1" t="str">
        <f ca="1">IFERROR(__xludf.DUMMYFUNCTION("""COMPUTED_VALUE"""),"Every Day Office Environment")</f>
        <v>Every Day Office Environment</v>
      </c>
      <c r="L2359" s="1" t="str">
        <f ca="1">IFERROR(__xludf.DUMMYFUNCTION("""COMPUTED_VALUE"""),"Employer who appreciates learning and enables that environment")</f>
        <v>Employer who appreciates learning and enables that environment</v>
      </c>
      <c r="M235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59" s="1" t="str">
        <f ca="1">IFERROR(__xludf.DUMMYFUNCTION("""COMPUTED_VALUE"""),"Design and Creative strategy in any company, Teaching in any of the institutes/colleges/online or offline, Work in a BPO setup for some well known client, Work as a freelancer and do my thing my way")</f>
        <v>Design and Creative strategy in any company, Teaching in any of the institutes/colleges/online or offline, Work in a BPO setup for some well known client, Work as a freelancer and do my thing my way</v>
      </c>
      <c r="O2359" s="1" t="str">
        <f ca="1">IFERROR(__xludf.DUMMYFUNCTION("""COMPUTED_VALUE"""),"Manager who clearly describes what she/he needs")</f>
        <v>Manager who clearly describes what she/he needs</v>
      </c>
      <c r="P2359" s="1" t="str">
        <f ca="1">IFERROR(__xludf.DUMMYFUNCTION("""COMPUTED_VALUE"""),"Work with 2 to 3 people in my team")</f>
        <v>Work with 2 to 3 people in my team</v>
      </c>
      <c r="Q2359" s="1" t="str">
        <f ca="1">IFERROR(__xludf.DUMMYFUNCTION("""COMPUTED_VALUE"""),"No")</f>
        <v>No</v>
      </c>
      <c r="R2359" s="1" t="str">
        <f ca="1">IFERROR(__xludf.DUMMYFUNCTION("""COMPUTED_VALUE"""),"Will work for 7 years or more")</f>
        <v>Will work for 7 years or more</v>
      </c>
      <c r="S2359" s="1" t="str">
        <f ca="1">IFERROR(__xludf.DUMMYFUNCTION("""COMPUTED_VALUE"""),"suryaneelamani2002@gmail.com")</f>
        <v>suryaneelamani2002@gmail.com</v>
      </c>
    </row>
    <row r="2360" spans="1:19" ht="12.5" x14ac:dyDescent="0.25">
      <c r="A2360" s="2">
        <f ca="1">IFERROR(__xludf.DUMMYFUNCTION("""COMPUTED_VALUE"""),45064.4874946064)</f>
        <v>45064.487494606401</v>
      </c>
      <c r="B2360" s="1" t="str">
        <f ca="1">IFERROR(__xludf.DUMMYFUNCTION("""COMPUTED_VALUE"""),"India")</f>
        <v>India</v>
      </c>
      <c r="C2360" s="1">
        <f ca="1">IFERROR(__xludf.DUMMYFUNCTION("""COMPUTED_VALUE"""),422010)</f>
        <v>422010</v>
      </c>
      <c r="D2360" s="1" t="str">
        <f ca="1">IFERROR(__xludf.DUMMYFUNCTION("""COMPUTED_VALUE"""),"Female")</f>
        <v>Female</v>
      </c>
      <c r="E2360" s="1" t="str">
        <f ca="1">IFERROR(__xludf.DUMMYFUNCTION("""COMPUTED_VALUE"""),"My Parents")</f>
        <v>My Parents</v>
      </c>
      <c r="F2360" s="1" t="str">
        <f ca="1">IFERROR(__xludf.DUMMYFUNCTION("""COMPUTED_VALUE"""),"Yes, I will earn and do that")</f>
        <v>Yes, I will earn and do that</v>
      </c>
      <c r="G2360" s="1" t="str">
        <f ca="1">IFERROR(__xludf.DUMMYFUNCTION("""COMPUTED_VALUE"""),"This will be hard to do, but if it is the right company I would try")</f>
        <v>This will be hard to do, but if it is the right company I would try</v>
      </c>
      <c r="H2360" s="1" t="str">
        <f ca="1">IFERROR(__xludf.DUMMYFUNCTION("""COMPUTED_VALUE"""),"No")</f>
        <v>No</v>
      </c>
      <c r="I2360" s="1" t="str">
        <f ca="1">IFERROR(__xludf.DUMMYFUNCTION("""COMPUTED_VALUE"""),"Will NOT work for them")</f>
        <v>Will NOT work for them</v>
      </c>
      <c r="J2360" s="1">
        <f ca="1">IFERROR(__xludf.DUMMYFUNCTION("""COMPUTED_VALUE"""),8)</f>
        <v>8</v>
      </c>
      <c r="K2360" s="1" t="str">
        <f ca="1">IFERROR(__xludf.DUMMYFUNCTION("""COMPUTED_VALUE"""),"Fully Remote with No option to visit offices")</f>
        <v>Fully Remote with No option to visit offices</v>
      </c>
      <c r="L2360" s="1" t="str">
        <f ca="1">IFERROR(__xludf.DUMMYFUNCTION("""COMPUTED_VALUE"""),"Employer who appreciates learning and enables that environment")</f>
        <v>Employer who appreciates learning and enables that environment</v>
      </c>
      <c r="M236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360" s="1" t="str">
        <f ca="1">IFERROR(__xludf.DUMMYFUNCTION("""COMPUTED_VALUE"""),"Design and Creative strategy in any company, Teaching in any of the institutes/colleges/online or offline, Manage and drive End-to-End Projects or Products, Become a content Creator in some platform")</f>
        <v>Design and Creative strategy in any company, Teaching in any of the institutes/colleges/online or offline, Manage and drive End-to-End Projects or Products, Become a content Creator in some platform</v>
      </c>
      <c r="O2360" s="1" t="str">
        <f ca="1">IFERROR(__xludf.DUMMYFUNCTION("""COMPUTED_VALUE"""),"Manager who sets targets and expects me to achieve it")</f>
        <v>Manager who sets targets and expects me to achieve it</v>
      </c>
      <c r="P2360" s="1" t="str">
        <f ca="1">IFERROR(__xludf.DUMMYFUNCTION("""COMPUTED_VALUE"""),"Work with 2 to 3 people in my team")</f>
        <v>Work with 2 to 3 people in my team</v>
      </c>
      <c r="Q2360" s="1" t="str">
        <f ca="1">IFERROR(__xludf.DUMMYFUNCTION("""COMPUTED_VALUE"""),"No")</f>
        <v>No</v>
      </c>
      <c r="R2360" s="1" t="str">
        <f ca="1">IFERROR(__xludf.DUMMYFUNCTION("""COMPUTED_VALUE"""),"No way")</f>
        <v>No way</v>
      </c>
      <c r="S2360" s="1" t="str">
        <f ca="1">IFERROR(__xludf.DUMMYFUNCTION("""COMPUTED_VALUE"""),"gauriyadav1292@gmail.com")</f>
        <v>gauriyadav1292@gmail.com</v>
      </c>
    </row>
    <row r="2361" spans="1:19" ht="12.5" x14ac:dyDescent="0.25">
      <c r="A2361" s="2">
        <f ca="1">IFERROR(__xludf.DUMMYFUNCTION("""COMPUTED_VALUE"""),45064.4884766203)</f>
        <v>45064.488476620303</v>
      </c>
      <c r="B2361" s="1" t="str">
        <f ca="1">IFERROR(__xludf.DUMMYFUNCTION("""COMPUTED_VALUE"""),"India")</f>
        <v>India</v>
      </c>
      <c r="C2361" s="1">
        <f ca="1">IFERROR(__xludf.DUMMYFUNCTION("""COMPUTED_VALUE"""),591123)</f>
        <v>591123</v>
      </c>
      <c r="D2361" s="1" t="str">
        <f ca="1">IFERROR(__xludf.DUMMYFUNCTION("""COMPUTED_VALUE"""),"Male")</f>
        <v>Male</v>
      </c>
      <c r="E2361" s="1" t="str">
        <f ca="1">IFERROR(__xludf.DUMMYFUNCTION("""COMPUTED_VALUE"""),"My Parents")</f>
        <v>My Parents</v>
      </c>
      <c r="F2361" s="1" t="str">
        <f ca="1">IFERROR(__xludf.DUMMYFUNCTION("""COMPUTED_VALUE"""),"No, But if someone could bare the cost I will")</f>
        <v>No, But if someone could bare the cost I will</v>
      </c>
      <c r="G2361" s="1" t="str">
        <f ca="1">IFERROR(__xludf.DUMMYFUNCTION("""COMPUTED_VALUE"""),"This will be hard to do, but if it is the right company I would try")</f>
        <v>This will be hard to do, but if it is the right company I would try</v>
      </c>
      <c r="H2361" s="1" t="str">
        <f ca="1">IFERROR(__xludf.DUMMYFUNCTION("""COMPUTED_VALUE"""),"No")</f>
        <v>No</v>
      </c>
      <c r="I2361" s="1" t="str">
        <f ca="1">IFERROR(__xludf.DUMMYFUNCTION("""COMPUTED_VALUE"""),"Will work for them")</f>
        <v>Will work for them</v>
      </c>
      <c r="J2361" s="1">
        <f ca="1">IFERROR(__xludf.DUMMYFUNCTION("""COMPUTED_VALUE"""),6)</f>
        <v>6</v>
      </c>
      <c r="K2361" s="1" t="str">
        <f ca="1">IFERROR(__xludf.DUMMYFUNCTION("""COMPUTED_VALUE"""),"Every Day Office Environment")</f>
        <v>Every Day Office Environment</v>
      </c>
      <c r="L23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61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361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2361" s="1" t="str">
        <f ca="1">IFERROR(__xludf.DUMMYFUNCTION("""COMPUTED_VALUE"""),"Manager who explains what is expected, sets a goal and helps achieve it")</f>
        <v>Manager who explains what is expected, sets a goal and helps achieve it</v>
      </c>
      <c r="P2361" s="1" t="str">
        <f ca="1">IFERROR(__xludf.DUMMYFUNCTION("""COMPUTED_VALUE"""),"Work with 5 to 6 people in my team")</f>
        <v>Work with 5 to 6 people in my team</v>
      </c>
      <c r="Q2361" s="1" t="str">
        <f ca="1">IFERROR(__xludf.DUMMYFUNCTION("""COMPUTED_VALUE"""),"Yes, I Understand this is gonna happen everywhere")</f>
        <v>Yes, I Understand this is gonna happen everywhere</v>
      </c>
      <c r="R2361" s="1" t="str">
        <f ca="1">IFERROR(__xludf.DUMMYFUNCTION("""COMPUTED_VALUE"""),"No way")</f>
        <v>No way</v>
      </c>
      <c r="S2361" s="1" t="str">
        <f ca="1">IFERROR(__xludf.DUMMYFUNCTION("""COMPUTED_VALUE"""),"ronyhawk825@gmail.com")</f>
        <v>ronyhawk825@gmail.com</v>
      </c>
    </row>
    <row r="2362" spans="1:19" ht="12.5" x14ac:dyDescent="0.25">
      <c r="A2362" s="2">
        <f ca="1">IFERROR(__xludf.DUMMYFUNCTION("""COMPUTED_VALUE"""),45064.4905722569)</f>
        <v>45064.490572256902</v>
      </c>
      <c r="B2362" s="1" t="str">
        <f ca="1">IFERROR(__xludf.DUMMYFUNCTION("""COMPUTED_VALUE"""),"India")</f>
        <v>India</v>
      </c>
      <c r="C2362" s="1">
        <f ca="1">IFERROR(__xludf.DUMMYFUNCTION("""COMPUTED_VALUE"""),621704)</f>
        <v>621704</v>
      </c>
      <c r="D2362" s="1" t="str">
        <f ca="1">IFERROR(__xludf.DUMMYFUNCTION("""COMPUTED_VALUE"""),"Female")</f>
        <v>Female</v>
      </c>
      <c r="E2362" s="1" t="str">
        <f ca="1">IFERROR(__xludf.DUMMYFUNCTION("""COMPUTED_VALUE"""),"Influencers who had successful careers")</f>
        <v>Influencers who had successful careers</v>
      </c>
      <c r="F2362" s="1" t="str">
        <f ca="1">IFERROR(__xludf.DUMMYFUNCTION("""COMPUTED_VALUE"""),"No I would not be pursuing Higher Education outside of India")</f>
        <v>No I would not be pursuing Higher Education outside of India</v>
      </c>
      <c r="G2362" s="1" t="str">
        <f ca="1">IFERROR(__xludf.DUMMYFUNCTION("""COMPUTED_VALUE"""),"This will be hard to do, but if it is the right company I would try")</f>
        <v>This will be hard to do, but if it is the right company I would try</v>
      </c>
      <c r="H2362" s="1" t="str">
        <f ca="1">IFERROR(__xludf.DUMMYFUNCTION("""COMPUTED_VALUE"""),"No")</f>
        <v>No</v>
      </c>
      <c r="I2362" s="1" t="str">
        <f ca="1">IFERROR(__xludf.DUMMYFUNCTION("""COMPUTED_VALUE"""),"Will NOT work for them")</f>
        <v>Will NOT work for them</v>
      </c>
      <c r="J2362" s="1">
        <f ca="1">IFERROR(__xludf.DUMMYFUNCTION("""COMPUTED_VALUE"""),3)</f>
        <v>3</v>
      </c>
      <c r="K2362" s="1" t="str">
        <f ca="1">IFERROR(__xludf.DUMMYFUNCTION("""COMPUTED_VALUE"""),"Every Day Office Environment")</f>
        <v>Every Day Office Environment</v>
      </c>
      <c r="L2362" s="1" t="str">
        <f ca="1">IFERROR(__xludf.DUMMYFUNCTION("""COMPUTED_VALUE"""),"Employer who appreciates learning and enables that environment")</f>
        <v>Employer who appreciates learning and enables that environment</v>
      </c>
      <c r="M236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62" s="1" t="str">
        <f ca="1">IFERROR(__xludf.DUMMYFUNCTION("""COMPUTED_VALUE"""),"Design and Creative strategy in any company, Build and develop a Team, Design and Develop amazing software, Look deeply into Data and generate insights")</f>
        <v>Design and Creative strategy in any company, Build and develop a Team, Design and Develop amazing software, Look deeply into Data and generate insights</v>
      </c>
      <c r="O2362" s="1" t="str">
        <f ca="1">IFERROR(__xludf.DUMMYFUNCTION("""COMPUTED_VALUE"""),"Manager who clearly describes what she/he needs")</f>
        <v>Manager who clearly describes what she/he needs</v>
      </c>
      <c r="P2362" s="1" t="str">
        <f ca="1">IFERROR(__xludf.DUMMYFUNCTION("""COMPUTED_VALUE"""),"Work with 5 to 6 people in my team")</f>
        <v>Work with 5 to 6 people in my team</v>
      </c>
      <c r="Q2362" s="1" t="str">
        <f ca="1">IFERROR(__xludf.DUMMYFUNCTION("""COMPUTED_VALUE"""),"No")</f>
        <v>No</v>
      </c>
      <c r="R2362" s="1" t="str">
        <f ca="1">IFERROR(__xludf.DUMMYFUNCTION("""COMPUTED_VALUE"""),"This will be hard to do, but if it is the right company I would try")</f>
        <v>This will be hard to do, but if it is the right company I would try</v>
      </c>
      <c r="S2362" s="1" t="str">
        <f ca="1">IFERROR(__xludf.DUMMYFUNCTION("""COMPUTED_VALUE"""),"supriyasenthil2003@gmail.com")</f>
        <v>supriyasenthil2003@gmail.com</v>
      </c>
    </row>
    <row r="2363" spans="1:19" ht="12.5" x14ac:dyDescent="0.25">
      <c r="A2363" s="2">
        <f ca="1">IFERROR(__xludf.DUMMYFUNCTION("""COMPUTED_VALUE"""),45064.491545162)</f>
        <v>45064.491545162004</v>
      </c>
      <c r="B2363" s="1" t="str">
        <f ca="1">IFERROR(__xludf.DUMMYFUNCTION("""COMPUTED_VALUE"""),"India")</f>
        <v>India</v>
      </c>
      <c r="C2363" s="1">
        <f ca="1">IFERROR(__xludf.DUMMYFUNCTION("""COMPUTED_VALUE"""),600096)</f>
        <v>600096</v>
      </c>
      <c r="D2363" s="1" t="str">
        <f ca="1">IFERROR(__xludf.DUMMYFUNCTION("""COMPUTED_VALUE"""),"Male")</f>
        <v>Male</v>
      </c>
      <c r="E2363" s="1" t="str">
        <f ca="1">IFERROR(__xludf.DUMMYFUNCTION("""COMPUTED_VALUE"""),"People from my circle, but not family members")</f>
        <v>People from my circle, but not family members</v>
      </c>
      <c r="F2363" s="1" t="str">
        <f ca="1">IFERROR(__xludf.DUMMYFUNCTION("""COMPUTED_VALUE"""),"No, But if someone could bare the cost I will")</f>
        <v>No, But if someone could bare the cost I will</v>
      </c>
      <c r="G2363" s="1" t="str">
        <f ca="1">IFERROR(__xludf.DUMMYFUNCTION("""COMPUTED_VALUE"""),"No way")</f>
        <v>No way</v>
      </c>
      <c r="H2363" s="1" t="str">
        <f ca="1">IFERROR(__xludf.DUMMYFUNCTION("""COMPUTED_VALUE"""),"No")</f>
        <v>No</v>
      </c>
      <c r="I2363" s="1" t="str">
        <f ca="1">IFERROR(__xludf.DUMMYFUNCTION("""COMPUTED_VALUE"""),"Will work for them")</f>
        <v>Will work for them</v>
      </c>
      <c r="J2363" s="1">
        <f ca="1">IFERROR(__xludf.DUMMYFUNCTION("""COMPUTED_VALUE"""),10)</f>
        <v>10</v>
      </c>
      <c r="K2363" s="1" t="str">
        <f ca="1">IFERROR(__xludf.DUMMYFUNCTION("""COMPUTED_VALUE"""),"Hybrid Working Environment with more than 15 days a month at office")</f>
        <v>Hybrid Working Environment with more than 15 days a month at office</v>
      </c>
      <c r="L23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63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363" s="1" t="str">
        <f ca="1">IFERROR(__xludf.DUMMYFUNCTION("""COMPUTED_VALUE"""),"Business Operations in any organization, Manage and drive End-to-End Projects or Products, Entrepreneur or Start Up, I Want to sell things/Sales")</f>
        <v>Business Operations in any organization, Manage and drive End-to-End Projects or Products, Entrepreneur or Start Up, I Want to sell things/Sales</v>
      </c>
      <c r="O2363" s="1" t="str">
        <f ca="1">IFERROR(__xludf.DUMMYFUNCTION("""COMPUTED_VALUE"""),"Manager who sets goal and helps me achieve it")</f>
        <v>Manager who sets goal and helps me achieve it</v>
      </c>
      <c r="P2363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363" s="1" t="str">
        <f ca="1">IFERROR(__xludf.DUMMYFUNCTION("""COMPUTED_VALUE"""),"I have NO other choice")</f>
        <v>I have NO other choice</v>
      </c>
      <c r="R2363" s="1" t="str">
        <f ca="1">IFERROR(__xludf.DUMMYFUNCTION("""COMPUTED_VALUE"""),"No way")</f>
        <v>No way</v>
      </c>
      <c r="S2363" s="1" t="str">
        <f ca="1">IFERROR(__xludf.DUMMYFUNCTION("""COMPUTED_VALUE"""),"ssskt.1999@gmail.com")</f>
        <v>ssskt.1999@gmail.com</v>
      </c>
    </row>
    <row r="2364" spans="1:19" ht="12.5" x14ac:dyDescent="0.25">
      <c r="A2364" s="2">
        <f ca="1">IFERROR(__xludf.DUMMYFUNCTION("""COMPUTED_VALUE"""),45064.4923102893)</f>
        <v>45064.492310289301</v>
      </c>
      <c r="B2364" s="1" t="str">
        <f ca="1">IFERROR(__xludf.DUMMYFUNCTION("""COMPUTED_VALUE"""),"India")</f>
        <v>India</v>
      </c>
      <c r="C2364" s="1">
        <f ca="1">IFERROR(__xludf.DUMMYFUNCTION("""COMPUTED_VALUE"""),580001)</f>
        <v>580001</v>
      </c>
      <c r="D2364" s="1" t="str">
        <f ca="1">IFERROR(__xludf.DUMMYFUNCTION("""COMPUTED_VALUE"""),"Male")</f>
        <v>Male</v>
      </c>
      <c r="E2364" s="1" t="str">
        <f ca="1">IFERROR(__xludf.DUMMYFUNCTION("""COMPUTED_VALUE"""),"Influencers who had successful careers")</f>
        <v>Influencers who had successful careers</v>
      </c>
      <c r="F2364" s="1" t="str">
        <f ca="1">IFERROR(__xludf.DUMMYFUNCTION("""COMPUTED_VALUE"""),"No I would not be pursuing Higher Education outside of India")</f>
        <v>No I would not be pursuing Higher Education outside of India</v>
      </c>
      <c r="G2364" s="1" t="str">
        <f ca="1">IFERROR(__xludf.DUMMYFUNCTION("""COMPUTED_VALUE"""),"Will work for 3 years or more")</f>
        <v>Will work for 3 years or more</v>
      </c>
      <c r="H2364" s="1" t="str">
        <f ca="1">IFERROR(__xludf.DUMMYFUNCTION("""COMPUTED_VALUE"""),"Yes")</f>
        <v>Yes</v>
      </c>
      <c r="I2364" s="1" t="str">
        <f ca="1">IFERROR(__xludf.DUMMYFUNCTION("""COMPUTED_VALUE"""),"Will work for them")</f>
        <v>Will work for them</v>
      </c>
      <c r="J2364" s="1">
        <f ca="1">IFERROR(__xludf.DUMMYFUNCTION("""COMPUTED_VALUE"""),10)</f>
        <v>10</v>
      </c>
      <c r="K2364" s="1" t="str">
        <f ca="1">IFERROR(__xludf.DUMMYFUNCTION("""COMPUTED_VALUE"""),"Hybrid Working Environment with more than 15 days a month at office")</f>
        <v>Hybrid Working Environment with more than 15 days a month at office</v>
      </c>
      <c r="L2364" s="1" t="str">
        <f ca="1">IFERROR(__xludf.DUMMYFUNCTION("""COMPUTED_VALUE"""),"Employer who appreciates learning and enables that environment")</f>
        <v>Employer who appreciates learning and enables that environment</v>
      </c>
      <c r="M236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64" s="1" t="str">
        <f ca="1">IFERROR(__xludf.DUMMYFUNCTION("""COMPUTED_VALUE"""),"Design and Creative strategy in any company, Teaching in any of the institutes/colleges/online or offline, Business Operations in any organization, Work in a BPO setup for some well known client")</f>
        <v>Design and Creative strategy in any company, Teaching in any of the institutes/colleges/online or offline, Business Operations in any organization, Work in a BPO setup for some well known client</v>
      </c>
      <c r="O2364" s="1" t="str">
        <f ca="1">IFERROR(__xludf.DUMMYFUNCTION("""COMPUTED_VALUE"""),"Manager who sets goal and helps me achieve it")</f>
        <v>Manager who sets goal and helps me achieve it</v>
      </c>
      <c r="P2364" s="1" t="str">
        <f ca="1">IFERROR(__xludf.DUMMYFUNCTION("""COMPUTED_VALUE"""),"Work with 2 to 3 people in my team")</f>
        <v>Work with 2 to 3 people in my team</v>
      </c>
      <c r="Q2364" s="1" t="str">
        <f ca="1">IFERROR(__xludf.DUMMYFUNCTION("""COMPUTED_VALUE"""),"Yes, I Understand this is gonna happen everywhere")</f>
        <v>Yes, I Understand this is gonna happen everywhere</v>
      </c>
      <c r="R2364" s="1" t="str">
        <f ca="1">IFERROR(__xludf.DUMMYFUNCTION("""COMPUTED_VALUE"""),"Will work for 7 years or more")</f>
        <v>Will work for 7 years or more</v>
      </c>
      <c r="S2364" s="1" t="str">
        <f ca="1">IFERROR(__xludf.DUMMYFUNCTION("""COMPUTED_VALUE"""),"manasbanajiger99@gmail.com")</f>
        <v>manasbanajiger99@gmail.com</v>
      </c>
    </row>
    <row r="2365" spans="1:19" ht="12.5" x14ac:dyDescent="0.25">
      <c r="A2365" s="2">
        <f ca="1">IFERROR(__xludf.DUMMYFUNCTION("""COMPUTED_VALUE"""),45064.4928034259)</f>
        <v>45064.492803425899</v>
      </c>
      <c r="B2365" s="1" t="str">
        <f ca="1">IFERROR(__xludf.DUMMYFUNCTION("""COMPUTED_VALUE"""),"India")</f>
        <v>India</v>
      </c>
      <c r="C2365" s="1">
        <f ca="1">IFERROR(__xludf.DUMMYFUNCTION("""COMPUTED_VALUE"""),590010)</f>
        <v>590010</v>
      </c>
      <c r="D2365" s="1" t="str">
        <f ca="1">IFERROR(__xludf.DUMMYFUNCTION("""COMPUTED_VALUE"""),"Male")</f>
        <v>Male</v>
      </c>
      <c r="E2365" s="1" t="str">
        <f ca="1">IFERROR(__xludf.DUMMYFUNCTION("""COMPUTED_VALUE"""),"My Parents")</f>
        <v>My Parents</v>
      </c>
      <c r="F2365" s="1" t="str">
        <f ca="1">IFERROR(__xludf.DUMMYFUNCTION("""COMPUTED_VALUE"""),"Yes, I will earn and do that")</f>
        <v>Yes, I will earn and do that</v>
      </c>
      <c r="G2365" s="1" t="str">
        <f ca="1">IFERROR(__xludf.DUMMYFUNCTION("""COMPUTED_VALUE"""),"Will work for 3 years or more")</f>
        <v>Will work for 3 years or more</v>
      </c>
      <c r="H2365" s="1" t="str">
        <f ca="1">IFERROR(__xludf.DUMMYFUNCTION("""COMPUTED_VALUE"""),"No")</f>
        <v>No</v>
      </c>
      <c r="I2365" s="1" t="str">
        <f ca="1">IFERROR(__xludf.DUMMYFUNCTION("""COMPUTED_VALUE"""),"Will NOT work for them")</f>
        <v>Will NOT work for them</v>
      </c>
      <c r="J2365" s="1">
        <f ca="1">IFERROR(__xludf.DUMMYFUNCTION("""COMPUTED_VALUE"""),4)</f>
        <v>4</v>
      </c>
      <c r="K2365" s="1" t="str">
        <f ca="1">IFERROR(__xludf.DUMMYFUNCTION("""COMPUTED_VALUE"""),"Fully Remote with Options to travel as and when needed")</f>
        <v>Fully Remote with Options to travel as and when needed</v>
      </c>
      <c r="L2365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36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65" s="1" t="str">
        <f ca="1">IFERROR(__xludf.DUMMYFUNCTION("""COMPUTED_VALUE"""),"Build and develop a Team, Work as a freelancer and do my thing my way, Entrepreneur or Start Up, An Artificial Intelligence Specialist / Talking to Robots")</f>
        <v>Build and develop a Team, Work as a freelancer and do my thing my way, Entrepreneur or Start Up, An Artificial Intelligence Specialist / Talking to Robots</v>
      </c>
      <c r="O2365" s="1" t="str">
        <f ca="1">IFERROR(__xludf.DUMMYFUNCTION("""COMPUTED_VALUE"""),"Manager who sets targets and expects me to achieve it")</f>
        <v>Manager who sets targets and expects me to achieve it</v>
      </c>
      <c r="P2365" s="1" t="str">
        <f ca="1">IFERROR(__xludf.DUMMYFUNCTION("""COMPUTED_VALUE"""),"Work alone, Work with more than 10 people in my team")</f>
        <v>Work alone, Work with more than 10 people in my team</v>
      </c>
      <c r="Q2365" s="1" t="str">
        <f ca="1">IFERROR(__xludf.DUMMYFUNCTION("""COMPUTED_VALUE"""),"Yes, I Understand this is gonna happen everywhere")</f>
        <v>Yes, I Understand this is gonna happen everywhere</v>
      </c>
      <c r="R2365" s="1" t="str">
        <f ca="1">IFERROR(__xludf.DUMMYFUNCTION("""COMPUTED_VALUE"""),"This will be hard to do, but if it is the right company I would try")</f>
        <v>This will be hard to do, but if it is the right company I would try</v>
      </c>
      <c r="S2365" s="1" t="str">
        <f ca="1">IFERROR(__xludf.DUMMYFUNCTION("""COMPUTED_VALUE"""),"itzsanket99@gmail.com")</f>
        <v>itzsanket99@gmail.com</v>
      </c>
    </row>
    <row r="2366" spans="1:19" ht="12.5" x14ac:dyDescent="0.25">
      <c r="A2366" s="2">
        <f ca="1">IFERROR(__xludf.DUMMYFUNCTION("""COMPUTED_VALUE"""),45064.4955619675)</f>
        <v>45064.495561967502</v>
      </c>
      <c r="B2366" s="1" t="str">
        <f ca="1">IFERROR(__xludf.DUMMYFUNCTION("""COMPUTED_VALUE"""),"India")</f>
        <v>India</v>
      </c>
      <c r="C2366" s="1">
        <f ca="1">IFERROR(__xludf.DUMMYFUNCTION("""COMPUTED_VALUE"""),591235)</f>
        <v>591235</v>
      </c>
      <c r="D2366" s="1" t="str">
        <f ca="1">IFERROR(__xludf.DUMMYFUNCTION("""COMPUTED_VALUE"""),"Male")</f>
        <v>Male</v>
      </c>
      <c r="E2366" s="1" t="str">
        <f ca="1">IFERROR(__xludf.DUMMYFUNCTION("""COMPUTED_VALUE"""),"My Parents")</f>
        <v>My Parents</v>
      </c>
      <c r="F2366" s="1" t="str">
        <f ca="1">IFERROR(__xludf.DUMMYFUNCTION("""COMPUTED_VALUE"""),"Yes, I will earn and do that")</f>
        <v>Yes, I will earn and do that</v>
      </c>
      <c r="G2366" s="1" t="str">
        <f ca="1">IFERROR(__xludf.DUMMYFUNCTION("""COMPUTED_VALUE"""),"This will be hard to do, but if it is the right company I would try")</f>
        <v>This will be hard to do, but if it is the right company I would try</v>
      </c>
      <c r="H2366" s="1" t="str">
        <f ca="1">IFERROR(__xludf.DUMMYFUNCTION("""COMPUTED_VALUE"""),"Yes")</f>
        <v>Yes</v>
      </c>
      <c r="I2366" s="1" t="str">
        <f ca="1">IFERROR(__xludf.DUMMYFUNCTION("""COMPUTED_VALUE"""),"Will work for them")</f>
        <v>Will work for them</v>
      </c>
      <c r="J2366" s="1">
        <f ca="1">IFERROR(__xludf.DUMMYFUNCTION("""COMPUTED_VALUE"""),10)</f>
        <v>10</v>
      </c>
      <c r="K2366" s="1" t="str">
        <f ca="1">IFERROR(__xludf.DUMMYFUNCTION("""COMPUTED_VALUE"""),"Hybrid Working Environment with less than 3 days a month at office")</f>
        <v>Hybrid Working Environment with less than 3 days a month at office</v>
      </c>
      <c r="L2366" s="1" t="str">
        <f ca="1">IFERROR(__xludf.DUMMYFUNCTION("""COMPUTED_VALUE"""),"Employer who appreciates learning and enables that environment")</f>
        <v>Employer who appreciates learning and enables that environment</v>
      </c>
      <c r="M236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366" s="1" t="str">
        <f ca="1">IFERROR(__xludf.DUMMYFUNCTION("""COMPUTED_VALUE"""),"Teaching in any of the institutes/colleges/online or offline, Build and develop a Team, Work in a BPO setup for some well known client, Entrepreneur or Start Up")</f>
        <v>Teaching in any of the institutes/colleges/online or offline, Build and develop a Team, Work in a BPO setup for some well known client, Entrepreneur or Start Up</v>
      </c>
      <c r="O2366" s="1" t="str">
        <f ca="1">IFERROR(__xludf.DUMMYFUNCTION("""COMPUTED_VALUE"""),"Manager who clearly describes what she/he needs")</f>
        <v>Manager who clearly describes what she/he needs</v>
      </c>
      <c r="P2366" s="1" t="str">
        <f ca="1">IFERROR(__xludf.DUMMYFUNCTION("""COMPUTED_VALUE"""),"Work with 7 to 10 or more people in my team")</f>
        <v>Work with 7 to 10 or more people in my team</v>
      </c>
      <c r="Q2366" s="1" t="str">
        <f ca="1">IFERROR(__xludf.DUMMYFUNCTION("""COMPUTED_VALUE"""),"No")</f>
        <v>No</v>
      </c>
      <c r="R2366" s="1" t="str">
        <f ca="1">IFERROR(__xludf.DUMMYFUNCTION("""COMPUTED_VALUE"""),"This will be hard to do, but if it is the right company I would try")</f>
        <v>This will be hard to do, but if it is the right company I would try</v>
      </c>
      <c r="S2366" s="1" t="str">
        <f ca="1">IFERROR(__xludf.DUMMYFUNCTION("""COMPUTED_VALUE"""),"sagar.patil1072000@gmail.com")</f>
        <v>sagar.patil1072000@gmail.com</v>
      </c>
    </row>
    <row r="2367" spans="1:19" ht="12.5" x14ac:dyDescent="0.25">
      <c r="A2367" s="2">
        <f ca="1">IFERROR(__xludf.DUMMYFUNCTION("""COMPUTED_VALUE"""),45064.4957803819)</f>
        <v>45064.495780381898</v>
      </c>
      <c r="B2367" s="1" t="str">
        <f ca="1">IFERROR(__xludf.DUMMYFUNCTION("""COMPUTED_VALUE"""),"India")</f>
        <v>India</v>
      </c>
      <c r="C2367" s="1">
        <f ca="1">IFERROR(__xludf.DUMMYFUNCTION("""COMPUTED_VALUE"""),411033)</f>
        <v>411033</v>
      </c>
      <c r="D2367" s="1" t="str">
        <f ca="1">IFERROR(__xludf.DUMMYFUNCTION("""COMPUTED_VALUE"""),"Female")</f>
        <v>Female</v>
      </c>
      <c r="E2367" s="1" t="str">
        <f ca="1">IFERROR(__xludf.DUMMYFUNCTION("""COMPUTED_VALUE"""),"Influencers who had successful careers")</f>
        <v>Influencers who had successful careers</v>
      </c>
      <c r="F2367" s="1" t="str">
        <f ca="1">IFERROR(__xludf.DUMMYFUNCTION("""COMPUTED_VALUE"""),"No I would not be pursuing Higher Education outside of India")</f>
        <v>No I would not be pursuing Higher Education outside of India</v>
      </c>
      <c r="G2367" s="1" t="str">
        <f ca="1">IFERROR(__xludf.DUMMYFUNCTION("""COMPUTED_VALUE"""),"This will be hard to do, but if it is the right company I would try")</f>
        <v>This will be hard to do, but if it is the right company I would try</v>
      </c>
      <c r="H2367" s="1" t="str">
        <f ca="1">IFERROR(__xludf.DUMMYFUNCTION("""COMPUTED_VALUE"""),"No")</f>
        <v>No</v>
      </c>
      <c r="I2367" s="1" t="str">
        <f ca="1">IFERROR(__xludf.DUMMYFUNCTION("""COMPUTED_VALUE"""),"Will NOT work for them")</f>
        <v>Will NOT work for them</v>
      </c>
      <c r="J2367" s="1">
        <f ca="1">IFERROR(__xludf.DUMMYFUNCTION("""COMPUTED_VALUE"""),9)</f>
        <v>9</v>
      </c>
      <c r="K2367" s="1" t="str">
        <f ca="1">IFERROR(__xludf.DUMMYFUNCTION("""COMPUTED_VALUE"""),"Fully Remote with Options to travel as and when needed")</f>
        <v>Fully Remote with Options to travel as and when needed</v>
      </c>
      <c r="L2367" s="1" t="str">
        <f ca="1">IFERROR(__xludf.DUMMYFUNCTION("""COMPUTED_VALUE"""),"Employer who appreciates learning and enables that environment")</f>
        <v>Employer who appreciates learning and enables that environment</v>
      </c>
      <c r="M2367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367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2367" s="1" t="str">
        <f ca="1">IFERROR(__xludf.DUMMYFUNCTION("""COMPUTED_VALUE"""),"Manager who sets goal and helps me achieve it")</f>
        <v>Manager who sets goal and helps me achieve it</v>
      </c>
      <c r="P2367" s="1" t="str">
        <f ca="1">IFERROR(__xludf.DUMMYFUNCTION("""COMPUTED_VALUE"""),"Work with 5 to 6 people in my team")</f>
        <v>Work with 5 to 6 people in my team</v>
      </c>
      <c r="Q2367" s="1" t="str">
        <f ca="1">IFERROR(__xludf.DUMMYFUNCTION("""COMPUTED_VALUE"""),"Yes, I Understand this is gonna happen everywhere")</f>
        <v>Yes, I Understand this is gonna happen everywhere</v>
      </c>
      <c r="R2367" s="1" t="str">
        <f ca="1">IFERROR(__xludf.DUMMYFUNCTION("""COMPUTED_VALUE"""),"This will be hard to do, but if it is the right company I would try")</f>
        <v>This will be hard to do, but if it is the right company I would try</v>
      </c>
      <c r="S2367" s="1" t="str">
        <f ca="1">IFERROR(__xludf.DUMMYFUNCTION("""COMPUTED_VALUE"""),"shaikhsanar2121@gmail.com")</f>
        <v>shaikhsanar2121@gmail.com</v>
      </c>
    </row>
    <row r="2368" spans="1:19" ht="12.5" x14ac:dyDescent="0.25">
      <c r="A2368" s="2">
        <f ca="1">IFERROR(__xludf.DUMMYFUNCTION("""COMPUTED_VALUE"""),45064.4961641435)</f>
        <v>45064.4961641435</v>
      </c>
      <c r="B2368" s="1" t="str">
        <f ca="1">IFERROR(__xludf.DUMMYFUNCTION("""COMPUTED_VALUE"""),"India")</f>
        <v>India</v>
      </c>
      <c r="C2368" s="1">
        <f ca="1">IFERROR(__xludf.DUMMYFUNCTION("""COMPUTED_VALUE"""),590021)</f>
        <v>590021</v>
      </c>
      <c r="D2368" s="1" t="str">
        <f ca="1">IFERROR(__xludf.DUMMYFUNCTION("""COMPUTED_VALUE"""),"Female")</f>
        <v>Female</v>
      </c>
      <c r="E2368" s="1" t="str">
        <f ca="1">IFERROR(__xludf.DUMMYFUNCTION("""COMPUTED_VALUE"""),"My Parents")</f>
        <v>My Parents</v>
      </c>
      <c r="F2368" s="1" t="str">
        <f ca="1">IFERROR(__xludf.DUMMYFUNCTION("""COMPUTED_VALUE"""),"No, But if someone could bare the cost I will")</f>
        <v>No, But if someone could bare the cost I will</v>
      </c>
      <c r="G2368" s="1" t="str">
        <f ca="1">IFERROR(__xludf.DUMMYFUNCTION("""COMPUTED_VALUE"""),"This will be hard to do, but if it is the right company I would try")</f>
        <v>This will be hard to do, but if it is the right company I would try</v>
      </c>
      <c r="H2368" s="1" t="str">
        <f ca="1">IFERROR(__xludf.DUMMYFUNCTION("""COMPUTED_VALUE"""),"No")</f>
        <v>No</v>
      </c>
      <c r="I2368" s="1" t="str">
        <f ca="1">IFERROR(__xludf.DUMMYFUNCTION("""COMPUTED_VALUE"""),"Will NOT work for them")</f>
        <v>Will NOT work for them</v>
      </c>
      <c r="J2368" s="1">
        <f ca="1">IFERROR(__xludf.DUMMYFUNCTION("""COMPUTED_VALUE"""),6)</f>
        <v>6</v>
      </c>
      <c r="K2368" s="1" t="str">
        <f ca="1">IFERROR(__xludf.DUMMYFUNCTION("""COMPUTED_VALUE"""),"Every Day Office Environment")</f>
        <v>Every Day Office Environment</v>
      </c>
      <c r="L23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6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68" s="1" t="str">
        <f ca="1">IFERROR(__xludf.DUMMYFUNCTION("""COMPUTED_VALUE"""),"Teaching in any of the institutes/colleges/online or offline, Manage and drive End-to-End Projects or Products, Design and Develop amazing software, Entrepreneur or Start Up")</f>
        <v>Teaching in any of the institutes/colleges/online or offline, Manage and drive End-to-End Projects or Products, Design and Develop amazing software, Entrepreneur or Start Up</v>
      </c>
      <c r="O2368" s="1" t="str">
        <f ca="1">IFERROR(__xludf.DUMMYFUNCTION("""COMPUTED_VALUE"""),"Manager who explains what is expected, sets a goal and helps achieve it")</f>
        <v>Manager who explains what is expected, sets a goal and helps achieve it</v>
      </c>
      <c r="P2368" s="1" t="str">
        <f ca="1">IFERROR(__xludf.DUMMYFUNCTION("""COMPUTED_VALUE"""),"Work with more than 10 people in my team")</f>
        <v>Work with more than 10 people in my team</v>
      </c>
      <c r="Q2368" s="1" t="str">
        <f ca="1">IFERROR(__xludf.DUMMYFUNCTION("""COMPUTED_VALUE"""),"Yes, I Understand this is gonna happen everywhere")</f>
        <v>Yes, I Understand this is gonna happen everywhere</v>
      </c>
      <c r="R2368" s="1" t="str">
        <f ca="1">IFERROR(__xludf.DUMMYFUNCTION("""COMPUTED_VALUE"""),"This will be hard to do, but if it is the right company I would try")</f>
        <v>This will be hard to do, but if it is the right company I would try</v>
      </c>
      <c r="S2368" s="1" t="str">
        <f ca="1">IFERROR(__xludf.DUMMYFUNCTION("""COMPUTED_VALUE"""),"shweta.budavi680@gmail.com")</f>
        <v>shweta.budavi680@gmail.com</v>
      </c>
    </row>
    <row r="2369" spans="1:19" ht="12.5" x14ac:dyDescent="0.25">
      <c r="A2369" s="2">
        <f ca="1">IFERROR(__xludf.DUMMYFUNCTION("""COMPUTED_VALUE"""),45064.4963989699)</f>
        <v>45064.496398969903</v>
      </c>
      <c r="B2369" s="1" t="str">
        <f ca="1">IFERROR(__xludf.DUMMYFUNCTION("""COMPUTED_VALUE"""),"India")</f>
        <v>India</v>
      </c>
      <c r="C2369" s="1">
        <f ca="1">IFERROR(__xludf.DUMMYFUNCTION("""COMPUTED_VALUE"""),591123)</f>
        <v>591123</v>
      </c>
      <c r="D2369" s="1" t="str">
        <f ca="1">IFERROR(__xludf.DUMMYFUNCTION("""COMPUTED_VALUE"""),"Male")</f>
        <v>Male</v>
      </c>
      <c r="E2369" s="1" t="str">
        <f ca="1">IFERROR(__xludf.DUMMYFUNCTION("""COMPUTED_VALUE"""),"People who have changed the world for better")</f>
        <v>People who have changed the world for better</v>
      </c>
      <c r="F2369" s="1" t="str">
        <f ca="1">IFERROR(__xludf.DUMMYFUNCTION("""COMPUTED_VALUE"""),"No I would not be pursuing Higher Education outside of India")</f>
        <v>No I would not be pursuing Higher Education outside of India</v>
      </c>
      <c r="G2369" s="1" t="str">
        <f ca="1">IFERROR(__xludf.DUMMYFUNCTION("""COMPUTED_VALUE"""),"This will be hard to do, but if it is the right company I would try")</f>
        <v>This will be hard to do, but if it is the right company I would try</v>
      </c>
      <c r="H2369" s="1" t="str">
        <f ca="1">IFERROR(__xludf.DUMMYFUNCTION("""COMPUTED_VALUE"""),"No")</f>
        <v>No</v>
      </c>
      <c r="I2369" s="1" t="str">
        <f ca="1">IFERROR(__xludf.DUMMYFUNCTION("""COMPUTED_VALUE"""),"Will NOT work for them")</f>
        <v>Will NOT work for them</v>
      </c>
      <c r="J2369" s="1">
        <f ca="1">IFERROR(__xludf.DUMMYFUNCTION("""COMPUTED_VALUE"""),1)</f>
        <v>1</v>
      </c>
      <c r="K2369" s="1" t="str">
        <f ca="1">IFERROR(__xludf.DUMMYFUNCTION("""COMPUTED_VALUE"""),"Fully Remote with Options to travel as and when needed")</f>
        <v>Fully Remote with Options to travel as and when needed</v>
      </c>
      <c r="L23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6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69" s="1" t="str">
        <f ca="1">IFERROR(__xludf.DUMMYFUNCTION("""COMPUTED_VALUE"""),"Business Operations in any organization, Build and develop a Team, Work as a freelancer and do my thing my way, Manufacturing / Oil and Gas/ Construction / Hard Physical Work related")</f>
        <v>Business Operations in any organization, Build and develop a Team, Work as a freelancer and do my thing my way, Manufacturing / Oil and Gas/ Construction / Hard Physical Work related</v>
      </c>
      <c r="O2369" s="1" t="str">
        <f ca="1">IFERROR(__xludf.DUMMYFUNCTION("""COMPUTED_VALUE"""),"Manager who explains what is expected, sets a goal and helps achieve it")</f>
        <v>Manager who explains what is expected, sets a goal and helps achieve it</v>
      </c>
      <c r="P2369" s="1" t="str">
        <f ca="1">IFERROR(__xludf.DUMMYFUNCTION("""COMPUTED_VALUE"""),"Work with 7 to 10 or more people in my team")</f>
        <v>Work with 7 to 10 or more people in my team</v>
      </c>
      <c r="Q2369" s="1" t="str">
        <f ca="1">IFERROR(__xludf.DUMMYFUNCTION("""COMPUTED_VALUE"""),"Yes, I Understand this is gonna happen everywhere")</f>
        <v>Yes, I Understand this is gonna happen everywhere</v>
      </c>
      <c r="R2369" s="1" t="str">
        <f ca="1">IFERROR(__xludf.DUMMYFUNCTION("""COMPUTED_VALUE"""),"This will be hard to do, but if it is the right company I would try")</f>
        <v>This will be hard to do, but if it is the right company I would try</v>
      </c>
      <c r="S2369" s="1" t="str">
        <f ca="1">IFERROR(__xludf.DUMMYFUNCTION("""COMPUTED_VALUE"""),"shubhampatyal02@gmail.com")</f>
        <v>shubhampatyal02@gmail.com</v>
      </c>
    </row>
    <row r="2370" spans="1:19" ht="12.5" x14ac:dyDescent="0.25">
      <c r="A2370" s="2">
        <f ca="1">IFERROR(__xludf.DUMMYFUNCTION("""COMPUTED_VALUE"""),45064.4969273495)</f>
        <v>45064.496927349501</v>
      </c>
      <c r="B2370" s="1" t="str">
        <f ca="1">IFERROR(__xludf.DUMMYFUNCTION("""COMPUTED_VALUE"""),"India")</f>
        <v>India</v>
      </c>
      <c r="C2370" s="1">
        <f ca="1">IFERROR(__xludf.DUMMYFUNCTION("""COMPUTED_VALUE"""),591114)</f>
        <v>591114</v>
      </c>
      <c r="D2370" s="1" t="str">
        <f ca="1">IFERROR(__xludf.DUMMYFUNCTION("""COMPUTED_VALUE"""),"Male")</f>
        <v>Male</v>
      </c>
      <c r="E2370" s="1" t="str">
        <f ca="1">IFERROR(__xludf.DUMMYFUNCTION("""COMPUTED_VALUE"""),"Influencers who had successful careers")</f>
        <v>Influencers who had successful careers</v>
      </c>
      <c r="F2370" s="1" t="str">
        <f ca="1">IFERROR(__xludf.DUMMYFUNCTION("""COMPUTED_VALUE"""),"No I would not be pursuing Higher Education outside of India")</f>
        <v>No I would not be pursuing Higher Education outside of India</v>
      </c>
      <c r="G2370" s="1" t="str">
        <f ca="1">IFERROR(__xludf.DUMMYFUNCTION("""COMPUTED_VALUE"""),"Will work for 3 years or more")</f>
        <v>Will work for 3 years or more</v>
      </c>
      <c r="H2370" s="1" t="str">
        <f ca="1">IFERROR(__xludf.DUMMYFUNCTION("""COMPUTED_VALUE"""),"No")</f>
        <v>No</v>
      </c>
      <c r="I2370" s="1" t="str">
        <f ca="1">IFERROR(__xludf.DUMMYFUNCTION("""COMPUTED_VALUE"""),"Will work for them")</f>
        <v>Will work for them</v>
      </c>
      <c r="J2370" s="1">
        <f ca="1">IFERROR(__xludf.DUMMYFUNCTION("""COMPUTED_VALUE"""),10)</f>
        <v>10</v>
      </c>
      <c r="K2370" s="1" t="str">
        <f ca="1">IFERROR(__xludf.DUMMYFUNCTION("""COMPUTED_VALUE"""),"Fully Remote with Options to travel as and when needed")</f>
        <v>Fully Remote with Options to travel as and when needed</v>
      </c>
      <c r="L23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7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70" s="1" t="str">
        <f ca="1">IFERROR(__xludf.DUMMYFUNCTION("""COMPUTED_VALUE"""),"Design and Creative strategy in any company, Teaching in any of the institutes/colleges/online or offline, Look deeply into Data and generate insights, Entrepreneur or Start Up")</f>
        <v>Design and Creative strategy in any company, Teaching in any of the institutes/colleges/online or offline, Look deeply into Data and generate insights, Entrepreneur or Start Up</v>
      </c>
      <c r="O2370" s="1" t="str">
        <f ca="1">IFERROR(__xludf.DUMMYFUNCTION("""COMPUTED_VALUE"""),"Manager who explains what is expected, sets a goal and helps achieve it")</f>
        <v>Manager who explains what is expected, sets a goal and helps achieve it</v>
      </c>
      <c r="P2370" s="1" t="str">
        <f ca="1">IFERROR(__xludf.DUMMYFUNCTION("""COMPUTED_VALUE"""),"Work with 5 to 6 people in my team")</f>
        <v>Work with 5 to 6 people in my team</v>
      </c>
      <c r="Q2370" s="1" t="str">
        <f ca="1">IFERROR(__xludf.DUMMYFUNCTION("""COMPUTED_VALUE"""),"No")</f>
        <v>No</v>
      </c>
      <c r="R2370" s="1" t="str">
        <f ca="1">IFERROR(__xludf.DUMMYFUNCTION("""COMPUTED_VALUE"""),"Will work for 7 years or more")</f>
        <v>Will work for 7 years or more</v>
      </c>
      <c r="S2370" s="1" t="str">
        <f ca="1">IFERROR(__xludf.DUMMYFUNCTION("""COMPUTED_VALUE"""),"sunilug824@gmail.com")</f>
        <v>sunilug824@gmail.com</v>
      </c>
    </row>
    <row r="2371" spans="1:19" ht="12.5" x14ac:dyDescent="0.25">
      <c r="A2371" s="2">
        <f ca="1">IFERROR(__xludf.DUMMYFUNCTION("""COMPUTED_VALUE"""),45064.4978360648)</f>
        <v>45064.497836064802</v>
      </c>
      <c r="B2371" s="1" t="str">
        <f ca="1">IFERROR(__xludf.DUMMYFUNCTION("""COMPUTED_VALUE"""),"India")</f>
        <v>India</v>
      </c>
      <c r="C2371" s="1">
        <f ca="1">IFERROR(__xludf.DUMMYFUNCTION("""COMPUTED_VALUE"""),604408)</f>
        <v>604408</v>
      </c>
      <c r="D2371" s="1" t="str">
        <f ca="1">IFERROR(__xludf.DUMMYFUNCTION("""COMPUTED_VALUE"""),"Male")</f>
        <v>Male</v>
      </c>
      <c r="E2371" s="1" t="str">
        <f ca="1">IFERROR(__xludf.DUMMYFUNCTION("""COMPUTED_VALUE"""),"People who have changed the world for better")</f>
        <v>People who have changed the world for better</v>
      </c>
      <c r="F2371" s="1" t="str">
        <f ca="1">IFERROR(__xludf.DUMMYFUNCTION("""COMPUTED_VALUE"""),"No I would not be pursuing Higher Education outside of India")</f>
        <v>No I would not be pursuing Higher Education outside of India</v>
      </c>
      <c r="G2371" s="1" t="str">
        <f ca="1">IFERROR(__xludf.DUMMYFUNCTION("""COMPUTED_VALUE"""),"This will be hard to do, but if it is the right company I would try")</f>
        <v>This will be hard to do, but if it is the right company I would try</v>
      </c>
      <c r="H2371" s="1" t="str">
        <f ca="1">IFERROR(__xludf.DUMMYFUNCTION("""COMPUTED_VALUE"""),"No")</f>
        <v>No</v>
      </c>
      <c r="I2371" s="1" t="str">
        <f ca="1">IFERROR(__xludf.DUMMYFUNCTION("""COMPUTED_VALUE"""),"Will NOT work for them")</f>
        <v>Will NOT work for them</v>
      </c>
      <c r="J2371" s="1">
        <f ca="1">IFERROR(__xludf.DUMMYFUNCTION("""COMPUTED_VALUE"""),8)</f>
        <v>8</v>
      </c>
      <c r="K2371" s="1" t="str">
        <f ca="1">IFERROR(__xludf.DUMMYFUNCTION("""COMPUTED_VALUE"""),"Fully Remote with Options to travel as and when needed")</f>
        <v>Fully Remote with Options to travel as and when needed</v>
      </c>
      <c r="L2371" s="1" t="str">
        <f ca="1">IFERROR(__xludf.DUMMYFUNCTION("""COMPUTED_VALUE"""),"Employer who appreciates learning and enables that environment")</f>
        <v>Employer who appreciates learning and enables that environment</v>
      </c>
      <c r="M237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71" s="1" t="str">
        <f ca="1">IFERROR(__xludf.DUMMYFUNCTION("""COMPUTED_VALUE"""),"Design and Creative strategy in any company, Work as a freelancer and do my thing my way, Entrepreneur or Start Up, Manufacturing / Oil and Gas/ Construction / Hard Physical Work related")</f>
        <v>Design and Creative strategy in any company, Work as a freelancer and do my thing my way, Entrepreneur or Start Up, Manufacturing / Oil and Gas/ Construction / Hard Physical Work related</v>
      </c>
      <c r="O2371" s="1" t="str">
        <f ca="1">IFERROR(__xludf.DUMMYFUNCTION("""COMPUTED_VALUE"""),"Manager who explains what is expected, sets a goal and helps achieve it")</f>
        <v>Manager who explains what is expected, sets a goal and helps achieve it</v>
      </c>
      <c r="P2371" s="1" t="str">
        <f ca="1">IFERROR(__xludf.DUMMYFUNCTION("""COMPUTED_VALUE"""),"Work with 2 to 3 people in my team")</f>
        <v>Work with 2 to 3 people in my team</v>
      </c>
      <c r="Q2371" s="1" t="str">
        <f ca="1">IFERROR(__xludf.DUMMYFUNCTION("""COMPUTED_VALUE"""),"Yes, I Understand this is gonna happen everywhere")</f>
        <v>Yes, I Understand this is gonna happen everywhere</v>
      </c>
      <c r="R2371" s="1" t="str">
        <f ca="1">IFERROR(__xludf.DUMMYFUNCTION("""COMPUTED_VALUE"""),"No way")</f>
        <v>No way</v>
      </c>
      <c r="S2371" s="1" t="str">
        <f ca="1">IFERROR(__xludf.DUMMYFUNCTION("""COMPUTED_VALUE"""),"shsarvanhema@gmail.com")</f>
        <v>shsarvanhema@gmail.com</v>
      </c>
    </row>
    <row r="2372" spans="1:19" ht="12.5" x14ac:dyDescent="0.25">
      <c r="A2372" s="2">
        <f ca="1">IFERROR(__xludf.DUMMYFUNCTION("""COMPUTED_VALUE"""),45064.4983179282)</f>
        <v>45064.498317928199</v>
      </c>
      <c r="B2372" s="1" t="str">
        <f ca="1">IFERROR(__xludf.DUMMYFUNCTION("""COMPUTED_VALUE"""),"India")</f>
        <v>India</v>
      </c>
      <c r="C2372" s="1">
        <f ca="1">IFERROR(__xludf.DUMMYFUNCTION("""COMPUTED_VALUE"""),591123)</f>
        <v>591123</v>
      </c>
      <c r="D2372" s="1" t="str">
        <f ca="1">IFERROR(__xludf.DUMMYFUNCTION("""COMPUTED_VALUE"""),"Male")</f>
        <v>Male</v>
      </c>
      <c r="E2372" s="1" t="str">
        <f ca="1">IFERROR(__xludf.DUMMYFUNCTION("""COMPUTED_VALUE"""),"People who have changed the world for better")</f>
        <v>People who have changed the world for better</v>
      </c>
      <c r="F2372" s="1" t="str">
        <f ca="1">IFERROR(__xludf.DUMMYFUNCTION("""COMPUTED_VALUE"""),"Yes, I will earn and do that")</f>
        <v>Yes, I will earn and do that</v>
      </c>
      <c r="G2372" s="1" t="str">
        <f ca="1">IFERROR(__xludf.DUMMYFUNCTION("""COMPUTED_VALUE"""),"This will be hard to do, but if it is the right company I would try")</f>
        <v>This will be hard to do, but if it is the right company I would try</v>
      </c>
      <c r="H2372" s="1" t="str">
        <f ca="1">IFERROR(__xludf.DUMMYFUNCTION("""COMPUTED_VALUE"""),"Yes")</f>
        <v>Yes</v>
      </c>
      <c r="I2372" s="1" t="str">
        <f ca="1">IFERROR(__xludf.DUMMYFUNCTION("""COMPUTED_VALUE"""),"Will work for them")</f>
        <v>Will work for them</v>
      </c>
      <c r="J2372" s="1">
        <f ca="1">IFERROR(__xludf.DUMMYFUNCTION("""COMPUTED_VALUE"""),8)</f>
        <v>8</v>
      </c>
      <c r="K2372" s="1" t="str">
        <f ca="1">IFERROR(__xludf.DUMMYFUNCTION("""COMPUTED_VALUE"""),"Hybrid Working Environment with less than 3 days a month at office")</f>
        <v>Hybrid Working Environment with less than 3 days a month at office</v>
      </c>
      <c r="L2372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37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72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372" s="1" t="str">
        <f ca="1">IFERROR(__xludf.DUMMYFUNCTION("""COMPUTED_VALUE"""),"Manager who sets targets and expects me to achieve it")</f>
        <v>Manager who sets targets and expects me to achieve it</v>
      </c>
      <c r="P2372" s="1" t="str">
        <f ca="1">IFERROR(__xludf.DUMMYFUNCTION("""COMPUTED_VALUE"""),"Work alone, Work with 5 to 6 people in my team, Work with 7 to 10 or more people in my team")</f>
        <v>Work alone, Work with 5 to 6 people in my team, Work with 7 to 10 or more people in my team</v>
      </c>
      <c r="Q2372" s="1" t="str">
        <f ca="1">IFERROR(__xludf.DUMMYFUNCTION("""COMPUTED_VALUE"""),"Yes")</f>
        <v>Yes</v>
      </c>
      <c r="R2372" s="1" t="str">
        <f ca="1">IFERROR(__xludf.DUMMYFUNCTION("""COMPUTED_VALUE"""),"Will work for 7 years or more")</f>
        <v>Will work for 7 years or more</v>
      </c>
      <c r="S2372" s="1" t="str">
        <f ca="1">IFERROR(__xludf.DUMMYFUNCTION("""COMPUTED_VALUE"""),"lingusangannavar@gmail.com")</f>
        <v>lingusangannavar@gmail.com</v>
      </c>
    </row>
    <row r="2373" spans="1:19" ht="12.5" x14ac:dyDescent="0.25">
      <c r="A2373" s="2">
        <f ca="1">IFERROR(__xludf.DUMMYFUNCTION("""COMPUTED_VALUE"""),45064.4983849421)</f>
        <v>45064.498384942097</v>
      </c>
      <c r="B2373" s="1" t="str">
        <f ca="1">IFERROR(__xludf.DUMMYFUNCTION("""COMPUTED_VALUE"""),"India")</f>
        <v>India</v>
      </c>
      <c r="C2373" s="1">
        <f ca="1">IFERROR(__xludf.DUMMYFUNCTION("""COMPUTED_VALUE"""),560022)</f>
        <v>560022</v>
      </c>
      <c r="D2373" s="1" t="str">
        <f ca="1">IFERROR(__xludf.DUMMYFUNCTION("""COMPUTED_VALUE"""),"Male")</f>
        <v>Male</v>
      </c>
      <c r="E2373" s="1" t="str">
        <f ca="1">IFERROR(__xludf.DUMMYFUNCTION("""COMPUTED_VALUE"""),"Influencers who had successful careers")</f>
        <v>Influencers who had successful careers</v>
      </c>
      <c r="F2373" s="1" t="str">
        <f ca="1">IFERROR(__xludf.DUMMYFUNCTION("""COMPUTED_VALUE"""),"No I would not be pursuing Higher Education outside of India")</f>
        <v>No I would not be pursuing Higher Education outside of India</v>
      </c>
      <c r="G2373" s="1" t="str">
        <f ca="1">IFERROR(__xludf.DUMMYFUNCTION("""COMPUTED_VALUE"""),"This will be hard to do, but if it is the right company I would try")</f>
        <v>This will be hard to do, but if it is the right company I would try</v>
      </c>
      <c r="H2373" s="1" t="str">
        <f ca="1">IFERROR(__xludf.DUMMYFUNCTION("""COMPUTED_VALUE"""),"Yes")</f>
        <v>Yes</v>
      </c>
      <c r="I2373" s="1" t="str">
        <f ca="1">IFERROR(__xludf.DUMMYFUNCTION("""COMPUTED_VALUE"""),"Will NOT work for them")</f>
        <v>Will NOT work for them</v>
      </c>
      <c r="J2373" s="1">
        <f ca="1">IFERROR(__xludf.DUMMYFUNCTION("""COMPUTED_VALUE"""),3)</f>
        <v>3</v>
      </c>
      <c r="K2373" s="1" t="str">
        <f ca="1">IFERROR(__xludf.DUMMYFUNCTION("""COMPUTED_VALUE"""),"Every Day Office Environment")</f>
        <v>Every Day Office Environment</v>
      </c>
      <c r="L23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7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73" s="1" t="str">
        <f ca="1">IFERROR(__xludf.DUMMYFUNCTION("""COMPUTED_VALUE"""),"Business Operations in any organization, Manage and drive End-to-End Projects or Products, Become a content Creator in some platform, Entrepreneur or Start Up")</f>
        <v>Business Operations in any organization, Manage and drive End-to-End Projects or Products, Become a content Creator in some platform, Entrepreneur or Start Up</v>
      </c>
      <c r="O2373" s="1" t="str">
        <f ca="1">IFERROR(__xludf.DUMMYFUNCTION("""COMPUTED_VALUE"""),"Manager who sets goal and helps me achieve it")</f>
        <v>Manager who sets goal and helps me achieve it</v>
      </c>
      <c r="P2373" s="1" t="str">
        <f ca="1">IFERROR(__xludf.DUMMYFUNCTION("""COMPUTED_VALUE"""),"Work with 2 to 3 people in my team")</f>
        <v>Work with 2 to 3 people in my team</v>
      </c>
      <c r="Q2373" s="1" t="str">
        <f ca="1">IFERROR(__xludf.DUMMYFUNCTION("""COMPUTED_VALUE"""),"No")</f>
        <v>No</v>
      </c>
      <c r="R2373" s="1" t="str">
        <f ca="1">IFERROR(__xludf.DUMMYFUNCTION("""COMPUTED_VALUE"""),"No way")</f>
        <v>No way</v>
      </c>
      <c r="S2373" s="1" t="str">
        <f ca="1">IFERROR(__xludf.DUMMYFUNCTION("""COMPUTED_VALUE"""),"sanjeevd.huralikoppi@gmail.com")</f>
        <v>sanjeevd.huralikoppi@gmail.com</v>
      </c>
    </row>
    <row r="2374" spans="1:19" ht="12.5" x14ac:dyDescent="0.25">
      <c r="A2374" s="2">
        <f ca="1">IFERROR(__xludf.DUMMYFUNCTION("""COMPUTED_VALUE"""),45064.4997121064)</f>
        <v>45064.499712106401</v>
      </c>
      <c r="B2374" s="1" t="str">
        <f ca="1">IFERROR(__xludf.DUMMYFUNCTION("""COMPUTED_VALUE"""),"India")</f>
        <v>India</v>
      </c>
      <c r="C2374" s="1">
        <f ca="1">IFERROR(__xludf.DUMMYFUNCTION("""COMPUTED_VALUE"""),600100)</f>
        <v>600100</v>
      </c>
      <c r="D2374" s="1" t="str">
        <f ca="1">IFERROR(__xludf.DUMMYFUNCTION("""COMPUTED_VALUE"""),"Female")</f>
        <v>Female</v>
      </c>
      <c r="E2374" s="1" t="str">
        <f ca="1">IFERROR(__xludf.DUMMYFUNCTION("""COMPUTED_VALUE"""),"Social Media like LinkedIn")</f>
        <v>Social Media like LinkedIn</v>
      </c>
      <c r="F2374" s="1" t="str">
        <f ca="1">IFERROR(__xludf.DUMMYFUNCTION("""COMPUTED_VALUE"""),"No I would not be pursuing Higher Education outside of India")</f>
        <v>No I would not be pursuing Higher Education outside of India</v>
      </c>
      <c r="G2374" s="1" t="str">
        <f ca="1">IFERROR(__xludf.DUMMYFUNCTION("""COMPUTED_VALUE"""),"Will work for 3 years or more")</f>
        <v>Will work for 3 years or more</v>
      </c>
      <c r="H2374" s="1" t="str">
        <f ca="1">IFERROR(__xludf.DUMMYFUNCTION("""COMPUTED_VALUE"""),"No")</f>
        <v>No</v>
      </c>
      <c r="I2374" s="1" t="str">
        <f ca="1">IFERROR(__xludf.DUMMYFUNCTION("""COMPUTED_VALUE"""),"Will NOT work for them")</f>
        <v>Will NOT work for them</v>
      </c>
      <c r="J2374" s="1">
        <f ca="1">IFERROR(__xludf.DUMMYFUNCTION("""COMPUTED_VALUE"""),8)</f>
        <v>8</v>
      </c>
      <c r="K2374" s="1" t="str">
        <f ca="1">IFERROR(__xludf.DUMMYFUNCTION("""COMPUTED_VALUE"""),"Hybrid Working Environment with more than 15 days a month at office")</f>
        <v>Hybrid Working Environment with more than 15 days a month at office</v>
      </c>
      <c r="L2374" s="1" t="str">
        <f ca="1">IFERROR(__xludf.DUMMYFUNCTION("""COMPUTED_VALUE"""),"Employer who appreciates learning and enables that environment")</f>
        <v>Employer who appreciates learning and enables that environment</v>
      </c>
      <c r="M237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74" s="1" t="str">
        <f ca="1">IFERROR(__xludf.DUMMYFUNCTION("""COMPUTED_VALUE"""),"Teaching in any of the institutes/colleges/online or offline, Build and develop a Team, Entrepreneur or Start Up, I Want to sell things/Sales")</f>
        <v>Teaching in any of the institutes/colleges/online or offline, Build and develop a Team, Entrepreneur or Start Up, I Want to sell things/Sales</v>
      </c>
      <c r="O2374" s="1" t="str">
        <f ca="1">IFERROR(__xludf.DUMMYFUNCTION("""COMPUTED_VALUE"""),"Manager who sets goal and helps me achieve it")</f>
        <v>Manager who sets goal and helps me achieve it</v>
      </c>
      <c r="P2374" s="1" t="str">
        <f ca="1">IFERROR(__xludf.DUMMYFUNCTION("""COMPUTED_VALUE"""),"Work with more than 10 people in my team")</f>
        <v>Work with more than 10 people in my team</v>
      </c>
      <c r="Q2374" s="1" t="str">
        <f ca="1">IFERROR(__xludf.DUMMYFUNCTION("""COMPUTED_VALUE"""),"No")</f>
        <v>No</v>
      </c>
      <c r="R2374" s="1" t="str">
        <f ca="1">IFERROR(__xludf.DUMMYFUNCTION("""COMPUTED_VALUE"""),"This will be hard to do, but if it is the right company I would try")</f>
        <v>This will be hard to do, but if it is the right company I would try</v>
      </c>
      <c r="S2374" s="1" t="str">
        <f ca="1">IFERROR(__xludf.DUMMYFUNCTION("""COMPUTED_VALUE"""),"nancypeter965@gmail.com")</f>
        <v>nancypeter965@gmail.com</v>
      </c>
    </row>
    <row r="2375" spans="1:19" ht="12.5" x14ac:dyDescent="0.25">
      <c r="A2375" s="2">
        <f ca="1">IFERROR(__xludf.DUMMYFUNCTION("""COMPUTED_VALUE"""),45064.5006563078)</f>
        <v>45064.500656307799</v>
      </c>
      <c r="B2375" s="1" t="str">
        <f ca="1">IFERROR(__xludf.DUMMYFUNCTION("""COMPUTED_VALUE"""),"India")</f>
        <v>India</v>
      </c>
      <c r="C2375" s="1">
        <f ca="1">IFERROR(__xludf.DUMMYFUNCTION("""COMPUTED_VALUE"""),600023)</f>
        <v>600023</v>
      </c>
      <c r="D2375" s="1" t="str">
        <f ca="1">IFERROR(__xludf.DUMMYFUNCTION("""COMPUTED_VALUE"""),"Male")</f>
        <v>Male</v>
      </c>
      <c r="E2375" s="1" t="str">
        <f ca="1">IFERROR(__xludf.DUMMYFUNCTION("""COMPUTED_VALUE"""),"Influencers who had successful careers")</f>
        <v>Influencers who had successful careers</v>
      </c>
      <c r="F2375" s="1" t="str">
        <f ca="1">IFERROR(__xludf.DUMMYFUNCTION("""COMPUTED_VALUE"""),"No I would not be pursuing Higher Education outside of India")</f>
        <v>No I would not be pursuing Higher Education outside of India</v>
      </c>
      <c r="G2375" s="1" t="str">
        <f ca="1">IFERROR(__xludf.DUMMYFUNCTION("""COMPUTED_VALUE"""),"Will work for 3 years or more")</f>
        <v>Will work for 3 years or more</v>
      </c>
      <c r="H2375" s="1" t="str">
        <f ca="1">IFERROR(__xludf.DUMMYFUNCTION("""COMPUTED_VALUE"""),"No")</f>
        <v>No</v>
      </c>
      <c r="I2375" s="1" t="str">
        <f ca="1">IFERROR(__xludf.DUMMYFUNCTION("""COMPUTED_VALUE"""),"Will NOT work for them")</f>
        <v>Will NOT work for them</v>
      </c>
      <c r="J2375" s="1">
        <f ca="1">IFERROR(__xludf.DUMMYFUNCTION("""COMPUTED_VALUE"""),8)</f>
        <v>8</v>
      </c>
      <c r="K2375" s="1" t="str">
        <f ca="1">IFERROR(__xludf.DUMMYFUNCTION("""COMPUTED_VALUE"""),"Every Day Office Environment")</f>
        <v>Every Day Office Environment</v>
      </c>
      <c r="L2375" s="1" t="str">
        <f ca="1">IFERROR(__xludf.DUMMYFUNCTION("""COMPUTED_VALUE"""),"Employer who appreciates learning and enables that environment")</f>
        <v>Employer who appreciates learning and enables that environment</v>
      </c>
      <c r="M237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75" s="1" t="str">
        <f ca="1">IFERROR(__xludf.DUMMYFUNCTION("""COMPUTED_VALUE"""),"Business Operations in any organization, Manage and drive End-to-End Projects or Products, Look deeply into Data and generate insights, Work in a BPO setup for some well known client")</f>
        <v>Business Operations in any organization, Manage and drive End-to-End Projects or Products, Look deeply into Data and generate insights, Work in a BPO setup for some well known client</v>
      </c>
      <c r="O2375" s="1" t="str">
        <f ca="1">IFERROR(__xludf.DUMMYFUNCTION("""COMPUTED_VALUE"""),"Manager who explains what is expected, sets a goal and helps achieve it")</f>
        <v>Manager who explains what is expected, sets a goal and helps achieve it</v>
      </c>
      <c r="P2375" s="1" t="str">
        <f ca="1">IFERROR(__xludf.DUMMYFUNCTION("""COMPUTED_VALUE"""),"Work with 7 to 10 or more people in my team")</f>
        <v>Work with 7 to 10 or more people in my team</v>
      </c>
      <c r="Q2375" s="1" t="str">
        <f ca="1">IFERROR(__xludf.DUMMYFUNCTION("""COMPUTED_VALUE"""),"Yes, I Understand this is gonna happen everywhere")</f>
        <v>Yes, I Understand this is gonna happen everywhere</v>
      </c>
      <c r="R2375" s="1" t="str">
        <f ca="1">IFERROR(__xludf.DUMMYFUNCTION("""COMPUTED_VALUE"""),"This will be hard to do, but if it is the right company I would try")</f>
        <v>This will be hard to do, but if it is the right company I would try</v>
      </c>
      <c r="S2375" s="1" t="str">
        <f ca="1">IFERROR(__xludf.DUMMYFUNCTION("""COMPUTED_VALUE"""),"djjohn27898@gmail.com")</f>
        <v>djjohn27898@gmail.com</v>
      </c>
    </row>
    <row r="2376" spans="1:19" ht="12.5" x14ac:dyDescent="0.25">
      <c r="A2376" s="2">
        <f ca="1">IFERROR(__xludf.DUMMYFUNCTION("""COMPUTED_VALUE"""),45064.5012595601)</f>
        <v>45064.5012595601</v>
      </c>
      <c r="B2376" s="1" t="str">
        <f ca="1">IFERROR(__xludf.DUMMYFUNCTION("""COMPUTED_VALUE"""),"India")</f>
        <v>India</v>
      </c>
      <c r="C2376" s="1">
        <f ca="1">IFERROR(__xludf.DUMMYFUNCTION("""COMPUTED_VALUE"""),591123)</f>
        <v>591123</v>
      </c>
      <c r="D2376" s="1" t="str">
        <f ca="1">IFERROR(__xludf.DUMMYFUNCTION("""COMPUTED_VALUE"""),"Male")</f>
        <v>Male</v>
      </c>
      <c r="E2376" s="1" t="str">
        <f ca="1">IFERROR(__xludf.DUMMYFUNCTION("""COMPUTED_VALUE"""),"My Parents")</f>
        <v>My Parents</v>
      </c>
      <c r="F2376" s="1" t="str">
        <f ca="1">IFERROR(__xludf.DUMMYFUNCTION("""COMPUTED_VALUE"""),"Yes, I will earn and do that")</f>
        <v>Yes, I will earn and do that</v>
      </c>
      <c r="G2376" s="1" t="str">
        <f ca="1">IFERROR(__xludf.DUMMYFUNCTION("""COMPUTED_VALUE"""),"Will work for 3 years or more")</f>
        <v>Will work for 3 years or more</v>
      </c>
      <c r="H2376" s="1" t="str">
        <f ca="1">IFERROR(__xludf.DUMMYFUNCTION("""COMPUTED_VALUE"""),"Yes")</f>
        <v>Yes</v>
      </c>
      <c r="I2376" s="1" t="str">
        <f ca="1">IFERROR(__xludf.DUMMYFUNCTION("""COMPUTED_VALUE"""),"Will work for them")</f>
        <v>Will work for them</v>
      </c>
      <c r="J2376" s="1">
        <f ca="1">IFERROR(__xludf.DUMMYFUNCTION("""COMPUTED_VALUE"""),1)</f>
        <v>1</v>
      </c>
      <c r="K2376" s="1" t="str">
        <f ca="1">IFERROR(__xludf.DUMMYFUNCTION("""COMPUTED_VALUE"""),"Fully Remote with Options to travel as and when needed")</f>
        <v>Fully Remote with Options to travel as and when needed</v>
      </c>
      <c r="L2376" s="1" t="str">
        <f ca="1">IFERROR(__xludf.DUMMYFUNCTION("""COMPUTED_VALUE"""),"Employer who appreciates learning and enables that environment")</f>
        <v>Employer who appreciates learning and enables that environment</v>
      </c>
      <c r="M23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76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2376" s="1" t="str">
        <f ca="1">IFERROR(__xludf.DUMMYFUNCTION("""COMPUTED_VALUE"""),"Manager who clearly describes what she/he needs")</f>
        <v>Manager who clearly describes what she/he needs</v>
      </c>
      <c r="P2376" s="1" t="str">
        <f ca="1">IFERROR(__xludf.DUMMYFUNCTION("""COMPUTED_VALUE"""),"Work with 2 to 3 people in my team")</f>
        <v>Work with 2 to 3 people in my team</v>
      </c>
      <c r="Q2376" s="1" t="str">
        <f ca="1">IFERROR(__xludf.DUMMYFUNCTION("""COMPUTED_VALUE"""),"No")</f>
        <v>No</v>
      </c>
      <c r="R2376" s="1" t="str">
        <f ca="1">IFERROR(__xludf.DUMMYFUNCTION("""COMPUTED_VALUE"""),"This will be hard to do, but if it is the right company I would try")</f>
        <v>This will be hard to do, but if it is the right company I would try</v>
      </c>
      <c r="S2376" s="1" t="str">
        <f ca="1">IFERROR(__xludf.DUMMYFUNCTION("""COMPUTED_VALUE"""),"dalawaiakshay17@gmail.com")</f>
        <v>dalawaiakshay17@gmail.com</v>
      </c>
    </row>
    <row r="2377" spans="1:19" ht="12.5" x14ac:dyDescent="0.25">
      <c r="A2377" s="2">
        <f ca="1">IFERROR(__xludf.DUMMYFUNCTION("""COMPUTED_VALUE"""),45064.5015951273)</f>
        <v>45064.501595127302</v>
      </c>
      <c r="B2377" s="1" t="str">
        <f ca="1">IFERROR(__xludf.DUMMYFUNCTION("""COMPUTED_VALUE"""),"India")</f>
        <v>India</v>
      </c>
      <c r="C2377" s="1">
        <f ca="1">IFERROR(__xludf.DUMMYFUNCTION("""COMPUTED_VALUE"""),224121)</f>
        <v>224121</v>
      </c>
      <c r="D2377" s="1" t="str">
        <f ca="1">IFERROR(__xludf.DUMMYFUNCTION("""COMPUTED_VALUE"""),"Male")</f>
        <v>Male</v>
      </c>
      <c r="E2377" s="1" t="str">
        <f ca="1">IFERROR(__xludf.DUMMYFUNCTION("""COMPUTED_VALUE"""),"Influencers who had successful careers")</f>
        <v>Influencers who had successful careers</v>
      </c>
      <c r="F2377" s="1" t="str">
        <f ca="1">IFERROR(__xludf.DUMMYFUNCTION("""COMPUTED_VALUE"""),"No, But if someone could bare the cost I will")</f>
        <v>No, But if someone could bare the cost I will</v>
      </c>
      <c r="G2377" s="1" t="str">
        <f ca="1">IFERROR(__xludf.DUMMYFUNCTION("""COMPUTED_VALUE"""),"This will be hard to do, but if it is the right company I would try")</f>
        <v>This will be hard to do, but if it is the right company I would try</v>
      </c>
      <c r="H2377" s="1" t="str">
        <f ca="1">IFERROR(__xludf.DUMMYFUNCTION("""COMPUTED_VALUE"""),"No")</f>
        <v>No</v>
      </c>
      <c r="I2377" s="1" t="str">
        <f ca="1">IFERROR(__xludf.DUMMYFUNCTION("""COMPUTED_VALUE"""),"Will NOT work for them")</f>
        <v>Will NOT work for them</v>
      </c>
      <c r="J2377" s="1">
        <f ca="1">IFERROR(__xludf.DUMMYFUNCTION("""COMPUTED_VALUE"""),7)</f>
        <v>7</v>
      </c>
      <c r="K2377" s="1" t="str">
        <f ca="1">IFERROR(__xludf.DUMMYFUNCTION("""COMPUTED_VALUE"""),"Hybrid Working Environment with less than 3 days a month at office")</f>
        <v>Hybrid Working Environment with less than 3 days a month at office</v>
      </c>
      <c r="L23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77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377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377" s="1" t="str">
        <f ca="1">IFERROR(__xludf.DUMMYFUNCTION("""COMPUTED_VALUE"""),"Manager who explains what is expected, sets a goal and helps achieve it")</f>
        <v>Manager who explains what is expected, sets a goal and helps achieve it</v>
      </c>
      <c r="P2377" s="1" t="str">
        <f ca="1">IFERROR(__xludf.DUMMYFUNCTION("""COMPUTED_VALUE"""),"Work with 7 to 10 or more people in my team")</f>
        <v>Work with 7 to 10 or more people in my team</v>
      </c>
      <c r="Q2377" s="1" t="str">
        <f ca="1">IFERROR(__xludf.DUMMYFUNCTION("""COMPUTED_VALUE"""),"No")</f>
        <v>No</v>
      </c>
      <c r="R2377" s="1" t="str">
        <f ca="1">IFERROR(__xludf.DUMMYFUNCTION("""COMPUTED_VALUE"""),"This will be hard to do, but if it is the right company I would try")</f>
        <v>This will be hard to do, but if it is the right company I would try</v>
      </c>
      <c r="S2377" s="1" t="str">
        <f ca="1">IFERROR(__xludf.DUMMYFUNCTION("""COMPUTED_VALUE"""),"shaurabhkumar2121@gmail.com")</f>
        <v>shaurabhkumar2121@gmail.com</v>
      </c>
    </row>
    <row r="2378" spans="1:19" ht="12.5" x14ac:dyDescent="0.25">
      <c r="A2378" s="2">
        <f ca="1">IFERROR(__xludf.DUMMYFUNCTION("""COMPUTED_VALUE"""),45064.5018120254)</f>
        <v>45064.501812025403</v>
      </c>
      <c r="B2378" s="1" t="str">
        <f ca="1">IFERROR(__xludf.DUMMYFUNCTION("""COMPUTED_VALUE"""),"India")</f>
        <v>India</v>
      </c>
      <c r="C2378" s="1">
        <f ca="1">IFERROR(__xludf.DUMMYFUNCTION("""COMPUTED_VALUE"""),590003)</f>
        <v>590003</v>
      </c>
      <c r="D2378" s="1" t="str">
        <f ca="1">IFERROR(__xludf.DUMMYFUNCTION("""COMPUTED_VALUE"""),"Female")</f>
        <v>Female</v>
      </c>
      <c r="E2378" s="1" t="str">
        <f ca="1">IFERROR(__xludf.DUMMYFUNCTION("""COMPUTED_VALUE"""),"People who have changed the world for better")</f>
        <v>People who have changed the world for better</v>
      </c>
      <c r="F2378" s="1" t="str">
        <f ca="1">IFERROR(__xludf.DUMMYFUNCTION("""COMPUTED_VALUE"""),"No I would not be pursuing Higher Education outside of India")</f>
        <v>No I would not be pursuing Higher Education outside of India</v>
      </c>
      <c r="G2378" s="1" t="str">
        <f ca="1">IFERROR(__xludf.DUMMYFUNCTION("""COMPUTED_VALUE"""),"This will be hard to do, but if it is the right company I would try")</f>
        <v>This will be hard to do, but if it is the right company I would try</v>
      </c>
      <c r="H2378" s="1" t="str">
        <f ca="1">IFERROR(__xludf.DUMMYFUNCTION("""COMPUTED_VALUE"""),"No")</f>
        <v>No</v>
      </c>
      <c r="I2378" s="1" t="str">
        <f ca="1">IFERROR(__xludf.DUMMYFUNCTION("""COMPUTED_VALUE"""),"Will NOT work for them")</f>
        <v>Will NOT work for them</v>
      </c>
      <c r="J2378" s="1">
        <f ca="1">IFERROR(__xludf.DUMMYFUNCTION("""COMPUTED_VALUE"""),3)</f>
        <v>3</v>
      </c>
      <c r="K2378" s="1" t="str">
        <f ca="1">IFERROR(__xludf.DUMMYFUNCTION("""COMPUTED_VALUE"""),"Hybrid Working Environment with less than 3 days a month at office")</f>
        <v>Hybrid Working Environment with less than 3 days a month at office</v>
      </c>
      <c r="L2378" s="1" t="str">
        <f ca="1">IFERROR(__xludf.DUMMYFUNCTION("""COMPUTED_VALUE"""),"Employer who rewards learning and enables that environment")</f>
        <v>Employer who rewards learning and enables that environment</v>
      </c>
      <c r="M2378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378" s="1" t="str">
        <f ca="1">IFERROR(__xludf.DUMMYFUNCTION("""COMPUTED_VALUE"""),"Manage and drive End-to-End Projects or Products, Design and Develop amazing software, Work as a freelancer and do my thing my way, An Artificial Intelligence Specialist / Talking to Robots")</f>
        <v>Manage and drive End-to-End Projects or Products, Design and Develop amazing software, Work as a freelancer and do my thing my way, An Artificial Intelligence Specialist / Talking to Robots</v>
      </c>
      <c r="O2378" s="1" t="str">
        <f ca="1">IFERROR(__xludf.DUMMYFUNCTION("""COMPUTED_VALUE"""),"Manager who explains what is expected, sets a goal and helps achieve it")</f>
        <v>Manager who explains what is expected, sets a goal and helps achieve it</v>
      </c>
      <c r="P2378" s="1" t="str">
        <f ca="1">IFERROR(__xludf.DUMMYFUNCTION("""COMPUTED_VALUE"""),"Work with more than 10 people in my team")</f>
        <v>Work with more than 10 people in my team</v>
      </c>
      <c r="Q2378" s="1" t="str">
        <f ca="1">IFERROR(__xludf.DUMMYFUNCTION("""COMPUTED_VALUE"""),"Yes, I Understand this is gonna happen everywhere")</f>
        <v>Yes, I Understand this is gonna happen everywhere</v>
      </c>
      <c r="R2378" s="1" t="str">
        <f ca="1">IFERROR(__xludf.DUMMYFUNCTION("""COMPUTED_VALUE"""),"No way")</f>
        <v>No way</v>
      </c>
      <c r="S2378" s="1" t="str">
        <f ca="1">IFERROR(__xludf.DUMMYFUNCTION("""COMPUTED_VALUE"""),"kirtikhanapure123@gmail.com")</f>
        <v>kirtikhanapure123@gmail.com</v>
      </c>
    </row>
    <row r="2379" spans="1:19" ht="12.5" x14ac:dyDescent="0.25">
      <c r="A2379" s="2">
        <f ca="1">IFERROR(__xludf.DUMMYFUNCTION("""COMPUTED_VALUE"""),45064.5026154976)</f>
        <v>45064.5026154976</v>
      </c>
      <c r="B2379" s="1" t="str">
        <f ca="1">IFERROR(__xludf.DUMMYFUNCTION("""COMPUTED_VALUE"""),"India")</f>
        <v>India</v>
      </c>
      <c r="C2379" s="1">
        <f ca="1">IFERROR(__xludf.DUMMYFUNCTION("""COMPUTED_VALUE"""),673603)</f>
        <v>673603</v>
      </c>
      <c r="D2379" s="1" t="str">
        <f ca="1">IFERROR(__xludf.DUMMYFUNCTION("""COMPUTED_VALUE"""),"Male")</f>
        <v>Male</v>
      </c>
      <c r="E2379" s="1" t="str">
        <f ca="1">IFERROR(__xludf.DUMMYFUNCTION("""COMPUTED_VALUE"""),"Influencers who had successful careers")</f>
        <v>Influencers who had successful careers</v>
      </c>
      <c r="F2379" s="1" t="str">
        <f ca="1">IFERROR(__xludf.DUMMYFUNCTION("""COMPUTED_VALUE"""),"Yes, I will earn and do that")</f>
        <v>Yes, I will earn and do that</v>
      </c>
      <c r="G2379" s="1" t="str">
        <f ca="1">IFERROR(__xludf.DUMMYFUNCTION("""COMPUTED_VALUE"""),"Will work for 3 years or more")</f>
        <v>Will work for 3 years or more</v>
      </c>
      <c r="H2379" s="1" t="str">
        <f ca="1">IFERROR(__xludf.DUMMYFUNCTION("""COMPUTED_VALUE"""),"Yes")</f>
        <v>Yes</v>
      </c>
      <c r="I2379" s="1" t="str">
        <f ca="1">IFERROR(__xludf.DUMMYFUNCTION("""COMPUTED_VALUE"""),"Will work for them")</f>
        <v>Will work for them</v>
      </c>
      <c r="J2379" s="1">
        <f ca="1">IFERROR(__xludf.DUMMYFUNCTION("""COMPUTED_VALUE"""),1)</f>
        <v>1</v>
      </c>
      <c r="K2379" s="1" t="str">
        <f ca="1">IFERROR(__xludf.DUMMYFUNCTION("""COMPUTED_VALUE"""),"Fully Remote with Options to travel as and when needed")</f>
        <v>Fully Remote with Options to travel as and when needed</v>
      </c>
      <c r="L23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7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379" s="1" t="str">
        <f ca="1">IFERROR(__xludf.DUMMYFUNCTION("""COMPUTED_VALUE"""),"Business Operations in any organization, Manage and drive End-to-End Projects or Products, Build and develop a Team, Design and Develop amazing software")</f>
        <v>Business Operations in any organization, Manage and drive End-to-End Projects or Products, Build and develop a Team, Design and Develop amazing software</v>
      </c>
      <c r="O2379" s="1" t="str">
        <f ca="1">IFERROR(__xludf.DUMMYFUNCTION("""COMPUTED_VALUE"""),"Manager who clearly describes what she/he needs")</f>
        <v>Manager who clearly describes what she/he needs</v>
      </c>
      <c r="P2379" s="1" t="str">
        <f ca="1">IFERROR(__xludf.DUMMYFUNCTION("""COMPUTED_VALUE"""),"Work alone")</f>
        <v>Work alone</v>
      </c>
      <c r="Q2379" s="1" t="str">
        <f ca="1">IFERROR(__xludf.DUMMYFUNCTION("""COMPUTED_VALUE"""),"Yes, I Understand this is gonna happen everywhere")</f>
        <v>Yes, I Understand this is gonna happen everywhere</v>
      </c>
      <c r="R2379" s="1" t="str">
        <f ca="1">IFERROR(__xludf.DUMMYFUNCTION("""COMPUTED_VALUE"""),"Will work for 7 years or more")</f>
        <v>Will work for 7 years or more</v>
      </c>
      <c r="S2379" s="1" t="str">
        <f ca="1">IFERROR(__xludf.DUMMYFUNCTION("""COMPUTED_VALUE"""),"oshinsanthosh1842007@gmail.com")</f>
        <v>oshinsanthosh1842007@gmail.com</v>
      </c>
    </row>
    <row r="2380" spans="1:19" ht="12.5" x14ac:dyDescent="0.25">
      <c r="A2380" s="2">
        <f ca="1">IFERROR(__xludf.DUMMYFUNCTION("""COMPUTED_VALUE"""),45064.5029024189)</f>
        <v>45064.502902418899</v>
      </c>
      <c r="B2380" s="1" t="str">
        <f ca="1">IFERROR(__xludf.DUMMYFUNCTION("""COMPUTED_VALUE"""),"India")</f>
        <v>India</v>
      </c>
      <c r="C2380" s="1">
        <f ca="1">IFERROR(__xludf.DUMMYFUNCTION("""COMPUTED_VALUE"""),411017)</f>
        <v>411017</v>
      </c>
      <c r="D2380" s="1" t="str">
        <f ca="1">IFERROR(__xludf.DUMMYFUNCTION("""COMPUTED_VALUE"""),"Male")</f>
        <v>Male</v>
      </c>
      <c r="E2380" s="1" t="str">
        <f ca="1">IFERROR(__xludf.DUMMYFUNCTION("""COMPUTED_VALUE"""),"My Parents")</f>
        <v>My Parents</v>
      </c>
      <c r="F2380" s="1" t="str">
        <f ca="1">IFERROR(__xludf.DUMMYFUNCTION("""COMPUTED_VALUE"""),"No, But if someone could bare the cost I will")</f>
        <v>No, But if someone could bare the cost I will</v>
      </c>
      <c r="G2380" s="1" t="str">
        <f ca="1">IFERROR(__xludf.DUMMYFUNCTION("""COMPUTED_VALUE"""),"This will be hard to do, but if it is the right company I would try")</f>
        <v>This will be hard to do, but if it is the right company I would try</v>
      </c>
      <c r="H2380" s="1" t="str">
        <f ca="1">IFERROR(__xludf.DUMMYFUNCTION("""COMPUTED_VALUE"""),"Yes")</f>
        <v>Yes</v>
      </c>
      <c r="I2380" s="1" t="str">
        <f ca="1">IFERROR(__xludf.DUMMYFUNCTION("""COMPUTED_VALUE"""),"Will NOT work for them")</f>
        <v>Will NOT work for them</v>
      </c>
      <c r="J2380" s="1">
        <f ca="1">IFERROR(__xludf.DUMMYFUNCTION("""COMPUTED_VALUE"""),7)</f>
        <v>7</v>
      </c>
      <c r="K2380" s="1" t="str">
        <f ca="1">IFERROR(__xludf.DUMMYFUNCTION("""COMPUTED_VALUE"""),"Hybrid Working Environment with more than 15 days a month at office")</f>
        <v>Hybrid Working Environment with more than 15 days a month at office</v>
      </c>
      <c r="L23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8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80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2380" s="1" t="str">
        <f ca="1">IFERROR(__xludf.DUMMYFUNCTION("""COMPUTED_VALUE"""),"Manager who explains what is expected, sets a goal and helps achieve it")</f>
        <v>Manager who explains what is expected, sets a goal and helps achieve it</v>
      </c>
      <c r="P238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380" s="1" t="str">
        <f ca="1">IFERROR(__xludf.DUMMYFUNCTION("""COMPUTED_VALUE"""),"Yes, I Understand this is gonna happen everywhere")</f>
        <v>Yes, I Understand this is gonna happen everywhere</v>
      </c>
      <c r="R2380" s="1" t="str">
        <f ca="1">IFERROR(__xludf.DUMMYFUNCTION("""COMPUTED_VALUE"""),"This will be hard to do, but if it is the right company I would try")</f>
        <v>This will be hard to do, but if it is the right company I would try</v>
      </c>
      <c r="S2380" s="1" t="str">
        <f ca="1">IFERROR(__xludf.DUMMYFUNCTION("""COMPUTED_VALUE"""),"avinash2730baviskar@gmail.com")</f>
        <v>avinash2730baviskar@gmail.com</v>
      </c>
    </row>
    <row r="2381" spans="1:19" ht="12.5" x14ac:dyDescent="0.25">
      <c r="A2381" s="2">
        <f ca="1">IFERROR(__xludf.DUMMYFUNCTION("""COMPUTED_VALUE"""),45064.5038144212)</f>
        <v>45064.503814421201</v>
      </c>
      <c r="B2381" s="1" t="str">
        <f ca="1">IFERROR(__xludf.DUMMYFUNCTION("""COMPUTED_VALUE"""),"India")</f>
        <v>India</v>
      </c>
      <c r="C2381" s="1">
        <f ca="1">IFERROR(__xludf.DUMMYFUNCTION("""COMPUTED_VALUE"""),590018)</f>
        <v>590018</v>
      </c>
      <c r="D2381" s="1" t="str">
        <f ca="1">IFERROR(__xludf.DUMMYFUNCTION("""COMPUTED_VALUE"""),"Male")</f>
        <v>Male</v>
      </c>
      <c r="E2381" s="1" t="str">
        <f ca="1">IFERROR(__xludf.DUMMYFUNCTION("""COMPUTED_VALUE"""),"People who have changed the world for better")</f>
        <v>People who have changed the world for better</v>
      </c>
      <c r="F2381" s="1" t="str">
        <f ca="1">IFERROR(__xludf.DUMMYFUNCTION("""COMPUTED_VALUE"""),"No, But if someone could bare the cost I will")</f>
        <v>No, But if someone could bare the cost I will</v>
      </c>
      <c r="G2381" s="1" t="str">
        <f ca="1">IFERROR(__xludf.DUMMYFUNCTION("""COMPUTED_VALUE"""),"This will be hard to do, but if it is the right company I would try")</f>
        <v>This will be hard to do, but if it is the right company I would try</v>
      </c>
      <c r="H2381" s="1" t="str">
        <f ca="1">IFERROR(__xludf.DUMMYFUNCTION("""COMPUTED_VALUE"""),"No")</f>
        <v>No</v>
      </c>
      <c r="I2381" s="1" t="str">
        <f ca="1">IFERROR(__xludf.DUMMYFUNCTION("""COMPUTED_VALUE"""),"Will NOT work for them")</f>
        <v>Will NOT work for them</v>
      </c>
      <c r="J2381" s="1">
        <f ca="1">IFERROR(__xludf.DUMMYFUNCTION("""COMPUTED_VALUE"""),1)</f>
        <v>1</v>
      </c>
      <c r="K2381" s="1" t="str">
        <f ca="1">IFERROR(__xludf.DUMMYFUNCTION("""COMPUTED_VALUE"""),"Fully Remote with Options to travel as and when needed")</f>
        <v>Fully Remote with Options to travel as and when needed</v>
      </c>
      <c r="L23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8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81" s="1" t="str">
        <f ca="1">IFERROR(__xludf.DUMMYFUNCTION("""COMPUTED_VALUE"""),"Manage and drive End-to-End Projects or Products, Build and develop a Team, Design and Develop amazing software, Manufacturing / Oil and Gas/ Construction / Hard Physical Work related")</f>
        <v>Manage and drive End-to-End Projects or Products, Build and develop a Team, Design and Develop amazing software, Manufacturing / Oil and Gas/ Construction / Hard Physical Work related</v>
      </c>
      <c r="O2381" s="1" t="str">
        <f ca="1">IFERROR(__xludf.DUMMYFUNCTION("""COMPUTED_VALUE"""),"Manager who explains what is expected, sets a goal and helps achieve it")</f>
        <v>Manager who explains what is expected, sets a goal and helps achieve it</v>
      </c>
      <c r="P2381" s="1" t="str">
        <f ca="1">IFERROR(__xludf.DUMMYFUNCTION("""COMPUTED_VALUE"""),"Work with 5 to 6 people in my team")</f>
        <v>Work with 5 to 6 people in my team</v>
      </c>
      <c r="Q2381" s="1" t="str">
        <f ca="1">IFERROR(__xludf.DUMMYFUNCTION("""COMPUTED_VALUE"""),"No")</f>
        <v>No</v>
      </c>
      <c r="R2381" s="1" t="str">
        <f ca="1">IFERROR(__xludf.DUMMYFUNCTION("""COMPUTED_VALUE"""),"No way")</f>
        <v>No way</v>
      </c>
      <c r="S2381" s="1" t="str">
        <f ca="1">IFERROR(__xludf.DUMMYFUNCTION("""COMPUTED_VALUE"""),"pvvinayak53@gmail.com")</f>
        <v>pvvinayak53@gmail.com</v>
      </c>
    </row>
    <row r="2382" spans="1:19" ht="12.5" x14ac:dyDescent="0.25">
      <c r="A2382" s="2">
        <f ca="1">IFERROR(__xludf.DUMMYFUNCTION("""COMPUTED_VALUE"""),45064.5043879513)</f>
        <v>45064.504387951303</v>
      </c>
      <c r="B2382" s="1" t="str">
        <f ca="1">IFERROR(__xludf.DUMMYFUNCTION("""COMPUTED_VALUE"""),"India")</f>
        <v>India</v>
      </c>
      <c r="C2382" s="1">
        <f ca="1">IFERROR(__xludf.DUMMYFUNCTION("""COMPUTED_VALUE"""),591123)</f>
        <v>591123</v>
      </c>
      <c r="D2382" s="1" t="str">
        <f ca="1">IFERROR(__xludf.DUMMYFUNCTION("""COMPUTED_VALUE"""),"Male")</f>
        <v>Male</v>
      </c>
      <c r="E2382" s="1" t="str">
        <f ca="1">IFERROR(__xludf.DUMMYFUNCTION("""COMPUTED_VALUE"""),"People who have changed the world for better")</f>
        <v>People who have changed the world for better</v>
      </c>
      <c r="F2382" s="1" t="str">
        <f ca="1">IFERROR(__xludf.DUMMYFUNCTION("""COMPUTED_VALUE"""),"Yes, I will earn and do that")</f>
        <v>Yes, I will earn and do that</v>
      </c>
      <c r="G2382" s="1" t="str">
        <f ca="1">IFERROR(__xludf.DUMMYFUNCTION("""COMPUTED_VALUE"""),"This will be hard to do, but if it is the right company I would try")</f>
        <v>This will be hard to do, but if it is the right company I would try</v>
      </c>
      <c r="H2382" s="1" t="str">
        <f ca="1">IFERROR(__xludf.DUMMYFUNCTION("""COMPUTED_VALUE"""),"No")</f>
        <v>No</v>
      </c>
      <c r="I2382" s="1" t="str">
        <f ca="1">IFERROR(__xludf.DUMMYFUNCTION("""COMPUTED_VALUE"""),"Will work for them")</f>
        <v>Will work for them</v>
      </c>
      <c r="J2382" s="1">
        <f ca="1">IFERROR(__xludf.DUMMYFUNCTION("""COMPUTED_VALUE"""),9)</f>
        <v>9</v>
      </c>
      <c r="K2382" s="1" t="str">
        <f ca="1">IFERROR(__xludf.DUMMYFUNCTION("""COMPUTED_VALUE"""),"Every Day Office Environment")</f>
        <v>Every Day Office Environment</v>
      </c>
      <c r="L2382" s="1" t="str">
        <f ca="1">IFERROR(__xludf.DUMMYFUNCTION("""COMPUTED_VALUE"""),"Employer who appreciates learning and enables that environment")</f>
        <v>Employer who appreciates learning and enables that environment</v>
      </c>
      <c r="M238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82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382" s="1" t="str">
        <f ca="1">IFERROR(__xludf.DUMMYFUNCTION("""COMPUTED_VALUE"""),"Manager who clearly describes what she/he needs")</f>
        <v>Manager who clearly describes what she/he needs</v>
      </c>
      <c r="P2382" s="1" t="str">
        <f ca="1">IFERROR(__xludf.DUMMYFUNCTION("""COMPUTED_VALUE"""),"Work with more than 10 people in my team")</f>
        <v>Work with more than 10 people in my team</v>
      </c>
      <c r="Q2382" s="1" t="str">
        <f ca="1">IFERROR(__xludf.DUMMYFUNCTION("""COMPUTED_VALUE"""),"Yes, I Understand this is gonna happen everywhere")</f>
        <v>Yes, I Understand this is gonna happen everywhere</v>
      </c>
      <c r="R2382" s="1" t="str">
        <f ca="1">IFERROR(__xludf.DUMMYFUNCTION("""COMPUTED_VALUE"""),"This will be hard to do, but if it is the right company I would try")</f>
        <v>This will be hard to do, but if it is the right company I would try</v>
      </c>
      <c r="S2382" s="1" t="str">
        <f ca="1">IFERROR(__xludf.DUMMYFUNCTION("""COMPUTED_VALUE"""),"gnveeru@gmail.com")</f>
        <v>gnveeru@gmail.com</v>
      </c>
    </row>
    <row r="2383" spans="1:19" ht="12.5" x14ac:dyDescent="0.25">
      <c r="A2383" s="2">
        <f ca="1">IFERROR(__xludf.DUMMYFUNCTION("""COMPUTED_VALUE"""),45064.5074294444)</f>
        <v>45064.507429444398</v>
      </c>
      <c r="B2383" s="1" t="str">
        <f ca="1">IFERROR(__xludf.DUMMYFUNCTION("""COMPUTED_VALUE"""),"India")</f>
        <v>India</v>
      </c>
      <c r="C2383" s="1">
        <f ca="1">IFERROR(__xludf.DUMMYFUNCTION("""COMPUTED_VALUE"""),590006)</f>
        <v>590006</v>
      </c>
      <c r="D2383" s="1" t="str">
        <f ca="1">IFERROR(__xludf.DUMMYFUNCTION("""COMPUTED_VALUE"""),"Male")</f>
        <v>Male</v>
      </c>
      <c r="E2383" s="1" t="str">
        <f ca="1">IFERROR(__xludf.DUMMYFUNCTION("""COMPUTED_VALUE"""),"People from my circle, but not family members")</f>
        <v>People from my circle, but not family members</v>
      </c>
      <c r="F2383" s="1" t="str">
        <f ca="1">IFERROR(__xludf.DUMMYFUNCTION("""COMPUTED_VALUE"""),"No I would not be pursuing Higher Education outside of India")</f>
        <v>No I would not be pursuing Higher Education outside of India</v>
      </c>
      <c r="G2383" s="1" t="str">
        <f ca="1">IFERROR(__xludf.DUMMYFUNCTION("""COMPUTED_VALUE"""),"Will work for 3 years or more")</f>
        <v>Will work for 3 years or more</v>
      </c>
      <c r="H2383" s="1" t="str">
        <f ca="1">IFERROR(__xludf.DUMMYFUNCTION("""COMPUTED_VALUE"""),"No")</f>
        <v>No</v>
      </c>
      <c r="I2383" s="1" t="str">
        <f ca="1">IFERROR(__xludf.DUMMYFUNCTION("""COMPUTED_VALUE"""),"Will NOT work for them")</f>
        <v>Will NOT work for them</v>
      </c>
      <c r="J2383" s="1">
        <f ca="1">IFERROR(__xludf.DUMMYFUNCTION("""COMPUTED_VALUE"""),5)</f>
        <v>5</v>
      </c>
      <c r="K2383" s="1" t="str">
        <f ca="1">IFERROR(__xludf.DUMMYFUNCTION("""COMPUTED_VALUE"""),"Every Day Office Environment")</f>
        <v>Every Day Office Environment</v>
      </c>
      <c r="L23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8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383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383" s="1" t="str">
        <f ca="1">IFERROR(__xludf.DUMMYFUNCTION("""COMPUTED_VALUE"""),"Manager who explains what is expected, sets a goal and helps achieve it")</f>
        <v>Manager who explains what is expected, sets a goal and helps achieve it</v>
      </c>
      <c r="P2383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383" s="1" t="str">
        <f ca="1">IFERROR(__xludf.DUMMYFUNCTION("""COMPUTED_VALUE"""),"Yes, I Understand this is gonna happen everywhere")</f>
        <v>Yes, I Understand this is gonna happen everywhere</v>
      </c>
      <c r="R2383" s="1" t="str">
        <f ca="1">IFERROR(__xludf.DUMMYFUNCTION("""COMPUTED_VALUE"""),"This will be hard to do, but if it is the right company I would try")</f>
        <v>This will be hard to do, but if it is the right company I would try</v>
      </c>
      <c r="S2383" s="1" t="str">
        <f ca="1">IFERROR(__xludf.DUMMYFUNCTION("""COMPUTED_VALUE"""),"basavaprasadhadapad@gmail.com")</f>
        <v>basavaprasadhadapad@gmail.com</v>
      </c>
    </row>
    <row r="2384" spans="1:19" ht="12.5" x14ac:dyDescent="0.25">
      <c r="A2384" s="2">
        <f ca="1">IFERROR(__xludf.DUMMYFUNCTION("""COMPUTED_VALUE"""),45064.5076057407)</f>
        <v>45064.507605740699</v>
      </c>
      <c r="B2384" s="1" t="str">
        <f ca="1">IFERROR(__xludf.DUMMYFUNCTION("""COMPUTED_VALUE"""),"India")</f>
        <v>India</v>
      </c>
      <c r="C2384" s="1">
        <f ca="1">IFERROR(__xludf.DUMMYFUNCTION("""COMPUTED_VALUE"""),362527)</f>
        <v>362527</v>
      </c>
      <c r="D2384" s="1" t="str">
        <f ca="1">IFERROR(__xludf.DUMMYFUNCTION("""COMPUTED_VALUE"""),"Male")</f>
        <v>Male</v>
      </c>
      <c r="E2384" s="1" t="str">
        <f ca="1">IFERROR(__xludf.DUMMYFUNCTION("""COMPUTED_VALUE"""),"My Parents")</f>
        <v>My Parents</v>
      </c>
      <c r="F2384" s="1" t="str">
        <f ca="1">IFERROR(__xludf.DUMMYFUNCTION("""COMPUTED_VALUE"""),"No, But if someone could bare the cost I will")</f>
        <v>No, But if someone could bare the cost I will</v>
      </c>
      <c r="G2384" s="1" t="str">
        <f ca="1">IFERROR(__xludf.DUMMYFUNCTION("""COMPUTED_VALUE"""),"This will be hard to do, but if it is the right company I would try")</f>
        <v>This will be hard to do, but if it is the right company I would try</v>
      </c>
      <c r="H2384" s="1" t="str">
        <f ca="1">IFERROR(__xludf.DUMMYFUNCTION("""COMPUTED_VALUE"""),"No")</f>
        <v>No</v>
      </c>
      <c r="I2384" s="1" t="str">
        <f ca="1">IFERROR(__xludf.DUMMYFUNCTION("""COMPUTED_VALUE"""),"Will NOT work for them")</f>
        <v>Will NOT work for them</v>
      </c>
      <c r="J2384" s="1">
        <f ca="1">IFERROR(__xludf.DUMMYFUNCTION("""COMPUTED_VALUE"""),5)</f>
        <v>5</v>
      </c>
      <c r="K2384" s="1" t="str">
        <f ca="1">IFERROR(__xludf.DUMMYFUNCTION("""COMPUTED_VALUE"""),"Hybrid Working Environment with more than 15 days a month at office")</f>
        <v>Hybrid Working Environment with more than 15 days a month at office</v>
      </c>
      <c r="L23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8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84" s="1" t="str">
        <f ca="1">IFERROR(__xludf.DUMMYFUNCTION("""COMPUTED_VALUE"""),"Design and Creative strategy in any company, Business Operations in any organization, Entrepreneur or Start Up, Manufacturing / Oil and Gas/ Construction / Hard Physical Work related")</f>
        <v>Design and Creative strategy in any company, Business Operations in any organization, Entrepreneur or Start Up, Manufacturing / Oil and Gas/ Construction / Hard Physical Work related</v>
      </c>
      <c r="O2384" s="1" t="str">
        <f ca="1">IFERROR(__xludf.DUMMYFUNCTION("""COMPUTED_VALUE"""),"Manager who explains what is expected, sets a goal and helps achieve it")</f>
        <v>Manager who explains what is expected, sets a goal and helps achieve it</v>
      </c>
      <c r="P2384" s="1" t="str">
        <f ca="1">IFERROR(__xludf.DUMMYFUNCTION("""COMPUTED_VALUE"""),"Work with more than 10 people in my team")</f>
        <v>Work with more than 10 people in my team</v>
      </c>
      <c r="Q2384" s="1" t="str">
        <f ca="1">IFERROR(__xludf.DUMMYFUNCTION("""COMPUTED_VALUE"""),"Yes, I Understand this is gonna happen everywhere")</f>
        <v>Yes, I Understand this is gonna happen everywhere</v>
      </c>
      <c r="R2384" s="1" t="str">
        <f ca="1">IFERROR(__xludf.DUMMYFUNCTION("""COMPUTED_VALUE"""),"This will be hard to do, but if it is the right company I would try")</f>
        <v>This will be hard to do, but if it is the right company I would try</v>
      </c>
      <c r="S2384" s="1" t="str">
        <f ca="1">IFERROR(__xludf.DUMMYFUNCTION("""COMPUTED_VALUE"""),"abhishekkawale24.ak@gmail.com")</f>
        <v>abhishekkawale24.ak@gmail.com</v>
      </c>
    </row>
    <row r="2385" spans="1:19" ht="12.5" x14ac:dyDescent="0.25">
      <c r="A2385" s="2">
        <f ca="1">IFERROR(__xludf.DUMMYFUNCTION("""COMPUTED_VALUE"""),45064.5078586342)</f>
        <v>45064.507858634199</v>
      </c>
      <c r="B2385" s="1" t="str">
        <f ca="1">IFERROR(__xludf.DUMMYFUNCTION("""COMPUTED_VALUE"""),"India")</f>
        <v>India</v>
      </c>
      <c r="C2385" s="1">
        <f ca="1">IFERROR(__xludf.DUMMYFUNCTION("""COMPUTED_VALUE"""),400708)</f>
        <v>400708</v>
      </c>
      <c r="D2385" s="1" t="str">
        <f ca="1">IFERROR(__xludf.DUMMYFUNCTION("""COMPUTED_VALUE"""),"Female")</f>
        <v>Female</v>
      </c>
      <c r="E2385" s="1" t="str">
        <f ca="1">IFERROR(__xludf.DUMMYFUNCTION("""COMPUTED_VALUE"""),"My Parents")</f>
        <v>My Parents</v>
      </c>
      <c r="F2385" s="1" t="str">
        <f ca="1">IFERROR(__xludf.DUMMYFUNCTION("""COMPUTED_VALUE"""),"Yes, I will earn and do that")</f>
        <v>Yes, I will earn and do that</v>
      </c>
      <c r="G2385" s="1" t="str">
        <f ca="1">IFERROR(__xludf.DUMMYFUNCTION("""COMPUTED_VALUE"""),"This will be hard to do, but if it is the right company I would try")</f>
        <v>This will be hard to do, but if it is the right company I would try</v>
      </c>
      <c r="H2385" s="1" t="str">
        <f ca="1">IFERROR(__xludf.DUMMYFUNCTION("""COMPUTED_VALUE"""),"Yes")</f>
        <v>Yes</v>
      </c>
      <c r="I2385" s="1" t="str">
        <f ca="1">IFERROR(__xludf.DUMMYFUNCTION("""COMPUTED_VALUE"""),"Will NOT work for them")</f>
        <v>Will NOT work for them</v>
      </c>
      <c r="J2385" s="1">
        <f ca="1">IFERROR(__xludf.DUMMYFUNCTION("""COMPUTED_VALUE"""),2)</f>
        <v>2</v>
      </c>
      <c r="K2385" s="1" t="str">
        <f ca="1">IFERROR(__xludf.DUMMYFUNCTION("""COMPUTED_VALUE"""),"Hybrid Working Environment with more than 15 days a month at office")</f>
        <v>Hybrid Working Environment with more than 15 days a month at office</v>
      </c>
      <c r="L2385" s="1" t="str">
        <f ca="1">IFERROR(__xludf.DUMMYFUNCTION("""COMPUTED_VALUE"""),"Employer who appreciates learning and enables that environment")</f>
        <v>Employer who appreciates learning and enables that environment</v>
      </c>
      <c r="M238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385" s="1" t="str">
        <f ca="1">IFERROR(__xludf.DUMMYFUNCTION("""COMPUTED_VALUE"""),"Design and Creative strategy in any company, Design and Develop amazing software, Work as a freelancer and do my thing my way, Entrepreneur or Start Up")</f>
        <v>Design and Creative strategy in any company, Design and Develop amazing software, Work as a freelancer and do my thing my way, Entrepreneur or Start Up</v>
      </c>
      <c r="O2385" s="1" t="str">
        <f ca="1">IFERROR(__xludf.DUMMYFUNCTION("""COMPUTED_VALUE"""),"Manager who explains what is expected, sets a goal and helps achieve it")</f>
        <v>Manager who explains what is expected, sets a goal and helps achieve it</v>
      </c>
      <c r="P2385" s="1" t="str">
        <f ca="1">IFERROR(__xludf.DUMMYFUNCTION("""COMPUTED_VALUE"""),"Work with 2 to 3 people in my team")</f>
        <v>Work with 2 to 3 people in my team</v>
      </c>
      <c r="Q2385" s="1" t="str">
        <f ca="1">IFERROR(__xludf.DUMMYFUNCTION("""COMPUTED_VALUE"""),"Yes, I Understand this is gonna happen everywhere")</f>
        <v>Yes, I Understand this is gonna happen everywhere</v>
      </c>
      <c r="R2385" s="1" t="str">
        <f ca="1">IFERROR(__xludf.DUMMYFUNCTION("""COMPUTED_VALUE"""),"No way")</f>
        <v>No way</v>
      </c>
      <c r="S2385" s="1" t="str">
        <f ca="1">IFERROR(__xludf.DUMMYFUNCTION("""COMPUTED_VALUE"""),"truptisanjaysinalkar@gmail.com")</f>
        <v>truptisanjaysinalkar@gmail.com</v>
      </c>
    </row>
    <row r="2386" spans="1:19" ht="12.5" x14ac:dyDescent="0.25">
      <c r="A2386" s="2">
        <f ca="1">IFERROR(__xludf.DUMMYFUNCTION("""COMPUTED_VALUE"""),45064.5086209606)</f>
        <v>45064.508620960602</v>
      </c>
      <c r="B2386" s="1" t="str">
        <f ca="1">IFERROR(__xludf.DUMMYFUNCTION("""COMPUTED_VALUE"""),"India")</f>
        <v>India</v>
      </c>
      <c r="C2386" s="1">
        <f ca="1">IFERROR(__xludf.DUMMYFUNCTION("""COMPUTED_VALUE"""),362720)</f>
        <v>362720</v>
      </c>
      <c r="D2386" s="1" t="str">
        <f ca="1">IFERROR(__xludf.DUMMYFUNCTION("""COMPUTED_VALUE"""),"Male")</f>
        <v>Male</v>
      </c>
      <c r="E2386" s="1" t="str">
        <f ca="1">IFERROR(__xludf.DUMMYFUNCTION("""COMPUTED_VALUE"""),"My Parents")</f>
        <v>My Parents</v>
      </c>
      <c r="F2386" s="1" t="str">
        <f ca="1">IFERROR(__xludf.DUMMYFUNCTION("""COMPUTED_VALUE"""),"Yes, I will earn and do that")</f>
        <v>Yes, I will earn and do that</v>
      </c>
      <c r="G2386" s="1" t="str">
        <f ca="1">IFERROR(__xludf.DUMMYFUNCTION("""COMPUTED_VALUE"""),"This will be hard to do, but if it is the right company I would try")</f>
        <v>This will be hard to do, but if it is the right company I would try</v>
      </c>
      <c r="H2386" s="1" t="str">
        <f ca="1">IFERROR(__xludf.DUMMYFUNCTION("""COMPUTED_VALUE"""),"No")</f>
        <v>No</v>
      </c>
      <c r="I2386" s="1" t="str">
        <f ca="1">IFERROR(__xludf.DUMMYFUNCTION("""COMPUTED_VALUE"""),"Will NOT work for them")</f>
        <v>Will NOT work for them</v>
      </c>
      <c r="J2386" s="1">
        <f ca="1">IFERROR(__xludf.DUMMYFUNCTION("""COMPUTED_VALUE"""),1)</f>
        <v>1</v>
      </c>
      <c r="K2386" s="1" t="str">
        <f ca="1">IFERROR(__xludf.DUMMYFUNCTION("""COMPUTED_VALUE"""),"Every Day Office Environment")</f>
        <v>Every Day Office Environment</v>
      </c>
      <c r="L2386" s="1" t="str">
        <f ca="1">IFERROR(__xludf.DUMMYFUNCTION("""COMPUTED_VALUE"""),"Employer who appreciates learning and enables that environment")</f>
        <v>Employer who appreciates learning and enables that environment</v>
      </c>
      <c r="M238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86" s="1" t="str">
        <f ca="1">IFERROR(__xludf.DUMMYFUNCTION("""COMPUTED_VALUE"""),"Manage and drive End-to-End Projects or Products, Build and develop a Team, Entrepreneur or Start Up, Manufacturing / Oil and Gas/ Construction / Hard Physical Work related")</f>
        <v>Manage and drive End-to-End Projects or Products, Build and develop a Team, Entrepreneur or Start Up, Manufacturing / Oil and Gas/ Construction / Hard Physical Work related</v>
      </c>
      <c r="O2386" s="1" t="str">
        <f ca="1">IFERROR(__xludf.DUMMYFUNCTION("""COMPUTED_VALUE"""),"Manager who explains what is expected, sets a goal and helps achieve it")</f>
        <v>Manager who explains what is expected, sets a goal and helps achieve it</v>
      </c>
      <c r="P2386" s="1" t="str">
        <f ca="1">IFERROR(__xludf.DUMMYFUNCTION("""COMPUTED_VALUE"""),"Work with more than 10 people in my team")</f>
        <v>Work with more than 10 people in my team</v>
      </c>
      <c r="Q2386" s="1" t="str">
        <f ca="1">IFERROR(__xludf.DUMMYFUNCTION("""COMPUTED_VALUE"""),"No")</f>
        <v>No</v>
      </c>
      <c r="R2386" s="1" t="str">
        <f ca="1">IFERROR(__xludf.DUMMYFUNCTION("""COMPUTED_VALUE"""),"This will be hard to do, but if it is the right company I would try")</f>
        <v>This will be hard to do, but if it is the right company I would try</v>
      </c>
      <c r="S2386" s="1" t="str">
        <f ca="1">IFERROR(__xludf.DUMMYFUNCTION("""COMPUTED_VALUE"""),"vk6577087@gmail.com")</f>
        <v>vk6577087@gmail.com</v>
      </c>
    </row>
    <row r="2387" spans="1:19" ht="12.5" x14ac:dyDescent="0.25">
      <c r="A2387" s="2">
        <f ca="1">IFERROR(__xludf.DUMMYFUNCTION("""COMPUTED_VALUE"""),45064.5107266203)</f>
        <v>45064.510726620298</v>
      </c>
      <c r="B2387" s="1" t="str">
        <f ca="1">IFERROR(__xludf.DUMMYFUNCTION("""COMPUTED_VALUE"""),"India")</f>
        <v>India</v>
      </c>
      <c r="C2387" s="1">
        <f ca="1">IFERROR(__xludf.DUMMYFUNCTION("""COMPUTED_VALUE"""),641048)</f>
        <v>641048</v>
      </c>
      <c r="D2387" s="1" t="str">
        <f ca="1">IFERROR(__xludf.DUMMYFUNCTION("""COMPUTED_VALUE"""),"Male")</f>
        <v>Male</v>
      </c>
      <c r="E2387" s="1" t="str">
        <f ca="1">IFERROR(__xludf.DUMMYFUNCTION("""COMPUTED_VALUE"""),"My Parents")</f>
        <v>My Parents</v>
      </c>
      <c r="F2387" s="1" t="str">
        <f ca="1">IFERROR(__xludf.DUMMYFUNCTION("""COMPUTED_VALUE"""),"No I would not be pursuing Higher Education outside of India")</f>
        <v>No I would not be pursuing Higher Education outside of India</v>
      </c>
      <c r="G2387" s="1" t="str">
        <f ca="1">IFERROR(__xludf.DUMMYFUNCTION("""COMPUTED_VALUE"""),"Will work for 3 years or more")</f>
        <v>Will work for 3 years or more</v>
      </c>
      <c r="H2387" s="1" t="str">
        <f ca="1">IFERROR(__xludf.DUMMYFUNCTION("""COMPUTED_VALUE"""),"Yes")</f>
        <v>Yes</v>
      </c>
      <c r="I2387" s="1" t="str">
        <f ca="1">IFERROR(__xludf.DUMMYFUNCTION("""COMPUTED_VALUE"""),"Will work for them")</f>
        <v>Will work for them</v>
      </c>
      <c r="J2387" s="1">
        <f ca="1">IFERROR(__xludf.DUMMYFUNCTION("""COMPUTED_VALUE"""),10)</f>
        <v>10</v>
      </c>
      <c r="K2387" s="1" t="str">
        <f ca="1">IFERROR(__xludf.DUMMYFUNCTION("""COMPUTED_VALUE"""),"Hybrid Working Environment with more than 15 days a month at office")</f>
        <v>Hybrid Working Environment with more than 15 days a month at office</v>
      </c>
      <c r="L23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87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387" s="1" t="str">
        <f ca="1">IFERROR(__xludf.DUMMYFUNCTION("""COMPUTED_VALUE"""),"Work as a freelancer and do my thing my way, Become a content Creator in some platform, An Artificial Intelligence Specialist / Talking to Robots, Manufacturing / Oil and Gas/ Construction / Hard Physical Work related")</f>
        <v>Work as a freelancer and do my thing my way, Become a content Creator in some platform, An Artificial Intelligence Specialist / Talking to Robots, Manufacturing / Oil and Gas/ Construction / Hard Physical Work related</v>
      </c>
      <c r="O2387" s="1" t="str">
        <f ca="1">IFERROR(__xludf.DUMMYFUNCTION("""COMPUTED_VALUE"""),"Manager who clearly describes what she/he needs")</f>
        <v>Manager who clearly describes what she/he needs</v>
      </c>
      <c r="P2387" s="1" t="str">
        <f ca="1">IFERROR(__xludf.DUMMYFUNCTION("""COMPUTED_VALUE"""),"Work with 2 to 3 people in my team, Work with 7 to 10 or more people in my team")</f>
        <v>Work with 2 to 3 people in my team, Work with 7 to 10 or more people in my team</v>
      </c>
      <c r="Q2387" s="1" t="str">
        <f ca="1">IFERROR(__xludf.DUMMYFUNCTION("""COMPUTED_VALUE"""),"No")</f>
        <v>No</v>
      </c>
      <c r="R2387" s="1" t="str">
        <f ca="1">IFERROR(__xludf.DUMMYFUNCTION("""COMPUTED_VALUE"""),"Will work for 7 years or more")</f>
        <v>Will work for 7 years or more</v>
      </c>
      <c r="S2387" s="1" t="str">
        <f ca="1">IFERROR(__xludf.DUMMYFUNCTION("""COMPUTED_VALUE"""),"narendrancrazy@gmail.com")</f>
        <v>narendrancrazy@gmail.com</v>
      </c>
    </row>
    <row r="2388" spans="1:19" ht="12.5" x14ac:dyDescent="0.25">
      <c r="A2388" s="2">
        <f ca="1">IFERROR(__xludf.DUMMYFUNCTION("""COMPUTED_VALUE"""),45064.5112767938)</f>
        <v>45064.511276793899</v>
      </c>
      <c r="B2388" s="1" t="str">
        <f ca="1">IFERROR(__xludf.DUMMYFUNCTION("""COMPUTED_VALUE"""),"India")</f>
        <v>India</v>
      </c>
      <c r="C2388" s="1">
        <f ca="1">IFERROR(__xludf.DUMMYFUNCTION("""COMPUTED_VALUE"""),590014)</f>
        <v>590014</v>
      </c>
      <c r="D2388" s="1" t="str">
        <f ca="1">IFERROR(__xludf.DUMMYFUNCTION("""COMPUTED_VALUE"""),"Male")</f>
        <v>Male</v>
      </c>
      <c r="E2388" s="1" t="str">
        <f ca="1">IFERROR(__xludf.DUMMYFUNCTION("""COMPUTED_VALUE"""),"My Parents")</f>
        <v>My Parents</v>
      </c>
      <c r="F2388" s="1" t="str">
        <f ca="1">IFERROR(__xludf.DUMMYFUNCTION("""COMPUTED_VALUE"""),"Yes, I will earn and do that")</f>
        <v>Yes, I will earn and do that</v>
      </c>
      <c r="G2388" s="1" t="str">
        <f ca="1">IFERROR(__xludf.DUMMYFUNCTION("""COMPUTED_VALUE"""),"Will work for 3 years or more")</f>
        <v>Will work for 3 years or more</v>
      </c>
      <c r="H2388" s="1" t="str">
        <f ca="1">IFERROR(__xludf.DUMMYFUNCTION("""COMPUTED_VALUE"""),"No")</f>
        <v>No</v>
      </c>
      <c r="I2388" s="1" t="str">
        <f ca="1">IFERROR(__xludf.DUMMYFUNCTION("""COMPUTED_VALUE"""),"Will NOT work for them")</f>
        <v>Will NOT work for them</v>
      </c>
      <c r="J2388" s="1">
        <f ca="1">IFERROR(__xludf.DUMMYFUNCTION("""COMPUTED_VALUE"""),5)</f>
        <v>5</v>
      </c>
      <c r="K2388" s="1" t="str">
        <f ca="1">IFERROR(__xludf.DUMMYFUNCTION("""COMPUTED_VALUE"""),"Fully Remote with Options to travel as and when needed")</f>
        <v>Fully Remote with Options to travel as and when needed</v>
      </c>
      <c r="L2388" s="1" t="str">
        <f ca="1">IFERROR(__xludf.DUMMYFUNCTION("""COMPUTED_VALUE"""),"Employer who rewards learning and enables that environment")</f>
        <v>Employer who rewards learning and enables that environment</v>
      </c>
      <c r="M2388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388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388" s="1" t="str">
        <f ca="1">IFERROR(__xludf.DUMMYFUNCTION("""COMPUTED_VALUE"""),"Manager who clearly describes what she/he needs")</f>
        <v>Manager who clearly describes what she/he needs</v>
      </c>
      <c r="P2388" s="1" t="str">
        <f ca="1">IFERROR(__xludf.DUMMYFUNCTION("""COMPUTED_VALUE"""),"Work with 5 to 6 people in my team")</f>
        <v>Work with 5 to 6 people in my team</v>
      </c>
      <c r="Q2388" s="1" t="str">
        <f ca="1">IFERROR(__xludf.DUMMYFUNCTION("""COMPUTED_VALUE"""),"Yes, I Understand this is gonna happen everywhere")</f>
        <v>Yes, I Understand this is gonna happen everywhere</v>
      </c>
      <c r="R2388" s="1" t="str">
        <f ca="1">IFERROR(__xludf.DUMMYFUNCTION("""COMPUTED_VALUE"""),"Will work for 7 years or more")</f>
        <v>Will work for 7 years or more</v>
      </c>
      <c r="S2388" s="1" t="str">
        <f ca="1">IFERROR(__xludf.DUMMYFUNCTION("""COMPUTED_VALUE"""),"basavaraj17hidkal@gmail.com")</f>
        <v>basavaraj17hidkal@gmail.com</v>
      </c>
    </row>
    <row r="2389" spans="1:19" ht="12.5" x14ac:dyDescent="0.25">
      <c r="A2389" s="2">
        <f ca="1">IFERROR(__xludf.DUMMYFUNCTION("""COMPUTED_VALUE"""),45064.512266493)</f>
        <v>45064.512266493002</v>
      </c>
      <c r="B2389" s="1" t="str">
        <f ca="1">IFERROR(__xludf.DUMMYFUNCTION("""COMPUTED_VALUE"""),"India")</f>
        <v>India</v>
      </c>
      <c r="C2389" s="1">
        <f ca="1">IFERROR(__xludf.DUMMYFUNCTION("""COMPUTED_VALUE"""),591123)</f>
        <v>591123</v>
      </c>
      <c r="D2389" s="1" t="str">
        <f ca="1">IFERROR(__xludf.DUMMYFUNCTION("""COMPUTED_VALUE"""),"Male")</f>
        <v>Male</v>
      </c>
      <c r="E2389" s="1" t="str">
        <f ca="1">IFERROR(__xludf.DUMMYFUNCTION("""COMPUTED_VALUE"""),"My Parents")</f>
        <v>My Parents</v>
      </c>
      <c r="F2389" s="1" t="str">
        <f ca="1">IFERROR(__xludf.DUMMYFUNCTION("""COMPUTED_VALUE"""),"Yes, I will earn and do that")</f>
        <v>Yes, I will earn and do that</v>
      </c>
      <c r="G2389" s="1" t="str">
        <f ca="1">IFERROR(__xludf.DUMMYFUNCTION("""COMPUTED_VALUE"""),"This will be hard to do, but if it is the right company I would try")</f>
        <v>This will be hard to do, but if it is the right company I would try</v>
      </c>
      <c r="H2389" s="1" t="str">
        <f ca="1">IFERROR(__xludf.DUMMYFUNCTION("""COMPUTED_VALUE"""),"Yes")</f>
        <v>Yes</v>
      </c>
      <c r="I2389" s="1" t="str">
        <f ca="1">IFERROR(__xludf.DUMMYFUNCTION("""COMPUTED_VALUE"""),"Will NOT work for them")</f>
        <v>Will NOT work for them</v>
      </c>
      <c r="J2389" s="1">
        <f ca="1">IFERROR(__xludf.DUMMYFUNCTION("""COMPUTED_VALUE"""),7)</f>
        <v>7</v>
      </c>
      <c r="K2389" s="1" t="str">
        <f ca="1">IFERROR(__xludf.DUMMYFUNCTION("""COMPUTED_VALUE"""),"Hybrid Working Environment with less than 3 days a month at office")</f>
        <v>Hybrid Working Environment with less than 3 days a month at office</v>
      </c>
      <c r="L2389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38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389" s="1" t="str">
        <f ca="1">IFERROR(__xludf.DUMMYFUNCTION("""COMPUTED_VALUE"""),"Teaching in any of the institutes/colleges/online or offline, Business Operations in any organization, Manage and drive End-to-End Projects or Products, Design and Develop amazing software")</f>
        <v>Teaching in any of the institutes/colleges/online or offline, Business Operations in any organization, Manage and drive End-to-End Projects or Products, Design and Develop amazing software</v>
      </c>
      <c r="O2389" s="1" t="str">
        <f ca="1">IFERROR(__xludf.DUMMYFUNCTION("""COMPUTED_VALUE"""),"Manager who sets targets and expects me to achieve it")</f>
        <v>Manager who sets targets and expects me to achieve it</v>
      </c>
      <c r="P2389" s="1" t="str">
        <f ca="1">IFERROR(__xludf.DUMMYFUNCTION("""COMPUTED_VALUE"""),"Work with 7 to 10 or more people in my team")</f>
        <v>Work with 7 to 10 or more people in my team</v>
      </c>
      <c r="Q2389" s="1" t="str">
        <f ca="1">IFERROR(__xludf.DUMMYFUNCTION("""COMPUTED_VALUE"""),"Yes, I Understand this is gonna happen everywhere")</f>
        <v>Yes, I Understand this is gonna happen everywhere</v>
      </c>
      <c r="R2389" s="1" t="str">
        <f ca="1">IFERROR(__xludf.DUMMYFUNCTION("""COMPUTED_VALUE"""),"No way")</f>
        <v>No way</v>
      </c>
      <c r="S2389" s="1" t="str">
        <f ca="1">IFERROR(__xludf.DUMMYFUNCTION("""COMPUTED_VALUE"""),"sagar9hiremath@gmail.com")</f>
        <v>sagar9hiremath@gmail.com</v>
      </c>
    </row>
    <row r="2390" spans="1:19" ht="12.5" x14ac:dyDescent="0.25">
      <c r="A2390" s="2">
        <f ca="1">IFERROR(__xludf.DUMMYFUNCTION("""COMPUTED_VALUE"""),45064.5125003819)</f>
        <v>45064.512500381898</v>
      </c>
      <c r="B2390" s="1" t="str">
        <f ca="1">IFERROR(__xludf.DUMMYFUNCTION("""COMPUTED_VALUE"""),"India")</f>
        <v>India</v>
      </c>
      <c r="C2390" s="1">
        <f ca="1">IFERROR(__xludf.DUMMYFUNCTION("""COMPUTED_VALUE"""),66)</f>
        <v>66</v>
      </c>
      <c r="D2390" s="1" t="str">
        <f ca="1">IFERROR(__xludf.DUMMYFUNCTION("""COMPUTED_VALUE"""),"Male")</f>
        <v>Male</v>
      </c>
      <c r="E2390" s="1" t="str">
        <f ca="1">IFERROR(__xludf.DUMMYFUNCTION("""COMPUTED_VALUE"""),"My Parents")</f>
        <v>My Parents</v>
      </c>
      <c r="F2390" s="1" t="str">
        <f ca="1">IFERROR(__xludf.DUMMYFUNCTION("""COMPUTED_VALUE"""),"No, But if someone could bare the cost I will")</f>
        <v>No, But if someone could bare the cost I will</v>
      </c>
      <c r="G2390" s="1" t="str">
        <f ca="1">IFERROR(__xludf.DUMMYFUNCTION("""COMPUTED_VALUE"""),"This will be hard to do, but if it is the right company I would try")</f>
        <v>This will be hard to do, but if it is the right company I would try</v>
      </c>
      <c r="H2390" s="1" t="str">
        <f ca="1">IFERROR(__xludf.DUMMYFUNCTION("""COMPUTED_VALUE"""),"Yes")</f>
        <v>Yes</v>
      </c>
      <c r="I2390" s="1" t="str">
        <f ca="1">IFERROR(__xludf.DUMMYFUNCTION("""COMPUTED_VALUE"""),"Will work for them")</f>
        <v>Will work for them</v>
      </c>
      <c r="J2390" s="1">
        <f ca="1">IFERROR(__xludf.DUMMYFUNCTION("""COMPUTED_VALUE"""),5)</f>
        <v>5</v>
      </c>
      <c r="K2390" s="1" t="str">
        <f ca="1">IFERROR(__xludf.DUMMYFUNCTION("""COMPUTED_VALUE"""),"Fully Remote with Options to travel as and when needed")</f>
        <v>Fully Remote with Options to travel as and when needed</v>
      </c>
      <c r="L2390" s="1" t="str">
        <f ca="1">IFERROR(__xludf.DUMMYFUNCTION("""COMPUTED_VALUE"""),"Employer who appreciates learning and enables that environment")</f>
        <v>Employer who appreciates learning and enables that environment</v>
      </c>
      <c r="M239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90" s="1" t="str">
        <f ca="1">IFERROR(__xludf.DUMMYFUNCTION("""COMPUTED_VALUE"""),"Business Operations in any organization, Design and Develop amazing software, Look deeply into Data and generate insights, An Artificial Intelligence Specialist / Talking to Robots")</f>
        <v>Business Operations in any organization, Design and Develop amazing software, Look deeply into Data and generate insights, An Artificial Intelligence Specialist / Talking to Robots</v>
      </c>
      <c r="O2390" s="1" t="str">
        <f ca="1">IFERROR(__xludf.DUMMYFUNCTION("""COMPUTED_VALUE"""),"Manager who explains what is expected, sets a goal and helps achieve it")</f>
        <v>Manager who explains what is expected, sets a goal and helps achieve it</v>
      </c>
      <c r="P2390" s="1" t="str">
        <f ca="1">IFERROR(__xludf.DUMMYFUNCTION("""COMPUTED_VALUE"""),"Work with 5 to 6 people in my team")</f>
        <v>Work with 5 to 6 people in my team</v>
      </c>
      <c r="Q2390" s="1" t="str">
        <f ca="1">IFERROR(__xludf.DUMMYFUNCTION("""COMPUTED_VALUE"""),"Yes, I Understand this is gonna happen everywhere")</f>
        <v>Yes, I Understand this is gonna happen everywhere</v>
      </c>
      <c r="R2390" s="1" t="str">
        <f ca="1">IFERROR(__xludf.DUMMYFUNCTION("""COMPUTED_VALUE"""),"This will be hard to do, but if it is the right company I would try")</f>
        <v>This will be hard to do, but if it is the right company I would try</v>
      </c>
      <c r="S2390" s="1" t="str">
        <f ca="1">IFERROR(__xludf.DUMMYFUNCTION("""COMPUTED_VALUE"""),"dared2419@gmail.com")</f>
        <v>dared2419@gmail.com</v>
      </c>
    </row>
    <row r="2391" spans="1:19" ht="12.5" x14ac:dyDescent="0.25">
      <c r="A2391" s="2">
        <f ca="1">IFERROR(__xludf.DUMMYFUNCTION("""COMPUTED_VALUE"""),45064.5126507638)</f>
        <v>45064.512650763798</v>
      </c>
      <c r="B2391" s="1" t="str">
        <f ca="1">IFERROR(__xludf.DUMMYFUNCTION("""COMPUTED_VALUE"""),"India")</f>
        <v>India</v>
      </c>
      <c r="C2391" s="1">
        <f ca="1">IFERROR(__xludf.DUMMYFUNCTION("""COMPUTED_VALUE"""),591123)</f>
        <v>591123</v>
      </c>
      <c r="D2391" s="1" t="str">
        <f ca="1">IFERROR(__xludf.DUMMYFUNCTION("""COMPUTED_VALUE"""),"Female")</f>
        <v>Female</v>
      </c>
      <c r="E2391" s="1" t="str">
        <f ca="1">IFERROR(__xludf.DUMMYFUNCTION("""COMPUTED_VALUE"""),"My Parents")</f>
        <v>My Parents</v>
      </c>
      <c r="F2391" s="1" t="str">
        <f ca="1">IFERROR(__xludf.DUMMYFUNCTION("""COMPUTED_VALUE"""),"No, But if someone could bare the cost I will")</f>
        <v>No, But if someone could bare the cost I will</v>
      </c>
      <c r="G2391" s="1" t="str">
        <f ca="1">IFERROR(__xludf.DUMMYFUNCTION("""COMPUTED_VALUE"""),"Will work for 3 years or more")</f>
        <v>Will work for 3 years or more</v>
      </c>
      <c r="H2391" s="1" t="str">
        <f ca="1">IFERROR(__xludf.DUMMYFUNCTION("""COMPUTED_VALUE"""),"Yes")</f>
        <v>Yes</v>
      </c>
      <c r="I2391" s="1" t="str">
        <f ca="1">IFERROR(__xludf.DUMMYFUNCTION("""COMPUTED_VALUE"""),"Will work for them")</f>
        <v>Will work for them</v>
      </c>
      <c r="J2391" s="1">
        <f ca="1">IFERROR(__xludf.DUMMYFUNCTION("""COMPUTED_VALUE"""),5)</f>
        <v>5</v>
      </c>
      <c r="K2391" s="1" t="str">
        <f ca="1">IFERROR(__xludf.DUMMYFUNCTION("""COMPUTED_VALUE"""),"Fully Remote with Options to travel as and when needed")</f>
        <v>Fully Remote with Options to travel as and when needed</v>
      </c>
      <c r="L23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9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391" s="1" t="str">
        <f ca="1">IFERROR(__xludf.DUMMYFUNCTION("""COMPUTED_VALUE"""),"Business Operations in any organization, Manage and drive End-to-End Projects or Products, Build and develop a Team, Become a content Creator in some platform")</f>
        <v>Business Operations in any organization, Manage and drive End-to-End Projects or Products, Build and develop a Team, Become a content Creator in some platform</v>
      </c>
      <c r="O2391" s="1" t="str">
        <f ca="1">IFERROR(__xludf.DUMMYFUNCTION("""COMPUTED_VALUE"""),"Manager who explains what is expected, sets a goal and helps achieve it")</f>
        <v>Manager who explains what is expected, sets a goal and helps achieve it</v>
      </c>
      <c r="P2391" s="1" t="str">
        <f ca="1">IFERROR(__xludf.DUMMYFUNCTION("""COMPUTED_VALUE"""),"Work with more than 10 people in my team")</f>
        <v>Work with more than 10 people in my team</v>
      </c>
      <c r="Q2391" s="1" t="str">
        <f ca="1">IFERROR(__xludf.DUMMYFUNCTION("""COMPUTED_VALUE"""),"Yes, I Understand this is gonna happen everywhere")</f>
        <v>Yes, I Understand this is gonna happen everywhere</v>
      </c>
      <c r="R2391" s="1" t="str">
        <f ca="1">IFERROR(__xludf.DUMMYFUNCTION("""COMPUTED_VALUE"""),"No way")</f>
        <v>No way</v>
      </c>
      <c r="S2391" s="1" t="str">
        <f ca="1">IFERROR(__xludf.DUMMYFUNCTION("""COMPUTED_VALUE"""),"smlokapur0602@gmail.com")</f>
        <v>smlokapur0602@gmail.com</v>
      </c>
    </row>
    <row r="2392" spans="1:19" ht="12.5" x14ac:dyDescent="0.25">
      <c r="A2392" s="2">
        <f ca="1">IFERROR(__xludf.DUMMYFUNCTION("""COMPUTED_VALUE"""),45064.51499625)</f>
        <v>45064.51499625</v>
      </c>
      <c r="B2392" s="1" t="str">
        <f ca="1">IFERROR(__xludf.DUMMYFUNCTION("""COMPUTED_VALUE"""),"India")</f>
        <v>India</v>
      </c>
      <c r="C2392" s="1">
        <f ca="1">IFERROR(__xludf.DUMMYFUNCTION("""COMPUTED_VALUE"""),431203)</f>
        <v>431203</v>
      </c>
      <c r="D2392" s="1" t="str">
        <f ca="1">IFERROR(__xludf.DUMMYFUNCTION("""COMPUTED_VALUE"""),"Female")</f>
        <v>Female</v>
      </c>
      <c r="E2392" s="1" t="str">
        <f ca="1">IFERROR(__xludf.DUMMYFUNCTION("""COMPUTED_VALUE"""),"My Parents")</f>
        <v>My Parents</v>
      </c>
      <c r="F2392" s="1" t="str">
        <f ca="1">IFERROR(__xludf.DUMMYFUNCTION("""COMPUTED_VALUE"""),"Yes, I will earn and do that")</f>
        <v>Yes, I will earn and do that</v>
      </c>
      <c r="G2392" s="1" t="str">
        <f ca="1">IFERROR(__xludf.DUMMYFUNCTION("""COMPUTED_VALUE"""),"Will work for 3 years or more")</f>
        <v>Will work for 3 years or more</v>
      </c>
      <c r="H2392" s="1" t="str">
        <f ca="1">IFERROR(__xludf.DUMMYFUNCTION("""COMPUTED_VALUE"""),"Yes")</f>
        <v>Yes</v>
      </c>
      <c r="I2392" s="1" t="str">
        <f ca="1">IFERROR(__xludf.DUMMYFUNCTION("""COMPUTED_VALUE"""),"Will work for them")</f>
        <v>Will work for them</v>
      </c>
      <c r="J2392" s="1">
        <f ca="1">IFERROR(__xludf.DUMMYFUNCTION("""COMPUTED_VALUE"""),10)</f>
        <v>10</v>
      </c>
      <c r="K2392" s="1" t="str">
        <f ca="1">IFERROR(__xludf.DUMMYFUNCTION("""COMPUTED_VALUE"""),"Every Day Office Environment")</f>
        <v>Every Day Office Environment</v>
      </c>
      <c r="L2392" s="1" t="str">
        <f ca="1">IFERROR(__xludf.DUMMYFUNCTION("""COMPUTED_VALUE"""),"Employer who appreciates learning and enables that environment")</f>
        <v>Employer who appreciates learning and enables that environment</v>
      </c>
      <c r="M239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392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392" s="1" t="str">
        <f ca="1">IFERROR(__xludf.DUMMYFUNCTION("""COMPUTED_VALUE"""),"Manager who explains what is expected, sets a goal and helps achieve it")</f>
        <v>Manager who explains what is expected, sets a goal and helps achieve it</v>
      </c>
      <c r="P2392" s="1" t="str">
        <f ca="1">IFERROR(__xludf.DUMMYFUNCTION("""COMPUTED_VALUE"""),"Work with more than 10 people in my team")</f>
        <v>Work with more than 10 people in my team</v>
      </c>
      <c r="Q2392" s="1" t="str">
        <f ca="1">IFERROR(__xludf.DUMMYFUNCTION("""COMPUTED_VALUE"""),"Yes, I Understand this is gonna happen everywhere")</f>
        <v>Yes, I Understand this is gonna happen everywhere</v>
      </c>
      <c r="R2392" s="1" t="str">
        <f ca="1">IFERROR(__xludf.DUMMYFUNCTION("""COMPUTED_VALUE"""),"Will work for 7 years or more")</f>
        <v>Will work for 7 years or more</v>
      </c>
      <c r="S2392" s="1" t="str">
        <f ca="1">IFERROR(__xludf.DUMMYFUNCTION("""COMPUTED_VALUE"""),"apoorvasaratepatil@gmail.com")</f>
        <v>apoorvasaratepatil@gmail.com</v>
      </c>
    </row>
    <row r="2393" spans="1:19" ht="12.5" x14ac:dyDescent="0.25">
      <c r="A2393" s="2">
        <f ca="1">IFERROR(__xludf.DUMMYFUNCTION("""COMPUTED_VALUE"""),45064.5169477662)</f>
        <v>45064.516947766198</v>
      </c>
      <c r="B2393" s="1" t="str">
        <f ca="1">IFERROR(__xludf.DUMMYFUNCTION("""COMPUTED_VALUE"""),"India")</f>
        <v>India</v>
      </c>
      <c r="C2393" s="1">
        <f ca="1">IFERROR(__xludf.DUMMYFUNCTION("""COMPUTED_VALUE"""),673603)</f>
        <v>673603</v>
      </c>
      <c r="D2393" s="1" t="str">
        <f ca="1">IFERROR(__xludf.DUMMYFUNCTION("""COMPUTED_VALUE"""),"Male")</f>
        <v>Male</v>
      </c>
      <c r="E2393" s="1" t="str">
        <f ca="1">IFERROR(__xludf.DUMMYFUNCTION("""COMPUTED_VALUE"""),"People from my circle, but not family members")</f>
        <v>People from my circle, but not family members</v>
      </c>
      <c r="F2393" s="1" t="str">
        <f ca="1">IFERROR(__xludf.DUMMYFUNCTION("""COMPUTED_VALUE"""),"Yes, I will earn and do that")</f>
        <v>Yes, I will earn and do that</v>
      </c>
      <c r="G2393" s="1" t="str">
        <f ca="1">IFERROR(__xludf.DUMMYFUNCTION("""COMPUTED_VALUE"""),"Will work for 3 years or more")</f>
        <v>Will work for 3 years or more</v>
      </c>
      <c r="H2393" s="1" t="str">
        <f ca="1">IFERROR(__xludf.DUMMYFUNCTION("""COMPUTED_VALUE"""),"Yes")</f>
        <v>Yes</v>
      </c>
      <c r="I2393" s="1" t="str">
        <f ca="1">IFERROR(__xludf.DUMMYFUNCTION("""COMPUTED_VALUE"""),"Will work for them")</f>
        <v>Will work for them</v>
      </c>
      <c r="J2393" s="1">
        <f ca="1">IFERROR(__xludf.DUMMYFUNCTION("""COMPUTED_VALUE"""),3)</f>
        <v>3</v>
      </c>
      <c r="K2393" s="1" t="str">
        <f ca="1">IFERROR(__xludf.DUMMYFUNCTION("""COMPUTED_VALUE"""),"Hybrid Working Environment with more than 15 days a month at office")</f>
        <v>Hybrid Working Environment with more than 15 days a month at office</v>
      </c>
      <c r="L23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9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93" s="1" t="str">
        <f ca="1">IFERROR(__xludf.DUMMYFUNCTION("""COMPUTED_VALUE"""),"Business Operations in any organization, Manage and drive End-to-End Projects or Products, Design and Develop amazing software, Work in a BPO setup for some well known client")</f>
        <v>Business Operations in any organization, Manage and drive End-to-End Projects or Products, Design and Develop amazing software, Work in a BPO setup for some well known client</v>
      </c>
      <c r="O2393" s="1" t="str">
        <f ca="1">IFERROR(__xludf.DUMMYFUNCTION("""COMPUTED_VALUE"""),"Manager who sets goal and helps me achieve it")</f>
        <v>Manager who sets goal and helps me achieve it</v>
      </c>
      <c r="P2393" s="1" t="str">
        <f ca="1">IFERROR(__xludf.DUMMYFUNCTION("""COMPUTED_VALUE"""),"Work with 7 to 10 or more people in my team")</f>
        <v>Work with 7 to 10 or more people in my team</v>
      </c>
      <c r="Q2393" s="1" t="str">
        <f ca="1">IFERROR(__xludf.DUMMYFUNCTION("""COMPUTED_VALUE"""),"I have NO other choice")</f>
        <v>I have NO other choice</v>
      </c>
      <c r="R2393" s="1" t="str">
        <f ca="1">IFERROR(__xludf.DUMMYFUNCTION("""COMPUTED_VALUE"""),"Will work for 7 years or more")</f>
        <v>Will work for 7 years or more</v>
      </c>
      <c r="S2393" s="1" t="str">
        <f ca="1">IFERROR(__xludf.DUMMYFUNCTION("""COMPUTED_VALUE"""),"santhoshtharayil18@gmail.com")</f>
        <v>santhoshtharayil18@gmail.com</v>
      </c>
    </row>
    <row r="2394" spans="1:19" ht="12.5" x14ac:dyDescent="0.25">
      <c r="A2394" s="2">
        <f ca="1">IFERROR(__xludf.DUMMYFUNCTION("""COMPUTED_VALUE"""),45064.51775103)</f>
        <v>45064.517751029998</v>
      </c>
      <c r="B2394" s="1" t="str">
        <f ca="1">IFERROR(__xludf.DUMMYFUNCTION("""COMPUTED_VALUE"""),"India")</f>
        <v>India</v>
      </c>
      <c r="C2394" s="1">
        <f ca="1">IFERROR(__xludf.DUMMYFUNCTION("""COMPUTED_VALUE"""),411041)</f>
        <v>411041</v>
      </c>
      <c r="D2394" s="1" t="str">
        <f ca="1">IFERROR(__xludf.DUMMYFUNCTION("""COMPUTED_VALUE"""),"Female")</f>
        <v>Female</v>
      </c>
      <c r="E2394" s="1" t="str">
        <f ca="1">IFERROR(__xludf.DUMMYFUNCTION("""COMPUTED_VALUE"""),"Influencers who had successful careers")</f>
        <v>Influencers who had successful careers</v>
      </c>
      <c r="F2394" s="1" t="str">
        <f ca="1">IFERROR(__xludf.DUMMYFUNCTION("""COMPUTED_VALUE"""),"Yes, I will earn and do that")</f>
        <v>Yes, I will earn and do that</v>
      </c>
      <c r="G2394" s="1" t="str">
        <f ca="1">IFERROR(__xludf.DUMMYFUNCTION("""COMPUTED_VALUE"""),"This will be hard to do, but if it is the right company I would try")</f>
        <v>This will be hard to do, but if it is the right company I would try</v>
      </c>
      <c r="H2394" s="1" t="str">
        <f ca="1">IFERROR(__xludf.DUMMYFUNCTION("""COMPUTED_VALUE"""),"No")</f>
        <v>No</v>
      </c>
      <c r="I2394" s="1" t="str">
        <f ca="1">IFERROR(__xludf.DUMMYFUNCTION("""COMPUTED_VALUE"""),"Will NOT work for them")</f>
        <v>Will NOT work for them</v>
      </c>
      <c r="J2394" s="1">
        <f ca="1">IFERROR(__xludf.DUMMYFUNCTION("""COMPUTED_VALUE"""),5)</f>
        <v>5</v>
      </c>
      <c r="K2394" s="1" t="str">
        <f ca="1">IFERROR(__xludf.DUMMYFUNCTION("""COMPUTED_VALUE"""),"Fully Remote with Options to travel as and when needed")</f>
        <v>Fully Remote with Options to travel as and when needed</v>
      </c>
      <c r="L23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9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394" s="1" t="str">
        <f ca="1">IFERROR(__xludf.DUMMYFUNCTION("""COMPUTED_VALUE"""),"Design and Creative strategy in any company, Business Operations in any organization, Entrepreneur or Start Up, An Artificial Intelligence Specialist / Talking to Robots")</f>
        <v>Design and Creative strategy in any company, Business Operations in any organization, Entrepreneur or Start Up, An Artificial Intelligence Specialist / Talking to Robots</v>
      </c>
      <c r="O2394" s="1" t="str">
        <f ca="1">IFERROR(__xludf.DUMMYFUNCTION("""COMPUTED_VALUE"""),"Manager who explains what is expected, sets a goal and helps achieve it")</f>
        <v>Manager who explains what is expected, sets a goal and helps achieve it</v>
      </c>
      <c r="P2394" s="1" t="str">
        <f ca="1">IFERROR(__xludf.DUMMYFUNCTION("""COMPUTED_VALUE"""),"Work with 2 to 3 people in my team, Work with 5 to 6 people in my team")</f>
        <v>Work with 2 to 3 people in my team, Work with 5 to 6 people in my team</v>
      </c>
      <c r="Q2394" s="1" t="str">
        <f ca="1">IFERROR(__xludf.DUMMYFUNCTION("""COMPUTED_VALUE"""),"Yes, I Understand this is gonna happen everywhere")</f>
        <v>Yes, I Understand this is gonna happen everywhere</v>
      </c>
      <c r="R2394" s="1" t="str">
        <f ca="1">IFERROR(__xludf.DUMMYFUNCTION("""COMPUTED_VALUE"""),"No way")</f>
        <v>No way</v>
      </c>
      <c r="S2394" s="1" t="str">
        <f ca="1">IFERROR(__xludf.DUMMYFUNCTION("""COMPUTED_VALUE"""),"srushtikamble2911@gmail.com")</f>
        <v>srushtikamble2911@gmail.com</v>
      </c>
    </row>
    <row r="2395" spans="1:19" ht="12.5" x14ac:dyDescent="0.25">
      <c r="A2395" s="2">
        <f ca="1">IFERROR(__xludf.DUMMYFUNCTION("""COMPUTED_VALUE"""),45064.5189696643)</f>
        <v>45064.518969664299</v>
      </c>
      <c r="B2395" s="1" t="str">
        <f ca="1">IFERROR(__xludf.DUMMYFUNCTION("""COMPUTED_VALUE"""),"India")</f>
        <v>India</v>
      </c>
      <c r="C2395" s="1">
        <f ca="1">IFERROR(__xludf.DUMMYFUNCTION("""COMPUTED_VALUE"""),673603)</f>
        <v>673603</v>
      </c>
      <c r="D2395" s="1" t="str">
        <f ca="1">IFERROR(__xludf.DUMMYFUNCTION("""COMPUTED_VALUE"""),"Male")</f>
        <v>Male</v>
      </c>
      <c r="E2395" s="1" t="str">
        <f ca="1">IFERROR(__xludf.DUMMYFUNCTION("""COMPUTED_VALUE"""),"My Parents")</f>
        <v>My Parents</v>
      </c>
      <c r="F2395" s="1" t="str">
        <f ca="1">IFERROR(__xludf.DUMMYFUNCTION("""COMPUTED_VALUE"""),"Yes, I will earn and do that")</f>
        <v>Yes, I will earn and do that</v>
      </c>
      <c r="G2395" s="1" t="str">
        <f ca="1">IFERROR(__xludf.DUMMYFUNCTION("""COMPUTED_VALUE"""),"Will work for 3 years or more")</f>
        <v>Will work for 3 years or more</v>
      </c>
      <c r="H2395" s="1" t="str">
        <f ca="1">IFERROR(__xludf.DUMMYFUNCTION("""COMPUTED_VALUE"""),"No")</f>
        <v>No</v>
      </c>
      <c r="I2395" s="1" t="str">
        <f ca="1">IFERROR(__xludf.DUMMYFUNCTION("""COMPUTED_VALUE"""),"Will work for them")</f>
        <v>Will work for them</v>
      </c>
      <c r="J2395" s="1">
        <f ca="1">IFERROR(__xludf.DUMMYFUNCTION("""COMPUTED_VALUE"""),10)</f>
        <v>10</v>
      </c>
      <c r="K2395" s="1" t="str">
        <f ca="1">IFERROR(__xludf.DUMMYFUNCTION("""COMPUTED_VALUE"""),"Every Day Office Environment")</f>
        <v>Every Day Office Environment</v>
      </c>
      <c r="L2395" s="1" t="str">
        <f ca="1">IFERROR(__xludf.DUMMYFUNCTION("""COMPUTED_VALUE"""),"Employer who appreciates learning and enables that environment")</f>
        <v>Employer who appreciates learning and enables that environment</v>
      </c>
      <c r="M239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395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2395" s="1" t="str">
        <f ca="1">IFERROR(__xludf.DUMMYFUNCTION("""COMPUTED_VALUE"""),"Manager who clearly describes what she/he needs")</f>
        <v>Manager who clearly describes what she/he needs</v>
      </c>
      <c r="P2395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395" s="1" t="str">
        <f ca="1">IFERROR(__xludf.DUMMYFUNCTION("""COMPUTED_VALUE"""),"Yes")</f>
        <v>Yes</v>
      </c>
      <c r="R2395" s="1" t="str">
        <f ca="1">IFERROR(__xludf.DUMMYFUNCTION("""COMPUTED_VALUE"""),"Will work for 7 years or more")</f>
        <v>Will work for 7 years or more</v>
      </c>
      <c r="S2395" s="1" t="str">
        <f ca="1">IFERROR(__xludf.DUMMYFUNCTION("""COMPUTED_VALUE"""),"marshalmanoj1234@gmail.com")</f>
        <v>marshalmanoj1234@gmail.com</v>
      </c>
    </row>
    <row r="2396" spans="1:19" ht="12.5" x14ac:dyDescent="0.25">
      <c r="A2396" s="2">
        <f ca="1">IFERROR(__xludf.DUMMYFUNCTION("""COMPUTED_VALUE"""),45064.5192767939)</f>
        <v>45064.519276793901</v>
      </c>
      <c r="B2396" s="1" t="str">
        <f ca="1">IFERROR(__xludf.DUMMYFUNCTION("""COMPUTED_VALUE"""),"India")</f>
        <v>India</v>
      </c>
      <c r="C2396" s="1">
        <f ca="1">IFERROR(__xludf.DUMMYFUNCTION("""COMPUTED_VALUE"""),673603)</f>
        <v>673603</v>
      </c>
      <c r="D2396" s="1" t="str">
        <f ca="1">IFERROR(__xludf.DUMMYFUNCTION("""COMPUTED_VALUE"""),"Male")</f>
        <v>Male</v>
      </c>
      <c r="E2396" s="1" t="str">
        <f ca="1">IFERROR(__xludf.DUMMYFUNCTION("""COMPUTED_VALUE"""),"My Parents")</f>
        <v>My Parents</v>
      </c>
      <c r="F2396" s="1" t="str">
        <f ca="1">IFERROR(__xludf.DUMMYFUNCTION("""COMPUTED_VALUE"""),"No, But if someone could bare the cost I will")</f>
        <v>No, But if someone could bare the cost I will</v>
      </c>
      <c r="G2396" s="1" t="str">
        <f ca="1">IFERROR(__xludf.DUMMYFUNCTION("""COMPUTED_VALUE"""),"No way")</f>
        <v>No way</v>
      </c>
      <c r="H2396" s="1" t="str">
        <f ca="1">IFERROR(__xludf.DUMMYFUNCTION("""COMPUTED_VALUE"""),"Yes")</f>
        <v>Yes</v>
      </c>
      <c r="I2396" s="1" t="str">
        <f ca="1">IFERROR(__xludf.DUMMYFUNCTION("""COMPUTED_VALUE"""),"Will work for them")</f>
        <v>Will work for them</v>
      </c>
      <c r="J2396" s="1">
        <f ca="1">IFERROR(__xludf.DUMMYFUNCTION("""COMPUTED_VALUE"""),7)</f>
        <v>7</v>
      </c>
      <c r="K2396" s="1" t="str">
        <f ca="1">IFERROR(__xludf.DUMMYFUNCTION("""COMPUTED_VALUE"""),"Every Day Office Environment")</f>
        <v>Every Day Office Environment</v>
      </c>
      <c r="L23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96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396" s="1" t="str">
        <f ca="1">IFERROR(__xludf.DUMMYFUNCTION("""COMPUTED_VALUE"""),"Teaching in any of the institutes/colleges/online or offline, Look deeply into Data and generate insights, I Want to sell things/Sales, Manufacturing / Oil and Gas/ Construction / Hard Physical Work related")</f>
        <v>Teaching in any of the institutes/colleges/online or offline, Look deeply into Data and generate insights, I Want to sell things/Sales, Manufacturing / Oil and Gas/ Construction / Hard Physical Work related</v>
      </c>
      <c r="O2396" s="1" t="str">
        <f ca="1">IFERROR(__xludf.DUMMYFUNCTION("""COMPUTED_VALUE"""),"Manager who sets goal and helps me achieve it")</f>
        <v>Manager who sets goal and helps me achieve it</v>
      </c>
      <c r="P2396" s="1" t="str">
        <f ca="1">IFERROR(__xludf.DUMMYFUNCTION("""COMPUTED_VALUE"""),"Work alone, Work with 7 to 10 or more people in my team")</f>
        <v>Work alone, Work with 7 to 10 or more people in my team</v>
      </c>
      <c r="Q2396" s="1" t="str">
        <f ca="1">IFERROR(__xludf.DUMMYFUNCTION("""COMPUTED_VALUE"""),"Yes")</f>
        <v>Yes</v>
      </c>
      <c r="R2396" s="1" t="str">
        <f ca="1">IFERROR(__xludf.DUMMYFUNCTION("""COMPUTED_VALUE"""),"No way")</f>
        <v>No way</v>
      </c>
      <c r="S2396" s="1" t="str">
        <f ca="1">IFERROR(__xludf.DUMMYFUNCTION("""COMPUTED_VALUE"""),"abhinavbiju339@gmail.com")</f>
        <v>abhinavbiju339@gmail.com</v>
      </c>
    </row>
    <row r="2397" spans="1:19" ht="12.5" x14ac:dyDescent="0.25">
      <c r="A2397" s="2">
        <f ca="1">IFERROR(__xludf.DUMMYFUNCTION("""COMPUTED_VALUE"""),45064.5216261921)</f>
        <v>45064.521626192101</v>
      </c>
      <c r="B2397" s="1" t="str">
        <f ca="1">IFERROR(__xludf.DUMMYFUNCTION("""COMPUTED_VALUE"""),"India")</f>
        <v>India</v>
      </c>
      <c r="C2397" s="1">
        <f ca="1">IFERROR(__xludf.DUMMYFUNCTION("""COMPUTED_VALUE"""),412308)</f>
        <v>412308</v>
      </c>
      <c r="D2397" s="1" t="str">
        <f ca="1">IFERROR(__xludf.DUMMYFUNCTION("""COMPUTED_VALUE"""),"Female")</f>
        <v>Female</v>
      </c>
      <c r="E2397" s="1" t="str">
        <f ca="1">IFERROR(__xludf.DUMMYFUNCTION("""COMPUTED_VALUE"""),"Influencers who had successful careers")</f>
        <v>Influencers who had successful careers</v>
      </c>
      <c r="F2397" s="1" t="str">
        <f ca="1">IFERROR(__xludf.DUMMYFUNCTION("""COMPUTED_VALUE"""),"No I would not be pursuing Higher Education outside of India")</f>
        <v>No I would not be pursuing Higher Education outside of India</v>
      </c>
      <c r="G2397" s="1" t="str">
        <f ca="1">IFERROR(__xludf.DUMMYFUNCTION("""COMPUTED_VALUE"""),"This will be hard to do, but if it is the right company I would try")</f>
        <v>This will be hard to do, but if it is the right company I would try</v>
      </c>
      <c r="H2397" s="1" t="str">
        <f ca="1">IFERROR(__xludf.DUMMYFUNCTION("""COMPUTED_VALUE"""),"No")</f>
        <v>No</v>
      </c>
      <c r="I2397" s="1" t="str">
        <f ca="1">IFERROR(__xludf.DUMMYFUNCTION("""COMPUTED_VALUE"""),"Will NOT work for them")</f>
        <v>Will NOT work for them</v>
      </c>
      <c r="J2397" s="1">
        <f ca="1">IFERROR(__xludf.DUMMYFUNCTION("""COMPUTED_VALUE"""),2)</f>
        <v>2</v>
      </c>
      <c r="K2397" s="1" t="str">
        <f ca="1">IFERROR(__xludf.DUMMYFUNCTION("""COMPUTED_VALUE"""),"Hybrid Working Environment with more than 15 days a month at office")</f>
        <v>Hybrid Working Environment with more than 15 days a month at office</v>
      </c>
      <c r="L23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9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397" s="1" t="str">
        <f ca="1">IFERROR(__xludf.DUMMYFUNCTION("""COMPUTED_VALUE"""),"Design and Creative strategy in any company, Build and develop a Team, Design and Develop amazing software, Work as a freelancer and do my thing my way")</f>
        <v>Design and Creative strategy in any company, Build and develop a Team, Design and Develop amazing software, Work as a freelancer and do my thing my way</v>
      </c>
      <c r="O2397" s="1" t="str">
        <f ca="1">IFERROR(__xludf.DUMMYFUNCTION("""COMPUTED_VALUE"""),"Manager who sets goal and helps me achieve it")</f>
        <v>Manager who sets goal and helps me achieve it</v>
      </c>
      <c r="P2397" s="1" t="str">
        <f ca="1">IFERROR(__xludf.DUMMYFUNCTION("""COMPUTED_VALUE"""),"Work with 7 to 10 or more people in my team")</f>
        <v>Work with 7 to 10 or more people in my team</v>
      </c>
      <c r="Q2397" s="1" t="str">
        <f ca="1">IFERROR(__xludf.DUMMYFUNCTION("""COMPUTED_VALUE"""),"Yes, I Understand this is gonna happen everywhere")</f>
        <v>Yes, I Understand this is gonna happen everywhere</v>
      </c>
      <c r="R2397" s="1" t="str">
        <f ca="1">IFERROR(__xludf.DUMMYFUNCTION("""COMPUTED_VALUE"""),"No way")</f>
        <v>No way</v>
      </c>
      <c r="S2397" s="1" t="str">
        <f ca="1">IFERROR(__xludf.DUMMYFUNCTION("""COMPUTED_VALUE"""),"rokadeakanksha816@gmail.com")</f>
        <v>rokadeakanksha816@gmail.com</v>
      </c>
    </row>
    <row r="2398" spans="1:19" ht="12.5" x14ac:dyDescent="0.25">
      <c r="A2398" s="2">
        <f ca="1">IFERROR(__xludf.DUMMYFUNCTION("""COMPUTED_VALUE"""),45064.5241798842)</f>
        <v>45064.524179884203</v>
      </c>
      <c r="B2398" s="1" t="str">
        <f ca="1">IFERROR(__xludf.DUMMYFUNCTION("""COMPUTED_VALUE"""),"India")</f>
        <v>India</v>
      </c>
      <c r="C2398" s="1">
        <f ca="1">IFERROR(__xludf.DUMMYFUNCTION("""COMPUTED_VALUE"""),560064)</f>
        <v>560064</v>
      </c>
      <c r="D2398" s="1" t="str">
        <f ca="1">IFERROR(__xludf.DUMMYFUNCTION("""COMPUTED_VALUE"""),"Male")</f>
        <v>Male</v>
      </c>
      <c r="E2398" s="1" t="str">
        <f ca="1">IFERROR(__xludf.DUMMYFUNCTION("""COMPUTED_VALUE"""),"My Parents")</f>
        <v>My Parents</v>
      </c>
      <c r="F2398" s="1" t="str">
        <f ca="1">IFERROR(__xludf.DUMMYFUNCTION("""COMPUTED_VALUE"""),"Yes, I will earn and do that")</f>
        <v>Yes, I will earn and do that</v>
      </c>
      <c r="G2398" s="1" t="str">
        <f ca="1">IFERROR(__xludf.DUMMYFUNCTION("""COMPUTED_VALUE"""),"Will work for 3 years or more")</f>
        <v>Will work for 3 years or more</v>
      </c>
      <c r="H2398" s="1" t="str">
        <f ca="1">IFERROR(__xludf.DUMMYFUNCTION("""COMPUTED_VALUE"""),"No")</f>
        <v>No</v>
      </c>
      <c r="I2398" s="1" t="str">
        <f ca="1">IFERROR(__xludf.DUMMYFUNCTION("""COMPUTED_VALUE"""),"Will NOT work for them")</f>
        <v>Will NOT work for them</v>
      </c>
      <c r="J2398" s="1">
        <f ca="1">IFERROR(__xludf.DUMMYFUNCTION("""COMPUTED_VALUE"""),5)</f>
        <v>5</v>
      </c>
      <c r="K2398" s="1" t="str">
        <f ca="1">IFERROR(__xludf.DUMMYFUNCTION("""COMPUTED_VALUE"""),"Hybrid Working Environment with more than 15 days a month at office")</f>
        <v>Hybrid Working Environment with more than 15 days a month at office</v>
      </c>
      <c r="L23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39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398" s="1" t="str">
        <f ca="1">IFERROR(__xludf.DUMMYFUNCTION("""COMPUTED_VALUE"""),"Teaching in any of the institutes/colleges/online or offline, Business Operations in any organization, Entrepreneur or Start Up, Manufacturing / Oil and Gas/ Construction / Hard Physical Work related")</f>
        <v>Teaching in any of the institutes/colleges/online or offline, Business Operations in any organization, Entrepreneur or Start Up, Manufacturing / Oil and Gas/ Construction / Hard Physical Work related</v>
      </c>
      <c r="O2398" s="1" t="str">
        <f ca="1">IFERROR(__xludf.DUMMYFUNCTION("""COMPUTED_VALUE"""),"Manager who explains what is expected, sets a goal and helps achieve it")</f>
        <v>Manager who explains what is expected, sets a goal and helps achieve it</v>
      </c>
      <c r="P2398" s="1" t="str">
        <f ca="1">IFERROR(__xludf.DUMMYFUNCTION("""COMPUTED_VALUE"""),"Work with 5 to 6 people in my team")</f>
        <v>Work with 5 to 6 people in my team</v>
      </c>
      <c r="Q2398" s="1" t="str">
        <f ca="1">IFERROR(__xludf.DUMMYFUNCTION("""COMPUTED_VALUE"""),"Yes, I Understand this is gonna happen everywhere")</f>
        <v>Yes, I Understand this is gonna happen everywhere</v>
      </c>
      <c r="R2398" s="1" t="str">
        <f ca="1">IFERROR(__xludf.DUMMYFUNCTION("""COMPUTED_VALUE"""),"Will work for 7 years or more")</f>
        <v>Will work for 7 years or more</v>
      </c>
      <c r="S2398" s="1" t="str">
        <f ca="1">IFERROR(__xludf.DUMMYFUNCTION("""COMPUTED_VALUE"""),"rajeshmanagutti@gmail.com")</f>
        <v>rajeshmanagutti@gmail.com</v>
      </c>
    </row>
    <row r="2399" spans="1:19" ht="12.5" x14ac:dyDescent="0.25">
      <c r="A2399" s="2">
        <f ca="1">IFERROR(__xludf.DUMMYFUNCTION("""COMPUTED_VALUE"""),45064.5251730671)</f>
        <v>45064.525173067101</v>
      </c>
      <c r="B2399" s="1" t="str">
        <f ca="1">IFERROR(__xludf.DUMMYFUNCTION("""COMPUTED_VALUE"""),"India")</f>
        <v>India</v>
      </c>
      <c r="C2399" s="1">
        <f ca="1">IFERROR(__xludf.DUMMYFUNCTION("""COMPUTED_VALUE"""),591123)</f>
        <v>591123</v>
      </c>
      <c r="D2399" s="1" t="str">
        <f ca="1">IFERROR(__xludf.DUMMYFUNCTION("""COMPUTED_VALUE"""),"Male")</f>
        <v>Male</v>
      </c>
      <c r="E2399" s="1" t="str">
        <f ca="1">IFERROR(__xludf.DUMMYFUNCTION("""COMPUTED_VALUE"""),"People from my circle, but not family members")</f>
        <v>People from my circle, but not family members</v>
      </c>
      <c r="F2399" s="1" t="str">
        <f ca="1">IFERROR(__xludf.DUMMYFUNCTION("""COMPUTED_VALUE"""),"No, But if someone could bare the cost I will")</f>
        <v>No, But if someone could bare the cost I will</v>
      </c>
      <c r="G2399" s="1" t="str">
        <f ca="1">IFERROR(__xludf.DUMMYFUNCTION("""COMPUTED_VALUE"""),"This will be hard to do, but if it is the right company I would try")</f>
        <v>This will be hard to do, but if it is the right company I would try</v>
      </c>
      <c r="H2399" s="1" t="str">
        <f ca="1">IFERROR(__xludf.DUMMYFUNCTION("""COMPUTED_VALUE"""),"Yes")</f>
        <v>Yes</v>
      </c>
      <c r="I2399" s="1" t="str">
        <f ca="1">IFERROR(__xludf.DUMMYFUNCTION("""COMPUTED_VALUE"""),"Will NOT work for them")</f>
        <v>Will NOT work for them</v>
      </c>
      <c r="J2399" s="1">
        <f ca="1">IFERROR(__xludf.DUMMYFUNCTION("""COMPUTED_VALUE"""),10)</f>
        <v>10</v>
      </c>
      <c r="K2399" s="1" t="str">
        <f ca="1">IFERROR(__xludf.DUMMYFUNCTION("""COMPUTED_VALUE"""),"Fully Remote with Options to travel as and when needed")</f>
        <v>Fully Remote with Options to travel as and when needed</v>
      </c>
      <c r="L2399" s="1" t="str">
        <f ca="1">IFERROR(__xludf.DUMMYFUNCTION("""COMPUTED_VALUE"""),"Employer who appreciates learning and enables that environment")</f>
        <v>Employer who appreciates learning and enables that environment</v>
      </c>
      <c r="M2399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399" s="1" t="str">
        <f ca="1">IFERROR(__xludf.DUMMYFUNCTION("""COMPUTED_VALUE"""),"Manage and drive End-to-End Projects or Products, Design and Develop amazing software, Look deeply into Data and generate insights, Work in a BPO setup for some well known client")</f>
        <v>Manage and drive End-to-End Projects or Products, Design and Develop amazing software, Look deeply into Data and generate insights, Work in a BPO setup for some well known client</v>
      </c>
      <c r="O2399" s="1" t="str">
        <f ca="1">IFERROR(__xludf.DUMMYFUNCTION("""COMPUTED_VALUE"""),"Manager who sets goal and helps me achieve it")</f>
        <v>Manager who sets goal and helps me achieve it</v>
      </c>
      <c r="P2399" s="1" t="str">
        <f ca="1">IFERROR(__xludf.DUMMYFUNCTION("""COMPUTED_VALUE"""),"Work with 2 to 3 people in my team")</f>
        <v>Work with 2 to 3 people in my team</v>
      </c>
      <c r="Q2399" s="1" t="str">
        <f ca="1">IFERROR(__xludf.DUMMYFUNCTION("""COMPUTED_VALUE"""),"Yes")</f>
        <v>Yes</v>
      </c>
      <c r="R2399" s="1" t="str">
        <f ca="1">IFERROR(__xludf.DUMMYFUNCTION("""COMPUTED_VALUE"""),"This will be hard to do, but if it is the right company I would try")</f>
        <v>This will be hard to do, but if it is the right company I would try</v>
      </c>
      <c r="S2399" s="1" t="str">
        <f ca="1">IFERROR(__xludf.DUMMYFUNCTION("""COMPUTED_VALUE"""),"sagarkaradin0@gmail.com")</f>
        <v>sagarkaradin0@gmail.com</v>
      </c>
    </row>
    <row r="2400" spans="1:19" ht="12.5" x14ac:dyDescent="0.25">
      <c r="A2400" s="2">
        <f ca="1">IFERROR(__xludf.DUMMYFUNCTION("""COMPUTED_VALUE"""),45064.5255525578)</f>
        <v>45064.525552557803</v>
      </c>
      <c r="B2400" s="1" t="str">
        <f ca="1">IFERROR(__xludf.DUMMYFUNCTION("""COMPUTED_VALUE"""),"India")</f>
        <v>India</v>
      </c>
      <c r="C2400" s="1">
        <f ca="1">IFERROR(__xludf.DUMMYFUNCTION("""COMPUTED_VALUE"""),362725)</f>
        <v>362725</v>
      </c>
      <c r="D2400" s="1" t="str">
        <f ca="1">IFERROR(__xludf.DUMMYFUNCTION("""COMPUTED_VALUE"""),"Male")</f>
        <v>Male</v>
      </c>
      <c r="E2400" s="1" t="str">
        <f ca="1">IFERROR(__xludf.DUMMYFUNCTION("""COMPUTED_VALUE"""),"My Parents")</f>
        <v>My Parents</v>
      </c>
      <c r="F2400" s="1" t="str">
        <f ca="1">IFERROR(__xludf.DUMMYFUNCTION("""COMPUTED_VALUE"""),"No, But if someone could bare the cost I will")</f>
        <v>No, But if someone could bare the cost I will</v>
      </c>
      <c r="G2400" s="1" t="str">
        <f ca="1">IFERROR(__xludf.DUMMYFUNCTION("""COMPUTED_VALUE"""),"This will be hard to do, but if it is the right company I would try")</f>
        <v>This will be hard to do, but if it is the right company I would try</v>
      </c>
      <c r="H2400" s="1" t="str">
        <f ca="1">IFERROR(__xludf.DUMMYFUNCTION("""COMPUTED_VALUE"""),"No")</f>
        <v>No</v>
      </c>
      <c r="I2400" s="1" t="str">
        <f ca="1">IFERROR(__xludf.DUMMYFUNCTION("""COMPUTED_VALUE"""),"Will NOT work for them")</f>
        <v>Will NOT work for them</v>
      </c>
      <c r="J2400" s="1">
        <f ca="1">IFERROR(__xludf.DUMMYFUNCTION("""COMPUTED_VALUE"""),2)</f>
        <v>2</v>
      </c>
      <c r="K2400" s="1" t="str">
        <f ca="1">IFERROR(__xludf.DUMMYFUNCTION("""COMPUTED_VALUE"""),"Hybrid Working Environment with less than 3 days a month at office")</f>
        <v>Hybrid Working Environment with less than 3 days a month at office</v>
      </c>
      <c r="L24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0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400" s="1" t="str">
        <f ca="1">IFERROR(__xludf.DUMMYFUNCTION("""COMPUTED_VALUE"""),"Business Operations in any organization, Build and develop a Team, Work in a BPO setup for some well known client, Manufacturing / Oil and Gas/ Construction / Hard Physical Work related")</f>
        <v>Business Operations in any organization, Build and develop a Team, Work in a BPO setup for some well known client, Manufacturing / Oil and Gas/ Construction / Hard Physical Work related</v>
      </c>
      <c r="O2400" s="1" t="str">
        <f ca="1">IFERROR(__xludf.DUMMYFUNCTION("""COMPUTED_VALUE"""),"Manager who explains what is expected, sets a goal and helps achieve it")</f>
        <v>Manager who explains what is expected, sets a goal and helps achieve it</v>
      </c>
      <c r="P2400" s="1" t="str">
        <f ca="1">IFERROR(__xludf.DUMMYFUNCTION("""COMPUTED_VALUE"""),"Work with 2 to 3 people in my team")</f>
        <v>Work with 2 to 3 people in my team</v>
      </c>
      <c r="Q2400" s="1" t="str">
        <f ca="1">IFERROR(__xludf.DUMMYFUNCTION("""COMPUTED_VALUE"""),"No")</f>
        <v>No</v>
      </c>
      <c r="R2400" s="1" t="str">
        <f ca="1">IFERROR(__xludf.DUMMYFUNCTION("""COMPUTED_VALUE"""),"This will be hard to do, but if it is the right company I would try")</f>
        <v>This will be hard to do, but if it is the right company I would try</v>
      </c>
      <c r="S2400" s="1" t="str">
        <f ca="1">IFERROR(__xludf.DUMMYFUNCTION("""COMPUTED_VALUE"""),"riyajrb1999@gmail.com")</f>
        <v>riyajrb1999@gmail.com</v>
      </c>
    </row>
    <row r="2401" spans="1:19" ht="12.5" x14ac:dyDescent="0.25">
      <c r="A2401" s="2">
        <f ca="1">IFERROR(__xludf.DUMMYFUNCTION("""COMPUTED_VALUE"""),45064.5307568055)</f>
        <v>45064.5307568055</v>
      </c>
      <c r="B2401" s="1" t="str">
        <f ca="1">IFERROR(__xludf.DUMMYFUNCTION("""COMPUTED_VALUE"""),"India")</f>
        <v>India</v>
      </c>
      <c r="C2401" s="1">
        <f ca="1">IFERROR(__xludf.DUMMYFUNCTION("""COMPUTED_VALUE"""),591317)</f>
        <v>591317</v>
      </c>
      <c r="D2401" s="1" t="str">
        <f ca="1">IFERROR(__xludf.DUMMYFUNCTION("""COMPUTED_VALUE"""),"Male")</f>
        <v>Male</v>
      </c>
      <c r="E2401" s="1" t="str">
        <f ca="1">IFERROR(__xludf.DUMMYFUNCTION("""COMPUTED_VALUE"""),"People from my circle, but not family members")</f>
        <v>People from my circle, but not family members</v>
      </c>
      <c r="F2401" s="1" t="str">
        <f ca="1">IFERROR(__xludf.DUMMYFUNCTION("""COMPUTED_VALUE"""),"No I would not be pursuing Higher Education outside of India")</f>
        <v>No I would not be pursuing Higher Education outside of India</v>
      </c>
      <c r="G2401" s="1" t="str">
        <f ca="1">IFERROR(__xludf.DUMMYFUNCTION("""COMPUTED_VALUE"""),"This will be hard to do, but if it is the right company I would try")</f>
        <v>This will be hard to do, but if it is the right company I would try</v>
      </c>
      <c r="H2401" s="1" t="str">
        <f ca="1">IFERROR(__xludf.DUMMYFUNCTION("""COMPUTED_VALUE"""),"Yes")</f>
        <v>Yes</v>
      </c>
      <c r="I2401" s="1" t="str">
        <f ca="1">IFERROR(__xludf.DUMMYFUNCTION("""COMPUTED_VALUE"""),"Will NOT work for them")</f>
        <v>Will NOT work for them</v>
      </c>
      <c r="J2401" s="1">
        <f ca="1">IFERROR(__xludf.DUMMYFUNCTION("""COMPUTED_VALUE"""),8)</f>
        <v>8</v>
      </c>
      <c r="K2401" s="1" t="str">
        <f ca="1">IFERROR(__xludf.DUMMYFUNCTION("""COMPUTED_VALUE"""),"Fully Remote with Options to travel as and when needed")</f>
        <v>Fully Remote with Options to travel as and when needed</v>
      </c>
      <c r="L24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01" s="1" t="str">
        <f ca="1">IFERROR(__xludf.DUMMYFUNCTION("""COMPUTED_VALUE"""),"Manage and drive End-to-End Projects or Products, Build and develop a Team, Look deeply into Data and generate insights, Work in a BPO setup for some well known client")</f>
        <v>Manage and drive End-to-End Projects or Products, Build and develop a Team, Look deeply into Data and generate insights, Work in a BPO setup for some well known client</v>
      </c>
      <c r="O2401" s="1" t="str">
        <f ca="1">IFERROR(__xludf.DUMMYFUNCTION("""COMPUTED_VALUE"""),"Manager who explains what is expected, sets a goal and helps achieve it")</f>
        <v>Manager who explains what is expected, sets a goal and helps achieve it</v>
      </c>
      <c r="P2401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2401" s="1" t="str">
        <f ca="1">IFERROR(__xludf.DUMMYFUNCTION("""COMPUTED_VALUE"""),"Yes, I Understand this is gonna happen everywhere")</f>
        <v>Yes, I Understand this is gonna happen everywhere</v>
      </c>
      <c r="R2401" s="1" t="str">
        <f ca="1">IFERROR(__xludf.DUMMYFUNCTION("""COMPUTED_VALUE"""),"No way")</f>
        <v>No way</v>
      </c>
      <c r="S2401" s="1" t="str">
        <f ca="1">IFERROR(__xludf.DUMMYFUNCTION("""COMPUTED_VALUE"""),"chrtanhalemani80@gmail.com")</f>
        <v>chrtanhalemani80@gmail.com</v>
      </c>
    </row>
    <row r="2402" spans="1:19" ht="12.5" x14ac:dyDescent="0.25">
      <c r="A2402" s="2">
        <f ca="1">IFERROR(__xludf.DUMMYFUNCTION("""COMPUTED_VALUE"""),45064.5350968171)</f>
        <v>45064.535096817097</v>
      </c>
      <c r="B2402" s="1" t="str">
        <f ca="1">IFERROR(__xludf.DUMMYFUNCTION("""COMPUTED_VALUE"""),"India")</f>
        <v>India</v>
      </c>
      <c r="C2402" s="1">
        <f ca="1">IFERROR(__xludf.DUMMYFUNCTION("""COMPUTED_VALUE"""),500048)</f>
        <v>500048</v>
      </c>
      <c r="D2402" s="1" t="str">
        <f ca="1">IFERROR(__xludf.DUMMYFUNCTION("""COMPUTED_VALUE"""),"Male")</f>
        <v>Male</v>
      </c>
      <c r="E2402" s="1" t="str">
        <f ca="1">IFERROR(__xludf.DUMMYFUNCTION("""COMPUTED_VALUE"""),"My Parents")</f>
        <v>My Parents</v>
      </c>
      <c r="F2402" s="1" t="str">
        <f ca="1">IFERROR(__xludf.DUMMYFUNCTION("""COMPUTED_VALUE"""),"Yes, I will earn and do that")</f>
        <v>Yes, I will earn and do that</v>
      </c>
      <c r="G2402" s="1" t="str">
        <f ca="1">IFERROR(__xludf.DUMMYFUNCTION("""COMPUTED_VALUE"""),"Will work for 3 years or more")</f>
        <v>Will work for 3 years or more</v>
      </c>
      <c r="H2402" s="1" t="str">
        <f ca="1">IFERROR(__xludf.DUMMYFUNCTION("""COMPUTED_VALUE"""),"No")</f>
        <v>No</v>
      </c>
      <c r="I2402" s="1" t="str">
        <f ca="1">IFERROR(__xludf.DUMMYFUNCTION("""COMPUTED_VALUE"""),"Will NOT work for them")</f>
        <v>Will NOT work for them</v>
      </c>
      <c r="J2402" s="1">
        <f ca="1">IFERROR(__xludf.DUMMYFUNCTION("""COMPUTED_VALUE"""),4)</f>
        <v>4</v>
      </c>
      <c r="K2402" s="1" t="str">
        <f ca="1">IFERROR(__xludf.DUMMYFUNCTION("""COMPUTED_VALUE"""),"Hybrid Working Environment with more than 15 days a month at office")</f>
        <v>Hybrid Working Environment with more than 15 days a month at office</v>
      </c>
      <c r="L24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02" s="1" t="str">
        <f ca="1">IFERROR(__xludf.DUMMYFUNCTION("""COMPUTED_VALUE"""),"Business Operations in any organization, Look deeply into Data and generate insights, Entrepreneur or Start Up, Manufacturing / Oil and Gas/ Construction / Hard Physical Work related")</f>
        <v>Business Operations in any organization, Look deeply into Data and generate insights, Entrepreneur or Start Up, Manufacturing / Oil and Gas/ Construction / Hard Physical Work related</v>
      </c>
      <c r="O2402" s="1" t="str">
        <f ca="1">IFERROR(__xludf.DUMMYFUNCTION("""COMPUTED_VALUE"""),"Manager who explains what is expected, sets a goal and helps achieve it")</f>
        <v>Manager who explains what is expected, sets a goal and helps achieve it</v>
      </c>
      <c r="P2402" s="1" t="str">
        <f ca="1">IFERROR(__xludf.DUMMYFUNCTION("""COMPUTED_VALUE"""),"Work alone")</f>
        <v>Work alone</v>
      </c>
      <c r="Q2402" s="1" t="str">
        <f ca="1">IFERROR(__xludf.DUMMYFUNCTION("""COMPUTED_VALUE"""),"No")</f>
        <v>No</v>
      </c>
      <c r="R2402" s="1" t="str">
        <f ca="1">IFERROR(__xludf.DUMMYFUNCTION("""COMPUTED_VALUE"""),"This will be hard to do, but if it is the right company I would try")</f>
        <v>This will be hard to do, but if it is the right company I would try</v>
      </c>
      <c r="S2402" s="1" t="str">
        <f ca="1">IFERROR(__xludf.DUMMYFUNCTION("""COMPUTED_VALUE"""),"sgowtham994@gmail.com")</f>
        <v>sgowtham994@gmail.com</v>
      </c>
    </row>
    <row r="2403" spans="1:19" ht="12.5" x14ac:dyDescent="0.25">
      <c r="A2403" s="2">
        <f ca="1">IFERROR(__xludf.DUMMYFUNCTION("""COMPUTED_VALUE"""),45064.5351581365)</f>
        <v>45064.535158136503</v>
      </c>
      <c r="B2403" s="1" t="str">
        <f ca="1">IFERROR(__xludf.DUMMYFUNCTION("""COMPUTED_VALUE"""),"India")</f>
        <v>India</v>
      </c>
      <c r="C2403" s="1">
        <f ca="1">IFERROR(__xludf.DUMMYFUNCTION("""COMPUTED_VALUE"""),421004)</f>
        <v>421004</v>
      </c>
      <c r="D2403" s="1" t="str">
        <f ca="1">IFERROR(__xludf.DUMMYFUNCTION("""COMPUTED_VALUE"""),"Male")</f>
        <v>Male</v>
      </c>
      <c r="E2403" s="1" t="str">
        <f ca="1">IFERROR(__xludf.DUMMYFUNCTION("""COMPUTED_VALUE"""),"People from my circle, but not family members")</f>
        <v>People from my circle, but not family members</v>
      </c>
      <c r="F2403" s="1" t="str">
        <f ca="1">IFERROR(__xludf.DUMMYFUNCTION("""COMPUTED_VALUE"""),"No I would not be pursuing Higher Education outside of India")</f>
        <v>No I would not be pursuing Higher Education outside of India</v>
      </c>
      <c r="G2403" s="1" t="str">
        <f ca="1">IFERROR(__xludf.DUMMYFUNCTION("""COMPUTED_VALUE"""),"This will be hard to do, but if it is the right company I would try")</f>
        <v>This will be hard to do, but if it is the right company I would try</v>
      </c>
      <c r="H2403" s="1" t="str">
        <f ca="1">IFERROR(__xludf.DUMMYFUNCTION("""COMPUTED_VALUE"""),"No")</f>
        <v>No</v>
      </c>
      <c r="I2403" s="1" t="str">
        <f ca="1">IFERROR(__xludf.DUMMYFUNCTION("""COMPUTED_VALUE"""),"Will NOT work for them")</f>
        <v>Will NOT work for them</v>
      </c>
      <c r="J2403" s="1">
        <f ca="1">IFERROR(__xludf.DUMMYFUNCTION("""COMPUTED_VALUE"""),8)</f>
        <v>8</v>
      </c>
      <c r="K2403" s="1" t="str">
        <f ca="1">IFERROR(__xludf.DUMMYFUNCTION("""COMPUTED_VALUE"""),"Fully Remote with Options to travel as and when needed")</f>
        <v>Fully Remote with Options to travel as and when needed</v>
      </c>
      <c r="L24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3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403" s="1" t="str">
        <f ca="1">IFERROR(__xludf.DUMMYFUNCTION("""COMPUTED_VALUE"""),"Look deeply into Data and generate insights, Work as a freelancer and do my thing my way, Entrepreneur or Start Up, An Artificial Intelligence Specialist / Talking to Robots")</f>
        <v>Look deeply into Data and generate insights, Work as a freelancer and do my thing my way, Entrepreneur or Start Up, An Artificial Intelligence Specialist / Talking to Robots</v>
      </c>
      <c r="O2403" s="1" t="str">
        <f ca="1">IFERROR(__xludf.DUMMYFUNCTION("""COMPUTED_VALUE"""),"Manager who sets goal and helps me achieve it")</f>
        <v>Manager who sets goal and helps me achieve it</v>
      </c>
      <c r="P2403" s="1" t="str">
        <f ca="1">IFERROR(__xludf.DUMMYFUNCTION("""COMPUTED_VALUE"""),"Work with 7 to 10 or more people in my team")</f>
        <v>Work with 7 to 10 or more people in my team</v>
      </c>
      <c r="Q2403" s="1" t="str">
        <f ca="1">IFERROR(__xludf.DUMMYFUNCTION("""COMPUTED_VALUE"""),"Yes, I Understand this is gonna happen everywhere")</f>
        <v>Yes, I Understand this is gonna happen everywhere</v>
      </c>
      <c r="R2403" s="1" t="str">
        <f ca="1">IFERROR(__xludf.DUMMYFUNCTION("""COMPUTED_VALUE"""),"No way")</f>
        <v>No way</v>
      </c>
      <c r="S2403" s="1" t="str">
        <f ca="1">IFERROR(__xludf.DUMMYFUNCTION("""COMPUTED_VALUE"""),"prasadk570@gmail.com")</f>
        <v>prasadk570@gmail.com</v>
      </c>
    </row>
    <row r="2404" spans="1:19" ht="12.5" x14ac:dyDescent="0.25">
      <c r="A2404" s="2">
        <f ca="1">IFERROR(__xludf.DUMMYFUNCTION("""COMPUTED_VALUE"""),45064.5354567013)</f>
        <v>45064.535456701298</v>
      </c>
      <c r="B2404" s="1" t="str">
        <f ca="1">IFERROR(__xludf.DUMMYFUNCTION("""COMPUTED_VALUE"""),"India")</f>
        <v>India</v>
      </c>
      <c r="C2404" s="1">
        <f ca="1">IFERROR(__xludf.DUMMYFUNCTION("""COMPUTED_VALUE"""),713403)</f>
        <v>713403</v>
      </c>
      <c r="D2404" s="1" t="str">
        <f ca="1">IFERROR(__xludf.DUMMYFUNCTION("""COMPUTED_VALUE"""),"Male")</f>
        <v>Male</v>
      </c>
      <c r="E2404" s="1" t="str">
        <f ca="1">IFERROR(__xludf.DUMMYFUNCTION("""COMPUTED_VALUE"""),"People who have changed the world for better")</f>
        <v>People who have changed the world for better</v>
      </c>
      <c r="F2404" s="1" t="str">
        <f ca="1">IFERROR(__xludf.DUMMYFUNCTION("""COMPUTED_VALUE"""),"No I would not be pursuing Higher Education outside of India")</f>
        <v>No I would not be pursuing Higher Education outside of India</v>
      </c>
      <c r="G2404" s="1" t="str">
        <f ca="1">IFERROR(__xludf.DUMMYFUNCTION("""COMPUTED_VALUE"""),"This will be hard to do, but if it is the right company I would try")</f>
        <v>This will be hard to do, but if it is the right company I would try</v>
      </c>
      <c r="H2404" s="1" t="str">
        <f ca="1">IFERROR(__xludf.DUMMYFUNCTION("""COMPUTED_VALUE"""),"Yes")</f>
        <v>Yes</v>
      </c>
      <c r="I2404" s="1" t="str">
        <f ca="1">IFERROR(__xludf.DUMMYFUNCTION("""COMPUTED_VALUE"""),"Will work for them")</f>
        <v>Will work for them</v>
      </c>
      <c r="J2404" s="1">
        <f ca="1">IFERROR(__xludf.DUMMYFUNCTION("""COMPUTED_VALUE"""),7)</f>
        <v>7</v>
      </c>
      <c r="K2404" s="1" t="str">
        <f ca="1">IFERROR(__xludf.DUMMYFUNCTION("""COMPUTED_VALUE"""),"Hybrid Working Environment with more than 15 days a month at office")</f>
        <v>Hybrid Working Environment with more than 15 days a month at office</v>
      </c>
      <c r="L24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04" s="1" t="str">
        <f ca="1">IFERROR(__xludf.DUMMYFUNCTION("""COMPUTED_VALUE"""),"Business Operations in any organization, Manage and drive End-to-End Projects or Products, Build and develop a Team, Manufacturing / Oil and Gas/ Construction / Hard Physical Work related")</f>
        <v>Business Operations in any organization, Manage and drive End-to-End Projects or Products, Build and develop a Team, Manufacturing / Oil and Gas/ Construction / Hard Physical Work related</v>
      </c>
      <c r="O2404" s="1" t="str">
        <f ca="1">IFERROR(__xludf.DUMMYFUNCTION("""COMPUTED_VALUE"""),"Manager who clearly describes what she/he needs")</f>
        <v>Manager who clearly describes what she/he needs</v>
      </c>
      <c r="P2404" s="1" t="str">
        <f ca="1">IFERROR(__xludf.DUMMYFUNCTION("""COMPUTED_VALUE"""),"Work with more than 10 people in my team")</f>
        <v>Work with more than 10 people in my team</v>
      </c>
      <c r="Q2404" s="1" t="str">
        <f ca="1">IFERROR(__xludf.DUMMYFUNCTION("""COMPUTED_VALUE"""),"Yes, I Understand this is gonna happen everywhere")</f>
        <v>Yes, I Understand this is gonna happen everywhere</v>
      </c>
      <c r="R2404" s="1" t="str">
        <f ca="1">IFERROR(__xludf.DUMMYFUNCTION("""COMPUTED_VALUE"""),"This will be hard to do, but if it is the right company I would try")</f>
        <v>This will be hard to do, but if it is the right company I would try</v>
      </c>
      <c r="S2404" s="1" t="str">
        <f ca="1">IFERROR(__xludf.DUMMYFUNCTION("""COMPUTED_VALUE"""),"udaynayek.9635@gmail.com")</f>
        <v>udaynayek.9635@gmail.com</v>
      </c>
    </row>
    <row r="2405" spans="1:19" ht="12.5" x14ac:dyDescent="0.25">
      <c r="A2405" s="2">
        <f ca="1">IFERROR(__xludf.DUMMYFUNCTION("""COMPUTED_VALUE"""),45064.5388592708)</f>
        <v>45064.538859270797</v>
      </c>
      <c r="B2405" s="1" t="str">
        <f ca="1">IFERROR(__xludf.DUMMYFUNCTION("""COMPUTED_VALUE"""),"India")</f>
        <v>India</v>
      </c>
      <c r="C2405" s="1">
        <f ca="1">IFERROR(__xludf.DUMMYFUNCTION("""COMPUTED_VALUE"""),421004)</f>
        <v>421004</v>
      </c>
      <c r="D2405" s="1" t="str">
        <f ca="1">IFERROR(__xludf.DUMMYFUNCTION("""COMPUTED_VALUE"""),"Male")</f>
        <v>Male</v>
      </c>
      <c r="E2405" s="1" t="str">
        <f ca="1">IFERROR(__xludf.DUMMYFUNCTION("""COMPUTED_VALUE"""),"People from my circle, but not family members")</f>
        <v>People from my circle, but not family members</v>
      </c>
      <c r="F2405" s="1" t="str">
        <f ca="1">IFERROR(__xludf.DUMMYFUNCTION("""COMPUTED_VALUE"""),"Yes, I will earn and do that")</f>
        <v>Yes, I will earn and do that</v>
      </c>
      <c r="G2405" s="1" t="str">
        <f ca="1">IFERROR(__xludf.DUMMYFUNCTION("""COMPUTED_VALUE"""),"This will be hard to do, but if it is the right company I would try")</f>
        <v>This will be hard to do, but if it is the right company I would try</v>
      </c>
      <c r="H2405" s="1" t="str">
        <f ca="1">IFERROR(__xludf.DUMMYFUNCTION("""COMPUTED_VALUE"""),"No")</f>
        <v>No</v>
      </c>
      <c r="I2405" s="1" t="str">
        <f ca="1">IFERROR(__xludf.DUMMYFUNCTION("""COMPUTED_VALUE"""),"Will NOT work for them")</f>
        <v>Will NOT work for them</v>
      </c>
      <c r="J2405" s="1">
        <f ca="1">IFERROR(__xludf.DUMMYFUNCTION("""COMPUTED_VALUE"""),7)</f>
        <v>7</v>
      </c>
      <c r="K2405" s="1" t="str">
        <f ca="1">IFERROR(__xludf.DUMMYFUNCTION("""COMPUTED_VALUE"""),"Hybrid Working Environment with more than 15 days a month at office")</f>
        <v>Hybrid Working Environment with more than 15 days a month at office</v>
      </c>
      <c r="L24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05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405" s="1" t="str">
        <f ca="1">IFERROR(__xludf.DUMMYFUNCTION("""COMPUTED_VALUE"""),"Manager who explains what is expected, sets a goal and helps achieve it")</f>
        <v>Manager who explains what is expected, sets a goal and helps achieve it</v>
      </c>
      <c r="P2405" s="1" t="str">
        <f ca="1">IFERROR(__xludf.DUMMYFUNCTION("""COMPUTED_VALUE"""),"Work with 5 to 6 people in my team")</f>
        <v>Work with 5 to 6 people in my team</v>
      </c>
      <c r="Q2405" s="1" t="str">
        <f ca="1">IFERROR(__xludf.DUMMYFUNCTION("""COMPUTED_VALUE"""),"Yes, I Understand this is gonna happen everywhere")</f>
        <v>Yes, I Understand this is gonna happen everywhere</v>
      </c>
      <c r="R2405" s="1" t="str">
        <f ca="1">IFERROR(__xludf.DUMMYFUNCTION("""COMPUTED_VALUE"""),"This will be hard to do, but if it is the right company I would try")</f>
        <v>This will be hard to do, but if it is the right company I would try</v>
      </c>
      <c r="S2405" s="1" t="str">
        <f ca="1">IFERROR(__xludf.DUMMYFUNCTION("""COMPUTED_VALUE"""),"saketshinde7@gmail.com")</f>
        <v>saketshinde7@gmail.com</v>
      </c>
    </row>
    <row r="2406" spans="1:19" ht="12.5" x14ac:dyDescent="0.25">
      <c r="A2406" s="2">
        <f ca="1">IFERROR(__xludf.DUMMYFUNCTION("""COMPUTED_VALUE"""),45064.53988625)</f>
        <v>45064.539886250001</v>
      </c>
      <c r="B2406" s="1" t="str">
        <f ca="1">IFERROR(__xludf.DUMMYFUNCTION("""COMPUTED_VALUE"""),"United States of America")</f>
        <v>United States of America</v>
      </c>
      <c r="C2406" s="1">
        <f ca="1">IFERROR(__xludf.DUMMYFUNCTION("""COMPUTED_VALUE"""),421004)</f>
        <v>421004</v>
      </c>
      <c r="D2406" s="1" t="str">
        <f ca="1">IFERROR(__xludf.DUMMYFUNCTION("""COMPUTED_VALUE"""),"Female")</f>
        <v>Female</v>
      </c>
      <c r="E2406" s="1" t="str">
        <f ca="1">IFERROR(__xludf.DUMMYFUNCTION("""COMPUTED_VALUE"""),"Influencers who had successful careers")</f>
        <v>Influencers who had successful careers</v>
      </c>
      <c r="F2406" s="1" t="str">
        <f ca="1">IFERROR(__xludf.DUMMYFUNCTION("""COMPUTED_VALUE"""),"Yes, I will earn and do that")</f>
        <v>Yes, I will earn and do that</v>
      </c>
      <c r="G2406" s="1" t="str">
        <f ca="1">IFERROR(__xludf.DUMMYFUNCTION("""COMPUTED_VALUE"""),"Will work for 3 years or more")</f>
        <v>Will work for 3 years or more</v>
      </c>
      <c r="H2406" s="1" t="str">
        <f ca="1">IFERROR(__xludf.DUMMYFUNCTION("""COMPUTED_VALUE"""),"No")</f>
        <v>No</v>
      </c>
      <c r="I2406" s="1" t="str">
        <f ca="1">IFERROR(__xludf.DUMMYFUNCTION("""COMPUTED_VALUE"""),"Will NOT work for them")</f>
        <v>Will NOT work for them</v>
      </c>
      <c r="J2406" s="1">
        <f ca="1">IFERROR(__xludf.DUMMYFUNCTION("""COMPUTED_VALUE"""),4)</f>
        <v>4</v>
      </c>
      <c r="K2406" s="1" t="str">
        <f ca="1">IFERROR(__xludf.DUMMYFUNCTION("""COMPUTED_VALUE"""),"Fully Remote with Options to travel as and when needed")</f>
        <v>Fully Remote with Options to travel as and when needed</v>
      </c>
      <c r="L24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406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406" s="1" t="str">
        <f ca="1">IFERROR(__xludf.DUMMYFUNCTION("""COMPUTED_VALUE"""),"Manager who explains what is expected, sets a goal and helps achieve it")</f>
        <v>Manager who explains what is expected, sets a goal and helps achieve it</v>
      </c>
      <c r="P2406" s="1" t="str">
        <f ca="1">IFERROR(__xludf.DUMMYFUNCTION("""COMPUTED_VALUE"""),"Work alone")</f>
        <v>Work alone</v>
      </c>
      <c r="Q2406" s="1" t="str">
        <f ca="1">IFERROR(__xludf.DUMMYFUNCTION("""COMPUTED_VALUE"""),"Yes, I Understand this is gonna happen everywhere")</f>
        <v>Yes, I Understand this is gonna happen everywhere</v>
      </c>
      <c r="R2406" s="1" t="str">
        <f ca="1">IFERROR(__xludf.DUMMYFUNCTION("""COMPUTED_VALUE"""),"Will work for 7 years or more")</f>
        <v>Will work for 7 years or more</v>
      </c>
      <c r="S2406" s="1" t="str">
        <f ca="1">IFERROR(__xludf.DUMMYFUNCTION("""COMPUTED_VALUE"""),"sakshigujar21@gmail.com")</f>
        <v>sakshigujar21@gmail.com</v>
      </c>
    </row>
    <row r="2407" spans="1:19" ht="12.5" x14ac:dyDescent="0.25">
      <c r="A2407" s="2">
        <f ca="1">IFERROR(__xludf.DUMMYFUNCTION("""COMPUTED_VALUE"""),45064.5405755902)</f>
        <v>45064.540575590203</v>
      </c>
      <c r="B2407" s="1" t="str">
        <f ca="1">IFERROR(__xludf.DUMMYFUNCTION("""COMPUTED_VALUE"""),"India")</f>
        <v>India</v>
      </c>
      <c r="C2407" s="1">
        <f ca="1">IFERROR(__xludf.DUMMYFUNCTION("""COMPUTED_VALUE"""),411046)</f>
        <v>411046</v>
      </c>
      <c r="D2407" s="1" t="str">
        <f ca="1">IFERROR(__xludf.DUMMYFUNCTION("""COMPUTED_VALUE"""),"Female")</f>
        <v>Female</v>
      </c>
      <c r="E2407" s="1" t="str">
        <f ca="1">IFERROR(__xludf.DUMMYFUNCTION("""COMPUTED_VALUE"""),"My Parents")</f>
        <v>My Parents</v>
      </c>
      <c r="F2407" s="1" t="str">
        <f ca="1">IFERROR(__xludf.DUMMYFUNCTION("""COMPUTED_VALUE"""),"Yes, I will earn and do that")</f>
        <v>Yes, I will earn and do that</v>
      </c>
      <c r="G2407" s="1" t="str">
        <f ca="1">IFERROR(__xludf.DUMMYFUNCTION("""COMPUTED_VALUE"""),"This will be hard to do, but if it is the right company I would try")</f>
        <v>This will be hard to do, but if it is the right company I would try</v>
      </c>
      <c r="H2407" s="1" t="str">
        <f ca="1">IFERROR(__xludf.DUMMYFUNCTION("""COMPUTED_VALUE"""),"No")</f>
        <v>No</v>
      </c>
      <c r="I2407" s="1" t="str">
        <f ca="1">IFERROR(__xludf.DUMMYFUNCTION("""COMPUTED_VALUE"""),"Will NOT work for them")</f>
        <v>Will NOT work for them</v>
      </c>
      <c r="J2407" s="1">
        <f ca="1">IFERROR(__xludf.DUMMYFUNCTION("""COMPUTED_VALUE"""),5)</f>
        <v>5</v>
      </c>
      <c r="K2407" s="1" t="str">
        <f ca="1">IFERROR(__xludf.DUMMYFUNCTION("""COMPUTED_VALUE"""),"Fully Remote with Options to travel as and when needed")</f>
        <v>Fully Remote with Options to travel as and when needed</v>
      </c>
      <c r="L24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7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407" s="1" t="str">
        <f ca="1">IFERROR(__xludf.DUMMYFUNCTION("""COMPUTED_VALUE"""),"Work as a freelancer and do my thing my way, Become a content Creator in some platform, Entrepreneur or Start Up, I Want to sell things/Sales")</f>
        <v>Work as a freelancer and do my thing my way, Become a content Creator in some platform, Entrepreneur or Start Up, I Want to sell things/Sales</v>
      </c>
      <c r="O2407" s="1" t="str">
        <f ca="1">IFERROR(__xludf.DUMMYFUNCTION("""COMPUTED_VALUE"""),"Manager who explains what is expected, sets a goal and helps achieve it")</f>
        <v>Manager who explains what is expected, sets a goal and helps achieve it</v>
      </c>
      <c r="P2407" s="1" t="str">
        <f ca="1">IFERROR(__xludf.DUMMYFUNCTION("""COMPUTED_VALUE"""),"Work with 5 to 6 people in my team")</f>
        <v>Work with 5 to 6 people in my team</v>
      </c>
      <c r="Q2407" s="1" t="str">
        <f ca="1">IFERROR(__xludf.DUMMYFUNCTION("""COMPUTED_VALUE"""),"Yes, I Understand this is gonna happen everywhere")</f>
        <v>Yes, I Understand this is gonna happen everywhere</v>
      </c>
      <c r="R2407" s="1" t="str">
        <f ca="1">IFERROR(__xludf.DUMMYFUNCTION("""COMPUTED_VALUE"""),"This will be hard to do, but if it is the right company I would try")</f>
        <v>This will be hard to do, but if it is the right company I would try</v>
      </c>
      <c r="S2407" s="1" t="str">
        <f ca="1">IFERROR(__xludf.DUMMYFUNCTION("""COMPUTED_VALUE"""),"shilpasahoo3008@gmail.com")</f>
        <v>shilpasahoo3008@gmail.com</v>
      </c>
    </row>
    <row r="2408" spans="1:19" ht="12.5" x14ac:dyDescent="0.25">
      <c r="A2408" s="2">
        <f ca="1">IFERROR(__xludf.DUMMYFUNCTION("""COMPUTED_VALUE"""),45064.5449693287)</f>
        <v>45064.544969328701</v>
      </c>
      <c r="B2408" s="1" t="str">
        <f ca="1">IFERROR(__xludf.DUMMYFUNCTION("""COMPUTED_VALUE"""),"India")</f>
        <v>India</v>
      </c>
      <c r="C2408" s="1">
        <f ca="1">IFERROR(__xludf.DUMMYFUNCTION("""COMPUTED_VALUE"""),421004)</f>
        <v>421004</v>
      </c>
      <c r="D2408" s="1" t="str">
        <f ca="1">IFERROR(__xludf.DUMMYFUNCTION("""COMPUTED_VALUE"""),"Female")</f>
        <v>Female</v>
      </c>
      <c r="E2408" s="1" t="str">
        <f ca="1">IFERROR(__xludf.DUMMYFUNCTION("""COMPUTED_VALUE"""),"My Parents")</f>
        <v>My Parents</v>
      </c>
      <c r="F2408" s="1" t="str">
        <f ca="1">IFERROR(__xludf.DUMMYFUNCTION("""COMPUTED_VALUE"""),"No I would not be pursuing Higher Education outside of India")</f>
        <v>No I would not be pursuing Higher Education outside of India</v>
      </c>
      <c r="G2408" s="1" t="str">
        <f ca="1">IFERROR(__xludf.DUMMYFUNCTION("""COMPUTED_VALUE"""),"Will work for 3 years or more")</f>
        <v>Will work for 3 years or more</v>
      </c>
      <c r="H2408" s="1" t="str">
        <f ca="1">IFERROR(__xludf.DUMMYFUNCTION("""COMPUTED_VALUE"""),"No")</f>
        <v>No</v>
      </c>
      <c r="I2408" s="1" t="str">
        <f ca="1">IFERROR(__xludf.DUMMYFUNCTION("""COMPUTED_VALUE"""),"Will NOT work for them")</f>
        <v>Will NOT work for them</v>
      </c>
      <c r="J2408" s="1">
        <f ca="1">IFERROR(__xludf.DUMMYFUNCTION("""COMPUTED_VALUE"""),1)</f>
        <v>1</v>
      </c>
      <c r="K2408" s="1" t="str">
        <f ca="1">IFERROR(__xludf.DUMMYFUNCTION("""COMPUTED_VALUE"""),"Fully Remote with Options to travel as and when needed")</f>
        <v>Fully Remote with Options to travel as and when needed</v>
      </c>
      <c r="L2408" s="1" t="str">
        <f ca="1">IFERROR(__xludf.DUMMYFUNCTION("""COMPUTED_VALUE"""),"Employer who rewards learning and enables that environment")</f>
        <v>Employer who rewards learning and enables that environment</v>
      </c>
      <c r="M240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08" s="1" t="str">
        <f ca="1">IFERROR(__xludf.DUMMYFUNCTION("""COMPUTED_VALUE"""),"Business Operations in any organization, Manage and drive End-to-End Projects or Products, Build and develop a Team, Work in a BPO setup for some well known client")</f>
        <v>Business Operations in any organization, Manage and drive End-to-End Projects or Products, Build and develop a Team, Work in a BPO setup for some well known client</v>
      </c>
      <c r="O2408" s="1" t="str">
        <f ca="1">IFERROR(__xludf.DUMMYFUNCTION("""COMPUTED_VALUE"""),"Manager who sets goal and helps me achieve it")</f>
        <v>Manager who sets goal and helps me achieve it</v>
      </c>
      <c r="P2408" s="1" t="str">
        <f ca="1">IFERROR(__xludf.DUMMYFUNCTION("""COMPUTED_VALUE"""),"Work with 2 to 3 people in my team, Work with 5 to 6 people in my team")</f>
        <v>Work with 2 to 3 people in my team, Work with 5 to 6 people in my team</v>
      </c>
      <c r="Q2408" s="1" t="str">
        <f ca="1">IFERROR(__xludf.DUMMYFUNCTION("""COMPUTED_VALUE"""),"Yes, I Understand this is gonna happen everywhere")</f>
        <v>Yes, I Understand this is gonna happen everywhere</v>
      </c>
      <c r="R2408" s="1" t="str">
        <f ca="1">IFERROR(__xludf.DUMMYFUNCTION("""COMPUTED_VALUE"""),"This will be hard to do, but if it is the right company I would try")</f>
        <v>This will be hard to do, but if it is the right company I would try</v>
      </c>
      <c r="S2408" s="1" t="str">
        <f ca="1">IFERROR(__xludf.DUMMYFUNCTION("""COMPUTED_VALUE"""),"dhanashreebhanushali21@gmail.com")</f>
        <v>dhanashreebhanushali21@gmail.com</v>
      </c>
    </row>
    <row r="2409" spans="1:19" ht="12.5" x14ac:dyDescent="0.25">
      <c r="A2409" s="2">
        <f ca="1">IFERROR(__xludf.DUMMYFUNCTION("""COMPUTED_VALUE"""),45064.547882199)</f>
        <v>45064.547882198996</v>
      </c>
      <c r="B2409" s="1" t="str">
        <f ca="1">IFERROR(__xludf.DUMMYFUNCTION("""COMPUTED_VALUE"""),"India")</f>
        <v>India</v>
      </c>
      <c r="C2409" s="1">
        <f ca="1">IFERROR(__xludf.DUMMYFUNCTION("""COMPUTED_VALUE"""),400058)</f>
        <v>400058</v>
      </c>
      <c r="D2409" s="1" t="str">
        <f ca="1">IFERROR(__xludf.DUMMYFUNCTION("""COMPUTED_VALUE"""),"Female")</f>
        <v>Female</v>
      </c>
      <c r="E2409" s="1" t="str">
        <f ca="1">IFERROR(__xludf.DUMMYFUNCTION("""COMPUTED_VALUE"""),"My Parents")</f>
        <v>My Parents</v>
      </c>
      <c r="F2409" s="1" t="str">
        <f ca="1">IFERROR(__xludf.DUMMYFUNCTION("""COMPUTED_VALUE"""),"No, But if someone could bare the cost I will")</f>
        <v>No, But if someone could bare the cost I will</v>
      </c>
      <c r="G2409" s="1" t="str">
        <f ca="1">IFERROR(__xludf.DUMMYFUNCTION("""COMPUTED_VALUE"""),"No way")</f>
        <v>No way</v>
      </c>
      <c r="H2409" s="1" t="str">
        <f ca="1">IFERROR(__xludf.DUMMYFUNCTION("""COMPUTED_VALUE"""),"No")</f>
        <v>No</v>
      </c>
      <c r="I2409" s="1" t="str">
        <f ca="1">IFERROR(__xludf.DUMMYFUNCTION("""COMPUTED_VALUE"""),"Will work for them")</f>
        <v>Will work for them</v>
      </c>
      <c r="J2409" s="1">
        <f ca="1">IFERROR(__xludf.DUMMYFUNCTION("""COMPUTED_VALUE"""),2)</f>
        <v>2</v>
      </c>
      <c r="K2409" s="1" t="str">
        <f ca="1">IFERROR(__xludf.DUMMYFUNCTION("""COMPUTED_VALUE"""),"Hybrid Working Environment with less than 3 days a month at office")</f>
        <v>Hybrid Working Environment with less than 3 days a month at office</v>
      </c>
      <c r="L24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0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09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409" s="1" t="str">
        <f ca="1">IFERROR(__xludf.DUMMYFUNCTION("""COMPUTED_VALUE"""),"Manager who clearly describes what she/he needs")</f>
        <v>Manager who clearly describes what she/he needs</v>
      </c>
      <c r="P2409" s="1" t="str">
        <f ca="1">IFERROR(__xludf.DUMMYFUNCTION("""COMPUTED_VALUE"""),"Work with 2 to 3 people in my team")</f>
        <v>Work with 2 to 3 people in my team</v>
      </c>
      <c r="Q2409" s="1" t="str">
        <f ca="1">IFERROR(__xludf.DUMMYFUNCTION("""COMPUTED_VALUE"""),"Yes")</f>
        <v>Yes</v>
      </c>
      <c r="R2409" s="1" t="str">
        <f ca="1">IFERROR(__xludf.DUMMYFUNCTION("""COMPUTED_VALUE"""),"Will work for 7 years or more")</f>
        <v>Will work for 7 years or more</v>
      </c>
      <c r="S2409" s="1" t="str">
        <f ca="1">IFERROR(__xludf.DUMMYFUNCTION("""COMPUTED_VALUE"""),"marwashaikh1234@gmail.com")</f>
        <v>marwashaikh1234@gmail.com</v>
      </c>
    </row>
    <row r="2410" spans="1:19" ht="12.5" x14ac:dyDescent="0.25">
      <c r="A2410" s="2">
        <f ca="1">IFERROR(__xludf.DUMMYFUNCTION("""COMPUTED_VALUE"""),45064.5504630324)</f>
        <v>45064.550463032399</v>
      </c>
      <c r="B2410" s="1" t="str">
        <f ca="1">IFERROR(__xludf.DUMMYFUNCTION("""COMPUTED_VALUE"""),"India")</f>
        <v>India</v>
      </c>
      <c r="C2410" s="1">
        <f ca="1">IFERROR(__xludf.DUMMYFUNCTION("""COMPUTED_VALUE"""),416812)</f>
        <v>416812</v>
      </c>
      <c r="D2410" s="1" t="str">
        <f ca="1">IFERROR(__xludf.DUMMYFUNCTION("""COMPUTED_VALUE"""),"Male")</f>
        <v>Male</v>
      </c>
      <c r="E2410" s="1" t="str">
        <f ca="1">IFERROR(__xludf.DUMMYFUNCTION("""COMPUTED_VALUE"""),"People who have changed the world for better")</f>
        <v>People who have changed the world for better</v>
      </c>
      <c r="F2410" s="1" t="str">
        <f ca="1">IFERROR(__xludf.DUMMYFUNCTION("""COMPUTED_VALUE"""),"Yes, I will earn and do that")</f>
        <v>Yes, I will earn and do that</v>
      </c>
      <c r="G2410" s="1" t="str">
        <f ca="1">IFERROR(__xludf.DUMMYFUNCTION("""COMPUTED_VALUE"""),"This will be hard to do, but if it is the right company I would try")</f>
        <v>This will be hard to do, but if it is the right company I would try</v>
      </c>
      <c r="H2410" s="1" t="str">
        <f ca="1">IFERROR(__xludf.DUMMYFUNCTION("""COMPUTED_VALUE"""),"No")</f>
        <v>No</v>
      </c>
      <c r="I2410" s="1" t="str">
        <f ca="1">IFERROR(__xludf.DUMMYFUNCTION("""COMPUTED_VALUE"""),"Will NOT work for them")</f>
        <v>Will NOT work for them</v>
      </c>
      <c r="J2410" s="1">
        <f ca="1">IFERROR(__xludf.DUMMYFUNCTION("""COMPUTED_VALUE"""),10)</f>
        <v>10</v>
      </c>
      <c r="K2410" s="1" t="str">
        <f ca="1">IFERROR(__xludf.DUMMYFUNCTION("""COMPUTED_VALUE"""),"Fully Remote with Options to travel as and when needed")</f>
        <v>Fully Remote with Options to travel as and when needed</v>
      </c>
      <c r="L24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1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10" s="1" t="str">
        <f ca="1">IFERROR(__xludf.DUMMYFUNCTION("""COMPUTED_VALUE"""),"Design and Creative strategy in any company, Build and develop a Team, Entrepreneur or Start Up, Manufacturing / Oil and Gas/ Construction / Hard Physical Work related")</f>
        <v>Design and Creative strategy in any company, Build and develop a Team, Entrepreneur or Start Up, Manufacturing / Oil and Gas/ Construction / Hard Physical Work related</v>
      </c>
      <c r="O2410" s="1" t="str">
        <f ca="1">IFERROR(__xludf.DUMMYFUNCTION("""COMPUTED_VALUE"""),"Manager who sets targets and expects me to achieve it")</f>
        <v>Manager who sets targets and expects me to achieve it</v>
      </c>
      <c r="P2410" s="1" t="str">
        <f ca="1">IFERROR(__xludf.DUMMYFUNCTION("""COMPUTED_VALUE"""),"Work with 5 to 6 people in my team")</f>
        <v>Work with 5 to 6 people in my team</v>
      </c>
      <c r="Q2410" s="1" t="str">
        <f ca="1">IFERROR(__xludf.DUMMYFUNCTION("""COMPUTED_VALUE"""),"Yes, I Understand this is gonna happen everywhere")</f>
        <v>Yes, I Understand this is gonna happen everywhere</v>
      </c>
      <c r="R2410" s="1" t="str">
        <f ca="1">IFERROR(__xludf.DUMMYFUNCTION("""COMPUTED_VALUE"""),"This will be hard to do, but if it is the right company I would try")</f>
        <v>This will be hard to do, but if it is the right company I would try</v>
      </c>
      <c r="S2410" s="1" t="str">
        <f ca="1">IFERROR(__xludf.DUMMYFUNCTION("""COMPUTED_VALUE"""),"dinerpalav3438@gmail.com")</f>
        <v>dinerpalav3438@gmail.com</v>
      </c>
    </row>
    <row r="2411" spans="1:19" ht="12.5" x14ac:dyDescent="0.25">
      <c r="A2411" s="2">
        <f ca="1">IFERROR(__xludf.DUMMYFUNCTION("""COMPUTED_VALUE"""),45064.553636331)</f>
        <v>45064.553636331002</v>
      </c>
      <c r="B2411" s="1" t="str">
        <f ca="1">IFERROR(__xludf.DUMMYFUNCTION("""COMPUTED_VALUE"""),"India")</f>
        <v>India</v>
      </c>
      <c r="C2411" s="1">
        <f ca="1">IFERROR(__xludf.DUMMYFUNCTION("""COMPUTED_VALUE"""),500011)</f>
        <v>500011</v>
      </c>
      <c r="D2411" s="1" t="str">
        <f ca="1">IFERROR(__xludf.DUMMYFUNCTION("""COMPUTED_VALUE"""),"Male")</f>
        <v>Male</v>
      </c>
      <c r="E2411" s="1" t="str">
        <f ca="1">IFERROR(__xludf.DUMMYFUNCTION("""COMPUTED_VALUE"""),"Social Media like LinkedIn")</f>
        <v>Social Media like LinkedIn</v>
      </c>
      <c r="F2411" s="1" t="str">
        <f ca="1">IFERROR(__xludf.DUMMYFUNCTION("""COMPUTED_VALUE"""),"No, But if someone could bare the cost I will")</f>
        <v>No, But if someone could bare the cost I will</v>
      </c>
      <c r="G2411" s="1" t="str">
        <f ca="1">IFERROR(__xludf.DUMMYFUNCTION("""COMPUTED_VALUE"""),"Will work for 3 years or more")</f>
        <v>Will work for 3 years or more</v>
      </c>
      <c r="H2411" s="1" t="str">
        <f ca="1">IFERROR(__xludf.DUMMYFUNCTION("""COMPUTED_VALUE"""),"No")</f>
        <v>No</v>
      </c>
      <c r="I2411" s="1" t="str">
        <f ca="1">IFERROR(__xludf.DUMMYFUNCTION("""COMPUTED_VALUE"""),"Will NOT work for them")</f>
        <v>Will NOT work for them</v>
      </c>
      <c r="J2411" s="1">
        <f ca="1">IFERROR(__xludf.DUMMYFUNCTION("""COMPUTED_VALUE"""),5)</f>
        <v>5</v>
      </c>
      <c r="K2411" s="1" t="str">
        <f ca="1">IFERROR(__xludf.DUMMYFUNCTION("""COMPUTED_VALUE"""),"Hybrid Working Environment with more than 15 days a month at office")</f>
        <v>Hybrid Working Environment with more than 15 days a month at office</v>
      </c>
      <c r="L2411" s="1" t="str">
        <f ca="1">IFERROR(__xludf.DUMMYFUNCTION("""COMPUTED_VALUE"""),"Employer who rewards learning and enables that environment")</f>
        <v>Employer who rewards learning and enables that environment</v>
      </c>
      <c r="M2411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411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2411" s="1" t="str">
        <f ca="1">IFERROR(__xludf.DUMMYFUNCTION("""COMPUTED_VALUE"""),"Manager who clearly describes what she/he needs")</f>
        <v>Manager who clearly describes what she/he needs</v>
      </c>
      <c r="P2411" s="1" t="str">
        <f ca="1">IFERROR(__xludf.DUMMYFUNCTION("""COMPUTED_VALUE"""),"Work with 5 to 6 people in my team")</f>
        <v>Work with 5 to 6 people in my team</v>
      </c>
      <c r="Q2411" s="1" t="str">
        <f ca="1">IFERROR(__xludf.DUMMYFUNCTION("""COMPUTED_VALUE"""),"Yes, I Understand this is gonna happen everywhere")</f>
        <v>Yes, I Understand this is gonna happen everywhere</v>
      </c>
      <c r="R2411" s="1" t="str">
        <f ca="1">IFERROR(__xludf.DUMMYFUNCTION("""COMPUTED_VALUE"""),"This will be hard to do, but if it is the right company I would try")</f>
        <v>This will be hard to do, but if it is the right company I would try</v>
      </c>
      <c r="S2411" s="1" t="str">
        <f ca="1">IFERROR(__xludf.DUMMYFUNCTION("""COMPUTED_VALUE"""),"saiteja48011@gmail.com")</f>
        <v>saiteja48011@gmail.com</v>
      </c>
    </row>
    <row r="2412" spans="1:19" ht="12.5" x14ac:dyDescent="0.25">
      <c r="A2412" s="2">
        <f ca="1">IFERROR(__xludf.DUMMYFUNCTION("""COMPUTED_VALUE"""),45064.5558192245)</f>
        <v>45064.555819224501</v>
      </c>
      <c r="B2412" s="1" t="str">
        <f ca="1">IFERROR(__xludf.DUMMYFUNCTION("""COMPUTED_VALUE"""),"India")</f>
        <v>India</v>
      </c>
      <c r="C2412" s="1">
        <f ca="1">IFERROR(__xludf.DUMMYFUNCTION("""COMPUTED_VALUE"""),421004)</f>
        <v>421004</v>
      </c>
      <c r="D2412" s="1" t="str">
        <f ca="1">IFERROR(__xludf.DUMMYFUNCTION("""COMPUTED_VALUE"""),"Male")</f>
        <v>Male</v>
      </c>
      <c r="E2412" s="1" t="str">
        <f ca="1">IFERROR(__xludf.DUMMYFUNCTION("""COMPUTED_VALUE"""),"People from my circle, but not family members")</f>
        <v>People from my circle, but not family members</v>
      </c>
      <c r="F2412" s="1" t="str">
        <f ca="1">IFERROR(__xludf.DUMMYFUNCTION("""COMPUTED_VALUE"""),"Yes, I will earn and do that")</f>
        <v>Yes, I will earn and do that</v>
      </c>
      <c r="G2412" s="1" t="str">
        <f ca="1">IFERROR(__xludf.DUMMYFUNCTION("""COMPUTED_VALUE"""),"No way")</f>
        <v>No way</v>
      </c>
      <c r="H2412" s="1" t="str">
        <f ca="1">IFERROR(__xludf.DUMMYFUNCTION("""COMPUTED_VALUE"""),"No")</f>
        <v>No</v>
      </c>
      <c r="I2412" s="1" t="str">
        <f ca="1">IFERROR(__xludf.DUMMYFUNCTION("""COMPUTED_VALUE"""),"Will NOT work for them")</f>
        <v>Will NOT work for them</v>
      </c>
      <c r="J2412" s="1">
        <f ca="1">IFERROR(__xludf.DUMMYFUNCTION("""COMPUTED_VALUE"""),3)</f>
        <v>3</v>
      </c>
      <c r="K2412" s="1" t="str">
        <f ca="1">IFERROR(__xludf.DUMMYFUNCTION("""COMPUTED_VALUE"""),"Fully Remote with Options to travel as and when needed")</f>
        <v>Fully Remote with Options to travel as and when needed</v>
      </c>
      <c r="L24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1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12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412" s="1" t="str">
        <f ca="1">IFERROR(__xludf.DUMMYFUNCTION("""COMPUTED_VALUE"""),"Manager who explains what is expected, sets a goal and helps achieve it")</f>
        <v>Manager who explains what is expected, sets a goal and helps achieve it</v>
      </c>
      <c r="P2412" s="1" t="str">
        <f ca="1">IFERROR(__xludf.DUMMYFUNCTION("""COMPUTED_VALUE"""),"Work with 5 to 6 people in my team")</f>
        <v>Work with 5 to 6 people in my team</v>
      </c>
      <c r="Q2412" s="1" t="str">
        <f ca="1">IFERROR(__xludf.DUMMYFUNCTION("""COMPUTED_VALUE"""),"Yes, I Understand this is gonna happen everywhere")</f>
        <v>Yes, I Understand this is gonna happen everywhere</v>
      </c>
      <c r="R2412" s="1" t="str">
        <f ca="1">IFERROR(__xludf.DUMMYFUNCTION("""COMPUTED_VALUE"""),"No way")</f>
        <v>No way</v>
      </c>
      <c r="S2412" s="1" t="str">
        <f ca="1">IFERROR(__xludf.DUMMYFUNCTION("""COMPUTED_VALUE"""),"nitishmalbari25@gmail.com")</f>
        <v>nitishmalbari25@gmail.com</v>
      </c>
    </row>
    <row r="2413" spans="1:19" ht="12.5" x14ac:dyDescent="0.25">
      <c r="A2413" s="2">
        <f ca="1">IFERROR(__xludf.DUMMYFUNCTION("""COMPUTED_VALUE"""),45064.5566842013)</f>
        <v>45064.5566842013</v>
      </c>
      <c r="B2413" s="1" t="str">
        <f ca="1">IFERROR(__xludf.DUMMYFUNCTION("""COMPUTED_VALUE"""),"India")</f>
        <v>India</v>
      </c>
      <c r="C2413" s="1">
        <f ca="1">IFERROR(__xludf.DUMMYFUNCTION("""COMPUTED_VALUE"""),400605)</f>
        <v>400605</v>
      </c>
      <c r="D2413" s="1" t="str">
        <f ca="1">IFERROR(__xludf.DUMMYFUNCTION("""COMPUTED_VALUE"""),"Female")</f>
        <v>Female</v>
      </c>
      <c r="E2413" s="1" t="str">
        <f ca="1">IFERROR(__xludf.DUMMYFUNCTION("""COMPUTED_VALUE"""),"People who have changed the world for better")</f>
        <v>People who have changed the world for better</v>
      </c>
      <c r="F2413" s="1" t="str">
        <f ca="1">IFERROR(__xludf.DUMMYFUNCTION("""COMPUTED_VALUE"""),"Yes, I will earn and do that")</f>
        <v>Yes, I will earn and do that</v>
      </c>
      <c r="G2413" s="1" t="str">
        <f ca="1">IFERROR(__xludf.DUMMYFUNCTION("""COMPUTED_VALUE"""),"This will be hard to do, but if it is the right company I would try")</f>
        <v>This will be hard to do, but if it is the right company I would try</v>
      </c>
      <c r="H2413" s="1" t="str">
        <f ca="1">IFERROR(__xludf.DUMMYFUNCTION("""COMPUTED_VALUE"""),"No")</f>
        <v>No</v>
      </c>
      <c r="I2413" s="1" t="str">
        <f ca="1">IFERROR(__xludf.DUMMYFUNCTION("""COMPUTED_VALUE"""),"Will NOT work for them")</f>
        <v>Will NOT work for them</v>
      </c>
      <c r="J2413" s="1">
        <f ca="1">IFERROR(__xludf.DUMMYFUNCTION("""COMPUTED_VALUE"""),7)</f>
        <v>7</v>
      </c>
      <c r="K2413" s="1" t="str">
        <f ca="1">IFERROR(__xludf.DUMMYFUNCTION("""COMPUTED_VALUE"""),"Every Day Office Environment")</f>
        <v>Every Day Office Environment</v>
      </c>
      <c r="L2413" s="1" t="str">
        <f ca="1">IFERROR(__xludf.DUMMYFUNCTION("""COMPUTED_VALUE"""),"Employer who appreciates learning and enables that environment")</f>
        <v>Employer who appreciates learning and enables that environment</v>
      </c>
      <c r="M241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13" s="1" t="str">
        <f ca="1">IFERROR(__xludf.DUMMYFUNCTION("""COMPUTED_VALUE"""),"Design and Creative strategy in any company, Business Operations in any organization, Manage and drive End-to-End Projects or Products, Work as a freelancer and do my thing my way")</f>
        <v>Design and Creative strategy in any company, Business Operations in any organization, Manage and drive End-to-End Projects or Products, Work as a freelancer and do my thing my way</v>
      </c>
      <c r="O2413" s="1" t="str">
        <f ca="1">IFERROR(__xludf.DUMMYFUNCTION("""COMPUTED_VALUE"""),"Manager who explains what is expected, sets a goal and helps achieve it")</f>
        <v>Manager who explains what is expected, sets a goal and helps achieve it</v>
      </c>
      <c r="P2413" s="1" t="str">
        <f ca="1">IFERROR(__xludf.DUMMYFUNCTION("""COMPUTED_VALUE"""),"Work with 2 to 3 people in my team, Work with 5 to 6 people in my team")</f>
        <v>Work with 2 to 3 people in my team, Work with 5 to 6 people in my team</v>
      </c>
      <c r="Q2413" s="1" t="str">
        <f ca="1">IFERROR(__xludf.DUMMYFUNCTION("""COMPUTED_VALUE"""),"Yes, I Understand this is gonna happen everywhere")</f>
        <v>Yes, I Understand this is gonna happen everywhere</v>
      </c>
      <c r="R2413" s="1" t="str">
        <f ca="1">IFERROR(__xludf.DUMMYFUNCTION("""COMPUTED_VALUE"""),"This will be hard to do, but if it is the right company I would try")</f>
        <v>This will be hard to do, but if it is the right company I would try</v>
      </c>
      <c r="S2413" s="1" t="str">
        <f ca="1">IFERROR(__xludf.DUMMYFUNCTION("""COMPUTED_VALUE"""),"komalshinde363@gmail.com")</f>
        <v>komalshinde363@gmail.com</v>
      </c>
    </row>
    <row r="2414" spans="1:19" ht="12.5" x14ac:dyDescent="0.25">
      <c r="A2414" s="2">
        <f ca="1">IFERROR(__xludf.DUMMYFUNCTION("""COMPUTED_VALUE"""),45064.55806228)</f>
        <v>45064.558062279997</v>
      </c>
      <c r="B2414" s="1" t="str">
        <f ca="1">IFERROR(__xludf.DUMMYFUNCTION("""COMPUTED_VALUE"""),"India")</f>
        <v>India</v>
      </c>
      <c r="C2414" s="1">
        <f ca="1">IFERROR(__xludf.DUMMYFUNCTION("""COMPUTED_VALUE"""),410201)</f>
        <v>410201</v>
      </c>
      <c r="D2414" s="1" t="str">
        <f ca="1">IFERROR(__xludf.DUMMYFUNCTION("""COMPUTED_VALUE"""),"Female")</f>
        <v>Female</v>
      </c>
      <c r="E2414" s="1" t="str">
        <f ca="1">IFERROR(__xludf.DUMMYFUNCTION("""COMPUTED_VALUE"""),"My Parents")</f>
        <v>My Parents</v>
      </c>
      <c r="F2414" s="1" t="str">
        <f ca="1">IFERROR(__xludf.DUMMYFUNCTION("""COMPUTED_VALUE"""),"Yes, I will earn and do that")</f>
        <v>Yes, I will earn and do that</v>
      </c>
      <c r="G2414" s="1" t="str">
        <f ca="1">IFERROR(__xludf.DUMMYFUNCTION("""COMPUTED_VALUE"""),"This will be hard to do, but if it is the right company I would try")</f>
        <v>This will be hard to do, but if it is the right company I would try</v>
      </c>
      <c r="H2414" s="1" t="str">
        <f ca="1">IFERROR(__xludf.DUMMYFUNCTION("""COMPUTED_VALUE"""),"Yes")</f>
        <v>Yes</v>
      </c>
      <c r="I2414" s="1" t="str">
        <f ca="1">IFERROR(__xludf.DUMMYFUNCTION("""COMPUTED_VALUE"""),"Will work for them")</f>
        <v>Will work for them</v>
      </c>
      <c r="J2414" s="1">
        <f ca="1">IFERROR(__xludf.DUMMYFUNCTION("""COMPUTED_VALUE"""),3)</f>
        <v>3</v>
      </c>
      <c r="K2414" s="1" t="str">
        <f ca="1">IFERROR(__xludf.DUMMYFUNCTION("""COMPUTED_VALUE"""),"Hybrid Working Environment with less than 3 days a month at office")</f>
        <v>Hybrid Working Environment with less than 3 days a month at office</v>
      </c>
      <c r="L2414" s="1" t="str">
        <f ca="1">IFERROR(__xludf.DUMMYFUNCTION("""COMPUTED_VALUE"""),"Employer who appreciates learning and enables that environment")</f>
        <v>Employer who appreciates learning and enables that environment</v>
      </c>
      <c r="M241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14" s="1" t="str">
        <f ca="1">IFERROR(__xludf.DUMMYFUNCTION("""COMPUTED_VALUE"""),"Teaching in any of the institutes/colleges/online or offline, Business Operations in any organization, I Want to sell things/Sales, Manufacturing / Oil and Gas/ Construction / Hard Physical Work related")</f>
        <v>Teaching in any of the institutes/colleges/online or offline, Business Operations in any organization, I Want to sell things/Sales, Manufacturing / Oil and Gas/ Construction / Hard Physical Work related</v>
      </c>
      <c r="O2414" s="1" t="str">
        <f ca="1">IFERROR(__xludf.DUMMYFUNCTION("""COMPUTED_VALUE"""),"Manager who explains what is expected, sets a goal and helps achieve it")</f>
        <v>Manager who explains what is expected, sets a goal and helps achieve it</v>
      </c>
      <c r="P2414" s="1" t="str">
        <f ca="1">IFERROR(__xludf.DUMMYFUNCTION("""COMPUTED_VALUE"""),"Work with 5 to 6 people in my team")</f>
        <v>Work with 5 to 6 people in my team</v>
      </c>
      <c r="Q2414" s="1" t="str">
        <f ca="1">IFERROR(__xludf.DUMMYFUNCTION("""COMPUTED_VALUE"""),"Yes, I Understand this is gonna happen everywhere")</f>
        <v>Yes, I Understand this is gonna happen everywhere</v>
      </c>
      <c r="R2414" s="1" t="str">
        <f ca="1">IFERROR(__xludf.DUMMYFUNCTION("""COMPUTED_VALUE"""),"This will be hard to do, but if it is the right company I would try")</f>
        <v>This will be hard to do, but if it is the right company I would try</v>
      </c>
      <c r="S2414" s="1" t="str">
        <f ca="1">IFERROR(__xludf.DUMMYFUNCTION("""COMPUTED_VALUE"""),"preetyppatil2923@gmail.com")</f>
        <v>preetyppatil2923@gmail.com</v>
      </c>
    </row>
    <row r="2415" spans="1:19" ht="12.5" x14ac:dyDescent="0.25">
      <c r="A2415" s="2">
        <f ca="1">IFERROR(__xludf.DUMMYFUNCTION("""COMPUTED_VALUE"""),45064.5593862037)</f>
        <v>45064.559386203699</v>
      </c>
      <c r="B2415" s="1" t="str">
        <f ca="1">IFERROR(__xludf.DUMMYFUNCTION("""COMPUTED_VALUE"""),"India")</f>
        <v>India</v>
      </c>
      <c r="C2415" s="1">
        <f ca="1">IFERROR(__xludf.DUMMYFUNCTION("""COMPUTED_VALUE"""),600110)</f>
        <v>600110</v>
      </c>
      <c r="D2415" s="1" t="str">
        <f ca="1">IFERROR(__xludf.DUMMYFUNCTION("""COMPUTED_VALUE"""),"Male")</f>
        <v>Male</v>
      </c>
      <c r="E2415" s="1" t="str">
        <f ca="1">IFERROR(__xludf.DUMMYFUNCTION("""COMPUTED_VALUE"""),"Influencers who had successful careers")</f>
        <v>Influencers who had successful careers</v>
      </c>
      <c r="F2415" s="1" t="str">
        <f ca="1">IFERROR(__xludf.DUMMYFUNCTION("""COMPUTED_VALUE"""),"Yes, I will earn and do that")</f>
        <v>Yes, I will earn and do that</v>
      </c>
      <c r="G2415" s="1" t="str">
        <f ca="1">IFERROR(__xludf.DUMMYFUNCTION("""COMPUTED_VALUE"""),"Will work for 3 years or more")</f>
        <v>Will work for 3 years or more</v>
      </c>
      <c r="H2415" s="1" t="str">
        <f ca="1">IFERROR(__xludf.DUMMYFUNCTION("""COMPUTED_VALUE"""),"No")</f>
        <v>No</v>
      </c>
      <c r="I2415" s="1" t="str">
        <f ca="1">IFERROR(__xludf.DUMMYFUNCTION("""COMPUTED_VALUE"""),"Will NOT work for them")</f>
        <v>Will NOT work for them</v>
      </c>
      <c r="J2415" s="1">
        <f ca="1">IFERROR(__xludf.DUMMYFUNCTION("""COMPUTED_VALUE"""),4)</f>
        <v>4</v>
      </c>
      <c r="K2415" s="1" t="str">
        <f ca="1">IFERROR(__xludf.DUMMYFUNCTION("""COMPUTED_VALUE"""),"Hybrid Working Environment with more than 15 days a month at office")</f>
        <v>Hybrid Working Environment with more than 15 days a month at office</v>
      </c>
      <c r="L24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1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15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2415" s="1" t="str">
        <f ca="1">IFERROR(__xludf.DUMMYFUNCTION("""COMPUTED_VALUE"""),"Manager who clearly describes what she/he needs")</f>
        <v>Manager who clearly describes what she/he needs</v>
      </c>
      <c r="P2415" s="1" t="str">
        <f ca="1">IFERROR(__xludf.DUMMYFUNCTION("""COMPUTED_VALUE"""),"Work with 2 to 3 people in my team, Work with 5 to 6 people in my team")</f>
        <v>Work with 2 to 3 people in my team, Work with 5 to 6 people in my team</v>
      </c>
      <c r="Q2415" s="1" t="str">
        <f ca="1">IFERROR(__xludf.DUMMYFUNCTION("""COMPUTED_VALUE"""),"Yes, I Understand this is gonna happen everywhere")</f>
        <v>Yes, I Understand this is gonna happen everywhere</v>
      </c>
      <c r="R2415" s="1" t="str">
        <f ca="1">IFERROR(__xludf.DUMMYFUNCTION("""COMPUTED_VALUE"""),"This will be hard to do, but if it is the right company I would try")</f>
        <v>This will be hard to do, but if it is the right company I would try</v>
      </c>
      <c r="S2415" s="1" t="str">
        <f ca="1">IFERROR(__xludf.DUMMYFUNCTION("""COMPUTED_VALUE"""),"rajasekaranashwin423@gmail.com")</f>
        <v>rajasekaranashwin423@gmail.com</v>
      </c>
    </row>
    <row r="2416" spans="1:19" ht="12.5" x14ac:dyDescent="0.25">
      <c r="A2416" s="2">
        <f ca="1">IFERROR(__xludf.DUMMYFUNCTION("""COMPUTED_VALUE"""),45064.5597182638)</f>
        <v>45064.559718263801</v>
      </c>
      <c r="B2416" s="1" t="str">
        <f ca="1">IFERROR(__xludf.DUMMYFUNCTION("""COMPUTED_VALUE"""),"India")</f>
        <v>India</v>
      </c>
      <c r="C2416" s="1">
        <f ca="1">IFERROR(__xludf.DUMMYFUNCTION("""COMPUTED_VALUE"""),580024)</f>
        <v>580024</v>
      </c>
      <c r="D2416" s="1" t="str">
        <f ca="1">IFERROR(__xludf.DUMMYFUNCTION("""COMPUTED_VALUE"""),"Female")</f>
        <v>Female</v>
      </c>
      <c r="E2416" s="1" t="str">
        <f ca="1">IFERROR(__xludf.DUMMYFUNCTION("""COMPUTED_VALUE"""),"My Parents")</f>
        <v>My Parents</v>
      </c>
      <c r="F2416" s="1" t="str">
        <f ca="1">IFERROR(__xludf.DUMMYFUNCTION("""COMPUTED_VALUE"""),"Yes, I will earn and do that")</f>
        <v>Yes, I will earn and do that</v>
      </c>
      <c r="G2416" s="1" t="str">
        <f ca="1">IFERROR(__xludf.DUMMYFUNCTION("""COMPUTED_VALUE"""),"This will be hard to do, but if it is the right company I would try")</f>
        <v>This will be hard to do, but if it is the right company I would try</v>
      </c>
      <c r="H2416" s="1" t="str">
        <f ca="1">IFERROR(__xludf.DUMMYFUNCTION("""COMPUTED_VALUE"""),"No")</f>
        <v>No</v>
      </c>
      <c r="I2416" s="1" t="str">
        <f ca="1">IFERROR(__xludf.DUMMYFUNCTION("""COMPUTED_VALUE"""),"Will NOT work for them")</f>
        <v>Will NOT work for them</v>
      </c>
      <c r="J2416" s="1">
        <f ca="1">IFERROR(__xludf.DUMMYFUNCTION("""COMPUTED_VALUE"""),3)</f>
        <v>3</v>
      </c>
      <c r="K2416" s="1" t="str">
        <f ca="1">IFERROR(__xludf.DUMMYFUNCTION("""COMPUTED_VALUE"""),"Hybrid Working Environment with less than 3 days a month at office")</f>
        <v>Hybrid Working Environment with less than 3 days a month at office</v>
      </c>
      <c r="L24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1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16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2416" s="1" t="str">
        <f ca="1">IFERROR(__xludf.DUMMYFUNCTION("""COMPUTED_VALUE"""),"Manager who sets goal and helps me achieve it")</f>
        <v>Manager who sets goal and helps me achieve it</v>
      </c>
      <c r="P2416" s="1" t="str">
        <f ca="1">IFERROR(__xludf.DUMMYFUNCTION("""COMPUTED_VALUE"""),"Work alone")</f>
        <v>Work alone</v>
      </c>
      <c r="Q2416" s="1" t="str">
        <f ca="1">IFERROR(__xludf.DUMMYFUNCTION("""COMPUTED_VALUE"""),"Yes, I Understand this is gonna happen everywhere")</f>
        <v>Yes, I Understand this is gonna happen everywhere</v>
      </c>
      <c r="R2416" s="1" t="str">
        <f ca="1">IFERROR(__xludf.DUMMYFUNCTION("""COMPUTED_VALUE"""),"This will be hard to do, but if it is the right company I would try")</f>
        <v>This will be hard to do, but if it is the right company I would try</v>
      </c>
      <c r="S2416" s="1" t="str">
        <f ca="1">IFERROR(__xludf.DUMMYFUNCTION("""COMPUTED_VALUE"""),"revankardivya91@gmail.com")</f>
        <v>revankardivya91@gmail.com</v>
      </c>
    </row>
    <row r="2417" spans="1:19" ht="12.5" x14ac:dyDescent="0.25">
      <c r="A2417" s="2">
        <f ca="1">IFERROR(__xludf.DUMMYFUNCTION("""COMPUTED_VALUE"""),45064.5598066319)</f>
        <v>45064.5598066319</v>
      </c>
      <c r="B2417" s="1" t="str">
        <f ca="1">IFERROR(__xludf.DUMMYFUNCTION("""COMPUTED_VALUE"""),"India")</f>
        <v>India</v>
      </c>
      <c r="C2417" s="1">
        <f ca="1">IFERROR(__xludf.DUMMYFUNCTION("""COMPUTED_VALUE"""),591123)</f>
        <v>591123</v>
      </c>
      <c r="D2417" s="1" t="str">
        <f ca="1">IFERROR(__xludf.DUMMYFUNCTION("""COMPUTED_VALUE"""),"Female")</f>
        <v>Female</v>
      </c>
      <c r="E2417" s="1" t="str">
        <f ca="1">IFERROR(__xludf.DUMMYFUNCTION("""COMPUTED_VALUE"""),"My Parents")</f>
        <v>My Parents</v>
      </c>
      <c r="F2417" s="1" t="str">
        <f ca="1">IFERROR(__xludf.DUMMYFUNCTION("""COMPUTED_VALUE"""),"No I would not be pursuing Higher Education outside of India")</f>
        <v>No I would not be pursuing Higher Education outside of India</v>
      </c>
      <c r="G2417" s="1" t="str">
        <f ca="1">IFERROR(__xludf.DUMMYFUNCTION("""COMPUTED_VALUE"""),"This will be hard to do, but if it is the right company I would try")</f>
        <v>This will be hard to do, but if it is the right company I would try</v>
      </c>
      <c r="H2417" s="1" t="str">
        <f ca="1">IFERROR(__xludf.DUMMYFUNCTION("""COMPUTED_VALUE"""),"No")</f>
        <v>No</v>
      </c>
      <c r="I2417" s="1" t="str">
        <f ca="1">IFERROR(__xludf.DUMMYFUNCTION("""COMPUTED_VALUE"""),"Will NOT work for them")</f>
        <v>Will NOT work for them</v>
      </c>
      <c r="J2417" s="1">
        <f ca="1">IFERROR(__xludf.DUMMYFUNCTION("""COMPUTED_VALUE"""),8)</f>
        <v>8</v>
      </c>
      <c r="K2417" s="1" t="str">
        <f ca="1">IFERROR(__xludf.DUMMYFUNCTION("""COMPUTED_VALUE"""),"Hybrid Working Environment with less than 3 days a month at office")</f>
        <v>Hybrid Working Environment with less than 3 days a month at office</v>
      </c>
      <c r="L24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17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417" s="1" t="str">
        <f ca="1">IFERROR(__xludf.DUMMYFUNCTION("""COMPUTED_VALUE"""),"Teaching in any of the institutes/colleges/online or offline, Manage and drive End-to-End Projects or Products, Build and develop a Team, Look deeply into Data and generate insights")</f>
        <v>Teaching in any of the institutes/colleges/online or offline, Manage and drive End-to-End Projects or Products, Build and develop a Team, Look deeply into Data and generate insights</v>
      </c>
      <c r="O2417" s="1" t="str">
        <f ca="1">IFERROR(__xludf.DUMMYFUNCTION("""COMPUTED_VALUE"""),"Manager who explains what is expected, sets a goal and helps achieve it")</f>
        <v>Manager who explains what is expected, sets a goal and helps achieve it</v>
      </c>
      <c r="P2417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417" s="1" t="str">
        <f ca="1">IFERROR(__xludf.DUMMYFUNCTION("""COMPUTED_VALUE"""),"Yes, I Understand this is gonna happen everywhere")</f>
        <v>Yes, I Understand this is gonna happen everywhere</v>
      </c>
      <c r="R2417" s="1" t="str">
        <f ca="1">IFERROR(__xludf.DUMMYFUNCTION("""COMPUTED_VALUE"""),"This will be hard to do, but if it is the right company I would try")</f>
        <v>This will be hard to do, but if it is the right company I would try</v>
      </c>
      <c r="S2417" s="1" t="str">
        <f ca="1">IFERROR(__xludf.DUMMYFUNCTION("""COMPUTED_VALUE"""),"sushmitapatil12e@gmail.com")</f>
        <v>sushmitapatil12e@gmail.com</v>
      </c>
    </row>
    <row r="2418" spans="1:19" ht="12.5" x14ac:dyDescent="0.25">
      <c r="A2418" s="2">
        <f ca="1">IFERROR(__xludf.DUMMYFUNCTION("""COMPUTED_VALUE"""),45064.5616049074)</f>
        <v>45064.561604907401</v>
      </c>
      <c r="B2418" s="1" t="str">
        <f ca="1">IFERROR(__xludf.DUMMYFUNCTION("""COMPUTED_VALUE"""),"India")</f>
        <v>India</v>
      </c>
      <c r="C2418" s="1">
        <f ca="1">IFERROR(__xludf.DUMMYFUNCTION("""COMPUTED_VALUE"""),600063)</f>
        <v>600063</v>
      </c>
      <c r="D2418" s="1" t="str">
        <f ca="1">IFERROR(__xludf.DUMMYFUNCTION("""COMPUTED_VALUE"""),"Male")</f>
        <v>Male</v>
      </c>
      <c r="E2418" s="1" t="str">
        <f ca="1">IFERROR(__xludf.DUMMYFUNCTION("""COMPUTED_VALUE"""),"Influencers who had successful careers")</f>
        <v>Influencers who had successful careers</v>
      </c>
      <c r="F2418" s="1" t="str">
        <f ca="1">IFERROR(__xludf.DUMMYFUNCTION("""COMPUTED_VALUE"""),"Yes, I will earn and do that")</f>
        <v>Yes, I will earn and do that</v>
      </c>
      <c r="G2418" s="1" t="str">
        <f ca="1">IFERROR(__xludf.DUMMYFUNCTION("""COMPUTED_VALUE"""),"Will work for 3 years or more")</f>
        <v>Will work for 3 years or more</v>
      </c>
      <c r="H2418" s="1" t="str">
        <f ca="1">IFERROR(__xludf.DUMMYFUNCTION("""COMPUTED_VALUE"""),"No")</f>
        <v>No</v>
      </c>
      <c r="I2418" s="1" t="str">
        <f ca="1">IFERROR(__xludf.DUMMYFUNCTION("""COMPUTED_VALUE"""),"Will work for them")</f>
        <v>Will work for them</v>
      </c>
      <c r="J2418" s="1">
        <f ca="1">IFERROR(__xludf.DUMMYFUNCTION("""COMPUTED_VALUE"""),5)</f>
        <v>5</v>
      </c>
      <c r="K2418" s="1" t="str">
        <f ca="1">IFERROR(__xludf.DUMMYFUNCTION("""COMPUTED_VALUE"""),"Every Day Office Environment")</f>
        <v>Every Day Office Environment</v>
      </c>
      <c r="L2418" s="1" t="str">
        <f ca="1">IFERROR(__xludf.DUMMYFUNCTION("""COMPUTED_VALUE"""),"Employer who rewards learning and enables that environment")</f>
        <v>Employer who rewards learning and enables that environment</v>
      </c>
      <c r="M241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418" s="1" t="str">
        <f ca="1">IFERROR(__xludf.DUMMYFUNCTION("""COMPUTED_VALUE"""),"Design and Creative strategy in any company, Build and develop a Team, Design and Develop amazing software, Become a content Creator in some platform")</f>
        <v>Design and Creative strategy in any company, Build and develop a Team, Design and Develop amazing software, Become a content Creator in some platform</v>
      </c>
      <c r="O2418" s="1" t="str">
        <f ca="1">IFERROR(__xludf.DUMMYFUNCTION("""COMPUTED_VALUE"""),"Manager who explains what is expected, sets a goal and helps achieve it")</f>
        <v>Manager who explains what is expected, sets a goal and helps achieve it</v>
      </c>
      <c r="P2418" s="1" t="str">
        <f ca="1">IFERROR(__xludf.DUMMYFUNCTION("""COMPUTED_VALUE"""),"Work with 2 to 3 people in my team")</f>
        <v>Work with 2 to 3 people in my team</v>
      </c>
      <c r="Q2418" s="1" t="str">
        <f ca="1">IFERROR(__xludf.DUMMYFUNCTION("""COMPUTED_VALUE"""),"Yes, I Understand this is gonna happen everywhere")</f>
        <v>Yes, I Understand this is gonna happen everywhere</v>
      </c>
      <c r="R2418" s="1" t="str">
        <f ca="1">IFERROR(__xludf.DUMMYFUNCTION("""COMPUTED_VALUE"""),"This will be hard to do, but if it is the right company I would try")</f>
        <v>This will be hard to do, but if it is the right company I would try</v>
      </c>
      <c r="S2418" s="1" t="str">
        <f ca="1">IFERROR(__xludf.DUMMYFUNCTION("""COMPUTED_VALUE"""),"johannes.shelson12@gmail.com")</f>
        <v>johannes.shelson12@gmail.com</v>
      </c>
    </row>
    <row r="2419" spans="1:19" ht="12.5" x14ac:dyDescent="0.25">
      <c r="A2419" s="2">
        <f ca="1">IFERROR(__xludf.DUMMYFUNCTION("""COMPUTED_VALUE"""),45064.5616393518)</f>
        <v>45064.561639351799</v>
      </c>
      <c r="B2419" s="1" t="str">
        <f ca="1">IFERROR(__xludf.DUMMYFUNCTION("""COMPUTED_VALUE"""),"India")</f>
        <v>India</v>
      </c>
      <c r="C2419" s="1">
        <f ca="1">IFERROR(__xludf.DUMMYFUNCTION("""COMPUTED_VALUE"""),591147)</f>
        <v>591147</v>
      </c>
      <c r="D2419" s="1" t="str">
        <f ca="1">IFERROR(__xludf.DUMMYFUNCTION("""COMPUTED_VALUE"""),"Male")</f>
        <v>Male</v>
      </c>
      <c r="E2419" s="1" t="str">
        <f ca="1">IFERROR(__xludf.DUMMYFUNCTION("""COMPUTED_VALUE"""),"People from my circle, but not family members")</f>
        <v>People from my circle, but not family members</v>
      </c>
      <c r="F2419" s="1" t="str">
        <f ca="1">IFERROR(__xludf.DUMMYFUNCTION("""COMPUTED_VALUE"""),"No I would not be pursuing Higher Education outside of India")</f>
        <v>No I would not be pursuing Higher Education outside of India</v>
      </c>
      <c r="G2419" s="1" t="str">
        <f ca="1">IFERROR(__xludf.DUMMYFUNCTION("""COMPUTED_VALUE"""),"This will be hard to do, but if it is the right company I would try")</f>
        <v>This will be hard to do, but if it is the right company I would try</v>
      </c>
      <c r="H2419" s="1" t="str">
        <f ca="1">IFERROR(__xludf.DUMMYFUNCTION("""COMPUTED_VALUE"""),"No")</f>
        <v>No</v>
      </c>
      <c r="I2419" s="1" t="str">
        <f ca="1">IFERROR(__xludf.DUMMYFUNCTION("""COMPUTED_VALUE"""),"Will NOT work for them")</f>
        <v>Will NOT work for them</v>
      </c>
      <c r="J2419" s="1">
        <f ca="1">IFERROR(__xludf.DUMMYFUNCTION("""COMPUTED_VALUE"""),5)</f>
        <v>5</v>
      </c>
      <c r="K2419" s="1" t="str">
        <f ca="1">IFERROR(__xludf.DUMMYFUNCTION("""COMPUTED_VALUE"""),"Fully Remote with Options to travel as and when needed")</f>
        <v>Fully Remote with Options to travel as and when needed</v>
      </c>
      <c r="L24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1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19" s="1" t="str">
        <f ca="1">IFERROR(__xludf.DUMMYFUNCTION("""COMPUTED_VALUE"""),"Teaching in any of the institutes/colleges/online or offline, Business Operations in any organization, Manage and drive End-to-End Projects or Products, Entrepreneur or Start Up")</f>
        <v>Teaching in any of the institutes/colleges/online or offline, Business Operations in any organization, Manage and drive End-to-End Projects or Products, Entrepreneur or Start Up</v>
      </c>
      <c r="O2419" s="1" t="str">
        <f ca="1">IFERROR(__xludf.DUMMYFUNCTION("""COMPUTED_VALUE"""),"Manager who clearly describes what she/he needs")</f>
        <v>Manager who clearly describes what she/he needs</v>
      </c>
      <c r="P2419" s="1" t="str">
        <f ca="1">IFERROR(__xludf.DUMMYFUNCTION("""COMPUTED_VALUE"""),"Work with 2 to 3 people in my team")</f>
        <v>Work with 2 to 3 people in my team</v>
      </c>
      <c r="Q2419" s="1" t="str">
        <f ca="1">IFERROR(__xludf.DUMMYFUNCTION("""COMPUTED_VALUE"""),"Yes, I Understand this is gonna happen everywhere")</f>
        <v>Yes, I Understand this is gonna happen everywhere</v>
      </c>
      <c r="R2419" s="1" t="str">
        <f ca="1">IFERROR(__xludf.DUMMYFUNCTION("""COMPUTED_VALUE"""),"This will be hard to do, but if it is the right company I would try")</f>
        <v>This will be hard to do, but if it is the right company I would try</v>
      </c>
      <c r="S2419" s="1" t="str">
        <f ca="1">IFERROR(__xludf.DUMMYFUNCTION("""COMPUTED_VALUE"""),"kedarisagar99@gmail.com")</f>
        <v>kedarisagar99@gmail.com</v>
      </c>
    </row>
    <row r="2420" spans="1:19" ht="12.5" x14ac:dyDescent="0.25">
      <c r="A2420" s="2">
        <f ca="1">IFERROR(__xludf.DUMMYFUNCTION("""COMPUTED_VALUE"""),45064.5678569328)</f>
        <v>45064.567856932801</v>
      </c>
      <c r="B2420" s="1" t="str">
        <f ca="1">IFERROR(__xludf.DUMMYFUNCTION("""COMPUTED_VALUE"""),"India")</f>
        <v>India</v>
      </c>
      <c r="C2420" s="1">
        <f ca="1">IFERROR(__xludf.DUMMYFUNCTION("""COMPUTED_VALUE"""),424201)</f>
        <v>424201</v>
      </c>
      <c r="D2420" s="1" t="str">
        <f ca="1">IFERROR(__xludf.DUMMYFUNCTION("""COMPUTED_VALUE"""),"Male")</f>
        <v>Male</v>
      </c>
      <c r="E2420" s="1" t="str">
        <f ca="1">IFERROR(__xludf.DUMMYFUNCTION("""COMPUTED_VALUE"""),"People who have changed the world for better")</f>
        <v>People who have changed the world for better</v>
      </c>
      <c r="F2420" s="1" t="str">
        <f ca="1">IFERROR(__xludf.DUMMYFUNCTION("""COMPUTED_VALUE"""),"No, But if someone could bare the cost I will")</f>
        <v>No, But if someone could bare the cost I will</v>
      </c>
      <c r="G2420" s="1" t="str">
        <f ca="1">IFERROR(__xludf.DUMMYFUNCTION("""COMPUTED_VALUE"""),"This will be hard to do, but if it is the right company I would try")</f>
        <v>This will be hard to do, but if it is the right company I would try</v>
      </c>
      <c r="H2420" s="1" t="str">
        <f ca="1">IFERROR(__xludf.DUMMYFUNCTION("""COMPUTED_VALUE"""),"No")</f>
        <v>No</v>
      </c>
      <c r="I2420" s="1" t="str">
        <f ca="1">IFERROR(__xludf.DUMMYFUNCTION("""COMPUTED_VALUE"""),"Will NOT work for them")</f>
        <v>Will NOT work for them</v>
      </c>
      <c r="J2420" s="1">
        <f ca="1">IFERROR(__xludf.DUMMYFUNCTION("""COMPUTED_VALUE"""),9)</f>
        <v>9</v>
      </c>
      <c r="K2420" s="1" t="str">
        <f ca="1">IFERROR(__xludf.DUMMYFUNCTION("""COMPUTED_VALUE"""),"Every Day Office Environment")</f>
        <v>Every Day Office Environment</v>
      </c>
      <c r="L24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420" s="1" t="str">
        <f ca="1">IFERROR(__xludf.DUMMYFUNCTION("""COMPUTED_VALUE"""),"Business Operations in any organization, Build and develop a Team, Work as a freelancer and do my thing my way, An Artificial Intelligence Specialist / Talking to Robots")</f>
        <v>Business Operations in any organization, Build and develop a Team, Work as a freelancer and do my thing my way, An Artificial Intelligence Specialist / Talking to Robots</v>
      </c>
      <c r="O2420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0" s="1" t="str">
        <f ca="1">IFERROR(__xludf.DUMMYFUNCTION("""COMPUTED_VALUE"""),"Work with 7 to 10 or more people in my team")</f>
        <v>Work with 7 to 10 or more people in my team</v>
      </c>
      <c r="Q2420" s="1" t="str">
        <f ca="1">IFERROR(__xludf.DUMMYFUNCTION("""COMPUTED_VALUE"""),"Yes, I Understand this is gonna happen everywhere")</f>
        <v>Yes, I Understand this is gonna happen everywhere</v>
      </c>
      <c r="R2420" s="1" t="str">
        <f ca="1">IFERROR(__xludf.DUMMYFUNCTION("""COMPUTED_VALUE"""),"No way")</f>
        <v>No way</v>
      </c>
      <c r="S2420" s="1" t="str">
        <f ca="1">IFERROR(__xludf.DUMMYFUNCTION("""COMPUTED_VALUE"""),"abhishek.saraswat@byjus.com")</f>
        <v>abhishek.saraswat@byjus.com</v>
      </c>
    </row>
    <row r="2421" spans="1:19" ht="12.5" x14ac:dyDescent="0.25">
      <c r="A2421" s="2">
        <f ca="1">IFERROR(__xludf.DUMMYFUNCTION("""COMPUTED_VALUE"""),45064.5682292592)</f>
        <v>45064.568229259203</v>
      </c>
      <c r="B2421" s="1" t="str">
        <f ca="1">IFERROR(__xludf.DUMMYFUNCTION("""COMPUTED_VALUE"""),"India")</f>
        <v>India</v>
      </c>
      <c r="C2421" s="1">
        <f ca="1">IFERROR(__xludf.DUMMYFUNCTION("""COMPUTED_VALUE"""),635001)</f>
        <v>635001</v>
      </c>
      <c r="D2421" s="1" t="str">
        <f ca="1">IFERROR(__xludf.DUMMYFUNCTION("""COMPUTED_VALUE"""),"Male")</f>
        <v>Male</v>
      </c>
      <c r="E2421" s="1" t="str">
        <f ca="1">IFERROR(__xludf.DUMMYFUNCTION("""COMPUTED_VALUE"""),"Influencers who had successful careers")</f>
        <v>Influencers who had successful careers</v>
      </c>
      <c r="F2421" s="1" t="str">
        <f ca="1">IFERROR(__xludf.DUMMYFUNCTION("""COMPUTED_VALUE"""),"No, But if someone could bare the cost I will")</f>
        <v>No, But if someone could bare the cost I will</v>
      </c>
      <c r="G2421" s="1" t="str">
        <f ca="1">IFERROR(__xludf.DUMMYFUNCTION("""COMPUTED_VALUE"""),"Will work for 3 years or more")</f>
        <v>Will work for 3 years or more</v>
      </c>
      <c r="H2421" s="1" t="str">
        <f ca="1">IFERROR(__xludf.DUMMYFUNCTION("""COMPUTED_VALUE"""),"No")</f>
        <v>No</v>
      </c>
      <c r="I2421" s="1" t="str">
        <f ca="1">IFERROR(__xludf.DUMMYFUNCTION("""COMPUTED_VALUE"""),"Will NOT work for them")</f>
        <v>Will NOT work for them</v>
      </c>
      <c r="J2421" s="1">
        <f ca="1">IFERROR(__xludf.DUMMYFUNCTION("""COMPUTED_VALUE"""),3)</f>
        <v>3</v>
      </c>
      <c r="K2421" s="1" t="str">
        <f ca="1">IFERROR(__xludf.DUMMYFUNCTION("""COMPUTED_VALUE"""),"Hybrid Working Environment with more than 15 days a month at office")</f>
        <v>Hybrid Working Environment with more than 15 days a month at office</v>
      </c>
      <c r="L24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421" s="1" t="str">
        <f ca="1">IFERROR(__xludf.DUMMYFUNCTION("""COMPUTED_VALUE"""),"Design and Creative strategy in any company, Manage and drive End-to-End Projects or Products, Build and develop a Team, Become a content Creator in some platform")</f>
        <v>Design and Creative strategy in any company, Manage and drive End-to-End Projects or Products, Build and develop a Team, Become a content Creator in some platform</v>
      </c>
      <c r="O2421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1" s="1" t="str">
        <f ca="1">IFERROR(__xludf.DUMMYFUNCTION("""COMPUTED_VALUE"""),"Work with 2 to 3 people in my team, Work with 5 to 6 people in my team")</f>
        <v>Work with 2 to 3 people in my team, Work with 5 to 6 people in my team</v>
      </c>
      <c r="Q2421" s="1" t="str">
        <f ca="1">IFERROR(__xludf.DUMMYFUNCTION("""COMPUTED_VALUE"""),"Yes, I Understand this is gonna happen everywhere")</f>
        <v>Yes, I Understand this is gonna happen everywhere</v>
      </c>
      <c r="R2421" s="1" t="str">
        <f ca="1">IFERROR(__xludf.DUMMYFUNCTION("""COMPUTED_VALUE"""),"This will be hard to do, but if it is the right company I would try")</f>
        <v>This will be hard to do, but if it is the right company I would try</v>
      </c>
      <c r="S2421" s="1" t="str">
        <f ca="1">IFERROR(__xludf.DUMMYFUNCTION("""COMPUTED_VALUE"""),"gowthamkumaresan7@gmail.com")</f>
        <v>gowthamkumaresan7@gmail.com</v>
      </c>
    </row>
    <row r="2422" spans="1:19" ht="12.5" x14ac:dyDescent="0.25">
      <c r="A2422" s="2">
        <f ca="1">IFERROR(__xludf.DUMMYFUNCTION("""COMPUTED_VALUE"""),45064.5702932523)</f>
        <v>45064.570293252298</v>
      </c>
      <c r="B2422" s="1" t="str">
        <f ca="1">IFERROR(__xludf.DUMMYFUNCTION("""COMPUTED_VALUE"""),"India")</f>
        <v>India</v>
      </c>
      <c r="C2422" s="1">
        <f ca="1">IFERROR(__xludf.DUMMYFUNCTION("""COMPUTED_VALUE"""),500053)</f>
        <v>500053</v>
      </c>
      <c r="D2422" s="1" t="str">
        <f ca="1">IFERROR(__xludf.DUMMYFUNCTION("""COMPUTED_VALUE"""),"Female")</f>
        <v>Female</v>
      </c>
      <c r="E2422" s="1" t="str">
        <f ca="1">IFERROR(__xludf.DUMMYFUNCTION("""COMPUTED_VALUE"""),"People who have changed the world for better")</f>
        <v>People who have changed the world for better</v>
      </c>
      <c r="F2422" s="1" t="str">
        <f ca="1">IFERROR(__xludf.DUMMYFUNCTION("""COMPUTED_VALUE"""),"Yes, I will earn and do that")</f>
        <v>Yes, I will earn and do that</v>
      </c>
      <c r="G2422" s="1" t="str">
        <f ca="1">IFERROR(__xludf.DUMMYFUNCTION("""COMPUTED_VALUE"""),"This will be hard to do, but if it is the right company I would try")</f>
        <v>This will be hard to do, but if it is the right company I would try</v>
      </c>
      <c r="H2422" s="1" t="str">
        <f ca="1">IFERROR(__xludf.DUMMYFUNCTION("""COMPUTED_VALUE"""),"No")</f>
        <v>No</v>
      </c>
      <c r="I2422" s="1" t="str">
        <f ca="1">IFERROR(__xludf.DUMMYFUNCTION("""COMPUTED_VALUE"""),"Will NOT work for them")</f>
        <v>Will NOT work for them</v>
      </c>
      <c r="J2422" s="1">
        <f ca="1">IFERROR(__xludf.DUMMYFUNCTION("""COMPUTED_VALUE"""),4)</f>
        <v>4</v>
      </c>
      <c r="K2422" s="1" t="str">
        <f ca="1">IFERROR(__xludf.DUMMYFUNCTION("""COMPUTED_VALUE"""),"Hybrid Working Environment with less than 3 days a month at office")</f>
        <v>Hybrid Working Environment with less than 3 days a month at office</v>
      </c>
      <c r="L2422" s="1" t="str">
        <f ca="1">IFERROR(__xludf.DUMMYFUNCTION("""COMPUTED_VALUE"""),"Employer who appreciates learning and enables that environment")</f>
        <v>Employer who appreciates learning and enables that environment</v>
      </c>
      <c r="M242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22" s="1" t="str">
        <f ca="1">IFERROR(__xludf.DUMMYFUNCTION("""COMPUTED_VALUE"""),"Design and Creative strategy in any company, Business Operations in any organization, Look deeply into Data and generate insights, Work in a BPO setup for some well known client")</f>
        <v>Design and Creative strategy in any company, Business Operations in any organization, Look deeply into Data and generate insights, Work in a BPO setup for some well known client</v>
      </c>
      <c r="O2422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2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422" s="1" t="str">
        <f ca="1">IFERROR(__xludf.DUMMYFUNCTION("""COMPUTED_VALUE"""),"Yes, I Understand this is gonna happen everywhere")</f>
        <v>Yes, I Understand this is gonna happen everywhere</v>
      </c>
      <c r="R2422" s="1" t="str">
        <f ca="1">IFERROR(__xludf.DUMMYFUNCTION("""COMPUTED_VALUE"""),"No way")</f>
        <v>No way</v>
      </c>
      <c r="S2422" s="1" t="str">
        <f ca="1">IFERROR(__xludf.DUMMYFUNCTION("""COMPUTED_VALUE"""),"thakuraishwarya835@gmail.com")</f>
        <v>thakuraishwarya835@gmail.com</v>
      </c>
    </row>
    <row r="2423" spans="1:19" ht="12.5" x14ac:dyDescent="0.25">
      <c r="A2423" s="2">
        <f ca="1">IFERROR(__xludf.DUMMYFUNCTION("""COMPUTED_VALUE"""),45064.5722377314)</f>
        <v>45064.572237731401</v>
      </c>
      <c r="B2423" s="1" t="str">
        <f ca="1">IFERROR(__xludf.DUMMYFUNCTION("""COMPUTED_VALUE"""),"India")</f>
        <v>India</v>
      </c>
      <c r="C2423" s="1">
        <f ca="1">IFERROR(__xludf.DUMMYFUNCTION("""COMPUTED_VALUE"""),110089)</f>
        <v>110089</v>
      </c>
      <c r="D2423" s="1" t="str">
        <f ca="1">IFERROR(__xludf.DUMMYFUNCTION("""COMPUTED_VALUE"""),"Female")</f>
        <v>Female</v>
      </c>
      <c r="E2423" s="1" t="str">
        <f ca="1">IFERROR(__xludf.DUMMYFUNCTION("""COMPUTED_VALUE"""),"My Parents")</f>
        <v>My Parents</v>
      </c>
      <c r="F2423" s="1" t="str">
        <f ca="1">IFERROR(__xludf.DUMMYFUNCTION("""COMPUTED_VALUE"""),"No, But if someone could bare the cost I will")</f>
        <v>No, But if someone could bare the cost I will</v>
      </c>
      <c r="G2423" s="1" t="str">
        <f ca="1">IFERROR(__xludf.DUMMYFUNCTION("""COMPUTED_VALUE"""),"No way")</f>
        <v>No way</v>
      </c>
      <c r="H2423" s="1" t="str">
        <f ca="1">IFERROR(__xludf.DUMMYFUNCTION("""COMPUTED_VALUE"""),"No")</f>
        <v>No</v>
      </c>
      <c r="I2423" s="1" t="str">
        <f ca="1">IFERROR(__xludf.DUMMYFUNCTION("""COMPUTED_VALUE"""),"Will work for them")</f>
        <v>Will work for them</v>
      </c>
      <c r="J2423" s="1">
        <f ca="1">IFERROR(__xludf.DUMMYFUNCTION("""COMPUTED_VALUE"""),6)</f>
        <v>6</v>
      </c>
      <c r="K2423" s="1" t="str">
        <f ca="1">IFERROR(__xludf.DUMMYFUNCTION("""COMPUTED_VALUE"""),"Hybrid Working Environment with less than 3 days a month at office")</f>
        <v>Hybrid Working Environment with less than 3 days a month at office</v>
      </c>
      <c r="L242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423" s="1" t="str">
        <f ca="1">IFERROR(__xludf.DUMMYFUNCTION("""COMPUTED_VALUE"""),"Design and Creative strategy in any company, Work as a freelancer and do my thing my way, Entrepreneur or Start Up, An Artificial Intelligence Specialist / Talking to Robots")</f>
        <v>Design and Creative strategy in any company, Work as a freelancer and do my thing my way, Entrepreneur or Start Up, An Artificial Intelligence Specialist / Talking to Robots</v>
      </c>
      <c r="O2423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3" s="1" t="str">
        <f ca="1">IFERROR(__xludf.DUMMYFUNCTION("""COMPUTED_VALUE"""),"Work with 5 to 6 people in my team")</f>
        <v>Work with 5 to 6 people in my team</v>
      </c>
      <c r="Q2423" s="1" t="str">
        <f ca="1">IFERROR(__xludf.DUMMYFUNCTION("""COMPUTED_VALUE"""),"No")</f>
        <v>No</v>
      </c>
      <c r="R2423" s="1" t="str">
        <f ca="1">IFERROR(__xludf.DUMMYFUNCTION("""COMPUTED_VALUE"""),"No way")</f>
        <v>No way</v>
      </c>
      <c r="S2423" s="1" t="str">
        <f ca="1">IFERROR(__xludf.DUMMYFUNCTION("""COMPUTED_VALUE"""),"phythonvideo@gmail.com")</f>
        <v>phythonvideo@gmail.com</v>
      </c>
    </row>
    <row r="2424" spans="1:19" ht="12.5" x14ac:dyDescent="0.25">
      <c r="A2424" s="2">
        <f ca="1">IFERROR(__xludf.DUMMYFUNCTION("""COMPUTED_VALUE"""),45064.5724116203)</f>
        <v>45064.572411620298</v>
      </c>
      <c r="B2424" s="1" t="str">
        <f ca="1">IFERROR(__xludf.DUMMYFUNCTION("""COMPUTED_VALUE"""),"India")</f>
        <v>India</v>
      </c>
      <c r="C2424" s="1">
        <f ca="1">IFERROR(__xludf.DUMMYFUNCTION("""COMPUTED_VALUE"""),206902)</f>
        <v>206902</v>
      </c>
      <c r="D2424" s="1" t="str">
        <f ca="1">IFERROR(__xludf.DUMMYFUNCTION("""COMPUTED_VALUE"""),"Male")</f>
        <v>Male</v>
      </c>
      <c r="E2424" s="1" t="str">
        <f ca="1">IFERROR(__xludf.DUMMYFUNCTION("""COMPUTED_VALUE"""),"Influencers who had successful careers")</f>
        <v>Influencers who had successful careers</v>
      </c>
      <c r="F2424" s="1" t="str">
        <f ca="1">IFERROR(__xludf.DUMMYFUNCTION("""COMPUTED_VALUE"""),"Yes, I will earn and do that")</f>
        <v>Yes, I will earn and do that</v>
      </c>
      <c r="G2424" s="1" t="str">
        <f ca="1">IFERROR(__xludf.DUMMYFUNCTION("""COMPUTED_VALUE"""),"Will work for 3 years or more")</f>
        <v>Will work for 3 years or more</v>
      </c>
      <c r="H2424" s="1" t="str">
        <f ca="1">IFERROR(__xludf.DUMMYFUNCTION("""COMPUTED_VALUE"""),"No")</f>
        <v>No</v>
      </c>
      <c r="I2424" s="1" t="str">
        <f ca="1">IFERROR(__xludf.DUMMYFUNCTION("""COMPUTED_VALUE"""),"Will NOT work for them")</f>
        <v>Will NOT work for them</v>
      </c>
      <c r="J2424" s="1">
        <f ca="1">IFERROR(__xludf.DUMMYFUNCTION("""COMPUTED_VALUE"""),6)</f>
        <v>6</v>
      </c>
      <c r="K2424" s="1" t="str">
        <f ca="1">IFERROR(__xludf.DUMMYFUNCTION("""COMPUTED_VALUE"""),"Hybrid Working Environment with more than 15 days a month at office")</f>
        <v>Hybrid Working Environment with more than 15 days a month at office</v>
      </c>
      <c r="L242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24" s="1" t="str">
        <f ca="1">IFERROR(__xludf.DUMMYFUNCTION("""COMPUTED_VALUE"""),"Design and Creative strategy in any company, Design and Develop amazing software, Work as a freelancer and do my thing my way, An Artificial Intelligence Specialist / Talking to Robots")</f>
        <v>Design and Creative strategy in any company, Design and Develop amazing software, Work as a freelancer and do my thing my way, An Artificial Intelligence Specialist / Talking to Robots</v>
      </c>
      <c r="O2424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424" s="1" t="str">
        <f ca="1">IFERROR(__xludf.DUMMYFUNCTION("""COMPUTED_VALUE"""),"Yes, I Understand this is gonna happen everywhere")</f>
        <v>Yes, I Understand this is gonna happen everywhere</v>
      </c>
      <c r="R2424" s="1" t="str">
        <f ca="1">IFERROR(__xludf.DUMMYFUNCTION("""COMPUTED_VALUE"""),"This will be hard to do, but if it is the right company I would try")</f>
        <v>This will be hard to do, but if it is the right company I would try</v>
      </c>
      <c r="S2424" s="1" t="str">
        <f ca="1">IFERROR(__xludf.DUMMYFUNCTION("""COMPUTED_VALUE"""),"200801080@rajalakshmi.edu.in")</f>
        <v>200801080@rajalakshmi.edu.in</v>
      </c>
    </row>
    <row r="2425" spans="1:19" ht="12.5" x14ac:dyDescent="0.25">
      <c r="A2425" s="2">
        <f ca="1">IFERROR(__xludf.DUMMYFUNCTION("""COMPUTED_VALUE"""),45064.5914407407)</f>
        <v>45064.591440740704</v>
      </c>
      <c r="B2425" s="1" t="str">
        <f ca="1">IFERROR(__xludf.DUMMYFUNCTION("""COMPUTED_VALUE"""),"India")</f>
        <v>India</v>
      </c>
      <c r="C2425" s="1">
        <f ca="1">IFERROR(__xludf.DUMMYFUNCTION("""COMPUTED_VALUE"""),510407)</f>
        <v>510407</v>
      </c>
      <c r="D2425" s="1" t="str">
        <f ca="1">IFERROR(__xludf.DUMMYFUNCTION("""COMPUTED_VALUE"""),"Female")</f>
        <v>Female</v>
      </c>
      <c r="E2425" s="1" t="str">
        <f ca="1">IFERROR(__xludf.DUMMYFUNCTION("""COMPUTED_VALUE"""),"People who have changed the world for better")</f>
        <v>People who have changed the world for better</v>
      </c>
      <c r="F2425" s="1" t="str">
        <f ca="1">IFERROR(__xludf.DUMMYFUNCTION("""COMPUTED_VALUE"""),"Yes, I will earn and do that")</f>
        <v>Yes, I will earn and do that</v>
      </c>
      <c r="G2425" s="1" t="str">
        <f ca="1">IFERROR(__xludf.DUMMYFUNCTION("""COMPUTED_VALUE"""),"This will be hard to do, but if it is the right company I would try")</f>
        <v>This will be hard to do, but if it is the right company I would try</v>
      </c>
      <c r="H2425" s="1" t="str">
        <f ca="1">IFERROR(__xludf.DUMMYFUNCTION("""COMPUTED_VALUE"""),"No")</f>
        <v>No</v>
      </c>
      <c r="I2425" s="1" t="str">
        <f ca="1">IFERROR(__xludf.DUMMYFUNCTION("""COMPUTED_VALUE"""),"Will NOT work for them")</f>
        <v>Will NOT work for them</v>
      </c>
      <c r="J2425" s="1">
        <f ca="1">IFERROR(__xludf.DUMMYFUNCTION("""COMPUTED_VALUE"""),6)</f>
        <v>6</v>
      </c>
      <c r="K2425" s="1" t="str">
        <f ca="1">IFERROR(__xludf.DUMMYFUNCTION("""COMPUTED_VALUE"""),"Fully Remote with Options to travel as and when needed")</f>
        <v>Fully Remote with Options to travel as and when needed</v>
      </c>
      <c r="L24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425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2425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5" s="1" t="str">
        <f ca="1">IFERROR(__xludf.DUMMYFUNCTION("""COMPUTED_VALUE"""),"Work with 2 to 3 people in my team")</f>
        <v>Work with 2 to 3 people in my team</v>
      </c>
      <c r="Q2425" s="1" t="str">
        <f ca="1">IFERROR(__xludf.DUMMYFUNCTION("""COMPUTED_VALUE"""),"No")</f>
        <v>No</v>
      </c>
      <c r="R2425" s="1" t="str">
        <f ca="1">IFERROR(__xludf.DUMMYFUNCTION("""COMPUTED_VALUE"""),"This will be hard to do, but if it is the right company I would try")</f>
        <v>This will be hard to do, but if it is the right company I would try</v>
      </c>
      <c r="S2425" s="1" t="str">
        <f ca="1">IFERROR(__xludf.DUMMYFUNCTION("""COMPUTED_VALUE"""),"rathodb9558@gmail.com")</f>
        <v>rathodb9558@gmail.com</v>
      </c>
    </row>
    <row r="2426" spans="1:19" ht="12.5" x14ac:dyDescent="0.25">
      <c r="A2426" s="2">
        <f ca="1">IFERROR(__xludf.DUMMYFUNCTION("""COMPUTED_VALUE"""),45064.5955385185)</f>
        <v>45064.595538518501</v>
      </c>
      <c r="B2426" s="1" t="str">
        <f ca="1">IFERROR(__xludf.DUMMYFUNCTION("""COMPUTED_VALUE"""),"India")</f>
        <v>India</v>
      </c>
      <c r="C2426" s="1">
        <f ca="1">IFERROR(__xludf.DUMMYFUNCTION("""COMPUTED_VALUE"""),509103)</f>
        <v>509103</v>
      </c>
      <c r="D2426" s="1" t="str">
        <f ca="1">IFERROR(__xludf.DUMMYFUNCTION("""COMPUTED_VALUE"""),"Female")</f>
        <v>Female</v>
      </c>
      <c r="E2426" s="1" t="str">
        <f ca="1">IFERROR(__xludf.DUMMYFUNCTION("""COMPUTED_VALUE"""),"People from my circle, but not family members")</f>
        <v>People from my circle, but not family members</v>
      </c>
      <c r="F2426" s="1" t="str">
        <f ca="1">IFERROR(__xludf.DUMMYFUNCTION("""COMPUTED_VALUE"""),"No I would not be pursuing Higher Education outside of India")</f>
        <v>No I would not be pursuing Higher Education outside of India</v>
      </c>
      <c r="G2426" s="1" t="str">
        <f ca="1">IFERROR(__xludf.DUMMYFUNCTION("""COMPUTED_VALUE"""),"This will be hard to do, but if it is the right company I would try")</f>
        <v>This will be hard to do, but if it is the right company I would try</v>
      </c>
      <c r="H2426" s="1" t="str">
        <f ca="1">IFERROR(__xludf.DUMMYFUNCTION("""COMPUTED_VALUE"""),"No")</f>
        <v>No</v>
      </c>
      <c r="I2426" s="1" t="str">
        <f ca="1">IFERROR(__xludf.DUMMYFUNCTION("""COMPUTED_VALUE"""),"Will NOT work for them")</f>
        <v>Will NOT work for them</v>
      </c>
      <c r="J2426" s="1">
        <f ca="1">IFERROR(__xludf.DUMMYFUNCTION("""COMPUTED_VALUE"""),6)</f>
        <v>6</v>
      </c>
      <c r="K2426" s="1" t="str">
        <f ca="1">IFERROR(__xludf.DUMMYFUNCTION("""COMPUTED_VALUE"""),"Hybrid Working Environment with less than 3 days a month at office")</f>
        <v>Hybrid Working Environment with less than 3 days a month at office</v>
      </c>
      <c r="L24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426" s="1" t="str">
        <f ca="1">IFERROR(__xludf.DUMMYFUNCTION("""COMPUTED_VALUE"""),"Design and Develop amazing software, Look deeply into Data and generate insights, Become a content Creator in some platform, An Artificial Intelligence Specialist / Talking to Robots")</f>
        <v>Design and Develop amazing software, Look deeply into Data and generate insights, Become a content Creator in some platform, An Artificial Intelligence Specialist / Talking to Robots</v>
      </c>
      <c r="O2426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6" s="1" t="str">
        <f ca="1">IFERROR(__xludf.DUMMYFUNCTION("""COMPUTED_VALUE"""),"Work with 7 to 10 or more people in my team")</f>
        <v>Work with 7 to 10 or more people in my team</v>
      </c>
      <c r="Q2426" s="1" t="str">
        <f ca="1">IFERROR(__xludf.DUMMYFUNCTION("""COMPUTED_VALUE"""),"No")</f>
        <v>No</v>
      </c>
      <c r="R2426" s="1" t="str">
        <f ca="1">IFERROR(__xludf.DUMMYFUNCTION("""COMPUTED_VALUE"""),"No way")</f>
        <v>No way</v>
      </c>
      <c r="S2426" s="1" t="str">
        <f ca="1">IFERROR(__xludf.DUMMYFUNCTION("""COMPUTED_VALUE"""),"chilukameghana804@gmail.com")</f>
        <v>chilukameghana804@gmail.com</v>
      </c>
    </row>
    <row r="2427" spans="1:19" ht="12.5" x14ac:dyDescent="0.25">
      <c r="A2427" s="2">
        <f ca="1">IFERROR(__xludf.DUMMYFUNCTION("""COMPUTED_VALUE"""),45064.5987450231)</f>
        <v>45064.598745023097</v>
      </c>
      <c r="B2427" s="1" t="str">
        <f ca="1">IFERROR(__xludf.DUMMYFUNCTION("""COMPUTED_VALUE"""),"India")</f>
        <v>India</v>
      </c>
      <c r="C2427" s="1">
        <f ca="1">IFERROR(__xludf.DUMMYFUNCTION("""COMPUTED_VALUE"""),635002)</f>
        <v>635002</v>
      </c>
      <c r="D2427" s="1" t="str">
        <f ca="1">IFERROR(__xludf.DUMMYFUNCTION("""COMPUTED_VALUE"""),"Male")</f>
        <v>Male</v>
      </c>
      <c r="E2427" s="1" t="str">
        <f ca="1">IFERROR(__xludf.DUMMYFUNCTION("""COMPUTED_VALUE"""),"My Parents")</f>
        <v>My Parents</v>
      </c>
      <c r="F2427" s="1" t="str">
        <f ca="1">IFERROR(__xludf.DUMMYFUNCTION("""COMPUTED_VALUE"""),"No I would not be pursuing Higher Education outside of India")</f>
        <v>No I would not be pursuing Higher Education outside of India</v>
      </c>
      <c r="G2427" s="1" t="str">
        <f ca="1">IFERROR(__xludf.DUMMYFUNCTION("""COMPUTED_VALUE"""),"This will be hard to do, but if it is the right company I would try")</f>
        <v>This will be hard to do, but if it is the right company I would try</v>
      </c>
      <c r="H2427" s="1" t="str">
        <f ca="1">IFERROR(__xludf.DUMMYFUNCTION("""COMPUTED_VALUE"""),"No")</f>
        <v>No</v>
      </c>
      <c r="I2427" s="1" t="str">
        <f ca="1">IFERROR(__xludf.DUMMYFUNCTION("""COMPUTED_VALUE"""),"Will NOT work for them")</f>
        <v>Will NOT work for them</v>
      </c>
      <c r="J2427" s="1">
        <f ca="1">IFERROR(__xludf.DUMMYFUNCTION("""COMPUTED_VALUE"""),5)</f>
        <v>5</v>
      </c>
      <c r="K2427" s="1" t="str">
        <f ca="1">IFERROR(__xludf.DUMMYFUNCTION("""COMPUTED_VALUE"""),"Every Day Office Environment")</f>
        <v>Every Day Office Environment</v>
      </c>
      <c r="L242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27" s="1" t="str">
        <f ca="1">IFERROR(__xludf.DUMMYFUNCTION("""COMPUTED_VALUE"""),"Manage and drive End-to-End Projects or Products, Build and develop a Team, Design and Develop amazing software, Entrepreneur or Start Up")</f>
        <v>Manage and drive End-to-End Projects or Products, Build and develop a Team, Design and Develop amazing software, Entrepreneur or Start Up</v>
      </c>
      <c r="O2427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7" s="1" t="str">
        <f ca="1">IFERROR(__xludf.DUMMYFUNCTION("""COMPUTED_VALUE"""),"Work with 2 to 3 people in my team, Work with 5 to 6 people in my team")</f>
        <v>Work with 2 to 3 people in my team, Work with 5 to 6 people in my team</v>
      </c>
      <c r="Q2427" s="1" t="str">
        <f ca="1">IFERROR(__xludf.DUMMYFUNCTION("""COMPUTED_VALUE"""),"No")</f>
        <v>No</v>
      </c>
      <c r="R2427" s="1" t="str">
        <f ca="1">IFERROR(__xludf.DUMMYFUNCTION("""COMPUTED_VALUE"""),"No way")</f>
        <v>No way</v>
      </c>
      <c r="S2427" s="1" t="str">
        <f ca="1">IFERROR(__xludf.DUMMYFUNCTION("""COMPUTED_VALUE"""),"gnanaprakash96979@gmail.com")</f>
        <v>gnanaprakash96979@gmail.com</v>
      </c>
    </row>
    <row r="2428" spans="1:19" ht="12.5" x14ac:dyDescent="0.25">
      <c r="A2428" s="2">
        <f ca="1">IFERROR(__xludf.DUMMYFUNCTION("""COMPUTED_VALUE"""),45064.5995905208)</f>
        <v>45064.599590520796</v>
      </c>
      <c r="B2428" s="1" t="str">
        <f ca="1">IFERROR(__xludf.DUMMYFUNCTION("""COMPUTED_VALUE"""),"India")</f>
        <v>India</v>
      </c>
      <c r="C2428" s="1">
        <f ca="1">IFERROR(__xludf.DUMMYFUNCTION("""COMPUTED_VALUE"""),591125)</f>
        <v>591125</v>
      </c>
      <c r="D2428" s="1" t="str">
        <f ca="1">IFERROR(__xludf.DUMMYFUNCTION("""COMPUTED_VALUE"""),"Male")</f>
        <v>Male</v>
      </c>
      <c r="E2428" s="1" t="str">
        <f ca="1">IFERROR(__xludf.DUMMYFUNCTION("""COMPUTED_VALUE"""),"My Parents")</f>
        <v>My Parents</v>
      </c>
      <c r="F2428" s="1" t="str">
        <f ca="1">IFERROR(__xludf.DUMMYFUNCTION("""COMPUTED_VALUE"""),"No I would not be pursuing Higher Education outside of India")</f>
        <v>No I would not be pursuing Higher Education outside of India</v>
      </c>
      <c r="G2428" s="1" t="str">
        <f ca="1">IFERROR(__xludf.DUMMYFUNCTION("""COMPUTED_VALUE"""),"This will be hard to do, but if it is the right company I would try")</f>
        <v>This will be hard to do, but if it is the right company I would try</v>
      </c>
      <c r="H2428" s="1" t="str">
        <f ca="1">IFERROR(__xludf.DUMMYFUNCTION("""COMPUTED_VALUE"""),"No")</f>
        <v>No</v>
      </c>
      <c r="I2428" s="1" t="str">
        <f ca="1">IFERROR(__xludf.DUMMYFUNCTION("""COMPUTED_VALUE"""),"Will NOT work for them")</f>
        <v>Will NOT work for them</v>
      </c>
      <c r="J2428" s="1">
        <f ca="1">IFERROR(__xludf.DUMMYFUNCTION("""COMPUTED_VALUE"""),1)</f>
        <v>1</v>
      </c>
      <c r="K2428" s="1" t="str">
        <f ca="1">IFERROR(__xludf.DUMMYFUNCTION("""COMPUTED_VALUE"""),"Every Day Office Environment")</f>
        <v>Every Day Office Environment</v>
      </c>
      <c r="L24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2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428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428" s="1" t="str">
        <f ca="1">IFERROR(__xludf.DUMMYFUNCTION("""COMPUTED_VALUE"""),"Manager who explains what is expected, sets a goal and helps achieve it")</f>
        <v>Manager who explains what is expected, sets a goal and helps achieve it</v>
      </c>
      <c r="P2428" s="1" t="str">
        <f ca="1">IFERROR(__xludf.DUMMYFUNCTION("""COMPUTED_VALUE"""),"Work with more than 10 people in my team")</f>
        <v>Work with more than 10 people in my team</v>
      </c>
      <c r="Q2428" s="1" t="str">
        <f ca="1">IFERROR(__xludf.DUMMYFUNCTION("""COMPUTED_VALUE"""),"Yes")</f>
        <v>Yes</v>
      </c>
      <c r="R2428" s="1" t="str">
        <f ca="1">IFERROR(__xludf.DUMMYFUNCTION("""COMPUTED_VALUE"""),"This will be hard to do, but if it is the right company I would try")</f>
        <v>This will be hard to do, but if it is the right company I would try</v>
      </c>
      <c r="S2428" s="1" t="str">
        <f ca="1">IFERROR(__xludf.DUMMYFUNCTION("""COMPUTED_VALUE"""),"shreyasmavinakatti20799@gmail.com")</f>
        <v>shreyasmavinakatti20799@gmail.com</v>
      </c>
    </row>
    <row r="2429" spans="1:19" ht="12.5" x14ac:dyDescent="0.25">
      <c r="A2429" s="2">
        <f ca="1">IFERROR(__xludf.DUMMYFUNCTION("""COMPUTED_VALUE"""),45064.6012339004)</f>
        <v>45064.601233900401</v>
      </c>
      <c r="B2429" s="1" t="str">
        <f ca="1">IFERROR(__xludf.DUMMYFUNCTION("""COMPUTED_VALUE"""),"India")</f>
        <v>India</v>
      </c>
      <c r="C2429" s="1">
        <f ca="1">IFERROR(__xludf.DUMMYFUNCTION("""COMPUTED_VALUE"""),606701)</f>
        <v>606701</v>
      </c>
      <c r="D2429" s="1" t="str">
        <f ca="1">IFERROR(__xludf.DUMMYFUNCTION("""COMPUTED_VALUE"""),"Female")</f>
        <v>Female</v>
      </c>
      <c r="E2429" s="1" t="str">
        <f ca="1">IFERROR(__xludf.DUMMYFUNCTION("""COMPUTED_VALUE"""),"People from my circle, but not family members")</f>
        <v>People from my circle, but not family members</v>
      </c>
      <c r="F2429" s="1" t="str">
        <f ca="1">IFERROR(__xludf.DUMMYFUNCTION("""COMPUTED_VALUE"""),"Yes, I will earn and do that")</f>
        <v>Yes, I will earn and do that</v>
      </c>
      <c r="G2429" s="1" t="str">
        <f ca="1">IFERROR(__xludf.DUMMYFUNCTION("""COMPUTED_VALUE"""),"Will work for 3 years or more")</f>
        <v>Will work for 3 years or more</v>
      </c>
      <c r="H2429" s="1" t="str">
        <f ca="1">IFERROR(__xludf.DUMMYFUNCTION("""COMPUTED_VALUE"""),"No")</f>
        <v>No</v>
      </c>
      <c r="I2429" s="1" t="str">
        <f ca="1">IFERROR(__xludf.DUMMYFUNCTION("""COMPUTED_VALUE"""),"Will NOT work for them")</f>
        <v>Will NOT work for them</v>
      </c>
      <c r="J2429" s="1">
        <f ca="1">IFERROR(__xludf.DUMMYFUNCTION("""COMPUTED_VALUE"""),7)</f>
        <v>7</v>
      </c>
      <c r="K2429" s="1" t="str">
        <f ca="1">IFERROR(__xludf.DUMMYFUNCTION("""COMPUTED_VALUE"""),"Every Day Office Environment")</f>
        <v>Every Day Office Environment</v>
      </c>
      <c r="L2429" s="1" t="str">
        <f ca="1">IFERROR(__xludf.DUMMYFUNCTION("""COMPUTED_VALUE"""),"Employer who appreciates learning and enables that environment")</f>
        <v>Employer who appreciates learning and enables that environment</v>
      </c>
      <c r="M2429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429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2429" s="1" t="str">
        <f ca="1">IFERROR(__xludf.DUMMYFUNCTION("""COMPUTED_VALUE"""),"Manager who sets goal and helps me achieve it")</f>
        <v>Manager who sets goal and helps me achieve it</v>
      </c>
      <c r="P2429" s="1" t="str">
        <f ca="1">IFERROR(__xludf.DUMMYFUNCTION("""COMPUTED_VALUE"""),"Work with 2 to 3 people in my team")</f>
        <v>Work with 2 to 3 people in my team</v>
      </c>
      <c r="Q2429" s="1" t="str">
        <f ca="1">IFERROR(__xludf.DUMMYFUNCTION("""COMPUTED_VALUE"""),"Yes, I Understand this is gonna happen everywhere")</f>
        <v>Yes, I Understand this is gonna happen everywhere</v>
      </c>
      <c r="R2429" s="1" t="str">
        <f ca="1">IFERROR(__xludf.DUMMYFUNCTION("""COMPUTED_VALUE"""),"This will be hard to do, but if it is the right company I would try")</f>
        <v>This will be hard to do, but if it is the right company I would try</v>
      </c>
      <c r="S2429" s="1" t="str">
        <f ca="1">IFERROR(__xludf.DUMMYFUNCTION("""COMPUTED_VALUE"""),"rakshithasaravanaprabu@gmail.com")</f>
        <v>rakshithasaravanaprabu@gmail.com</v>
      </c>
    </row>
    <row r="2430" spans="1:19" ht="12.5" x14ac:dyDescent="0.25">
      <c r="A2430" s="2">
        <f ca="1">IFERROR(__xludf.DUMMYFUNCTION("""COMPUTED_VALUE"""),45064.6024580092)</f>
        <v>45064.602458009198</v>
      </c>
      <c r="B2430" s="1" t="str">
        <f ca="1">IFERROR(__xludf.DUMMYFUNCTION("""COMPUTED_VALUE"""),"India")</f>
        <v>India</v>
      </c>
      <c r="C2430" s="1">
        <f ca="1">IFERROR(__xludf.DUMMYFUNCTION("""COMPUTED_VALUE"""),585216)</f>
        <v>585216</v>
      </c>
      <c r="D2430" s="1" t="str">
        <f ca="1">IFERROR(__xludf.DUMMYFUNCTION("""COMPUTED_VALUE"""),"Male")</f>
        <v>Male</v>
      </c>
      <c r="E2430" s="1" t="str">
        <f ca="1">IFERROR(__xludf.DUMMYFUNCTION("""COMPUTED_VALUE"""),"Influencers who had successful careers")</f>
        <v>Influencers who had successful careers</v>
      </c>
      <c r="F2430" s="1" t="str">
        <f ca="1">IFERROR(__xludf.DUMMYFUNCTION("""COMPUTED_VALUE"""),"No, But if someone could bare the cost I will")</f>
        <v>No, But if someone could bare the cost I will</v>
      </c>
      <c r="G2430" s="1" t="str">
        <f ca="1">IFERROR(__xludf.DUMMYFUNCTION("""COMPUTED_VALUE"""),"Will work for 3 years or more")</f>
        <v>Will work for 3 years or more</v>
      </c>
      <c r="H2430" s="1" t="str">
        <f ca="1">IFERROR(__xludf.DUMMYFUNCTION("""COMPUTED_VALUE"""),"No")</f>
        <v>No</v>
      </c>
      <c r="I2430" s="1" t="str">
        <f ca="1">IFERROR(__xludf.DUMMYFUNCTION("""COMPUTED_VALUE"""),"Will NOT work for them")</f>
        <v>Will NOT work for them</v>
      </c>
      <c r="J2430" s="1">
        <f ca="1">IFERROR(__xludf.DUMMYFUNCTION("""COMPUTED_VALUE"""),1)</f>
        <v>1</v>
      </c>
      <c r="K2430" s="1" t="str">
        <f ca="1">IFERROR(__xludf.DUMMYFUNCTION("""COMPUTED_VALUE"""),"Hybrid Working Environment with more than 15 days a month at office")</f>
        <v>Hybrid Working Environment with more than 15 days a month at office</v>
      </c>
      <c r="L24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3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430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2430" s="1" t="str">
        <f ca="1">IFERROR(__xludf.DUMMYFUNCTION("""COMPUTED_VALUE"""),"Manager who clearly describes what she/he needs")</f>
        <v>Manager who clearly describes what she/he needs</v>
      </c>
      <c r="P2430" s="1" t="str">
        <f ca="1">IFERROR(__xludf.DUMMYFUNCTION("""COMPUTED_VALUE"""),"Work with 2 to 3 people in my team, Work with 5 to 6 people in my team")</f>
        <v>Work with 2 to 3 people in my team, Work with 5 to 6 people in my team</v>
      </c>
      <c r="Q2430" s="1" t="str">
        <f ca="1">IFERROR(__xludf.DUMMYFUNCTION("""COMPUTED_VALUE"""),"Yes, I Understand this is gonna happen everywhere")</f>
        <v>Yes, I Understand this is gonna happen everywhere</v>
      </c>
      <c r="R2430" s="1" t="str">
        <f ca="1">IFERROR(__xludf.DUMMYFUNCTION("""COMPUTED_VALUE"""),"This will be hard to do, but if it is the right company I would try")</f>
        <v>This will be hard to do, but if it is the right company I would try</v>
      </c>
      <c r="S2430" s="1" t="str">
        <f ca="1">IFERROR(__xludf.DUMMYFUNCTION("""COMPUTED_VALUE"""),"livingsoul3773@gmail.com")</f>
        <v>livingsoul3773@gmail.com</v>
      </c>
    </row>
    <row r="2431" spans="1:19" ht="12.5" x14ac:dyDescent="0.25">
      <c r="A2431" s="2">
        <f ca="1">IFERROR(__xludf.DUMMYFUNCTION("""COMPUTED_VALUE"""),45064.610220405)</f>
        <v>45064.610220404997</v>
      </c>
      <c r="B2431" s="1" t="str">
        <f ca="1">IFERROR(__xludf.DUMMYFUNCTION("""COMPUTED_VALUE"""),"India")</f>
        <v>India</v>
      </c>
      <c r="C2431" s="1">
        <f ca="1">IFERROR(__xludf.DUMMYFUNCTION("""COMPUTED_VALUE"""),400605)</f>
        <v>400605</v>
      </c>
      <c r="D2431" s="1" t="str">
        <f ca="1">IFERROR(__xludf.DUMMYFUNCTION("""COMPUTED_VALUE"""),"Female")</f>
        <v>Female</v>
      </c>
      <c r="E2431" s="1" t="str">
        <f ca="1">IFERROR(__xludf.DUMMYFUNCTION("""COMPUTED_VALUE"""),"Influencers who had successful careers")</f>
        <v>Influencers who had successful careers</v>
      </c>
      <c r="F2431" s="1" t="str">
        <f ca="1">IFERROR(__xludf.DUMMYFUNCTION("""COMPUTED_VALUE"""),"Yes, I will earn and do that")</f>
        <v>Yes, I will earn and do that</v>
      </c>
      <c r="G2431" s="1" t="str">
        <f ca="1">IFERROR(__xludf.DUMMYFUNCTION("""COMPUTED_VALUE"""),"This will be hard to do, but if it is the right company I would try")</f>
        <v>This will be hard to do, but if it is the right company I would try</v>
      </c>
      <c r="H2431" s="1" t="str">
        <f ca="1">IFERROR(__xludf.DUMMYFUNCTION("""COMPUTED_VALUE"""),"No")</f>
        <v>No</v>
      </c>
      <c r="I2431" s="1" t="str">
        <f ca="1">IFERROR(__xludf.DUMMYFUNCTION("""COMPUTED_VALUE"""),"Will NOT work for them")</f>
        <v>Will NOT work for them</v>
      </c>
      <c r="J2431" s="1">
        <f ca="1">IFERROR(__xludf.DUMMYFUNCTION("""COMPUTED_VALUE"""),6)</f>
        <v>6</v>
      </c>
      <c r="K2431" s="1" t="str">
        <f ca="1">IFERROR(__xludf.DUMMYFUNCTION("""COMPUTED_VALUE"""),"Hybrid Working Environment with more than 15 days a month at office")</f>
        <v>Hybrid Working Environment with more than 15 days a month at office</v>
      </c>
      <c r="L24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3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31" s="1" t="str">
        <f ca="1">IFERROR(__xludf.DUMMYFUNCTION("""COMPUTED_VALUE"""),"Teaching in any of the institutes/colleges/online or offline, Manage and drive End-to-End Projects or Products, Build and develop a Team, Look deeply into Data and generate insights")</f>
        <v>Teaching in any of the institutes/colleges/online or offline, Manage and drive End-to-End Projects or Products, Build and develop a Team, Look deeply into Data and generate insights</v>
      </c>
      <c r="O2431" s="1" t="str">
        <f ca="1">IFERROR(__xludf.DUMMYFUNCTION("""COMPUTED_VALUE"""),"Manager who explains what is expected, sets a goal and helps achieve it")</f>
        <v>Manager who explains what is expected, sets a goal and helps achieve it</v>
      </c>
      <c r="P2431" s="1" t="str">
        <f ca="1">IFERROR(__xludf.DUMMYFUNCTION("""COMPUTED_VALUE"""),"Work with 7 to 10 or more people in my team")</f>
        <v>Work with 7 to 10 or more people in my team</v>
      </c>
      <c r="Q2431" s="1" t="str">
        <f ca="1">IFERROR(__xludf.DUMMYFUNCTION("""COMPUTED_VALUE"""),"Yes, I Understand this is gonna happen everywhere")</f>
        <v>Yes, I Understand this is gonna happen everywhere</v>
      </c>
      <c r="R2431" s="1" t="str">
        <f ca="1">IFERROR(__xludf.DUMMYFUNCTION("""COMPUTED_VALUE"""),"This will be hard to do, but if it is the right company I would try")</f>
        <v>This will be hard to do, but if it is the right company I would try</v>
      </c>
      <c r="S2431" s="1" t="str">
        <f ca="1">IFERROR(__xludf.DUMMYFUNCTION("""COMPUTED_VALUE"""),"pritkaralkar@gmail.com")</f>
        <v>pritkaralkar@gmail.com</v>
      </c>
    </row>
    <row r="2432" spans="1:19" ht="12.5" x14ac:dyDescent="0.25">
      <c r="A2432" s="2">
        <f ca="1">IFERROR(__xludf.DUMMYFUNCTION("""COMPUTED_VALUE"""),45064.6119617708)</f>
        <v>45064.611961770803</v>
      </c>
      <c r="B2432" s="1" t="str">
        <f ca="1">IFERROR(__xludf.DUMMYFUNCTION("""COMPUTED_VALUE"""),"India")</f>
        <v>India</v>
      </c>
      <c r="C2432" s="1">
        <f ca="1">IFERROR(__xludf.DUMMYFUNCTION("""COMPUTED_VALUE"""),600070)</f>
        <v>600070</v>
      </c>
      <c r="D2432" s="1" t="str">
        <f ca="1">IFERROR(__xludf.DUMMYFUNCTION("""COMPUTED_VALUE"""),"Male")</f>
        <v>Male</v>
      </c>
      <c r="E2432" s="1" t="str">
        <f ca="1">IFERROR(__xludf.DUMMYFUNCTION("""COMPUTED_VALUE"""),"People who have changed the world for better")</f>
        <v>People who have changed the world for better</v>
      </c>
      <c r="F2432" s="1" t="str">
        <f ca="1">IFERROR(__xludf.DUMMYFUNCTION("""COMPUTED_VALUE"""),"No, But if someone could bare the cost I will")</f>
        <v>No, But if someone could bare the cost I will</v>
      </c>
      <c r="G2432" s="1" t="str">
        <f ca="1">IFERROR(__xludf.DUMMYFUNCTION("""COMPUTED_VALUE"""),"Will work for 3 years or more")</f>
        <v>Will work for 3 years or more</v>
      </c>
      <c r="H2432" s="1" t="str">
        <f ca="1">IFERROR(__xludf.DUMMYFUNCTION("""COMPUTED_VALUE"""),"No")</f>
        <v>No</v>
      </c>
      <c r="I2432" s="1" t="str">
        <f ca="1">IFERROR(__xludf.DUMMYFUNCTION("""COMPUTED_VALUE"""),"Will NOT work for them")</f>
        <v>Will NOT work for them</v>
      </c>
      <c r="J2432" s="1">
        <f ca="1">IFERROR(__xludf.DUMMYFUNCTION("""COMPUTED_VALUE"""),8)</f>
        <v>8</v>
      </c>
      <c r="K2432" s="1" t="str">
        <f ca="1">IFERROR(__xludf.DUMMYFUNCTION("""COMPUTED_VALUE"""),"Hybrid Working Environment with more than 15 days a month at office")</f>
        <v>Hybrid Working Environment with more than 15 days a month at office</v>
      </c>
      <c r="L24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3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32" s="1" t="str">
        <f ca="1">IFERROR(__xludf.DUMMYFUNCTION("""COMPUTED_VALUE"""),"Design and Creative strategy in any company, Manage and drive End-to-End Projects or Products, Design and Develop amazing software, Become a content Creator in some platform")</f>
        <v>Design and Creative strategy in any company, Manage and drive End-to-End Projects or Products, Design and Develop amazing software, Become a content Creator in some platform</v>
      </c>
      <c r="O2432" s="1" t="str">
        <f ca="1">IFERROR(__xludf.DUMMYFUNCTION("""COMPUTED_VALUE"""),"Manager who explains what is expected, sets a goal and helps achieve it")</f>
        <v>Manager who explains what is expected, sets a goal and helps achieve it</v>
      </c>
      <c r="P2432" s="1" t="str">
        <f ca="1">IFERROR(__xludf.DUMMYFUNCTION("""COMPUTED_VALUE"""),"Work with more than 10 people in my team")</f>
        <v>Work with more than 10 people in my team</v>
      </c>
      <c r="Q2432" s="1" t="str">
        <f ca="1">IFERROR(__xludf.DUMMYFUNCTION("""COMPUTED_VALUE"""),"Yes, I Understand this is gonna happen everywhere")</f>
        <v>Yes, I Understand this is gonna happen everywhere</v>
      </c>
      <c r="R2432" s="1" t="str">
        <f ca="1">IFERROR(__xludf.DUMMYFUNCTION("""COMPUTED_VALUE"""),"This will be hard to do, but if it is the right company I would try")</f>
        <v>This will be hard to do, but if it is the right company I would try</v>
      </c>
      <c r="S2432" s="1" t="str">
        <f ca="1">IFERROR(__xludf.DUMMYFUNCTION("""COMPUTED_VALUE"""),"200801064@rajalakshmi.edu.in")</f>
        <v>200801064@rajalakshmi.edu.in</v>
      </c>
    </row>
    <row r="2433" spans="1:19" ht="12.5" x14ac:dyDescent="0.25">
      <c r="A2433" s="2">
        <f ca="1">IFERROR(__xludf.DUMMYFUNCTION("""COMPUTED_VALUE"""),45064.6122209722)</f>
        <v>45064.612220972202</v>
      </c>
      <c r="B2433" s="1" t="str">
        <f ca="1">IFERROR(__xludf.DUMMYFUNCTION("""COMPUTED_VALUE"""),"India")</f>
        <v>India</v>
      </c>
      <c r="C2433" s="1">
        <f ca="1">IFERROR(__xludf.DUMMYFUNCTION("""COMPUTED_VALUE"""),132103)</f>
        <v>132103</v>
      </c>
      <c r="D2433" s="1" t="str">
        <f ca="1">IFERROR(__xludf.DUMMYFUNCTION("""COMPUTED_VALUE"""),"Female")</f>
        <v>Female</v>
      </c>
      <c r="E2433" s="1" t="str">
        <f ca="1">IFERROR(__xludf.DUMMYFUNCTION("""COMPUTED_VALUE"""),"My Parents")</f>
        <v>My Parents</v>
      </c>
      <c r="F2433" s="1" t="str">
        <f ca="1">IFERROR(__xludf.DUMMYFUNCTION("""COMPUTED_VALUE"""),"No, But if someone could bare the cost I will")</f>
        <v>No, But if someone could bare the cost I will</v>
      </c>
      <c r="G2433" s="1" t="str">
        <f ca="1">IFERROR(__xludf.DUMMYFUNCTION("""COMPUTED_VALUE"""),"Will work for 3 years or more")</f>
        <v>Will work for 3 years or more</v>
      </c>
      <c r="H2433" s="1" t="str">
        <f ca="1">IFERROR(__xludf.DUMMYFUNCTION("""COMPUTED_VALUE"""),"No")</f>
        <v>No</v>
      </c>
      <c r="I2433" s="1" t="str">
        <f ca="1">IFERROR(__xludf.DUMMYFUNCTION("""COMPUTED_VALUE"""),"Will NOT work for them")</f>
        <v>Will NOT work for them</v>
      </c>
      <c r="J2433" s="1">
        <f ca="1">IFERROR(__xludf.DUMMYFUNCTION("""COMPUTED_VALUE"""),5)</f>
        <v>5</v>
      </c>
      <c r="K2433" s="1" t="str">
        <f ca="1">IFERROR(__xludf.DUMMYFUNCTION("""COMPUTED_VALUE"""),"Hybrid Working Environment with more than 15 days a month at office")</f>
        <v>Hybrid Working Environment with more than 15 days a month at office</v>
      </c>
      <c r="L2433" s="1" t="str">
        <f ca="1">IFERROR(__xludf.DUMMYFUNCTION("""COMPUTED_VALUE"""),"Employer who appreciates learning and enables that environment")</f>
        <v>Employer who appreciates learning and enables that environment</v>
      </c>
      <c r="M243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33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2433" s="1" t="str">
        <f ca="1">IFERROR(__xludf.DUMMYFUNCTION("""COMPUTED_VALUE"""),"Manager who explains what is expected, sets a goal and helps achieve it")</f>
        <v>Manager who explains what is expected, sets a goal and helps achieve it</v>
      </c>
      <c r="P2433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433" s="1" t="str">
        <f ca="1">IFERROR(__xludf.DUMMYFUNCTION("""COMPUTED_VALUE"""),"Yes")</f>
        <v>Yes</v>
      </c>
      <c r="R2433" s="1" t="str">
        <f ca="1">IFERROR(__xludf.DUMMYFUNCTION("""COMPUTED_VALUE"""),"This will be hard to do, but if it is the right company I would try")</f>
        <v>This will be hard to do, but if it is the right company I would try</v>
      </c>
      <c r="S2433" s="1" t="str">
        <f ca="1">IFERROR(__xludf.DUMMYFUNCTION("""COMPUTED_VALUE"""),"asmitakaushik03@gmail.com")</f>
        <v>asmitakaushik03@gmail.com</v>
      </c>
    </row>
    <row r="2434" spans="1:19" ht="12.5" x14ac:dyDescent="0.25">
      <c r="A2434" s="2">
        <f ca="1">IFERROR(__xludf.DUMMYFUNCTION("""COMPUTED_VALUE"""),45064.6155360648)</f>
        <v>45064.615536064797</v>
      </c>
      <c r="B2434" s="1" t="str">
        <f ca="1">IFERROR(__xludf.DUMMYFUNCTION("""COMPUTED_VALUE"""),"India")</f>
        <v>India</v>
      </c>
      <c r="C2434" s="1">
        <f ca="1">IFERROR(__xludf.DUMMYFUNCTION("""COMPUTED_VALUE"""),760008)</f>
        <v>760008</v>
      </c>
      <c r="D2434" s="1" t="str">
        <f ca="1">IFERROR(__xludf.DUMMYFUNCTION("""COMPUTED_VALUE"""),"Male")</f>
        <v>Male</v>
      </c>
      <c r="E2434" s="1" t="str">
        <f ca="1">IFERROR(__xludf.DUMMYFUNCTION("""COMPUTED_VALUE"""),"Influencers who had successful careers")</f>
        <v>Influencers who had successful careers</v>
      </c>
      <c r="F2434" s="1" t="str">
        <f ca="1">IFERROR(__xludf.DUMMYFUNCTION("""COMPUTED_VALUE"""),"No, But if someone could bare the cost I will")</f>
        <v>No, But if someone could bare the cost I will</v>
      </c>
      <c r="G2434" s="1" t="str">
        <f ca="1">IFERROR(__xludf.DUMMYFUNCTION("""COMPUTED_VALUE"""),"This will be hard to do, but if it is the right company I would try")</f>
        <v>This will be hard to do, but if it is the right company I would try</v>
      </c>
      <c r="H2434" s="1" t="str">
        <f ca="1">IFERROR(__xludf.DUMMYFUNCTION("""COMPUTED_VALUE"""),"No")</f>
        <v>No</v>
      </c>
      <c r="I2434" s="1" t="str">
        <f ca="1">IFERROR(__xludf.DUMMYFUNCTION("""COMPUTED_VALUE"""),"Will work for them")</f>
        <v>Will work for them</v>
      </c>
      <c r="J2434" s="1">
        <f ca="1">IFERROR(__xludf.DUMMYFUNCTION("""COMPUTED_VALUE"""),1)</f>
        <v>1</v>
      </c>
      <c r="K2434" s="1" t="str">
        <f ca="1">IFERROR(__xludf.DUMMYFUNCTION("""COMPUTED_VALUE"""),"Fully Remote with Options to travel as and when needed")</f>
        <v>Fully Remote with Options to travel as and when needed</v>
      </c>
      <c r="L2434" s="1" t="str">
        <f ca="1">IFERROR(__xludf.DUMMYFUNCTION("""COMPUTED_VALUE"""),"Employer who appreciates learning and enables that environment")</f>
        <v>Employer who appreciates learning and enables that environment</v>
      </c>
      <c r="M243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34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434" s="1" t="str">
        <f ca="1">IFERROR(__xludf.DUMMYFUNCTION("""COMPUTED_VALUE"""),"Manager who sets goal and helps me achieve it")</f>
        <v>Manager who sets goal and helps me achieve it</v>
      </c>
      <c r="P2434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434" s="1" t="str">
        <f ca="1">IFERROR(__xludf.DUMMYFUNCTION("""COMPUTED_VALUE"""),"Yes, I Understand this is gonna happen everywhere")</f>
        <v>Yes, I Understand this is gonna happen everywhere</v>
      </c>
      <c r="R2434" s="1" t="str">
        <f ca="1">IFERROR(__xludf.DUMMYFUNCTION("""COMPUTED_VALUE"""),"This will be hard to do, but if it is the right company I would try")</f>
        <v>This will be hard to do, but if it is the right company I would try</v>
      </c>
      <c r="S2434" s="1" t="str">
        <f ca="1">IFERROR(__xludf.DUMMYFUNCTION("""COMPUTED_VALUE"""),"swayamjitdalai@gmail.com")</f>
        <v>swayamjitdalai@gmail.com</v>
      </c>
    </row>
    <row r="2435" spans="1:19" ht="12.5" x14ac:dyDescent="0.25">
      <c r="A2435" s="2">
        <f ca="1">IFERROR(__xludf.DUMMYFUNCTION("""COMPUTED_VALUE"""),45064.6232962037)</f>
        <v>45064.623296203703</v>
      </c>
      <c r="B2435" s="1" t="str">
        <f ca="1">IFERROR(__xludf.DUMMYFUNCTION("""COMPUTED_VALUE"""),"India")</f>
        <v>India</v>
      </c>
      <c r="C2435" s="1">
        <f ca="1">IFERROR(__xludf.DUMMYFUNCTION("""COMPUTED_VALUE"""),533101)</f>
        <v>533101</v>
      </c>
      <c r="D2435" s="1" t="str">
        <f ca="1">IFERROR(__xludf.DUMMYFUNCTION("""COMPUTED_VALUE"""),"Male")</f>
        <v>Male</v>
      </c>
      <c r="E2435" s="1" t="str">
        <f ca="1">IFERROR(__xludf.DUMMYFUNCTION("""COMPUTED_VALUE"""),"My Parents")</f>
        <v>My Parents</v>
      </c>
      <c r="F2435" s="1" t="str">
        <f ca="1">IFERROR(__xludf.DUMMYFUNCTION("""COMPUTED_VALUE"""),"Yes, I will earn and do that")</f>
        <v>Yes, I will earn and do that</v>
      </c>
      <c r="G2435" s="1" t="str">
        <f ca="1">IFERROR(__xludf.DUMMYFUNCTION("""COMPUTED_VALUE"""),"Will work for 3 years or more")</f>
        <v>Will work for 3 years or more</v>
      </c>
      <c r="H2435" s="1" t="str">
        <f ca="1">IFERROR(__xludf.DUMMYFUNCTION("""COMPUTED_VALUE"""),"No")</f>
        <v>No</v>
      </c>
      <c r="I2435" s="1" t="str">
        <f ca="1">IFERROR(__xludf.DUMMYFUNCTION("""COMPUTED_VALUE"""),"Will NOT work for them")</f>
        <v>Will NOT work for them</v>
      </c>
      <c r="J2435" s="1">
        <f ca="1">IFERROR(__xludf.DUMMYFUNCTION("""COMPUTED_VALUE"""),3)</f>
        <v>3</v>
      </c>
      <c r="K2435" s="1" t="str">
        <f ca="1">IFERROR(__xludf.DUMMYFUNCTION("""COMPUTED_VALUE"""),"Fully Remote with Options to travel as and when needed")</f>
        <v>Fully Remote with Options to travel as and when needed</v>
      </c>
      <c r="L2435" s="1" t="str">
        <f ca="1">IFERROR(__xludf.DUMMYFUNCTION("""COMPUTED_VALUE"""),"Employer who appreciates learning and enables that environment")</f>
        <v>Employer who appreciates learning and enables that environment</v>
      </c>
      <c r="M243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435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435" s="1" t="str">
        <f ca="1">IFERROR(__xludf.DUMMYFUNCTION("""COMPUTED_VALUE"""),"Manager who explains what is expected, sets a goal and helps achieve it")</f>
        <v>Manager who explains what is expected, sets a goal and helps achieve it</v>
      </c>
      <c r="P2435" s="1" t="str">
        <f ca="1">IFERROR(__xludf.DUMMYFUNCTION("""COMPUTED_VALUE"""),"Work with 5 to 6 people in my team")</f>
        <v>Work with 5 to 6 people in my team</v>
      </c>
      <c r="Q2435" s="1" t="str">
        <f ca="1">IFERROR(__xludf.DUMMYFUNCTION("""COMPUTED_VALUE"""),"Yes, I Understand this is gonna happen everywhere")</f>
        <v>Yes, I Understand this is gonna happen everywhere</v>
      </c>
      <c r="R2435" s="1" t="str">
        <f ca="1">IFERROR(__xludf.DUMMYFUNCTION("""COMPUTED_VALUE"""),"This will be hard to do, but if it is the right company I would try")</f>
        <v>This will be hard to do, but if it is the right company I would try</v>
      </c>
      <c r="S2435" s="1" t="str">
        <f ca="1">IFERROR(__xludf.DUMMYFUNCTION("""COMPUTED_VALUE"""),"saigopal.214@gmail.com")</f>
        <v>saigopal.214@gmail.com</v>
      </c>
    </row>
    <row r="2436" spans="1:19" ht="12.5" x14ac:dyDescent="0.25">
      <c r="A2436" s="2">
        <f ca="1">IFERROR(__xludf.DUMMYFUNCTION("""COMPUTED_VALUE"""),45064.6273885879)</f>
        <v>45064.627388587898</v>
      </c>
      <c r="B2436" s="1" t="str">
        <f ca="1">IFERROR(__xludf.DUMMYFUNCTION("""COMPUTED_VALUE"""),"India")</f>
        <v>India</v>
      </c>
      <c r="C2436" s="1">
        <f ca="1">IFERROR(__xludf.DUMMYFUNCTION("""COMPUTED_VALUE"""),760001)</f>
        <v>760001</v>
      </c>
      <c r="D2436" s="1" t="str">
        <f ca="1">IFERROR(__xludf.DUMMYFUNCTION("""COMPUTED_VALUE"""),"Female")</f>
        <v>Female</v>
      </c>
      <c r="E2436" s="1" t="str">
        <f ca="1">IFERROR(__xludf.DUMMYFUNCTION("""COMPUTED_VALUE"""),"My Parents")</f>
        <v>My Parents</v>
      </c>
      <c r="F2436" s="1" t="str">
        <f ca="1">IFERROR(__xludf.DUMMYFUNCTION("""COMPUTED_VALUE"""),"Yes, I will earn and do that")</f>
        <v>Yes, I will earn and do that</v>
      </c>
      <c r="G2436" s="1" t="str">
        <f ca="1">IFERROR(__xludf.DUMMYFUNCTION("""COMPUTED_VALUE"""),"This will be hard to do, but if it is the right company I would try")</f>
        <v>This will be hard to do, but if it is the right company I would try</v>
      </c>
      <c r="H2436" s="1" t="str">
        <f ca="1">IFERROR(__xludf.DUMMYFUNCTION("""COMPUTED_VALUE"""),"No")</f>
        <v>No</v>
      </c>
      <c r="I2436" s="1" t="str">
        <f ca="1">IFERROR(__xludf.DUMMYFUNCTION("""COMPUTED_VALUE"""),"Will NOT work for them")</f>
        <v>Will NOT work for them</v>
      </c>
      <c r="J2436" s="1">
        <f ca="1">IFERROR(__xludf.DUMMYFUNCTION("""COMPUTED_VALUE"""),5)</f>
        <v>5</v>
      </c>
      <c r="K2436" s="1" t="str">
        <f ca="1">IFERROR(__xludf.DUMMYFUNCTION("""COMPUTED_VALUE"""),"Hybrid Working Environment with more than 15 days a month at office")</f>
        <v>Hybrid Working Environment with more than 15 days a month at office</v>
      </c>
      <c r="L24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3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436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2436" s="1" t="str">
        <f ca="1">IFERROR(__xludf.DUMMYFUNCTION("""COMPUTED_VALUE"""),"Manager who explains what is expected, sets a goal and helps achieve it")</f>
        <v>Manager who explains what is expected, sets a goal and helps achieve it</v>
      </c>
      <c r="P2436" s="1" t="str">
        <f ca="1">IFERROR(__xludf.DUMMYFUNCTION("""COMPUTED_VALUE"""),"Work with 2 to 3 people in my team")</f>
        <v>Work with 2 to 3 people in my team</v>
      </c>
      <c r="Q2436" s="1" t="str">
        <f ca="1">IFERROR(__xludf.DUMMYFUNCTION("""COMPUTED_VALUE"""),"Yes, I Understand this is gonna happen everywhere")</f>
        <v>Yes, I Understand this is gonna happen everywhere</v>
      </c>
      <c r="R2436" s="1" t="str">
        <f ca="1">IFERROR(__xludf.DUMMYFUNCTION("""COMPUTED_VALUE"""),"This will be hard to do, but if it is the right company I would try")</f>
        <v>This will be hard to do, but if it is the right company I would try</v>
      </c>
      <c r="S2436" s="1" t="str">
        <f ca="1">IFERROR(__xludf.DUMMYFUNCTION("""COMPUTED_VALUE"""),"adititumulu294@gmail.com")</f>
        <v>adititumulu294@gmail.com</v>
      </c>
    </row>
    <row r="2437" spans="1:19" ht="12.5" x14ac:dyDescent="0.25">
      <c r="A2437" s="2">
        <f ca="1">IFERROR(__xludf.DUMMYFUNCTION("""COMPUTED_VALUE"""),45064.6306773958)</f>
        <v>45064.630677395799</v>
      </c>
      <c r="B2437" s="1" t="str">
        <f ca="1">IFERROR(__xludf.DUMMYFUNCTION("""COMPUTED_VALUE"""),"India")</f>
        <v>India</v>
      </c>
      <c r="C2437" s="1">
        <f ca="1">IFERROR(__xludf.DUMMYFUNCTION("""COMPUTED_VALUE"""),416308)</f>
        <v>416308</v>
      </c>
      <c r="D2437" s="1" t="str">
        <f ca="1">IFERROR(__xludf.DUMMYFUNCTION("""COMPUTED_VALUE"""),"Male")</f>
        <v>Male</v>
      </c>
      <c r="E2437" s="1" t="str">
        <f ca="1">IFERROR(__xludf.DUMMYFUNCTION("""COMPUTED_VALUE"""),"My Parents")</f>
        <v>My Parents</v>
      </c>
      <c r="F2437" s="1" t="str">
        <f ca="1">IFERROR(__xludf.DUMMYFUNCTION("""COMPUTED_VALUE"""),"No I would not be pursuing Higher Education outside of India")</f>
        <v>No I would not be pursuing Higher Education outside of India</v>
      </c>
      <c r="G2437" s="1" t="str">
        <f ca="1">IFERROR(__xludf.DUMMYFUNCTION("""COMPUTED_VALUE"""),"Will work for 3 years or more")</f>
        <v>Will work for 3 years or more</v>
      </c>
      <c r="H2437" s="1" t="str">
        <f ca="1">IFERROR(__xludf.DUMMYFUNCTION("""COMPUTED_VALUE"""),"No")</f>
        <v>No</v>
      </c>
      <c r="I2437" s="1" t="str">
        <f ca="1">IFERROR(__xludf.DUMMYFUNCTION("""COMPUTED_VALUE"""),"Will NOT work for them")</f>
        <v>Will NOT work for them</v>
      </c>
      <c r="J2437" s="1">
        <f ca="1">IFERROR(__xludf.DUMMYFUNCTION("""COMPUTED_VALUE"""),1)</f>
        <v>1</v>
      </c>
      <c r="K2437" s="1" t="str">
        <f ca="1">IFERROR(__xludf.DUMMYFUNCTION("""COMPUTED_VALUE"""),"Every Day Office Environment")</f>
        <v>Every Day Office Environment</v>
      </c>
      <c r="L2437" s="1" t="str">
        <f ca="1">IFERROR(__xludf.DUMMYFUNCTION("""COMPUTED_VALUE"""),"Employer who appreciates learning and enables that environment")</f>
        <v>Employer who appreciates learning and enables that environment</v>
      </c>
      <c r="M243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437" s="1" t="str">
        <f ca="1">IFERROR(__xludf.DUMMYFUNCTION("""COMPUTED_VALUE"""),"Design and Creative strategy in any company, Business Operations in any organization, Entrepreneur or Start Up, Manufacturing / Oil and Gas/ Construction / Hard Physical Work related")</f>
        <v>Design and Creative strategy in any company, Business Operations in any organization, Entrepreneur or Start Up, Manufacturing / Oil and Gas/ Construction / Hard Physical Work related</v>
      </c>
      <c r="O2437" s="1" t="str">
        <f ca="1">IFERROR(__xludf.DUMMYFUNCTION("""COMPUTED_VALUE"""),"Manager who explains what is expected, sets a goal and helps achieve it")</f>
        <v>Manager who explains what is expected, sets a goal and helps achieve it</v>
      </c>
      <c r="P2437" s="1" t="str">
        <f ca="1">IFERROR(__xludf.DUMMYFUNCTION("""COMPUTED_VALUE"""),"Work with 5 to 6 people in my team")</f>
        <v>Work with 5 to 6 people in my team</v>
      </c>
      <c r="Q2437" s="1" t="str">
        <f ca="1">IFERROR(__xludf.DUMMYFUNCTION("""COMPUTED_VALUE"""),"Yes, I Understand this is gonna happen everywhere")</f>
        <v>Yes, I Understand this is gonna happen everywhere</v>
      </c>
      <c r="R2437" s="1" t="str">
        <f ca="1">IFERROR(__xludf.DUMMYFUNCTION("""COMPUTED_VALUE"""),"Will work for 7 years or more")</f>
        <v>Will work for 7 years or more</v>
      </c>
      <c r="S2437" s="1" t="str">
        <f ca="1">IFERROR(__xludf.DUMMYFUNCTION("""COMPUTED_VALUE"""),"pratikpawar6900@gmail.com")</f>
        <v>pratikpawar6900@gmail.com</v>
      </c>
    </row>
    <row r="2438" spans="1:19" ht="12.5" x14ac:dyDescent="0.25">
      <c r="A2438" s="2">
        <f ca="1">IFERROR(__xludf.DUMMYFUNCTION("""COMPUTED_VALUE"""),45064.6518868402)</f>
        <v>45064.651886840198</v>
      </c>
      <c r="B2438" s="1" t="str">
        <f ca="1">IFERROR(__xludf.DUMMYFUNCTION("""COMPUTED_VALUE"""),"India")</f>
        <v>India</v>
      </c>
      <c r="C2438" s="1">
        <f ca="1">IFERROR(__xludf.DUMMYFUNCTION("""COMPUTED_VALUE"""),600088)</f>
        <v>600088</v>
      </c>
      <c r="D2438" s="1" t="str">
        <f ca="1">IFERROR(__xludf.DUMMYFUNCTION("""COMPUTED_VALUE"""),"Male")</f>
        <v>Male</v>
      </c>
      <c r="E2438" s="1" t="str">
        <f ca="1">IFERROR(__xludf.DUMMYFUNCTION("""COMPUTED_VALUE"""),"People from my circle, but not family members")</f>
        <v>People from my circle, but not family members</v>
      </c>
      <c r="F2438" s="1" t="str">
        <f ca="1">IFERROR(__xludf.DUMMYFUNCTION("""COMPUTED_VALUE"""),"No I would not be pursuing Higher Education outside of India")</f>
        <v>No I would not be pursuing Higher Education outside of India</v>
      </c>
      <c r="G2438" s="1" t="str">
        <f ca="1">IFERROR(__xludf.DUMMYFUNCTION("""COMPUTED_VALUE"""),"Will work for 3 years or more")</f>
        <v>Will work for 3 years or more</v>
      </c>
      <c r="H2438" s="1" t="str">
        <f ca="1">IFERROR(__xludf.DUMMYFUNCTION("""COMPUTED_VALUE"""),"No")</f>
        <v>No</v>
      </c>
      <c r="I2438" s="1" t="str">
        <f ca="1">IFERROR(__xludf.DUMMYFUNCTION("""COMPUTED_VALUE"""),"Will work for them")</f>
        <v>Will work for them</v>
      </c>
      <c r="J2438" s="1">
        <f ca="1">IFERROR(__xludf.DUMMYFUNCTION("""COMPUTED_VALUE"""),9)</f>
        <v>9</v>
      </c>
      <c r="K2438" s="1" t="str">
        <f ca="1">IFERROR(__xludf.DUMMYFUNCTION("""COMPUTED_VALUE"""),"Fully Remote with Options to travel as and when needed")</f>
        <v>Fully Remote with Options to travel as and when needed</v>
      </c>
      <c r="L24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3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38" s="1" t="str">
        <f ca="1">IFERROR(__xludf.DUMMYFUNCTION("""COMPUTED_VALUE"""),"Design and Creative strategy in any company, Teaching in any of the institutes/colleges/online or offline, Design and Develop amazing software, Manufacturing / Oil and Gas/ Construction / Hard Physical Work related")</f>
        <v>Design and Creative strategy in any company, Teaching in any of the institutes/colleges/online or offline, Design and Develop amazing software, Manufacturing / Oil and Gas/ Construction / Hard Physical Work related</v>
      </c>
      <c r="O2438" s="1" t="str">
        <f ca="1">IFERROR(__xludf.DUMMYFUNCTION("""COMPUTED_VALUE"""),"Manager who sets targets and expects me to achieve it")</f>
        <v>Manager who sets targets and expects me to achieve it</v>
      </c>
      <c r="P2438" s="1" t="str">
        <f ca="1">IFERROR(__xludf.DUMMYFUNCTION("""COMPUTED_VALUE"""),"Work with 5 to 6 people in my team")</f>
        <v>Work with 5 to 6 people in my team</v>
      </c>
      <c r="Q2438" s="1" t="str">
        <f ca="1">IFERROR(__xludf.DUMMYFUNCTION("""COMPUTED_VALUE"""),"Yes, I Understand this is gonna happen everywhere")</f>
        <v>Yes, I Understand this is gonna happen everywhere</v>
      </c>
      <c r="R2438" s="1" t="str">
        <f ca="1">IFERROR(__xludf.DUMMYFUNCTION("""COMPUTED_VALUE"""),"This will be hard to do, but if it is the right company I would try")</f>
        <v>This will be hard to do, but if it is the right company I would try</v>
      </c>
      <c r="S2438" s="1" t="str">
        <f ca="1">IFERROR(__xludf.DUMMYFUNCTION("""COMPUTED_VALUE"""),"200801091@rajalakshmi.edu.in")</f>
        <v>200801091@rajalakshmi.edu.in</v>
      </c>
    </row>
    <row r="2439" spans="1:19" ht="12.5" x14ac:dyDescent="0.25">
      <c r="A2439" s="2">
        <f ca="1">IFERROR(__xludf.DUMMYFUNCTION("""COMPUTED_VALUE"""),45064.6553411458)</f>
        <v>45064.655341145801</v>
      </c>
      <c r="B2439" s="1" t="str">
        <f ca="1">IFERROR(__xludf.DUMMYFUNCTION("""COMPUTED_VALUE"""),"India")</f>
        <v>India</v>
      </c>
      <c r="C2439" s="1">
        <f ca="1">IFERROR(__xludf.DUMMYFUNCTION("""COMPUTED_VALUE"""),621306)</f>
        <v>621306</v>
      </c>
      <c r="D2439" s="1" t="str">
        <f ca="1">IFERROR(__xludf.DUMMYFUNCTION("""COMPUTED_VALUE"""),"Male")</f>
        <v>Male</v>
      </c>
      <c r="E2439" s="1" t="str">
        <f ca="1">IFERROR(__xludf.DUMMYFUNCTION("""COMPUTED_VALUE"""),"People who have changed the world for better")</f>
        <v>People who have changed the world for better</v>
      </c>
      <c r="F2439" s="1" t="str">
        <f ca="1">IFERROR(__xludf.DUMMYFUNCTION("""COMPUTED_VALUE"""),"Yes, I will earn and do that")</f>
        <v>Yes, I will earn and do that</v>
      </c>
      <c r="G2439" s="1" t="str">
        <f ca="1">IFERROR(__xludf.DUMMYFUNCTION("""COMPUTED_VALUE"""),"This will be hard to do, but if it is the right company I would try")</f>
        <v>This will be hard to do, but if it is the right company I would try</v>
      </c>
      <c r="H2439" s="1" t="str">
        <f ca="1">IFERROR(__xludf.DUMMYFUNCTION("""COMPUTED_VALUE"""),"No")</f>
        <v>No</v>
      </c>
      <c r="I2439" s="1" t="str">
        <f ca="1">IFERROR(__xludf.DUMMYFUNCTION("""COMPUTED_VALUE"""),"Will NOT work for them")</f>
        <v>Will NOT work for them</v>
      </c>
      <c r="J2439" s="1">
        <f ca="1">IFERROR(__xludf.DUMMYFUNCTION("""COMPUTED_VALUE"""),8)</f>
        <v>8</v>
      </c>
      <c r="K2439" s="1" t="str">
        <f ca="1">IFERROR(__xludf.DUMMYFUNCTION("""COMPUTED_VALUE"""),"Hybrid Working Environment with more than 15 days a month at office")</f>
        <v>Hybrid Working Environment with more than 15 days a month at office</v>
      </c>
      <c r="L24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3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39" s="1" t="str">
        <f ca="1">IFERROR(__xludf.DUMMYFUNCTION("""COMPUTED_VALUE"""),"Design and Develop amazing software, Look deeply into Data and generate insights, Entrepreneur or Start Up, An Artificial Intelligence Specialist / Talking to Robots")</f>
        <v>Design and Develop amazing software, Look deeply into Data and generate insights, Entrepreneur or Start Up, An Artificial Intelligence Specialist / Talking to Robots</v>
      </c>
      <c r="O2439" s="1" t="str">
        <f ca="1">IFERROR(__xludf.DUMMYFUNCTION("""COMPUTED_VALUE"""),"Manager who explains what is expected, sets a goal and helps achieve it")</f>
        <v>Manager who explains what is expected, sets a goal and helps achieve it</v>
      </c>
      <c r="P2439" s="1" t="str">
        <f ca="1">IFERROR(__xludf.DUMMYFUNCTION("""COMPUTED_VALUE"""),"Work with 2 to 3 people in my team, Work with 5 to 6 people in my team")</f>
        <v>Work with 2 to 3 people in my team, Work with 5 to 6 people in my team</v>
      </c>
      <c r="Q2439" s="1" t="str">
        <f ca="1">IFERROR(__xludf.DUMMYFUNCTION("""COMPUTED_VALUE"""),"Yes, I Understand this is gonna happen everywhere")</f>
        <v>Yes, I Understand this is gonna happen everywhere</v>
      </c>
      <c r="R2439" s="1" t="str">
        <f ca="1">IFERROR(__xludf.DUMMYFUNCTION("""COMPUTED_VALUE"""),"This will be hard to do, but if it is the right company I would try")</f>
        <v>This will be hard to do, but if it is the right company I would try</v>
      </c>
      <c r="S2439" s="1" t="str">
        <f ca="1">IFERROR(__xludf.DUMMYFUNCTION("""COMPUTED_VALUE"""),"200801074@rajalakshmi.edu.in")</f>
        <v>200801074@rajalakshmi.edu.in</v>
      </c>
    </row>
    <row r="2440" spans="1:19" ht="12.5" x14ac:dyDescent="0.25">
      <c r="A2440" s="2">
        <f ca="1">IFERROR(__xludf.DUMMYFUNCTION("""COMPUTED_VALUE"""),45064.6567381018)</f>
        <v>45064.656738101803</v>
      </c>
      <c r="B2440" s="1" t="str">
        <f ca="1">IFERROR(__xludf.DUMMYFUNCTION("""COMPUTED_VALUE"""),"India")</f>
        <v>India</v>
      </c>
      <c r="C2440" s="1">
        <f ca="1">IFERROR(__xludf.DUMMYFUNCTION("""COMPUTED_VALUE"""),620008)</f>
        <v>620008</v>
      </c>
      <c r="D2440" s="1" t="str">
        <f ca="1">IFERROR(__xludf.DUMMYFUNCTION("""COMPUTED_VALUE"""),"Male")</f>
        <v>Male</v>
      </c>
      <c r="E2440" s="1" t="str">
        <f ca="1">IFERROR(__xludf.DUMMYFUNCTION("""COMPUTED_VALUE"""),"People who have changed the world for better")</f>
        <v>People who have changed the world for better</v>
      </c>
      <c r="F2440" s="1" t="str">
        <f ca="1">IFERROR(__xludf.DUMMYFUNCTION("""COMPUTED_VALUE"""),"No I would not be pursuing Higher Education outside of India")</f>
        <v>No I would not be pursuing Higher Education outside of India</v>
      </c>
      <c r="G2440" s="1" t="str">
        <f ca="1">IFERROR(__xludf.DUMMYFUNCTION("""COMPUTED_VALUE"""),"No way")</f>
        <v>No way</v>
      </c>
      <c r="H2440" s="1" t="str">
        <f ca="1">IFERROR(__xludf.DUMMYFUNCTION("""COMPUTED_VALUE"""),"No")</f>
        <v>No</v>
      </c>
      <c r="I2440" s="1" t="str">
        <f ca="1">IFERROR(__xludf.DUMMYFUNCTION("""COMPUTED_VALUE"""),"Will NOT work for them")</f>
        <v>Will NOT work for them</v>
      </c>
      <c r="J2440" s="1">
        <f ca="1">IFERROR(__xludf.DUMMYFUNCTION("""COMPUTED_VALUE"""),1)</f>
        <v>1</v>
      </c>
      <c r="K2440" s="1" t="str">
        <f ca="1">IFERROR(__xludf.DUMMYFUNCTION("""COMPUTED_VALUE"""),"Fully Remote with Options to travel as and when needed")</f>
        <v>Fully Remote with Options to travel as and when needed</v>
      </c>
      <c r="L24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4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40" s="1" t="str">
        <f ca="1">IFERROR(__xludf.DUMMYFUNCTION("""COMPUTED_VALUE"""),"Design and Creative strategy in any company, Build and develop a Team, Entrepreneur or Start Up, I Want to sell things/Sales")</f>
        <v>Design and Creative strategy in any company, Build and develop a Team, Entrepreneur or Start Up, I Want to sell things/Sales</v>
      </c>
      <c r="O2440" s="1" t="str">
        <f ca="1">IFERROR(__xludf.DUMMYFUNCTION("""COMPUTED_VALUE"""),"Manager who sets goal and helps me achieve it")</f>
        <v>Manager who sets goal and helps me achieve it</v>
      </c>
      <c r="P2440" s="1" t="str">
        <f ca="1">IFERROR(__xludf.DUMMYFUNCTION("""COMPUTED_VALUE"""),"Work with 2 to 3 people in my team")</f>
        <v>Work with 2 to 3 people in my team</v>
      </c>
      <c r="Q2440" s="1" t="str">
        <f ca="1">IFERROR(__xludf.DUMMYFUNCTION("""COMPUTED_VALUE"""),"No")</f>
        <v>No</v>
      </c>
      <c r="R2440" s="1" t="str">
        <f ca="1">IFERROR(__xludf.DUMMYFUNCTION("""COMPUTED_VALUE"""),"No way")</f>
        <v>No way</v>
      </c>
      <c r="S2440" s="1" t="str">
        <f ca="1">IFERROR(__xludf.DUMMYFUNCTION("""COMPUTED_VALUE"""),"sanjune2002@gmail.com")</f>
        <v>sanjune2002@gmail.com</v>
      </c>
    </row>
    <row r="2441" spans="1:19" ht="12.5" x14ac:dyDescent="0.25">
      <c r="A2441" s="2">
        <f ca="1">IFERROR(__xludf.DUMMYFUNCTION("""COMPUTED_VALUE"""),45064.6617997453)</f>
        <v>45064.6617997453</v>
      </c>
      <c r="B2441" s="1" t="str">
        <f ca="1">IFERROR(__xludf.DUMMYFUNCTION("""COMPUTED_VALUE"""),"India")</f>
        <v>India</v>
      </c>
      <c r="C2441" s="1">
        <f ca="1">IFERROR(__xludf.DUMMYFUNCTION("""COMPUTED_VALUE"""),751021)</f>
        <v>751021</v>
      </c>
      <c r="D2441" s="1" t="str">
        <f ca="1">IFERROR(__xludf.DUMMYFUNCTION("""COMPUTED_VALUE"""),"Male")</f>
        <v>Male</v>
      </c>
      <c r="E2441" s="1" t="str">
        <f ca="1">IFERROR(__xludf.DUMMYFUNCTION("""COMPUTED_VALUE"""),"People who have changed the world for better")</f>
        <v>People who have changed the world for better</v>
      </c>
      <c r="F2441" s="1" t="str">
        <f ca="1">IFERROR(__xludf.DUMMYFUNCTION("""COMPUTED_VALUE"""),"No I would not be pursuing Higher Education outside of India")</f>
        <v>No I would not be pursuing Higher Education outside of India</v>
      </c>
      <c r="G2441" s="1" t="str">
        <f ca="1">IFERROR(__xludf.DUMMYFUNCTION("""COMPUTED_VALUE"""),"This will be hard to do, but if it is the right company I would try")</f>
        <v>This will be hard to do, but if it is the right company I would try</v>
      </c>
      <c r="H2441" s="1" t="str">
        <f ca="1">IFERROR(__xludf.DUMMYFUNCTION("""COMPUTED_VALUE"""),"No")</f>
        <v>No</v>
      </c>
      <c r="I2441" s="1" t="str">
        <f ca="1">IFERROR(__xludf.DUMMYFUNCTION("""COMPUTED_VALUE"""),"Will NOT work for them")</f>
        <v>Will NOT work for them</v>
      </c>
      <c r="J2441" s="1">
        <f ca="1">IFERROR(__xludf.DUMMYFUNCTION("""COMPUTED_VALUE"""),8)</f>
        <v>8</v>
      </c>
      <c r="K2441" s="1" t="str">
        <f ca="1">IFERROR(__xludf.DUMMYFUNCTION("""COMPUTED_VALUE"""),"Hybrid Working Environment with more than 15 days a month at office")</f>
        <v>Hybrid Working Environment with more than 15 days a month at office</v>
      </c>
      <c r="L24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4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441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2441" s="1" t="str">
        <f ca="1">IFERROR(__xludf.DUMMYFUNCTION("""COMPUTED_VALUE"""),"Manager who explains what is expected, sets a goal and helps achieve it")</f>
        <v>Manager who explains what is expected, sets a goal and helps achieve it</v>
      </c>
      <c r="P2441" s="1" t="str">
        <f ca="1">IFERROR(__xludf.DUMMYFUNCTION("""COMPUTED_VALUE"""),"Work with 5 to 6 people in my team")</f>
        <v>Work with 5 to 6 people in my team</v>
      </c>
      <c r="Q2441" s="1" t="str">
        <f ca="1">IFERROR(__xludf.DUMMYFUNCTION("""COMPUTED_VALUE"""),"Yes, I Understand this is gonna happen everywhere")</f>
        <v>Yes, I Understand this is gonna happen everywhere</v>
      </c>
      <c r="R2441" s="1" t="str">
        <f ca="1">IFERROR(__xludf.DUMMYFUNCTION("""COMPUTED_VALUE"""),"This will be hard to do, but if it is the right company I would try")</f>
        <v>This will be hard to do, but if it is the right company I would try</v>
      </c>
      <c r="S2441" s="1" t="str">
        <f ca="1">IFERROR(__xludf.DUMMYFUNCTION("""COMPUTED_VALUE"""),"deepakkumargouda425@gmail.com")</f>
        <v>deepakkumargouda425@gmail.com</v>
      </c>
    </row>
    <row r="2442" spans="1:19" ht="12.5" x14ac:dyDescent="0.25">
      <c r="A2442" s="2">
        <f ca="1">IFERROR(__xludf.DUMMYFUNCTION("""COMPUTED_VALUE"""),45064.6639370023)</f>
        <v>45064.663937002297</v>
      </c>
      <c r="B2442" s="1" t="str">
        <f ca="1">IFERROR(__xludf.DUMMYFUNCTION("""COMPUTED_VALUE"""),"Germany")</f>
        <v>Germany</v>
      </c>
      <c r="C2442" s="1">
        <f ca="1">IFERROR(__xludf.DUMMYFUNCTION("""COMPUTED_VALUE"""),560099)</f>
        <v>560099</v>
      </c>
      <c r="D2442" s="1" t="str">
        <f ca="1">IFERROR(__xludf.DUMMYFUNCTION("""COMPUTED_VALUE"""),"Male")</f>
        <v>Male</v>
      </c>
      <c r="E2442" s="1" t="str">
        <f ca="1">IFERROR(__xludf.DUMMYFUNCTION("""COMPUTED_VALUE"""),"People who have changed the world for better")</f>
        <v>People who have changed the world for better</v>
      </c>
      <c r="F2442" s="1" t="str">
        <f ca="1">IFERROR(__xludf.DUMMYFUNCTION("""COMPUTED_VALUE"""),"Yes, I will earn and do that")</f>
        <v>Yes, I will earn and do that</v>
      </c>
      <c r="G2442" s="1" t="str">
        <f ca="1">IFERROR(__xludf.DUMMYFUNCTION("""COMPUTED_VALUE"""),"Will work for 3 years or more")</f>
        <v>Will work for 3 years or more</v>
      </c>
      <c r="H2442" s="1" t="str">
        <f ca="1">IFERROR(__xludf.DUMMYFUNCTION("""COMPUTED_VALUE"""),"Yes")</f>
        <v>Yes</v>
      </c>
      <c r="I2442" s="1" t="str">
        <f ca="1">IFERROR(__xludf.DUMMYFUNCTION("""COMPUTED_VALUE"""),"Will NOT work for them")</f>
        <v>Will NOT work for them</v>
      </c>
      <c r="J2442" s="1">
        <f ca="1">IFERROR(__xludf.DUMMYFUNCTION("""COMPUTED_VALUE"""),8)</f>
        <v>8</v>
      </c>
      <c r="K2442" s="1" t="str">
        <f ca="1">IFERROR(__xludf.DUMMYFUNCTION("""COMPUTED_VALUE"""),"Fully Remote with Options to travel as and when needed")</f>
        <v>Fully Remote with Options to travel as and when needed</v>
      </c>
      <c r="L2442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442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442" s="1" t="str">
        <f ca="1">IFERROR(__xludf.DUMMYFUNCTION("""COMPUTED_VALUE"""),"Build and develop a Team, I Want to sell things/Sales, An Artificial Intelligence Specialist / Talking to Robots, Manufacturing / Oil and Gas/ Construction / Hard Physical Work related")</f>
        <v>Build and develop a Team, I Want to sell things/Sales, An Artificial Intelligence Specialist / Talking to Robots, Manufacturing / Oil and Gas/ Construction / Hard Physical Work related</v>
      </c>
      <c r="O2442" s="1" t="str">
        <f ca="1">IFERROR(__xludf.DUMMYFUNCTION("""COMPUTED_VALUE"""),"Manager who sets goal and helps me achieve it")</f>
        <v>Manager who sets goal and helps me achieve it</v>
      </c>
      <c r="P2442" s="1" t="str">
        <f ca="1">IFERROR(__xludf.DUMMYFUNCTION("""COMPUTED_VALUE"""),"Work alone")</f>
        <v>Work alone</v>
      </c>
      <c r="Q2442" s="1" t="str">
        <f ca="1">IFERROR(__xludf.DUMMYFUNCTION("""COMPUTED_VALUE"""),"No")</f>
        <v>No</v>
      </c>
      <c r="R2442" s="1" t="str">
        <f ca="1">IFERROR(__xludf.DUMMYFUNCTION("""COMPUTED_VALUE"""),"This will be hard to do, but if it is the right company I would try")</f>
        <v>This will be hard to do, but if it is the right company I would try</v>
      </c>
      <c r="S2442" s="1" t="str">
        <f ca="1">IFERROR(__xludf.DUMMYFUNCTION("""COMPUTED_VALUE"""),"ujwalpatilgouda@gmail.com")</f>
        <v>ujwalpatilgouda@gmail.com</v>
      </c>
    </row>
    <row r="2443" spans="1:19" ht="12.5" x14ac:dyDescent="0.25">
      <c r="A2443" s="2">
        <f ca="1">IFERROR(__xludf.DUMMYFUNCTION("""COMPUTED_VALUE"""),45064.6641800347)</f>
        <v>45064.664180034699</v>
      </c>
      <c r="B2443" s="1" t="str">
        <f ca="1">IFERROR(__xludf.DUMMYFUNCTION("""COMPUTED_VALUE"""),"India")</f>
        <v>India</v>
      </c>
      <c r="C2443" s="1">
        <f ca="1">IFERROR(__xludf.DUMMYFUNCTION("""COMPUTED_VALUE"""),421505)</f>
        <v>421505</v>
      </c>
      <c r="D2443" s="1" t="str">
        <f ca="1">IFERROR(__xludf.DUMMYFUNCTION("""COMPUTED_VALUE"""),"Female")</f>
        <v>Female</v>
      </c>
      <c r="E2443" s="1" t="str">
        <f ca="1">IFERROR(__xludf.DUMMYFUNCTION("""COMPUTED_VALUE"""),"People who have changed the world for better")</f>
        <v>People who have changed the world for better</v>
      </c>
      <c r="F2443" s="1" t="str">
        <f ca="1">IFERROR(__xludf.DUMMYFUNCTION("""COMPUTED_VALUE"""),"Yes, I will earn and do that")</f>
        <v>Yes, I will earn and do that</v>
      </c>
      <c r="G2443" s="1" t="str">
        <f ca="1">IFERROR(__xludf.DUMMYFUNCTION("""COMPUTED_VALUE"""),"This will be hard to do, but if it is the right company I would try")</f>
        <v>This will be hard to do, but if it is the right company I would try</v>
      </c>
      <c r="H2443" s="1" t="str">
        <f ca="1">IFERROR(__xludf.DUMMYFUNCTION("""COMPUTED_VALUE"""),"No")</f>
        <v>No</v>
      </c>
      <c r="I2443" s="1" t="str">
        <f ca="1">IFERROR(__xludf.DUMMYFUNCTION("""COMPUTED_VALUE"""),"Will NOT work for them")</f>
        <v>Will NOT work for them</v>
      </c>
      <c r="J2443" s="1">
        <f ca="1">IFERROR(__xludf.DUMMYFUNCTION("""COMPUTED_VALUE"""),8)</f>
        <v>8</v>
      </c>
      <c r="K2443" s="1" t="str">
        <f ca="1">IFERROR(__xludf.DUMMYFUNCTION("""COMPUTED_VALUE"""),"Hybrid Working Environment with less than 3 days a month at office")</f>
        <v>Hybrid Working Environment with less than 3 days a month at office</v>
      </c>
      <c r="L2443" s="1" t="str">
        <f ca="1">IFERROR(__xludf.DUMMYFUNCTION("""COMPUTED_VALUE"""),"Employer who appreciates learning and enables that environment")</f>
        <v>Employer who appreciates learning and enables that environment</v>
      </c>
      <c r="M244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43" s="1" t="str">
        <f ca="1">IFERROR(__xludf.DUMMYFUNCTION("""COMPUTED_VALUE"""),"Design and Creative strategy in any company, Teaching in any of the institutes/colleges/online or offline, Build and develop a Team, Entrepreneur or Start Up")</f>
        <v>Design and Creative strategy in any company, Teaching in any of the institutes/colleges/online or offline, Build and develop a Team, Entrepreneur or Start Up</v>
      </c>
      <c r="O2443" s="1" t="str">
        <f ca="1">IFERROR(__xludf.DUMMYFUNCTION("""COMPUTED_VALUE"""),"Manager who explains what is expected, sets a goal and helps achieve it")</f>
        <v>Manager who explains what is expected, sets a goal and helps achieve it</v>
      </c>
      <c r="P2443" s="1" t="str">
        <f ca="1">IFERROR(__xludf.DUMMYFUNCTION("""COMPUTED_VALUE"""),"Work with 2 to 3 people in my team")</f>
        <v>Work with 2 to 3 people in my team</v>
      </c>
      <c r="Q2443" s="1" t="str">
        <f ca="1">IFERROR(__xludf.DUMMYFUNCTION("""COMPUTED_VALUE"""),"Yes, I Understand this is gonna happen everywhere")</f>
        <v>Yes, I Understand this is gonna happen everywhere</v>
      </c>
      <c r="R2443" s="1" t="str">
        <f ca="1">IFERROR(__xludf.DUMMYFUNCTION("""COMPUTED_VALUE"""),"This will be hard to do, but if it is the right company I would try")</f>
        <v>This will be hard to do, but if it is the right company I would try</v>
      </c>
      <c r="S2443" s="1" t="str">
        <f ca="1">IFERROR(__xludf.DUMMYFUNCTION("""COMPUTED_VALUE"""),"nikitakote30@gmail.com")</f>
        <v>nikitakote30@gmail.com</v>
      </c>
    </row>
    <row r="2444" spans="1:19" ht="12.5" x14ac:dyDescent="0.25">
      <c r="A2444" s="2">
        <f ca="1">IFERROR(__xludf.DUMMYFUNCTION("""COMPUTED_VALUE"""),45064.666577662)</f>
        <v>45064.666577661999</v>
      </c>
      <c r="B2444" s="1" t="str">
        <f ca="1">IFERROR(__xludf.DUMMYFUNCTION("""COMPUTED_VALUE"""),"India")</f>
        <v>India</v>
      </c>
      <c r="C2444" s="1">
        <f ca="1">IFERROR(__xludf.DUMMYFUNCTION("""COMPUTED_VALUE"""),608001)</f>
        <v>608001</v>
      </c>
      <c r="D2444" s="1" t="str">
        <f ca="1">IFERROR(__xludf.DUMMYFUNCTION("""COMPUTED_VALUE"""),"Male")</f>
        <v>Male</v>
      </c>
      <c r="E2444" s="1" t="str">
        <f ca="1">IFERROR(__xludf.DUMMYFUNCTION("""COMPUTED_VALUE"""),"Influencers who had successful careers")</f>
        <v>Influencers who had successful careers</v>
      </c>
      <c r="F2444" s="1" t="str">
        <f ca="1">IFERROR(__xludf.DUMMYFUNCTION("""COMPUTED_VALUE"""),"No I would not be pursuing Higher Education outside of India")</f>
        <v>No I would not be pursuing Higher Education outside of India</v>
      </c>
      <c r="G2444" s="1" t="str">
        <f ca="1">IFERROR(__xludf.DUMMYFUNCTION("""COMPUTED_VALUE"""),"No way")</f>
        <v>No way</v>
      </c>
      <c r="H2444" s="1" t="str">
        <f ca="1">IFERROR(__xludf.DUMMYFUNCTION("""COMPUTED_VALUE"""),"No")</f>
        <v>No</v>
      </c>
      <c r="I2444" s="1" t="str">
        <f ca="1">IFERROR(__xludf.DUMMYFUNCTION("""COMPUTED_VALUE"""),"Will NOT work for them")</f>
        <v>Will NOT work for them</v>
      </c>
      <c r="J2444" s="1">
        <f ca="1">IFERROR(__xludf.DUMMYFUNCTION("""COMPUTED_VALUE"""),5)</f>
        <v>5</v>
      </c>
      <c r="K2444" s="1" t="str">
        <f ca="1">IFERROR(__xludf.DUMMYFUNCTION("""COMPUTED_VALUE"""),"Fully Remote with Options to travel as and when needed")</f>
        <v>Fully Remote with Options to travel as and when needed</v>
      </c>
      <c r="L2444" s="1" t="str">
        <f ca="1">IFERROR(__xludf.DUMMYFUNCTION("""COMPUTED_VALUE"""),"Employer who rewards learning and enables that environment")</f>
        <v>Employer who rewards learning and enables that environment</v>
      </c>
      <c r="M2444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444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2444" s="1" t="str">
        <f ca="1">IFERROR(__xludf.DUMMYFUNCTION("""COMPUTED_VALUE"""),"Manager who sets targets and expects me to achieve it")</f>
        <v>Manager who sets targets and expects me to achieve it</v>
      </c>
      <c r="P2444" s="1" t="str">
        <f ca="1">IFERROR(__xludf.DUMMYFUNCTION("""COMPUTED_VALUE"""),"Work alone")</f>
        <v>Work alone</v>
      </c>
      <c r="Q2444" s="1" t="str">
        <f ca="1">IFERROR(__xludf.DUMMYFUNCTION("""COMPUTED_VALUE"""),"Yes, I Understand this is gonna happen everywhere")</f>
        <v>Yes, I Understand this is gonna happen everywhere</v>
      </c>
      <c r="R2444" s="1" t="str">
        <f ca="1">IFERROR(__xludf.DUMMYFUNCTION("""COMPUTED_VALUE"""),"No way")</f>
        <v>No way</v>
      </c>
      <c r="S2444" s="1" t="str">
        <f ca="1">IFERROR(__xludf.DUMMYFUNCTION("""COMPUTED_VALUE"""),"sreekailash14@gmail.com")</f>
        <v>sreekailash14@gmail.com</v>
      </c>
    </row>
    <row r="2445" spans="1:19" ht="12.5" x14ac:dyDescent="0.25">
      <c r="A2445" s="2">
        <f ca="1">IFERROR(__xludf.DUMMYFUNCTION("""COMPUTED_VALUE"""),45064.6721961921)</f>
        <v>45064.672196192099</v>
      </c>
      <c r="B2445" s="1" t="str">
        <f ca="1">IFERROR(__xludf.DUMMYFUNCTION("""COMPUTED_VALUE"""),"India")</f>
        <v>India</v>
      </c>
      <c r="C2445" s="1">
        <f ca="1">IFERROR(__xludf.DUMMYFUNCTION("""COMPUTED_VALUE"""),760001)</f>
        <v>760001</v>
      </c>
      <c r="D2445" s="1" t="str">
        <f ca="1">IFERROR(__xludf.DUMMYFUNCTION("""COMPUTED_VALUE"""),"Female")</f>
        <v>Female</v>
      </c>
      <c r="E2445" s="1" t="str">
        <f ca="1">IFERROR(__xludf.DUMMYFUNCTION("""COMPUTED_VALUE"""),"My Parents")</f>
        <v>My Parents</v>
      </c>
      <c r="F2445" s="1" t="str">
        <f ca="1">IFERROR(__xludf.DUMMYFUNCTION("""COMPUTED_VALUE"""),"No, But if someone could bare the cost I will")</f>
        <v>No, But if someone could bare the cost I will</v>
      </c>
      <c r="G2445" s="1" t="str">
        <f ca="1">IFERROR(__xludf.DUMMYFUNCTION("""COMPUTED_VALUE"""),"This will be hard to do, but if it is the right company I would try")</f>
        <v>This will be hard to do, but if it is the right company I would try</v>
      </c>
      <c r="H2445" s="1" t="str">
        <f ca="1">IFERROR(__xludf.DUMMYFUNCTION("""COMPUTED_VALUE"""),"No")</f>
        <v>No</v>
      </c>
      <c r="I2445" s="1" t="str">
        <f ca="1">IFERROR(__xludf.DUMMYFUNCTION("""COMPUTED_VALUE"""),"Will NOT work for them")</f>
        <v>Will NOT work for them</v>
      </c>
      <c r="J2445" s="1">
        <f ca="1">IFERROR(__xludf.DUMMYFUNCTION("""COMPUTED_VALUE"""),1)</f>
        <v>1</v>
      </c>
      <c r="K2445" s="1" t="str">
        <f ca="1">IFERROR(__xludf.DUMMYFUNCTION("""COMPUTED_VALUE"""),"Hybrid Working Environment with more than 15 days a month at office")</f>
        <v>Hybrid Working Environment with more than 15 days a month at office</v>
      </c>
      <c r="L2445" s="1" t="str">
        <f ca="1">IFERROR(__xludf.DUMMYFUNCTION("""COMPUTED_VALUE"""),"Employer who appreciates learning and enables that environment")</f>
        <v>Employer who appreciates learning and enables that environment</v>
      </c>
      <c r="M244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445" s="1" t="str">
        <f ca="1">IFERROR(__xludf.DUMMYFUNCTION("""COMPUTED_VALUE"""),"Design and Creative strategy in any company, Business Operations in any organization, Design and Develop amazing software, Become a content Creator in some platform")</f>
        <v>Design and Creative strategy in any company, Business Operations in any organization, Design and Develop amazing software, Become a content Creator in some platform</v>
      </c>
      <c r="O2445" s="1" t="str">
        <f ca="1">IFERROR(__xludf.DUMMYFUNCTION("""COMPUTED_VALUE"""),"Manager who explains what is expected, sets a goal and helps achieve it")</f>
        <v>Manager who explains what is expected, sets a goal and helps achieve it</v>
      </c>
      <c r="P2445" s="1" t="str">
        <f ca="1">IFERROR(__xludf.DUMMYFUNCTION("""COMPUTED_VALUE"""),"Work with 5 to 6 people in my team")</f>
        <v>Work with 5 to 6 people in my team</v>
      </c>
      <c r="Q2445" s="1" t="str">
        <f ca="1">IFERROR(__xludf.DUMMYFUNCTION("""COMPUTED_VALUE"""),"Yes, I Understand this is gonna happen everywhere")</f>
        <v>Yes, I Understand this is gonna happen everywhere</v>
      </c>
      <c r="R2445" s="1" t="str">
        <f ca="1">IFERROR(__xludf.DUMMYFUNCTION("""COMPUTED_VALUE"""),"This will be hard to do, but if it is the right company I would try")</f>
        <v>This will be hard to do, but if it is the right company I would try</v>
      </c>
      <c r="S2445" s="1" t="str">
        <f ca="1">IFERROR(__xludf.DUMMYFUNCTION("""COMPUTED_VALUE"""),"smitasahu848@gmail.com")</f>
        <v>smitasahu848@gmail.com</v>
      </c>
    </row>
    <row r="2446" spans="1:19" ht="12.5" x14ac:dyDescent="0.25">
      <c r="A2446" s="2">
        <f ca="1">IFERROR(__xludf.DUMMYFUNCTION("""COMPUTED_VALUE"""),45064.6861793287)</f>
        <v>45064.686179328703</v>
      </c>
      <c r="B2446" s="1" t="str">
        <f ca="1">IFERROR(__xludf.DUMMYFUNCTION("""COMPUTED_VALUE"""),"India")</f>
        <v>India</v>
      </c>
      <c r="C2446" s="1">
        <f ca="1">IFERROR(__xludf.DUMMYFUNCTION("""COMPUTED_VALUE"""),760010)</f>
        <v>760010</v>
      </c>
      <c r="D2446" s="1" t="str">
        <f ca="1">IFERROR(__xludf.DUMMYFUNCTION("""COMPUTED_VALUE"""),"Female")</f>
        <v>Female</v>
      </c>
      <c r="E2446" s="1" t="str">
        <f ca="1">IFERROR(__xludf.DUMMYFUNCTION("""COMPUTED_VALUE"""),"My Parents")</f>
        <v>My Parents</v>
      </c>
      <c r="F2446" s="1" t="str">
        <f ca="1">IFERROR(__xludf.DUMMYFUNCTION("""COMPUTED_VALUE"""),"No I would not be pursuing Higher Education outside of India")</f>
        <v>No I would not be pursuing Higher Education outside of India</v>
      </c>
      <c r="G2446" s="1" t="str">
        <f ca="1">IFERROR(__xludf.DUMMYFUNCTION("""COMPUTED_VALUE"""),"This will be hard to do, but if it is the right company I would try")</f>
        <v>This will be hard to do, but if it is the right company I would try</v>
      </c>
      <c r="H2446" s="1" t="str">
        <f ca="1">IFERROR(__xludf.DUMMYFUNCTION("""COMPUTED_VALUE"""),"No")</f>
        <v>No</v>
      </c>
      <c r="I2446" s="1" t="str">
        <f ca="1">IFERROR(__xludf.DUMMYFUNCTION("""COMPUTED_VALUE"""),"Will NOT work for them")</f>
        <v>Will NOT work for them</v>
      </c>
      <c r="J2446" s="1">
        <f ca="1">IFERROR(__xludf.DUMMYFUNCTION("""COMPUTED_VALUE"""),7)</f>
        <v>7</v>
      </c>
      <c r="K2446" s="1" t="str">
        <f ca="1">IFERROR(__xludf.DUMMYFUNCTION("""COMPUTED_VALUE"""),"Every Day Office Environment")</f>
        <v>Every Day Office Environment</v>
      </c>
      <c r="L2446" s="1" t="str">
        <f ca="1">IFERROR(__xludf.DUMMYFUNCTION("""COMPUTED_VALUE"""),"Employer who rewards learning and enables that environment")</f>
        <v>Employer who rewards learning and enables that environment</v>
      </c>
      <c r="M2446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446" s="1" t="str">
        <f ca="1">IFERROR(__xludf.DUMMYFUNCTION("""COMPUTED_VALUE"""),"Teaching in any of the institutes/colleges/online or offline, Business Operations in any organization, Become a content Creator in some platform, Entrepreneur or Start Up")</f>
        <v>Teaching in any of the institutes/colleges/online or offline, Business Operations in any organization, Become a content Creator in some platform, Entrepreneur or Start Up</v>
      </c>
      <c r="O2446" s="1" t="str">
        <f ca="1">IFERROR(__xludf.DUMMYFUNCTION("""COMPUTED_VALUE"""),"Manager who sets goal and helps me achieve it")</f>
        <v>Manager who sets goal and helps me achieve it</v>
      </c>
      <c r="P2446" s="1" t="str">
        <f ca="1">IFERROR(__xludf.DUMMYFUNCTION("""COMPUTED_VALUE"""),"Work with 2 to 3 people in my team, Work with more than 10 people in my team")</f>
        <v>Work with 2 to 3 people in my team, Work with more than 10 people in my team</v>
      </c>
      <c r="Q2446" s="1" t="str">
        <f ca="1">IFERROR(__xludf.DUMMYFUNCTION("""COMPUTED_VALUE"""),"No")</f>
        <v>No</v>
      </c>
      <c r="R2446" s="1" t="str">
        <f ca="1">IFERROR(__xludf.DUMMYFUNCTION("""COMPUTED_VALUE"""),"This will be hard to do, but if it is the right company I would try")</f>
        <v>This will be hard to do, but if it is the right company I would try</v>
      </c>
      <c r="S2446" s="1" t="str">
        <f ca="1">IFERROR(__xludf.DUMMYFUNCTION("""COMPUTED_VALUE"""),"srutisonali55.5@gmail.com")</f>
        <v>srutisonali55.5@gmail.com</v>
      </c>
    </row>
    <row r="2447" spans="1:19" ht="12.5" x14ac:dyDescent="0.25">
      <c r="A2447" s="2">
        <f ca="1">IFERROR(__xludf.DUMMYFUNCTION("""COMPUTED_VALUE"""),45064.6865871875)</f>
        <v>45064.686587187498</v>
      </c>
      <c r="B2447" s="1" t="str">
        <f ca="1">IFERROR(__xludf.DUMMYFUNCTION("""COMPUTED_VALUE"""),"India")</f>
        <v>India</v>
      </c>
      <c r="C2447" s="1">
        <f ca="1">IFERROR(__xludf.DUMMYFUNCTION("""COMPUTED_VALUE"""),533435)</f>
        <v>533435</v>
      </c>
      <c r="D2447" s="1" t="str">
        <f ca="1">IFERROR(__xludf.DUMMYFUNCTION("""COMPUTED_VALUE"""),"Male")</f>
        <v>Male</v>
      </c>
      <c r="E2447" s="1" t="str">
        <f ca="1">IFERROR(__xludf.DUMMYFUNCTION("""COMPUTED_VALUE"""),"My Parents")</f>
        <v>My Parents</v>
      </c>
      <c r="F2447" s="1" t="str">
        <f ca="1">IFERROR(__xludf.DUMMYFUNCTION("""COMPUTED_VALUE"""),"No, But if someone could bare the cost I will")</f>
        <v>No, But if someone could bare the cost I will</v>
      </c>
      <c r="G2447" s="1" t="str">
        <f ca="1">IFERROR(__xludf.DUMMYFUNCTION("""COMPUTED_VALUE"""),"Will work for 3 years or more")</f>
        <v>Will work for 3 years or more</v>
      </c>
      <c r="H2447" s="1" t="str">
        <f ca="1">IFERROR(__xludf.DUMMYFUNCTION("""COMPUTED_VALUE"""),"Yes")</f>
        <v>Yes</v>
      </c>
      <c r="I2447" s="1" t="str">
        <f ca="1">IFERROR(__xludf.DUMMYFUNCTION("""COMPUTED_VALUE"""),"Will work for them")</f>
        <v>Will work for them</v>
      </c>
      <c r="J2447" s="1">
        <f ca="1">IFERROR(__xludf.DUMMYFUNCTION("""COMPUTED_VALUE"""),7)</f>
        <v>7</v>
      </c>
      <c r="K2447" s="1" t="str">
        <f ca="1">IFERROR(__xludf.DUMMYFUNCTION("""COMPUTED_VALUE"""),"Every Day Office Environment")</f>
        <v>Every Day Office Environment</v>
      </c>
      <c r="L24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4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47" s="1" t="str">
        <f ca="1">IFERROR(__xludf.DUMMYFUNCTION("""COMPUTED_VALUE"""),"Design and Develop amazing software, Work as a freelancer and do my thing my way, Become a content Creator in some platform, I Want to sell things/Sales")</f>
        <v>Design and Develop amazing software, Work as a freelancer and do my thing my way, Become a content Creator in some platform, I Want to sell things/Sales</v>
      </c>
      <c r="O2447" s="1" t="str">
        <f ca="1">IFERROR(__xludf.DUMMYFUNCTION("""COMPUTED_VALUE"""),"Manager who explains what is expected, sets a goal and helps achieve it")</f>
        <v>Manager who explains what is expected, sets a goal and helps achieve it</v>
      </c>
      <c r="P2447" s="1" t="str">
        <f ca="1">IFERROR(__xludf.DUMMYFUNCTION("""COMPUTED_VALUE"""),"Work with 7 to 10 or more people in my team")</f>
        <v>Work with 7 to 10 or more people in my team</v>
      </c>
      <c r="Q2447" s="1" t="str">
        <f ca="1">IFERROR(__xludf.DUMMYFUNCTION("""COMPUTED_VALUE"""),"Yes")</f>
        <v>Yes</v>
      </c>
      <c r="R2447" s="1" t="str">
        <f ca="1">IFERROR(__xludf.DUMMYFUNCTION("""COMPUTED_VALUE"""),"Will work for 7 years or more")</f>
        <v>Will work for 7 years or more</v>
      </c>
      <c r="S2447" s="1" t="str">
        <f ca="1">IFERROR(__xludf.DUMMYFUNCTION("""COMPUTED_VALUE"""),"anilsurendrakumar8498@gmail.com")</f>
        <v>anilsurendrakumar8498@gmail.com</v>
      </c>
    </row>
    <row r="2448" spans="1:19" ht="12.5" x14ac:dyDescent="0.25">
      <c r="A2448" s="2">
        <f ca="1">IFERROR(__xludf.DUMMYFUNCTION("""COMPUTED_VALUE"""),45064.7099672569)</f>
        <v>45064.709967256902</v>
      </c>
      <c r="B2448" s="1" t="str">
        <f ca="1">IFERROR(__xludf.DUMMYFUNCTION("""COMPUTED_VALUE"""),"India")</f>
        <v>India</v>
      </c>
      <c r="C2448" s="1">
        <f ca="1">IFERROR(__xludf.DUMMYFUNCTION("""COMPUTED_VALUE"""),591123)</f>
        <v>591123</v>
      </c>
      <c r="D2448" s="1" t="str">
        <f ca="1">IFERROR(__xludf.DUMMYFUNCTION("""COMPUTED_VALUE"""),"Male")</f>
        <v>Male</v>
      </c>
      <c r="E2448" s="1" t="str">
        <f ca="1">IFERROR(__xludf.DUMMYFUNCTION("""COMPUTED_VALUE"""),"My Parents")</f>
        <v>My Parents</v>
      </c>
      <c r="F2448" s="1" t="str">
        <f ca="1">IFERROR(__xludf.DUMMYFUNCTION("""COMPUTED_VALUE"""),"Yes, I will earn and do that")</f>
        <v>Yes, I will earn and do that</v>
      </c>
      <c r="G2448" s="1" t="str">
        <f ca="1">IFERROR(__xludf.DUMMYFUNCTION("""COMPUTED_VALUE"""),"This will be hard to do, but if it is the right company I would try")</f>
        <v>This will be hard to do, but if it is the right company I would try</v>
      </c>
      <c r="H2448" s="1" t="str">
        <f ca="1">IFERROR(__xludf.DUMMYFUNCTION("""COMPUTED_VALUE"""),"No")</f>
        <v>No</v>
      </c>
      <c r="I2448" s="1" t="str">
        <f ca="1">IFERROR(__xludf.DUMMYFUNCTION("""COMPUTED_VALUE"""),"Will NOT work for them")</f>
        <v>Will NOT work for them</v>
      </c>
      <c r="J2448" s="1">
        <f ca="1">IFERROR(__xludf.DUMMYFUNCTION("""COMPUTED_VALUE"""),3)</f>
        <v>3</v>
      </c>
      <c r="K2448" s="1" t="str">
        <f ca="1">IFERROR(__xludf.DUMMYFUNCTION("""COMPUTED_VALUE"""),"Every Day Office Environment")</f>
        <v>Every Day Office Environment</v>
      </c>
      <c r="L24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4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48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448" s="1" t="str">
        <f ca="1">IFERROR(__xludf.DUMMYFUNCTION("""COMPUTED_VALUE"""),"Manager who explains what is expected, sets a goal and helps achieve it")</f>
        <v>Manager who explains what is expected, sets a goal and helps achieve it</v>
      </c>
      <c r="P244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448" s="1" t="str">
        <f ca="1">IFERROR(__xludf.DUMMYFUNCTION("""COMPUTED_VALUE"""),"Yes, I Understand this is gonna happen everywhere")</f>
        <v>Yes, I Understand this is gonna happen everywhere</v>
      </c>
      <c r="R2448" s="1" t="str">
        <f ca="1">IFERROR(__xludf.DUMMYFUNCTION("""COMPUTED_VALUE"""),"No way")</f>
        <v>No way</v>
      </c>
      <c r="S2448" s="1" t="str">
        <f ca="1">IFERROR(__xludf.DUMMYFUNCTION("""COMPUTED_VALUE"""),"slingesh2000@gmail.com")</f>
        <v>slingesh2000@gmail.com</v>
      </c>
    </row>
    <row r="2449" spans="1:19" ht="12.5" x14ac:dyDescent="0.25">
      <c r="A2449" s="2">
        <f ca="1">IFERROR(__xludf.DUMMYFUNCTION("""COMPUTED_VALUE"""),45064.71230125)</f>
        <v>45064.712301250001</v>
      </c>
      <c r="B2449" s="1" t="str">
        <f ca="1">IFERROR(__xludf.DUMMYFUNCTION("""COMPUTED_VALUE"""),"India")</f>
        <v>India</v>
      </c>
      <c r="C2449" s="1">
        <f ca="1">IFERROR(__xludf.DUMMYFUNCTION("""COMPUTED_VALUE"""),400022)</f>
        <v>400022</v>
      </c>
      <c r="D2449" s="1" t="str">
        <f ca="1">IFERROR(__xludf.DUMMYFUNCTION("""COMPUTED_VALUE"""),"Male")</f>
        <v>Male</v>
      </c>
      <c r="E2449" s="1" t="str">
        <f ca="1">IFERROR(__xludf.DUMMYFUNCTION("""COMPUTED_VALUE"""),"People from my circle, but not family members")</f>
        <v>People from my circle, but not family members</v>
      </c>
      <c r="F2449" s="1" t="str">
        <f ca="1">IFERROR(__xludf.DUMMYFUNCTION("""COMPUTED_VALUE"""),"Yes, I will earn and do that")</f>
        <v>Yes, I will earn and do that</v>
      </c>
      <c r="G2449" s="1" t="str">
        <f ca="1">IFERROR(__xludf.DUMMYFUNCTION("""COMPUTED_VALUE"""),"This will be hard to do, but if it is the right company I would try")</f>
        <v>This will be hard to do, but if it is the right company I would try</v>
      </c>
      <c r="H2449" s="1" t="str">
        <f ca="1">IFERROR(__xludf.DUMMYFUNCTION("""COMPUTED_VALUE"""),"Yes")</f>
        <v>Yes</v>
      </c>
      <c r="I2449" s="1" t="str">
        <f ca="1">IFERROR(__xludf.DUMMYFUNCTION("""COMPUTED_VALUE"""),"Will work for them")</f>
        <v>Will work for them</v>
      </c>
      <c r="J2449" s="1">
        <f ca="1">IFERROR(__xludf.DUMMYFUNCTION("""COMPUTED_VALUE"""),10)</f>
        <v>10</v>
      </c>
      <c r="K2449" s="1" t="str">
        <f ca="1">IFERROR(__xludf.DUMMYFUNCTION("""COMPUTED_VALUE"""),"Fully Remote with Options to travel as and when needed")</f>
        <v>Fully Remote with Options to travel as and when needed</v>
      </c>
      <c r="L2449" s="1" t="str">
        <f ca="1">IFERROR(__xludf.DUMMYFUNCTION("""COMPUTED_VALUE"""),"Employer who rewards learning and enables that environment")</f>
        <v>Employer who rewards learning and enables that environment</v>
      </c>
      <c r="M244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49" s="1" t="str">
        <f ca="1">IFERROR(__xludf.DUMMYFUNCTION("""COMPUTED_VALUE"""),"Business Operations in any organization, Design and Develop amazing software, Entrepreneur or Start Up, An Artificial Intelligence Specialist / Talking to Robots")</f>
        <v>Business Operations in any organization, Design and Develop amazing software, Entrepreneur or Start Up, An Artificial Intelligence Specialist / Talking to Robots</v>
      </c>
      <c r="O2449" s="1" t="str">
        <f ca="1">IFERROR(__xludf.DUMMYFUNCTION("""COMPUTED_VALUE"""),"Manager who explains what is expected, sets a goal and helps achieve it")</f>
        <v>Manager who explains what is expected, sets a goal and helps achieve it</v>
      </c>
      <c r="P2449" s="1" t="str">
        <f ca="1">IFERROR(__xludf.DUMMYFUNCTION("""COMPUTED_VALUE"""),"Work with more than 10 people in my team")</f>
        <v>Work with more than 10 people in my team</v>
      </c>
      <c r="Q2449" s="1" t="str">
        <f ca="1">IFERROR(__xludf.DUMMYFUNCTION("""COMPUTED_VALUE"""),"Yes")</f>
        <v>Yes</v>
      </c>
      <c r="R2449" s="1" t="str">
        <f ca="1">IFERROR(__xludf.DUMMYFUNCTION("""COMPUTED_VALUE"""),"This will be hard to do, but if it is the right company I would try")</f>
        <v>This will be hard to do, but if it is the right company I would try</v>
      </c>
      <c r="S2449" s="1" t="str">
        <f ca="1">IFERROR(__xludf.DUMMYFUNCTION("""COMPUTED_VALUE"""),"mothkurrahul97@gmail.com")</f>
        <v>mothkurrahul97@gmail.com</v>
      </c>
    </row>
    <row r="2450" spans="1:19" ht="12.5" x14ac:dyDescent="0.25">
      <c r="A2450" s="2">
        <f ca="1">IFERROR(__xludf.DUMMYFUNCTION("""COMPUTED_VALUE"""),45064.7186799305)</f>
        <v>45064.718679930498</v>
      </c>
      <c r="B2450" s="1" t="str">
        <f ca="1">IFERROR(__xludf.DUMMYFUNCTION("""COMPUTED_VALUE"""),"India")</f>
        <v>India</v>
      </c>
      <c r="C2450" s="1">
        <f ca="1">IFERROR(__xludf.DUMMYFUNCTION("""COMPUTED_VALUE"""),160004)</f>
        <v>160004</v>
      </c>
      <c r="D2450" s="1" t="str">
        <f ca="1">IFERROR(__xludf.DUMMYFUNCTION("""COMPUTED_VALUE"""),"Male")</f>
        <v>Male</v>
      </c>
      <c r="E2450" s="1" t="str">
        <f ca="1">IFERROR(__xludf.DUMMYFUNCTION("""COMPUTED_VALUE"""),"My Parents")</f>
        <v>My Parents</v>
      </c>
      <c r="F2450" s="1" t="str">
        <f ca="1">IFERROR(__xludf.DUMMYFUNCTION("""COMPUTED_VALUE"""),"Yes, I will earn and do that")</f>
        <v>Yes, I will earn and do that</v>
      </c>
      <c r="G2450" s="1" t="str">
        <f ca="1">IFERROR(__xludf.DUMMYFUNCTION("""COMPUTED_VALUE"""),"This will be hard to do, but if it is the right company I would try")</f>
        <v>This will be hard to do, but if it is the right company I would try</v>
      </c>
      <c r="H2450" s="1" t="str">
        <f ca="1">IFERROR(__xludf.DUMMYFUNCTION("""COMPUTED_VALUE"""),"No")</f>
        <v>No</v>
      </c>
      <c r="I2450" s="1" t="str">
        <f ca="1">IFERROR(__xludf.DUMMYFUNCTION("""COMPUTED_VALUE"""),"Will NOT work for them")</f>
        <v>Will NOT work for them</v>
      </c>
      <c r="J2450" s="1">
        <f ca="1">IFERROR(__xludf.DUMMYFUNCTION("""COMPUTED_VALUE"""),6)</f>
        <v>6</v>
      </c>
      <c r="K2450" s="1" t="str">
        <f ca="1">IFERROR(__xludf.DUMMYFUNCTION("""COMPUTED_VALUE"""),"Hybrid Working Environment with less than 3 days a month at office")</f>
        <v>Hybrid Working Environment with less than 3 days a month at office</v>
      </c>
      <c r="L2450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45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450" s="1" t="str">
        <f ca="1">IFERROR(__xludf.DUMMYFUNCTION("""COMPUTED_VALUE"""),"Design and Develop amazing software, Look deeply into Data and generate insights, Entrepreneur or Start Up, An Artificial Intelligence Specialist / Talking to Robots")</f>
        <v>Design and Develop amazing software, Look deeply into Data and generate insights, Entrepreneur or Start Up, An Artificial Intelligence Specialist / Talking to Robots</v>
      </c>
      <c r="O2450" s="1" t="str">
        <f ca="1">IFERROR(__xludf.DUMMYFUNCTION("""COMPUTED_VALUE"""),"Manager who clearly describes what she/he needs")</f>
        <v>Manager who clearly describes what she/he needs</v>
      </c>
      <c r="P2450" s="1" t="str">
        <f ca="1">IFERROR(__xludf.DUMMYFUNCTION("""COMPUTED_VALUE"""),"Work with more than 10 people in my team")</f>
        <v>Work with more than 10 people in my team</v>
      </c>
      <c r="Q2450" s="1" t="str">
        <f ca="1">IFERROR(__xludf.DUMMYFUNCTION("""COMPUTED_VALUE"""),"Yes")</f>
        <v>Yes</v>
      </c>
      <c r="R2450" s="1" t="str">
        <f ca="1">IFERROR(__xludf.DUMMYFUNCTION("""COMPUTED_VALUE"""),"No way")</f>
        <v>No way</v>
      </c>
      <c r="S2450" s="1" t="str">
        <f ca="1">IFERROR(__xludf.DUMMYFUNCTION("""COMPUTED_VALUE"""),"amit44007@gmail.com")</f>
        <v>amit44007@gmail.com</v>
      </c>
    </row>
    <row r="2451" spans="1:19" ht="12.5" x14ac:dyDescent="0.25">
      <c r="A2451" s="2">
        <f ca="1">IFERROR(__xludf.DUMMYFUNCTION("""COMPUTED_VALUE"""),45064.7221706597)</f>
        <v>45064.722170659697</v>
      </c>
      <c r="B2451" s="1" t="str">
        <f ca="1">IFERROR(__xludf.DUMMYFUNCTION("""COMPUTED_VALUE"""),"India")</f>
        <v>India</v>
      </c>
      <c r="C2451" s="1">
        <f ca="1">IFERROR(__xludf.DUMMYFUNCTION("""COMPUTED_VALUE"""),204216)</f>
        <v>204216</v>
      </c>
      <c r="D2451" s="1" t="str">
        <f ca="1">IFERROR(__xludf.DUMMYFUNCTION("""COMPUTED_VALUE"""),"Male")</f>
        <v>Male</v>
      </c>
      <c r="E2451" s="1" t="str">
        <f ca="1">IFERROR(__xludf.DUMMYFUNCTION("""COMPUTED_VALUE"""),"My Parents")</f>
        <v>My Parents</v>
      </c>
      <c r="F2451" s="1" t="str">
        <f ca="1">IFERROR(__xludf.DUMMYFUNCTION("""COMPUTED_VALUE"""),"Yes, I will earn and do that")</f>
        <v>Yes, I will earn and do that</v>
      </c>
      <c r="G2451" s="1" t="str">
        <f ca="1">IFERROR(__xludf.DUMMYFUNCTION("""COMPUTED_VALUE"""),"This will be hard to do, but if it is the right company I would try")</f>
        <v>This will be hard to do, but if it is the right company I would try</v>
      </c>
      <c r="H2451" s="1" t="str">
        <f ca="1">IFERROR(__xludf.DUMMYFUNCTION("""COMPUTED_VALUE"""),"No")</f>
        <v>No</v>
      </c>
      <c r="I2451" s="1" t="str">
        <f ca="1">IFERROR(__xludf.DUMMYFUNCTION("""COMPUTED_VALUE"""),"Will NOT work for them")</f>
        <v>Will NOT work for them</v>
      </c>
      <c r="J2451" s="1">
        <f ca="1">IFERROR(__xludf.DUMMYFUNCTION("""COMPUTED_VALUE"""),4)</f>
        <v>4</v>
      </c>
      <c r="K2451" s="1" t="str">
        <f ca="1">IFERROR(__xludf.DUMMYFUNCTION("""COMPUTED_VALUE"""),"Hybrid Working Environment with more than 15 days a month at office")</f>
        <v>Hybrid Working Environment with more than 15 days a month at office</v>
      </c>
      <c r="L24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51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451" s="1" t="str">
        <f ca="1">IFERROR(__xludf.DUMMYFUNCTION("""COMPUTED_VALUE"""),"Manage and drive End-to-End Projects or Products, Build and develop a Team, Look deeply into Data and generate insights, Manufacturing / Oil and Gas/ Construction / Hard Physical Work related")</f>
        <v>Manage and drive End-to-End Projects or Products, Build and develop a Team, Look deeply into Data and generate insights, Manufacturing / Oil and Gas/ Construction / Hard Physical Work related</v>
      </c>
      <c r="O2451" s="1" t="str">
        <f ca="1">IFERROR(__xludf.DUMMYFUNCTION("""COMPUTED_VALUE"""),"Manager who clearly describes what she/he needs")</f>
        <v>Manager who clearly describes what she/he needs</v>
      </c>
      <c r="P2451" s="1" t="str">
        <f ca="1">IFERROR(__xludf.DUMMYFUNCTION("""COMPUTED_VALUE"""),"Work with 5 to 6 people in my team")</f>
        <v>Work with 5 to 6 people in my team</v>
      </c>
      <c r="Q2451" s="1" t="str">
        <f ca="1">IFERROR(__xludf.DUMMYFUNCTION("""COMPUTED_VALUE"""),"Yes, I Understand this is gonna happen everywhere")</f>
        <v>Yes, I Understand this is gonna happen everywhere</v>
      </c>
      <c r="R2451" s="1" t="str">
        <f ca="1">IFERROR(__xludf.DUMMYFUNCTION("""COMPUTED_VALUE"""),"This will be hard to do, but if it is the right company I would try")</f>
        <v>This will be hard to do, but if it is the right company I would try</v>
      </c>
      <c r="S2451" s="1" t="str">
        <f ca="1">IFERROR(__xludf.DUMMYFUNCTION("""COMPUTED_VALUE"""),"hitmansharma452002@gmail.com")</f>
        <v>hitmansharma452002@gmail.com</v>
      </c>
    </row>
    <row r="2452" spans="1:19" ht="12.5" x14ac:dyDescent="0.25">
      <c r="A2452" s="2">
        <f ca="1">IFERROR(__xludf.DUMMYFUNCTION("""COMPUTED_VALUE"""),45064.7241088194)</f>
        <v>45064.724108819399</v>
      </c>
      <c r="B2452" s="1" t="str">
        <f ca="1">IFERROR(__xludf.DUMMYFUNCTION("""COMPUTED_VALUE"""),"India")</f>
        <v>India</v>
      </c>
      <c r="C2452" s="1">
        <f ca="1">IFERROR(__xludf.DUMMYFUNCTION("""COMPUTED_VALUE"""),110075)</f>
        <v>110075</v>
      </c>
      <c r="D2452" s="1" t="str">
        <f ca="1">IFERROR(__xludf.DUMMYFUNCTION("""COMPUTED_VALUE"""),"Male")</f>
        <v>Male</v>
      </c>
      <c r="E2452" s="1" t="str">
        <f ca="1">IFERROR(__xludf.DUMMYFUNCTION("""COMPUTED_VALUE"""),"People who have changed the world for better")</f>
        <v>People who have changed the world for better</v>
      </c>
      <c r="F2452" s="1" t="str">
        <f ca="1">IFERROR(__xludf.DUMMYFUNCTION("""COMPUTED_VALUE"""),"Yes, I will earn and do that")</f>
        <v>Yes, I will earn and do that</v>
      </c>
      <c r="G2452" s="1" t="str">
        <f ca="1">IFERROR(__xludf.DUMMYFUNCTION("""COMPUTED_VALUE"""),"Will work for 3 years or more")</f>
        <v>Will work for 3 years or more</v>
      </c>
      <c r="H2452" s="1" t="str">
        <f ca="1">IFERROR(__xludf.DUMMYFUNCTION("""COMPUTED_VALUE"""),"No")</f>
        <v>No</v>
      </c>
      <c r="I2452" s="1" t="str">
        <f ca="1">IFERROR(__xludf.DUMMYFUNCTION("""COMPUTED_VALUE"""),"Will NOT work for them")</f>
        <v>Will NOT work for them</v>
      </c>
      <c r="J2452" s="1">
        <f ca="1">IFERROR(__xludf.DUMMYFUNCTION("""COMPUTED_VALUE"""),5)</f>
        <v>5</v>
      </c>
      <c r="K2452" s="1" t="str">
        <f ca="1">IFERROR(__xludf.DUMMYFUNCTION("""COMPUTED_VALUE"""),"Hybrid Working Environment with less than 3 days a month at office")</f>
        <v>Hybrid Working Environment with less than 3 days a month at office</v>
      </c>
      <c r="L245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5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52" s="1" t="str">
        <f ca="1">IFERROR(__xludf.DUMMYFUNCTION("""COMPUTED_VALUE"""),"Business Operations in any organization, Manage and drive End-to-End Projects or Products, Entrepreneur or Start Up, Manufacturing / Oil and Gas/ Construction / Hard Physical Work related")</f>
        <v>Business Operations in any organization, Manage and drive End-to-End Projects or Products, Entrepreneur or Start Up, Manufacturing / Oil and Gas/ Construction / Hard Physical Work related</v>
      </c>
      <c r="O2452" s="1" t="str">
        <f ca="1">IFERROR(__xludf.DUMMYFUNCTION("""COMPUTED_VALUE"""),"Manager who explains what is expected, sets a goal and helps achieve it")</f>
        <v>Manager who explains what is expected, sets a goal and helps achieve it</v>
      </c>
      <c r="P2452" s="1" t="str">
        <f ca="1">IFERROR(__xludf.DUMMYFUNCTION("""COMPUTED_VALUE"""),"Work with 5 to 6 people in my team")</f>
        <v>Work with 5 to 6 people in my team</v>
      </c>
      <c r="Q2452" s="1" t="str">
        <f ca="1">IFERROR(__xludf.DUMMYFUNCTION("""COMPUTED_VALUE"""),"Yes, I Understand this is gonna happen everywhere")</f>
        <v>Yes, I Understand this is gonna happen everywhere</v>
      </c>
      <c r="R2452" s="1" t="str">
        <f ca="1">IFERROR(__xludf.DUMMYFUNCTION("""COMPUTED_VALUE"""),"This will be hard to do, but if it is the right company I would try")</f>
        <v>This will be hard to do, but if it is the right company I would try</v>
      </c>
      <c r="S2452" s="1" t="str">
        <f ca="1">IFERROR(__xludf.DUMMYFUNCTION("""COMPUTED_VALUE"""),"ayushtayal08@gmail.com")</f>
        <v>ayushtayal08@gmail.com</v>
      </c>
    </row>
    <row r="2453" spans="1:19" ht="12.5" x14ac:dyDescent="0.25">
      <c r="A2453" s="2">
        <f ca="1">IFERROR(__xludf.DUMMYFUNCTION("""COMPUTED_VALUE"""),45064.7257998495)</f>
        <v>45064.725799849497</v>
      </c>
      <c r="B2453" s="1" t="str">
        <f ca="1">IFERROR(__xludf.DUMMYFUNCTION("""COMPUTED_VALUE"""),"India")</f>
        <v>India</v>
      </c>
      <c r="C2453" s="1">
        <f ca="1">IFERROR(__xludf.DUMMYFUNCTION("""COMPUTED_VALUE"""),140301)</f>
        <v>140301</v>
      </c>
      <c r="D2453" s="1" t="str">
        <f ca="1">IFERROR(__xludf.DUMMYFUNCTION("""COMPUTED_VALUE"""),"Male")</f>
        <v>Male</v>
      </c>
      <c r="E2453" s="1" t="str">
        <f ca="1">IFERROR(__xludf.DUMMYFUNCTION("""COMPUTED_VALUE"""),"My Parents")</f>
        <v>My Parents</v>
      </c>
      <c r="F2453" s="1" t="str">
        <f ca="1">IFERROR(__xludf.DUMMYFUNCTION("""COMPUTED_VALUE"""),"No I would not be pursuing Higher Education outside of India")</f>
        <v>No I would not be pursuing Higher Education outside of India</v>
      </c>
      <c r="G2453" s="1" t="str">
        <f ca="1">IFERROR(__xludf.DUMMYFUNCTION("""COMPUTED_VALUE"""),"This will be hard to do, but if it is the right company I would try")</f>
        <v>This will be hard to do, but if it is the right company I would try</v>
      </c>
      <c r="H2453" s="1" t="str">
        <f ca="1">IFERROR(__xludf.DUMMYFUNCTION("""COMPUTED_VALUE"""),"No")</f>
        <v>No</v>
      </c>
      <c r="I2453" s="1" t="str">
        <f ca="1">IFERROR(__xludf.DUMMYFUNCTION("""COMPUTED_VALUE"""),"Will NOT work for them")</f>
        <v>Will NOT work for them</v>
      </c>
      <c r="J2453" s="1">
        <f ca="1">IFERROR(__xludf.DUMMYFUNCTION("""COMPUTED_VALUE"""),1)</f>
        <v>1</v>
      </c>
      <c r="K2453" s="1" t="str">
        <f ca="1">IFERROR(__xludf.DUMMYFUNCTION("""COMPUTED_VALUE"""),"Hybrid Working Environment with more than 15 days a month at office")</f>
        <v>Hybrid Working Environment with more than 15 days a month at office</v>
      </c>
      <c r="L24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5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453" s="1" t="str">
        <f ca="1">IFERROR(__xludf.DUMMYFUNCTION("""COMPUTED_VALUE"""),"Teaching in any of the institutes/colleges/online or offline, Business Operations in any organization, Manage and drive End-to-End Projects or Products, Entrepreneur or Start Up")</f>
        <v>Teaching in any of the institutes/colleges/online or offline, Business Operations in any organization, Manage and drive End-to-End Projects or Products, Entrepreneur or Start Up</v>
      </c>
      <c r="O2453" s="1" t="str">
        <f ca="1">IFERROR(__xludf.DUMMYFUNCTION("""COMPUTED_VALUE"""),"Manager who explains what is expected, sets a goal and helps achieve it")</f>
        <v>Manager who explains what is expected, sets a goal and helps achieve it</v>
      </c>
      <c r="P2453" s="1" t="str">
        <f ca="1">IFERROR(__xludf.DUMMYFUNCTION("""COMPUTED_VALUE"""),"Work with 5 to 6 people in my team")</f>
        <v>Work with 5 to 6 people in my team</v>
      </c>
      <c r="Q2453" s="1" t="str">
        <f ca="1">IFERROR(__xludf.DUMMYFUNCTION("""COMPUTED_VALUE"""),"No")</f>
        <v>No</v>
      </c>
      <c r="R2453" s="1" t="str">
        <f ca="1">IFERROR(__xludf.DUMMYFUNCTION("""COMPUTED_VALUE"""),"This will be hard to do, but if it is the right company I would try")</f>
        <v>This will be hard to do, but if it is the right company I would try</v>
      </c>
      <c r="S2453" s="1" t="str">
        <f ca="1">IFERROR(__xludf.DUMMYFUNCTION("""COMPUTED_VALUE"""),"sainigaurav435@gmail.com")</f>
        <v>sainigaurav435@gmail.com</v>
      </c>
    </row>
    <row r="2454" spans="1:19" ht="12.5" x14ac:dyDescent="0.25">
      <c r="A2454" s="2">
        <f ca="1">IFERROR(__xludf.DUMMYFUNCTION("""COMPUTED_VALUE"""),45064.7264713888)</f>
        <v>45064.7264713888</v>
      </c>
      <c r="B2454" s="1" t="str">
        <f ca="1">IFERROR(__xludf.DUMMYFUNCTION("""COMPUTED_VALUE"""),"India")</f>
        <v>India</v>
      </c>
      <c r="C2454" s="1">
        <f ca="1">IFERROR(__xludf.DUMMYFUNCTION("""COMPUTED_VALUE"""),140301)</f>
        <v>140301</v>
      </c>
      <c r="D2454" s="1" t="str">
        <f ca="1">IFERROR(__xludf.DUMMYFUNCTION("""COMPUTED_VALUE"""),"Male")</f>
        <v>Male</v>
      </c>
      <c r="E2454" s="1" t="str">
        <f ca="1">IFERROR(__xludf.DUMMYFUNCTION("""COMPUTED_VALUE"""),"My Parents")</f>
        <v>My Parents</v>
      </c>
      <c r="F2454" s="1" t="str">
        <f ca="1">IFERROR(__xludf.DUMMYFUNCTION("""COMPUTED_VALUE"""),"No, But if someone could bare the cost I will")</f>
        <v>No, But if someone could bare the cost I will</v>
      </c>
      <c r="G2454" s="1" t="str">
        <f ca="1">IFERROR(__xludf.DUMMYFUNCTION("""COMPUTED_VALUE"""),"This will be hard to do, but if it is the right company I would try")</f>
        <v>This will be hard to do, but if it is the right company I would try</v>
      </c>
      <c r="H2454" s="1" t="str">
        <f ca="1">IFERROR(__xludf.DUMMYFUNCTION("""COMPUTED_VALUE"""),"No")</f>
        <v>No</v>
      </c>
      <c r="I2454" s="1" t="str">
        <f ca="1">IFERROR(__xludf.DUMMYFUNCTION("""COMPUTED_VALUE"""),"Will NOT work for them")</f>
        <v>Will NOT work for them</v>
      </c>
      <c r="J2454" s="1">
        <f ca="1">IFERROR(__xludf.DUMMYFUNCTION("""COMPUTED_VALUE"""),7)</f>
        <v>7</v>
      </c>
      <c r="K2454" s="1" t="str">
        <f ca="1">IFERROR(__xludf.DUMMYFUNCTION("""COMPUTED_VALUE"""),"Hybrid Working Environment with more than 15 days a month at office")</f>
        <v>Hybrid Working Environment with more than 15 days a month at office</v>
      </c>
      <c r="L24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5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454" s="1" t="str">
        <f ca="1">IFERROR(__xludf.DUMMYFUNCTION("""COMPUTED_VALUE"""),"Business Operations in any organization, Look deeply into Data and generate insights, An Artificial Intelligence Specialist / Talking to Robots, Manufacturing / Oil and Gas/ Construction / Hard Physical Work related")</f>
        <v>Business Operations in any organization, Look deeply into Data and generate insights, An Artificial Intelligence Specialist / Talking to Robots, Manufacturing / Oil and Gas/ Construction / Hard Physical Work related</v>
      </c>
      <c r="O2454" s="1" t="str">
        <f ca="1">IFERROR(__xludf.DUMMYFUNCTION("""COMPUTED_VALUE"""),"Manager who explains what is expected, sets a goal and helps achieve it")</f>
        <v>Manager who explains what is expected, sets a goal and helps achieve it</v>
      </c>
      <c r="P2454" s="1" t="str">
        <f ca="1">IFERROR(__xludf.DUMMYFUNCTION("""COMPUTED_VALUE"""),"Work with 5 to 6 people in my team")</f>
        <v>Work with 5 to 6 people in my team</v>
      </c>
      <c r="Q2454" s="1" t="str">
        <f ca="1">IFERROR(__xludf.DUMMYFUNCTION("""COMPUTED_VALUE"""),"Yes, I Understand this is gonna happen everywhere")</f>
        <v>Yes, I Understand this is gonna happen everywhere</v>
      </c>
      <c r="R2454" s="1" t="str">
        <f ca="1">IFERROR(__xludf.DUMMYFUNCTION("""COMPUTED_VALUE"""),"No way")</f>
        <v>No way</v>
      </c>
      <c r="S2454" s="1" t="str">
        <f ca="1">IFERROR(__xludf.DUMMYFUNCTION("""COMPUTED_VALUE"""),"gauravsingh0527@gmail.com")</f>
        <v>gauravsingh0527@gmail.com</v>
      </c>
    </row>
    <row r="2455" spans="1:19" ht="12.5" x14ac:dyDescent="0.25">
      <c r="A2455" s="2">
        <f ca="1">IFERROR(__xludf.DUMMYFUNCTION("""COMPUTED_VALUE"""),45064.7274437037)</f>
        <v>45064.727443703698</v>
      </c>
      <c r="B2455" s="1" t="str">
        <f ca="1">IFERROR(__xludf.DUMMYFUNCTION("""COMPUTED_VALUE"""),"India")</f>
        <v>India</v>
      </c>
      <c r="C2455" s="1">
        <f ca="1">IFERROR(__xludf.DUMMYFUNCTION("""COMPUTED_VALUE"""),140301)</f>
        <v>140301</v>
      </c>
      <c r="D2455" s="1" t="str">
        <f ca="1">IFERROR(__xludf.DUMMYFUNCTION("""COMPUTED_VALUE"""),"Female")</f>
        <v>Female</v>
      </c>
      <c r="E2455" s="1" t="str">
        <f ca="1">IFERROR(__xludf.DUMMYFUNCTION("""COMPUTED_VALUE"""),"My Parents")</f>
        <v>My Parents</v>
      </c>
      <c r="F2455" s="1" t="str">
        <f ca="1">IFERROR(__xludf.DUMMYFUNCTION("""COMPUTED_VALUE"""),"No I would not be pursuing Higher Education outside of India")</f>
        <v>No I would not be pursuing Higher Education outside of India</v>
      </c>
      <c r="G2455" s="1" t="str">
        <f ca="1">IFERROR(__xludf.DUMMYFUNCTION("""COMPUTED_VALUE"""),"This will be hard to do, but if it is the right company I would try")</f>
        <v>This will be hard to do, but if it is the right company I would try</v>
      </c>
      <c r="H2455" s="1" t="str">
        <f ca="1">IFERROR(__xludf.DUMMYFUNCTION("""COMPUTED_VALUE"""),"No")</f>
        <v>No</v>
      </c>
      <c r="I2455" s="1" t="str">
        <f ca="1">IFERROR(__xludf.DUMMYFUNCTION("""COMPUTED_VALUE"""),"Will NOT work for them")</f>
        <v>Will NOT work for them</v>
      </c>
      <c r="J2455" s="1">
        <f ca="1">IFERROR(__xludf.DUMMYFUNCTION("""COMPUTED_VALUE"""),3)</f>
        <v>3</v>
      </c>
      <c r="K2455" s="1" t="str">
        <f ca="1">IFERROR(__xludf.DUMMYFUNCTION("""COMPUTED_VALUE"""),"Hybrid Working Environment with more than 15 days a month at office")</f>
        <v>Hybrid Working Environment with more than 15 days a month at office</v>
      </c>
      <c r="L2455" s="1" t="str">
        <f ca="1">IFERROR(__xludf.DUMMYFUNCTION("""COMPUTED_VALUE"""),"Employer who appreciates learning and enables that environment")</f>
        <v>Employer who appreciates learning and enables that environment</v>
      </c>
      <c r="M245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55" s="1" t="str">
        <f ca="1">IFERROR(__xludf.DUMMYFUNCTION("""COMPUTED_VALUE"""),"Design and Develop amazing software, Become a content Creator in some platform, Entrepreneur or Start Up, An Artificial Intelligence Specialist / Talking to Robots")</f>
        <v>Design and Develop amazing software, Become a content Creator in some platform, Entrepreneur or Start Up, An Artificial Intelligence Specialist / Talking to Robots</v>
      </c>
      <c r="O2455" s="1" t="str">
        <f ca="1">IFERROR(__xludf.DUMMYFUNCTION("""COMPUTED_VALUE"""),"Manager who clearly describes what she/he needs")</f>
        <v>Manager who clearly describes what she/he needs</v>
      </c>
      <c r="P2455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455" s="1" t="str">
        <f ca="1">IFERROR(__xludf.DUMMYFUNCTION("""COMPUTED_VALUE"""),"Yes, I Understand this is gonna happen everywhere")</f>
        <v>Yes, I Understand this is gonna happen everywhere</v>
      </c>
      <c r="R2455" s="1" t="str">
        <f ca="1">IFERROR(__xludf.DUMMYFUNCTION("""COMPUTED_VALUE"""),"This will be hard to do, but if it is the right company I would try")</f>
        <v>This will be hard to do, but if it is the right company I would try</v>
      </c>
      <c r="S2455" s="1" t="str">
        <f ca="1">IFERROR(__xludf.DUMMYFUNCTION("""COMPUTED_VALUE"""),"archanakumaripadhy@gmail.com")</f>
        <v>archanakumaripadhy@gmail.com</v>
      </c>
    </row>
    <row r="2456" spans="1:19" ht="12.5" x14ac:dyDescent="0.25">
      <c r="A2456" s="2">
        <f ca="1">IFERROR(__xludf.DUMMYFUNCTION("""COMPUTED_VALUE"""),45064.7275974768)</f>
        <v>45064.727597476798</v>
      </c>
      <c r="B2456" s="1" t="str">
        <f ca="1">IFERROR(__xludf.DUMMYFUNCTION("""COMPUTED_VALUE"""),"India")</f>
        <v>India</v>
      </c>
      <c r="C2456" s="1">
        <f ca="1">IFERROR(__xludf.DUMMYFUNCTION("""COMPUTED_VALUE"""),140301)</f>
        <v>140301</v>
      </c>
      <c r="D2456" s="1" t="str">
        <f ca="1">IFERROR(__xludf.DUMMYFUNCTION("""COMPUTED_VALUE"""),"Male")</f>
        <v>Male</v>
      </c>
      <c r="E2456" s="1" t="str">
        <f ca="1">IFERROR(__xludf.DUMMYFUNCTION("""COMPUTED_VALUE"""),"People who have changed the world for better")</f>
        <v>People who have changed the world for better</v>
      </c>
      <c r="F2456" s="1" t="str">
        <f ca="1">IFERROR(__xludf.DUMMYFUNCTION("""COMPUTED_VALUE"""),"No I would not be pursuing Higher Education outside of India")</f>
        <v>No I would not be pursuing Higher Education outside of India</v>
      </c>
      <c r="G2456" s="1" t="str">
        <f ca="1">IFERROR(__xludf.DUMMYFUNCTION("""COMPUTED_VALUE"""),"This will be hard to do, but if it is the right company I would try")</f>
        <v>This will be hard to do, but if it is the right company I would try</v>
      </c>
      <c r="H2456" s="1" t="str">
        <f ca="1">IFERROR(__xludf.DUMMYFUNCTION("""COMPUTED_VALUE"""),"No")</f>
        <v>No</v>
      </c>
      <c r="I2456" s="1" t="str">
        <f ca="1">IFERROR(__xludf.DUMMYFUNCTION("""COMPUTED_VALUE"""),"Will NOT work for them")</f>
        <v>Will NOT work for them</v>
      </c>
      <c r="J2456" s="1">
        <f ca="1">IFERROR(__xludf.DUMMYFUNCTION("""COMPUTED_VALUE"""),1)</f>
        <v>1</v>
      </c>
      <c r="K2456" s="1" t="str">
        <f ca="1">IFERROR(__xludf.DUMMYFUNCTION("""COMPUTED_VALUE"""),"Fully Remote with Options to travel as and when needed")</f>
        <v>Fully Remote with Options to travel as and when needed</v>
      </c>
      <c r="L24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5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56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456" s="1" t="str">
        <f ca="1">IFERROR(__xludf.DUMMYFUNCTION("""COMPUTED_VALUE"""),"Manager who explains what is expected, sets a goal and helps achieve it")</f>
        <v>Manager who explains what is expected, sets a goal and helps achieve it</v>
      </c>
      <c r="P2456" s="1" t="str">
        <f ca="1">IFERROR(__xludf.DUMMYFUNCTION("""COMPUTED_VALUE"""),"Work with 2 to 3 people in my team")</f>
        <v>Work with 2 to 3 people in my team</v>
      </c>
      <c r="Q2456" s="1" t="str">
        <f ca="1">IFERROR(__xludf.DUMMYFUNCTION("""COMPUTED_VALUE"""),"Yes, I Understand this is gonna happen everywhere")</f>
        <v>Yes, I Understand this is gonna happen everywhere</v>
      </c>
      <c r="R2456" s="1" t="str">
        <f ca="1">IFERROR(__xludf.DUMMYFUNCTION("""COMPUTED_VALUE"""),"This will be hard to do, but if it is the right company I would try")</f>
        <v>This will be hard to do, but if it is the right company I would try</v>
      </c>
      <c r="S2456" s="1" t="str">
        <f ca="1">IFERROR(__xludf.DUMMYFUNCTION("""COMPUTED_VALUE"""),"sayujcr1292@gmail.com")</f>
        <v>sayujcr1292@gmail.com</v>
      </c>
    </row>
    <row r="2457" spans="1:19" ht="12.5" x14ac:dyDescent="0.25">
      <c r="A2457" s="2">
        <f ca="1">IFERROR(__xludf.DUMMYFUNCTION("""COMPUTED_VALUE"""),45064.7295049189)</f>
        <v>45064.729504918898</v>
      </c>
      <c r="B2457" s="1" t="str">
        <f ca="1">IFERROR(__xludf.DUMMYFUNCTION("""COMPUTED_VALUE"""),"India")</f>
        <v>India</v>
      </c>
      <c r="C2457" s="1">
        <f ca="1">IFERROR(__xludf.DUMMYFUNCTION("""COMPUTED_VALUE"""),282007)</f>
        <v>282007</v>
      </c>
      <c r="D2457" s="1" t="str">
        <f ca="1">IFERROR(__xludf.DUMMYFUNCTION("""COMPUTED_VALUE"""),"Male")</f>
        <v>Male</v>
      </c>
      <c r="E2457" s="1" t="str">
        <f ca="1">IFERROR(__xludf.DUMMYFUNCTION("""COMPUTED_VALUE"""),"My Parents")</f>
        <v>My Parents</v>
      </c>
      <c r="F2457" s="1" t="str">
        <f ca="1">IFERROR(__xludf.DUMMYFUNCTION("""COMPUTED_VALUE"""),"Yes, I will earn and do that")</f>
        <v>Yes, I will earn and do that</v>
      </c>
      <c r="G2457" s="1" t="str">
        <f ca="1">IFERROR(__xludf.DUMMYFUNCTION("""COMPUTED_VALUE"""),"This will be hard to do, but if it is the right company I would try")</f>
        <v>This will be hard to do, but if it is the right company I would try</v>
      </c>
      <c r="H2457" s="1" t="str">
        <f ca="1">IFERROR(__xludf.DUMMYFUNCTION("""COMPUTED_VALUE"""),"Yes")</f>
        <v>Yes</v>
      </c>
      <c r="I2457" s="1" t="str">
        <f ca="1">IFERROR(__xludf.DUMMYFUNCTION("""COMPUTED_VALUE"""),"Will NOT work for them")</f>
        <v>Will NOT work for them</v>
      </c>
      <c r="J2457" s="1">
        <f ca="1">IFERROR(__xludf.DUMMYFUNCTION("""COMPUTED_VALUE"""),7)</f>
        <v>7</v>
      </c>
      <c r="K2457" s="1" t="str">
        <f ca="1">IFERROR(__xludf.DUMMYFUNCTION("""COMPUTED_VALUE"""),"Hybrid Working Environment with more than 15 days a month at office")</f>
        <v>Hybrid Working Environment with more than 15 days a month at office</v>
      </c>
      <c r="L24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5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57" s="1" t="str">
        <f ca="1">IFERROR(__xludf.DUMMYFUNCTION("""COMPUTED_VALUE"""),"Business Operations in any organization, Entrepreneur or Start Up, I Want to sell things/Sales, Manufacturing / Oil and Gas/ Construction / Hard Physical Work related")</f>
        <v>Business Operations in any organization, Entrepreneur or Start Up, I Want to sell things/Sales, Manufacturing / Oil and Gas/ Construction / Hard Physical Work related</v>
      </c>
      <c r="O2457" s="1" t="str">
        <f ca="1">IFERROR(__xludf.DUMMYFUNCTION("""COMPUTED_VALUE"""),"Manager who sets goal and helps me achieve it")</f>
        <v>Manager who sets goal and helps me achieve it</v>
      </c>
      <c r="P2457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457" s="1" t="str">
        <f ca="1">IFERROR(__xludf.DUMMYFUNCTION("""COMPUTED_VALUE"""),"Yes, I Understand this is gonna happen everywhere")</f>
        <v>Yes, I Understand this is gonna happen everywhere</v>
      </c>
      <c r="R2457" s="1" t="str">
        <f ca="1">IFERROR(__xludf.DUMMYFUNCTION("""COMPUTED_VALUE"""),"This will be hard to do, but if it is the right company I would try")</f>
        <v>This will be hard to do, but if it is the right company I would try</v>
      </c>
      <c r="S2457" s="1" t="str">
        <f ca="1">IFERROR(__xludf.DUMMYFUNCTION("""COMPUTED_VALUE"""),"sharmaparas0024@gmail.com")</f>
        <v>sharmaparas0024@gmail.com</v>
      </c>
    </row>
    <row r="2458" spans="1:19" ht="12.5" x14ac:dyDescent="0.25">
      <c r="A2458" s="2">
        <f ca="1">IFERROR(__xludf.DUMMYFUNCTION("""COMPUTED_VALUE"""),45064.7308998958)</f>
        <v>45064.730899895803</v>
      </c>
      <c r="B2458" s="1" t="str">
        <f ca="1">IFERROR(__xludf.DUMMYFUNCTION("""COMPUTED_VALUE"""),"India")</f>
        <v>India</v>
      </c>
      <c r="C2458" s="1">
        <f ca="1">IFERROR(__xludf.DUMMYFUNCTION("""COMPUTED_VALUE"""),140301)</f>
        <v>140301</v>
      </c>
      <c r="D2458" s="1" t="str">
        <f ca="1">IFERROR(__xludf.DUMMYFUNCTION("""COMPUTED_VALUE"""),"Female")</f>
        <v>Female</v>
      </c>
      <c r="E2458" s="1" t="str">
        <f ca="1">IFERROR(__xludf.DUMMYFUNCTION("""COMPUTED_VALUE"""),"My Parents")</f>
        <v>My Parents</v>
      </c>
      <c r="F2458" s="1" t="str">
        <f ca="1">IFERROR(__xludf.DUMMYFUNCTION("""COMPUTED_VALUE"""),"Yes, I will earn and do that")</f>
        <v>Yes, I will earn and do that</v>
      </c>
      <c r="G2458" s="1" t="str">
        <f ca="1">IFERROR(__xludf.DUMMYFUNCTION("""COMPUTED_VALUE"""),"Will work for 3 years or more")</f>
        <v>Will work for 3 years or more</v>
      </c>
      <c r="H2458" s="1" t="str">
        <f ca="1">IFERROR(__xludf.DUMMYFUNCTION("""COMPUTED_VALUE"""),"No")</f>
        <v>No</v>
      </c>
      <c r="I2458" s="1" t="str">
        <f ca="1">IFERROR(__xludf.DUMMYFUNCTION("""COMPUTED_VALUE"""),"Will NOT work for them")</f>
        <v>Will NOT work for them</v>
      </c>
      <c r="J2458" s="1">
        <f ca="1">IFERROR(__xludf.DUMMYFUNCTION("""COMPUTED_VALUE"""),3)</f>
        <v>3</v>
      </c>
      <c r="K2458" s="1" t="str">
        <f ca="1">IFERROR(__xludf.DUMMYFUNCTION("""COMPUTED_VALUE"""),"Fully Remote with Options to travel as and when needed")</f>
        <v>Fully Remote with Options to travel as and when needed</v>
      </c>
      <c r="L2458" s="1" t="str">
        <f ca="1">IFERROR(__xludf.DUMMYFUNCTION("""COMPUTED_VALUE"""),"Employer who appreciates learning and enables that environment")</f>
        <v>Employer who appreciates learning and enables that environment</v>
      </c>
      <c r="M2458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5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458" s="1" t="str">
        <f ca="1">IFERROR(__xludf.DUMMYFUNCTION("""COMPUTED_VALUE"""),"Manager who sets goal and helps me achieve it")</f>
        <v>Manager who sets goal and helps me achieve it</v>
      </c>
      <c r="P2458" s="1" t="str">
        <f ca="1">IFERROR(__xludf.DUMMYFUNCTION("""COMPUTED_VALUE"""),"Work alone, Work with 2 to 3 people in my team")</f>
        <v>Work alone, Work with 2 to 3 people in my team</v>
      </c>
      <c r="Q2458" s="1" t="str">
        <f ca="1">IFERROR(__xludf.DUMMYFUNCTION("""COMPUTED_VALUE"""),"Yes, I Understand this is gonna happen everywhere")</f>
        <v>Yes, I Understand this is gonna happen everywhere</v>
      </c>
      <c r="R2458" s="1" t="str">
        <f ca="1">IFERROR(__xludf.DUMMYFUNCTION("""COMPUTED_VALUE"""),"This will be hard to do, but if it is the right company I would try")</f>
        <v>This will be hard to do, but if it is the right company I would try</v>
      </c>
      <c r="S2458" s="1" t="str">
        <f ca="1">IFERROR(__xludf.DUMMYFUNCTION("""COMPUTED_VALUE"""),"pradhanlakshmi11@gmail.com")</f>
        <v>pradhanlakshmi11@gmail.com</v>
      </c>
    </row>
    <row r="2459" spans="1:19" ht="12.5" x14ac:dyDescent="0.25">
      <c r="A2459" s="2">
        <f ca="1">IFERROR(__xludf.DUMMYFUNCTION("""COMPUTED_VALUE"""),45064.7325497685)</f>
        <v>45064.732549768501</v>
      </c>
      <c r="B2459" s="1" t="str">
        <f ca="1">IFERROR(__xludf.DUMMYFUNCTION("""COMPUTED_VALUE"""),"India")</f>
        <v>India</v>
      </c>
      <c r="C2459" s="1">
        <f ca="1">IFERROR(__xludf.DUMMYFUNCTION("""COMPUTED_VALUE"""),250611)</f>
        <v>250611</v>
      </c>
      <c r="D2459" s="1" t="str">
        <f ca="1">IFERROR(__xludf.DUMMYFUNCTION("""COMPUTED_VALUE"""),"Male")</f>
        <v>Male</v>
      </c>
      <c r="E2459" s="1" t="str">
        <f ca="1">IFERROR(__xludf.DUMMYFUNCTION("""COMPUTED_VALUE"""),"My Parents")</f>
        <v>My Parents</v>
      </c>
      <c r="F2459" s="1" t="str">
        <f ca="1">IFERROR(__xludf.DUMMYFUNCTION("""COMPUTED_VALUE"""),"Yes, I will earn and do that")</f>
        <v>Yes, I will earn and do that</v>
      </c>
      <c r="G2459" s="1" t="str">
        <f ca="1">IFERROR(__xludf.DUMMYFUNCTION("""COMPUTED_VALUE"""),"Will work for 3 years or more")</f>
        <v>Will work for 3 years or more</v>
      </c>
      <c r="H2459" s="1" t="str">
        <f ca="1">IFERROR(__xludf.DUMMYFUNCTION("""COMPUTED_VALUE"""),"No")</f>
        <v>No</v>
      </c>
      <c r="I2459" s="1" t="str">
        <f ca="1">IFERROR(__xludf.DUMMYFUNCTION("""COMPUTED_VALUE"""),"Will NOT work for them")</f>
        <v>Will NOT work for them</v>
      </c>
      <c r="J2459" s="1">
        <f ca="1">IFERROR(__xludf.DUMMYFUNCTION("""COMPUTED_VALUE"""),5)</f>
        <v>5</v>
      </c>
      <c r="K2459" s="1" t="str">
        <f ca="1">IFERROR(__xludf.DUMMYFUNCTION("""COMPUTED_VALUE"""),"Hybrid Working Environment with more than 15 days a month at office")</f>
        <v>Hybrid Working Environment with more than 15 days a month at office</v>
      </c>
      <c r="L24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5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59" s="1" t="str">
        <f ca="1">IFERROR(__xludf.DUMMYFUNCTION("""COMPUTED_VALUE"""),"Business Operations in any organization, Look deeply into Data and generate insights, Entrepreneur or Start Up, An Artificial Intelligence Specialist / Talking to Robots")</f>
        <v>Business Operations in any organization, Look deeply into Data and generate insights, Entrepreneur or Start Up, An Artificial Intelligence Specialist / Talking to Robots</v>
      </c>
      <c r="O2459" s="1" t="str">
        <f ca="1">IFERROR(__xludf.DUMMYFUNCTION("""COMPUTED_VALUE"""),"Manager who clearly describes what she/he needs")</f>
        <v>Manager who clearly describes what she/he needs</v>
      </c>
      <c r="P2459" s="1" t="str">
        <f ca="1">IFERROR(__xludf.DUMMYFUNCTION("""COMPUTED_VALUE"""),"Work alone")</f>
        <v>Work alone</v>
      </c>
      <c r="Q2459" s="1" t="str">
        <f ca="1">IFERROR(__xludf.DUMMYFUNCTION("""COMPUTED_VALUE"""),"Yes, I Understand this is gonna happen everywhere")</f>
        <v>Yes, I Understand this is gonna happen everywhere</v>
      </c>
      <c r="R2459" s="1" t="str">
        <f ca="1">IFERROR(__xludf.DUMMYFUNCTION("""COMPUTED_VALUE"""),"This will be hard to do, but if it is the right company I would try")</f>
        <v>This will be hard to do, but if it is the right company I would try</v>
      </c>
      <c r="S2459" s="1" t="str">
        <f ca="1">IFERROR(__xludf.DUMMYFUNCTION("""COMPUTED_VALUE"""),"aadeshvats20@gmail.com")</f>
        <v>aadeshvats20@gmail.com</v>
      </c>
    </row>
    <row r="2460" spans="1:19" ht="12.5" x14ac:dyDescent="0.25">
      <c r="A2460" s="2">
        <f ca="1">IFERROR(__xludf.DUMMYFUNCTION("""COMPUTED_VALUE"""),45064.7410302546)</f>
        <v>45064.741030254598</v>
      </c>
      <c r="B2460" s="1" t="str">
        <f ca="1">IFERROR(__xludf.DUMMYFUNCTION("""COMPUTED_VALUE"""),"India")</f>
        <v>India</v>
      </c>
      <c r="C2460" s="1">
        <f ca="1">IFERROR(__xludf.DUMMYFUNCTION("""COMPUTED_VALUE"""),603210)</f>
        <v>603210</v>
      </c>
      <c r="D2460" s="1" t="str">
        <f ca="1">IFERROR(__xludf.DUMMYFUNCTION("""COMPUTED_VALUE"""),"Male")</f>
        <v>Male</v>
      </c>
      <c r="E2460" s="1" t="str">
        <f ca="1">IFERROR(__xludf.DUMMYFUNCTION("""COMPUTED_VALUE"""),"Social Media like LinkedIn")</f>
        <v>Social Media like LinkedIn</v>
      </c>
      <c r="F2460" s="1" t="str">
        <f ca="1">IFERROR(__xludf.DUMMYFUNCTION("""COMPUTED_VALUE"""),"No, But if someone could bare the cost I will")</f>
        <v>No, But if someone could bare the cost I will</v>
      </c>
      <c r="G2460" s="1" t="str">
        <f ca="1">IFERROR(__xludf.DUMMYFUNCTION("""COMPUTED_VALUE"""),"No way")</f>
        <v>No way</v>
      </c>
      <c r="H2460" s="1" t="str">
        <f ca="1">IFERROR(__xludf.DUMMYFUNCTION("""COMPUTED_VALUE"""),"No")</f>
        <v>No</v>
      </c>
      <c r="I2460" s="1" t="str">
        <f ca="1">IFERROR(__xludf.DUMMYFUNCTION("""COMPUTED_VALUE"""),"Will NOT work for them")</f>
        <v>Will NOT work for them</v>
      </c>
      <c r="J2460" s="1">
        <f ca="1">IFERROR(__xludf.DUMMYFUNCTION("""COMPUTED_VALUE"""),10)</f>
        <v>10</v>
      </c>
      <c r="K2460" s="1" t="str">
        <f ca="1">IFERROR(__xludf.DUMMYFUNCTION("""COMPUTED_VALUE"""),"Hybrid Working Environment with more than 15 days a month at office")</f>
        <v>Hybrid Working Environment with more than 15 days a month at office</v>
      </c>
      <c r="L24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6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460" s="1" t="str">
        <f ca="1">IFERROR(__xludf.DUMMYFUNCTION("""COMPUTED_VALUE"""),"Design and Develop amazing software, Work as a freelancer and do my thing my way, Entrepreneur or Start Up, An Artificial Intelligence Specialist / Talking to Robots")</f>
        <v>Design and Develop amazing software, Work as a freelancer and do my thing my way, Entrepreneur or Start Up, An Artificial Intelligence Specialist / Talking to Robots</v>
      </c>
      <c r="O2460" s="1" t="str">
        <f ca="1">IFERROR(__xludf.DUMMYFUNCTION("""COMPUTED_VALUE"""),"Manager who sets goal and helps me achieve it")</f>
        <v>Manager who sets goal and helps me achieve it</v>
      </c>
      <c r="P2460" s="1" t="str">
        <f ca="1">IFERROR(__xludf.DUMMYFUNCTION("""COMPUTED_VALUE"""),"Work alone, Work with 5 to 6 people in my team")</f>
        <v>Work alone, Work with 5 to 6 people in my team</v>
      </c>
      <c r="Q2460" s="1" t="str">
        <f ca="1">IFERROR(__xludf.DUMMYFUNCTION("""COMPUTED_VALUE"""),"No")</f>
        <v>No</v>
      </c>
      <c r="R2460" s="1" t="str">
        <f ca="1">IFERROR(__xludf.DUMMYFUNCTION("""COMPUTED_VALUE"""),"No way")</f>
        <v>No way</v>
      </c>
      <c r="S2460" s="1" t="str">
        <f ca="1">IFERROR(__xludf.DUMMYFUNCTION("""COMPUTED_VALUE"""),"santhoshram.gk2020@vitstudent.ac.in")</f>
        <v>santhoshram.gk2020@vitstudent.ac.in</v>
      </c>
    </row>
    <row r="2461" spans="1:19" ht="12.5" x14ac:dyDescent="0.25">
      <c r="A2461" s="2">
        <f ca="1">IFERROR(__xludf.DUMMYFUNCTION("""COMPUTED_VALUE"""),45064.7414649768)</f>
        <v>45064.741464976803</v>
      </c>
      <c r="B2461" s="1" t="str">
        <f ca="1">IFERROR(__xludf.DUMMYFUNCTION("""COMPUTED_VALUE"""),"India")</f>
        <v>India</v>
      </c>
      <c r="C2461" s="1">
        <f ca="1">IFERROR(__xludf.DUMMYFUNCTION("""COMPUTED_VALUE"""),411033)</f>
        <v>411033</v>
      </c>
      <c r="D2461" s="1" t="str">
        <f ca="1">IFERROR(__xludf.DUMMYFUNCTION("""COMPUTED_VALUE"""),"Male")</f>
        <v>Male</v>
      </c>
      <c r="E2461" s="1" t="str">
        <f ca="1">IFERROR(__xludf.DUMMYFUNCTION("""COMPUTED_VALUE"""),"Social Media like LinkedIn")</f>
        <v>Social Media like LinkedIn</v>
      </c>
      <c r="F2461" s="1" t="str">
        <f ca="1">IFERROR(__xludf.DUMMYFUNCTION("""COMPUTED_VALUE"""),"Yes, I will earn and do that")</f>
        <v>Yes, I will earn and do that</v>
      </c>
      <c r="G2461" s="1" t="str">
        <f ca="1">IFERROR(__xludf.DUMMYFUNCTION("""COMPUTED_VALUE"""),"Will work for 3 years or more")</f>
        <v>Will work for 3 years or more</v>
      </c>
      <c r="H2461" s="1" t="str">
        <f ca="1">IFERROR(__xludf.DUMMYFUNCTION("""COMPUTED_VALUE"""),"Yes")</f>
        <v>Yes</v>
      </c>
      <c r="I2461" s="1" t="str">
        <f ca="1">IFERROR(__xludf.DUMMYFUNCTION("""COMPUTED_VALUE"""),"Will work for them")</f>
        <v>Will work for them</v>
      </c>
      <c r="J2461" s="1">
        <f ca="1">IFERROR(__xludf.DUMMYFUNCTION("""COMPUTED_VALUE"""),7)</f>
        <v>7</v>
      </c>
      <c r="K2461" s="1" t="str">
        <f ca="1">IFERROR(__xludf.DUMMYFUNCTION("""COMPUTED_VALUE"""),"Hybrid Working Environment with more than 15 days a month at office")</f>
        <v>Hybrid Working Environment with more than 15 days a month at office</v>
      </c>
      <c r="L2461" s="1" t="str">
        <f ca="1">IFERROR(__xludf.DUMMYFUNCTION("""COMPUTED_VALUE"""),"Employer who appreciates learning and enables that environment")</f>
        <v>Employer who appreciates learning and enables that environment</v>
      </c>
      <c r="M246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61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2461" s="1" t="str">
        <f ca="1">IFERROR(__xludf.DUMMYFUNCTION("""COMPUTED_VALUE"""),"Manager who clearly describes what she/he needs")</f>
        <v>Manager who clearly describes what she/he needs</v>
      </c>
      <c r="P2461" s="1" t="str">
        <f ca="1">IFERROR(__xludf.DUMMYFUNCTION("""COMPUTED_VALUE"""),"Work with 5 to 6 people in my team")</f>
        <v>Work with 5 to 6 people in my team</v>
      </c>
      <c r="Q2461" s="1" t="str">
        <f ca="1">IFERROR(__xludf.DUMMYFUNCTION("""COMPUTED_VALUE"""),"Yes")</f>
        <v>Yes</v>
      </c>
      <c r="R2461" s="1" t="str">
        <f ca="1">IFERROR(__xludf.DUMMYFUNCTION("""COMPUTED_VALUE"""),"Will work for 7 years or more")</f>
        <v>Will work for 7 years or more</v>
      </c>
      <c r="S2461" s="1" t="str">
        <f ca="1">IFERROR(__xludf.DUMMYFUNCTION("""COMPUTED_VALUE"""),"sabale.parth27@gmail.com")</f>
        <v>sabale.parth27@gmail.com</v>
      </c>
    </row>
    <row r="2462" spans="1:19" ht="12.5" x14ac:dyDescent="0.25">
      <c r="A2462" s="2">
        <f ca="1">IFERROR(__xludf.DUMMYFUNCTION("""COMPUTED_VALUE"""),45064.7481964351)</f>
        <v>45064.748196435103</v>
      </c>
      <c r="B2462" s="1" t="str">
        <f ca="1">IFERROR(__xludf.DUMMYFUNCTION("""COMPUTED_VALUE"""),"India")</f>
        <v>India</v>
      </c>
      <c r="C2462" s="1">
        <f ca="1">IFERROR(__xludf.DUMMYFUNCTION("""COMPUTED_VALUE"""),591304)</f>
        <v>591304</v>
      </c>
      <c r="D2462" s="1" t="str">
        <f ca="1">IFERROR(__xludf.DUMMYFUNCTION("""COMPUTED_VALUE"""),"Male")</f>
        <v>Male</v>
      </c>
      <c r="E2462" s="1" t="str">
        <f ca="1">IFERROR(__xludf.DUMMYFUNCTION("""COMPUTED_VALUE"""),"People from my circle, but not family members")</f>
        <v>People from my circle, but not family members</v>
      </c>
      <c r="F2462" s="1" t="str">
        <f ca="1">IFERROR(__xludf.DUMMYFUNCTION("""COMPUTED_VALUE"""),"Yes, I will earn and do that")</f>
        <v>Yes, I will earn and do that</v>
      </c>
      <c r="G2462" s="1" t="str">
        <f ca="1">IFERROR(__xludf.DUMMYFUNCTION("""COMPUTED_VALUE"""),"This will be hard to do, but if it is the right company I would try")</f>
        <v>This will be hard to do, but if it is the right company I would try</v>
      </c>
      <c r="H2462" s="1" t="str">
        <f ca="1">IFERROR(__xludf.DUMMYFUNCTION("""COMPUTED_VALUE"""),"No")</f>
        <v>No</v>
      </c>
      <c r="I2462" s="1" t="str">
        <f ca="1">IFERROR(__xludf.DUMMYFUNCTION("""COMPUTED_VALUE"""),"Will work for them")</f>
        <v>Will work for them</v>
      </c>
      <c r="J2462" s="1">
        <f ca="1">IFERROR(__xludf.DUMMYFUNCTION("""COMPUTED_VALUE"""),2)</f>
        <v>2</v>
      </c>
      <c r="K2462" s="1" t="str">
        <f ca="1">IFERROR(__xludf.DUMMYFUNCTION("""COMPUTED_VALUE"""),"Every Day Office Environment")</f>
        <v>Every Day Office Environment</v>
      </c>
      <c r="L2462" s="1" t="str">
        <f ca="1">IFERROR(__xludf.DUMMYFUNCTION("""COMPUTED_VALUE"""),"Employer who rewards learning and enables that environment")</f>
        <v>Employer who rewards learning and enables that environment</v>
      </c>
      <c r="M246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62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2462" s="1" t="str">
        <f ca="1">IFERROR(__xludf.DUMMYFUNCTION("""COMPUTED_VALUE"""),"Manager who sets targets and expects me to achieve it")</f>
        <v>Manager who sets targets and expects me to achieve it</v>
      </c>
      <c r="P2462" s="1" t="str">
        <f ca="1">IFERROR(__xludf.DUMMYFUNCTION("""COMPUTED_VALUE"""),"Work with 2 to 3 people in my team, Work with 5 to 6 people in my team")</f>
        <v>Work with 2 to 3 people in my team, Work with 5 to 6 people in my team</v>
      </c>
      <c r="Q2462" s="1" t="str">
        <f ca="1">IFERROR(__xludf.DUMMYFUNCTION("""COMPUTED_VALUE"""),"Yes")</f>
        <v>Yes</v>
      </c>
      <c r="R2462" s="1" t="str">
        <f ca="1">IFERROR(__xludf.DUMMYFUNCTION("""COMPUTED_VALUE"""),"This will be hard to do, but if it is the right company I would try")</f>
        <v>This will be hard to do, but if it is the right company I would try</v>
      </c>
      <c r="S2462" s="1" t="str">
        <f ca="1">IFERROR(__xludf.DUMMYFUNCTION("""COMPUTED_VALUE"""),"appasabdanolli@gmail.com")</f>
        <v>appasabdanolli@gmail.com</v>
      </c>
    </row>
    <row r="2463" spans="1:19" ht="12.5" x14ac:dyDescent="0.25">
      <c r="A2463" s="2">
        <f ca="1">IFERROR(__xludf.DUMMYFUNCTION("""COMPUTED_VALUE"""),45064.7492377893)</f>
        <v>45064.7492377893</v>
      </c>
      <c r="B2463" s="1" t="str">
        <f ca="1">IFERROR(__xludf.DUMMYFUNCTION("""COMPUTED_VALUE"""),"India")</f>
        <v>India</v>
      </c>
      <c r="C2463" s="1">
        <f ca="1">IFERROR(__xludf.DUMMYFUNCTION("""COMPUTED_VALUE"""),508208)</f>
        <v>508208</v>
      </c>
      <c r="D2463" s="1" t="str">
        <f ca="1">IFERROR(__xludf.DUMMYFUNCTION("""COMPUTED_VALUE"""),"Male")</f>
        <v>Male</v>
      </c>
      <c r="E2463" s="1" t="str">
        <f ca="1">IFERROR(__xludf.DUMMYFUNCTION("""COMPUTED_VALUE"""),"People who have changed the world for better")</f>
        <v>People who have changed the world for better</v>
      </c>
      <c r="F2463" s="1" t="str">
        <f ca="1">IFERROR(__xludf.DUMMYFUNCTION("""COMPUTED_VALUE"""),"Yes, I will earn and do that")</f>
        <v>Yes, I will earn and do that</v>
      </c>
      <c r="G2463" s="1" t="str">
        <f ca="1">IFERROR(__xludf.DUMMYFUNCTION("""COMPUTED_VALUE"""),"This will be hard to do, but if it is the right company I would try")</f>
        <v>This will be hard to do, but if it is the right company I would try</v>
      </c>
      <c r="H2463" s="1" t="str">
        <f ca="1">IFERROR(__xludf.DUMMYFUNCTION("""COMPUTED_VALUE"""),"No")</f>
        <v>No</v>
      </c>
      <c r="I2463" s="1" t="str">
        <f ca="1">IFERROR(__xludf.DUMMYFUNCTION("""COMPUTED_VALUE"""),"Will NOT work for them")</f>
        <v>Will NOT work for them</v>
      </c>
      <c r="J2463" s="1">
        <f ca="1">IFERROR(__xludf.DUMMYFUNCTION("""COMPUTED_VALUE"""),5)</f>
        <v>5</v>
      </c>
      <c r="K2463" s="1" t="str">
        <f ca="1">IFERROR(__xludf.DUMMYFUNCTION("""COMPUTED_VALUE"""),"Hybrid Working Environment with more than 15 days a month at office")</f>
        <v>Hybrid Working Environment with more than 15 days a month at office</v>
      </c>
      <c r="L24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63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463" s="1" t="str">
        <f ca="1">IFERROR(__xludf.DUMMYFUNCTION("""COMPUTED_VALUE"""),"Teaching in any of the institutes/colleges/online or offline, Work as a freelancer and do my thing my way, Entrepreneur or Start Up, An Artificial Intelligence Specialist / Talking to Robots")</f>
        <v>Teaching in any of the institutes/colleges/online or offline, Work as a freelancer and do my thing my way, Entrepreneur or Start Up, An Artificial Intelligence Specialist / Talking to Robots</v>
      </c>
      <c r="O2463" s="1" t="str">
        <f ca="1">IFERROR(__xludf.DUMMYFUNCTION("""COMPUTED_VALUE"""),"Manager who sets goal and helps me achieve it")</f>
        <v>Manager who sets goal and helps me achieve it</v>
      </c>
      <c r="P2463" s="1" t="str">
        <f ca="1">IFERROR(__xludf.DUMMYFUNCTION("""COMPUTED_VALUE"""),"Work with more than 10 people in my team")</f>
        <v>Work with more than 10 people in my team</v>
      </c>
      <c r="Q2463" s="1" t="str">
        <f ca="1">IFERROR(__xludf.DUMMYFUNCTION("""COMPUTED_VALUE"""),"Yes, I Understand this is gonna happen everywhere")</f>
        <v>Yes, I Understand this is gonna happen everywhere</v>
      </c>
      <c r="R2463" s="1" t="str">
        <f ca="1">IFERROR(__xludf.DUMMYFUNCTION("""COMPUTED_VALUE"""),"No way")</f>
        <v>No way</v>
      </c>
      <c r="S2463" s="1" t="str">
        <f ca="1">IFERROR(__xludf.DUMMYFUNCTION("""COMPUTED_VALUE"""),"mayankmallini8@gmail.com")</f>
        <v>mayankmallini8@gmail.com</v>
      </c>
    </row>
    <row r="2464" spans="1:19" ht="12.5" x14ac:dyDescent="0.25">
      <c r="A2464" s="2">
        <f ca="1">IFERROR(__xludf.DUMMYFUNCTION("""COMPUTED_VALUE"""),45064.7498702199)</f>
        <v>45064.749870219901</v>
      </c>
      <c r="B2464" s="1" t="str">
        <f ca="1">IFERROR(__xludf.DUMMYFUNCTION("""COMPUTED_VALUE"""),"India")</f>
        <v>India</v>
      </c>
      <c r="C2464" s="1">
        <f ca="1">IFERROR(__xludf.DUMMYFUNCTION("""COMPUTED_VALUE"""),591222)</f>
        <v>591222</v>
      </c>
      <c r="D2464" s="1" t="str">
        <f ca="1">IFERROR(__xludf.DUMMYFUNCTION("""COMPUTED_VALUE"""),"Male")</f>
        <v>Male</v>
      </c>
      <c r="E2464" s="1" t="str">
        <f ca="1">IFERROR(__xludf.DUMMYFUNCTION("""COMPUTED_VALUE"""),"My Parents")</f>
        <v>My Parents</v>
      </c>
      <c r="F2464" s="1" t="str">
        <f ca="1">IFERROR(__xludf.DUMMYFUNCTION("""COMPUTED_VALUE"""),"Yes, I will earn and do that")</f>
        <v>Yes, I will earn and do that</v>
      </c>
      <c r="G2464" s="1" t="str">
        <f ca="1">IFERROR(__xludf.DUMMYFUNCTION("""COMPUTED_VALUE"""),"This will be hard to do, but if it is the right company I would try")</f>
        <v>This will be hard to do, but if it is the right company I would try</v>
      </c>
      <c r="H2464" s="1" t="str">
        <f ca="1">IFERROR(__xludf.DUMMYFUNCTION("""COMPUTED_VALUE"""),"No")</f>
        <v>No</v>
      </c>
      <c r="I2464" s="1" t="str">
        <f ca="1">IFERROR(__xludf.DUMMYFUNCTION("""COMPUTED_VALUE"""),"Will NOT work for them")</f>
        <v>Will NOT work for them</v>
      </c>
      <c r="J2464" s="1">
        <f ca="1">IFERROR(__xludf.DUMMYFUNCTION("""COMPUTED_VALUE"""),10)</f>
        <v>10</v>
      </c>
      <c r="K2464" s="1" t="str">
        <f ca="1">IFERROR(__xludf.DUMMYFUNCTION("""COMPUTED_VALUE"""),"Hybrid Working Environment with more than 15 days a month at office")</f>
        <v>Hybrid Working Environment with more than 15 days a month at office</v>
      </c>
      <c r="L2464" s="1" t="str">
        <f ca="1">IFERROR(__xludf.DUMMYFUNCTION("""COMPUTED_VALUE"""),"Employer who appreciates learning and enables that environment")</f>
        <v>Employer who appreciates learning and enables that environment</v>
      </c>
      <c r="M246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464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464" s="1" t="str">
        <f ca="1">IFERROR(__xludf.DUMMYFUNCTION("""COMPUTED_VALUE"""),"Manager who explains what is expected, sets a goal and helps achieve it")</f>
        <v>Manager who explains what is expected, sets a goal and helps achieve it</v>
      </c>
      <c r="P2464" s="1" t="str">
        <f ca="1">IFERROR(__xludf.DUMMYFUNCTION("""COMPUTED_VALUE"""),"Work with 2 to 3 people in my team")</f>
        <v>Work with 2 to 3 people in my team</v>
      </c>
      <c r="Q2464" s="1" t="str">
        <f ca="1">IFERROR(__xludf.DUMMYFUNCTION("""COMPUTED_VALUE"""),"Yes, I Understand this is gonna happen everywhere")</f>
        <v>Yes, I Understand this is gonna happen everywhere</v>
      </c>
      <c r="R2464" s="1" t="str">
        <f ca="1">IFERROR(__xludf.DUMMYFUNCTION("""COMPUTED_VALUE"""),"This will be hard to do, but if it is the right company I would try")</f>
        <v>This will be hard to do, but if it is the right company I would try</v>
      </c>
      <c r="S2464" s="1" t="str">
        <f ca="1">IFERROR(__xludf.DUMMYFUNCTION("""COMPUTED_VALUE"""),"basavarajhattarak1231@gmail.com")</f>
        <v>basavarajhattarak1231@gmail.com</v>
      </c>
    </row>
    <row r="2465" spans="1:19" ht="12.5" x14ac:dyDescent="0.25">
      <c r="A2465" s="2">
        <f ca="1">IFERROR(__xludf.DUMMYFUNCTION("""COMPUTED_VALUE"""),45064.7567728009)</f>
        <v>45064.756772800902</v>
      </c>
      <c r="B2465" s="1" t="str">
        <f ca="1">IFERROR(__xludf.DUMMYFUNCTION("""COMPUTED_VALUE"""),"India")</f>
        <v>India</v>
      </c>
      <c r="C2465" s="1">
        <f ca="1">IFERROR(__xludf.DUMMYFUNCTION("""COMPUTED_VALUE"""),140301)</f>
        <v>140301</v>
      </c>
      <c r="D2465" s="1" t="str">
        <f ca="1">IFERROR(__xludf.DUMMYFUNCTION("""COMPUTED_VALUE"""),"Male")</f>
        <v>Male</v>
      </c>
      <c r="E2465" s="1" t="str">
        <f ca="1">IFERROR(__xludf.DUMMYFUNCTION("""COMPUTED_VALUE"""),"Influencers who had successful careers")</f>
        <v>Influencers who had successful careers</v>
      </c>
      <c r="F2465" s="1" t="str">
        <f ca="1">IFERROR(__xludf.DUMMYFUNCTION("""COMPUTED_VALUE"""),"No I would not be pursuing Higher Education outside of India")</f>
        <v>No I would not be pursuing Higher Education outside of India</v>
      </c>
      <c r="G2465" s="1" t="str">
        <f ca="1">IFERROR(__xludf.DUMMYFUNCTION("""COMPUTED_VALUE"""),"This will be hard to do, but if it is the right company I would try")</f>
        <v>This will be hard to do, but if it is the right company I would try</v>
      </c>
      <c r="H2465" s="1" t="str">
        <f ca="1">IFERROR(__xludf.DUMMYFUNCTION("""COMPUTED_VALUE"""),"No")</f>
        <v>No</v>
      </c>
      <c r="I2465" s="1" t="str">
        <f ca="1">IFERROR(__xludf.DUMMYFUNCTION("""COMPUTED_VALUE"""),"Will NOT work for them")</f>
        <v>Will NOT work for them</v>
      </c>
      <c r="J2465" s="1">
        <f ca="1">IFERROR(__xludf.DUMMYFUNCTION("""COMPUTED_VALUE"""),3)</f>
        <v>3</v>
      </c>
      <c r="K2465" s="1" t="str">
        <f ca="1">IFERROR(__xludf.DUMMYFUNCTION("""COMPUTED_VALUE"""),"Hybrid Working Environment with more than 15 days a month at office")</f>
        <v>Hybrid Working Environment with more than 15 days a month at office</v>
      </c>
      <c r="L2465" s="1" t="str">
        <f ca="1">IFERROR(__xludf.DUMMYFUNCTION("""COMPUTED_VALUE"""),"Employer who rewards learning and enables that environment")</f>
        <v>Employer who rewards learning and enables that environment</v>
      </c>
      <c r="M2465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465" s="1" t="str">
        <f ca="1">IFERROR(__xludf.DUMMYFUNCTION("""COMPUTED_VALUE"""),"Teaching in any of the institutes/colleges/online or offline, Manage and drive End-to-End Projects or Products, Work in a BPO setup for some well known client, An Artificial Intelligence Specialist / Talking to Robots")</f>
        <v>Teaching in any of the institutes/colleges/online or offline, Manage and drive End-to-End Projects or Products, Work in a BPO setup for some well known client, An Artificial Intelligence Specialist / Talking to Robots</v>
      </c>
      <c r="O2465" s="1" t="str">
        <f ca="1">IFERROR(__xludf.DUMMYFUNCTION("""COMPUTED_VALUE"""),"Manager who explains what is expected, sets a goal and helps achieve it")</f>
        <v>Manager who explains what is expected, sets a goal and helps achieve it</v>
      </c>
      <c r="P2465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465" s="1" t="str">
        <f ca="1">IFERROR(__xludf.DUMMYFUNCTION("""COMPUTED_VALUE"""),"Yes, I Understand this is gonna happen everywhere")</f>
        <v>Yes, I Understand this is gonna happen everywhere</v>
      </c>
      <c r="R2465" s="1" t="str">
        <f ca="1">IFERROR(__xludf.DUMMYFUNCTION("""COMPUTED_VALUE"""),"No way")</f>
        <v>No way</v>
      </c>
      <c r="S2465" s="1" t="str">
        <f ca="1">IFERROR(__xludf.DUMMYFUNCTION("""COMPUTED_VALUE"""),"rvshkkmr21@gmail.com")</f>
        <v>rvshkkmr21@gmail.com</v>
      </c>
    </row>
    <row r="2466" spans="1:19" ht="12.5" x14ac:dyDescent="0.25">
      <c r="A2466" s="2">
        <f ca="1">IFERROR(__xludf.DUMMYFUNCTION("""COMPUTED_VALUE"""),45064.7620908796)</f>
        <v>45064.762090879602</v>
      </c>
      <c r="B2466" s="1" t="str">
        <f ca="1">IFERROR(__xludf.DUMMYFUNCTION("""COMPUTED_VALUE"""),"India")</f>
        <v>India</v>
      </c>
      <c r="C2466" s="1">
        <f ca="1">IFERROR(__xludf.DUMMYFUNCTION("""COMPUTED_VALUE"""),583227)</f>
        <v>583227</v>
      </c>
      <c r="D2466" s="1" t="str">
        <f ca="1">IFERROR(__xludf.DUMMYFUNCTION("""COMPUTED_VALUE"""),"Male")</f>
        <v>Male</v>
      </c>
      <c r="E2466" s="1" t="str">
        <f ca="1">IFERROR(__xludf.DUMMYFUNCTION("""COMPUTED_VALUE"""),"My Parents")</f>
        <v>My Parents</v>
      </c>
      <c r="F2466" s="1" t="str">
        <f ca="1">IFERROR(__xludf.DUMMYFUNCTION("""COMPUTED_VALUE"""),"Yes, I will earn and do that")</f>
        <v>Yes, I will earn and do that</v>
      </c>
      <c r="G2466" s="1" t="str">
        <f ca="1">IFERROR(__xludf.DUMMYFUNCTION("""COMPUTED_VALUE"""),"Will work for 3 years or more")</f>
        <v>Will work for 3 years or more</v>
      </c>
      <c r="H2466" s="1" t="str">
        <f ca="1">IFERROR(__xludf.DUMMYFUNCTION("""COMPUTED_VALUE"""),"Yes")</f>
        <v>Yes</v>
      </c>
      <c r="I2466" s="1" t="str">
        <f ca="1">IFERROR(__xludf.DUMMYFUNCTION("""COMPUTED_VALUE"""),"Will work for them")</f>
        <v>Will work for them</v>
      </c>
      <c r="J2466" s="1">
        <f ca="1">IFERROR(__xludf.DUMMYFUNCTION("""COMPUTED_VALUE"""),2)</f>
        <v>2</v>
      </c>
      <c r="K2466" s="1" t="str">
        <f ca="1">IFERROR(__xludf.DUMMYFUNCTION("""COMPUTED_VALUE"""),"Hybrid Working Environment with less than 3 days a month at office")</f>
        <v>Hybrid Working Environment with less than 3 days a month at office</v>
      </c>
      <c r="L2466" s="1" t="str">
        <f ca="1">IFERROR(__xludf.DUMMYFUNCTION("""COMPUTED_VALUE"""),"Employer who appreciates learning and enables that environment")</f>
        <v>Employer who appreciates learning and enables that environment</v>
      </c>
      <c r="M246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66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466" s="1" t="str">
        <f ca="1">IFERROR(__xludf.DUMMYFUNCTION("""COMPUTED_VALUE"""),"Manager who explains what is expected, sets a goal and helps achieve it")</f>
        <v>Manager who explains what is expected, sets a goal and helps achieve it</v>
      </c>
      <c r="P2466" s="1" t="str">
        <f ca="1">IFERROR(__xludf.DUMMYFUNCTION("""COMPUTED_VALUE"""),"Work with 2 to 3 people in my team, Work with 5 to 6 people in my team")</f>
        <v>Work with 2 to 3 people in my team, Work with 5 to 6 people in my team</v>
      </c>
      <c r="Q2466" s="1" t="str">
        <f ca="1">IFERROR(__xludf.DUMMYFUNCTION("""COMPUTED_VALUE"""),"Yes, I Understand this is gonna happen everywhere")</f>
        <v>Yes, I Understand this is gonna happen everywhere</v>
      </c>
      <c r="R2466" s="1" t="str">
        <f ca="1">IFERROR(__xludf.DUMMYFUNCTION("""COMPUTED_VALUE"""),"This will be hard to do, but if it is the right company I would try")</f>
        <v>This will be hard to do, but if it is the right company I would try</v>
      </c>
      <c r="S2466" s="1" t="str">
        <f ca="1">IFERROR(__xludf.DUMMYFUNCTION("""COMPUTED_VALUE"""),"amruthmurari006@gmail.com")</f>
        <v>amruthmurari006@gmail.com</v>
      </c>
    </row>
    <row r="2467" spans="1:19" ht="12.5" x14ac:dyDescent="0.25">
      <c r="A2467" s="2">
        <f ca="1">IFERROR(__xludf.DUMMYFUNCTION("""COMPUTED_VALUE"""),45064.7693992708)</f>
        <v>45064.769399270801</v>
      </c>
      <c r="B2467" s="1" t="str">
        <f ca="1">IFERROR(__xludf.DUMMYFUNCTION("""COMPUTED_VALUE"""),"India")</f>
        <v>India</v>
      </c>
      <c r="C2467" s="1">
        <f ca="1">IFERROR(__xludf.DUMMYFUNCTION("""COMPUTED_VALUE"""),635001)</f>
        <v>635001</v>
      </c>
      <c r="D2467" s="1" t="str">
        <f ca="1">IFERROR(__xludf.DUMMYFUNCTION("""COMPUTED_VALUE"""),"Male")</f>
        <v>Male</v>
      </c>
      <c r="E2467" s="1" t="str">
        <f ca="1">IFERROR(__xludf.DUMMYFUNCTION("""COMPUTED_VALUE"""),"Influencers who had successful careers")</f>
        <v>Influencers who had successful careers</v>
      </c>
      <c r="F2467" s="1" t="str">
        <f ca="1">IFERROR(__xludf.DUMMYFUNCTION("""COMPUTED_VALUE"""),"Yes, I will earn and do that")</f>
        <v>Yes, I will earn and do that</v>
      </c>
      <c r="G2467" s="1" t="str">
        <f ca="1">IFERROR(__xludf.DUMMYFUNCTION("""COMPUTED_VALUE"""),"Will work for 3 years or more")</f>
        <v>Will work for 3 years or more</v>
      </c>
      <c r="H2467" s="1" t="str">
        <f ca="1">IFERROR(__xludf.DUMMYFUNCTION("""COMPUTED_VALUE"""),"No")</f>
        <v>No</v>
      </c>
      <c r="I2467" s="1" t="str">
        <f ca="1">IFERROR(__xludf.DUMMYFUNCTION("""COMPUTED_VALUE"""),"Will work for them")</f>
        <v>Will work for them</v>
      </c>
      <c r="J2467" s="1">
        <f ca="1">IFERROR(__xludf.DUMMYFUNCTION("""COMPUTED_VALUE"""),8)</f>
        <v>8</v>
      </c>
      <c r="K2467" s="1" t="str">
        <f ca="1">IFERROR(__xludf.DUMMYFUNCTION("""COMPUTED_VALUE"""),"Hybrid Working Environment with more than 15 days a month at office")</f>
        <v>Hybrid Working Environment with more than 15 days a month at office</v>
      </c>
      <c r="L2467" s="1" t="str">
        <f ca="1">IFERROR(__xludf.DUMMYFUNCTION("""COMPUTED_VALUE"""),"Employer who appreciates learning and enables that environment")</f>
        <v>Employer who appreciates learning and enables that environment</v>
      </c>
      <c r="M2467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467" s="1" t="str">
        <f ca="1">IFERROR(__xludf.DUMMYFUNCTION("""COMPUTED_VALUE"""),"Build and develop a Team, Become a content Creator in some platform, Entrepreneur or Start Up, I Want to sell things/Sales")</f>
        <v>Build and develop a Team, Become a content Creator in some platform, Entrepreneur or Start Up, I Want to sell things/Sales</v>
      </c>
      <c r="O2467" s="1" t="str">
        <f ca="1">IFERROR(__xludf.DUMMYFUNCTION("""COMPUTED_VALUE"""),"Manager who clearly describes what she/he needs")</f>
        <v>Manager who clearly describes what she/he needs</v>
      </c>
      <c r="P2467" s="1" t="str">
        <f ca="1">IFERROR(__xludf.DUMMYFUNCTION("""COMPUTED_VALUE"""),"Work alone, Work with 2 to 3 people in my team")</f>
        <v>Work alone, Work with 2 to 3 people in my team</v>
      </c>
      <c r="Q2467" s="1" t="str">
        <f ca="1">IFERROR(__xludf.DUMMYFUNCTION("""COMPUTED_VALUE"""),"Yes, I Understand this is gonna happen everywhere")</f>
        <v>Yes, I Understand this is gonna happen everywhere</v>
      </c>
      <c r="R2467" s="1" t="str">
        <f ca="1">IFERROR(__xludf.DUMMYFUNCTION("""COMPUTED_VALUE"""),"No way")</f>
        <v>No way</v>
      </c>
      <c r="S2467" s="1" t="str">
        <f ca="1">IFERROR(__xludf.DUMMYFUNCTION("""COMPUTED_VALUE"""),"karthickbaskar722003@gmail.com")</f>
        <v>karthickbaskar722003@gmail.com</v>
      </c>
    </row>
    <row r="2468" spans="1:19" ht="12.5" x14ac:dyDescent="0.25">
      <c r="A2468" s="2">
        <f ca="1">IFERROR(__xludf.DUMMYFUNCTION("""COMPUTED_VALUE"""),45064.7773788194)</f>
        <v>45064.777378819403</v>
      </c>
      <c r="B2468" s="1" t="str">
        <f ca="1">IFERROR(__xludf.DUMMYFUNCTION("""COMPUTED_VALUE"""),"India")</f>
        <v>India</v>
      </c>
      <c r="C2468" s="1">
        <f ca="1">IFERROR(__xludf.DUMMYFUNCTION("""COMPUTED_VALUE"""),400107)</f>
        <v>400107</v>
      </c>
      <c r="D2468" s="1" t="str">
        <f ca="1">IFERROR(__xludf.DUMMYFUNCTION("""COMPUTED_VALUE"""),"Female")</f>
        <v>Female</v>
      </c>
      <c r="E2468" s="1" t="str">
        <f ca="1">IFERROR(__xludf.DUMMYFUNCTION("""COMPUTED_VALUE"""),"People from my circle, but not family members")</f>
        <v>People from my circle, but not family members</v>
      </c>
      <c r="F2468" s="1" t="str">
        <f ca="1">IFERROR(__xludf.DUMMYFUNCTION("""COMPUTED_VALUE"""),"No, But if someone could bare the cost I will")</f>
        <v>No, But if someone could bare the cost I will</v>
      </c>
      <c r="G2468" s="1" t="str">
        <f ca="1">IFERROR(__xludf.DUMMYFUNCTION("""COMPUTED_VALUE"""),"This will be hard to do, but if it is the right company I would try")</f>
        <v>This will be hard to do, but if it is the right company I would try</v>
      </c>
      <c r="H2468" s="1" t="str">
        <f ca="1">IFERROR(__xludf.DUMMYFUNCTION("""COMPUTED_VALUE"""),"Yes")</f>
        <v>Yes</v>
      </c>
      <c r="I2468" s="1" t="str">
        <f ca="1">IFERROR(__xludf.DUMMYFUNCTION("""COMPUTED_VALUE"""),"Will work for them")</f>
        <v>Will work for them</v>
      </c>
      <c r="J2468" s="1">
        <f ca="1">IFERROR(__xludf.DUMMYFUNCTION("""COMPUTED_VALUE"""),1)</f>
        <v>1</v>
      </c>
      <c r="K2468" s="1" t="str">
        <f ca="1">IFERROR(__xludf.DUMMYFUNCTION("""COMPUTED_VALUE"""),"Hybrid Working Environment with more than 15 days a month at office")</f>
        <v>Hybrid Working Environment with more than 15 days a month at office</v>
      </c>
      <c r="L2468" s="1" t="str">
        <f ca="1">IFERROR(__xludf.DUMMYFUNCTION("""COMPUTED_VALUE"""),"Employer who appreciates learning and enables that environment")</f>
        <v>Employer who appreciates learning and enables that environment</v>
      </c>
      <c r="M2468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68" s="1" t="str">
        <f ca="1">IFERROR(__xludf.DUMMYFUNCTION("""COMPUTED_VALUE"""),"Teaching in any of the institutes/colleges/online or offline, Business Operations in any organization, Look deeply into Data and generate insights, Work in a BPO setup for some well known client")</f>
        <v>Teaching in any of the institutes/colleges/online or offline, Business Operations in any organization, Look deeply into Data and generate insights, Work in a BPO setup for some well known client</v>
      </c>
      <c r="O2468" s="1" t="str">
        <f ca="1">IFERROR(__xludf.DUMMYFUNCTION("""COMPUTED_VALUE"""),"Manager who sets goal and helps me achieve it")</f>
        <v>Manager who sets goal and helps me achieve it</v>
      </c>
      <c r="P2468" s="1" t="str">
        <f ca="1">IFERROR(__xludf.DUMMYFUNCTION("""COMPUTED_VALUE"""),"Work with 2 to 3 people in my team")</f>
        <v>Work with 2 to 3 people in my team</v>
      </c>
      <c r="Q2468" s="1" t="str">
        <f ca="1">IFERROR(__xludf.DUMMYFUNCTION("""COMPUTED_VALUE"""),"Yes")</f>
        <v>Yes</v>
      </c>
      <c r="R2468" s="1" t="str">
        <f ca="1">IFERROR(__xludf.DUMMYFUNCTION("""COMPUTED_VALUE"""),"This will be hard to do, but if it is the right company I would try")</f>
        <v>This will be hard to do, but if it is the right company I would try</v>
      </c>
      <c r="S2468" s="1" t="str">
        <f ca="1">IFERROR(__xludf.DUMMYFUNCTION("""COMPUTED_VALUE"""),"shaikhrida9900@gmail.com")</f>
        <v>shaikhrida9900@gmail.com</v>
      </c>
    </row>
    <row r="2469" spans="1:19" ht="12.5" x14ac:dyDescent="0.25">
      <c r="A2469" s="2">
        <f ca="1">IFERROR(__xludf.DUMMYFUNCTION("""COMPUTED_VALUE"""),45064.7803129513)</f>
        <v>45064.780312951298</v>
      </c>
      <c r="B2469" s="1" t="str">
        <f ca="1">IFERROR(__xludf.DUMMYFUNCTION("""COMPUTED_VALUE"""),"India")</f>
        <v>India</v>
      </c>
      <c r="C2469" s="1">
        <f ca="1">IFERROR(__xludf.DUMMYFUNCTION("""COMPUTED_VALUE"""),140507)</f>
        <v>140507</v>
      </c>
      <c r="D2469" s="1" t="str">
        <f ca="1">IFERROR(__xludf.DUMMYFUNCTION("""COMPUTED_VALUE"""),"Male")</f>
        <v>Male</v>
      </c>
      <c r="E2469" s="1" t="str">
        <f ca="1">IFERROR(__xludf.DUMMYFUNCTION("""COMPUTED_VALUE"""),"My Parents")</f>
        <v>My Parents</v>
      </c>
      <c r="F2469" s="1" t="str">
        <f ca="1">IFERROR(__xludf.DUMMYFUNCTION("""COMPUTED_VALUE"""),"No I would not be pursuing Higher Education outside of India")</f>
        <v>No I would not be pursuing Higher Education outside of India</v>
      </c>
      <c r="G2469" s="1" t="str">
        <f ca="1">IFERROR(__xludf.DUMMYFUNCTION("""COMPUTED_VALUE"""),"Will work for 3 years or more")</f>
        <v>Will work for 3 years or more</v>
      </c>
      <c r="H2469" s="1" t="str">
        <f ca="1">IFERROR(__xludf.DUMMYFUNCTION("""COMPUTED_VALUE"""),"Yes")</f>
        <v>Yes</v>
      </c>
      <c r="I2469" s="1" t="str">
        <f ca="1">IFERROR(__xludf.DUMMYFUNCTION("""COMPUTED_VALUE"""),"Will work for them")</f>
        <v>Will work for them</v>
      </c>
      <c r="J2469" s="1">
        <f ca="1">IFERROR(__xludf.DUMMYFUNCTION("""COMPUTED_VALUE"""),9)</f>
        <v>9</v>
      </c>
      <c r="K2469" s="1" t="str">
        <f ca="1">IFERROR(__xludf.DUMMYFUNCTION("""COMPUTED_VALUE"""),"Hybrid Working Environment with less than 3 days a month at office")</f>
        <v>Hybrid Working Environment with less than 3 days a month at office</v>
      </c>
      <c r="L246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469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469" s="1" t="str">
        <f ca="1">IFERROR(__xludf.DUMMYFUNCTION("""COMPUTED_VALUE"""),"Design and Creative strategy in any company, Design and Develop amazing software, Work as a freelancer and do my thing my way, Entrepreneur or Start Up")</f>
        <v>Design and Creative strategy in any company, Design and Develop amazing software, Work as a freelancer and do my thing my way, Entrepreneur or Start Up</v>
      </c>
      <c r="O2469" s="1" t="str">
        <f ca="1">IFERROR(__xludf.DUMMYFUNCTION("""COMPUTED_VALUE"""),"Manager who explains what is expected, sets a goal and helps achieve it")</f>
        <v>Manager who explains what is expected, sets a goal and helps achieve it</v>
      </c>
      <c r="P2469" s="1" t="str">
        <f ca="1">IFERROR(__xludf.DUMMYFUNCTION("""COMPUTED_VALUE"""),"Work with 7 to 10 or more people in my team")</f>
        <v>Work with 7 to 10 or more people in my team</v>
      </c>
      <c r="Q2469" s="1" t="str">
        <f ca="1">IFERROR(__xludf.DUMMYFUNCTION("""COMPUTED_VALUE"""),"Yes")</f>
        <v>Yes</v>
      </c>
      <c r="R2469" s="1" t="str">
        <f ca="1">IFERROR(__xludf.DUMMYFUNCTION("""COMPUTED_VALUE"""),"This will be hard to do, but if it is the right company I would try")</f>
        <v>This will be hard to do, but if it is the right company I would try</v>
      </c>
      <c r="S2469" s="1" t="str">
        <f ca="1">IFERROR(__xludf.DUMMYFUNCTION("""COMPUTED_VALUE"""),"kumaraditya2790@gmail.com")</f>
        <v>kumaraditya2790@gmail.com</v>
      </c>
    </row>
    <row r="2470" spans="1:19" ht="12.5" x14ac:dyDescent="0.25">
      <c r="A2470" s="2">
        <f ca="1">IFERROR(__xludf.DUMMYFUNCTION("""COMPUTED_VALUE"""),45064.7936510069)</f>
        <v>45064.793651006898</v>
      </c>
      <c r="B2470" s="1" t="str">
        <f ca="1">IFERROR(__xludf.DUMMYFUNCTION("""COMPUTED_VALUE"""),"India")</f>
        <v>India</v>
      </c>
      <c r="C2470" s="1">
        <f ca="1">IFERROR(__xludf.DUMMYFUNCTION("""COMPUTED_VALUE"""),502381)</f>
        <v>502381</v>
      </c>
      <c r="D2470" s="1" t="str">
        <f ca="1">IFERROR(__xludf.DUMMYFUNCTION("""COMPUTED_VALUE"""),"Male")</f>
        <v>Male</v>
      </c>
      <c r="E2470" s="1" t="str">
        <f ca="1">IFERROR(__xludf.DUMMYFUNCTION("""COMPUTED_VALUE"""),"My Parents")</f>
        <v>My Parents</v>
      </c>
      <c r="F2470" s="1" t="str">
        <f ca="1">IFERROR(__xludf.DUMMYFUNCTION("""COMPUTED_VALUE"""),"No I would not be pursuing Higher Education outside of India")</f>
        <v>No I would not be pursuing Higher Education outside of India</v>
      </c>
      <c r="G2470" s="1" t="str">
        <f ca="1">IFERROR(__xludf.DUMMYFUNCTION("""COMPUTED_VALUE"""),"This will be hard to do, but if it is the right company I would try")</f>
        <v>This will be hard to do, but if it is the right company I would try</v>
      </c>
      <c r="H2470" s="1" t="str">
        <f ca="1">IFERROR(__xludf.DUMMYFUNCTION("""COMPUTED_VALUE"""),"No")</f>
        <v>No</v>
      </c>
      <c r="I2470" s="1" t="str">
        <f ca="1">IFERROR(__xludf.DUMMYFUNCTION("""COMPUTED_VALUE"""),"Will work for them")</f>
        <v>Will work for them</v>
      </c>
      <c r="J2470" s="1">
        <f ca="1">IFERROR(__xludf.DUMMYFUNCTION("""COMPUTED_VALUE"""),7)</f>
        <v>7</v>
      </c>
      <c r="K2470" s="1" t="str">
        <f ca="1">IFERROR(__xludf.DUMMYFUNCTION("""COMPUTED_VALUE"""),"Hybrid Working Environment with more than 15 days a month at office")</f>
        <v>Hybrid Working Environment with more than 15 days a month at office</v>
      </c>
      <c r="L2470" s="1" t="str">
        <f ca="1">IFERROR(__xludf.DUMMYFUNCTION("""COMPUTED_VALUE"""),"Employer who appreciates learning and enables that environment")</f>
        <v>Employer who appreciates learning and enables that environment</v>
      </c>
      <c r="M247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70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470" s="1" t="str">
        <f ca="1">IFERROR(__xludf.DUMMYFUNCTION("""COMPUTED_VALUE"""),"Manager who sets targets and expects me to achieve it")</f>
        <v>Manager who sets targets and expects me to achieve it</v>
      </c>
      <c r="P2470" s="1" t="str">
        <f ca="1">IFERROR(__xludf.DUMMYFUNCTION("""COMPUTED_VALUE"""),"Work with 2 to 3 people in my team")</f>
        <v>Work with 2 to 3 people in my team</v>
      </c>
      <c r="Q2470" s="1" t="str">
        <f ca="1">IFERROR(__xludf.DUMMYFUNCTION("""COMPUTED_VALUE"""),"Yes, I Understand this is gonna happen everywhere")</f>
        <v>Yes, I Understand this is gonna happen everywhere</v>
      </c>
      <c r="R2470" s="1" t="str">
        <f ca="1">IFERROR(__xludf.DUMMYFUNCTION("""COMPUTED_VALUE"""),"This will be hard to do, but if it is the right company I would try")</f>
        <v>This will be hard to do, but if it is the right company I would try</v>
      </c>
      <c r="S2470" s="1" t="str">
        <f ca="1">IFERROR(__xludf.DUMMYFUNCTION("""COMPUTED_VALUE"""),"prasaduradi055@gmail.com")</f>
        <v>prasaduradi055@gmail.com</v>
      </c>
    </row>
    <row r="2471" spans="1:19" ht="12.5" x14ac:dyDescent="0.25">
      <c r="A2471" s="2">
        <f ca="1">IFERROR(__xludf.DUMMYFUNCTION("""COMPUTED_VALUE"""),45064.8020291666)</f>
        <v>45064.802029166603</v>
      </c>
      <c r="B2471" s="1" t="str">
        <f ca="1">IFERROR(__xludf.DUMMYFUNCTION("""COMPUTED_VALUE"""),"India")</f>
        <v>India</v>
      </c>
      <c r="C2471" s="1">
        <f ca="1">IFERROR(__xludf.DUMMYFUNCTION("""COMPUTED_VALUE"""),400022)</f>
        <v>400022</v>
      </c>
      <c r="D2471" s="1" t="str">
        <f ca="1">IFERROR(__xludf.DUMMYFUNCTION("""COMPUTED_VALUE"""),"Male")</f>
        <v>Male</v>
      </c>
      <c r="E2471" s="1" t="str">
        <f ca="1">IFERROR(__xludf.DUMMYFUNCTION("""COMPUTED_VALUE"""),"My Parents")</f>
        <v>My Parents</v>
      </c>
      <c r="F2471" s="1" t="str">
        <f ca="1">IFERROR(__xludf.DUMMYFUNCTION("""COMPUTED_VALUE"""),"Yes, I will earn and do that")</f>
        <v>Yes, I will earn and do that</v>
      </c>
      <c r="G2471" s="1" t="str">
        <f ca="1">IFERROR(__xludf.DUMMYFUNCTION("""COMPUTED_VALUE"""),"This will be hard to do, but if it is the right company I would try")</f>
        <v>This will be hard to do, but if it is the right company I would try</v>
      </c>
      <c r="H2471" s="1" t="str">
        <f ca="1">IFERROR(__xludf.DUMMYFUNCTION("""COMPUTED_VALUE"""),"Yes")</f>
        <v>Yes</v>
      </c>
      <c r="I2471" s="1" t="str">
        <f ca="1">IFERROR(__xludf.DUMMYFUNCTION("""COMPUTED_VALUE"""),"Will NOT work for them")</f>
        <v>Will NOT work for them</v>
      </c>
      <c r="J2471" s="1">
        <f ca="1">IFERROR(__xludf.DUMMYFUNCTION("""COMPUTED_VALUE"""),5)</f>
        <v>5</v>
      </c>
      <c r="K2471" s="1" t="str">
        <f ca="1">IFERROR(__xludf.DUMMYFUNCTION("""COMPUTED_VALUE"""),"Hybrid Working Environment with less than 3 days a month at office")</f>
        <v>Hybrid Working Environment with less than 3 days a month at office</v>
      </c>
      <c r="L24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7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71" s="1" t="str">
        <f ca="1">IFERROR(__xludf.DUMMYFUNCTION("""COMPUTED_VALUE"""),"Business Operations in any organization, Build and develop a Team, Design and Develop amazing software, Entrepreneur or Start Up")</f>
        <v>Business Operations in any organization, Build and develop a Team, Design and Develop amazing software, Entrepreneur or Start Up</v>
      </c>
      <c r="O2471" s="1" t="str">
        <f ca="1">IFERROR(__xludf.DUMMYFUNCTION("""COMPUTED_VALUE"""),"Manager who explains what is expected, sets a goal and helps achieve it")</f>
        <v>Manager who explains what is expected, sets a goal and helps achieve it</v>
      </c>
      <c r="P2471" s="1" t="str">
        <f ca="1">IFERROR(__xludf.DUMMYFUNCTION("""COMPUTED_VALUE"""),"Work with more than 10 people in my team")</f>
        <v>Work with more than 10 people in my team</v>
      </c>
      <c r="Q2471" s="1" t="str">
        <f ca="1">IFERROR(__xludf.DUMMYFUNCTION("""COMPUTED_VALUE"""),"Yes, I Understand this is gonna happen everywhere")</f>
        <v>Yes, I Understand this is gonna happen everywhere</v>
      </c>
      <c r="R2471" s="1" t="str">
        <f ca="1">IFERROR(__xludf.DUMMYFUNCTION("""COMPUTED_VALUE"""),"This will be hard to do, but if it is the right company I would try")</f>
        <v>This will be hard to do, but if it is the right company I would try</v>
      </c>
      <c r="S2471" s="1" t="str">
        <f ca="1">IFERROR(__xludf.DUMMYFUNCTION("""COMPUTED_VALUE"""),"sirumallavinith99@gmail.com")</f>
        <v>sirumallavinith99@gmail.com</v>
      </c>
    </row>
    <row r="2472" spans="1:19" ht="12.5" x14ac:dyDescent="0.25">
      <c r="A2472" s="2">
        <f ca="1">IFERROR(__xludf.DUMMYFUNCTION("""COMPUTED_VALUE"""),45064.8236770833)</f>
        <v>45064.823677083303</v>
      </c>
      <c r="B2472" s="1" t="str">
        <f ca="1">IFERROR(__xludf.DUMMYFUNCTION("""COMPUTED_VALUE"""),"India")</f>
        <v>India</v>
      </c>
      <c r="C2472" s="1">
        <f ca="1">IFERROR(__xludf.DUMMYFUNCTION("""COMPUTED_VALUE"""),410210)</f>
        <v>410210</v>
      </c>
      <c r="D2472" s="1" t="str">
        <f ca="1">IFERROR(__xludf.DUMMYFUNCTION("""COMPUTED_VALUE"""),"Male")</f>
        <v>Male</v>
      </c>
      <c r="E2472" s="1" t="str">
        <f ca="1">IFERROR(__xludf.DUMMYFUNCTION("""COMPUTED_VALUE"""),"Influencers who had successful careers")</f>
        <v>Influencers who had successful careers</v>
      </c>
      <c r="F2472" s="1" t="str">
        <f ca="1">IFERROR(__xludf.DUMMYFUNCTION("""COMPUTED_VALUE"""),"No, But if someone could bare the cost I will")</f>
        <v>No, But if someone could bare the cost I will</v>
      </c>
      <c r="G2472" s="1" t="str">
        <f ca="1">IFERROR(__xludf.DUMMYFUNCTION("""COMPUTED_VALUE"""),"This will be hard to do, but if it is the right company I would try")</f>
        <v>This will be hard to do, but if it is the right company I would try</v>
      </c>
      <c r="H2472" s="1" t="str">
        <f ca="1">IFERROR(__xludf.DUMMYFUNCTION("""COMPUTED_VALUE"""),"No")</f>
        <v>No</v>
      </c>
      <c r="I2472" s="1" t="str">
        <f ca="1">IFERROR(__xludf.DUMMYFUNCTION("""COMPUTED_VALUE"""),"Will NOT work for them")</f>
        <v>Will NOT work for them</v>
      </c>
      <c r="J2472" s="1">
        <f ca="1">IFERROR(__xludf.DUMMYFUNCTION("""COMPUTED_VALUE"""),4)</f>
        <v>4</v>
      </c>
      <c r="K2472" s="1" t="str">
        <f ca="1">IFERROR(__xludf.DUMMYFUNCTION("""COMPUTED_VALUE"""),"Hybrid Working Environment with less than 3 days a month at office")</f>
        <v>Hybrid Working Environment with less than 3 days a month at office</v>
      </c>
      <c r="L24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7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472" s="1" t="str">
        <f ca="1">IFERROR(__xludf.DUMMYFUNCTION("""COMPUTED_VALUE"""),"Business Operations in any organization, Build and develop a Team, Look deeply into Data and generate insights, Entrepreneur or Start Up")</f>
        <v>Business Operations in any organization, Build and develop a Team, Look deeply into Data and generate insights, Entrepreneur or Start Up</v>
      </c>
      <c r="O2472" s="1" t="str">
        <f ca="1">IFERROR(__xludf.DUMMYFUNCTION("""COMPUTED_VALUE"""),"Manager who clearly describes what she/he needs")</f>
        <v>Manager who clearly describes what she/he needs</v>
      </c>
      <c r="P2472" s="1" t="str">
        <f ca="1">IFERROR(__xludf.DUMMYFUNCTION("""COMPUTED_VALUE"""),"Work with 5 to 6 people in my team")</f>
        <v>Work with 5 to 6 people in my team</v>
      </c>
      <c r="Q2472" s="1" t="str">
        <f ca="1">IFERROR(__xludf.DUMMYFUNCTION("""COMPUTED_VALUE"""),"Yes, I Understand this is gonna happen everywhere")</f>
        <v>Yes, I Understand this is gonna happen everywhere</v>
      </c>
      <c r="R2472" s="1" t="str">
        <f ca="1">IFERROR(__xludf.DUMMYFUNCTION("""COMPUTED_VALUE"""),"This will be hard to do, but if it is the right company I would try")</f>
        <v>This will be hard to do, but if it is the right company I would try</v>
      </c>
      <c r="S2472" s="1" t="str">
        <f ca="1">IFERROR(__xludf.DUMMYFUNCTION("""COMPUTED_VALUE"""),"ghanwatgunjan@gmail.com")</f>
        <v>ghanwatgunjan@gmail.com</v>
      </c>
    </row>
    <row r="2473" spans="1:19" ht="12.5" x14ac:dyDescent="0.25">
      <c r="A2473" s="2">
        <f ca="1">IFERROR(__xludf.DUMMYFUNCTION("""COMPUTED_VALUE"""),45064.8365652662)</f>
        <v>45064.836565266203</v>
      </c>
      <c r="B2473" s="1" t="str">
        <f ca="1">IFERROR(__xludf.DUMMYFUNCTION("""COMPUTED_VALUE"""),"India")</f>
        <v>India</v>
      </c>
      <c r="C2473" s="1">
        <f ca="1">IFERROR(__xludf.DUMMYFUNCTION("""COMPUTED_VALUE"""),411030)</f>
        <v>411030</v>
      </c>
      <c r="D2473" s="1" t="str">
        <f ca="1">IFERROR(__xludf.DUMMYFUNCTION("""COMPUTED_VALUE"""),"Female")</f>
        <v>Female</v>
      </c>
      <c r="E2473" s="1" t="str">
        <f ca="1">IFERROR(__xludf.DUMMYFUNCTION("""COMPUTED_VALUE"""),"My Parents")</f>
        <v>My Parents</v>
      </c>
      <c r="F2473" s="1" t="str">
        <f ca="1">IFERROR(__xludf.DUMMYFUNCTION("""COMPUTED_VALUE"""),"Yes, I will earn and do that")</f>
        <v>Yes, I will earn and do that</v>
      </c>
      <c r="G2473" s="1" t="str">
        <f ca="1">IFERROR(__xludf.DUMMYFUNCTION("""COMPUTED_VALUE"""),"Will work for 3 years or more")</f>
        <v>Will work for 3 years or more</v>
      </c>
      <c r="H2473" s="1" t="str">
        <f ca="1">IFERROR(__xludf.DUMMYFUNCTION("""COMPUTED_VALUE"""),"No")</f>
        <v>No</v>
      </c>
      <c r="I2473" s="1" t="str">
        <f ca="1">IFERROR(__xludf.DUMMYFUNCTION("""COMPUTED_VALUE"""),"Will NOT work for them")</f>
        <v>Will NOT work for them</v>
      </c>
      <c r="J2473" s="1">
        <f ca="1">IFERROR(__xludf.DUMMYFUNCTION("""COMPUTED_VALUE"""),6)</f>
        <v>6</v>
      </c>
      <c r="K2473" s="1" t="str">
        <f ca="1">IFERROR(__xludf.DUMMYFUNCTION("""COMPUTED_VALUE"""),"Hybrid Working Environment with more than 15 days a month at office")</f>
        <v>Hybrid Working Environment with more than 15 days a month at office</v>
      </c>
      <c r="L24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7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473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2473" s="1" t="str">
        <f ca="1">IFERROR(__xludf.DUMMYFUNCTION("""COMPUTED_VALUE"""),"Manager who explains what is expected, sets a goal and helps achieve it")</f>
        <v>Manager who explains what is expected, sets a goal and helps achieve it</v>
      </c>
      <c r="P2473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2473" s="1" t="str">
        <f ca="1">IFERROR(__xludf.DUMMYFUNCTION("""COMPUTED_VALUE"""),"Yes, I Understand this is gonna happen everywhere")</f>
        <v>Yes, I Understand this is gonna happen everywhere</v>
      </c>
      <c r="R2473" s="1" t="str">
        <f ca="1">IFERROR(__xludf.DUMMYFUNCTION("""COMPUTED_VALUE"""),"This will be hard to do, but if it is the right company I would try")</f>
        <v>This will be hard to do, but if it is the right company I would try</v>
      </c>
      <c r="S2473" s="1" t="str">
        <f ca="1">IFERROR(__xludf.DUMMYFUNCTION("""COMPUTED_VALUE"""),"gayatrikamble786@gmail.com")</f>
        <v>gayatrikamble786@gmail.com</v>
      </c>
    </row>
    <row r="2474" spans="1:19" ht="12.5" x14ac:dyDescent="0.25">
      <c r="A2474" s="2">
        <f ca="1">IFERROR(__xludf.DUMMYFUNCTION("""COMPUTED_VALUE"""),45064.8366023495)</f>
        <v>45064.836602349496</v>
      </c>
      <c r="B2474" s="1" t="str">
        <f ca="1">IFERROR(__xludf.DUMMYFUNCTION("""COMPUTED_VALUE"""),"India")</f>
        <v>India</v>
      </c>
      <c r="C2474" s="1">
        <f ca="1">IFERROR(__xludf.DUMMYFUNCTION("""COMPUTED_VALUE"""),411042)</f>
        <v>411042</v>
      </c>
      <c r="D2474" s="1" t="str">
        <f ca="1">IFERROR(__xludf.DUMMYFUNCTION("""COMPUTED_VALUE"""),"Female")</f>
        <v>Female</v>
      </c>
      <c r="E2474" s="1" t="str">
        <f ca="1">IFERROR(__xludf.DUMMYFUNCTION("""COMPUTED_VALUE"""),"Social Media like LinkedIn")</f>
        <v>Social Media like LinkedIn</v>
      </c>
      <c r="F2474" s="1" t="str">
        <f ca="1">IFERROR(__xludf.DUMMYFUNCTION("""COMPUTED_VALUE"""),"Yes, I will earn and do that")</f>
        <v>Yes, I will earn and do that</v>
      </c>
      <c r="G2474" s="1" t="str">
        <f ca="1">IFERROR(__xludf.DUMMYFUNCTION("""COMPUTED_VALUE"""),"This will be hard to do, but if it is the right company I would try")</f>
        <v>This will be hard to do, but if it is the right company I would try</v>
      </c>
      <c r="H2474" s="1" t="str">
        <f ca="1">IFERROR(__xludf.DUMMYFUNCTION("""COMPUTED_VALUE"""),"No")</f>
        <v>No</v>
      </c>
      <c r="I2474" s="1" t="str">
        <f ca="1">IFERROR(__xludf.DUMMYFUNCTION("""COMPUTED_VALUE"""),"Will NOT work for them")</f>
        <v>Will NOT work for them</v>
      </c>
      <c r="J2474" s="1">
        <f ca="1">IFERROR(__xludf.DUMMYFUNCTION("""COMPUTED_VALUE"""),5)</f>
        <v>5</v>
      </c>
      <c r="K2474" s="1" t="str">
        <f ca="1">IFERROR(__xludf.DUMMYFUNCTION("""COMPUTED_VALUE"""),"Hybrid Working Environment with more than 15 days a month at office")</f>
        <v>Hybrid Working Environment with more than 15 days a month at office</v>
      </c>
      <c r="L24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7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474" s="1" t="str">
        <f ca="1">IFERROR(__xludf.DUMMYFUNCTION("""COMPUTED_VALUE"""),"Teaching in any of the institutes/colleges/online or offline, Business Operations in any organization, Manage and drive End-to-End Projects or Products, Look deeply into Data and generate insights")</f>
        <v>Teaching in any of the institutes/colleges/online or offline, Business Operations in any organization, Manage and drive End-to-End Projects or Products, Look deeply into Data and generate insights</v>
      </c>
      <c r="O2474" s="1" t="str">
        <f ca="1">IFERROR(__xludf.DUMMYFUNCTION("""COMPUTED_VALUE"""),"Manager who explains what is expected, sets a goal and helps achieve it")</f>
        <v>Manager who explains what is expected, sets a goal and helps achieve it</v>
      </c>
      <c r="P2474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2474" s="1" t="str">
        <f ca="1">IFERROR(__xludf.DUMMYFUNCTION("""COMPUTED_VALUE"""),"Yes, I Understand this is gonna happen everywhere")</f>
        <v>Yes, I Understand this is gonna happen everywhere</v>
      </c>
      <c r="R2474" s="1" t="str">
        <f ca="1">IFERROR(__xludf.DUMMYFUNCTION("""COMPUTED_VALUE"""),"This will be hard to do, but if it is the right company I would try")</f>
        <v>This will be hard to do, but if it is the right company I would try</v>
      </c>
      <c r="S2474" s="1" t="str">
        <f ca="1">IFERROR(__xludf.DUMMYFUNCTION("""COMPUTED_VALUE"""),"pragati.dhebe30@gmail.com")</f>
        <v>pragati.dhebe30@gmail.com</v>
      </c>
    </row>
    <row r="2475" spans="1:19" ht="12.5" x14ac:dyDescent="0.25">
      <c r="A2475" s="2">
        <f ca="1">IFERROR(__xludf.DUMMYFUNCTION("""COMPUTED_VALUE"""),45064.8416751273)</f>
        <v>45064.841675127303</v>
      </c>
      <c r="B2475" s="1" t="str">
        <f ca="1">IFERROR(__xludf.DUMMYFUNCTION("""COMPUTED_VALUE"""),"India")</f>
        <v>India</v>
      </c>
      <c r="C2475" s="1">
        <f ca="1">IFERROR(__xludf.DUMMYFUNCTION("""COMPUTED_VALUE"""),410206)</f>
        <v>410206</v>
      </c>
      <c r="D2475" s="1" t="str">
        <f ca="1">IFERROR(__xludf.DUMMYFUNCTION("""COMPUTED_VALUE"""),"Female")</f>
        <v>Female</v>
      </c>
      <c r="E2475" s="1" t="str">
        <f ca="1">IFERROR(__xludf.DUMMYFUNCTION("""COMPUTED_VALUE"""),"My Parents")</f>
        <v>My Parents</v>
      </c>
      <c r="F2475" s="1" t="str">
        <f ca="1">IFERROR(__xludf.DUMMYFUNCTION("""COMPUTED_VALUE"""),"Yes, I will earn and do that")</f>
        <v>Yes, I will earn and do that</v>
      </c>
      <c r="G2475" s="1" t="str">
        <f ca="1">IFERROR(__xludf.DUMMYFUNCTION("""COMPUTED_VALUE"""),"Will work for 3 years or more")</f>
        <v>Will work for 3 years or more</v>
      </c>
      <c r="H2475" s="1" t="str">
        <f ca="1">IFERROR(__xludf.DUMMYFUNCTION("""COMPUTED_VALUE"""),"Yes")</f>
        <v>Yes</v>
      </c>
      <c r="I2475" s="1" t="str">
        <f ca="1">IFERROR(__xludf.DUMMYFUNCTION("""COMPUTED_VALUE"""),"Will NOT work for them")</f>
        <v>Will NOT work for them</v>
      </c>
      <c r="J2475" s="1">
        <f ca="1">IFERROR(__xludf.DUMMYFUNCTION("""COMPUTED_VALUE"""),2)</f>
        <v>2</v>
      </c>
      <c r="K2475" s="1" t="str">
        <f ca="1">IFERROR(__xludf.DUMMYFUNCTION("""COMPUTED_VALUE"""),"Every Day Office Environment")</f>
        <v>Every Day Office Environment</v>
      </c>
      <c r="L24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7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475" s="1" t="str">
        <f ca="1">IFERROR(__xludf.DUMMYFUNCTION("""COMPUTED_VALUE"""),"Design and Creative strategy in any company, Teaching in any of the institutes/colleges/online or offline, Build and develop a Team, Work as a freelancer and do my thing my way")</f>
        <v>Design and Creative strategy in any company, Teaching in any of the institutes/colleges/online or offline, Build and develop a Team, Work as a freelancer and do my thing my way</v>
      </c>
      <c r="O2475" s="1" t="str">
        <f ca="1">IFERROR(__xludf.DUMMYFUNCTION("""COMPUTED_VALUE"""),"Manager who explains what is expected, sets a goal and helps achieve it")</f>
        <v>Manager who explains what is expected, sets a goal and helps achieve it</v>
      </c>
      <c r="P2475" s="1" t="str">
        <f ca="1">IFERROR(__xludf.DUMMYFUNCTION("""COMPUTED_VALUE"""),"Work with 2 to 3 people in my team")</f>
        <v>Work with 2 to 3 people in my team</v>
      </c>
      <c r="Q2475" s="1" t="str">
        <f ca="1">IFERROR(__xludf.DUMMYFUNCTION("""COMPUTED_VALUE"""),"Yes, I Understand this is gonna happen everywhere")</f>
        <v>Yes, I Understand this is gonna happen everywhere</v>
      </c>
      <c r="R2475" s="1" t="str">
        <f ca="1">IFERROR(__xludf.DUMMYFUNCTION("""COMPUTED_VALUE"""),"This will be hard to do, but if it is the right company I would try")</f>
        <v>This will be hard to do, but if it is the right company I would try</v>
      </c>
      <c r="S2475" s="1" t="str">
        <f ca="1">IFERROR(__xludf.DUMMYFUNCTION("""COMPUTED_VALUE"""),"farheenpillai619@gmail.com")</f>
        <v>farheenpillai619@gmail.com</v>
      </c>
    </row>
    <row r="2476" spans="1:19" ht="12.5" x14ac:dyDescent="0.25">
      <c r="A2476" s="2">
        <f ca="1">IFERROR(__xludf.DUMMYFUNCTION("""COMPUTED_VALUE"""),45064.8650469675)</f>
        <v>45064.865046967498</v>
      </c>
      <c r="B2476" s="1" t="str">
        <f ca="1">IFERROR(__xludf.DUMMYFUNCTION("""COMPUTED_VALUE"""),"India")</f>
        <v>India</v>
      </c>
      <c r="C2476" s="1">
        <f ca="1">IFERROR(__xludf.DUMMYFUNCTION("""COMPUTED_VALUE"""),606807)</f>
        <v>606807</v>
      </c>
      <c r="D2476" s="1" t="str">
        <f ca="1">IFERROR(__xludf.DUMMYFUNCTION("""COMPUTED_VALUE"""),"Male")</f>
        <v>Male</v>
      </c>
      <c r="E2476" s="1" t="str">
        <f ca="1">IFERROR(__xludf.DUMMYFUNCTION("""COMPUTED_VALUE"""),"People from my circle, but not family members")</f>
        <v>People from my circle, but not family members</v>
      </c>
      <c r="F2476" s="1" t="str">
        <f ca="1">IFERROR(__xludf.DUMMYFUNCTION("""COMPUTED_VALUE"""),"Yes, I will earn and do that")</f>
        <v>Yes, I will earn and do that</v>
      </c>
      <c r="G2476" s="1" t="str">
        <f ca="1">IFERROR(__xludf.DUMMYFUNCTION("""COMPUTED_VALUE"""),"This will be hard to do, but if it is the right company I would try")</f>
        <v>This will be hard to do, but if it is the right company I would try</v>
      </c>
      <c r="H2476" s="1" t="str">
        <f ca="1">IFERROR(__xludf.DUMMYFUNCTION("""COMPUTED_VALUE"""),"Yes")</f>
        <v>Yes</v>
      </c>
      <c r="I2476" s="1" t="str">
        <f ca="1">IFERROR(__xludf.DUMMYFUNCTION("""COMPUTED_VALUE"""),"Will work for them")</f>
        <v>Will work for them</v>
      </c>
      <c r="J2476" s="1">
        <f ca="1">IFERROR(__xludf.DUMMYFUNCTION("""COMPUTED_VALUE"""),5)</f>
        <v>5</v>
      </c>
      <c r="K2476" s="1" t="str">
        <f ca="1">IFERROR(__xludf.DUMMYFUNCTION("""COMPUTED_VALUE"""),"Every Day Office Environment")</f>
        <v>Every Day Office Environment</v>
      </c>
      <c r="L2476" s="1" t="str">
        <f ca="1">IFERROR(__xludf.DUMMYFUNCTION("""COMPUTED_VALUE"""),"Employer who appreciates learning and enables that environment")</f>
        <v>Employer who appreciates learning and enables that environment</v>
      </c>
      <c r="M247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476" s="1" t="str">
        <f ca="1">IFERROR(__xludf.DUMMYFUNCTION("""COMPUTED_VALUE"""),"Design and Creative strategy in any company, Business Operations in any organization, Design and Develop amazing software, I Want to sell things/Sales")</f>
        <v>Design and Creative strategy in any company, Business Operations in any organization, Design and Develop amazing software, I Want to sell things/Sales</v>
      </c>
      <c r="O2476" s="1" t="str">
        <f ca="1">IFERROR(__xludf.DUMMYFUNCTION("""COMPUTED_VALUE"""),"Manager who sets targets and expects me to achieve it")</f>
        <v>Manager who sets targets and expects me to achieve it</v>
      </c>
      <c r="P2476" s="1" t="str">
        <f ca="1">IFERROR(__xludf.DUMMYFUNCTION("""COMPUTED_VALUE"""),"Work with 2 to 3 people in my team")</f>
        <v>Work with 2 to 3 people in my team</v>
      </c>
      <c r="Q2476" s="1" t="str">
        <f ca="1">IFERROR(__xludf.DUMMYFUNCTION("""COMPUTED_VALUE"""),"I have NO other choice")</f>
        <v>I have NO other choice</v>
      </c>
      <c r="R2476" s="1" t="str">
        <f ca="1">IFERROR(__xludf.DUMMYFUNCTION("""COMPUTED_VALUE"""),"This will be hard to do, but if it is the right company I would try")</f>
        <v>This will be hard to do, but if it is the right company I would try</v>
      </c>
      <c r="S2476" s="1" t="str">
        <f ca="1">IFERROR(__xludf.DUMMYFUNCTION("""COMPUTED_VALUE"""),"muruganvicky37@gmail.com")</f>
        <v>muruganvicky37@gmail.com</v>
      </c>
    </row>
    <row r="2477" spans="1:19" ht="12.5" x14ac:dyDescent="0.25">
      <c r="A2477" s="2">
        <f ca="1">IFERROR(__xludf.DUMMYFUNCTION("""COMPUTED_VALUE"""),45064.8670009837)</f>
        <v>45064.867000983701</v>
      </c>
      <c r="B2477" s="1" t="str">
        <f ca="1">IFERROR(__xludf.DUMMYFUNCTION("""COMPUTED_VALUE"""),"India")</f>
        <v>India</v>
      </c>
      <c r="C2477" s="1">
        <f ca="1">IFERROR(__xludf.DUMMYFUNCTION("""COMPUTED_VALUE"""),125055)</f>
        <v>125055</v>
      </c>
      <c r="D2477" s="1" t="str">
        <f ca="1">IFERROR(__xludf.DUMMYFUNCTION("""COMPUTED_VALUE"""),"Male")</f>
        <v>Male</v>
      </c>
      <c r="E2477" s="1" t="str">
        <f ca="1">IFERROR(__xludf.DUMMYFUNCTION("""COMPUTED_VALUE"""),"My Parents")</f>
        <v>My Parents</v>
      </c>
      <c r="F2477" s="1" t="str">
        <f ca="1">IFERROR(__xludf.DUMMYFUNCTION("""COMPUTED_VALUE"""),"No, But if someone could bare the cost I will")</f>
        <v>No, But if someone could bare the cost I will</v>
      </c>
      <c r="G2477" s="1" t="str">
        <f ca="1">IFERROR(__xludf.DUMMYFUNCTION("""COMPUTED_VALUE"""),"This will be hard to do, but if it is the right company I would try")</f>
        <v>This will be hard to do, but if it is the right company I would try</v>
      </c>
      <c r="H2477" s="1" t="str">
        <f ca="1">IFERROR(__xludf.DUMMYFUNCTION("""COMPUTED_VALUE"""),"No")</f>
        <v>No</v>
      </c>
      <c r="I2477" s="1" t="str">
        <f ca="1">IFERROR(__xludf.DUMMYFUNCTION("""COMPUTED_VALUE"""),"Will NOT work for them")</f>
        <v>Will NOT work for them</v>
      </c>
      <c r="J2477" s="1">
        <f ca="1">IFERROR(__xludf.DUMMYFUNCTION("""COMPUTED_VALUE"""),3)</f>
        <v>3</v>
      </c>
      <c r="K2477" s="1" t="str">
        <f ca="1">IFERROR(__xludf.DUMMYFUNCTION("""COMPUTED_VALUE"""),"Hybrid Working Environment with more than 15 days a month at office")</f>
        <v>Hybrid Working Environment with more than 15 days a month at office</v>
      </c>
      <c r="L2477" s="1" t="str">
        <f ca="1">IFERROR(__xludf.DUMMYFUNCTION("""COMPUTED_VALUE"""),"Employer who appreciates learning and enables that environment")</f>
        <v>Employer who appreciates learning and enables that environment</v>
      </c>
      <c r="M247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477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2477" s="1" t="str">
        <f ca="1">IFERROR(__xludf.DUMMYFUNCTION("""COMPUTED_VALUE"""),"Manager who explains what is expected, sets a goal and helps achieve it")</f>
        <v>Manager who explains what is expected, sets a goal and helps achieve it</v>
      </c>
      <c r="P2477" s="1" t="str">
        <f ca="1">IFERROR(__xludf.DUMMYFUNCTION("""COMPUTED_VALUE"""),"Work with 5 to 6 people in my team")</f>
        <v>Work with 5 to 6 people in my team</v>
      </c>
      <c r="Q2477" s="1" t="str">
        <f ca="1">IFERROR(__xludf.DUMMYFUNCTION("""COMPUTED_VALUE"""),"Yes, I Understand this is gonna happen everywhere")</f>
        <v>Yes, I Understand this is gonna happen everywhere</v>
      </c>
      <c r="R2477" s="1" t="str">
        <f ca="1">IFERROR(__xludf.DUMMYFUNCTION("""COMPUTED_VALUE"""),"No way")</f>
        <v>No way</v>
      </c>
      <c r="S2477" s="1" t="str">
        <f ca="1">IFERROR(__xludf.DUMMYFUNCTION("""COMPUTED_VALUE"""),"samarth7465@gmail.com")</f>
        <v>samarth7465@gmail.com</v>
      </c>
    </row>
    <row r="2478" spans="1:19" ht="12.5" x14ac:dyDescent="0.25">
      <c r="A2478" s="2">
        <f ca="1">IFERROR(__xludf.DUMMYFUNCTION("""COMPUTED_VALUE"""),45064.8680308101)</f>
        <v>45064.868030810103</v>
      </c>
      <c r="B2478" s="1" t="str">
        <f ca="1">IFERROR(__xludf.DUMMYFUNCTION("""COMPUTED_VALUE"""),"India")</f>
        <v>India</v>
      </c>
      <c r="C2478" s="1">
        <f ca="1">IFERROR(__xludf.DUMMYFUNCTION("""COMPUTED_VALUE"""),140301)</f>
        <v>140301</v>
      </c>
      <c r="D2478" s="1" t="str">
        <f ca="1">IFERROR(__xludf.DUMMYFUNCTION("""COMPUTED_VALUE"""),"Female")</f>
        <v>Female</v>
      </c>
      <c r="E2478" s="1" t="str">
        <f ca="1">IFERROR(__xludf.DUMMYFUNCTION("""COMPUTED_VALUE"""),"Social Media like LinkedIn")</f>
        <v>Social Media like LinkedIn</v>
      </c>
      <c r="F2478" s="1" t="str">
        <f ca="1">IFERROR(__xludf.DUMMYFUNCTION("""COMPUTED_VALUE"""),"Yes, I will earn and do that")</f>
        <v>Yes, I will earn and do that</v>
      </c>
      <c r="G2478" s="1" t="str">
        <f ca="1">IFERROR(__xludf.DUMMYFUNCTION("""COMPUTED_VALUE"""),"This will be hard to do, but if it is the right company I would try")</f>
        <v>This will be hard to do, but if it is the right company I would try</v>
      </c>
      <c r="H2478" s="1" t="str">
        <f ca="1">IFERROR(__xludf.DUMMYFUNCTION("""COMPUTED_VALUE"""),"Yes")</f>
        <v>Yes</v>
      </c>
      <c r="I2478" s="1" t="str">
        <f ca="1">IFERROR(__xludf.DUMMYFUNCTION("""COMPUTED_VALUE"""),"Will NOT work for them")</f>
        <v>Will NOT work for them</v>
      </c>
      <c r="J2478" s="1">
        <f ca="1">IFERROR(__xludf.DUMMYFUNCTION("""COMPUTED_VALUE"""),1)</f>
        <v>1</v>
      </c>
      <c r="K2478" s="1" t="str">
        <f ca="1">IFERROR(__xludf.DUMMYFUNCTION("""COMPUTED_VALUE"""),"Fully Remote with Options to travel as and when needed")</f>
        <v>Fully Remote with Options to travel as and when needed</v>
      </c>
      <c r="L2478" s="1" t="str">
        <f ca="1">IFERROR(__xludf.DUMMYFUNCTION("""COMPUTED_VALUE"""),"Employer who rewards learning and enables that environment")</f>
        <v>Employer who rewards learning and enables that environment</v>
      </c>
      <c r="M247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78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2478" s="1" t="str">
        <f ca="1">IFERROR(__xludf.DUMMYFUNCTION("""COMPUTED_VALUE"""),"Manager who sets goal and helps me achieve it")</f>
        <v>Manager who sets goal and helps me achieve it</v>
      </c>
      <c r="P2478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478" s="1" t="str">
        <f ca="1">IFERROR(__xludf.DUMMYFUNCTION("""COMPUTED_VALUE"""),"No")</f>
        <v>No</v>
      </c>
      <c r="R2478" s="1" t="str">
        <f ca="1">IFERROR(__xludf.DUMMYFUNCTION("""COMPUTED_VALUE"""),"This will be hard to do, but if it is the right company I would try")</f>
        <v>This will be hard to do, but if it is the right company I would try</v>
      </c>
      <c r="S2478" s="1" t="str">
        <f ca="1">IFERROR(__xludf.DUMMYFUNCTION("""COMPUTED_VALUE"""),"urvishetty1998@gmail.com")</f>
        <v>urvishetty1998@gmail.com</v>
      </c>
    </row>
    <row r="2479" spans="1:19" ht="12.5" x14ac:dyDescent="0.25">
      <c r="A2479" s="2">
        <f ca="1">IFERROR(__xludf.DUMMYFUNCTION("""COMPUTED_VALUE"""),45064.8929013425)</f>
        <v>45064.8929013425</v>
      </c>
      <c r="B2479" s="1" t="str">
        <f ca="1">IFERROR(__xludf.DUMMYFUNCTION("""COMPUTED_VALUE"""),"India")</f>
        <v>India</v>
      </c>
      <c r="C2479" s="1">
        <f ca="1">IFERROR(__xludf.DUMMYFUNCTION("""COMPUTED_VALUE"""),600053)</f>
        <v>600053</v>
      </c>
      <c r="D2479" s="1" t="str">
        <f ca="1">IFERROR(__xludf.DUMMYFUNCTION("""COMPUTED_VALUE"""),"Male")</f>
        <v>Male</v>
      </c>
      <c r="E2479" s="1" t="str">
        <f ca="1">IFERROR(__xludf.DUMMYFUNCTION("""COMPUTED_VALUE"""),"Influencers who had successful careers")</f>
        <v>Influencers who had successful careers</v>
      </c>
      <c r="F2479" s="1" t="str">
        <f ca="1">IFERROR(__xludf.DUMMYFUNCTION("""COMPUTED_VALUE"""),"No, But if someone could bare the cost I will")</f>
        <v>No, But if someone could bare the cost I will</v>
      </c>
      <c r="G2479" s="1" t="str">
        <f ca="1">IFERROR(__xludf.DUMMYFUNCTION("""COMPUTED_VALUE"""),"This will be hard to do, but if it is the right company I would try")</f>
        <v>This will be hard to do, but if it is the right company I would try</v>
      </c>
      <c r="H2479" s="1" t="str">
        <f ca="1">IFERROR(__xludf.DUMMYFUNCTION("""COMPUTED_VALUE"""),"Yes")</f>
        <v>Yes</v>
      </c>
      <c r="I2479" s="1" t="str">
        <f ca="1">IFERROR(__xludf.DUMMYFUNCTION("""COMPUTED_VALUE"""),"Will NOT work for them")</f>
        <v>Will NOT work for them</v>
      </c>
      <c r="J2479" s="1">
        <f ca="1">IFERROR(__xludf.DUMMYFUNCTION("""COMPUTED_VALUE"""),6)</f>
        <v>6</v>
      </c>
      <c r="K2479" s="1" t="str">
        <f ca="1">IFERROR(__xludf.DUMMYFUNCTION("""COMPUTED_VALUE"""),"Hybrid Working Environment with more than 15 days a month at office")</f>
        <v>Hybrid Working Environment with more than 15 days a month at office</v>
      </c>
      <c r="L2479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47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79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2479" s="1" t="str">
        <f ca="1">IFERROR(__xludf.DUMMYFUNCTION("""COMPUTED_VALUE"""),"Manager who sets goal and helps me achieve it")</f>
        <v>Manager who sets goal and helps me achieve it</v>
      </c>
      <c r="P2479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2479" s="1" t="str">
        <f ca="1">IFERROR(__xludf.DUMMYFUNCTION("""COMPUTED_VALUE"""),"Yes")</f>
        <v>Yes</v>
      </c>
      <c r="R2479" s="1" t="str">
        <f ca="1">IFERROR(__xludf.DUMMYFUNCTION("""COMPUTED_VALUE"""),"Will work for 7 years or more")</f>
        <v>Will work for 7 years or more</v>
      </c>
      <c r="S2479" s="1" t="str">
        <f ca="1">IFERROR(__xludf.DUMMYFUNCTION("""COMPUTED_VALUE"""),"gurug1912@gmail.com")</f>
        <v>gurug1912@gmail.com</v>
      </c>
    </row>
    <row r="2480" spans="1:19" ht="12.5" x14ac:dyDescent="0.25">
      <c r="A2480" s="2">
        <f ca="1">IFERROR(__xludf.DUMMYFUNCTION("""COMPUTED_VALUE"""),45064.8945387152)</f>
        <v>45064.894538715198</v>
      </c>
      <c r="B2480" s="1" t="str">
        <f ca="1">IFERROR(__xludf.DUMMYFUNCTION("""COMPUTED_VALUE"""),"India")</f>
        <v>India</v>
      </c>
      <c r="C2480" s="1">
        <f ca="1">IFERROR(__xludf.DUMMYFUNCTION("""COMPUTED_VALUE"""),533429)</f>
        <v>533429</v>
      </c>
      <c r="D2480" s="1" t="str">
        <f ca="1">IFERROR(__xludf.DUMMYFUNCTION("""COMPUTED_VALUE"""),"Female")</f>
        <v>Female</v>
      </c>
      <c r="E2480" s="1" t="str">
        <f ca="1">IFERROR(__xludf.DUMMYFUNCTION("""COMPUTED_VALUE"""),"Influencers who had successful careers")</f>
        <v>Influencers who had successful careers</v>
      </c>
      <c r="F2480" s="1" t="str">
        <f ca="1">IFERROR(__xludf.DUMMYFUNCTION("""COMPUTED_VALUE"""),"Yes, I will earn and do that")</f>
        <v>Yes, I will earn and do that</v>
      </c>
      <c r="G2480" s="1" t="str">
        <f ca="1">IFERROR(__xludf.DUMMYFUNCTION("""COMPUTED_VALUE"""),"Will work for 3 years or more")</f>
        <v>Will work for 3 years or more</v>
      </c>
      <c r="H2480" s="1" t="str">
        <f ca="1">IFERROR(__xludf.DUMMYFUNCTION("""COMPUTED_VALUE"""),"No")</f>
        <v>No</v>
      </c>
      <c r="I2480" s="1" t="str">
        <f ca="1">IFERROR(__xludf.DUMMYFUNCTION("""COMPUTED_VALUE"""),"Will NOT work for them")</f>
        <v>Will NOT work for them</v>
      </c>
      <c r="J2480" s="1">
        <f ca="1">IFERROR(__xludf.DUMMYFUNCTION("""COMPUTED_VALUE"""),1)</f>
        <v>1</v>
      </c>
      <c r="K2480" s="1" t="str">
        <f ca="1">IFERROR(__xludf.DUMMYFUNCTION("""COMPUTED_VALUE"""),"Hybrid Working Environment with less than 3 days a month at office")</f>
        <v>Hybrid Working Environment with less than 3 days a month at office</v>
      </c>
      <c r="L2480" s="1" t="str">
        <f ca="1">IFERROR(__xludf.DUMMYFUNCTION("""COMPUTED_VALUE"""),"Employer who appreciates learning and enables that environment")</f>
        <v>Employer who appreciates learning and enables that environment</v>
      </c>
      <c r="M248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80" s="1" t="str">
        <f ca="1">IFERROR(__xludf.DUMMYFUNCTION("""COMPUTED_VALUE"""),"Design and Creative strategy in any company, Design and Develop amazing software, Work as a freelancer and do my thing my way, An Artificial Intelligence Specialist / Talking to Robots")</f>
        <v>Design and Creative strategy in any company, Design and Develop amazing software, Work as a freelancer and do my thing my way, An Artificial Intelligence Specialist / Talking to Robots</v>
      </c>
      <c r="O2480" s="1" t="str">
        <f ca="1">IFERROR(__xludf.DUMMYFUNCTION("""COMPUTED_VALUE"""),"Manager who explains what is expected, sets a goal and helps achieve it")</f>
        <v>Manager who explains what is expected, sets a goal and helps achieve it</v>
      </c>
      <c r="P2480" s="1" t="str">
        <f ca="1">IFERROR(__xludf.DUMMYFUNCTION("""COMPUTED_VALUE"""),"Work with 2 to 3 people in my team")</f>
        <v>Work with 2 to 3 people in my team</v>
      </c>
      <c r="Q2480" s="1" t="str">
        <f ca="1">IFERROR(__xludf.DUMMYFUNCTION("""COMPUTED_VALUE"""),"No")</f>
        <v>No</v>
      </c>
      <c r="R2480" s="1" t="str">
        <f ca="1">IFERROR(__xludf.DUMMYFUNCTION("""COMPUTED_VALUE"""),"No way")</f>
        <v>No way</v>
      </c>
      <c r="S2480" s="1" t="str">
        <f ca="1">IFERROR(__xludf.DUMMYFUNCTION("""COMPUTED_VALUE"""),"sarasukappala@gmail.com")</f>
        <v>sarasukappala@gmail.com</v>
      </c>
    </row>
    <row r="2481" spans="1:19" ht="12.5" x14ac:dyDescent="0.25">
      <c r="A2481" s="2">
        <f ca="1">IFERROR(__xludf.DUMMYFUNCTION("""COMPUTED_VALUE"""),45064.919275081)</f>
        <v>45064.919275081003</v>
      </c>
      <c r="B2481" s="1" t="str">
        <f ca="1">IFERROR(__xludf.DUMMYFUNCTION("""COMPUTED_VALUE"""),"India")</f>
        <v>India</v>
      </c>
      <c r="C2481" s="1">
        <f ca="1">IFERROR(__xludf.DUMMYFUNCTION("""COMPUTED_VALUE"""),122003)</f>
        <v>122003</v>
      </c>
      <c r="D2481" s="1" t="str">
        <f ca="1">IFERROR(__xludf.DUMMYFUNCTION("""COMPUTED_VALUE"""),"Male")</f>
        <v>Male</v>
      </c>
      <c r="E2481" s="1" t="str">
        <f ca="1">IFERROR(__xludf.DUMMYFUNCTION("""COMPUTED_VALUE"""),"My Parents")</f>
        <v>My Parents</v>
      </c>
      <c r="F2481" s="1" t="str">
        <f ca="1">IFERROR(__xludf.DUMMYFUNCTION("""COMPUTED_VALUE"""),"Yes, I will earn and do that")</f>
        <v>Yes, I will earn and do that</v>
      </c>
      <c r="G2481" s="1" t="str">
        <f ca="1">IFERROR(__xludf.DUMMYFUNCTION("""COMPUTED_VALUE"""),"This will be hard to do, but if it is the right company I would try")</f>
        <v>This will be hard to do, but if it is the right company I would try</v>
      </c>
      <c r="H2481" s="1" t="str">
        <f ca="1">IFERROR(__xludf.DUMMYFUNCTION("""COMPUTED_VALUE"""),"No")</f>
        <v>No</v>
      </c>
      <c r="I2481" s="1" t="str">
        <f ca="1">IFERROR(__xludf.DUMMYFUNCTION("""COMPUTED_VALUE"""),"Will NOT work for them")</f>
        <v>Will NOT work for them</v>
      </c>
      <c r="J2481" s="1">
        <f ca="1">IFERROR(__xludf.DUMMYFUNCTION("""COMPUTED_VALUE"""),7)</f>
        <v>7</v>
      </c>
      <c r="K2481" s="1" t="str">
        <f ca="1">IFERROR(__xludf.DUMMYFUNCTION("""COMPUTED_VALUE"""),"Hybrid Working Environment with more than 15 days a month at office")</f>
        <v>Hybrid Working Environment with more than 15 days a month at office</v>
      </c>
      <c r="L24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8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81" s="1" t="str">
        <f ca="1">IFERROR(__xludf.DUMMYFUNCTION("""COMPUTED_VALUE"""),"Business Operations in any organization, Manage and drive End-to-End Projects or Products, Build and develop a Team, Entrepreneur or Start Up")</f>
        <v>Business Operations in any organization, Manage and drive End-to-End Projects or Products, Build and develop a Team, Entrepreneur or Start Up</v>
      </c>
      <c r="O2481" s="1" t="str">
        <f ca="1">IFERROR(__xludf.DUMMYFUNCTION("""COMPUTED_VALUE"""),"Manager who clearly describes what she/he needs")</f>
        <v>Manager who clearly describes what she/he needs</v>
      </c>
      <c r="P2481" s="1" t="str">
        <f ca="1">IFERROR(__xludf.DUMMYFUNCTION("""COMPUTED_VALUE"""),"Work with more than 10 people in my team")</f>
        <v>Work with more than 10 people in my team</v>
      </c>
      <c r="Q2481" s="1" t="str">
        <f ca="1">IFERROR(__xludf.DUMMYFUNCTION("""COMPUTED_VALUE"""),"Yes, I Understand this is gonna happen everywhere")</f>
        <v>Yes, I Understand this is gonna happen everywhere</v>
      </c>
      <c r="R2481" s="1" t="str">
        <f ca="1">IFERROR(__xludf.DUMMYFUNCTION("""COMPUTED_VALUE"""),"This will be hard to do, but if it is the right company I would try")</f>
        <v>This will be hard to do, but if it is the right company I would try</v>
      </c>
      <c r="S2481" s="1" t="str">
        <f ca="1">IFERROR(__xludf.DUMMYFUNCTION("""COMPUTED_VALUE"""),"gaganchopra8866@gmail.com")</f>
        <v>gaganchopra8866@gmail.com</v>
      </c>
    </row>
    <row r="2482" spans="1:19" ht="12.5" x14ac:dyDescent="0.25">
      <c r="A2482" s="2">
        <f ca="1">IFERROR(__xludf.DUMMYFUNCTION("""COMPUTED_VALUE"""),45064.9234054282)</f>
        <v>45064.923405428199</v>
      </c>
      <c r="B2482" s="1" t="str">
        <f ca="1">IFERROR(__xludf.DUMMYFUNCTION("""COMPUTED_VALUE"""),"India")</f>
        <v>India</v>
      </c>
      <c r="C2482" s="1">
        <f ca="1">IFERROR(__xludf.DUMMYFUNCTION("""COMPUTED_VALUE"""),603103)</f>
        <v>603103</v>
      </c>
      <c r="D2482" s="1" t="str">
        <f ca="1">IFERROR(__xludf.DUMMYFUNCTION("""COMPUTED_VALUE"""),"Female")</f>
        <v>Female</v>
      </c>
      <c r="E2482" s="1" t="str">
        <f ca="1">IFERROR(__xludf.DUMMYFUNCTION("""COMPUTED_VALUE"""),"People who have changed the world for better")</f>
        <v>People who have changed the world for better</v>
      </c>
      <c r="F2482" s="1" t="str">
        <f ca="1">IFERROR(__xludf.DUMMYFUNCTION("""COMPUTED_VALUE"""),"Yes, I will earn and do that")</f>
        <v>Yes, I will earn and do that</v>
      </c>
      <c r="G2482" s="1" t="str">
        <f ca="1">IFERROR(__xludf.DUMMYFUNCTION("""COMPUTED_VALUE"""),"No way")</f>
        <v>No way</v>
      </c>
      <c r="H2482" s="1" t="str">
        <f ca="1">IFERROR(__xludf.DUMMYFUNCTION("""COMPUTED_VALUE"""),"No")</f>
        <v>No</v>
      </c>
      <c r="I2482" s="1" t="str">
        <f ca="1">IFERROR(__xludf.DUMMYFUNCTION("""COMPUTED_VALUE"""),"Will NOT work for them")</f>
        <v>Will NOT work for them</v>
      </c>
      <c r="J2482" s="1">
        <f ca="1">IFERROR(__xludf.DUMMYFUNCTION("""COMPUTED_VALUE"""),1)</f>
        <v>1</v>
      </c>
      <c r="K2482" s="1" t="str">
        <f ca="1">IFERROR(__xludf.DUMMYFUNCTION("""COMPUTED_VALUE"""),"Hybrid Working Environment with more than 15 days a month at office")</f>
        <v>Hybrid Working Environment with more than 15 days a month at office</v>
      </c>
      <c r="L2482" s="1" t="str">
        <f ca="1">IFERROR(__xludf.DUMMYFUNCTION("""COMPUTED_VALUE"""),"Employer who rewards learning and enables that environment")</f>
        <v>Employer who rewards learning and enables that environment</v>
      </c>
      <c r="M248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82" s="1" t="str">
        <f ca="1">IFERROR(__xludf.DUMMYFUNCTION("""COMPUTED_VALUE"""),"Design and Creative strategy in any company, Design and Develop amazing software, Work as a freelancer and do my thing my way, Entrepreneur or Start Up")</f>
        <v>Design and Creative strategy in any company, Design and Develop amazing software, Work as a freelancer and do my thing my way, Entrepreneur or Start Up</v>
      </c>
      <c r="O2482" s="1" t="str">
        <f ca="1">IFERROR(__xludf.DUMMYFUNCTION("""COMPUTED_VALUE"""),"Manager who sets goal and helps me achieve it")</f>
        <v>Manager who sets goal and helps me achieve it</v>
      </c>
      <c r="P2482" s="1" t="str">
        <f ca="1">IFERROR(__xludf.DUMMYFUNCTION("""COMPUTED_VALUE"""),"Work with more than 10 people in my team")</f>
        <v>Work with more than 10 people in my team</v>
      </c>
      <c r="Q2482" s="1" t="str">
        <f ca="1">IFERROR(__xludf.DUMMYFUNCTION("""COMPUTED_VALUE"""),"Yes, I Understand this is gonna happen everywhere")</f>
        <v>Yes, I Understand this is gonna happen everywhere</v>
      </c>
      <c r="R2482" s="1" t="str">
        <f ca="1">IFERROR(__xludf.DUMMYFUNCTION("""COMPUTED_VALUE"""),"No way")</f>
        <v>No way</v>
      </c>
      <c r="S2482" s="1" t="str">
        <f ca="1">IFERROR(__xludf.DUMMYFUNCTION("""COMPUTED_VALUE"""),"gayathrimitcsea2012@gmail.com")</f>
        <v>gayathrimitcsea2012@gmail.com</v>
      </c>
    </row>
    <row r="2483" spans="1:19" ht="12.5" x14ac:dyDescent="0.25">
      <c r="A2483" s="2">
        <f ca="1">IFERROR(__xludf.DUMMYFUNCTION("""COMPUTED_VALUE"""),45064.9255446643)</f>
        <v>45064.9255446643</v>
      </c>
      <c r="B2483" s="1" t="str">
        <f ca="1">IFERROR(__xludf.DUMMYFUNCTION("""COMPUTED_VALUE"""),"India")</f>
        <v>India</v>
      </c>
      <c r="C2483" s="1">
        <f ca="1">IFERROR(__xludf.DUMMYFUNCTION("""COMPUTED_VALUE"""),410206)</f>
        <v>410206</v>
      </c>
      <c r="D2483" s="1" t="str">
        <f ca="1">IFERROR(__xludf.DUMMYFUNCTION("""COMPUTED_VALUE"""),"Female")</f>
        <v>Female</v>
      </c>
      <c r="E2483" s="1" t="str">
        <f ca="1">IFERROR(__xludf.DUMMYFUNCTION("""COMPUTED_VALUE"""),"People from my circle, but not family members")</f>
        <v>People from my circle, but not family members</v>
      </c>
      <c r="F2483" s="1" t="str">
        <f ca="1">IFERROR(__xludf.DUMMYFUNCTION("""COMPUTED_VALUE"""),"No, But if someone could bare the cost I will")</f>
        <v>No, But if someone could bare the cost I will</v>
      </c>
      <c r="G2483" s="1" t="str">
        <f ca="1">IFERROR(__xludf.DUMMYFUNCTION("""COMPUTED_VALUE"""),"This will be hard to do, but if it is the right company I would try")</f>
        <v>This will be hard to do, but if it is the right company I would try</v>
      </c>
      <c r="H2483" s="1" t="str">
        <f ca="1">IFERROR(__xludf.DUMMYFUNCTION("""COMPUTED_VALUE"""),"No")</f>
        <v>No</v>
      </c>
      <c r="I2483" s="1" t="str">
        <f ca="1">IFERROR(__xludf.DUMMYFUNCTION("""COMPUTED_VALUE"""),"Will NOT work for them")</f>
        <v>Will NOT work for them</v>
      </c>
      <c r="J2483" s="1">
        <f ca="1">IFERROR(__xludf.DUMMYFUNCTION("""COMPUTED_VALUE"""),3)</f>
        <v>3</v>
      </c>
      <c r="K2483" s="1" t="str">
        <f ca="1">IFERROR(__xludf.DUMMYFUNCTION("""COMPUTED_VALUE"""),"Fully Remote with No option to visit offices")</f>
        <v>Fully Remote with No option to visit offices</v>
      </c>
      <c r="L24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83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483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2483" s="1" t="str">
        <f ca="1">IFERROR(__xludf.DUMMYFUNCTION("""COMPUTED_VALUE"""),"Manager who explains what is expected, sets a goal and helps achieve it")</f>
        <v>Manager who explains what is expected, sets a goal and helps achieve it</v>
      </c>
      <c r="P2483" s="1" t="str">
        <f ca="1">IFERROR(__xludf.DUMMYFUNCTION("""COMPUTED_VALUE"""),"Work with more than 10 people in my team")</f>
        <v>Work with more than 10 people in my team</v>
      </c>
      <c r="Q2483" s="1" t="str">
        <f ca="1">IFERROR(__xludf.DUMMYFUNCTION("""COMPUTED_VALUE"""),"Yes, I Understand this is gonna happen everywhere")</f>
        <v>Yes, I Understand this is gonna happen everywhere</v>
      </c>
      <c r="R2483" s="1" t="str">
        <f ca="1">IFERROR(__xludf.DUMMYFUNCTION("""COMPUTED_VALUE"""),"This will be hard to do, but if it is the right company I would try")</f>
        <v>This will be hard to do, but if it is the right company I would try</v>
      </c>
      <c r="S2483" s="1" t="str">
        <f ca="1">IFERROR(__xludf.DUMMYFUNCTION("""COMPUTED_VALUE"""),"prasiddhaprakash@gmail.com")</f>
        <v>prasiddhaprakash@gmail.com</v>
      </c>
    </row>
    <row r="2484" spans="1:19" ht="12.5" x14ac:dyDescent="0.25">
      <c r="A2484" s="2">
        <f ca="1">IFERROR(__xludf.DUMMYFUNCTION("""COMPUTED_VALUE"""),45064.9293793865)</f>
        <v>45064.9293793865</v>
      </c>
      <c r="B2484" s="1" t="str">
        <f ca="1">IFERROR(__xludf.DUMMYFUNCTION("""COMPUTED_VALUE"""),"India")</f>
        <v>India</v>
      </c>
      <c r="C2484" s="1">
        <f ca="1">IFERROR(__xludf.DUMMYFUNCTION("""COMPUTED_VALUE"""),400004)</f>
        <v>400004</v>
      </c>
      <c r="D2484" s="1" t="str">
        <f ca="1">IFERROR(__xludf.DUMMYFUNCTION("""COMPUTED_VALUE"""),"Male")</f>
        <v>Male</v>
      </c>
      <c r="E2484" s="1" t="str">
        <f ca="1">IFERROR(__xludf.DUMMYFUNCTION("""COMPUTED_VALUE"""),"My Parents")</f>
        <v>My Parents</v>
      </c>
      <c r="F2484" s="1" t="str">
        <f ca="1">IFERROR(__xludf.DUMMYFUNCTION("""COMPUTED_VALUE"""),"Yes, I will earn and do that")</f>
        <v>Yes, I will earn and do that</v>
      </c>
      <c r="G2484" s="1" t="str">
        <f ca="1">IFERROR(__xludf.DUMMYFUNCTION("""COMPUTED_VALUE"""),"This will be hard to do, but if it is the right company I would try")</f>
        <v>This will be hard to do, but if it is the right company I would try</v>
      </c>
      <c r="H2484" s="1" t="str">
        <f ca="1">IFERROR(__xludf.DUMMYFUNCTION("""COMPUTED_VALUE"""),"No")</f>
        <v>No</v>
      </c>
      <c r="I2484" s="1" t="str">
        <f ca="1">IFERROR(__xludf.DUMMYFUNCTION("""COMPUTED_VALUE"""),"Will NOT work for them")</f>
        <v>Will NOT work for them</v>
      </c>
      <c r="J2484" s="1">
        <f ca="1">IFERROR(__xludf.DUMMYFUNCTION("""COMPUTED_VALUE"""),1)</f>
        <v>1</v>
      </c>
      <c r="K2484" s="1" t="str">
        <f ca="1">IFERROR(__xludf.DUMMYFUNCTION("""COMPUTED_VALUE"""),"Fully Remote with Options to travel as and when needed")</f>
        <v>Fully Remote with Options to travel as and when needed</v>
      </c>
      <c r="L24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8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84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2484" s="1" t="str">
        <f ca="1">IFERROR(__xludf.DUMMYFUNCTION("""COMPUTED_VALUE"""),"Manager who explains what is expected, sets a goal and helps achieve it")</f>
        <v>Manager who explains what is expected, sets a goal and helps achieve it</v>
      </c>
      <c r="P2484" s="1" t="str">
        <f ca="1">IFERROR(__xludf.DUMMYFUNCTION("""COMPUTED_VALUE"""),"Work with 2 to 3 people in my team, Work with 5 to 6 people in my team")</f>
        <v>Work with 2 to 3 people in my team, Work with 5 to 6 people in my team</v>
      </c>
      <c r="Q2484" s="1" t="str">
        <f ca="1">IFERROR(__xludf.DUMMYFUNCTION("""COMPUTED_VALUE"""),"Yes, I Understand this is gonna happen everywhere")</f>
        <v>Yes, I Understand this is gonna happen everywhere</v>
      </c>
      <c r="R2484" s="1" t="str">
        <f ca="1">IFERROR(__xludf.DUMMYFUNCTION("""COMPUTED_VALUE"""),"This will be hard to do, but if it is the right company I would try")</f>
        <v>This will be hard to do, but if it is the right company I would try</v>
      </c>
      <c r="S2484" s="1" t="str">
        <f ca="1">IFERROR(__xludf.DUMMYFUNCTION("""COMPUTED_VALUE"""),"k98vishwas@gmail.com")</f>
        <v>k98vishwas@gmail.com</v>
      </c>
    </row>
    <row r="2485" spans="1:19" ht="12.5" x14ac:dyDescent="0.25">
      <c r="A2485" s="2">
        <f ca="1">IFERROR(__xludf.DUMMYFUNCTION("""COMPUTED_VALUE"""),45064.9348975231)</f>
        <v>45064.934897523097</v>
      </c>
      <c r="B2485" s="1" t="str">
        <f ca="1">IFERROR(__xludf.DUMMYFUNCTION("""COMPUTED_VALUE"""),"India")</f>
        <v>India</v>
      </c>
      <c r="C2485" s="1">
        <f ca="1">IFERROR(__xludf.DUMMYFUNCTION("""COMPUTED_VALUE"""),136026)</f>
        <v>136026</v>
      </c>
      <c r="D2485" s="1" t="str">
        <f ca="1">IFERROR(__xludf.DUMMYFUNCTION("""COMPUTED_VALUE"""),"Female")</f>
        <v>Female</v>
      </c>
      <c r="E2485" s="1" t="str">
        <f ca="1">IFERROR(__xludf.DUMMYFUNCTION("""COMPUTED_VALUE"""),"People who have changed the world for better")</f>
        <v>People who have changed the world for better</v>
      </c>
      <c r="F2485" s="1" t="str">
        <f ca="1">IFERROR(__xludf.DUMMYFUNCTION("""COMPUTED_VALUE"""),"Yes, I will earn and do that")</f>
        <v>Yes, I will earn and do that</v>
      </c>
      <c r="G2485" s="1" t="str">
        <f ca="1">IFERROR(__xludf.DUMMYFUNCTION("""COMPUTED_VALUE"""),"Will work for 3 years or more")</f>
        <v>Will work for 3 years or more</v>
      </c>
      <c r="H2485" s="1" t="str">
        <f ca="1">IFERROR(__xludf.DUMMYFUNCTION("""COMPUTED_VALUE"""),"No")</f>
        <v>No</v>
      </c>
      <c r="I2485" s="1" t="str">
        <f ca="1">IFERROR(__xludf.DUMMYFUNCTION("""COMPUTED_VALUE"""),"Will NOT work for them")</f>
        <v>Will NOT work for them</v>
      </c>
      <c r="J2485" s="1">
        <f ca="1">IFERROR(__xludf.DUMMYFUNCTION("""COMPUTED_VALUE"""),5)</f>
        <v>5</v>
      </c>
      <c r="K2485" s="1" t="str">
        <f ca="1">IFERROR(__xludf.DUMMYFUNCTION("""COMPUTED_VALUE"""),"Hybrid Working Environment with more than 15 days a month at office")</f>
        <v>Hybrid Working Environment with more than 15 days a month at office</v>
      </c>
      <c r="L24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8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485" s="1" t="str">
        <f ca="1">IFERROR(__xludf.DUMMYFUNCTION("""COMPUTED_VALUE"""),"Teaching in any of the institutes/colleges/online or offline, Build and develop a Team, Look deeply into Data and generate insights, Become a content Creator in some platform")</f>
        <v>Teaching in any of the institutes/colleges/online or offline, Build and develop a Team, Look deeply into Data and generate insights, Become a content Creator in some platform</v>
      </c>
      <c r="O2485" s="1" t="str">
        <f ca="1">IFERROR(__xludf.DUMMYFUNCTION("""COMPUTED_VALUE"""),"Manager who explains what is expected, sets a goal and helps achieve it")</f>
        <v>Manager who explains what is expected, sets a goal and helps achieve it</v>
      </c>
      <c r="P2485" s="1" t="str">
        <f ca="1">IFERROR(__xludf.DUMMYFUNCTION("""COMPUTED_VALUE"""),"Work with 7 to 10 or more people in my team")</f>
        <v>Work with 7 to 10 or more people in my team</v>
      </c>
      <c r="Q2485" s="1" t="str">
        <f ca="1">IFERROR(__xludf.DUMMYFUNCTION("""COMPUTED_VALUE"""),"No")</f>
        <v>No</v>
      </c>
      <c r="R2485" s="1" t="str">
        <f ca="1">IFERROR(__xludf.DUMMYFUNCTION("""COMPUTED_VALUE"""),"This will be hard to do, but if it is the right company I would try")</f>
        <v>This will be hard to do, but if it is the right company I would try</v>
      </c>
      <c r="S2485" s="1" t="str">
        <f ca="1">IFERROR(__xludf.DUMMYFUNCTION("""COMPUTED_VALUE"""),"shivanikamboj101@gmail.com")</f>
        <v>shivanikamboj101@gmail.com</v>
      </c>
    </row>
    <row r="2486" spans="1:19" ht="12.5" x14ac:dyDescent="0.25">
      <c r="A2486" s="2">
        <f ca="1">IFERROR(__xludf.DUMMYFUNCTION("""COMPUTED_VALUE"""),45064.9371208217)</f>
        <v>45064.937120821698</v>
      </c>
      <c r="B2486" s="1" t="str">
        <f ca="1">IFERROR(__xludf.DUMMYFUNCTION("""COMPUTED_VALUE"""),"India")</f>
        <v>India</v>
      </c>
      <c r="C2486" s="1">
        <f ca="1">IFERROR(__xludf.DUMMYFUNCTION("""COMPUTED_VALUE"""),411018)</f>
        <v>411018</v>
      </c>
      <c r="D2486" s="1" t="str">
        <f ca="1">IFERROR(__xludf.DUMMYFUNCTION("""COMPUTED_VALUE"""),"Female")</f>
        <v>Female</v>
      </c>
      <c r="E2486" s="1" t="str">
        <f ca="1">IFERROR(__xludf.DUMMYFUNCTION("""COMPUTED_VALUE"""),"People who have changed the world for better")</f>
        <v>People who have changed the world for better</v>
      </c>
      <c r="F2486" s="1" t="str">
        <f ca="1">IFERROR(__xludf.DUMMYFUNCTION("""COMPUTED_VALUE"""),"No I would not be pursuing Higher Education outside of India")</f>
        <v>No I would not be pursuing Higher Education outside of India</v>
      </c>
      <c r="G2486" s="1" t="str">
        <f ca="1">IFERROR(__xludf.DUMMYFUNCTION("""COMPUTED_VALUE"""),"This will be hard to do, but if it is the right company I would try")</f>
        <v>This will be hard to do, but if it is the right company I would try</v>
      </c>
      <c r="H2486" s="1" t="str">
        <f ca="1">IFERROR(__xludf.DUMMYFUNCTION("""COMPUTED_VALUE"""),"No")</f>
        <v>No</v>
      </c>
      <c r="I2486" s="1" t="str">
        <f ca="1">IFERROR(__xludf.DUMMYFUNCTION("""COMPUTED_VALUE"""),"Will NOT work for them")</f>
        <v>Will NOT work for them</v>
      </c>
      <c r="J2486" s="1">
        <f ca="1">IFERROR(__xludf.DUMMYFUNCTION("""COMPUTED_VALUE"""),1)</f>
        <v>1</v>
      </c>
      <c r="K2486" s="1" t="str">
        <f ca="1">IFERROR(__xludf.DUMMYFUNCTION("""COMPUTED_VALUE"""),"Fully Remote with Options to travel as and when needed")</f>
        <v>Fully Remote with Options to travel as and when needed</v>
      </c>
      <c r="L24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8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86" s="1" t="str">
        <f ca="1">IFERROR(__xludf.DUMMYFUNCTION("""COMPUTED_VALUE"""),"Design and Creative strategy in any company, Business Operations in any organization, Design and Develop amazing software, Look deeply into Data and generate insights")</f>
        <v>Design and Creative strategy in any company, Business Operations in any organization, Design and Develop amazing software, Look deeply into Data and generate insights</v>
      </c>
      <c r="O2486" s="1" t="str">
        <f ca="1">IFERROR(__xludf.DUMMYFUNCTION("""COMPUTED_VALUE"""),"Manager who explains what is expected, sets a goal and helps achieve it")</f>
        <v>Manager who explains what is expected, sets a goal and helps achieve it</v>
      </c>
      <c r="P2486" s="1" t="str">
        <f ca="1">IFERROR(__xludf.DUMMYFUNCTION("""COMPUTED_VALUE"""),"Work alone")</f>
        <v>Work alone</v>
      </c>
      <c r="Q2486" s="1" t="str">
        <f ca="1">IFERROR(__xludf.DUMMYFUNCTION("""COMPUTED_VALUE"""),"Yes, I Understand this is gonna happen everywhere")</f>
        <v>Yes, I Understand this is gonna happen everywhere</v>
      </c>
      <c r="R2486" s="1" t="str">
        <f ca="1">IFERROR(__xludf.DUMMYFUNCTION("""COMPUTED_VALUE"""),"No way")</f>
        <v>No way</v>
      </c>
      <c r="S2486" s="1" t="str">
        <f ca="1">IFERROR(__xludf.DUMMYFUNCTION("""COMPUTED_VALUE"""),"chaugulesakshi04@gmail.com")</f>
        <v>chaugulesakshi04@gmail.com</v>
      </c>
    </row>
    <row r="2487" spans="1:19" ht="12.5" x14ac:dyDescent="0.25">
      <c r="A2487" s="2">
        <f ca="1">IFERROR(__xludf.DUMMYFUNCTION("""COMPUTED_VALUE"""),45064.9379996875)</f>
        <v>45064.9379996875</v>
      </c>
      <c r="B2487" s="1" t="str">
        <f ca="1">IFERROR(__xludf.DUMMYFUNCTION("""COMPUTED_VALUE"""),"India")</f>
        <v>India</v>
      </c>
      <c r="C2487" s="1">
        <f ca="1">IFERROR(__xludf.DUMMYFUNCTION("""COMPUTED_VALUE"""),380008)</f>
        <v>380008</v>
      </c>
      <c r="D2487" s="1" t="str">
        <f ca="1">IFERROR(__xludf.DUMMYFUNCTION("""COMPUTED_VALUE"""),"Male")</f>
        <v>Male</v>
      </c>
      <c r="E2487" s="1" t="str">
        <f ca="1">IFERROR(__xludf.DUMMYFUNCTION("""COMPUTED_VALUE"""),"Influencers who had successful careers")</f>
        <v>Influencers who had successful careers</v>
      </c>
      <c r="F2487" s="1" t="str">
        <f ca="1">IFERROR(__xludf.DUMMYFUNCTION("""COMPUTED_VALUE"""),"No I would not be pursuing Higher Education outside of India")</f>
        <v>No I would not be pursuing Higher Education outside of India</v>
      </c>
      <c r="G2487" s="1" t="str">
        <f ca="1">IFERROR(__xludf.DUMMYFUNCTION("""COMPUTED_VALUE"""),"This will be hard to do, but if it is the right company I would try")</f>
        <v>This will be hard to do, but if it is the right company I would try</v>
      </c>
      <c r="H2487" s="1" t="str">
        <f ca="1">IFERROR(__xludf.DUMMYFUNCTION("""COMPUTED_VALUE"""),"Yes")</f>
        <v>Yes</v>
      </c>
      <c r="I2487" s="1" t="str">
        <f ca="1">IFERROR(__xludf.DUMMYFUNCTION("""COMPUTED_VALUE"""),"Will NOT work for them")</f>
        <v>Will NOT work for them</v>
      </c>
      <c r="J2487" s="1">
        <f ca="1">IFERROR(__xludf.DUMMYFUNCTION("""COMPUTED_VALUE"""),8)</f>
        <v>8</v>
      </c>
      <c r="K2487" s="1" t="str">
        <f ca="1">IFERROR(__xludf.DUMMYFUNCTION("""COMPUTED_VALUE"""),"Every Day Office Environment")</f>
        <v>Every Day Office Environment</v>
      </c>
      <c r="L24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8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87" s="1" t="str">
        <f ca="1">IFERROR(__xludf.DUMMYFUNCTION("""COMPUTED_VALUE"""),"Teaching in any of the institutes/colleges/online or offline, Design and Develop amazing software, Work as a freelancer and do my thing my way, Become a content Creator in some platform")</f>
        <v>Teaching in any of the institutes/colleges/online or offline, Design and Develop amazing software, Work as a freelancer and do my thing my way, Become a content Creator in some platform</v>
      </c>
      <c r="O2487" s="1" t="str">
        <f ca="1">IFERROR(__xludf.DUMMYFUNCTION("""COMPUTED_VALUE"""),"Manager who explains what is expected, sets a goal and helps achieve it")</f>
        <v>Manager who explains what is expected, sets a goal and helps achieve it</v>
      </c>
      <c r="P2487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487" s="1" t="str">
        <f ca="1">IFERROR(__xludf.DUMMYFUNCTION("""COMPUTED_VALUE"""),"Yes, I Understand this is gonna happen everywhere")</f>
        <v>Yes, I Understand this is gonna happen everywhere</v>
      </c>
      <c r="R2487" s="1" t="str">
        <f ca="1">IFERROR(__xludf.DUMMYFUNCTION("""COMPUTED_VALUE"""),"This will be hard to do, but if it is the right company I would try")</f>
        <v>This will be hard to do, but if it is the right company I would try</v>
      </c>
      <c r="S2487" s="1" t="str">
        <f ca="1">IFERROR(__xludf.DUMMYFUNCTION("""COMPUTED_VALUE"""),"202212012@daiict.ac.in")</f>
        <v>202212012@daiict.ac.in</v>
      </c>
    </row>
    <row r="2488" spans="1:19" ht="12.5" x14ac:dyDescent="0.25">
      <c r="A2488" s="2">
        <f ca="1">IFERROR(__xludf.DUMMYFUNCTION("""COMPUTED_VALUE"""),45064.9457387731)</f>
        <v>45064.945738773102</v>
      </c>
      <c r="B2488" s="1" t="str">
        <f ca="1">IFERROR(__xludf.DUMMYFUNCTION("""COMPUTED_VALUE"""),"India")</f>
        <v>India</v>
      </c>
      <c r="C2488" s="1">
        <f ca="1">IFERROR(__xludf.DUMMYFUNCTION("""COMPUTED_VALUE"""),560064)</f>
        <v>560064</v>
      </c>
      <c r="D2488" s="1" t="str">
        <f ca="1">IFERROR(__xludf.DUMMYFUNCTION("""COMPUTED_VALUE"""),"Female")</f>
        <v>Female</v>
      </c>
      <c r="E2488" s="1" t="str">
        <f ca="1">IFERROR(__xludf.DUMMYFUNCTION("""COMPUTED_VALUE"""),"Influencers who had successful careers")</f>
        <v>Influencers who had successful careers</v>
      </c>
      <c r="F2488" s="1" t="str">
        <f ca="1">IFERROR(__xludf.DUMMYFUNCTION("""COMPUTED_VALUE"""),"No I would not be pursuing Higher Education outside of India")</f>
        <v>No I would not be pursuing Higher Education outside of India</v>
      </c>
      <c r="G2488" s="1" t="str">
        <f ca="1">IFERROR(__xludf.DUMMYFUNCTION("""COMPUTED_VALUE"""),"Will work for 3 years or more")</f>
        <v>Will work for 3 years or more</v>
      </c>
      <c r="H2488" s="1" t="str">
        <f ca="1">IFERROR(__xludf.DUMMYFUNCTION("""COMPUTED_VALUE"""),"No")</f>
        <v>No</v>
      </c>
      <c r="I2488" s="1" t="str">
        <f ca="1">IFERROR(__xludf.DUMMYFUNCTION("""COMPUTED_VALUE"""),"Will NOT work for them")</f>
        <v>Will NOT work for them</v>
      </c>
      <c r="J2488" s="1">
        <f ca="1">IFERROR(__xludf.DUMMYFUNCTION("""COMPUTED_VALUE"""),5)</f>
        <v>5</v>
      </c>
      <c r="K2488" s="1" t="str">
        <f ca="1">IFERROR(__xludf.DUMMYFUNCTION("""COMPUTED_VALUE"""),"Fully Remote with No option to visit offices")</f>
        <v>Fully Remote with No option to visit offices</v>
      </c>
      <c r="L2488" s="1" t="str">
        <f ca="1">IFERROR(__xludf.DUMMYFUNCTION("""COMPUTED_VALUE"""),"Employer who rewards learning and enables that environment")</f>
        <v>Employer who rewards learning and enables that environment</v>
      </c>
      <c r="M248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88" s="1" t="str">
        <f ca="1">IFERROR(__xludf.DUMMYFUNCTION("""COMPUTED_VALUE"""),"Teaching in any of the institutes/colleges/online or offline, Business Operations in any organization, Manage and drive End-to-End Projects or Products, Entrepreneur or Start Up")</f>
        <v>Teaching in any of the institutes/colleges/online or offline, Business Operations in any organization, Manage and drive End-to-End Projects or Products, Entrepreneur or Start Up</v>
      </c>
      <c r="O2488" s="1" t="str">
        <f ca="1">IFERROR(__xludf.DUMMYFUNCTION("""COMPUTED_VALUE"""),"Manager who clearly describes what she/he needs")</f>
        <v>Manager who clearly describes what she/he needs</v>
      </c>
      <c r="P2488" s="1" t="str">
        <f ca="1">IFERROR(__xludf.DUMMYFUNCTION("""COMPUTED_VALUE"""),"Work with 2 to 3 people in my team")</f>
        <v>Work with 2 to 3 people in my team</v>
      </c>
      <c r="Q2488" s="1" t="str">
        <f ca="1">IFERROR(__xludf.DUMMYFUNCTION("""COMPUTED_VALUE"""),"Yes, I Understand this is gonna happen everywhere")</f>
        <v>Yes, I Understand this is gonna happen everywhere</v>
      </c>
      <c r="R2488" s="1" t="str">
        <f ca="1">IFERROR(__xludf.DUMMYFUNCTION("""COMPUTED_VALUE"""),"This will be hard to do, but if it is the right company I would try")</f>
        <v>This will be hard to do, but if it is the right company I would try</v>
      </c>
      <c r="S2488" s="1" t="str">
        <f ca="1">IFERROR(__xludf.DUMMYFUNCTION("""COMPUTED_VALUE"""),"anilareddy0905@gmail.com")</f>
        <v>anilareddy0905@gmail.com</v>
      </c>
    </row>
    <row r="2489" spans="1:19" ht="12.5" x14ac:dyDescent="0.25">
      <c r="A2489" s="2">
        <f ca="1">IFERROR(__xludf.DUMMYFUNCTION("""COMPUTED_VALUE"""),45064.9459974537)</f>
        <v>45064.945997453702</v>
      </c>
      <c r="B2489" s="1" t="str">
        <f ca="1">IFERROR(__xludf.DUMMYFUNCTION("""COMPUTED_VALUE"""),"India")</f>
        <v>India</v>
      </c>
      <c r="C2489" s="1">
        <f ca="1">IFERROR(__xludf.DUMMYFUNCTION("""COMPUTED_VALUE"""),560068)</f>
        <v>560068</v>
      </c>
      <c r="D2489" s="1" t="str">
        <f ca="1">IFERROR(__xludf.DUMMYFUNCTION("""COMPUTED_VALUE"""),"Female")</f>
        <v>Female</v>
      </c>
      <c r="E2489" s="1" t="str">
        <f ca="1">IFERROR(__xludf.DUMMYFUNCTION("""COMPUTED_VALUE"""),"People from my circle, but not family members")</f>
        <v>People from my circle, but not family members</v>
      </c>
      <c r="F2489" s="1" t="str">
        <f ca="1">IFERROR(__xludf.DUMMYFUNCTION("""COMPUTED_VALUE"""),"No, But if someone could bare the cost I will")</f>
        <v>No, But if someone could bare the cost I will</v>
      </c>
      <c r="G2489" s="1" t="str">
        <f ca="1">IFERROR(__xludf.DUMMYFUNCTION("""COMPUTED_VALUE"""),"This will be hard to do, but if it is the right company I would try")</f>
        <v>This will be hard to do, but if it is the right company I would try</v>
      </c>
      <c r="H2489" s="1" t="str">
        <f ca="1">IFERROR(__xludf.DUMMYFUNCTION("""COMPUTED_VALUE"""),"No")</f>
        <v>No</v>
      </c>
      <c r="I2489" s="1" t="str">
        <f ca="1">IFERROR(__xludf.DUMMYFUNCTION("""COMPUTED_VALUE"""),"Will NOT work for them")</f>
        <v>Will NOT work for them</v>
      </c>
      <c r="J2489" s="1">
        <f ca="1">IFERROR(__xludf.DUMMYFUNCTION("""COMPUTED_VALUE"""),4)</f>
        <v>4</v>
      </c>
      <c r="K2489" s="1" t="str">
        <f ca="1">IFERROR(__xludf.DUMMYFUNCTION("""COMPUTED_VALUE"""),"Fully Remote with Options to travel as and when needed")</f>
        <v>Fully Remote with Options to travel as and when needed</v>
      </c>
      <c r="L24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89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489" s="1" t="str">
        <f ca="1">IFERROR(__xludf.DUMMYFUNCTION("""COMPUTED_VALUE"""),"Teaching in any of the institutes/colleges/online or offline, Manage and drive End-to-End Projects or Products, Build and develop a Team, Work as a freelancer and do my thing my way")</f>
        <v>Teaching in any of the institutes/colleges/online or offline, Manage and drive End-to-End Projects or Products, Build and develop a Team, Work as a freelancer and do my thing my way</v>
      </c>
      <c r="O2489" s="1" t="str">
        <f ca="1">IFERROR(__xludf.DUMMYFUNCTION("""COMPUTED_VALUE"""),"Manager who explains what is expected, sets a goal and helps achieve it")</f>
        <v>Manager who explains what is expected, sets a goal and helps achieve it</v>
      </c>
      <c r="P2489" s="1" t="str">
        <f ca="1">IFERROR(__xludf.DUMMYFUNCTION("""COMPUTED_VALUE"""),"Work with 2 to 3 people in my team")</f>
        <v>Work with 2 to 3 people in my team</v>
      </c>
      <c r="Q2489" s="1" t="str">
        <f ca="1">IFERROR(__xludf.DUMMYFUNCTION("""COMPUTED_VALUE"""),"Yes, I Understand this is gonna happen everywhere")</f>
        <v>Yes, I Understand this is gonna happen everywhere</v>
      </c>
      <c r="R2489" s="1" t="str">
        <f ca="1">IFERROR(__xludf.DUMMYFUNCTION("""COMPUTED_VALUE"""),"This will be hard to do, but if it is the right company I would try")</f>
        <v>This will be hard to do, but if it is the right company I would try</v>
      </c>
      <c r="S2489" s="1" t="str">
        <f ca="1">IFERROR(__xludf.DUMMYFUNCTION("""COMPUTED_VALUE"""),"deekulal2107@gmail.com")</f>
        <v>deekulal2107@gmail.com</v>
      </c>
    </row>
    <row r="2490" spans="1:19" ht="12.5" x14ac:dyDescent="0.25">
      <c r="A2490" s="2">
        <f ca="1">IFERROR(__xludf.DUMMYFUNCTION("""COMPUTED_VALUE"""),45064.9462616782)</f>
        <v>45064.946261678197</v>
      </c>
      <c r="B2490" s="1" t="str">
        <f ca="1">IFERROR(__xludf.DUMMYFUNCTION("""COMPUTED_VALUE"""),"India")</f>
        <v>India</v>
      </c>
      <c r="C2490" s="1">
        <f ca="1">IFERROR(__xludf.DUMMYFUNCTION("""COMPUTED_VALUE"""),411042)</f>
        <v>411042</v>
      </c>
      <c r="D2490" s="1" t="str">
        <f ca="1">IFERROR(__xludf.DUMMYFUNCTION("""COMPUTED_VALUE"""),"Female")</f>
        <v>Female</v>
      </c>
      <c r="E2490" s="1" t="str">
        <f ca="1">IFERROR(__xludf.DUMMYFUNCTION("""COMPUTED_VALUE"""),"My Parents")</f>
        <v>My Parents</v>
      </c>
      <c r="F2490" s="1" t="str">
        <f ca="1">IFERROR(__xludf.DUMMYFUNCTION("""COMPUTED_VALUE"""),"No I would not be pursuing Higher Education outside of India")</f>
        <v>No I would not be pursuing Higher Education outside of India</v>
      </c>
      <c r="G2490" s="1" t="str">
        <f ca="1">IFERROR(__xludf.DUMMYFUNCTION("""COMPUTED_VALUE"""),"Will work for 3 years or more")</f>
        <v>Will work for 3 years or more</v>
      </c>
      <c r="H2490" s="1" t="str">
        <f ca="1">IFERROR(__xludf.DUMMYFUNCTION("""COMPUTED_VALUE"""),"No")</f>
        <v>No</v>
      </c>
      <c r="I2490" s="1" t="str">
        <f ca="1">IFERROR(__xludf.DUMMYFUNCTION("""COMPUTED_VALUE"""),"Will NOT work for them")</f>
        <v>Will NOT work for them</v>
      </c>
      <c r="J2490" s="1">
        <f ca="1">IFERROR(__xludf.DUMMYFUNCTION("""COMPUTED_VALUE"""),7)</f>
        <v>7</v>
      </c>
      <c r="K2490" s="1" t="str">
        <f ca="1">IFERROR(__xludf.DUMMYFUNCTION("""COMPUTED_VALUE"""),"Hybrid Working Environment with less than 3 days a month at office")</f>
        <v>Hybrid Working Environment with less than 3 days a month at office</v>
      </c>
      <c r="L24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490" s="1" t="str">
        <f ca="1">IFERROR(__xludf.DUMMYFUNCTION("""COMPUTED_VALUE"""),"Teaching in any of the institutes/colleges/online or offline, Business Operations in any organization, Manage and drive End-to-End Projects or Products, Entrepreneur or Start Up")</f>
        <v>Teaching in any of the institutes/colleges/online or offline, Business Operations in any organization, Manage and drive End-to-End Projects or Products, Entrepreneur or Start Up</v>
      </c>
      <c r="O2490" s="1" t="str">
        <f ca="1">IFERROR(__xludf.DUMMYFUNCTION("""COMPUTED_VALUE"""),"Manager who explains what is expected, sets a goal and helps achieve it")</f>
        <v>Manager who explains what is expected, sets a goal and helps achieve it</v>
      </c>
      <c r="P249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490" s="1" t="str">
        <f ca="1">IFERROR(__xludf.DUMMYFUNCTION("""COMPUTED_VALUE"""),"Yes, I Understand this is gonna happen everywhere")</f>
        <v>Yes, I Understand this is gonna happen everywhere</v>
      </c>
      <c r="R2490" s="1" t="str">
        <f ca="1">IFERROR(__xludf.DUMMYFUNCTION("""COMPUTED_VALUE"""),"Will work for 7 years or more")</f>
        <v>Will work for 7 years or more</v>
      </c>
      <c r="S2490" s="1" t="str">
        <f ca="1">IFERROR(__xludf.DUMMYFUNCTION("""COMPUTED_VALUE"""),"juikandge777@gmail.com")</f>
        <v>juikandge777@gmail.com</v>
      </c>
    </row>
    <row r="2491" spans="1:19" ht="12.5" x14ac:dyDescent="0.25">
      <c r="A2491" s="2">
        <f ca="1">IFERROR(__xludf.DUMMYFUNCTION("""COMPUTED_VALUE"""),45064.9491200925)</f>
        <v>45064.949120092497</v>
      </c>
      <c r="B2491" s="1" t="str">
        <f ca="1">IFERROR(__xludf.DUMMYFUNCTION("""COMPUTED_VALUE"""),"India")</f>
        <v>India</v>
      </c>
      <c r="C2491" s="1">
        <f ca="1">IFERROR(__xludf.DUMMYFUNCTION("""COMPUTED_VALUE"""),560087)</f>
        <v>560087</v>
      </c>
      <c r="D2491" s="1" t="str">
        <f ca="1">IFERROR(__xludf.DUMMYFUNCTION("""COMPUTED_VALUE"""),"Female")</f>
        <v>Female</v>
      </c>
      <c r="E2491" s="1" t="str">
        <f ca="1">IFERROR(__xludf.DUMMYFUNCTION("""COMPUTED_VALUE"""),"Influencers who had successful careers")</f>
        <v>Influencers who had successful careers</v>
      </c>
      <c r="F2491" s="1" t="str">
        <f ca="1">IFERROR(__xludf.DUMMYFUNCTION("""COMPUTED_VALUE"""),"Yes, I will earn and do that")</f>
        <v>Yes, I will earn and do that</v>
      </c>
      <c r="G2491" s="1" t="str">
        <f ca="1">IFERROR(__xludf.DUMMYFUNCTION("""COMPUTED_VALUE"""),"This will be hard to do, but if it is the right company I would try")</f>
        <v>This will be hard to do, but if it is the right company I would try</v>
      </c>
      <c r="H2491" s="1" t="str">
        <f ca="1">IFERROR(__xludf.DUMMYFUNCTION("""COMPUTED_VALUE"""),"No")</f>
        <v>No</v>
      </c>
      <c r="I2491" s="1" t="str">
        <f ca="1">IFERROR(__xludf.DUMMYFUNCTION("""COMPUTED_VALUE"""),"Will NOT work for them")</f>
        <v>Will NOT work for them</v>
      </c>
      <c r="J2491" s="1">
        <f ca="1">IFERROR(__xludf.DUMMYFUNCTION("""COMPUTED_VALUE"""),4)</f>
        <v>4</v>
      </c>
      <c r="K2491" s="1" t="str">
        <f ca="1">IFERROR(__xludf.DUMMYFUNCTION("""COMPUTED_VALUE"""),"Hybrid Working Environment with more than 15 days a month at office")</f>
        <v>Hybrid Working Environment with more than 15 days a month at office</v>
      </c>
      <c r="L24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1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491" s="1" t="str">
        <f ca="1">IFERROR(__xludf.DUMMYFUNCTION("""COMPUTED_VALUE"""),"Design and Creative strategy in any company, Manage and drive End-to-End Projects or Products, Design and Develop amazing software, Entrepreneur or Start Up")</f>
        <v>Design and Creative strategy in any company, Manage and drive End-to-End Projects or Products, Design and Develop amazing software, Entrepreneur or Start Up</v>
      </c>
      <c r="O2491" s="1" t="str">
        <f ca="1">IFERROR(__xludf.DUMMYFUNCTION("""COMPUTED_VALUE"""),"Manager who sets goal and helps me achieve it")</f>
        <v>Manager who sets goal and helps me achieve it</v>
      </c>
      <c r="P2491" s="1" t="str">
        <f ca="1">IFERROR(__xludf.DUMMYFUNCTION("""COMPUTED_VALUE"""),"Work with more than 10 people in my team")</f>
        <v>Work with more than 10 people in my team</v>
      </c>
      <c r="Q2491" s="1" t="str">
        <f ca="1">IFERROR(__xludf.DUMMYFUNCTION("""COMPUTED_VALUE"""),"No")</f>
        <v>No</v>
      </c>
      <c r="R2491" s="1" t="str">
        <f ca="1">IFERROR(__xludf.DUMMYFUNCTION("""COMPUTED_VALUE"""),"This will be hard to do, but if it is the right company I would try")</f>
        <v>This will be hard to do, but if it is the right company I would try</v>
      </c>
      <c r="S2491" s="1" t="str">
        <f ca="1">IFERROR(__xludf.DUMMYFUNCTION("""COMPUTED_VALUE"""),"archanakumar2001@gmail.com")</f>
        <v>archanakumar2001@gmail.com</v>
      </c>
    </row>
    <row r="2492" spans="1:19" ht="12.5" x14ac:dyDescent="0.25">
      <c r="A2492" s="2">
        <f ca="1">IFERROR(__xludf.DUMMYFUNCTION("""COMPUTED_VALUE"""),45064.9523551157)</f>
        <v>45064.952355115704</v>
      </c>
      <c r="B2492" s="1" t="str">
        <f ca="1">IFERROR(__xludf.DUMMYFUNCTION("""COMPUTED_VALUE"""),"India")</f>
        <v>India</v>
      </c>
      <c r="C2492" s="1">
        <f ca="1">IFERROR(__xludf.DUMMYFUNCTION("""COMPUTED_VALUE"""),122105)</f>
        <v>122105</v>
      </c>
      <c r="D2492" s="1" t="str">
        <f ca="1">IFERROR(__xludf.DUMMYFUNCTION("""COMPUTED_VALUE"""),"Male")</f>
        <v>Male</v>
      </c>
      <c r="E2492" s="1" t="str">
        <f ca="1">IFERROR(__xludf.DUMMYFUNCTION("""COMPUTED_VALUE"""),"My Parents")</f>
        <v>My Parents</v>
      </c>
      <c r="F2492" s="1" t="str">
        <f ca="1">IFERROR(__xludf.DUMMYFUNCTION("""COMPUTED_VALUE"""),"No I would not be pursuing Higher Education outside of India")</f>
        <v>No I would not be pursuing Higher Education outside of India</v>
      </c>
      <c r="G2492" s="1" t="str">
        <f ca="1">IFERROR(__xludf.DUMMYFUNCTION("""COMPUTED_VALUE"""),"This will be hard to do, but if it is the right company I would try")</f>
        <v>This will be hard to do, but if it is the right company I would try</v>
      </c>
      <c r="H2492" s="1" t="str">
        <f ca="1">IFERROR(__xludf.DUMMYFUNCTION("""COMPUTED_VALUE"""),"No")</f>
        <v>No</v>
      </c>
      <c r="I2492" s="1" t="str">
        <f ca="1">IFERROR(__xludf.DUMMYFUNCTION("""COMPUTED_VALUE"""),"Will NOT work for them")</f>
        <v>Will NOT work for them</v>
      </c>
      <c r="J2492" s="1">
        <f ca="1">IFERROR(__xludf.DUMMYFUNCTION("""COMPUTED_VALUE"""),4)</f>
        <v>4</v>
      </c>
      <c r="K2492" s="1" t="str">
        <f ca="1">IFERROR(__xludf.DUMMYFUNCTION("""COMPUTED_VALUE"""),"Fully Remote with Options to travel as and when needed")</f>
        <v>Fully Remote with Options to travel as and when needed</v>
      </c>
      <c r="L2492" s="1" t="str">
        <f ca="1">IFERROR(__xludf.DUMMYFUNCTION("""COMPUTED_VALUE"""),"Employer who rewards learning and enables that environment")</f>
        <v>Employer who rewards learning and enables that environment</v>
      </c>
      <c r="M249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492" s="1" t="str">
        <f ca="1">IFERROR(__xludf.DUMMYFUNCTION("""COMPUTED_VALUE"""),"Build and develop a Team, Design and Develop amazing software, Entrepreneur or Start Up, An Artificial Intelligence Specialist / Talking to Robots")</f>
        <v>Build and develop a Team, Design and Develop amazing software, Entrepreneur or Start Up, An Artificial Intelligence Specialist / Talking to Robots</v>
      </c>
      <c r="O2492" s="1" t="str">
        <f ca="1">IFERROR(__xludf.DUMMYFUNCTION("""COMPUTED_VALUE"""),"Manager who sets goal and helps me achieve it")</f>
        <v>Manager who sets goal and helps me achieve it</v>
      </c>
      <c r="P2492" s="1" t="str">
        <f ca="1">IFERROR(__xludf.DUMMYFUNCTION("""COMPUTED_VALUE"""),"Work alone, Work with 2 to 3 people in my team")</f>
        <v>Work alone, Work with 2 to 3 people in my team</v>
      </c>
      <c r="Q2492" s="1" t="str">
        <f ca="1">IFERROR(__xludf.DUMMYFUNCTION("""COMPUTED_VALUE"""),"I have NO other choice")</f>
        <v>I have NO other choice</v>
      </c>
      <c r="R2492" s="1" t="str">
        <f ca="1">IFERROR(__xludf.DUMMYFUNCTION("""COMPUTED_VALUE"""),"This will be hard to do, but if it is the right company I would try")</f>
        <v>This will be hard to do, but if it is the right company I would try</v>
      </c>
      <c r="S2492" s="1" t="str">
        <f ca="1">IFERROR(__xludf.DUMMYFUNCTION("""COMPUTED_VALUE"""),"nalinbhardwaj@gmail.com")</f>
        <v>nalinbhardwaj@gmail.com</v>
      </c>
    </row>
    <row r="2493" spans="1:19" ht="12.5" x14ac:dyDescent="0.25">
      <c r="A2493" s="2">
        <f ca="1">IFERROR(__xludf.DUMMYFUNCTION("""COMPUTED_VALUE"""),45064.9538068633)</f>
        <v>45064.953806863399</v>
      </c>
      <c r="B2493" s="1" t="str">
        <f ca="1">IFERROR(__xludf.DUMMYFUNCTION("""COMPUTED_VALUE"""),"India")</f>
        <v>India</v>
      </c>
      <c r="C2493" s="1">
        <f ca="1">IFERROR(__xludf.DUMMYFUNCTION("""COMPUTED_VALUE"""),563161)</f>
        <v>563161</v>
      </c>
      <c r="D2493" s="1" t="str">
        <f ca="1">IFERROR(__xludf.DUMMYFUNCTION("""COMPUTED_VALUE"""),"Male")</f>
        <v>Male</v>
      </c>
      <c r="E2493" s="1" t="str">
        <f ca="1">IFERROR(__xludf.DUMMYFUNCTION("""COMPUTED_VALUE"""),"People from my circle, but not family members")</f>
        <v>People from my circle, but not family members</v>
      </c>
      <c r="F2493" s="1" t="str">
        <f ca="1">IFERROR(__xludf.DUMMYFUNCTION("""COMPUTED_VALUE"""),"No I would not be pursuing Higher Education outside of India")</f>
        <v>No I would not be pursuing Higher Education outside of India</v>
      </c>
      <c r="G2493" s="1" t="str">
        <f ca="1">IFERROR(__xludf.DUMMYFUNCTION("""COMPUTED_VALUE"""),"This will be hard to do, but if it is the right company I would try")</f>
        <v>This will be hard to do, but if it is the right company I would try</v>
      </c>
      <c r="H2493" s="1" t="str">
        <f ca="1">IFERROR(__xludf.DUMMYFUNCTION("""COMPUTED_VALUE"""),"No")</f>
        <v>No</v>
      </c>
      <c r="I2493" s="1" t="str">
        <f ca="1">IFERROR(__xludf.DUMMYFUNCTION("""COMPUTED_VALUE"""),"Will NOT work for them")</f>
        <v>Will NOT work for them</v>
      </c>
      <c r="J2493" s="1">
        <f ca="1">IFERROR(__xludf.DUMMYFUNCTION("""COMPUTED_VALUE"""),5)</f>
        <v>5</v>
      </c>
      <c r="K2493" s="1" t="str">
        <f ca="1">IFERROR(__xludf.DUMMYFUNCTION("""COMPUTED_VALUE"""),"Hybrid Working Environment with more than 15 days a month at office")</f>
        <v>Hybrid Working Environment with more than 15 days a month at office</v>
      </c>
      <c r="L24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93" s="1" t="str">
        <f ca="1">IFERROR(__xludf.DUMMYFUNCTION("""COMPUTED_VALUE"""),"Design and Creative strategy in any company, Manage and drive End-to-End Projects or Products, Design and Develop amazing software, An Artificial Intelligence Specialist / Talking to Robots")</f>
        <v>Design and Creative strategy in any company, Manage and drive End-to-End Projects or Products, Design and Develop amazing software, An Artificial Intelligence Specialist / Talking to Robots</v>
      </c>
      <c r="O2493" s="1" t="str">
        <f ca="1">IFERROR(__xludf.DUMMYFUNCTION("""COMPUTED_VALUE"""),"Manager who clearly describes what she/he needs")</f>
        <v>Manager who clearly describes what she/he needs</v>
      </c>
      <c r="P2493" s="1" t="str">
        <f ca="1">IFERROR(__xludf.DUMMYFUNCTION("""COMPUTED_VALUE"""),"Work with 7 to 10 or more people in my team")</f>
        <v>Work with 7 to 10 or more people in my team</v>
      </c>
      <c r="Q2493" s="1" t="str">
        <f ca="1">IFERROR(__xludf.DUMMYFUNCTION("""COMPUTED_VALUE"""),"I have NO other choice")</f>
        <v>I have NO other choice</v>
      </c>
      <c r="R2493" s="1" t="str">
        <f ca="1">IFERROR(__xludf.DUMMYFUNCTION("""COMPUTED_VALUE"""),"This will be hard to do, but if it is the right company I would try")</f>
        <v>This will be hard to do, but if it is the right company I would try</v>
      </c>
      <c r="S2493" s="1" t="str">
        <f ca="1">IFERROR(__xludf.DUMMYFUNCTION("""COMPUTED_VALUE"""),"vivekpatil.042000@gmail.com")</f>
        <v>vivekpatil.042000@gmail.com</v>
      </c>
    </row>
    <row r="2494" spans="1:19" ht="12.5" x14ac:dyDescent="0.25">
      <c r="A2494" s="2">
        <f ca="1">IFERROR(__xludf.DUMMYFUNCTION("""COMPUTED_VALUE"""),45064.9552931828)</f>
        <v>45064.9552931828</v>
      </c>
      <c r="B2494" s="1" t="str">
        <f ca="1">IFERROR(__xludf.DUMMYFUNCTION("""COMPUTED_VALUE"""),"India")</f>
        <v>India</v>
      </c>
      <c r="C2494" s="1">
        <f ca="1">IFERROR(__xludf.DUMMYFUNCTION("""COMPUTED_VALUE"""),474001)</f>
        <v>474001</v>
      </c>
      <c r="D2494" s="1" t="str">
        <f ca="1">IFERROR(__xludf.DUMMYFUNCTION("""COMPUTED_VALUE"""),"Male")</f>
        <v>Male</v>
      </c>
      <c r="E2494" s="1" t="str">
        <f ca="1">IFERROR(__xludf.DUMMYFUNCTION("""COMPUTED_VALUE"""),"Social Media like LinkedIn")</f>
        <v>Social Media like LinkedIn</v>
      </c>
      <c r="F2494" s="1" t="str">
        <f ca="1">IFERROR(__xludf.DUMMYFUNCTION("""COMPUTED_VALUE"""),"Yes, I will earn and do that")</f>
        <v>Yes, I will earn and do that</v>
      </c>
      <c r="G2494" s="1" t="str">
        <f ca="1">IFERROR(__xludf.DUMMYFUNCTION("""COMPUTED_VALUE"""),"Will work for 3 years or more")</f>
        <v>Will work for 3 years or more</v>
      </c>
      <c r="H2494" s="1" t="str">
        <f ca="1">IFERROR(__xludf.DUMMYFUNCTION("""COMPUTED_VALUE"""),"No")</f>
        <v>No</v>
      </c>
      <c r="I2494" s="1" t="str">
        <f ca="1">IFERROR(__xludf.DUMMYFUNCTION("""COMPUTED_VALUE"""),"Will NOT work for them")</f>
        <v>Will NOT work for them</v>
      </c>
      <c r="J2494" s="1">
        <f ca="1">IFERROR(__xludf.DUMMYFUNCTION("""COMPUTED_VALUE"""),5)</f>
        <v>5</v>
      </c>
      <c r="K2494" s="1" t="str">
        <f ca="1">IFERROR(__xludf.DUMMYFUNCTION("""COMPUTED_VALUE"""),"Fully Remote with Options to travel as and when needed")</f>
        <v>Fully Remote with Options to travel as and when needed</v>
      </c>
      <c r="L24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94" s="1" t="str">
        <f ca="1">IFERROR(__xludf.DUMMYFUNCTION("""COMPUTED_VALUE"""),"Business Operations in any organization, Manage and drive End-to-End Projects or Products, Entrepreneur or Start Up, An Artificial Intelligence Specialist / Talking to Robots")</f>
        <v>Business Operations in any organization, Manage and drive End-to-End Projects or Products, Entrepreneur or Start Up, An Artificial Intelligence Specialist / Talking to Robots</v>
      </c>
      <c r="O2494" s="1" t="str">
        <f ca="1">IFERROR(__xludf.DUMMYFUNCTION("""COMPUTED_VALUE"""),"Manager who explains what is expected, sets a goal and helps achieve it")</f>
        <v>Manager who explains what is expected, sets a goal and helps achieve it</v>
      </c>
      <c r="P2494" s="1" t="str">
        <f ca="1">IFERROR(__xludf.DUMMYFUNCTION("""COMPUTED_VALUE"""),"Work with 5 to 6 people in my team")</f>
        <v>Work with 5 to 6 people in my team</v>
      </c>
      <c r="Q2494" s="1" t="str">
        <f ca="1">IFERROR(__xludf.DUMMYFUNCTION("""COMPUTED_VALUE"""),"Yes, I Understand this is gonna happen everywhere")</f>
        <v>Yes, I Understand this is gonna happen everywhere</v>
      </c>
      <c r="R2494" s="1" t="str">
        <f ca="1">IFERROR(__xludf.DUMMYFUNCTION("""COMPUTED_VALUE"""),"This will be hard to do, but if it is the right company I would try")</f>
        <v>This will be hard to do, but if it is the right company I would try</v>
      </c>
      <c r="S2494" s="1" t="str">
        <f ca="1">IFERROR(__xludf.DUMMYFUNCTION("""COMPUTED_VALUE"""),"ayushverma.fbh@gmail.com")</f>
        <v>ayushverma.fbh@gmail.com</v>
      </c>
    </row>
    <row r="2495" spans="1:19" ht="12.5" x14ac:dyDescent="0.25">
      <c r="A2495" s="2">
        <f ca="1">IFERROR(__xludf.DUMMYFUNCTION("""COMPUTED_VALUE"""),45064.9564561342)</f>
        <v>45064.956456134198</v>
      </c>
      <c r="B2495" s="1" t="str">
        <f ca="1">IFERROR(__xludf.DUMMYFUNCTION("""COMPUTED_VALUE"""),"India")</f>
        <v>India</v>
      </c>
      <c r="C2495" s="1">
        <f ca="1">IFERROR(__xludf.DUMMYFUNCTION("""COMPUTED_VALUE"""),412205)</f>
        <v>412205</v>
      </c>
      <c r="D2495" s="1" t="str">
        <f ca="1">IFERROR(__xludf.DUMMYFUNCTION("""COMPUTED_VALUE"""),"Female")</f>
        <v>Female</v>
      </c>
      <c r="E2495" s="1" t="str">
        <f ca="1">IFERROR(__xludf.DUMMYFUNCTION("""COMPUTED_VALUE"""),"Influencers who had successful careers")</f>
        <v>Influencers who had successful careers</v>
      </c>
      <c r="F2495" s="1" t="str">
        <f ca="1">IFERROR(__xludf.DUMMYFUNCTION("""COMPUTED_VALUE"""),"No I would not be pursuing Higher Education outside of India")</f>
        <v>No I would not be pursuing Higher Education outside of India</v>
      </c>
      <c r="G2495" s="1" t="str">
        <f ca="1">IFERROR(__xludf.DUMMYFUNCTION("""COMPUTED_VALUE"""),"This will be hard to do, but if it is the right company I would try")</f>
        <v>This will be hard to do, but if it is the right company I would try</v>
      </c>
      <c r="H2495" s="1" t="str">
        <f ca="1">IFERROR(__xludf.DUMMYFUNCTION("""COMPUTED_VALUE"""),"No")</f>
        <v>No</v>
      </c>
      <c r="I2495" s="1" t="str">
        <f ca="1">IFERROR(__xludf.DUMMYFUNCTION("""COMPUTED_VALUE"""),"Will NOT work for them")</f>
        <v>Will NOT work for them</v>
      </c>
      <c r="J2495" s="1">
        <f ca="1">IFERROR(__xludf.DUMMYFUNCTION("""COMPUTED_VALUE"""),4)</f>
        <v>4</v>
      </c>
      <c r="K2495" s="1" t="str">
        <f ca="1">IFERROR(__xludf.DUMMYFUNCTION("""COMPUTED_VALUE"""),"Hybrid Working Environment with less than 3 days a month at office")</f>
        <v>Hybrid Working Environment with less than 3 days a month at office</v>
      </c>
      <c r="L249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5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495" s="1" t="str">
        <f ca="1">IFERROR(__xludf.DUMMYFUNCTION("""COMPUTED_VALUE"""),"Design and Creative strategy in any company, Manage and drive End-to-End Projects or Products, Work as a freelancer and do my thing my way, Become a content Creator in some platform")</f>
        <v>Design and Creative strategy in any company, Manage and drive End-to-End Projects or Products, Work as a freelancer and do my thing my way, Become a content Creator in some platform</v>
      </c>
      <c r="O2495" s="1" t="str">
        <f ca="1">IFERROR(__xludf.DUMMYFUNCTION("""COMPUTED_VALUE"""),"Manager who sets goal and helps me achieve it")</f>
        <v>Manager who sets goal and helps me achieve it</v>
      </c>
      <c r="P2495" s="1" t="str">
        <f ca="1">IFERROR(__xludf.DUMMYFUNCTION("""COMPUTED_VALUE"""),"Work with 2 to 3 people in my team")</f>
        <v>Work with 2 to 3 people in my team</v>
      </c>
      <c r="Q2495" s="1" t="str">
        <f ca="1">IFERROR(__xludf.DUMMYFUNCTION("""COMPUTED_VALUE"""),"Yes, I Understand this is gonna happen everywhere")</f>
        <v>Yes, I Understand this is gonna happen everywhere</v>
      </c>
      <c r="R2495" s="1" t="str">
        <f ca="1">IFERROR(__xludf.DUMMYFUNCTION("""COMPUTED_VALUE"""),"This will be hard to do, but if it is the right company I would try")</f>
        <v>This will be hard to do, but if it is the right company I would try</v>
      </c>
      <c r="S2495" s="1" t="str">
        <f ca="1">IFERROR(__xludf.DUMMYFUNCTION("""COMPUTED_VALUE"""),"chandgeankita27@gmail.com")</f>
        <v>chandgeankita27@gmail.com</v>
      </c>
    </row>
    <row r="2496" spans="1:19" ht="12.5" x14ac:dyDescent="0.25">
      <c r="A2496" s="2">
        <f ca="1">IFERROR(__xludf.DUMMYFUNCTION("""COMPUTED_VALUE"""),45064.9575481713)</f>
        <v>45064.957548171296</v>
      </c>
      <c r="B2496" s="1" t="str">
        <f ca="1">IFERROR(__xludf.DUMMYFUNCTION("""COMPUTED_VALUE"""),"India")</f>
        <v>India</v>
      </c>
      <c r="C2496" s="1">
        <f ca="1">IFERROR(__xludf.DUMMYFUNCTION("""COMPUTED_VALUE"""),560022)</f>
        <v>560022</v>
      </c>
      <c r="D2496" s="1" t="str">
        <f ca="1">IFERROR(__xludf.DUMMYFUNCTION("""COMPUTED_VALUE"""),"Male")</f>
        <v>Male</v>
      </c>
      <c r="E2496" s="1" t="str">
        <f ca="1">IFERROR(__xludf.DUMMYFUNCTION("""COMPUTED_VALUE"""),"People from my circle, but not family members")</f>
        <v>People from my circle, but not family members</v>
      </c>
      <c r="F2496" s="1" t="str">
        <f ca="1">IFERROR(__xludf.DUMMYFUNCTION("""COMPUTED_VALUE"""),"Yes, I will earn and do that")</f>
        <v>Yes, I will earn and do that</v>
      </c>
      <c r="G2496" s="1" t="str">
        <f ca="1">IFERROR(__xludf.DUMMYFUNCTION("""COMPUTED_VALUE"""),"This will be hard to do, but if it is the right company I would try")</f>
        <v>This will be hard to do, but if it is the right company I would try</v>
      </c>
      <c r="H2496" s="1" t="str">
        <f ca="1">IFERROR(__xludf.DUMMYFUNCTION("""COMPUTED_VALUE"""),"No")</f>
        <v>No</v>
      </c>
      <c r="I2496" s="1" t="str">
        <f ca="1">IFERROR(__xludf.DUMMYFUNCTION("""COMPUTED_VALUE"""),"Will NOT work for them")</f>
        <v>Will NOT work for them</v>
      </c>
      <c r="J2496" s="1">
        <f ca="1">IFERROR(__xludf.DUMMYFUNCTION("""COMPUTED_VALUE"""),5)</f>
        <v>5</v>
      </c>
      <c r="K2496" s="1" t="str">
        <f ca="1">IFERROR(__xludf.DUMMYFUNCTION("""COMPUTED_VALUE"""),"Hybrid Working Environment with more than 15 days a month at office")</f>
        <v>Hybrid Working Environment with more than 15 days a month at office</v>
      </c>
      <c r="L24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96" s="1" t="str">
        <f ca="1">IFERROR(__xludf.DUMMYFUNCTION("""COMPUTED_VALUE"""),"Design and Creative strategy in any company, Teaching in any of the institutes/colleges/online or offline, Build and develop a Team, Entrepreneur or Start Up")</f>
        <v>Design and Creative strategy in any company, Teaching in any of the institutes/colleges/online or offline, Build and develop a Team, Entrepreneur or Start Up</v>
      </c>
      <c r="O2496" s="1" t="str">
        <f ca="1">IFERROR(__xludf.DUMMYFUNCTION("""COMPUTED_VALUE"""),"Manager who explains what is expected, sets a goal and helps achieve it")</f>
        <v>Manager who explains what is expected, sets a goal and helps achieve it</v>
      </c>
      <c r="P2496" s="1" t="str">
        <f ca="1">IFERROR(__xludf.DUMMYFUNCTION("""COMPUTED_VALUE"""),"Work with 2 to 3 people in my team")</f>
        <v>Work with 2 to 3 people in my team</v>
      </c>
      <c r="Q2496" s="1" t="str">
        <f ca="1">IFERROR(__xludf.DUMMYFUNCTION("""COMPUTED_VALUE"""),"No")</f>
        <v>No</v>
      </c>
      <c r="R2496" s="1" t="str">
        <f ca="1">IFERROR(__xludf.DUMMYFUNCTION("""COMPUTED_VALUE"""),"This will be hard to do, but if it is the right company I would try")</f>
        <v>This will be hard to do, but if it is the right company I would try</v>
      </c>
      <c r="S2496" s="1" t="str">
        <f ca="1">IFERROR(__xludf.DUMMYFUNCTION("""COMPUTED_VALUE"""),"roshankalpavruksha8585@gmail.com")</f>
        <v>roshankalpavruksha8585@gmail.com</v>
      </c>
    </row>
    <row r="2497" spans="1:19" ht="12.5" x14ac:dyDescent="0.25">
      <c r="A2497" s="2">
        <f ca="1">IFERROR(__xludf.DUMMYFUNCTION("""COMPUTED_VALUE"""),45064.9642257523)</f>
        <v>45064.964225752301</v>
      </c>
      <c r="B2497" s="1" t="str">
        <f ca="1">IFERROR(__xludf.DUMMYFUNCTION("""COMPUTED_VALUE"""),"India")</f>
        <v>India</v>
      </c>
      <c r="C2497" s="1">
        <f ca="1">IFERROR(__xludf.DUMMYFUNCTION("""COMPUTED_VALUE"""),410206)</f>
        <v>410206</v>
      </c>
      <c r="D2497" s="1" t="str">
        <f ca="1">IFERROR(__xludf.DUMMYFUNCTION("""COMPUTED_VALUE"""),"Female")</f>
        <v>Female</v>
      </c>
      <c r="E2497" s="1" t="str">
        <f ca="1">IFERROR(__xludf.DUMMYFUNCTION("""COMPUTED_VALUE"""),"Social Media like LinkedIn")</f>
        <v>Social Media like LinkedIn</v>
      </c>
      <c r="F2497" s="1" t="str">
        <f ca="1">IFERROR(__xludf.DUMMYFUNCTION("""COMPUTED_VALUE"""),"No I would not be pursuing Higher Education outside of India")</f>
        <v>No I would not be pursuing Higher Education outside of India</v>
      </c>
      <c r="G2497" s="1" t="str">
        <f ca="1">IFERROR(__xludf.DUMMYFUNCTION("""COMPUTED_VALUE"""),"This will be hard to do, but if it is the right company I would try")</f>
        <v>This will be hard to do, but if it is the right company I would try</v>
      </c>
      <c r="H2497" s="1" t="str">
        <f ca="1">IFERROR(__xludf.DUMMYFUNCTION("""COMPUTED_VALUE"""),"No")</f>
        <v>No</v>
      </c>
      <c r="I2497" s="1" t="str">
        <f ca="1">IFERROR(__xludf.DUMMYFUNCTION("""COMPUTED_VALUE"""),"Will NOT work for them")</f>
        <v>Will NOT work for them</v>
      </c>
      <c r="J2497" s="1">
        <f ca="1">IFERROR(__xludf.DUMMYFUNCTION("""COMPUTED_VALUE"""),5)</f>
        <v>5</v>
      </c>
      <c r="K2497" s="1" t="str">
        <f ca="1">IFERROR(__xludf.DUMMYFUNCTION("""COMPUTED_VALUE"""),"Every Day Office Environment")</f>
        <v>Every Day Office Environment</v>
      </c>
      <c r="L24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497" s="1" t="str">
        <f ca="1">IFERROR(__xludf.DUMMYFUNCTION("""COMPUTED_VALUE"""),"Design and Creative strategy in any company, Business Operations in any organization, Manage and drive End-to-End Projects or Products, Work as a freelancer and do my thing my way")</f>
        <v>Design and Creative strategy in any company, Business Operations in any organization, Manage and drive End-to-End Projects or Products, Work as a freelancer and do my thing my way</v>
      </c>
      <c r="O2497" s="1" t="str">
        <f ca="1">IFERROR(__xludf.DUMMYFUNCTION("""COMPUTED_VALUE"""),"Manager who explains what is expected, sets a goal and helps achieve it")</f>
        <v>Manager who explains what is expected, sets a goal and helps achieve it</v>
      </c>
      <c r="P2497" s="1" t="str">
        <f ca="1">IFERROR(__xludf.DUMMYFUNCTION("""COMPUTED_VALUE"""),"Work with 5 to 6 people in my team")</f>
        <v>Work with 5 to 6 people in my team</v>
      </c>
      <c r="Q2497" s="1" t="str">
        <f ca="1">IFERROR(__xludf.DUMMYFUNCTION("""COMPUTED_VALUE"""),"Yes, I Understand this is gonna happen everywhere")</f>
        <v>Yes, I Understand this is gonna happen everywhere</v>
      </c>
      <c r="R2497" s="1" t="str">
        <f ca="1">IFERROR(__xludf.DUMMYFUNCTION("""COMPUTED_VALUE"""),"No way")</f>
        <v>No way</v>
      </c>
      <c r="S2497" s="1" t="str">
        <f ca="1">IFERROR(__xludf.DUMMYFUNCTION("""COMPUTED_VALUE"""),"prajaktadivekar430@gmail.com")</f>
        <v>prajaktadivekar430@gmail.com</v>
      </c>
    </row>
    <row r="2498" spans="1:19" ht="12.5" x14ac:dyDescent="0.25">
      <c r="A2498" s="2">
        <f ca="1">IFERROR(__xludf.DUMMYFUNCTION("""COMPUTED_VALUE"""),45064.988965868)</f>
        <v>45064.988965867997</v>
      </c>
      <c r="B2498" s="1" t="str">
        <f ca="1">IFERROR(__xludf.DUMMYFUNCTION("""COMPUTED_VALUE"""),"India")</f>
        <v>India</v>
      </c>
      <c r="C2498" s="1">
        <f ca="1">IFERROR(__xludf.DUMMYFUNCTION("""COMPUTED_VALUE"""),302039)</f>
        <v>302039</v>
      </c>
      <c r="D2498" s="1" t="str">
        <f ca="1">IFERROR(__xludf.DUMMYFUNCTION("""COMPUTED_VALUE"""),"Female")</f>
        <v>Female</v>
      </c>
      <c r="E2498" s="1" t="str">
        <f ca="1">IFERROR(__xludf.DUMMYFUNCTION("""COMPUTED_VALUE"""),"People who have changed the world for better")</f>
        <v>People who have changed the world for better</v>
      </c>
      <c r="F2498" s="1" t="str">
        <f ca="1">IFERROR(__xludf.DUMMYFUNCTION("""COMPUTED_VALUE"""),"Yes, I will earn and do that")</f>
        <v>Yes, I will earn and do that</v>
      </c>
      <c r="G2498" s="1" t="str">
        <f ca="1">IFERROR(__xludf.DUMMYFUNCTION("""COMPUTED_VALUE"""),"Will work for 3 years or more")</f>
        <v>Will work for 3 years or more</v>
      </c>
      <c r="H2498" s="1" t="str">
        <f ca="1">IFERROR(__xludf.DUMMYFUNCTION("""COMPUTED_VALUE"""),"No")</f>
        <v>No</v>
      </c>
      <c r="I2498" s="1" t="str">
        <f ca="1">IFERROR(__xludf.DUMMYFUNCTION("""COMPUTED_VALUE"""),"Will NOT work for them")</f>
        <v>Will NOT work for them</v>
      </c>
      <c r="J2498" s="1">
        <f ca="1">IFERROR(__xludf.DUMMYFUNCTION("""COMPUTED_VALUE"""),7)</f>
        <v>7</v>
      </c>
      <c r="K2498" s="1" t="str">
        <f ca="1">IFERROR(__xludf.DUMMYFUNCTION("""COMPUTED_VALUE"""),"Fully Remote with Options to travel as and when needed")</f>
        <v>Fully Remote with Options to travel as and when needed</v>
      </c>
      <c r="L2498" s="1" t="str">
        <f ca="1">IFERROR(__xludf.DUMMYFUNCTION("""COMPUTED_VALUE"""),"Employer who appreciates learning and enables that environment")</f>
        <v>Employer who appreciates learning and enables that environment</v>
      </c>
      <c r="M249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498" s="1" t="str">
        <f ca="1">IFERROR(__xludf.DUMMYFUNCTION("""COMPUTED_VALUE"""),"Teaching in any of the institutes/colleges/online or offline, Business Operations in any organization, Work as a freelancer and do my thing my way, Become a content Creator in some platform")</f>
        <v>Teaching in any of the institutes/colleges/online or offline, Business Operations in any organization, Work as a freelancer and do my thing my way, Become a content Creator in some platform</v>
      </c>
      <c r="O2498" s="1" t="str">
        <f ca="1">IFERROR(__xludf.DUMMYFUNCTION("""COMPUTED_VALUE"""),"Manager who clearly describes what she/he needs")</f>
        <v>Manager who clearly describes what she/he needs</v>
      </c>
      <c r="P249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498" s="1" t="str">
        <f ca="1">IFERROR(__xludf.DUMMYFUNCTION("""COMPUTED_VALUE"""),"Yes, I Understand this is gonna happen everywhere")</f>
        <v>Yes, I Understand this is gonna happen everywhere</v>
      </c>
      <c r="R2498" s="1" t="str">
        <f ca="1">IFERROR(__xludf.DUMMYFUNCTION("""COMPUTED_VALUE"""),"This will be hard to do, but if it is the right company I would try")</f>
        <v>This will be hard to do, but if it is the right company I would try</v>
      </c>
      <c r="S2498" s="1" t="str">
        <f ca="1">IFERROR(__xludf.DUMMYFUNCTION("""COMPUTED_VALUE"""),"navi.rockstar123@gmail.com")</f>
        <v>navi.rockstar123@gmail.com</v>
      </c>
    </row>
    <row r="2499" spans="1:19" ht="12.5" x14ac:dyDescent="0.25">
      <c r="A2499" s="2">
        <f ca="1">IFERROR(__xludf.DUMMYFUNCTION("""COMPUTED_VALUE"""),45064.9916968981)</f>
        <v>45064.991696898098</v>
      </c>
      <c r="B2499" s="1" t="str">
        <f ca="1">IFERROR(__xludf.DUMMYFUNCTION("""COMPUTED_VALUE"""),"India")</f>
        <v>India</v>
      </c>
      <c r="C2499" s="1">
        <f ca="1">IFERROR(__xludf.DUMMYFUNCTION("""COMPUTED_VALUE"""),125055)</f>
        <v>125055</v>
      </c>
      <c r="D2499" s="1" t="str">
        <f ca="1">IFERROR(__xludf.DUMMYFUNCTION("""COMPUTED_VALUE"""),"Male")</f>
        <v>Male</v>
      </c>
      <c r="E2499" s="1" t="str">
        <f ca="1">IFERROR(__xludf.DUMMYFUNCTION("""COMPUTED_VALUE"""),"People from my circle, but not family members")</f>
        <v>People from my circle, but not family members</v>
      </c>
      <c r="F2499" s="1" t="str">
        <f ca="1">IFERROR(__xludf.DUMMYFUNCTION("""COMPUTED_VALUE"""),"Yes, I will earn and do that")</f>
        <v>Yes, I will earn and do that</v>
      </c>
      <c r="G2499" s="1" t="str">
        <f ca="1">IFERROR(__xludf.DUMMYFUNCTION("""COMPUTED_VALUE"""),"This will be hard to do, but if it is the right company I would try")</f>
        <v>This will be hard to do, but if it is the right company I would try</v>
      </c>
      <c r="H2499" s="1" t="str">
        <f ca="1">IFERROR(__xludf.DUMMYFUNCTION("""COMPUTED_VALUE"""),"No")</f>
        <v>No</v>
      </c>
      <c r="I2499" s="1" t="str">
        <f ca="1">IFERROR(__xludf.DUMMYFUNCTION("""COMPUTED_VALUE"""),"Will NOT work for them")</f>
        <v>Will NOT work for them</v>
      </c>
      <c r="J2499" s="1">
        <f ca="1">IFERROR(__xludf.DUMMYFUNCTION("""COMPUTED_VALUE"""),4)</f>
        <v>4</v>
      </c>
      <c r="K2499" s="1" t="str">
        <f ca="1">IFERROR(__xludf.DUMMYFUNCTION("""COMPUTED_VALUE"""),"Every Day Office Environment")</f>
        <v>Every Day Office Environment</v>
      </c>
      <c r="L24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499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499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2499" s="1" t="str">
        <f ca="1">IFERROR(__xludf.DUMMYFUNCTION("""COMPUTED_VALUE"""),"Manager who explains what is expected, sets a goal and helps achieve it")</f>
        <v>Manager who explains what is expected, sets a goal and helps achieve it</v>
      </c>
      <c r="P2499" s="1" t="str">
        <f ca="1">IFERROR(__xludf.DUMMYFUNCTION("""COMPUTED_VALUE"""),"Work with more than 10 people in my team")</f>
        <v>Work with more than 10 people in my team</v>
      </c>
      <c r="Q2499" s="1" t="str">
        <f ca="1">IFERROR(__xludf.DUMMYFUNCTION("""COMPUTED_VALUE"""),"Yes, I Understand this is gonna happen everywhere")</f>
        <v>Yes, I Understand this is gonna happen everywhere</v>
      </c>
      <c r="R2499" s="1" t="str">
        <f ca="1">IFERROR(__xludf.DUMMYFUNCTION("""COMPUTED_VALUE"""),"No way")</f>
        <v>No way</v>
      </c>
      <c r="S2499" s="1" t="str">
        <f ca="1">IFERROR(__xludf.DUMMYFUNCTION("""COMPUTED_VALUE"""),"rajatkhurana684@gmail.com")</f>
        <v>rajatkhurana684@gmail.com</v>
      </c>
    </row>
    <row r="2500" spans="1:19" ht="12.5" x14ac:dyDescent="0.25">
      <c r="A2500" s="2">
        <f ca="1">IFERROR(__xludf.DUMMYFUNCTION("""COMPUTED_VALUE"""),45065.00317228)</f>
        <v>45065.003172279998</v>
      </c>
      <c r="B2500" s="1" t="str">
        <f ca="1">IFERROR(__xludf.DUMMYFUNCTION("""COMPUTED_VALUE"""),"India")</f>
        <v>India</v>
      </c>
      <c r="C2500" s="1">
        <f ca="1">IFERROR(__xludf.DUMMYFUNCTION("""COMPUTED_VALUE"""),760004)</f>
        <v>760004</v>
      </c>
      <c r="D2500" s="1" t="str">
        <f ca="1">IFERROR(__xludf.DUMMYFUNCTION("""COMPUTED_VALUE"""),"Male")</f>
        <v>Male</v>
      </c>
      <c r="E2500" s="1" t="str">
        <f ca="1">IFERROR(__xludf.DUMMYFUNCTION("""COMPUTED_VALUE"""),"Influencers who had successful careers")</f>
        <v>Influencers who had successful careers</v>
      </c>
      <c r="F2500" s="1" t="str">
        <f ca="1">IFERROR(__xludf.DUMMYFUNCTION("""COMPUTED_VALUE"""),"No I would not be pursuing Higher Education outside of India")</f>
        <v>No I would not be pursuing Higher Education outside of India</v>
      </c>
      <c r="G2500" s="1" t="str">
        <f ca="1">IFERROR(__xludf.DUMMYFUNCTION("""COMPUTED_VALUE"""),"This will be hard to do, but if it is the right company I would try")</f>
        <v>This will be hard to do, but if it is the right company I would try</v>
      </c>
      <c r="H2500" s="1" t="str">
        <f ca="1">IFERROR(__xludf.DUMMYFUNCTION("""COMPUTED_VALUE"""),"Yes")</f>
        <v>Yes</v>
      </c>
      <c r="I2500" s="1" t="str">
        <f ca="1">IFERROR(__xludf.DUMMYFUNCTION("""COMPUTED_VALUE"""),"Will work for them")</f>
        <v>Will work for them</v>
      </c>
      <c r="J2500" s="1">
        <f ca="1">IFERROR(__xludf.DUMMYFUNCTION("""COMPUTED_VALUE"""),5)</f>
        <v>5</v>
      </c>
      <c r="K2500" s="1" t="str">
        <f ca="1">IFERROR(__xludf.DUMMYFUNCTION("""COMPUTED_VALUE"""),"Fully Remote with Options to travel as and when needed")</f>
        <v>Fully Remote with Options to travel as and when needed</v>
      </c>
      <c r="L25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0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500" s="1" t="str">
        <f ca="1">IFERROR(__xludf.DUMMYFUNCTION("""COMPUTED_VALUE"""),"Design and Creative strategy in any company, Business Operations in any organization, An Artificial Intelligence Specialist / Talking to Robots, Manufacturing / Oil and Gas/ Construction / Hard Physical Work related")</f>
        <v>Design and Creative strategy in any company, Business Operations in any organization, An Artificial Intelligence Specialist / Talking to Robots, Manufacturing / Oil and Gas/ Construction / Hard Physical Work related</v>
      </c>
      <c r="O2500" s="1" t="str">
        <f ca="1">IFERROR(__xludf.DUMMYFUNCTION("""COMPUTED_VALUE"""),"Manager who sets targets and expects me to achieve it")</f>
        <v>Manager who sets targets and expects me to achieve it</v>
      </c>
      <c r="P2500" s="1" t="str">
        <f ca="1">IFERROR(__xludf.DUMMYFUNCTION("""COMPUTED_VALUE"""),"Work alone")</f>
        <v>Work alone</v>
      </c>
      <c r="Q2500" s="1" t="str">
        <f ca="1">IFERROR(__xludf.DUMMYFUNCTION("""COMPUTED_VALUE"""),"No")</f>
        <v>No</v>
      </c>
      <c r="R2500" s="1" t="str">
        <f ca="1">IFERROR(__xludf.DUMMYFUNCTION("""COMPUTED_VALUE"""),"No way")</f>
        <v>No way</v>
      </c>
      <c r="S2500" s="1" t="str">
        <f ca="1">IFERROR(__xludf.DUMMYFUNCTION("""COMPUTED_VALUE"""),"shyamsundergouda1@gmail.com")</f>
        <v>shyamsundergouda1@gmail.com</v>
      </c>
    </row>
    <row r="2501" spans="1:19" ht="12.5" x14ac:dyDescent="0.25">
      <c r="A2501" s="2">
        <f ca="1">IFERROR(__xludf.DUMMYFUNCTION("""COMPUTED_VALUE"""),45065.0141068287)</f>
        <v>45065.014106828698</v>
      </c>
      <c r="B2501" s="1" t="str">
        <f ca="1">IFERROR(__xludf.DUMMYFUNCTION("""COMPUTED_VALUE"""),"India")</f>
        <v>India</v>
      </c>
      <c r="C2501" s="1">
        <f ca="1">IFERROR(__xludf.DUMMYFUNCTION("""COMPUTED_VALUE"""),140301)</f>
        <v>140301</v>
      </c>
      <c r="D2501" s="1" t="str">
        <f ca="1">IFERROR(__xludf.DUMMYFUNCTION("""COMPUTED_VALUE"""),"Male")</f>
        <v>Male</v>
      </c>
      <c r="E2501" s="1" t="str">
        <f ca="1">IFERROR(__xludf.DUMMYFUNCTION("""COMPUTED_VALUE"""),"My Parents")</f>
        <v>My Parents</v>
      </c>
      <c r="F2501" s="1" t="str">
        <f ca="1">IFERROR(__xludf.DUMMYFUNCTION("""COMPUTED_VALUE"""),"Yes, I will earn and do that")</f>
        <v>Yes, I will earn and do that</v>
      </c>
      <c r="G2501" s="1" t="str">
        <f ca="1">IFERROR(__xludf.DUMMYFUNCTION("""COMPUTED_VALUE"""),"This will be hard to do, but if it is the right company I would try")</f>
        <v>This will be hard to do, but if it is the right company I would try</v>
      </c>
      <c r="H2501" s="1" t="str">
        <f ca="1">IFERROR(__xludf.DUMMYFUNCTION("""COMPUTED_VALUE"""),"No")</f>
        <v>No</v>
      </c>
      <c r="I2501" s="1" t="str">
        <f ca="1">IFERROR(__xludf.DUMMYFUNCTION("""COMPUTED_VALUE"""),"Will NOT work for them")</f>
        <v>Will NOT work for them</v>
      </c>
      <c r="J2501" s="1">
        <f ca="1">IFERROR(__xludf.DUMMYFUNCTION("""COMPUTED_VALUE"""),8)</f>
        <v>8</v>
      </c>
      <c r="K2501" s="1" t="str">
        <f ca="1">IFERROR(__xludf.DUMMYFUNCTION("""COMPUTED_VALUE"""),"Fully Remote with No option to visit offices")</f>
        <v>Fully Remote with No option to visit offices</v>
      </c>
      <c r="L250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0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501" s="1" t="str">
        <f ca="1">IFERROR(__xludf.DUMMYFUNCTION("""COMPUTED_VALUE"""),"Design and Develop amazing software, Look deeply into Data and generate insights, Work as a freelancer and do my thing my way, Become a content Creator in some platform")</f>
        <v>Design and Develop amazing software, Look deeply into Data and generate insights, Work as a freelancer and do my thing my way, Become a content Creator in some platform</v>
      </c>
      <c r="O2501" s="1" t="str">
        <f ca="1">IFERROR(__xludf.DUMMYFUNCTION("""COMPUTED_VALUE"""),"Manager who explains what is expected, sets a goal and helps achieve it")</f>
        <v>Manager who explains what is expected, sets a goal and helps achieve it</v>
      </c>
      <c r="P2501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501" s="1" t="str">
        <f ca="1">IFERROR(__xludf.DUMMYFUNCTION("""COMPUTED_VALUE"""),"Yes, I Understand this is gonna happen everywhere")</f>
        <v>Yes, I Understand this is gonna happen everywhere</v>
      </c>
      <c r="R2501" s="1" t="str">
        <f ca="1">IFERROR(__xludf.DUMMYFUNCTION("""COMPUTED_VALUE"""),"This will be hard to do, but if it is the right company I would try")</f>
        <v>This will be hard to do, but if it is the right company I would try</v>
      </c>
      <c r="S2501" s="1" t="str">
        <f ca="1">IFERROR(__xludf.DUMMYFUNCTION("""COMPUTED_VALUE"""),"bravim.bisht2404@gmail.com")</f>
        <v>bravim.bisht2404@gmail.com</v>
      </c>
    </row>
    <row r="2502" spans="1:19" ht="12.5" x14ac:dyDescent="0.25">
      <c r="A2502" s="2">
        <f ca="1">IFERROR(__xludf.DUMMYFUNCTION("""COMPUTED_VALUE"""),45065.02513853)</f>
        <v>45065.02513853</v>
      </c>
      <c r="B2502" s="1" t="str">
        <f ca="1">IFERROR(__xludf.DUMMYFUNCTION("""COMPUTED_VALUE"""),"India")</f>
        <v>India</v>
      </c>
      <c r="C2502" s="1">
        <f ca="1">IFERROR(__xludf.DUMMYFUNCTION("""COMPUTED_VALUE"""),462039)</f>
        <v>462039</v>
      </c>
      <c r="D2502" s="1" t="str">
        <f ca="1">IFERROR(__xludf.DUMMYFUNCTION("""COMPUTED_VALUE"""),"Male")</f>
        <v>Male</v>
      </c>
      <c r="E2502" s="1" t="str">
        <f ca="1">IFERROR(__xludf.DUMMYFUNCTION("""COMPUTED_VALUE"""),"My Parents")</f>
        <v>My Parents</v>
      </c>
      <c r="F2502" s="1" t="str">
        <f ca="1">IFERROR(__xludf.DUMMYFUNCTION("""COMPUTED_VALUE"""),"No I would not be pursuing Higher Education outside of India")</f>
        <v>No I would not be pursuing Higher Education outside of India</v>
      </c>
      <c r="G2502" s="1" t="str">
        <f ca="1">IFERROR(__xludf.DUMMYFUNCTION("""COMPUTED_VALUE"""),"This will be hard to do, but if it is the right company I would try")</f>
        <v>This will be hard to do, but if it is the right company I would try</v>
      </c>
      <c r="H2502" s="1" t="str">
        <f ca="1">IFERROR(__xludf.DUMMYFUNCTION("""COMPUTED_VALUE"""),"No")</f>
        <v>No</v>
      </c>
      <c r="I2502" s="1" t="str">
        <f ca="1">IFERROR(__xludf.DUMMYFUNCTION("""COMPUTED_VALUE"""),"Will NOT work for them")</f>
        <v>Will NOT work for them</v>
      </c>
      <c r="J2502" s="1">
        <f ca="1">IFERROR(__xludf.DUMMYFUNCTION("""COMPUTED_VALUE"""),3)</f>
        <v>3</v>
      </c>
      <c r="K2502" s="1" t="str">
        <f ca="1">IFERROR(__xludf.DUMMYFUNCTION("""COMPUTED_VALUE"""),"Hybrid Working Environment with less than 3 days a month at office")</f>
        <v>Hybrid Working Environment with less than 3 days a month at office</v>
      </c>
      <c r="L2502" s="1" t="str">
        <f ca="1">IFERROR(__xludf.DUMMYFUNCTION("""COMPUTED_VALUE"""),"Employer who appreciates learning and enables that environment")</f>
        <v>Employer who appreciates learning and enables that environment</v>
      </c>
      <c r="M250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502" s="1" t="str">
        <f ca="1">IFERROR(__xludf.DUMMYFUNCTION("""COMPUTED_VALUE"""),"Teaching in any of the institutes/colleges/online or offline, Business Operations in any organization, Become a content Creator in some platform, Entrepreneur or Start Up")</f>
        <v>Teaching in any of the institutes/colleges/online or offline, Business Operations in any organization, Become a content Creator in some platform, Entrepreneur or Start Up</v>
      </c>
      <c r="O2502" s="1" t="str">
        <f ca="1">IFERROR(__xludf.DUMMYFUNCTION("""COMPUTED_VALUE"""),"Manager who sets goal and helps me achieve it")</f>
        <v>Manager who sets goal and helps me achieve it</v>
      </c>
      <c r="P2502" s="1" t="str">
        <f ca="1">IFERROR(__xludf.DUMMYFUNCTION("""COMPUTED_VALUE"""),"Work with 2 to 3 people in my team")</f>
        <v>Work with 2 to 3 people in my team</v>
      </c>
      <c r="Q2502" s="1" t="str">
        <f ca="1">IFERROR(__xludf.DUMMYFUNCTION("""COMPUTED_VALUE"""),"Yes, I Understand this is gonna happen everywhere")</f>
        <v>Yes, I Understand this is gonna happen everywhere</v>
      </c>
      <c r="R2502" s="1" t="str">
        <f ca="1">IFERROR(__xludf.DUMMYFUNCTION("""COMPUTED_VALUE"""),"This will be hard to do, but if it is the right company I would try")</f>
        <v>This will be hard to do, but if it is the right company I would try</v>
      </c>
      <c r="S2502" s="1" t="str">
        <f ca="1">IFERROR(__xludf.DUMMYFUNCTION("""COMPUTED_VALUE"""),"prakhartri2001@gmail.com")</f>
        <v>prakhartri2001@gmail.com</v>
      </c>
    </row>
    <row r="2503" spans="1:19" ht="12.5" x14ac:dyDescent="0.25">
      <c r="A2503" s="2">
        <f ca="1">IFERROR(__xludf.DUMMYFUNCTION("""COMPUTED_VALUE"""),45065.0418663773)</f>
        <v>45065.041866377302</v>
      </c>
      <c r="B2503" s="1" t="str">
        <f ca="1">IFERROR(__xludf.DUMMYFUNCTION("""COMPUTED_VALUE"""),"United Arab Emirates")</f>
        <v>United Arab Emirates</v>
      </c>
      <c r="C2503" s="1" t="str">
        <f ca="1">IFERROR(__xludf.DUMMYFUNCTION("""COMPUTED_VALUE"""),"16a")</f>
        <v>16a</v>
      </c>
      <c r="D2503" s="1" t="str">
        <f ca="1">IFERROR(__xludf.DUMMYFUNCTION("""COMPUTED_VALUE"""),"Male")</f>
        <v>Male</v>
      </c>
      <c r="E2503" s="1" t="str">
        <f ca="1">IFERROR(__xludf.DUMMYFUNCTION("""COMPUTED_VALUE"""),"Social Media like LinkedIn")</f>
        <v>Social Media like LinkedIn</v>
      </c>
      <c r="F2503" s="1" t="str">
        <f ca="1">IFERROR(__xludf.DUMMYFUNCTION("""COMPUTED_VALUE"""),"Yes, I will earn and do that")</f>
        <v>Yes, I will earn and do that</v>
      </c>
      <c r="G2503" s="1" t="str">
        <f ca="1">IFERROR(__xludf.DUMMYFUNCTION("""COMPUTED_VALUE"""),"Will work for 3 years or more")</f>
        <v>Will work for 3 years or more</v>
      </c>
      <c r="H2503" s="1" t="str">
        <f ca="1">IFERROR(__xludf.DUMMYFUNCTION("""COMPUTED_VALUE"""),"Yes")</f>
        <v>Yes</v>
      </c>
      <c r="I2503" s="1" t="str">
        <f ca="1">IFERROR(__xludf.DUMMYFUNCTION("""COMPUTED_VALUE"""),"Will work for them")</f>
        <v>Will work for them</v>
      </c>
      <c r="J2503" s="1">
        <f ca="1">IFERROR(__xludf.DUMMYFUNCTION("""COMPUTED_VALUE"""),7)</f>
        <v>7</v>
      </c>
      <c r="K2503" s="1" t="str">
        <f ca="1">IFERROR(__xludf.DUMMYFUNCTION("""COMPUTED_VALUE"""),"Hybrid Working Environment with more than 15 days a month at office")</f>
        <v>Hybrid Working Environment with more than 15 days a month at office</v>
      </c>
      <c r="L2503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503" s="1" t="str">
        <f ca="1">IFERROR(__xludf.DUMMYFUNCTION("""COMPUTED_VALUE"""),"Instructor or Expert Learning Programs, Self Purchased Course from External Platforms, Manager Teaching you")</f>
        <v>Instructor or Expert Learning Programs, Self Purchased Course from External Platforms, Manager Teaching you</v>
      </c>
      <c r="N2503" s="1" t="str">
        <f ca="1">IFERROR(__xludf.DUMMYFUNCTION("""COMPUTED_VALUE"""),"Design and Creative strategy in any company, Build and develop a Team, Design and Develop amazing software, Manufacturing / Oil and Gas/ Construction / Hard Physical Work related")</f>
        <v>Design and Creative strategy in any company, Build and develop a Team, Design and Develop amazing software, Manufacturing / Oil and Gas/ Construction / Hard Physical Work related</v>
      </c>
      <c r="O2503" s="1" t="str">
        <f ca="1">IFERROR(__xludf.DUMMYFUNCTION("""COMPUTED_VALUE"""),"Manager who explains what is expected, sets a goal and helps achieve it")</f>
        <v>Manager who explains what is expected, sets a goal and helps achieve it</v>
      </c>
      <c r="P2503" s="1" t="str">
        <f ca="1">IFERROR(__xludf.DUMMYFUNCTION("""COMPUTED_VALUE"""),"Work with 2 to 3 people in my team")</f>
        <v>Work with 2 to 3 people in my team</v>
      </c>
      <c r="Q2503" s="1" t="str">
        <f ca="1">IFERROR(__xludf.DUMMYFUNCTION("""COMPUTED_VALUE"""),"Yes")</f>
        <v>Yes</v>
      </c>
      <c r="R2503" s="1" t="str">
        <f ca="1">IFERROR(__xludf.DUMMYFUNCTION("""COMPUTED_VALUE"""),"Will work for 7 years or more")</f>
        <v>Will work for 7 years or more</v>
      </c>
      <c r="S2503" s="1" t="str">
        <f ca="1">IFERROR(__xludf.DUMMYFUNCTION("""COMPUTED_VALUE"""),"shirfil333@gmail.com")</f>
        <v>shirfil333@gmail.com</v>
      </c>
    </row>
    <row r="2504" spans="1:19" ht="12.5" x14ac:dyDescent="0.25">
      <c r="A2504" s="2">
        <f ca="1">IFERROR(__xludf.DUMMYFUNCTION("""COMPUTED_VALUE"""),45065.0761673726)</f>
        <v>45065.076167372601</v>
      </c>
      <c r="B2504" s="1" t="str">
        <f ca="1">IFERROR(__xludf.DUMMYFUNCTION("""COMPUTED_VALUE"""),"India")</f>
        <v>India</v>
      </c>
      <c r="C2504" s="1">
        <f ca="1">IFERROR(__xludf.DUMMYFUNCTION("""COMPUTED_VALUE"""),421201)</f>
        <v>421201</v>
      </c>
      <c r="D2504" s="1" t="str">
        <f ca="1">IFERROR(__xludf.DUMMYFUNCTION("""COMPUTED_VALUE"""),"Male")</f>
        <v>Male</v>
      </c>
      <c r="E2504" s="1" t="str">
        <f ca="1">IFERROR(__xludf.DUMMYFUNCTION("""COMPUTED_VALUE"""),"Influencers who had successful careers")</f>
        <v>Influencers who had successful careers</v>
      </c>
      <c r="F2504" s="1" t="str">
        <f ca="1">IFERROR(__xludf.DUMMYFUNCTION("""COMPUTED_VALUE"""),"No I would not be pursuing Higher Education outside of India")</f>
        <v>No I would not be pursuing Higher Education outside of India</v>
      </c>
      <c r="G2504" s="1" t="str">
        <f ca="1">IFERROR(__xludf.DUMMYFUNCTION("""COMPUTED_VALUE"""),"This will be hard to do, but if it is the right company I would try")</f>
        <v>This will be hard to do, but if it is the right company I would try</v>
      </c>
      <c r="H2504" s="1" t="str">
        <f ca="1">IFERROR(__xludf.DUMMYFUNCTION("""COMPUTED_VALUE"""),"No")</f>
        <v>No</v>
      </c>
      <c r="I2504" s="1" t="str">
        <f ca="1">IFERROR(__xludf.DUMMYFUNCTION("""COMPUTED_VALUE"""),"Will NOT work for them")</f>
        <v>Will NOT work for them</v>
      </c>
      <c r="J2504" s="1">
        <f ca="1">IFERROR(__xludf.DUMMYFUNCTION("""COMPUTED_VALUE"""),10)</f>
        <v>10</v>
      </c>
      <c r="K2504" s="1" t="str">
        <f ca="1">IFERROR(__xludf.DUMMYFUNCTION("""COMPUTED_VALUE"""),"Hybrid Working Environment with more than 15 days a month at office")</f>
        <v>Hybrid Working Environment with more than 15 days a month at office</v>
      </c>
      <c r="L250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0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504" s="1" t="str">
        <f ca="1">IFERROR(__xludf.DUMMYFUNCTION("""COMPUTED_VALUE"""),"Business Operations in any organization, Work in a BPO setup for some well known client, Work as a freelancer and do my thing my way, Become a content Creator in some platform")</f>
        <v>Business Operations in any organization, Work in a BPO setup for some well known client, Work as a freelancer and do my thing my way, Become a content Creator in some platform</v>
      </c>
      <c r="O2504" s="1" t="str">
        <f ca="1">IFERROR(__xludf.DUMMYFUNCTION("""COMPUTED_VALUE"""),"Manager who explains what is expected, sets a goal and helps achieve it")</f>
        <v>Manager who explains what is expected, sets a goal and helps achieve it</v>
      </c>
      <c r="P2504" s="1" t="str">
        <f ca="1">IFERROR(__xludf.DUMMYFUNCTION("""COMPUTED_VALUE"""),"Work with 5 to 6 people in my team")</f>
        <v>Work with 5 to 6 people in my team</v>
      </c>
      <c r="Q2504" s="1" t="str">
        <f ca="1">IFERROR(__xludf.DUMMYFUNCTION("""COMPUTED_VALUE"""),"No")</f>
        <v>No</v>
      </c>
      <c r="R2504" s="1" t="str">
        <f ca="1">IFERROR(__xludf.DUMMYFUNCTION("""COMPUTED_VALUE"""),"No way")</f>
        <v>No way</v>
      </c>
      <c r="S2504" s="1" t="str">
        <f ca="1">IFERROR(__xludf.DUMMYFUNCTION("""COMPUTED_VALUE"""),"salianmanish2000@gmail.com")</f>
        <v>salianmanish2000@gmail.com</v>
      </c>
    </row>
    <row r="2505" spans="1:19" ht="12.5" x14ac:dyDescent="0.25">
      <c r="A2505" s="2">
        <f ca="1">IFERROR(__xludf.DUMMYFUNCTION("""COMPUTED_VALUE"""),45065.1158979861)</f>
        <v>45065.115897986099</v>
      </c>
      <c r="B2505" s="1" t="str">
        <f ca="1">IFERROR(__xludf.DUMMYFUNCTION("""COMPUTED_VALUE"""),"India")</f>
        <v>India</v>
      </c>
      <c r="C2505" s="1">
        <f ca="1">IFERROR(__xludf.DUMMYFUNCTION("""COMPUTED_VALUE"""),603210)</f>
        <v>603210</v>
      </c>
      <c r="D2505" s="1" t="str">
        <f ca="1">IFERROR(__xludf.DUMMYFUNCTION("""COMPUTED_VALUE"""),"Male")</f>
        <v>Male</v>
      </c>
      <c r="E2505" s="1" t="str">
        <f ca="1">IFERROR(__xludf.DUMMYFUNCTION("""COMPUTED_VALUE"""),"People from my circle, but not family members")</f>
        <v>People from my circle, but not family members</v>
      </c>
      <c r="F2505" s="1" t="str">
        <f ca="1">IFERROR(__xludf.DUMMYFUNCTION("""COMPUTED_VALUE"""),"Yes, I will earn and do that")</f>
        <v>Yes, I will earn and do that</v>
      </c>
      <c r="G2505" s="1" t="str">
        <f ca="1">IFERROR(__xludf.DUMMYFUNCTION("""COMPUTED_VALUE"""),"Will work for 3 years or more")</f>
        <v>Will work for 3 years or more</v>
      </c>
      <c r="H2505" s="1" t="str">
        <f ca="1">IFERROR(__xludf.DUMMYFUNCTION("""COMPUTED_VALUE"""),"No")</f>
        <v>No</v>
      </c>
      <c r="I2505" s="1" t="str">
        <f ca="1">IFERROR(__xludf.DUMMYFUNCTION("""COMPUTED_VALUE"""),"Will NOT work for them")</f>
        <v>Will NOT work for them</v>
      </c>
      <c r="J2505" s="1">
        <f ca="1">IFERROR(__xludf.DUMMYFUNCTION("""COMPUTED_VALUE"""),6)</f>
        <v>6</v>
      </c>
      <c r="K2505" s="1" t="str">
        <f ca="1">IFERROR(__xludf.DUMMYFUNCTION("""COMPUTED_VALUE"""),"Hybrid Working Environment with more than 15 days a month at office")</f>
        <v>Hybrid Working Environment with more than 15 days a month at office</v>
      </c>
      <c r="L2505" s="1" t="str">
        <f ca="1">IFERROR(__xludf.DUMMYFUNCTION("""COMPUTED_VALUE"""),"Employer who appreciates learning and enables that environment")</f>
        <v>Employer who appreciates learning and enables that environment</v>
      </c>
      <c r="M2505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505" s="1" t="str">
        <f ca="1">IFERROR(__xludf.DUMMYFUNCTION("""COMPUTED_VALUE"""),"Design and Creative strategy in any company, Build and develop a Team, Work as a freelancer and do my thing my way, Manufacturing / Oil and Gas/ Construction / Hard Physical Work related")</f>
        <v>Design and Creative strategy in any company, Build and develop a Team, Work as a freelancer and do my thing my way, Manufacturing / Oil and Gas/ Construction / Hard Physical Work related</v>
      </c>
      <c r="O2505" s="1" t="str">
        <f ca="1">IFERROR(__xludf.DUMMYFUNCTION("""COMPUTED_VALUE"""),"Manager who clearly describes what she/he needs")</f>
        <v>Manager who clearly describes what she/he needs</v>
      </c>
      <c r="P2505" s="1" t="str">
        <f ca="1">IFERROR(__xludf.DUMMYFUNCTION("""COMPUTED_VALUE"""),"Work with 5 to 6 people in my team")</f>
        <v>Work with 5 to 6 people in my team</v>
      </c>
      <c r="Q2505" s="1" t="str">
        <f ca="1">IFERROR(__xludf.DUMMYFUNCTION("""COMPUTED_VALUE"""),"I have NO other choice")</f>
        <v>I have NO other choice</v>
      </c>
      <c r="R2505" s="1" t="str">
        <f ca="1">IFERROR(__xludf.DUMMYFUNCTION("""COMPUTED_VALUE"""),"Will work for 7 years or more")</f>
        <v>Will work for 7 years or more</v>
      </c>
      <c r="S2505" s="1" t="str">
        <f ca="1">IFERROR(__xludf.DUMMYFUNCTION("""COMPUTED_VALUE"""),"mathipan2002@gmail.com")</f>
        <v>mathipan2002@gmail.com</v>
      </c>
    </row>
    <row r="2506" spans="1:19" ht="12.5" x14ac:dyDescent="0.25">
      <c r="A2506" s="2">
        <f ca="1">IFERROR(__xludf.DUMMYFUNCTION("""COMPUTED_VALUE"""),45065.1453523611)</f>
        <v>45065.145352361098</v>
      </c>
      <c r="B2506" s="1" t="str">
        <f ca="1">IFERROR(__xludf.DUMMYFUNCTION("""COMPUTED_VALUE"""),"India")</f>
        <v>India</v>
      </c>
      <c r="C2506" s="1">
        <f ca="1">IFERROR(__xludf.DUMMYFUNCTION("""COMPUTED_VALUE"""),452010)</f>
        <v>452010</v>
      </c>
      <c r="D2506" s="1" t="str">
        <f ca="1">IFERROR(__xludf.DUMMYFUNCTION("""COMPUTED_VALUE"""),"Male")</f>
        <v>Male</v>
      </c>
      <c r="E2506" s="1" t="str">
        <f ca="1">IFERROR(__xludf.DUMMYFUNCTION("""COMPUTED_VALUE"""),"People who have changed the world for better")</f>
        <v>People who have changed the world for better</v>
      </c>
      <c r="F2506" s="1" t="str">
        <f ca="1">IFERROR(__xludf.DUMMYFUNCTION("""COMPUTED_VALUE"""),"Yes, I will earn and do that")</f>
        <v>Yes, I will earn and do that</v>
      </c>
      <c r="G2506" s="1" t="str">
        <f ca="1">IFERROR(__xludf.DUMMYFUNCTION("""COMPUTED_VALUE"""),"This will be hard to do, but if it is the right company I would try")</f>
        <v>This will be hard to do, but if it is the right company I would try</v>
      </c>
      <c r="H2506" s="1" t="str">
        <f ca="1">IFERROR(__xludf.DUMMYFUNCTION("""COMPUTED_VALUE"""),"No")</f>
        <v>No</v>
      </c>
      <c r="I2506" s="1" t="str">
        <f ca="1">IFERROR(__xludf.DUMMYFUNCTION("""COMPUTED_VALUE"""),"Will NOT work for them")</f>
        <v>Will NOT work for them</v>
      </c>
      <c r="J2506" s="1">
        <f ca="1">IFERROR(__xludf.DUMMYFUNCTION("""COMPUTED_VALUE"""),1)</f>
        <v>1</v>
      </c>
      <c r="K2506" s="1" t="str">
        <f ca="1">IFERROR(__xludf.DUMMYFUNCTION("""COMPUTED_VALUE"""),"Every Day Office Environment")</f>
        <v>Every Day Office Environment</v>
      </c>
      <c r="L2506" s="1" t="str">
        <f ca="1">IFERROR(__xludf.DUMMYFUNCTION("""COMPUTED_VALUE"""),"Employer who rewards learning and enables that environment")</f>
        <v>Employer who rewards learning and enables that environment</v>
      </c>
      <c r="M250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06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50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06" s="1" t="str">
        <f ca="1">IFERROR(__xludf.DUMMYFUNCTION("""COMPUTED_VALUE"""),"Work with 5 to 6 people in my team")</f>
        <v>Work with 5 to 6 people in my team</v>
      </c>
      <c r="Q2506" s="1" t="str">
        <f ca="1">IFERROR(__xludf.DUMMYFUNCTION("""COMPUTED_VALUE"""),"No")</f>
        <v>No</v>
      </c>
      <c r="R2506" s="1" t="str">
        <f ca="1">IFERROR(__xludf.DUMMYFUNCTION("""COMPUTED_VALUE"""),"No way")</f>
        <v>No way</v>
      </c>
      <c r="S2506" s="1" t="str">
        <f ca="1">IFERROR(__xludf.DUMMYFUNCTION("""COMPUTED_VALUE"""),"amuleyaditya455@gmail.com")</f>
        <v>amuleyaditya455@gmail.com</v>
      </c>
    </row>
    <row r="2507" spans="1:19" ht="12.5" x14ac:dyDescent="0.25">
      <c r="A2507" s="2">
        <f ca="1">IFERROR(__xludf.DUMMYFUNCTION("""COMPUTED_VALUE"""),45065.2616930787)</f>
        <v>45065.261693078697</v>
      </c>
      <c r="B2507" s="1" t="str">
        <f ca="1">IFERROR(__xludf.DUMMYFUNCTION("""COMPUTED_VALUE"""),"India")</f>
        <v>India</v>
      </c>
      <c r="C2507" s="1">
        <f ca="1">IFERROR(__xludf.DUMMYFUNCTION("""COMPUTED_VALUE"""),301019)</f>
        <v>301019</v>
      </c>
      <c r="D2507" s="1" t="str">
        <f ca="1">IFERROR(__xludf.DUMMYFUNCTION("""COMPUTED_VALUE"""),"Female")</f>
        <v>Female</v>
      </c>
      <c r="E2507" s="1" t="str">
        <f ca="1">IFERROR(__xludf.DUMMYFUNCTION("""COMPUTED_VALUE"""),"My Parents")</f>
        <v>My Parents</v>
      </c>
      <c r="F2507" s="1" t="str">
        <f ca="1">IFERROR(__xludf.DUMMYFUNCTION("""COMPUTED_VALUE"""),"Yes, I will earn and do that")</f>
        <v>Yes, I will earn and do that</v>
      </c>
      <c r="G2507" s="1" t="str">
        <f ca="1">IFERROR(__xludf.DUMMYFUNCTION("""COMPUTED_VALUE"""),"Will work for 3 years or more")</f>
        <v>Will work for 3 years or more</v>
      </c>
      <c r="H2507" s="1" t="str">
        <f ca="1">IFERROR(__xludf.DUMMYFUNCTION("""COMPUTED_VALUE"""),"No")</f>
        <v>No</v>
      </c>
      <c r="I2507" s="1" t="str">
        <f ca="1">IFERROR(__xludf.DUMMYFUNCTION("""COMPUTED_VALUE"""),"Will NOT work for them")</f>
        <v>Will NOT work for them</v>
      </c>
      <c r="J2507" s="1">
        <f ca="1">IFERROR(__xludf.DUMMYFUNCTION("""COMPUTED_VALUE"""),6)</f>
        <v>6</v>
      </c>
      <c r="K2507" s="1" t="str">
        <f ca="1">IFERROR(__xludf.DUMMYFUNCTION("""COMPUTED_VALUE"""),"Fully Remote with No option to visit offices")</f>
        <v>Fully Remote with No option to visit offices</v>
      </c>
      <c r="L2507" s="1" t="str">
        <f ca="1">IFERROR(__xludf.DUMMYFUNCTION("""COMPUTED_VALUE"""),"Employer who appreciates learning and enables that environment")</f>
        <v>Employer who appreciates learning and enables that environment</v>
      </c>
      <c r="M25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07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2507" s="1" t="str">
        <f ca="1">IFERROR(__xludf.DUMMYFUNCTION("""COMPUTED_VALUE"""),"Manager who explains what is expected, sets a goal and helps achieve it")</f>
        <v>Manager who explains what is expected, sets a goal and helps achieve it</v>
      </c>
      <c r="P2507" s="1" t="str">
        <f ca="1">IFERROR(__xludf.DUMMYFUNCTION("""COMPUTED_VALUE"""),"Work with 2 to 3 people in my team")</f>
        <v>Work with 2 to 3 people in my team</v>
      </c>
      <c r="Q2507" s="1" t="str">
        <f ca="1">IFERROR(__xludf.DUMMYFUNCTION("""COMPUTED_VALUE"""),"No")</f>
        <v>No</v>
      </c>
      <c r="R2507" s="1" t="str">
        <f ca="1">IFERROR(__xludf.DUMMYFUNCTION("""COMPUTED_VALUE"""),"Will work for 7 years or more")</f>
        <v>Will work for 7 years or more</v>
      </c>
      <c r="S2507" s="1" t="str">
        <f ca="1">IFERROR(__xludf.DUMMYFUNCTION("""COMPUTED_VALUE"""),"shobhitakaushik00@gmail.com")</f>
        <v>shobhitakaushik00@gmail.com</v>
      </c>
    </row>
    <row r="2508" spans="1:19" ht="12.5" x14ac:dyDescent="0.25">
      <c r="A2508" s="2">
        <f ca="1">IFERROR(__xludf.DUMMYFUNCTION("""COMPUTED_VALUE"""),45065.2670337847)</f>
        <v>45065.267033784701</v>
      </c>
      <c r="B2508" s="1" t="str">
        <f ca="1">IFERROR(__xludf.DUMMYFUNCTION("""COMPUTED_VALUE"""),"India")</f>
        <v>India</v>
      </c>
      <c r="C2508" s="1">
        <f ca="1">IFERROR(__xludf.DUMMYFUNCTION("""COMPUTED_VALUE"""),122001)</f>
        <v>122001</v>
      </c>
      <c r="D2508" s="1" t="str">
        <f ca="1">IFERROR(__xludf.DUMMYFUNCTION("""COMPUTED_VALUE"""),"Male")</f>
        <v>Male</v>
      </c>
      <c r="E2508" s="1" t="str">
        <f ca="1">IFERROR(__xludf.DUMMYFUNCTION("""COMPUTED_VALUE"""),"Influencers who had successful careers")</f>
        <v>Influencers who had successful careers</v>
      </c>
      <c r="F2508" s="1" t="str">
        <f ca="1">IFERROR(__xludf.DUMMYFUNCTION("""COMPUTED_VALUE"""),"Yes, I will earn and do that")</f>
        <v>Yes, I will earn and do that</v>
      </c>
      <c r="G2508" s="1" t="str">
        <f ca="1">IFERROR(__xludf.DUMMYFUNCTION("""COMPUTED_VALUE"""),"Will work for 3 years or more")</f>
        <v>Will work for 3 years or more</v>
      </c>
      <c r="H2508" s="1" t="str">
        <f ca="1">IFERROR(__xludf.DUMMYFUNCTION("""COMPUTED_VALUE"""),"Yes")</f>
        <v>Yes</v>
      </c>
      <c r="I2508" s="1" t="str">
        <f ca="1">IFERROR(__xludf.DUMMYFUNCTION("""COMPUTED_VALUE"""),"Will NOT work for them")</f>
        <v>Will NOT work for them</v>
      </c>
      <c r="J2508" s="1">
        <f ca="1">IFERROR(__xludf.DUMMYFUNCTION("""COMPUTED_VALUE"""),8)</f>
        <v>8</v>
      </c>
      <c r="K2508" s="1" t="str">
        <f ca="1">IFERROR(__xludf.DUMMYFUNCTION("""COMPUTED_VALUE"""),"Hybrid Working Environment with more than 15 days a month at office")</f>
        <v>Hybrid Working Environment with more than 15 days a month at office</v>
      </c>
      <c r="L25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08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508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2508" s="1" t="str">
        <f ca="1">IFERROR(__xludf.DUMMYFUNCTION("""COMPUTED_VALUE"""),"Manager who explains what is expected, sets a goal and helps achieve it")</f>
        <v>Manager who explains what is expected, sets a goal and helps achieve it</v>
      </c>
      <c r="P2508" s="1" t="str">
        <f ca="1">IFERROR(__xludf.DUMMYFUNCTION("""COMPUTED_VALUE"""),"Work with 7 to 10 or more people in my team")</f>
        <v>Work with 7 to 10 or more people in my team</v>
      </c>
      <c r="Q2508" s="1" t="str">
        <f ca="1">IFERROR(__xludf.DUMMYFUNCTION("""COMPUTED_VALUE"""),"Yes, I Understand this is gonna happen everywhere")</f>
        <v>Yes, I Understand this is gonna happen everywhere</v>
      </c>
      <c r="R2508" s="1" t="str">
        <f ca="1">IFERROR(__xludf.DUMMYFUNCTION("""COMPUTED_VALUE"""),"This will be hard to do, but if it is the right company I would try")</f>
        <v>This will be hard to do, but if it is the right company I would try</v>
      </c>
      <c r="S2508" s="1" t="str">
        <f ca="1">IFERROR(__xludf.DUMMYFUNCTION("""COMPUTED_VALUE"""),"virajparjapat4@gmail.com")</f>
        <v>virajparjapat4@gmail.com</v>
      </c>
    </row>
    <row r="2509" spans="1:19" ht="12.5" x14ac:dyDescent="0.25">
      <c r="A2509" s="2">
        <f ca="1">IFERROR(__xludf.DUMMYFUNCTION("""COMPUTED_VALUE"""),45065.2682146064)</f>
        <v>45065.268214606403</v>
      </c>
      <c r="B2509" s="1" t="str">
        <f ca="1">IFERROR(__xludf.DUMMYFUNCTION("""COMPUTED_VALUE"""),"India")</f>
        <v>India</v>
      </c>
      <c r="C2509" s="1">
        <f ca="1">IFERROR(__xludf.DUMMYFUNCTION("""COMPUTED_VALUE"""),400037)</f>
        <v>400037</v>
      </c>
      <c r="D2509" s="1" t="str">
        <f ca="1">IFERROR(__xludf.DUMMYFUNCTION("""COMPUTED_VALUE"""),"Male")</f>
        <v>Male</v>
      </c>
      <c r="E2509" s="1" t="str">
        <f ca="1">IFERROR(__xludf.DUMMYFUNCTION("""COMPUTED_VALUE"""),"My Parents")</f>
        <v>My Parents</v>
      </c>
      <c r="F2509" s="1" t="str">
        <f ca="1">IFERROR(__xludf.DUMMYFUNCTION("""COMPUTED_VALUE"""),"Yes, I will earn and do that")</f>
        <v>Yes, I will earn and do that</v>
      </c>
      <c r="G2509" s="1" t="str">
        <f ca="1">IFERROR(__xludf.DUMMYFUNCTION("""COMPUTED_VALUE"""),"Will work for 3 years or more")</f>
        <v>Will work for 3 years or more</v>
      </c>
      <c r="H2509" s="1" t="str">
        <f ca="1">IFERROR(__xludf.DUMMYFUNCTION("""COMPUTED_VALUE"""),"No")</f>
        <v>No</v>
      </c>
      <c r="I2509" s="1" t="str">
        <f ca="1">IFERROR(__xludf.DUMMYFUNCTION("""COMPUTED_VALUE"""),"Will NOT work for them")</f>
        <v>Will NOT work for them</v>
      </c>
      <c r="J2509" s="1">
        <f ca="1">IFERROR(__xludf.DUMMYFUNCTION("""COMPUTED_VALUE"""),5)</f>
        <v>5</v>
      </c>
      <c r="K2509" s="1" t="str">
        <f ca="1">IFERROR(__xludf.DUMMYFUNCTION("""COMPUTED_VALUE"""),"Hybrid Working Environment with more than 15 days a month at office")</f>
        <v>Hybrid Working Environment with more than 15 days a month at office</v>
      </c>
      <c r="L2509" s="1" t="str">
        <f ca="1">IFERROR(__xludf.DUMMYFUNCTION("""COMPUTED_VALUE"""),"Employer who appreciates learning and enables that environment")</f>
        <v>Employer who appreciates learning and enables that environment</v>
      </c>
      <c r="M250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09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509" s="1" t="str">
        <f ca="1">IFERROR(__xludf.DUMMYFUNCTION("""COMPUTED_VALUE"""),"Manager who explains what is expected, sets a goal and helps achieve it")</f>
        <v>Manager who explains what is expected, sets a goal and helps achieve it</v>
      </c>
      <c r="P2509" s="1" t="str">
        <f ca="1">IFERROR(__xludf.DUMMYFUNCTION("""COMPUTED_VALUE"""),"Work with more than 10 people in my team")</f>
        <v>Work with more than 10 people in my team</v>
      </c>
      <c r="Q2509" s="1" t="str">
        <f ca="1">IFERROR(__xludf.DUMMYFUNCTION("""COMPUTED_VALUE"""),"Yes, I Understand this is gonna happen everywhere")</f>
        <v>Yes, I Understand this is gonna happen everywhere</v>
      </c>
      <c r="R2509" s="1" t="str">
        <f ca="1">IFERROR(__xludf.DUMMYFUNCTION("""COMPUTED_VALUE"""),"Will work for 7 years or more")</f>
        <v>Will work for 7 years or more</v>
      </c>
      <c r="S2509" s="1" t="str">
        <f ca="1">IFERROR(__xludf.DUMMYFUNCTION("""COMPUTED_VALUE"""),"princesingh1668@gmail.com")</f>
        <v>princesingh1668@gmail.com</v>
      </c>
    </row>
    <row r="2510" spans="1:19" ht="12.5" x14ac:dyDescent="0.25">
      <c r="A2510" s="2">
        <f ca="1">IFERROR(__xludf.DUMMYFUNCTION("""COMPUTED_VALUE"""),45065.3136789236)</f>
        <v>45065.313678923601</v>
      </c>
      <c r="B2510" s="1" t="str">
        <f ca="1">IFERROR(__xludf.DUMMYFUNCTION("""COMPUTED_VALUE"""),"India")</f>
        <v>India</v>
      </c>
      <c r="C2510" s="1">
        <f ca="1">IFERROR(__xludf.DUMMYFUNCTION("""COMPUTED_VALUE"""),590001)</f>
        <v>590001</v>
      </c>
      <c r="D2510" s="1" t="str">
        <f ca="1">IFERROR(__xludf.DUMMYFUNCTION("""COMPUTED_VALUE"""),"Male")</f>
        <v>Male</v>
      </c>
      <c r="E2510" s="1" t="str">
        <f ca="1">IFERROR(__xludf.DUMMYFUNCTION("""COMPUTED_VALUE"""),"People who have changed the world for better")</f>
        <v>People who have changed the world for better</v>
      </c>
      <c r="F2510" s="1" t="str">
        <f ca="1">IFERROR(__xludf.DUMMYFUNCTION("""COMPUTED_VALUE"""),"Yes, I will earn and do that")</f>
        <v>Yes, I will earn and do that</v>
      </c>
      <c r="G2510" s="1" t="str">
        <f ca="1">IFERROR(__xludf.DUMMYFUNCTION("""COMPUTED_VALUE"""),"No way")</f>
        <v>No way</v>
      </c>
      <c r="H2510" s="1" t="str">
        <f ca="1">IFERROR(__xludf.DUMMYFUNCTION("""COMPUTED_VALUE"""),"Yes")</f>
        <v>Yes</v>
      </c>
      <c r="I2510" s="1" t="str">
        <f ca="1">IFERROR(__xludf.DUMMYFUNCTION("""COMPUTED_VALUE"""),"Will work for them")</f>
        <v>Will work for them</v>
      </c>
      <c r="J2510" s="1">
        <f ca="1">IFERROR(__xludf.DUMMYFUNCTION("""COMPUTED_VALUE"""),10)</f>
        <v>10</v>
      </c>
      <c r="K2510" s="1" t="str">
        <f ca="1">IFERROR(__xludf.DUMMYFUNCTION("""COMPUTED_VALUE"""),"Every Day Office Environment")</f>
        <v>Every Day Office Environment</v>
      </c>
      <c r="L2510" s="1" t="str">
        <f ca="1">IFERROR(__xludf.DUMMYFUNCTION("""COMPUTED_VALUE"""),"Employer who appreciates learning and enables that environment")</f>
        <v>Employer who appreciates learning and enables that environment</v>
      </c>
      <c r="M2510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510" s="1" t="str">
        <f ca="1">IFERROR(__xludf.DUMMYFUNCTION("""COMPUTED_VALUE"""),"Manage and drive End-to-End Projects or Products, Design and Develop amazing software, Look deeply into Data and generate insights, Entrepreneur or Start Up")</f>
        <v>Manage and drive End-to-End Projects or Products, Design and Develop amazing software, Look deeply into Data and generate insights, Entrepreneur or Start Up</v>
      </c>
      <c r="O2510" s="1" t="str">
        <f ca="1">IFERROR(__xludf.DUMMYFUNCTION("""COMPUTED_VALUE"""),"Manager who sets targets and expects me to achieve it")</f>
        <v>Manager who sets targets and expects me to achieve it</v>
      </c>
      <c r="P2510" s="1" t="str">
        <f ca="1">IFERROR(__xludf.DUMMYFUNCTION("""COMPUTED_VALUE"""),"Work with more than 10 people in my team")</f>
        <v>Work with more than 10 people in my team</v>
      </c>
      <c r="Q2510" s="1" t="str">
        <f ca="1">IFERROR(__xludf.DUMMYFUNCTION("""COMPUTED_VALUE"""),"Yes")</f>
        <v>Yes</v>
      </c>
      <c r="R2510" s="1" t="str">
        <f ca="1">IFERROR(__xludf.DUMMYFUNCTION("""COMPUTED_VALUE"""),"No way")</f>
        <v>No way</v>
      </c>
      <c r="S2510" s="1" t="str">
        <f ca="1">IFERROR(__xludf.DUMMYFUNCTION("""COMPUTED_VALUE"""),"princeking0800@gmail.com")</f>
        <v>princeking0800@gmail.com</v>
      </c>
    </row>
    <row r="2511" spans="1:19" ht="12.5" x14ac:dyDescent="0.25">
      <c r="A2511" s="2">
        <f ca="1">IFERROR(__xludf.DUMMYFUNCTION("""COMPUTED_VALUE"""),45065.3638482175)</f>
        <v>45065.363848217501</v>
      </c>
      <c r="B2511" s="1" t="str">
        <f ca="1">IFERROR(__xludf.DUMMYFUNCTION("""COMPUTED_VALUE"""),"India")</f>
        <v>India</v>
      </c>
      <c r="C2511" s="1">
        <f ca="1">IFERROR(__xludf.DUMMYFUNCTION("""COMPUTED_VALUE"""),700064)</f>
        <v>700064</v>
      </c>
      <c r="D2511" s="1" t="str">
        <f ca="1">IFERROR(__xludf.DUMMYFUNCTION("""COMPUTED_VALUE"""),"Male")</f>
        <v>Male</v>
      </c>
      <c r="E2511" s="1" t="str">
        <f ca="1">IFERROR(__xludf.DUMMYFUNCTION("""COMPUTED_VALUE"""),"Social Media like LinkedIn")</f>
        <v>Social Media like LinkedIn</v>
      </c>
      <c r="F2511" s="1" t="str">
        <f ca="1">IFERROR(__xludf.DUMMYFUNCTION("""COMPUTED_VALUE"""),"No I would not be pursuing Higher Education outside of India")</f>
        <v>No I would not be pursuing Higher Education outside of India</v>
      </c>
      <c r="G2511" s="1" t="str">
        <f ca="1">IFERROR(__xludf.DUMMYFUNCTION("""COMPUTED_VALUE"""),"Will work for 3 years or more")</f>
        <v>Will work for 3 years or more</v>
      </c>
      <c r="H2511" s="1" t="str">
        <f ca="1">IFERROR(__xludf.DUMMYFUNCTION("""COMPUTED_VALUE"""),"No")</f>
        <v>No</v>
      </c>
      <c r="I2511" s="1" t="str">
        <f ca="1">IFERROR(__xludf.DUMMYFUNCTION("""COMPUTED_VALUE"""),"Will NOT work for them")</f>
        <v>Will NOT work for them</v>
      </c>
      <c r="J2511" s="1">
        <f ca="1">IFERROR(__xludf.DUMMYFUNCTION("""COMPUTED_VALUE"""),5)</f>
        <v>5</v>
      </c>
      <c r="K2511" s="1" t="str">
        <f ca="1">IFERROR(__xludf.DUMMYFUNCTION("""COMPUTED_VALUE"""),"Hybrid Working Environment with more than 15 days a month at office")</f>
        <v>Hybrid Working Environment with more than 15 days a month at office</v>
      </c>
      <c r="L25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1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511" s="1" t="str">
        <f ca="1">IFERROR(__xludf.DUMMYFUNCTION("""COMPUTED_VALUE"""),"Teaching in any of the institutes/colleges/online or offline, Look deeply into Data and generate insights, Entrepreneur or Start Up, Manufacturing / Oil and Gas/ Construction / Hard Physical Work related")</f>
        <v>Teaching in any of the institutes/colleges/online or offline, Look deeply into Data and generate insights, Entrepreneur or Start Up, Manufacturing / Oil and Gas/ Construction / Hard Physical Work related</v>
      </c>
      <c r="O2511" s="1" t="str">
        <f ca="1">IFERROR(__xludf.DUMMYFUNCTION("""COMPUTED_VALUE"""),"Manager who explains what is expected, sets a goal and helps achieve it")</f>
        <v>Manager who explains what is expected, sets a goal and helps achieve it</v>
      </c>
      <c r="P2511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511" s="1" t="str">
        <f ca="1">IFERROR(__xludf.DUMMYFUNCTION("""COMPUTED_VALUE"""),"Yes, I Understand this is gonna happen everywhere")</f>
        <v>Yes, I Understand this is gonna happen everywhere</v>
      </c>
      <c r="R2511" s="1" t="str">
        <f ca="1">IFERROR(__xludf.DUMMYFUNCTION("""COMPUTED_VALUE"""),"Will work for 7 years or more")</f>
        <v>Will work for 7 years or more</v>
      </c>
      <c r="S2511" s="1" t="str">
        <f ca="1">IFERROR(__xludf.DUMMYFUNCTION("""COMPUTED_VALUE"""),"bhowmick.anindya31@gmail.com")</f>
        <v>bhowmick.anindya31@gmail.com</v>
      </c>
    </row>
    <row r="2512" spans="1:19" ht="12.5" x14ac:dyDescent="0.25">
      <c r="A2512" s="2">
        <f ca="1">IFERROR(__xludf.DUMMYFUNCTION("""COMPUTED_VALUE"""),45065.3679663425)</f>
        <v>45065.367966342499</v>
      </c>
      <c r="B2512" s="1" t="str">
        <f ca="1">IFERROR(__xludf.DUMMYFUNCTION("""COMPUTED_VALUE"""),"India")</f>
        <v>India</v>
      </c>
      <c r="C2512" s="1">
        <f ca="1">IFERROR(__xludf.DUMMYFUNCTION("""COMPUTED_VALUE"""),401203)</f>
        <v>401203</v>
      </c>
      <c r="D2512" s="1" t="str">
        <f ca="1">IFERROR(__xludf.DUMMYFUNCTION("""COMPUTED_VALUE"""),"Female")</f>
        <v>Female</v>
      </c>
      <c r="E2512" s="1" t="str">
        <f ca="1">IFERROR(__xludf.DUMMYFUNCTION("""COMPUTED_VALUE"""),"People from my circle, but not family members")</f>
        <v>People from my circle, but not family members</v>
      </c>
      <c r="F2512" s="1" t="str">
        <f ca="1">IFERROR(__xludf.DUMMYFUNCTION("""COMPUTED_VALUE"""),"Yes, I will earn and do that")</f>
        <v>Yes, I will earn and do that</v>
      </c>
      <c r="G2512" s="1" t="str">
        <f ca="1">IFERROR(__xludf.DUMMYFUNCTION("""COMPUTED_VALUE"""),"This will be hard to do, but if it is the right company I would try")</f>
        <v>This will be hard to do, but if it is the right company I would try</v>
      </c>
      <c r="H2512" s="1" t="str">
        <f ca="1">IFERROR(__xludf.DUMMYFUNCTION("""COMPUTED_VALUE"""),"Yes")</f>
        <v>Yes</v>
      </c>
      <c r="I2512" s="1" t="str">
        <f ca="1">IFERROR(__xludf.DUMMYFUNCTION("""COMPUTED_VALUE"""),"Will NOT work for them")</f>
        <v>Will NOT work for them</v>
      </c>
      <c r="J2512" s="1">
        <f ca="1">IFERROR(__xludf.DUMMYFUNCTION("""COMPUTED_VALUE"""),1)</f>
        <v>1</v>
      </c>
      <c r="K2512" s="1" t="str">
        <f ca="1">IFERROR(__xludf.DUMMYFUNCTION("""COMPUTED_VALUE"""),"Every Day Office Environment")</f>
        <v>Every Day Office Environment</v>
      </c>
      <c r="L2512" s="1" t="str">
        <f ca="1">IFERROR(__xludf.DUMMYFUNCTION("""COMPUTED_VALUE"""),"Employer who rewards learning and enables that environment")</f>
        <v>Employer who rewards learning and enables that environment</v>
      </c>
      <c r="M251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12" s="1" t="str">
        <f ca="1">IFERROR(__xludf.DUMMYFUNCTION("""COMPUTED_VALUE"""),"Business Operations in any organization, Manage and drive End-to-End Projects or Products, Work in a BPO setup for some well known client, Work as a freelancer and do my thing my way")</f>
        <v>Business Operations in any organization, Manage and drive End-to-End Projects or Products, Work in a BPO setup for some well known client, Work as a freelancer and do my thing my way</v>
      </c>
      <c r="O2512" s="1" t="str">
        <f ca="1">IFERROR(__xludf.DUMMYFUNCTION("""COMPUTED_VALUE"""),"Manager who explains what is expected, sets a goal and helps achieve it")</f>
        <v>Manager who explains what is expected, sets a goal and helps achieve it</v>
      </c>
      <c r="P2512" s="1" t="str">
        <f ca="1">IFERROR(__xludf.DUMMYFUNCTION("""COMPUTED_VALUE"""),"Work with 5 to 6 people in my team")</f>
        <v>Work with 5 to 6 people in my team</v>
      </c>
      <c r="Q2512" s="1" t="str">
        <f ca="1">IFERROR(__xludf.DUMMYFUNCTION("""COMPUTED_VALUE"""),"No")</f>
        <v>No</v>
      </c>
      <c r="R2512" s="1" t="str">
        <f ca="1">IFERROR(__xludf.DUMMYFUNCTION("""COMPUTED_VALUE"""),"This will be hard to do, but if it is the right company I would try")</f>
        <v>This will be hard to do, but if it is the right company I would try</v>
      </c>
      <c r="S2512" s="1" t="str">
        <f ca="1">IFERROR(__xludf.DUMMYFUNCTION("""COMPUTED_VALUE"""),"dhanashreename22@gmail.com")</f>
        <v>dhanashreename22@gmail.com</v>
      </c>
    </row>
    <row r="2513" spans="1:19" ht="12.5" x14ac:dyDescent="0.25">
      <c r="A2513" s="2">
        <f ca="1">IFERROR(__xludf.DUMMYFUNCTION("""COMPUTED_VALUE"""),45065.3731055902)</f>
        <v>45065.373105590203</v>
      </c>
      <c r="B2513" s="1" t="str">
        <f ca="1">IFERROR(__xludf.DUMMYFUNCTION("""COMPUTED_VALUE"""),"India")</f>
        <v>India</v>
      </c>
      <c r="C2513" s="1">
        <f ca="1">IFERROR(__xludf.DUMMYFUNCTION("""COMPUTED_VALUE"""),501505)</f>
        <v>501505</v>
      </c>
      <c r="D2513" s="1" t="str">
        <f ca="1">IFERROR(__xludf.DUMMYFUNCTION("""COMPUTED_VALUE"""),"Male")</f>
        <v>Male</v>
      </c>
      <c r="E2513" s="1" t="str">
        <f ca="1">IFERROR(__xludf.DUMMYFUNCTION("""COMPUTED_VALUE"""),"My Parents")</f>
        <v>My Parents</v>
      </c>
      <c r="F2513" s="1" t="str">
        <f ca="1">IFERROR(__xludf.DUMMYFUNCTION("""COMPUTED_VALUE"""),"Yes, I will earn and do that")</f>
        <v>Yes, I will earn and do that</v>
      </c>
      <c r="G2513" s="1" t="str">
        <f ca="1">IFERROR(__xludf.DUMMYFUNCTION("""COMPUTED_VALUE"""),"Will work for 3 years or more")</f>
        <v>Will work for 3 years or more</v>
      </c>
      <c r="H2513" s="1" t="str">
        <f ca="1">IFERROR(__xludf.DUMMYFUNCTION("""COMPUTED_VALUE"""),"Yes")</f>
        <v>Yes</v>
      </c>
      <c r="I2513" s="1" t="str">
        <f ca="1">IFERROR(__xludf.DUMMYFUNCTION("""COMPUTED_VALUE"""),"Will NOT work for them")</f>
        <v>Will NOT work for them</v>
      </c>
      <c r="J2513" s="1">
        <f ca="1">IFERROR(__xludf.DUMMYFUNCTION("""COMPUTED_VALUE"""),8)</f>
        <v>8</v>
      </c>
      <c r="K2513" s="1" t="str">
        <f ca="1">IFERROR(__xludf.DUMMYFUNCTION("""COMPUTED_VALUE"""),"Fully Remote with Options to travel as and when needed")</f>
        <v>Fully Remote with Options to travel as and when needed</v>
      </c>
      <c r="L25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1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13" s="1" t="str">
        <f ca="1">IFERROR(__xludf.DUMMYFUNCTION("""COMPUTED_VALUE"""),"Business Operations in any organization, Build and develop a Team, Entrepreneur or Start Up, An Artificial Intelligence Specialist / Talking to Robots")</f>
        <v>Business Operations in any organization, Build and develop a Team, Entrepreneur or Start Up, An Artificial Intelligence Specialist / Talking to Robots</v>
      </c>
      <c r="O2513" s="1" t="str">
        <f ca="1">IFERROR(__xludf.DUMMYFUNCTION("""COMPUTED_VALUE"""),"Manager who sets targets and expects me to achieve it")</f>
        <v>Manager who sets targets and expects me to achieve it</v>
      </c>
      <c r="P2513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513" s="1" t="str">
        <f ca="1">IFERROR(__xludf.DUMMYFUNCTION("""COMPUTED_VALUE"""),"No")</f>
        <v>No</v>
      </c>
      <c r="R2513" s="1" t="str">
        <f ca="1">IFERROR(__xludf.DUMMYFUNCTION("""COMPUTED_VALUE"""),"No way")</f>
        <v>No way</v>
      </c>
      <c r="S2513" s="1" t="str">
        <f ca="1">IFERROR(__xludf.DUMMYFUNCTION("""COMPUTED_VALUE"""),"pullagounideekshith@gmail.com")</f>
        <v>pullagounideekshith@gmail.com</v>
      </c>
    </row>
    <row r="2514" spans="1:19" ht="12.5" x14ac:dyDescent="0.25">
      <c r="A2514" s="2">
        <f ca="1">IFERROR(__xludf.DUMMYFUNCTION("""COMPUTED_VALUE"""),45065.3797198495)</f>
        <v>45065.379719849501</v>
      </c>
      <c r="B2514" s="1" t="str">
        <f ca="1">IFERROR(__xludf.DUMMYFUNCTION("""COMPUTED_VALUE"""),"India")</f>
        <v>India</v>
      </c>
      <c r="C2514" s="1">
        <f ca="1">IFERROR(__xludf.DUMMYFUNCTION("""COMPUTED_VALUE"""),560060)</f>
        <v>560060</v>
      </c>
      <c r="D2514" s="1" t="str">
        <f ca="1">IFERROR(__xludf.DUMMYFUNCTION("""COMPUTED_VALUE"""),"Female")</f>
        <v>Female</v>
      </c>
      <c r="E2514" s="1" t="str">
        <f ca="1">IFERROR(__xludf.DUMMYFUNCTION("""COMPUTED_VALUE"""),"People who have changed the world for better")</f>
        <v>People who have changed the world for better</v>
      </c>
      <c r="F2514" s="1" t="str">
        <f ca="1">IFERROR(__xludf.DUMMYFUNCTION("""COMPUTED_VALUE"""),"No, But if someone could bare the cost I will")</f>
        <v>No, But if someone could bare the cost I will</v>
      </c>
      <c r="G2514" s="1" t="str">
        <f ca="1">IFERROR(__xludf.DUMMYFUNCTION("""COMPUTED_VALUE"""),"Will work for 3 years or more")</f>
        <v>Will work for 3 years or more</v>
      </c>
      <c r="H2514" s="1" t="str">
        <f ca="1">IFERROR(__xludf.DUMMYFUNCTION("""COMPUTED_VALUE"""),"No")</f>
        <v>No</v>
      </c>
      <c r="I2514" s="1" t="str">
        <f ca="1">IFERROR(__xludf.DUMMYFUNCTION("""COMPUTED_VALUE"""),"Will NOT work for them")</f>
        <v>Will NOT work for them</v>
      </c>
      <c r="J2514" s="1">
        <f ca="1">IFERROR(__xludf.DUMMYFUNCTION("""COMPUTED_VALUE"""),5)</f>
        <v>5</v>
      </c>
      <c r="K2514" s="1" t="str">
        <f ca="1">IFERROR(__xludf.DUMMYFUNCTION("""COMPUTED_VALUE"""),"Every Day Office Environment")</f>
        <v>Every Day Office Environment</v>
      </c>
      <c r="L25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1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14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2514" s="1" t="str">
        <f ca="1">IFERROR(__xludf.DUMMYFUNCTION("""COMPUTED_VALUE"""),"Manager who clearly describes what she/he needs")</f>
        <v>Manager who clearly describes what she/he needs</v>
      </c>
      <c r="P2514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514" s="1" t="str">
        <f ca="1">IFERROR(__xludf.DUMMYFUNCTION("""COMPUTED_VALUE"""),"Yes, I Understand this is gonna happen everywhere")</f>
        <v>Yes, I Understand this is gonna happen everywhere</v>
      </c>
      <c r="R2514" s="1" t="str">
        <f ca="1">IFERROR(__xludf.DUMMYFUNCTION("""COMPUTED_VALUE"""),"Will work for 7 years or more")</f>
        <v>Will work for 7 years or more</v>
      </c>
      <c r="S2514" s="1" t="str">
        <f ca="1">IFERROR(__xludf.DUMMYFUNCTION("""COMPUTED_VALUE"""),"sindhudurbha@gmail.com")</f>
        <v>sindhudurbha@gmail.com</v>
      </c>
    </row>
    <row r="2515" spans="1:19" ht="12.5" x14ac:dyDescent="0.25">
      <c r="A2515" s="2">
        <f ca="1">IFERROR(__xludf.DUMMYFUNCTION("""COMPUTED_VALUE"""),45065.3950067361)</f>
        <v>45065.3950067361</v>
      </c>
      <c r="B2515" s="1" t="str">
        <f ca="1">IFERROR(__xludf.DUMMYFUNCTION("""COMPUTED_VALUE"""),"India")</f>
        <v>India</v>
      </c>
      <c r="C2515" s="1">
        <f ca="1">IFERROR(__xludf.DUMMYFUNCTION("""COMPUTED_VALUE"""),515001)</f>
        <v>515001</v>
      </c>
      <c r="D2515" s="1" t="str">
        <f ca="1">IFERROR(__xludf.DUMMYFUNCTION("""COMPUTED_VALUE"""),"Male")</f>
        <v>Male</v>
      </c>
      <c r="E2515" s="1" t="str">
        <f ca="1">IFERROR(__xludf.DUMMYFUNCTION("""COMPUTED_VALUE"""),"Social Media like LinkedIn")</f>
        <v>Social Media like LinkedIn</v>
      </c>
      <c r="F2515" s="1" t="str">
        <f ca="1">IFERROR(__xludf.DUMMYFUNCTION("""COMPUTED_VALUE"""),"No I would not be pursuing Higher Education outside of India")</f>
        <v>No I would not be pursuing Higher Education outside of India</v>
      </c>
      <c r="G2515" s="1" t="str">
        <f ca="1">IFERROR(__xludf.DUMMYFUNCTION("""COMPUTED_VALUE"""),"This will be hard to do, but if it is the right company I would try")</f>
        <v>This will be hard to do, but if it is the right company I would try</v>
      </c>
      <c r="H2515" s="1" t="str">
        <f ca="1">IFERROR(__xludf.DUMMYFUNCTION("""COMPUTED_VALUE"""),"No")</f>
        <v>No</v>
      </c>
      <c r="I2515" s="1" t="str">
        <f ca="1">IFERROR(__xludf.DUMMYFUNCTION("""COMPUTED_VALUE"""),"Will NOT work for them")</f>
        <v>Will NOT work for them</v>
      </c>
      <c r="J2515" s="1">
        <f ca="1">IFERROR(__xludf.DUMMYFUNCTION("""COMPUTED_VALUE"""),6)</f>
        <v>6</v>
      </c>
      <c r="K2515" s="1" t="str">
        <f ca="1">IFERROR(__xludf.DUMMYFUNCTION("""COMPUTED_VALUE"""),"Hybrid Working Environment with less than 3 days a month at office")</f>
        <v>Hybrid Working Environment with less than 3 days a month at office</v>
      </c>
      <c r="L2515" s="1" t="str">
        <f ca="1">IFERROR(__xludf.DUMMYFUNCTION("""COMPUTED_VALUE"""),"Employer who rewards learning and enables that environment")</f>
        <v>Employer who rewards learning and enables that environment</v>
      </c>
      <c r="M251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15" s="1" t="str">
        <f ca="1">IFERROR(__xludf.DUMMYFUNCTION("""COMPUTED_VALUE"""),"Design and Creative strategy in any company, Look deeply into Data and generate insights, Become a content Creator in some platform, I Want to sell things/Sales")</f>
        <v>Design and Creative strategy in any company, Look deeply into Data and generate insights, Become a content Creator in some platform, I Want to sell things/Sales</v>
      </c>
      <c r="O2515" s="1" t="str">
        <f ca="1">IFERROR(__xludf.DUMMYFUNCTION("""COMPUTED_VALUE"""),"Manager who sets goal and helps me achieve it")</f>
        <v>Manager who sets goal and helps me achieve it</v>
      </c>
      <c r="P2515" s="1" t="str">
        <f ca="1">IFERROR(__xludf.DUMMYFUNCTION("""COMPUTED_VALUE"""),"Work with 5 to 6 people in my team")</f>
        <v>Work with 5 to 6 people in my team</v>
      </c>
      <c r="Q2515" s="1" t="str">
        <f ca="1">IFERROR(__xludf.DUMMYFUNCTION("""COMPUTED_VALUE"""),"Yes")</f>
        <v>Yes</v>
      </c>
      <c r="R2515" s="1" t="str">
        <f ca="1">IFERROR(__xludf.DUMMYFUNCTION("""COMPUTED_VALUE"""),"No way")</f>
        <v>No way</v>
      </c>
      <c r="S2515" s="1" t="str">
        <f ca="1">IFERROR(__xludf.DUMMYFUNCTION("""COMPUTED_VALUE"""),"keerthansimhachowdary979@gmail.com")</f>
        <v>keerthansimhachowdary979@gmail.com</v>
      </c>
    </row>
    <row r="2516" spans="1:19" ht="12.5" x14ac:dyDescent="0.25">
      <c r="A2516" s="2">
        <f ca="1">IFERROR(__xludf.DUMMYFUNCTION("""COMPUTED_VALUE"""),45065.3968865625)</f>
        <v>45065.396886562499</v>
      </c>
      <c r="B2516" s="1" t="str">
        <f ca="1">IFERROR(__xludf.DUMMYFUNCTION("""COMPUTED_VALUE"""),"India")</f>
        <v>India</v>
      </c>
      <c r="C2516" s="1">
        <f ca="1">IFERROR(__xludf.DUMMYFUNCTION("""COMPUTED_VALUE"""),500068)</f>
        <v>500068</v>
      </c>
      <c r="D2516" s="1" t="str">
        <f ca="1">IFERROR(__xludf.DUMMYFUNCTION("""COMPUTED_VALUE"""),"Male")</f>
        <v>Male</v>
      </c>
      <c r="E2516" s="1" t="str">
        <f ca="1">IFERROR(__xludf.DUMMYFUNCTION("""COMPUTED_VALUE"""),"People from my circle, but not family members")</f>
        <v>People from my circle, but not family members</v>
      </c>
      <c r="F2516" s="1" t="str">
        <f ca="1">IFERROR(__xludf.DUMMYFUNCTION("""COMPUTED_VALUE"""),"No I would not be pursuing Higher Education outside of India")</f>
        <v>No I would not be pursuing Higher Education outside of India</v>
      </c>
      <c r="G2516" s="1" t="str">
        <f ca="1">IFERROR(__xludf.DUMMYFUNCTION("""COMPUTED_VALUE"""),"This will be hard to do, but if it is the right company I would try")</f>
        <v>This will be hard to do, but if it is the right company I would try</v>
      </c>
      <c r="H2516" s="1" t="str">
        <f ca="1">IFERROR(__xludf.DUMMYFUNCTION("""COMPUTED_VALUE"""),"Yes")</f>
        <v>Yes</v>
      </c>
      <c r="I2516" s="1" t="str">
        <f ca="1">IFERROR(__xludf.DUMMYFUNCTION("""COMPUTED_VALUE"""),"Will work for them")</f>
        <v>Will work for them</v>
      </c>
      <c r="J2516" s="1">
        <f ca="1">IFERROR(__xludf.DUMMYFUNCTION("""COMPUTED_VALUE"""),10)</f>
        <v>10</v>
      </c>
      <c r="K2516" s="1" t="str">
        <f ca="1">IFERROR(__xludf.DUMMYFUNCTION("""COMPUTED_VALUE"""),"Every Day Office Environment")</f>
        <v>Every Day Office Environment</v>
      </c>
      <c r="L25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1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16" s="1" t="str">
        <f ca="1">IFERROR(__xludf.DUMMYFUNCTION("""COMPUTED_VALUE"""),"Look deeply into Data and generate insights, Become a content Creator in some platform, I Want to sell things/Sales, Manufacturing / Oil and Gas/ Construction / Hard Physical Work related")</f>
        <v>Look deeply into Data and generate insights, Become a content Creator in some platform, I Want to sell things/Sales, Manufacturing / Oil and Gas/ Construction / Hard Physical Work related</v>
      </c>
      <c r="O2516" s="1" t="str">
        <f ca="1">IFERROR(__xludf.DUMMYFUNCTION("""COMPUTED_VALUE"""),"Manager who clearly describes what she/he needs")</f>
        <v>Manager who clearly describes what she/he needs</v>
      </c>
      <c r="P2516" s="1" t="str">
        <f ca="1">IFERROR(__xludf.DUMMYFUNCTION("""COMPUTED_VALUE"""),"Work with 2 to 3 people in my team, Work with 7 to 10 or more people in my team")</f>
        <v>Work with 2 to 3 people in my team, Work with 7 to 10 or more people in my team</v>
      </c>
      <c r="Q2516" s="1" t="str">
        <f ca="1">IFERROR(__xludf.DUMMYFUNCTION("""COMPUTED_VALUE"""),"No")</f>
        <v>No</v>
      </c>
      <c r="R2516" s="1" t="str">
        <f ca="1">IFERROR(__xludf.DUMMYFUNCTION("""COMPUTED_VALUE"""),"No way")</f>
        <v>No way</v>
      </c>
      <c r="S2516" s="1" t="str">
        <f ca="1">IFERROR(__xludf.DUMMYFUNCTION("""COMPUTED_VALUE"""),"jathingoud01@gmail.com")</f>
        <v>jathingoud01@gmail.com</v>
      </c>
    </row>
    <row r="2517" spans="1:19" ht="12.5" x14ac:dyDescent="0.25">
      <c r="A2517" s="2">
        <f ca="1">IFERROR(__xludf.DUMMYFUNCTION("""COMPUTED_VALUE"""),45065.4363726851)</f>
        <v>45065.436372685101</v>
      </c>
      <c r="B2517" s="1" t="str">
        <f ca="1">IFERROR(__xludf.DUMMYFUNCTION("""COMPUTED_VALUE"""),"India")</f>
        <v>India</v>
      </c>
      <c r="C2517" s="1">
        <f ca="1">IFERROR(__xludf.DUMMYFUNCTION("""COMPUTED_VALUE"""),122004)</f>
        <v>122004</v>
      </c>
      <c r="D2517" s="1" t="str">
        <f ca="1">IFERROR(__xludf.DUMMYFUNCTION("""COMPUTED_VALUE"""),"Female")</f>
        <v>Female</v>
      </c>
      <c r="E2517" s="1" t="str">
        <f ca="1">IFERROR(__xludf.DUMMYFUNCTION("""COMPUTED_VALUE"""),"My Parents")</f>
        <v>My Parents</v>
      </c>
      <c r="F2517" s="1" t="str">
        <f ca="1">IFERROR(__xludf.DUMMYFUNCTION("""COMPUTED_VALUE"""),"No I would not be pursuing Higher Education outside of India")</f>
        <v>No I would not be pursuing Higher Education outside of India</v>
      </c>
      <c r="G2517" s="1" t="str">
        <f ca="1">IFERROR(__xludf.DUMMYFUNCTION("""COMPUTED_VALUE"""),"Will work for 3 years or more")</f>
        <v>Will work for 3 years or more</v>
      </c>
      <c r="H2517" s="1" t="str">
        <f ca="1">IFERROR(__xludf.DUMMYFUNCTION("""COMPUTED_VALUE"""),"Yes")</f>
        <v>Yes</v>
      </c>
      <c r="I2517" s="1" t="str">
        <f ca="1">IFERROR(__xludf.DUMMYFUNCTION("""COMPUTED_VALUE"""),"Will NOT work for them")</f>
        <v>Will NOT work for them</v>
      </c>
      <c r="J2517" s="1">
        <f ca="1">IFERROR(__xludf.DUMMYFUNCTION("""COMPUTED_VALUE"""),7)</f>
        <v>7</v>
      </c>
      <c r="K2517" s="1" t="str">
        <f ca="1">IFERROR(__xludf.DUMMYFUNCTION("""COMPUTED_VALUE"""),"Fully Remote with Options to travel as and when needed")</f>
        <v>Fully Remote with Options to travel as and when needed</v>
      </c>
      <c r="L25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1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517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2517" s="1" t="str">
        <f ca="1">IFERROR(__xludf.DUMMYFUNCTION("""COMPUTED_VALUE"""),"Manager who explains what is expected, sets a goal and helps achieve it")</f>
        <v>Manager who explains what is expected, sets a goal and helps achieve it</v>
      </c>
      <c r="P2517" s="1" t="str">
        <f ca="1">IFERROR(__xludf.DUMMYFUNCTION("""COMPUTED_VALUE"""),"Work with 2 to 3 people in my team")</f>
        <v>Work with 2 to 3 people in my team</v>
      </c>
      <c r="Q2517" s="1" t="str">
        <f ca="1">IFERROR(__xludf.DUMMYFUNCTION("""COMPUTED_VALUE"""),"Yes, I Understand this is gonna happen everywhere")</f>
        <v>Yes, I Understand this is gonna happen everywhere</v>
      </c>
      <c r="R2517" s="1" t="str">
        <f ca="1">IFERROR(__xludf.DUMMYFUNCTION("""COMPUTED_VALUE"""),"This will be hard to do, but if it is the right company I would try")</f>
        <v>This will be hard to do, but if it is the right company I would try</v>
      </c>
      <c r="S2517" s="1" t="str">
        <f ca="1">IFERROR(__xludf.DUMMYFUNCTION("""COMPUTED_VALUE"""),"yraveena01@gmail.com")</f>
        <v>yraveena01@gmail.com</v>
      </c>
    </row>
    <row r="2518" spans="1:19" ht="12.5" x14ac:dyDescent="0.25">
      <c r="A2518" s="2">
        <f ca="1">IFERROR(__xludf.DUMMYFUNCTION("""COMPUTED_VALUE"""),45065.437954375)</f>
        <v>45065.437954374996</v>
      </c>
      <c r="B2518" s="1" t="str">
        <f ca="1">IFERROR(__xludf.DUMMYFUNCTION("""COMPUTED_VALUE"""),"India")</f>
        <v>India</v>
      </c>
      <c r="C2518" s="1">
        <f ca="1">IFERROR(__xludf.DUMMYFUNCTION("""COMPUTED_VALUE"""),518523)</f>
        <v>518523</v>
      </c>
      <c r="D2518" s="1" t="str">
        <f ca="1">IFERROR(__xludf.DUMMYFUNCTION("""COMPUTED_VALUE"""),"Male")</f>
        <v>Male</v>
      </c>
      <c r="E2518" s="1" t="str">
        <f ca="1">IFERROR(__xludf.DUMMYFUNCTION("""COMPUTED_VALUE"""),"People from my circle, but not family members")</f>
        <v>People from my circle, but not family members</v>
      </c>
      <c r="F2518" s="1" t="str">
        <f ca="1">IFERROR(__xludf.DUMMYFUNCTION("""COMPUTED_VALUE"""),"No, But if someone could bare the cost I will")</f>
        <v>No, But if someone could bare the cost I will</v>
      </c>
      <c r="G2518" s="1" t="str">
        <f ca="1">IFERROR(__xludf.DUMMYFUNCTION("""COMPUTED_VALUE"""),"This will be hard to do, but if it is the right company I would try")</f>
        <v>This will be hard to do, but if it is the right company I would try</v>
      </c>
      <c r="H2518" s="1" t="str">
        <f ca="1">IFERROR(__xludf.DUMMYFUNCTION("""COMPUTED_VALUE"""),"Yes")</f>
        <v>Yes</v>
      </c>
      <c r="I2518" s="1" t="str">
        <f ca="1">IFERROR(__xludf.DUMMYFUNCTION("""COMPUTED_VALUE"""),"Will work for them")</f>
        <v>Will work for them</v>
      </c>
      <c r="J2518" s="1">
        <f ca="1">IFERROR(__xludf.DUMMYFUNCTION("""COMPUTED_VALUE"""),8)</f>
        <v>8</v>
      </c>
      <c r="K2518" s="1" t="str">
        <f ca="1">IFERROR(__xludf.DUMMYFUNCTION("""COMPUTED_VALUE"""),"Every Day Office Environment")</f>
        <v>Every Day Office Environment</v>
      </c>
      <c r="L2518" s="1" t="str">
        <f ca="1">IFERROR(__xludf.DUMMYFUNCTION("""COMPUTED_VALUE"""),"Employer who appreciates learning and enables that environment")</f>
        <v>Employer who appreciates learning and enables that environment</v>
      </c>
      <c r="M251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18" s="1" t="str">
        <f ca="1">IFERROR(__xludf.DUMMYFUNCTION("""COMPUTED_VALUE"""),"Design and Creative strategy in any company, Teaching in any of the institutes/colleges/online or offline, Business Operations in any organization, Work as a freelancer and do my thing my way")</f>
        <v>Design and Creative strategy in any company, Teaching in any of the institutes/colleges/online or offline, Business Operations in any organization, Work as a freelancer and do my thing my way</v>
      </c>
      <c r="O2518" s="1" t="str">
        <f ca="1">IFERROR(__xludf.DUMMYFUNCTION("""COMPUTED_VALUE"""),"Manager who clearly describes what she/he needs")</f>
        <v>Manager who clearly describes what she/he needs</v>
      </c>
      <c r="P2518" s="1" t="str">
        <f ca="1">IFERROR(__xludf.DUMMYFUNCTION("""COMPUTED_VALUE"""),"Work with 5 to 6 people in my team")</f>
        <v>Work with 5 to 6 people in my team</v>
      </c>
      <c r="Q2518" s="1" t="str">
        <f ca="1">IFERROR(__xludf.DUMMYFUNCTION("""COMPUTED_VALUE"""),"I have NO other choice")</f>
        <v>I have NO other choice</v>
      </c>
      <c r="R2518" s="1" t="str">
        <f ca="1">IFERROR(__xludf.DUMMYFUNCTION("""COMPUTED_VALUE"""),"This will be hard to do, but if it is the right company I would try")</f>
        <v>This will be hard to do, but if it is the right company I would try</v>
      </c>
      <c r="S2518" s="1" t="str">
        <f ca="1">IFERROR(__xludf.DUMMYFUNCTION("""COMPUTED_VALUE"""),"manchalasurendra7@gmail.com")</f>
        <v>manchalasurendra7@gmail.com</v>
      </c>
    </row>
    <row r="2519" spans="1:19" ht="12.5" x14ac:dyDescent="0.25">
      <c r="A2519" s="2">
        <f ca="1">IFERROR(__xludf.DUMMYFUNCTION("""COMPUTED_VALUE"""),45065.4379804861)</f>
        <v>45065.437980486102</v>
      </c>
      <c r="B2519" s="1" t="str">
        <f ca="1">IFERROR(__xludf.DUMMYFUNCTION("""COMPUTED_VALUE"""),"India")</f>
        <v>India</v>
      </c>
      <c r="C2519" s="1">
        <f ca="1">IFERROR(__xludf.DUMMYFUNCTION("""COMPUTED_VALUE"""),390010)</f>
        <v>390010</v>
      </c>
      <c r="D2519" s="1" t="str">
        <f ca="1">IFERROR(__xludf.DUMMYFUNCTION("""COMPUTED_VALUE"""),"Female")</f>
        <v>Female</v>
      </c>
      <c r="E2519" s="1" t="str">
        <f ca="1">IFERROR(__xludf.DUMMYFUNCTION("""COMPUTED_VALUE"""),"People who have changed the world for better")</f>
        <v>People who have changed the world for better</v>
      </c>
      <c r="F2519" s="1" t="str">
        <f ca="1">IFERROR(__xludf.DUMMYFUNCTION("""COMPUTED_VALUE"""),"No, But if someone could bare the cost I will")</f>
        <v>No, But if someone could bare the cost I will</v>
      </c>
      <c r="G2519" s="1" t="str">
        <f ca="1">IFERROR(__xludf.DUMMYFUNCTION("""COMPUTED_VALUE"""),"Will work for 3 years or more")</f>
        <v>Will work for 3 years or more</v>
      </c>
      <c r="H2519" s="1" t="str">
        <f ca="1">IFERROR(__xludf.DUMMYFUNCTION("""COMPUTED_VALUE"""),"No")</f>
        <v>No</v>
      </c>
      <c r="I2519" s="1" t="str">
        <f ca="1">IFERROR(__xludf.DUMMYFUNCTION("""COMPUTED_VALUE"""),"Will NOT work for them")</f>
        <v>Will NOT work for them</v>
      </c>
      <c r="J2519" s="1">
        <f ca="1">IFERROR(__xludf.DUMMYFUNCTION("""COMPUTED_VALUE"""),6)</f>
        <v>6</v>
      </c>
      <c r="K2519" s="1" t="str">
        <f ca="1">IFERROR(__xludf.DUMMYFUNCTION("""COMPUTED_VALUE"""),"Hybrid Working Environment with less than 3 days a month at office")</f>
        <v>Hybrid Working Environment with less than 3 days a month at office</v>
      </c>
      <c r="L251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1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19" s="1" t="str">
        <f ca="1">IFERROR(__xludf.DUMMYFUNCTION("""COMPUTED_VALUE"""),"Business Operations in any organization, Manage and drive End-to-End Projects or Products, Work in a BPO setup for some well known client, An Artificial Intelligence Specialist / Talking to Robots")</f>
        <v>Business Operations in any organization, Manage and drive End-to-End Projects or Products, Work in a BPO setup for some well known client, An Artificial Intelligence Specialist / Talking to Robots</v>
      </c>
      <c r="O2519" s="1" t="str">
        <f ca="1">IFERROR(__xludf.DUMMYFUNCTION("""COMPUTED_VALUE"""),"Manager who sets goal and helps me achieve it")</f>
        <v>Manager who sets goal and helps me achieve it</v>
      </c>
      <c r="P2519" s="1" t="str">
        <f ca="1">IFERROR(__xludf.DUMMYFUNCTION("""COMPUTED_VALUE"""),"Work with 5 to 6 people in my team")</f>
        <v>Work with 5 to 6 people in my team</v>
      </c>
      <c r="Q2519" s="1" t="str">
        <f ca="1">IFERROR(__xludf.DUMMYFUNCTION("""COMPUTED_VALUE"""),"Yes, I Understand this is gonna happen everywhere")</f>
        <v>Yes, I Understand this is gonna happen everywhere</v>
      </c>
      <c r="R2519" s="1" t="str">
        <f ca="1">IFERROR(__xludf.DUMMYFUNCTION("""COMPUTED_VALUE"""),"This will be hard to do, but if it is the right company I would try")</f>
        <v>This will be hard to do, but if it is the right company I would try</v>
      </c>
      <c r="S2519" s="1" t="str">
        <f ca="1">IFERROR(__xludf.DUMMYFUNCTION("""COMPUTED_VALUE"""),"sunita.singh080577@gmail.com")</f>
        <v>sunita.singh080577@gmail.com</v>
      </c>
    </row>
    <row r="2520" spans="1:19" ht="12.5" x14ac:dyDescent="0.25">
      <c r="A2520" s="2">
        <f ca="1">IFERROR(__xludf.DUMMYFUNCTION("""COMPUTED_VALUE"""),45065.442675787)</f>
        <v>45065.442675787002</v>
      </c>
      <c r="B2520" s="1" t="str">
        <f ca="1">IFERROR(__xludf.DUMMYFUNCTION("""COMPUTED_VALUE"""),"India")</f>
        <v>India</v>
      </c>
      <c r="C2520" s="1">
        <f ca="1">IFERROR(__xludf.DUMMYFUNCTION("""COMPUTED_VALUE"""),533429)</f>
        <v>533429</v>
      </c>
      <c r="D2520" s="1" t="str">
        <f ca="1">IFERROR(__xludf.DUMMYFUNCTION("""COMPUTED_VALUE"""),"Male")</f>
        <v>Male</v>
      </c>
      <c r="E2520" s="1" t="str">
        <f ca="1">IFERROR(__xludf.DUMMYFUNCTION("""COMPUTED_VALUE"""),"People from my circle, but not family members")</f>
        <v>People from my circle, but not family members</v>
      </c>
      <c r="F2520" s="1" t="str">
        <f ca="1">IFERROR(__xludf.DUMMYFUNCTION("""COMPUTED_VALUE"""),"No I would not be pursuing Higher Education outside of India")</f>
        <v>No I would not be pursuing Higher Education outside of India</v>
      </c>
      <c r="G2520" s="1" t="str">
        <f ca="1">IFERROR(__xludf.DUMMYFUNCTION("""COMPUTED_VALUE"""),"Will work for 3 years or more")</f>
        <v>Will work for 3 years or more</v>
      </c>
      <c r="H2520" s="1" t="str">
        <f ca="1">IFERROR(__xludf.DUMMYFUNCTION("""COMPUTED_VALUE"""),"Yes")</f>
        <v>Yes</v>
      </c>
      <c r="I2520" s="1" t="str">
        <f ca="1">IFERROR(__xludf.DUMMYFUNCTION("""COMPUTED_VALUE"""),"Will work for them")</f>
        <v>Will work for them</v>
      </c>
      <c r="J2520" s="1">
        <f ca="1">IFERROR(__xludf.DUMMYFUNCTION("""COMPUTED_VALUE"""),7)</f>
        <v>7</v>
      </c>
      <c r="K2520" s="1" t="str">
        <f ca="1">IFERROR(__xludf.DUMMYFUNCTION("""COMPUTED_VALUE"""),"Every Day Office Environment")</f>
        <v>Every Day Office Environment</v>
      </c>
      <c r="L25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2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520" s="1" t="str">
        <f ca="1">IFERROR(__xludf.DUMMYFUNCTION("""COMPUTED_VALUE"""),"Teaching in any of the institutes/colleges/online or offline, Entrepreneur or Start Up, An Artificial Intelligence Specialist / Talking to Robots, Manufacturing / Oil and Gas/ Construction / Hard Physical Work related")</f>
        <v>Teaching in any of the institutes/colleges/online or offline, Entrepreneur or Start Up, An Artificial Intelligence Specialist / Talking to Robots, Manufacturing / Oil and Gas/ Construction / Hard Physical Work related</v>
      </c>
      <c r="O2520" s="1" t="str">
        <f ca="1">IFERROR(__xludf.DUMMYFUNCTION("""COMPUTED_VALUE"""),"Manager who sets goal and helps me achieve it")</f>
        <v>Manager who sets goal and helps me achieve it</v>
      </c>
      <c r="P2520" s="1" t="str">
        <f ca="1">IFERROR(__xludf.DUMMYFUNCTION("""COMPUTED_VALUE"""),"Work with 2 to 3 people in my team")</f>
        <v>Work with 2 to 3 people in my team</v>
      </c>
      <c r="Q2520" s="1" t="str">
        <f ca="1">IFERROR(__xludf.DUMMYFUNCTION("""COMPUTED_VALUE"""),"Yes, I Understand this is gonna happen everywhere")</f>
        <v>Yes, I Understand this is gonna happen everywhere</v>
      </c>
      <c r="R2520" s="1" t="str">
        <f ca="1">IFERROR(__xludf.DUMMYFUNCTION("""COMPUTED_VALUE"""),"This will be hard to do, but if it is the right company I would try")</f>
        <v>This will be hard to do, but if it is the right company I would try</v>
      </c>
      <c r="S2520" s="1" t="str">
        <f ca="1">IFERROR(__xludf.DUMMYFUNCTION("""COMPUTED_VALUE"""),"sriram11197@gmail.com")</f>
        <v>sriram11197@gmail.com</v>
      </c>
    </row>
    <row r="2521" spans="1:19" ht="12.5" x14ac:dyDescent="0.25">
      <c r="A2521" s="2">
        <f ca="1">IFERROR(__xludf.DUMMYFUNCTION("""COMPUTED_VALUE"""),45065.4475603009)</f>
        <v>45065.447560300898</v>
      </c>
      <c r="B2521" s="1" t="str">
        <f ca="1">IFERROR(__xludf.DUMMYFUNCTION("""COMPUTED_VALUE"""),"India")</f>
        <v>India</v>
      </c>
      <c r="C2521" s="1">
        <f ca="1">IFERROR(__xludf.DUMMYFUNCTION("""COMPUTED_VALUE"""),581115)</f>
        <v>581115</v>
      </c>
      <c r="D2521" s="1" t="str">
        <f ca="1">IFERROR(__xludf.DUMMYFUNCTION("""COMPUTED_VALUE"""),"Male")</f>
        <v>Male</v>
      </c>
      <c r="E2521" s="1" t="str">
        <f ca="1">IFERROR(__xludf.DUMMYFUNCTION("""COMPUTED_VALUE"""),"My Parents")</f>
        <v>My Parents</v>
      </c>
      <c r="F2521" s="1" t="str">
        <f ca="1">IFERROR(__xludf.DUMMYFUNCTION("""COMPUTED_VALUE"""),"No I would not be pursuing Higher Education outside of India")</f>
        <v>No I would not be pursuing Higher Education outside of India</v>
      </c>
      <c r="G2521" s="1" t="str">
        <f ca="1">IFERROR(__xludf.DUMMYFUNCTION("""COMPUTED_VALUE"""),"This will be hard to do, but if it is the right company I would try")</f>
        <v>This will be hard to do, but if it is the right company I would try</v>
      </c>
      <c r="H2521" s="1" t="str">
        <f ca="1">IFERROR(__xludf.DUMMYFUNCTION("""COMPUTED_VALUE"""),"No")</f>
        <v>No</v>
      </c>
      <c r="I2521" s="1" t="str">
        <f ca="1">IFERROR(__xludf.DUMMYFUNCTION("""COMPUTED_VALUE"""),"Will NOT work for them")</f>
        <v>Will NOT work for them</v>
      </c>
      <c r="J2521" s="1">
        <f ca="1">IFERROR(__xludf.DUMMYFUNCTION("""COMPUTED_VALUE"""),6)</f>
        <v>6</v>
      </c>
      <c r="K2521" s="1" t="str">
        <f ca="1">IFERROR(__xludf.DUMMYFUNCTION("""COMPUTED_VALUE"""),"Fully Remote with No option to visit offices")</f>
        <v>Fully Remote with No option to visit offices</v>
      </c>
      <c r="L25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21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521" s="1" t="str">
        <f ca="1">IFERROR(__xludf.DUMMYFUNCTION("""COMPUTED_VALUE"""),"Design and Creative strategy in any company, Teaching in any of the institutes/colleges/online or offline, Entrepreneur or Start Up, An Artificial Intelligence Specialist / Talking to Robots")</f>
        <v>Design and Creative strategy in any company, Teaching in any of the institutes/colleges/online or offline, Entrepreneur or Start Up, An Artificial Intelligence Specialist / Talking to Robots</v>
      </c>
      <c r="O2521" s="1" t="str">
        <f ca="1">IFERROR(__xludf.DUMMYFUNCTION("""COMPUTED_VALUE"""),"Manager who explains what is expected, sets a goal and helps achieve it")</f>
        <v>Manager who explains what is expected, sets a goal and helps achieve it</v>
      </c>
      <c r="P2521" s="1" t="str">
        <f ca="1">IFERROR(__xludf.DUMMYFUNCTION("""COMPUTED_VALUE"""),"Work alone")</f>
        <v>Work alone</v>
      </c>
      <c r="Q2521" s="1" t="str">
        <f ca="1">IFERROR(__xludf.DUMMYFUNCTION("""COMPUTED_VALUE"""),"Yes, I Understand this is gonna happen everywhere")</f>
        <v>Yes, I Understand this is gonna happen everywhere</v>
      </c>
      <c r="R2521" s="1" t="str">
        <f ca="1">IFERROR(__xludf.DUMMYFUNCTION("""COMPUTED_VALUE"""),"This will be hard to do, but if it is the right company I would try")</f>
        <v>This will be hard to do, but if it is the right company I would try</v>
      </c>
      <c r="S2521" s="1" t="str">
        <f ca="1">IFERROR(__xludf.DUMMYFUNCTION("""COMPUTED_VALUE"""),"byalalanand29@gmail.com")</f>
        <v>byalalanand29@gmail.com</v>
      </c>
    </row>
    <row r="2522" spans="1:19" ht="12.5" x14ac:dyDescent="0.25">
      <c r="A2522" s="2">
        <f ca="1">IFERROR(__xludf.DUMMYFUNCTION("""COMPUTED_VALUE"""),45065.4505092824)</f>
        <v>45065.450509282397</v>
      </c>
      <c r="B2522" s="1" t="str">
        <f ca="1">IFERROR(__xludf.DUMMYFUNCTION("""COMPUTED_VALUE"""),"India")</f>
        <v>India</v>
      </c>
      <c r="C2522" s="1">
        <f ca="1">IFERROR(__xludf.DUMMYFUNCTION("""COMPUTED_VALUE"""),760010)</f>
        <v>760010</v>
      </c>
      <c r="D2522" s="1" t="str">
        <f ca="1">IFERROR(__xludf.DUMMYFUNCTION("""COMPUTED_VALUE"""),"Female")</f>
        <v>Female</v>
      </c>
      <c r="E2522" s="1" t="str">
        <f ca="1">IFERROR(__xludf.DUMMYFUNCTION("""COMPUTED_VALUE"""),"People from my circle, but not family members")</f>
        <v>People from my circle, but not family members</v>
      </c>
      <c r="F2522" s="1" t="str">
        <f ca="1">IFERROR(__xludf.DUMMYFUNCTION("""COMPUTED_VALUE"""),"No, But if someone could bare the cost I will")</f>
        <v>No, But if someone could bare the cost I will</v>
      </c>
      <c r="G2522" s="1" t="str">
        <f ca="1">IFERROR(__xludf.DUMMYFUNCTION("""COMPUTED_VALUE"""),"Will work for 3 years or more")</f>
        <v>Will work for 3 years or more</v>
      </c>
      <c r="H2522" s="1" t="str">
        <f ca="1">IFERROR(__xludf.DUMMYFUNCTION("""COMPUTED_VALUE"""),"Yes")</f>
        <v>Yes</v>
      </c>
      <c r="I2522" s="1" t="str">
        <f ca="1">IFERROR(__xludf.DUMMYFUNCTION("""COMPUTED_VALUE"""),"Will NOT work for them")</f>
        <v>Will NOT work for them</v>
      </c>
      <c r="J2522" s="1">
        <f ca="1">IFERROR(__xludf.DUMMYFUNCTION("""COMPUTED_VALUE"""),1)</f>
        <v>1</v>
      </c>
      <c r="K2522" s="1" t="str">
        <f ca="1">IFERROR(__xludf.DUMMYFUNCTION("""COMPUTED_VALUE"""),"Hybrid Working Environment with more than 15 days a month at office")</f>
        <v>Hybrid Working Environment with more than 15 days a month at office</v>
      </c>
      <c r="L2522" s="1" t="str">
        <f ca="1">IFERROR(__xludf.DUMMYFUNCTION("""COMPUTED_VALUE"""),"Employer who appreciates learning and enables that environment")</f>
        <v>Employer who appreciates learning and enables that environment</v>
      </c>
      <c r="M252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522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2522" s="1" t="str">
        <f ca="1">IFERROR(__xludf.DUMMYFUNCTION("""COMPUTED_VALUE"""),"Manager who sets goal and helps me achieve it")</f>
        <v>Manager who sets goal and helps me achieve it</v>
      </c>
      <c r="P2522" s="1" t="str">
        <f ca="1">IFERROR(__xludf.DUMMYFUNCTION("""COMPUTED_VALUE"""),"Work with 7 to 10 or more people in my team")</f>
        <v>Work with 7 to 10 or more people in my team</v>
      </c>
      <c r="Q2522" s="1" t="str">
        <f ca="1">IFERROR(__xludf.DUMMYFUNCTION("""COMPUTED_VALUE"""),"No")</f>
        <v>No</v>
      </c>
      <c r="R2522" s="1" t="str">
        <f ca="1">IFERROR(__xludf.DUMMYFUNCTION("""COMPUTED_VALUE"""),"No way")</f>
        <v>No way</v>
      </c>
      <c r="S2522" s="1" t="str">
        <f ca="1">IFERROR(__xludf.DUMMYFUNCTION("""COMPUTED_VALUE"""),"swetashreerath22222@gmail.com")</f>
        <v>swetashreerath22222@gmail.com</v>
      </c>
    </row>
    <row r="2523" spans="1:19" ht="12.5" x14ac:dyDescent="0.25">
      <c r="A2523" s="2">
        <f ca="1">IFERROR(__xludf.DUMMYFUNCTION("""COMPUTED_VALUE"""),45065.4537779861)</f>
        <v>45065.453777986098</v>
      </c>
      <c r="B2523" s="1" t="str">
        <f ca="1">IFERROR(__xludf.DUMMYFUNCTION("""COMPUTED_VALUE"""),"India")</f>
        <v>India</v>
      </c>
      <c r="C2523" s="1">
        <f ca="1">IFERROR(__xludf.DUMMYFUNCTION("""COMPUTED_VALUE"""),631209)</f>
        <v>631209</v>
      </c>
      <c r="D2523" s="1" t="str">
        <f ca="1">IFERROR(__xludf.DUMMYFUNCTION("""COMPUTED_VALUE"""),"Male")</f>
        <v>Male</v>
      </c>
      <c r="E2523" s="1" t="str">
        <f ca="1">IFERROR(__xludf.DUMMYFUNCTION("""COMPUTED_VALUE"""),"Social Media like LinkedIn")</f>
        <v>Social Media like LinkedIn</v>
      </c>
      <c r="F2523" s="1" t="str">
        <f ca="1">IFERROR(__xludf.DUMMYFUNCTION("""COMPUTED_VALUE"""),"Yes, I will earn and do that")</f>
        <v>Yes, I will earn and do that</v>
      </c>
      <c r="G2523" s="1" t="str">
        <f ca="1">IFERROR(__xludf.DUMMYFUNCTION("""COMPUTED_VALUE"""),"Will work for 3 years or more")</f>
        <v>Will work for 3 years or more</v>
      </c>
      <c r="H2523" s="1" t="str">
        <f ca="1">IFERROR(__xludf.DUMMYFUNCTION("""COMPUTED_VALUE"""),"No")</f>
        <v>No</v>
      </c>
      <c r="I2523" s="1" t="str">
        <f ca="1">IFERROR(__xludf.DUMMYFUNCTION("""COMPUTED_VALUE"""),"Will work for them")</f>
        <v>Will work for them</v>
      </c>
      <c r="J2523" s="1">
        <f ca="1">IFERROR(__xludf.DUMMYFUNCTION("""COMPUTED_VALUE"""),2)</f>
        <v>2</v>
      </c>
      <c r="K2523" s="1" t="str">
        <f ca="1">IFERROR(__xludf.DUMMYFUNCTION("""COMPUTED_VALUE"""),"Fully Remote with Options to travel as and when needed")</f>
        <v>Fully Remote with Options to travel as and when needed</v>
      </c>
      <c r="L2523" s="1" t="str">
        <f ca="1">IFERROR(__xludf.DUMMYFUNCTION("""COMPUTED_VALUE"""),"Employer who rewards learning and enables that environment")</f>
        <v>Employer who rewards learning and enables that environment</v>
      </c>
      <c r="M2523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523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2523" s="1" t="str">
        <f ca="1">IFERROR(__xludf.DUMMYFUNCTION("""COMPUTED_VALUE"""),"Manager who clearly describes what she/he needs")</f>
        <v>Manager who clearly describes what she/he needs</v>
      </c>
      <c r="P2523" s="1" t="str">
        <f ca="1">IFERROR(__xludf.DUMMYFUNCTION("""COMPUTED_VALUE"""),"Work with 2 to 3 people in my team")</f>
        <v>Work with 2 to 3 people in my team</v>
      </c>
      <c r="Q2523" s="1" t="str">
        <f ca="1">IFERROR(__xludf.DUMMYFUNCTION("""COMPUTED_VALUE"""),"Yes")</f>
        <v>Yes</v>
      </c>
      <c r="R2523" s="1" t="str">
        <f ca="1">IFERROR(__xludf.DUMMYFUNCTION("""COMPUTED_VALUE"""),"No way")</f>
        <v>No way</v>
      </c>
      <c r="S2523" s="1" t="str">
        <f ca="1">IFERROR(__xludf.DUMMYFUNCTION("""COMPUTED_VALUE"""),"200801097@rajalakshmi.edu.in")</f>
        <v>200801097@rajalakshmi.edu.in</v>
      </c>
    </row>
    <row r="2524" spans="1:19" ht="12.5" x14ac:dyDescent="0.25">
      <c r="A2524" s="2">
        <f ca="1">IFERROR(__xludf.DUMMYFUNCTION("""COMPUTED_VALUE"""),45065.4560481597)</f>
        <v>45065.4560481597</v>
      </c>
      <c r="B2524" s="1" t="str">
        <f ca="1">IFERROR(__xludf.DUMMYFUNCTION("""COMPUTED_VALUE"""),"India")</f>
        <v>India</v>
      </c>
      <c r="C2524" s="1">
        <f ca="1">IFERROR(__xludf.DUMMYFUNCTION("""COMPUTED_VALUE"""),110071)</f>
        <v>110071</v>
      </c>
      <c r="D2524" s="1" t="str">
        <f ca="1">IFERROR(__xludf.DUMMYFUNCTION("""COMPUTED_VALUE"""),"Male")</f>
        <v>Male</v>
      </c>
      <c r="E2524" s="1" t="str">
        <f ca="1">IFERROR(__xludf.DUMMYFUNCTION("""COMPUTED_VALUE"""),"Social Media like LinkedIn")</f>
        <v>Social Media like LinkedIn</v>
      </c>
      <c r="F2524" s="1" t="str">
        <f ca="1">IFERROR(__xludf.DUMMYFUNCTION("""COMPUTED_VALUE"""),"No, But if someone could bare the cost I will")</f>
        <v>No, But if someone could bare the cost I will</v>
      </c>
      <c r="G2524" s="1" t="str">
        <f ca="1">IFERROR(__xludf.DUMMYFUNCTION("""COMPUTED_VALUE"""),"No way")</f>
        <v>No way</v>
      </c>
      <c r="H2524" s="1" t="str">
        <f ca="1">IFERROR(__xludf.DUMMYFUNCTION("""COMPUTED_VALUE"""),"Yes")</f>
        <v>Yes</v>
      </c>
      <c r="I2524" s="1" t="str">
        <f ca="1">IFERROR(__xludf.DUMMYFUNCTION("""COMPUTED_VALUE"""),"Will NOT work for them")</f>
        <v>Will NOT work for them</v>
      </c>
      <c r="J2524" s="1">
        <f ca="1">IFERROR(__xludf.DUMMYFUNCTION("""COMPUTED_VALUE"""),7)</f>
        <v>7</v>
      </c>
      <c r="K2524" s="1" t="str">
        <f ca="1">IFERROR(__xludf.DUMMYFUNCTION("""COMPUTED_VALUE"""),"Every Day Office Environment")</f>
        <v>Every Day Office Environment</v>
      </c>
      <c r="L2524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52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524" s="1" t="str">
        <f ca="1">IFERROR(__xludf.DUMMYFUNCTION("""COMPUTED_VALUE"""),"Design and Creative strategy in any company, Teaching in any of the institutes/colleges/online or offline, Work in a BPO setup for some well known client, Become a content Creator in some platform")</f>
        <v>Design and Creative strategy in any company, Teaching in any of the institutes/colleges/online or offline, Work in a BPO setup for some well known client, Become a content Creator in some platform</v>
      </c>
      <c r="O2524" s="1" t="str">
        <f ca="1">IFERROR(__xludf.DUMMYFUNCTION("""COMPUTED_VALUE"""),"Manager who sets unrealistic targets")</f>
        <v>Manager who sets unrealistic targets</v>
      </c>
      <c r="P2524" s="1" t="str">
        <f ca="1">IFERROR(__xludf.DUMMYFUNCTION("""COMPUTED_VALUE"""),"Work alone")</f>
        <v>Work alone</v>
      </c>
      <c r="Q2524" s="1" t="str">
        <f ca="1">IFERROR(__xludf.DUMMYFUNCTION("""COMPUTED_VALUE"""),"No")</f>
        <v>No</v>
      </c>
      <c r="R2524" s="1" t="str">
        <f ca="1">IFERROR(__xludf.DUMMYFUNCTION("""COMPUTED_VALUE"""),"Will work for 7 years or more")</f>
        <v>Will work for 7 years or more</v>
      </c>
      <c r="S2524" s="1" t="str">
        <f ca="1">IFERROR(__xludf.DUMMYFUNCTION("""COMPUTED_VALUE"""),"ankit.sharma.in1088@gmail.com")</f>
        <v>ankit.sharma.in1088@gmail.com</v>
      </c>
    </row>
    <row r="2525" spans="1:19" ht="12.5" x14ac:dyDescent="0.25">
      <c r="A2525" s="2">
        <f ca="1">IFERROR(__xludf.DUMMYFUNCTION("""COMPUTED_VALUE"""),45065.4589074537)</f>
        <v>45065.4589074537</v>
      </c>
      <c r="B2525" s="1" t="str">
        <f ca="1">IFERROR(__xludf.DUMMYFUNCTION("""COMPUTED_VALUE"""),"India")</f>
        <v>India</v>
      </c>
      <c r="C2525" s="1">
        <f ca="1">IFERROR(__xludf.DUMMYFUNCTION("""COMPUTED_VALUE"""),560001)</f>
        <v>560001</v>
      </c>
      <c r="D2525" s="1" t="str">
        <f ca="1">IFERROR(__xludf.DUMMYFUNCTION("""COMPUTED_VALUE"""),"Female")</f>
        <v>Female</v>
      </c>
      <c r="E2525" s="1" t="str">
        <f ca="1">IFERROR(__xludf.DUMMYFUNCTION("""COMPUTED_VALUE"""),"People from my circle, but not family members")</f>
        <v>People from my circle, but not family members</v>
      </c>
      <c r="F2525" s="1" t="str">
        <f ca="1">IFERROR(__xludf.DUMMYFUNCTION("""COMPUTED_VALUE"""),"Yes, I will earn and do that")</f>
        <v>Yes, I will earn and do that</v>
      </c>
      <c r="G2525" s="1" t="str">
        <f ca="1">IFERROR(__xludf.DUMMYFUNCTION("""COMPUTED_VALUE"""),"This will be hard to do, but if it is the right company I would try")</f>
        <v>This will be hard to do, but if it is the right company I would try</v>
      </c>
      <c r="H2525" s="1" t="str">
        <f ca="1">IFERROR(__xludf.DUMMYFUNCTION("""COMPUTED_VALUE"""),"No")</f>
        <v>No</v>
      </c>
      <c r="I2525" s="1" t="str">
        <f ca="1">IFERROR(__xludf.DUMMYFUNCTION("""COMPUTED_VALUE"""),"Will NOT work for them")</f>
        <v>Will NOT work for them</v>
      </c>
      <c r="J2525" s="1">
        <f ca="1">IFERROR(__xludf.DUMMYFUNCTION("""COMPUTED_VALUE"""),6)</f>
        <v>6</v>
      </c>
      <c r="K2525" s="1" t="str">
        <f ca="1">IFERROR(__xludf.DUMMYFUNCTION("""COMPUTED_VALUE"""),"Hybrid Working Environment with more than 15 days a month at office")</f>
        <v>Hybrid Working Environment with more than 15 days a month at office</v>
      </c>
      <c r="L252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2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25" s="1" t="str">
        <f ca="1">IFERROR(__xludf.DUMMYFUNCTION("""COMPUTED_VALUE"""),"Design and Creative strategy in any company, Teaching in any of the institutes/colleges/online or offline, Manage and drive End-to-End Projects or Products, Work as a freelancer and do my thing my way")</f>
        <v>Design and Creative strategy in any company, Teaching in any of the institutes/colleges/online or offline, Manage and drive End-to-End Projects or Products, Work as a freelancer and do my thing my way</v>
      </c>
      <c r="O2525" s="1" t="str">
        <f ca="1">IFERROR(__xludf.DUMMYFUNCTION("""COMPUTED_VALUE"""),"Manager who explains what is expected, sets a goal and helps achieve it")</f>
        <v>Manager who explains what is expected, sets a goal and helps achieve it</v>
      </c>
      <c r="P2525" s="1" t="str">
        <f ca="1">IFERROR(__xludf.DUMMYFUNCTION("""COMPUTED_VALUE"""),"Work with 5 to 6 people in my team")</f>
        <v>Work with 5 to 6 people in my team</v>
      </c>
      <c r="Q2525" s="1" t="str">
        <f ca="1">IFERROR(__xludf.DUMMYFUNCTION("""COMPUTED_VALUE"""),"I have NO other choice")</f>
        <v>I have NO other choice</v>
      </c>
      <c r="R2525" s="1" t="str">
        <f ca="1">IFERROR(__xludf.DUMMYFUNCTION("""COMPUTED_VALUE"""),"This will be hard to do, but if it is the right company I would try")</f>
        <v>This will be hard to do, but if it is the right company I would try</v>
      </c>
      <c r="S2525" s="1" t="str">
        <f ca="1">IFERROR(__xludf.DUMMYFUNCTION("""COMPUTED_VALUE"""),"prarthana0709das@gmail.com")</f>
        <v>prarthana0709das@gmail.com</v>
      </c>
    </row>
    <row r="2526" spans="1:19" ht="12.5" x14ac:dyDescent="0.25">
      <c r="A2526" s="2">
        <f ca="1">IFERROR(__xludf.DUMMYFUNCTION("""COMPUTED_VALUE"""),45065.4828766203)</f>
        <v>45065.482876620299</v>
      </c>
      <c r="B2526" s="1" t="str">
        <f ca="1">IFERROR(__xludf.DUMMYFUNCTION("""COMPUTED_VALUE"""),"India")</f>
        <v>India</v>
      </c>
      <c r="C2526" s="1">
        <f ca="1">IFERROR(__xludf.DUMMYFUNCTION("""COMPUTED_VALUE"""),560100)</f>
        <v>560100</v>
      </c>
      <c r="D2526" s="1" t="str">
        <f ca="1">IFERROR(__xludf.DUMMYFUNCTION("""COMPUTED_VALUE"""),"Female")</f>
        <v>Female</v>
      </c>
      <c r="E2526" s="1" t="str">
        <f ca="1">IFERROR(__xludf.DUMMYFUNCTION("""COMPUTED_VALUE"""),"People who have changed the world for better")</f>
        <v>People who have changed the world for better</v>
      </c>
      <c r="F2526" s="1" t="str">
        <f ca="1">IFERROR(__xludf.DUMMYFUNCTION("""COMPUTED_VALUE"""),"No I would not be pursuing Higher Education outside of India")</f>
        <v>No I would not be pursuing Higher Education outside of India</v>
      </c>
      <c r="G2526" s="1" t="str">
        <f ca="1">IFERROR(__xludf.DUMMYFUNCTION("""COMPUTED_VALUE"""),"Will work for 3 years or more")</f>
        <v>Will work for 3 years or more</v>
      </c>
      <c r="H2526" s="1" t="str">
        <f ca="1">IFERROR(__xludf.DUMMYFUNCTION("""COMPUTED_VALUE"""),"No")</f>
        <v>No</v>
      </c>
      <c r="I2526" s="1" t="str">
        <f ca="1">IFERROR(__xludf.DUMMYFUNCTION("""COMPUTED_VALUE"""),"Will work for them")</f>
        <v>Will work for them</v>
      </c>
      <c r="J2526" s="1">
        <f ca="1">IFERROR(__xludf.DUMMYFUNCTION("""COMPUTED_VALUE"""),7)</f>
        <v>7</v>
      </c>
      <c r="K2526" s="1" t="str">
        <f ca="1">IFERROR(__xludf.DUMMYFUNCTION("""COMPUTED_VALUE"""),"Every Day Office Environment")</f>
        <v>Every Day Office Environment</v>
      </c>
      <c r="L2526" s="1" t="str">
        <f ca="1">IFERROR(__xludf.DUMMYFUNCTION("""COMPUTED_VALUE"""),"Employer who rewards learning and enables that environment")</f>
        <v>Employer who rewards learning and enables that environment</v>
      </c>
      <c r="M252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26" s="1" t="str">
        <f ca="1">IFERROR(__xludf.DUMMYFUNCTION("""COMPUTED_VALUE"""),"Design and Creative strategy in any company, Teaching in any of the institutes/colleges/online or offline, Look deeply into Data and generate insights, An Artificial Intelligence Specialist / Talking to Robots")</f>
        <v>Design and Creative strategy in any company, Teaching in any of the institutes/colleges/online or offline, Look deeply into Data and generate insights, An Artificial Intelligence Specialist / Talking to Robots</v>
      </c>
      <c r="O252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26" s="1" t="str">
        <f ca="1">IFERROR(__xludf.DUMMYFUNCTION("""COMPUTED_VALUE"""),"Work with 2 to 3 people in my team")</f>
        <v>Work with 2 to 3 people in my team</v>
      </c>
      <c r="Q2526" s="1" t="str">
        <f ca="1">IFERROR(__xludf.DUMMYFUNCTION("""COMPUTED_VALUE"""),"No")</f>
        <v>No</v>
      </c>
      <c r="R2526" s="1" t="str">
        <f ca="1">IFERROR(__xludf.DUMMYFUNCTION("""COMPUTED_VALUE"""),"This will be hard to do, but if it is the right company I would try")</f>
        <v>This will be hard to do, but if it is the right company I would try</v>
      </c>
      <c r="S2526" s="1" t="str">
        <f ca="1">IFERROR(__xludf.DUMMYFUNCTION("""COMPUTED_VALUE"""),"rithikamohanty9@gmail.com")</f>
        <v>rithikamohanty9@gmail.com</v>
      </c>
    </row>
    <row r="2527" spans="1:19" ht="12.5" x14ac:dyDescent="0.25">
      <c r="A2527" s="2">
        <f ca="1">IFERROR(__xludf.DUMMYFUNCTION("""COMPUTED_VALUE"""),45065.4869116203)</f>
        <v>45065.486911620297</v>
      </c>
      <c r="B2527" s="1" t="str">
        <f ca="1">IFERROR(__xludf.DUMMYFUNCTION("""COMPUTED_VALUE"""),"India")</f>
        <v>India</v>
      </c>
      <c r="C2527" s="1">
        <f ca="1">IFERROR(__xludf.DUMMYFUNCTION("""COMPUTED_VALUE"""),625218)</f>
        <v>625218</v>
      </c>
      <c r="D2527" s="1" t="str">
        <f ca="1">IFERROR(__xludf.DUMMYFUNCTION("""COMPUTED_VALUE"""),"Male")</f>
        <v>Male</v>
      </c>
      <c r="E2527" s="1" t="str">
        <f ca="1">IFERROR(__xludf.DUMMYFUNCTION("""COMPUTED_VALUE"""),"Social Media like LinkedIn")</f>
        <v>Social Media like LinkedIn</v>
      </c>
      <c r="F2527" s="1" t="str">
        <f ca="1">IFERROR(__xludf.DUMMYFUNCTION("""COMPUTED_VALUE"""),"No, But if someone could bare the cost I will")</f>
        <v>No, But if someone could bare the cost I will</v>
      </c>
      <c r="G2527" s="1" t="str">
        <f ca="1">IFERROR(__xludf.DUMMYFUNCTION("""COMPUTED_VALUE"""),"Will work for 3 years or more")</f>
        <v>Will work for 3 years or more</v>
      </c>
      <c r="H2527" s="1" t="str">
        <f ca="1">IFERROR(__xludf.DUMMYFUNCTION("""COMPUTED_VALUE"""),"No")</f>
        <v>No</v>
      </c>
      <c r="I2527" s="1" t="str">
        <f ca="1">IFERROR(__xludf.DUMMYFUNCTION("""COMPUTED_VALUE"""),"Will NOT work for them")</f>
        <v>Will NOT work for them</v>
      </c>
      <c r="J2527" s="1">
        <f ca="1">IFERROR(__xludf.DUMMYFUNCTION("""COMPUTED_VALUE"""),5)</f>
        <v>5</v>
      </c>
      <c r="K2527" s="1" t="str">
        <f ca="1">IFERROR(__xludf.DUMMYFUNCTION("""COMPUTED_VALUE"""),"Every Day Office Environment")</f>
        <v>Every Day Office Environment</v>
      </c>
      <c r="L2527" s="1" t="str">
        <f ca="1">IFERROR(__xludf.DUMMYFUNCTION("""COMPUTED_VALUE"""),"Employer who rewards learning and enables that environment")</f>
        <v>Employer who rewards learning and enables that environment</v>
      </c>
      <c r="M2527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527" s="1" t="str">
        <f ca="1">IFERROR(__xludf.DUMMYFUNCTION("""COMPUTED_VALUE"""),"Design and Creative strategy in any company, Build and develop a Team, Entrepreneur or Start Up, An Artificial Intelligence Specialist / Talking to Robots")</f>
        <v>Design and Creative strategy in any company, Build and develop a Team, Entrepreneur or Start Up, An Artificial Intelligence Specialist / Talking to Robots</v>
      </c>
      <c r="O2527" s="1" t="str">
        <f ca="1">IFERROR(__xludf.DUMMYFUNCTION("""COMPUTED_VALUE"""),"Manager who sets goal and helps me achieve it")</f>
        <v>Manager who sets goal and helps me achieve it</v>
      </c>
      <c r="P2527" s="1" t="str">
        <f ca="1">IFERROR(__xludf.DUMMYFUNCTION("""COMPUTED_VALUE"""),"Work alone, Work with more than 10 people in my team")</f>
        <v>Work alone, Work with more than 10 people in my team</v>
      </c>
      <c r="Q2527" s="1" t="str">
        <f ca="1">IFERROR(__xludf.DUMMYFUNCTION("""COMPUTED_VALUE"""),"No")</f>
        <v>No</v>
      </c>
      <c r="R2527" s="1" t="str">
        <f ca="1">IFERROR(__xludf.DUMMYFUNCTION("""COMPUTED_VALUE"""),"Will work for 7 years or more")</f>
        <v>Will work for 7 years or more</v>
      </c>
      <c r="S2527" s="1" t="str">
        <f ca="1">IFERROR(__xludf.DUMMYFUNCTION("""COMPUTED_VALUE"""),"madmaxevin@gmail.com")</f>
        <v>madmaxevin@gmail.com</v>
      </c>
    </row>
    <row r="2528" spans="1:19" ht="12.5" x14ac:dyDescent="0.25">
      <c r="A2528" s="2">
        <f ca="1">IFERROR(__xludf.DUMMYFUNCTION("""COMPUTED_VALUE"""),45065.4878897685)</f>
        <v>45065.487889768498</v>
      </c>
      <c r="B2528" s="1" t="str">
        <f ca="1">IFERROR(__xludf.DUMMYFUNCTION("""COMPUTED_VALUE"""),"India")</f>
        <v>India</v>
      </c>
      <c r="C2528" s="1">
        <f ca="1">IFERROR(__xludf.DUMMYFUNCTION("""COMPUTED_VALUE"""),533429)</f>
        <v>533429</v>
      </c>
      <c r="D2528" s="1" t="str">
        <f ca="1">IFERROR(__xludf.DUMMYFUNCTION("""COMPUTED_VALUE"""),"Male")</f>
        <v>Male</v>
      </c>
      <c r="E2528" s="1" t="str">
        <f ca="1">IFERROR(__xludf.DUMMYFUNCTION("""COMPUTED_VALUE"""),"Influencers who had successful careers")</f>
        <v>Influencers who had successful careers</v>
      </c>
      <c r="F2528" s="1" t="str">
        <f ca="1">IFERROR(__xludf.DUMMYFUNCTION("""COMPUTED_VALUE"""),"No I would not be pursuing Higher Education outside of India")</f>
        <v>No I would not be pursuing Higher Education outside of India</v>
      </c>
      <c r="G2528" s="1" t="str">
        <f ca="1">IFERROR(__xludf.DUMMYFUNCTION("""COMPUTED_VALUE"""),"This will be hard to do, but if it is the right company I would try")</f>
        <v>This will be hard to do, but if it is the right company I would try</v>
      </c>
      <c r="H2528" s="1" t="str">
        <f ca="1">IFERROR(__xludf.DUMMYFUNCTION("""COMPUTED_VALUE"""),"Yes")</f>
        <v>Yes</v>
      </c>
      <c r="I2528" s="1" t="str">
        <f ca="1">IFERROR(__xludf.DUMMYFUNCTION("""COMPUTED_VALUE"""),"Will NOT work for them")</f>
        <v>Will NOT work for them</v>
      </c>
      <c r="J2528" s="1">
        <f ca="1">IFERROR(__xludf.DUMMYFUNCTION("""COMPUTED_VALUE"""),5)</f>
        <v>5</v>
      </c>
      <c r="K2528" s="1" t="str">
        <f ca="1">IFERROR(__xludf.DUMMYFUNCTION("""COMPUTED_VALUE"""),"Hybrid Working Environment with less than 3 days a month at office")</f>
        <v>Hybrid Working Environment with less than 3 days a month at office</v>
      </c>
      <c r="L2528" s="1" t="str">
        <f ca="1">IFERROR(__xludf.DUMMYFUNCTION("""COMPUTED_VALUE"""),"Employer who rewards learning and enables that environment")</f>
        <v>Employer who rewards learning and enables that environment</v>
      </c>
      <c r="M252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528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2528" s="1" t="str">
        <f ca="1">IFERROR(__xludf.DUMMYFUNCTION("""COMPUTED_VALUE"""),"Manager who explains what is expected, sets a goal and helps achieve it")</f>
        <v>Manager who explains what is expected, sets a goal and helps achieve it</v>
      </c>
      <c r="P2528" s="1" t="str">
        <f ca="1">IFERROR(__xludf.DUMMYFUNCTION("""COMPUTED_VALUE"""),"Work with 5 to 6 people in my team")</f>
        <v>Work with 5 to 6 people in my team</v>
      </c>
      <c r="Q2528" s="1" t="str">
        <f ca="1">IFERROR(__xludf.DUMMYFUNCTION("""COMPUTED_VALUE"""),"Yes, I Understand this is gonna happen everywhere")</f>
        <v>Yes, I Understand this is gonna happen everywhere</v>
      </c>
      <c r="R2528" s="1" t="str">
        <f ca="1">IFERROR(__xludf.DUMMYFUNCTION("""COMPUTED_VALUE"""),"This will be hard to do, but if it is the right company I would try")</f>
        <v>This will be hard to do, but if it is the right company I would try</v>
      </c>
      <c r="S2528" s="1" t="str">
        <f ca="1">IFERROR(__xludf.DUMMYFUNCTION("""COMPUTED_VALUE"""),"bottasrinuylm@gmail.com")</f>
        <v>bottasrinuylm@gmail.com</v>
      </c>
    </row>
    <row r="2529" spans="1:19" ht="12.5" x14ac:dyDescent="0.25">
      <c r="A2529" s="2">
        <f ca="1">IFERROR(__xludf.DUMMYFUNCTION("""COMPUTED_VALUE"""),45065.4909973495)</f>
        <v>45065.490997349501</v>
      </c>
      <c r="B2529" s="1" t="str">
        <f ca="1">IFERROR(__xludf.DUMMYFUNCTION("""COMPUTED_VALUE"""),"India")</f>
        <v>India</v>
      </c>
      <c r="C2529" s="1" t="str">
        <f ca="1">IFERROR(__xludf.DUMMYFUNCTION("""COMPUTED_VALUE"""),"0761")</f>
        <v>0761</v>
      </c>
      <c r="D2529" s="1" t="str">
        <f ca="1">IFERROR(__xludf.DUMMYFUNCTION("""COMPUTED_VALUE"""),"Female")</f>
        <v>Female</v>
      </c>
      <c r="E2529" s="1" t="str">
        <f ca="1">IFERROR(__xludf.DUMMYFUNCTION("""COMPUTED_VALUE"""),"Social Media like LinkedIn")</f>
        <v>Social Media like LinkedIn</v>
      </c>
      <c r="F2529" s="1" t="str">
        <f ca="1">IFERROR(__xludf.DUMMYFUNCTION("""COMPUTED_VALUE"""),"No I would not be pursuing Higher Education outside of India")</f>
        <v>No I would not be pursuing Higher Education outside of India</v>
      </c>
      <c r="G2529" s="1" t="str">
        <f ca="1">IFERROR(__xludf.DUMMYFUNCTION("""COMPUTED_VALUE"""),"Will work for 3 years or more")</f>
        <v>Will work for 3 years or more</v>
      </c>
      <c r="H2529" s="1" t="str">
        <f ca="1">IFERROR(__xludf.DUMMYFUNCTION("""COMPUTED_VALUE"""),"No")</f>
        <v>No</v>
      </c>
      <c r="I2529" s="1" t="str">
        <f ca="1">IFERROR(__xludf.DUMMYFUNCTION("""COMPUTED_VALUE"""),"Will NOT work for them")</f>
        <v>Will NOT work for them</v>
      </c>
      <c r="J2529" s="1">
        <f ca="1">IFERROR(__xludf.DUMMYFUNCTION("""COMPUTED_VALUE"""),8)</f>
        <v>8</v>
      </c>
      <c r="K2529" s="1" t="str">
        <f ca="1">IFERROR(__xludf.DUMMYFUNCTION("""COMPUTED_VALUE"""),"Fully Remote with Options to travel as and when needed")</f>
        <v>Fully Remote with Options to travel as and when needed</v>
      </c>
      <c r="L2529" s="1" t="str">
        <f ca="1">IFERROR(__xludf.DUMMYFUNCTION("""COMPUTED_VALUE"""),"Employer who appreciates learning and enables that environment")</f>
        <v>Employer who appreciates learning and enables that environment</v>
      </c>
      <c r="M252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29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529" s="1" t="str">
        <f ca="1">IFERROR(__xludf.DUMMYFUNCTION("""COMPUTED_VALUE"""),"Manager who explains what is expected, sets a goal and helps achieve it")</f>
        <v>Manager who explains what is expected, sets a goal and helps achieve it</v>
      </c>
      <c r="P2529" s="1" t="str">
        <f ca="1">IFERROR(__xludf.DUMMYFUNCTION("""COMPUTED_VALUE"""),"Work with 5 to 6 people in my team")</f>
        <v>Work with 5 to 6 people in my team</v>
      </c>
      <c r="Q2529" s="1" t="str">
        <f ca="1">IFERROR(__xludf.DUMMYFUNCTION("""COMPUTED_VALUE"""),"Yes, I Understand this is gonna happen everywhere")</f>
        <v>Yes, I Understand this is gonna happen everywhere</v>
      </c>
      <c r="R2529" s="1" t="str">
        <f ca="1">IFERROR(__xludf.DUMMYFUNCTION("""COMPUTED_VALUE"""),"This will be hard to do, but if it is the right company I would try")</f>
        <v>This will be hard to do, but if it is the right company I would try</v>
      </c>
      <c r="S2529" s="1" t="str">
        <f ca="1">IFERROR(__xludf.DUMMYFUNCTION("""COMPUTED_VALUE"""),"alishamichel1912@gmail.com")</f>
        <v>alishamichel1912@gmail.com</v>
      </c>
    </row>
    <row r="2530" spans="1:19" ht="12.5" x14ac:dyDescent="0.25">
      <c r="A2530" s="2">
        <f ca="1">IFERROR(__xludf.DUMMYFUNCTION("""COMPUTED_VALUE"""),45065.4941520486)</f>
        <v>45065.494152048603</v>
      </c>
      <c r="B2530" s="1" t="str">
        <f ca="1">IFERROR(__xludf.DUMMYFUNCTION("""COMPUTED_VALUE"""),"India")</f>
        <v>India</v>
      </c>
      <c r="C2530" s="1">
        <f ca="1">IFERROR(__xludf.DUMMYFUNCTION("""COMPUTED_VALUE"""),500068)</f>
        <v>500068</v>
      </c>
      <c r="D2530" s="1" t="str">
        <f ca="1">IFERROR(__xludf.DUMMYFUNCTION("""COMPUTED_VALUE"""),"Female")</f>
        <v>Female</v>
      </c>
      <c r="E2530" s="1" t="str">
        <f ca="1">IFERROR(__xludf.DUMMYFUNCTION("""COMPUTED_VALUE"""),"My Parents")</f>
        <v>My Parents</v>
      </c>
      <c r="F2530" s="1" t="str">
        <f ca="1">IFERROR(__xludf.DUMMYFUNCTION("""COMPUTED_VALUE"""),"No, But if someone could bare the cost I will")</f>
        <v>No, But if someone could bare the cost I will</v>
      </c>
      <c r="G2530" s="1" t="str">
        <f ca="1">IFERROR(__xludf.DUMMYFUNCTION("""COMPUTED_VALUE"""),"No way")</f>
        <v>No way</v>
      </c>
      <c r="H2530" s="1" t="str">
        <f ca="1">IFERROR(__xludf.DUMMYFUNCTION("""COMPUTED_VALUE"""),"No")</f>
        <v>No</v>
      </c>
      <c r="I2530" s="1" t="str">
        <f ca="1">IFERROR(__xludf.DUMMYFUNCTION("""COMPUTED_VALUE"""),"Will NOT work for them")</f>
        <v>Will NOT work for them</v>
      </c>
      <c r="J2530" s="1">
        <f ca="1">IFERROR(__xludf.DUMMYFUNCTION("""COMPUTED_VALUE"""),4)</f>
        <v>4</v>
      </c>
      <c r="K2530" s="1" t="str">
        <f ca="1">IFERROR(__xludf.DUMMYFUNCTION("""COMPUTED_VALUE"""),"Every Day Office Environment")</f>
        <v>Every Day Office Environment</v>
      </c>
      <c r="L2530" s="1" t="str">
        <f ca="1">IFERROR(__xludf.DUMMYFUNCTION("""COMPUTED_VALUE"""),"Employer who appreciates learning and enables that environment")</f>
        <v>Employer who appreciates learning and enables that environment</v>
      </c>
      <c r="M2530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530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530" s="1" t="str">
        <f ca="1">IFERROR(__xludf.DUMMYFUNCTION("""COMPUTED_VALUE"""),"Manager who clearly describes what she/he needs")</f>
        <v>Manager who clearly describes what she/he needs</v>
      </c>
      <c r="P2530" s="1" t="str">
        <f ca="1">IFERROR(__xludf.DUMMYFUNCTION("""COMPUTED_VALUE"""),"Work alone, Work with 2 to 3 people in my team")</f>
        <v>Work alone, Work with 2 to 3 people in my team</v>
      </c>
      <c r="Q2530" s="1" t="str">
        <f ca="1">IFERROR(__xludf.DUMMYFUNCTION("""COMPUTED_VALUE"""),"No")</f>
        <v>No</v>
      </c>
      <c r="R2530" s="1" t="str">
        <f ca="1">IFERROR(__xludf.DUMMYFUNCTION("""COMPUTED_VALUE"""),"No way")</f>
        <v>No way</v>
      </c>
      <c r="S2530" s="1" t="str">
        <f ca="1">IFERROR(__xludf.DUMMYFUNCTION("""COMPUTED_VALUE"""),"ruthvikapolkampally@gmail.com")</f>
        <v>ruthvikapolkampally@gmail.com</v>
      </c>
    </row>
    <row r="2531" spans="1:19" ht="12.5" x14ac:dyDescent="0.25">
      <c r="A2531" s="2">
        <f ca="1">IFERROR(__xludf.DUMMYFUNCTION("""COMPUTED_VALUE"""),45065.5013373958)</f>
        <v>45065.501337395799</v>
      </c>
      <c r="B2531" s="1" t="str">
        <f ca="1">IFERROR(__xludf.DUMMYFUNCTION("""COMPUTED_VALUE"""),"India")</f>
        <v>India</v>
      </c>
      <c r="C2531" s="1">
        <f ca="1">IFERROR(__xludf.DUMMYFUNCTION("""COMPUTED_VALUE"""),201010)</f>
        <v>201010</v>
      </c>
      <c r="D2531" s="1" t="str">
        <f ca="1">IFERROR(__xludf.DUMMYFUNCTION("""COMPUTED_VALUE"""),"Female")</f>
        <v>Female</v>
      </c>
      <c r="E2531" s="1" t="str">
        <f ca="1">IFERROR(__xludf.DUMMYFUNCTION("""COMPUTED_VALUE"""),"Social Media like LinkedIn")</f>
        <v>Social Media like LinkedIn</v>
      </c>
      <c r="F2531" s="1" t="str">
        <f ca="1">IFERROR(__xludf.DUMMYFUNCTION("""COMPUTED_VALUE"""),"Yes, I will earn and do that")</f>
        <v>Yes, I will earn and do that</v>
      </c>
      <c r="G2531" s="1" t="str">
        <f ca="1">IFERROR(__xludf.DUMMYFUNCTION("""COMPUTED_VALUE"""),"This will be hard to do, but if it is the right company I would try")</f>
        <v>This will be hard to do, but if it is the right company I would try</v>
      </c>
      <c r="H2531" s="1" t="str">
        <f ca="1">IFERROR(__xludf.DUMMYFUNCTION("""COMPUTED_VALUE"""),"No")</f>
        <v>No</v>
      </c>
      <c r="I2531" s="1" t="str">
        <f ca="1">IFERROR(__xludf.DUMMYFUNCTION("""COMPUTED_VALUE"""),"Will NOT work for them")</f>
        <v>Will NOT work for them</v>
      </c>
      <c r="J2531" s="1">
        <f ca="1">IFERROR(__xludf.DUMMYFUNCTION("""COMPUTED_VALUE"""),7)</f>
        <v>7</v>
      </c>
      <c r="K2531" s="1" t="str">
        <f ca="1">IFERROR(__xludf.DUMMYFUNCTION("""COMPUTED_VALUE"""),"Hybrid Working Environment with more than 15 days a month at office")</f>
        <v>Hybrid Working Environment with more than 15 days a month at office</v>
      </c>
      <c r="L25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3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31" s="1" t="str">
        <f ca="1">IFERROR(__xludf.DUMMYFUNCTION("""COMPUTED_VALUE"""),"Business Operations in any organization, Build and develop a Team, Design and Develop amazing software, An Artificial Intelligence Specialist / Talking to Robots")</f>
        <v>Business Operations in any organization, Build and develop a Team, Design and Develop amazing software, An Artificial Intelligence Specialist / Talking to Robots</v>
      </c>
      <c r="O2531" s="1" t="str">
        <f ca="1">IFERROR(__xludf.DUMMYFUNCTION("""COMPUTED_VALUE"""),"Manager who sets goal and helps me achieve it")</f>
        <v>Manager who sets goal and helps me achieve it</v>
      </c>
      <c r="P2531" s="1" t="str">
        <f ca="1">IFERROR(__xludf.DUMMYFUNCTION("""COMPUTED_VALUE"""),"Work with 2 to 3 people in my team")</f>
        <v>Work with 2 to 3 people in my team</v>
      </c>
      <c r="Q2531" s="1" t="str">
        <f ca="1">IFERROR(__xludf.DUMMYFUNCTION("""COMPUTED_VALUE"""),"Yes, I Understand this is gonna happen everywhere")</f>
        <v>Yes, I Understand this is gonna happen everywhere</v>
      </c>
      <c r="R2531" s="1" t="str">
        <f ca="1">IFERROR(__xludf.DUMMYFUNCTION("""COMPUTED_VALUE"""),"This will be hard to do, but if it is the right company I would try")</f>
        <v>This will be hard to do, but if it is the right company I would try</v>
      </c>
      <c r="S2531" s="1" t="str">
        <f ca="1">IFERROR(__xludf.DUMMYFUNCTION("""COMPUTED_VALUE"""),"1992ruchi@gmail.com")</f>
        <v>1992ruchi@gmail.com</v>
      </c>
    </row>
    <row r="2532" spans="1:19" ht="12.5" x14ac:dyDescent="0.25">
      <c r="A2532" s="2">
        <f ca="1">IFERROR(__xludf.DUMMYFUNCTION("""COMPUTED_VALUE"""),45065.502287743)</f>
        <v>45065.502287743002</v>
      </c>
      <c r="B2532" s="1" t="str">
        <f ca="1">IFERROR(__xludf.DUMMYFUNCTION("""COMPUTED_VALUE"""),"India")</f>
        <v>India</v>
      </c>
      <c r="C2532" s="1">
        <f ca="1">IFERROR(__xludf.DUMMYFUNCTION("""COMPUTED_VALUE"""),625218)</f>
        <v>625218</v>
      </c>
      <c r="D2532" s="1" t="str">
        <f ca="1">IFERROR(__xludf.DUMMYFUNCTION("""COMPUTED_VALUE"""),"Female")</f>
        <v>Female</v>
      </c>
      <c r="E2532" s="1" t="str">
        <f ca="1">IFERROR(__xludf.DUMMYFUNCTION("""COMPUTED_VALUE"""),"Influencers who had successful careers")</f>
        <v>Influencers who had successful careers</v>
      </c>
      <c r="F2532" s="1" t="str">
        <f ca="1">IFERROR(__xludf.DUMMYFUNCTION("""COMPUTED_VALUE"""),"Yes, I will earn and do that")</f>
        <v>Yes, I will earn and do that</v>
      </c>
      <c r="G2532" s="1" t="str">
        <f ca="1">IFERROR(__xludf.DUMMYFUNCTION("""COMPUTED_VALUE"""),"This will be hard to do, but if it is the right company I would try")</f>
        <v>This will be hard to do, but if it is the right company I would try</v>
      </c>
      <c r="H2532" s="1" t="str">
        <f ca="1">IFERROR(__xludf.DUMMYFUNCTION("""COMPUTED_VALUE"""),"No")</f>
        <v>No</v>
      </c>
      <c r="I2532" s="1" t="str">
        <f ca="1">IFERROR(__xludf.DUMMYFUNCTION("""COMPUTED_VALUE"""),"Will NOT work for them")</f>
        <v>Will NOT work for them</v>
      </c>
      <c r="J2532" s="1">
        <f ca="1">IFERROR(__xludf.DUMMYFUNCTION("""COMPUTED_VALUE"""),1)</f>
        <v>1</v>
      </c>
      <c r="K2532" s="1" t="str">
        <f ca="1">IFERROR(__xludf.DUMMYFUNCTION("""COMPUTED_VALUE"""),"Every Day Office Environment")</f>
        <v>Every Day Office Environment</v>
      </c>
      <c r="L2532" s="1" t="str">
        <f ca="1">IFERROR(__xludf.DUMMYFUNCTION("""COMPUTED_VALUE"""),"Employer who appreciates learning and enables that environment")</f>
        <v>Employer who appreciates learning and enables that environment</v>
      </c>
      <c r="M2532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532" s="1" t="str">
        <f ca="1">IFERROR(__xludf.DUMMYFUNCTION("""COMPUTED_VALUE"""),"Design and Creative strategy in any company, Manage and drive End-to-End Projects or Products, Build and develop a Team, Entrepreneur or Start Up")</f>
        <v>Design and Creative strategy in any company, Manage and drive End-to-End Projects or Products, Build and develop a Team, Entrepreneur or Start Up</v>
      </c>
      <c r="O2532" s="1" t="str">
        <f ca="1">IFERROR(__xludf.DUMMYFUNCTION("""COMPUTED_VALUE"""),"Manager who sets targets and expects me to achieve it")</f>
        <v>Manager who sets targets and expects me to achieve it</v>
      </c>
      <c r="P2532" s="1" t="str">
        <f ca="1">IFERROR(__xludf.DUMMYFUNCTION("""COMPUTED_VALUE"""),"Work alone, Work with 5 to 6 people in my team")</f>
        <v>Work alone, Work with 5 to 6 people in my team</v>
      </c>
      <c r="Q2532" s="1" t="str">
        <f ca="1">IFERROR(__xludf.DUMMYFUNCTION("""COMPUTED_VALUE"""),"Yes, I Understand this is gonna happen everywhere")</f>
        <v>Yes, I Understand this is gonna happen everywhere</v>
      </c>
      <c r="R2532" s="1" t="str">
        <f ca="1">IFERROR(__xludf.DUMMYFUNCTION("""COMPUTED_VALUE"""),"This will be hard to do, but if it is the right company I would try")</f>
        <v>This will be hard to do, but if it is the right company I would try</v>
      </c>
      <c r="S2532" s="1" t="str">
        <f ca="1">IFERROR(__xludf.DUMMYFUNCTION("""COMPUTED_VALUE"""),"nivedha207@psnacet.edu.in")</f>
        <v>nivedha207@psnacet.edu.in</v>
      </c>
    </row>
    <row r="2533" spans="1:19" ht="12.5" x14ac:dyDescent="0.25">
      <c r="A2533" s="2">
        <f ca="1">IFERROR(__xludf.DUMMYFUNCTION("""COMPUTED_VALUE"""),45065.5053488657)</f>
        <v>45065.505348865699</v>
      </c>
      <c r="B2533" s="1" t="str">
        <f ca="1">IFERROR(__xludf.DUMMYFUNCTION("""COMPUTED_VALUE"""),"India")</f>
        <v>India</v>
      </c>
      <c r="C2533" s="1">
        <f ca="1">IFERROR(__xludf.DUMMYFUNCTION("""COMPUTED_VALUE"""),201313)</f>
        <v>201313</v>
      </c>
      <c r="D2533" s="1" t="str">
        <f ca="1">IFERROR(__xludf.DUMMYFUNCTION("""COMPUTED_VALUE"""),"Female")</f>
        <v>Female</v>
      </c>
      <c r="E2533" s="1" t="str">
        <f ca="1">IFERROR(__xludf.DUMMYFUNCTION("""COMPUTED_VALUE"""),"People who have changed the world for better")</f>
        <v>People who have changed the world for better</v>
      </c>
      <c r="F2533" s="1" t="str">
        <f ca="1">IFERROR(__xludf.DUMMYFUNCTION("""COMPUTED_VALUE"""),"Yes, I will earn and do that")</f>
        <v>Yes, I will earn and do that</v>
      </c>
      <c r="G2533" s="1" t="str">
        <f ca="1">IFERROR(__xludf.DUMMYFUNCTION("""COMPUTED_VALUE"""),"Will work for 3 years or more")</f>
        <v>Will work for 3 years or more</v>
      </c>
      <c r="H2533" s="1" t="str">
        <f ca="1">IFERROR(__xludf.DUMMYFUNCTION("""COMPUTED_VALUE"""),"No")</f>
        <v>No</v>
      </c>
      <c r="I2533" s="1" t="str">
        <f ca="1">IFERROR(__xludf.DUMMYFUNCTION("""COMPUTED_VALUE"""),"Will NOT work for them")</f>
        <v>Will NOT work for them</v>
      </c>
      <c r="J2533" s="1">
        <f ca="1">IFERROR(__xludf.DUMMYFUNCTION("""COMPUTED_VALUE"""),5)</f>
        <v>5</v>
      </c>
      <c r="K2533" s="1" t="str">
        <f ca="1">IFERROR(__xludf.DUMMYFUNCTION("""COMPUTED_VALUE"""),"Hybrid Working Environment with more than 15 days a month at office")</f>
        <v>Hybrid Working Environment with more than 15 days a month at office</v>
      </c>
      <c r="L25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3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33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2533" s="1" t="str">
        <f ca="1">IFERROR(__xludf.DUMMYFUNCTION("""COMPUTED_VALUE"""),"Manager who sets goal and helps me achieve it")</f>
        <v>Manager who sets goal and helps me achieve it</v>
      </c>
      <c r="P2533" s="1" t="str">
        <f ca="1">IFERROR(__xludf.DUMMYFUNCTION("""COMPUTED_VALUE"""),"Work with 2 to 3 people in my team")</f>
        <v>Work with 2 to 3 people in my team</v>
      </c>
      <c r="Q2533" s="1" t="str">
        <f ca="1">IFERROR(__xludf.DUMMYFUNCTION("""COMPUTED_VALUE"""),"Yes, I Understand this is gonna happen everywhere")</f>
        <v>Yes, I Understand this is gonna happen everywhere</v>
      </c>
      <c r="R2533" s="1" t="str">
        <f ca="1">IFERROR(__xludf.DUMMYFUNCTION("""COMPUTED_VALUE"""),"This will be hard to do, but if it is the right company I would try")</f>
        <v>This will be hard to do, but if it is the right company I would try</v>
      </c>
      <c r="S2533" s="1" t="str">
        <f ca="1">IFERROR(__xludf.DUMMYFUNCTION("""COMPUTED_VALUE"""),"muskanpreetidas@gmail.com")</f>
        <v>muskanpreetidas@gmail.com</v>
      </c>
    </row>
    <row r="2534" spans="1:19" ht="12.5" x14ac:dyDescent="0.25">
      <c r="A2534" s="2">
        <f ca="1">IFERROR(__xludf.DUMMYFUNCTION("""COMPUTED_VALUE"""),45065.5058753472)</f>
        <v>45065.505875347197</v>
      </c>
      <c r="B2534" s="1" t="str">
        <f ca="1">IFERROR(__xludf.DUMMYFUNCTION("""COMPUTED_VALUE"""),"India")</f>
        <v>India</v>
      </c>
      <c r="C2534" s="1">
        <f ca="1">IFERROR(__xludf.DUMMYFUNCTION("""COMPUTED_VALUE"""),201303)</f>
        <v>201303</v>
      </c>
      <c r="D2534" s="1" t="str">
        <f ca="1">IFERROR(__xludf.DUMMYFUNCTION("""COMPUTED_VALUE"""),"Male")</f>
        <v>Male</v>
      </c>
      <c r="E2534" s="1" t="str">
        <f ca="1">IFERROR(__xludf.DUMMYFUNCTION("""COMPUTED_VALUE"""),"People who have changed the world for better")</f>
        <v>People who have changed the world for better</v>
      </c>
      <c r="F2534" s="1" t="str">
        <f ca="1">IFERROR(__xludf.DUMMYFUNCTION("""COMPUTED_VALUE"""),"Yes, I will earn and do that")</f>
        <v>Yes, I will earn and do that</v>
      </c>
      <c r="G2534" s="1" t="str">
        <f ca="1">IFERROR(__xludf.DUMMYFUNCTION("""COMPUTED_VALUE"""),"This will be hard to do, but if it is the right company I would try")</f>
        <v>This will be hard to do, but if it is the right company I would try</v>
      </c>
      <c r="H2534" s="1" t="str">
        <f ca="1">IFERROR(__xludf.DUMMYFUNCTION("""COMPUTED_VALUE"""),"No")</f>
        <v>No</v>
      </c>
      <c r="I2534" s="1" t="str">
        <f ca="1">IFERROR(__xludf.DUMMYFUNCTION("""COMPUTED_VALUE"""),"Will NOT work for them")</f>
        <v>Will NOT work for them</v>
      </c>
      <c r="J2534" s="1">
        <f ca="1">IFERROR(__xludf.DUMMYFUNCTION("""COMPUTED_VALUE"""),7)</f>
        <v>7</v>
      </c>
      <c r="K2534" s="1" t="str">
        <f ca="1">IFERROR(__xludf.DUMMYFUNCTION("""COMPUTED_VALUE"""),"Hybrid Working Environment with less than 3 days a month at office")</f>
        <v>Hybrid Working Environment with less than 3 days a month at office</v>
      </c>
      <c r="L25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3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34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534" s="1" t="str">
        <f ca="1">IFERROR(__xludf.DUMMYFUNCTION("""COMPUTED_VALUE"""),"Manager who explains what is expected, sets a goal and helps achieve it")</f>
        <v>Manager who explains what is expected, sets a goal and helps achieve it</v>
      </c>
      <c r="P2534" s="1" t="str">
        <f ca="1">IFERROR(__xludf.DUMMYFUNCTION("""COMPUTED_VALUE"""),"Work with 5 to 6 people in my team")</f>
        <v>Work with 5 to 6 people in my team</v>
      </c>
      <c r="Q2534" s="1" t="str">
        <f ca="1">IFERROR(__xludf.DUMMYFUNCTION("""COMPUTED_VALUE"""),"Yes, I Understand this is gonna happen everywhere")</f>
        <v>Yes, I Understand this is gonna happen everywhere</v>
      </c>
      <c r="R2534" s="1" t="str">
        <f ca="1">IFERROR(__xludf.DUMMYFUNCTION("""COMPUTED_VALUE"""),"This will be hard to do, but if it is the right company I would try")</f>
        <v>This will be hard to do, but if it is the right company I would try</v>
      </c>
      <c r="S2534" s="1" t="str">
        <f ca="1">IFERROR(__xludf.DUMMYFUNCTION("""COMPUTED_VALUE"""),"ankitkumardas700@gmail.com")</f>
        <v>ankitkumardas700@gmail.com</v>
      </c>
    </row>
    <row r="2535" spans="1:19" ht="12.5" x14ac:dyDescent="0.25">
      <c r="A2535" s="2">
        <f ca="1">IFERROR(__xludf.DUMMYFUNCTION("""COMPUTED_VALUE"""),45065.5082218981)</f>
        <v>45065.508221898097</v>
      </c>
      <c r="B2535" s="1" t="str">
        <f ca="1">IFERROR(__xludf.DUMMYFUNCTION("""COMPUTED_VALUE"""),"India")</f>
        <v>India</v>
      </c>
      <c r="C2535" s="1">
        <f ca="1">IFERROR(__xludf.DUMMYFUNCTION("""COMPUTED_VALUE"""),201301)</f>
        <v>201301</v>
      </c>
      <c r="D2535" s="1" t="str">
        <f ca="1">IFERROR(__xludf.DUMMYFUNCTION("""COMPUTED_VALUE"""),"Female")</f>
        <v>Female</v>
      </c>
      <c r="E2535" s="1" t="str">
        <f ca="1">IFERROR(__xludf.DUMMYFUNCTION("""COMPUTED_VALUE"""),"Social Media like LinkedIn")</f>
        <v>Social Media like LinkedIn</v>
      </c>
      <c r="F2535" s="1" t="str">
        <f ca="1">IFERROR(__xludf.DUMMYFUNCTION("""COMPUTED_VALUE"""),"Yes, I will earn and do that")</f>
        <v>Yes, I will earn and do that</v>
      </c>
      <c r="G2535" s="1" t="str">
        <f ca="1">IFERROR(__xludf.DUMMYFUNCTION("""COMPUTED_VALUE"""),"This will be hard to do, but if it is the right company I would try")</f>
        <v>This will be hard to do, but if it is the right company I would try</v>
      </c>
      <c r="H2535" s="1" t="str">
        <f ca="1">IFERROR(__xludf.DUMMYFUNCTION("""COMPUTED_VALUE"""),"No")</f>
        <v>No</v>
      </c>
      <c r="I2535" s="1" t="str">
        <f ca="1">IFERROR(__xludf.DUMMYFUNCTION("""COMPUTED_VALUE"""),"Will NOT work for them")</f>
        <v>Will NOT work for them</v>
      </c>
      <c r="J2535" s="1">
        <f ca="1">IFERROR(__xludf.DUMMYFUNCTION("""COMPUTED_VALUE"""),5)</f>
        <v>5</v>
      </c>
      <c r="K2535" s="1" t="str">
        <f ca="1">IFERROR(__xludf.DUMMYFUNCTION("""COMPUTED_VALUE"""),"Fully Remote with Options to travel as and when needed")</f>
        <v>Fully Remote with Options to travel as and when needed</v>
      </c>
      <c r="L2535" s="1" t="str">
        <f ca="1">IFERROR(__xludf.DUMMYFUNCTION("""COMPUTED_VALUE"""),"Employer who appreciates learning and enables that environment")</f>
        <v>Employer who appreciates learning and enables that environment</v>
      </c>
      <c r="M253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35" s="1" t="str">
        <f ca="1">IFERROR(__xludf.DUMMYFUNCTION("""COMPUTED_VALUE"""),"Teaching in any of the institutes/colleges/online or offline, Build and develop a Team, Look deeply into Data and generate insights, Entrepreneur or Start Up")</f>
        <v>Teaching in any of the institutes/colleges/online or offline, Build and develop a Team, Look deeply into Data and generate insights, Entrepreneur or Start Up</v>
      </c>
      <c r="O2535" s="1" t="str">
        <f ca="1">IFERROR(__xludf.DUMMYFUNCTION("""COMPUTED_VALUE"""),"Manager who clearly describes what she/he needs")</f>
        <v>Manager who clearly describes what she/he needs</v>
      </c>
      <c r="P2535" s="1" t="str">
        <f ca="1">IFERROR(__xludf.DUMMYFUNCTION("""COMPUTED_VALUE"""),"Work with 2 to 3 people in my team")</f>
        <v>Work with 2 to 3 people in my team</v>
      </c>
      <c r="Q2535" s="1" t="str">
        <f ca="1">IFERROR(__xludf.DUMMYFUNCTION("""COMPUTED_VALUE"""),"Yes, I Understand this is gonna happen everywhere")</f>
        <v>Yes, I Understand this is gonna happen everywhere</v>
      </c>
      <c r="R2535" s="1" t="str">
        <f ca="1">IFERROR(__xludf.DUMMYFUNCTION("""COMPUTED_VALUE"""),"No way")</f>
        <v>No way</v>
      </c>
      <c r="S2535" s="1" t="str">
        <f ca="1">IFERROR(__xludf.DUMMYFUNCTION("""COMPUTED_VALUE"""),"swatimishra874@gmail.com")</f>
        <v>swatimishra874@gmail.com</v>
      </c>
    </row>
    <row r="2536" spans="1:19" ht="12.5" x14ac:dyDescent="0.25">
      <c r="A2536" s="2">
        <f ca="1">IFERROR(__xludf.DUMMYFUNCTION("""COMPUTED_VALUE"""),45065.5084743401)</f>
        <v>45065.508474340197</v>
      </c>
      <c r="B2536" s="1" t="str">
        <f ca="1">IFERROR(__xludf.DUMMYFUNCTION("""COMPUTED_VALUE"""),"India")</f>
        <v>India</v>
      </c>
      <c r="C2536" s="1">
        <f ca="1">IFERROR(__xludf.DUMMYFUNCTION("""COMPUTED_VALUE"""),625008)</f>
        <v>625008</v>
      </c>
      <c r="D2536" s="1" t="str">
        <f ca="1">IFERROR(__xludf.DUMMYFUNCTION("""COMPUTED_VALUE"""),"Female")</f>
        <v>Female</v>
      </c>
      <c r="E2536" s="1" t="str">
        <f ca="1">IFERROR(__xludf.DUMMYFUNCTION("""COMPUTED_VALUE"""),"Influencers who had successful careers")</f>
        <v>Influencers who had successful careers</v>
      </c>
      <c r="F2536" s="1" t="str">
        <f ca="1">IFERROR(__xludf.DUMMYFUNCTION("""COMPUTED_VALUE"""),"Yes, I will earn and do that")</f>
        <v>Yes, I will earn and do that</v>
      </c>
      <c r="G2536" s="1" t="str">
        <f ca="1">IFERROR(__xludf.DUMMYFUNCTION("""COMPUTED_VALUE"""),"This will be hard to do, but if it is the right company I would try")</f>
        <v>This will be hard to do, but if it is the right company I would try</v>
      </c>
      <c r="H2536" s="1" t="str">
        <f ca="1">IFERROR(__xludf.DUMMYFUNCTION("""COMPUTED_VALUE"""),"No")</f>
        <v>No</v>
      </c>
      <c r="I2536" s="1" t="str">
        <f ca="1">IFERROR(__xludf.DUMMYFUNCTION("""COMPUTED_VALUE"""),"Will NOT work for them")</f>
        <v>Will NOT work for them</v>
      </c>
      <c r="J2536" s="1">
        <f ca="1">IFERROR(__xludf.DUMMYFUNCTION("""COMPUTED_VALUE"""),6)</f>
        <v>6</v>
      </c>
      <c r="K2536" s="1" t="str">
        <f ca="1">IFERROR(__xludf.DUMMYFUNCTION("""COMPUTED_VALUE"""),"Every Day Office Environment")</f>
        <v>Every Day Office Environment</v>
      </c>
      <c r="L2536" s="1" t="str">
        <f ca="1">IFERROR(__xludf.DUMMYFUNCTION("""COMPUTED_VALUE"""),"Employer who appreciates learning and enables that environment")</f>
        <v>Employer who appreciates learning and enables that environment</v>
      </c>
      <c r="M253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536" s="1" t="str">
        <f ca="1">IFERROR(__xludf.DUMMYFUNCTION("""COMPUTED_VALUE"""),"Design and Creative strategy in any company, Business Operations in any organization, Build and develop a Team, I Want to sell things/Sales")</f>
        <v>Design and Creative strategy in any company, Business Operations in any organization, Build and develop a Team, I Want to sell things/Sales</v>
      </c>
      <c r="O2536" s="1" t="str">
        <f ca="1">IFERROR(__xludf.DUMMYFUNCTION("""COMPUTED_VALUE"""),"Manager who sets goal and helps me achieve it")</f>
        <v>Manager who sets goal and helps me achieve it</v>
      </c>
      <c r="P2536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536" s="1" t="str">
        <f ca="1">IFERROR(__xludf.DUMMYFUNCTION("""COMPUTED_VALUE"""),"Yes, I Understand this is gonna happen everywhere")</f>
        <v>Yes, I Understand this is gonna happen everywhere</v>
      </c>
      <c r="R2536" s="1" t="str">
        <f ca="1">IFERROR(__xludf.DUMMYFUNCTION("""COMPUTED_VALUE"""),"This will be hard to do, but if it is the right company I would try")</f>
        <v>This will be hard to do, but if it is the right company I would try</v>
      </c>
      <c r="S2536" s="1" t="str">
        <f ca="1">IFERROR(__xludf.DUMMYFUNCTION("""COMPUTED_VALUE"""),"deepadharshinidd02@gmail.com")</f>
        <v>deepadharshinidd02@gmail.com</v>
      </c>
    </row>
    <row r="2537" spans="1:19" ht="12.5" x14ac:dyDescent="0.25">
      <c r="A2537" s="2">
        <f ca="1">IFERROR(__xludf.DUMMYFUNCTION("""COMPUTED_VALUE"""),45065.5146082986)</f>
        <v>45065.514608298603</v>
      </c>
      <c r="B2537" s="1" t="str">
        <f ca="1">IFERROR(__xludf.DUMMYFUNCTION("""COMPUTED_VALUE"""),"India")</f>
        <v>India</v>
      </c>
      <c r="C2537" s="1">
        <f ca="1">IFERROR(__xludf.DUMMYFUNCTION("""COMPUTED_VALUE"""),110092)</f>
        <v>110092</v>
      </c>
      <c r="D2537" s="1" t="str">
        <f ca="1">IFERROR(__xludf.DUMMYFUNCTION("""COMPUTED_VALUE"""),"Male")</f>
        <v>Male</v>
      </c>
      <c r="E2537" s="1" t="str">
        <f ca="1">IFERROR(__xludf.DUMMYFUNCTION("""COMPUTED_VALUE"""),"My Parents")</f>
        <v>My Parents</v>
      </c>
      <c r="F2537" s="1" t="str">
        <f ca="1">IFERROR(__xludf.DUMMYFUNCTION("""COMPUTED_VALUE"""),"No I would not be pursuing Higher Education outside of India")</f>
        <v>No I would not be pursuing Higher Education outside of India</v>
      </c>
      <c r="G2537" s="1" t="str">
        <f ca="1">IFERROR(__xludf.DUMMYFUNCTION("""COMPUTED_VALUE"""),"Will work for 3 years or more")</f>
        <v>Will work for 3 years or more</v>
      </c>
      <c r="H2537" s="1" t="str">
        <f ca="1">IFERROR(__xludf.DUMMYFUNCTION("""COMPUTED_VALUE"""),"Yes")</f>
        <v>Yes</v>
      </c>
      <c r="I2537" s="1" t="str">
        <f ca="1">IFERROR(__xludf.DUMMYFUNCTION("""COMPUTED_VALUE"""),"Will work for them")</f>
        <v>Will work for them</v>
      </c>
      <c r="J2537" s="1">
        <f ca="1">IFERROR(__xludf.DUMMYFUNCTION("""COMPUTED_VALUE"""),1)</f>
        <v>1</v>
      </c>
      <c r="K2537" s="1" t="str">
        <f ca="1">IFERROR(__xludf.DUMMYFUNCTION("""COMPUTED_VALUE"""),"Every Day Office Environment")</f>
        <v>Every Day Office Environment</v>
      </c>
      <c r="L253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3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537" s="1" t="str">
        <f ca="1">IFERROR(__xludf.DUMMYFUNCTION("""COMPUTED_VALUE"""),"Business Operations in any organization, Entrepreneur or Start Up, I Want to sell things/Sales, Manufacturing / Oil and Gas/ Construction / Hard Physical Work related")</f>
        <v>Business Operations in any organization, Entrepreneur or Start Up, I Want to sell things/Sales, Manufacturing / Oil and Gas/ Construction / Hard Physical Work related</v>
      </c>
      <c r="O2537" s="1" t="str">
        <f ca="1">IFERROR(__xludf.DUMMYFUNCTION("""COMPUTED_VALUE"""),"Manager who explains what is expected, sets a goal and helps achieve it")</f>
        <v>Manager who explains what is expected, sets a goal and helps achieve it</v>
      </c>
      <c r="P2537" s="1" t="str">
        <f ca="1">IFERROR(__xludf.DUMMYFUNCTION("""COMPUTED_VALUE"""),"Work alone")</f>
        <v>Work alone</v>
      </c>
      <c r="Q2537" s="1" t="str">
        <f ca="1">IFERROR(__xludf.DUMMYFUNCTION("""COMPUTED_VALUE"""),"Yes, I Understand this is gonna happen everywhere")</f>
        <v>Yes, I Understand this is gonna happen everywhere</v>
      </c>
      <c r="R2537" s="1" t="str">
        <f ca="1">IFERROR(__xludf.DUMMYFUNCTION("""COMPUTED_VALUE"""),"Will work for 7 years or more")</f>
        <v>Will work for 7 years or more</v>
      </c>
      <c r="S2537" s="1" t="str">
        <f ca="1">IFERROR(__xludf.DUMMYFUNCTION("""COMPUTED_VALUE"""),"ritikbansal27@gmail.com")</f>
        <v>ritikbansal27@gmail.com</v>
      </c>
    </row>
    <row r="2538" spans="1:19" ht="12.5" x14ac:dyDescent="0.25">
      <c r="A2538" s="2">
        <f ca="1">IFERROR(__xludf.DUMMYFUNCTION("""COMPUTED_VALUE"""),45065.5158784375)</f>
        <v>45065.515878437502</v>
      </c>
      <c r="B2538" s="1" t="str">
        <f ca="1">IFERROR(__xludf.DUMMYFUNCTION("""COMPUTED_VALUE"""),"India")</f>
        <v>India</v>
      </c>
      <c r="C2538" s="1">
        <f ca="1">IFERROR(__xludf.DUMMYFUNCTION("""COMPUTED_VALUE"""),625513)</f>
        <v>625513</v>
      </c>
      <c r="D2538" s="1" t="str">
        <f ca="1">IFERROR(__xludf.DUMMYFUNCTION("""COMPUTED_VALUE"""),"Female")</f>
        <v>Female</v>
      </c>
      <c r="E2538" s="1" t="str">
        <f ca="1">IFERROR(__xludf.DUMMYFUNCTION("""COMPUTED_VALUE"""),"People from my circle, but not family members")</f>
        <v>People from my circle, but not family members</v>
      </c>
      <c r="F2538" s="1" t="str">
        <f ca="1">IFERROR(__xludf.DUMMYFUNCTION("""COMPUTED_VALUE"""),"Yes, I will earn and do that")</f>
        <v>Yes, I will earn and do that</v>
      </c>
      <c r="G2538" s="1" t="str">
        <f ca="1">IFERROR(__xludf.DUMMYFUNCTION("""COMPUTED_VALUE"""),"Will work for 3 years or more")</f>
        <v>Will work for 3 years or more</v>
      </c>
      <c r="H2538" s="1" t="str">
        <f ca="1">IFERROR(__xludf.DUMMYFUNCTION("""COMPUTED_VALUE"""),"No")</f>
        <v>No</v>
      </c>
      <c r="I2538" s="1" t="str">
        <f ca="1">IFERROR(__xludf.DUMMYFUNCTION("""COMPUTED_VALUE"""),"Will NOT work for them")</f>
        <v>Will NOT work for them</v>
      </c>
      <c r="J2538" s="1">
        <f ca="1">IFERROR(__xludf.DUMMYFUNCTION("""COMPUTED_VALUE"""),8)</f>
        <v>8</v>
      </c>
      <c r="K2538" s="1" t="str">
        <f ca="1">IFERROR(__xludf.DUMMYFUNCTION("""COMPUTED_VALUE"""),"Every Day Office Environment")</f>
        <v>Every Day Office Environment</v>
      </c>
      <c r="L25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38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538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2538" s="1" t="str">
        <f ca="1">IFERROR(__xludf.DUMMYFUNCTION("""COMPUTED_VALUE"""),"Manager who explains what is expected, sets a goal and helps achieve it")</f>
        <v>Manager who explains what is expected, sets a goal and helps achieve it</v>
      </c>
      <c r="P2538" s="1" t="str">
        <f ca="1">IFERROR(__xludf.DUMMYFUNCTION("""COMPUTED_VALUE"""),"Work alone, Work with 2 to 3 people in my team")</f>
        <v>Work alone, Work with 2 to 3 people in my team</v>
      </c>
      <c r="Q2538" s="1" t="str">
        <f ca="1">IFERROR(__xludf.DUMMYFUNCTION("""COMPUTED_VALUE"""),"Yes, I Understand this is gonna happen everywhere")</f>
        <v>Yes, I Understand this is gonna happen everywhere</v>
      </c>
      <c r="R2538" s="1" t="str">
        <f ca="1">IFERROR(__xludf.DUMMYFUNCTION("""COMPUTED_VALUE"""),"This will be hard to do, but if it is the right company I would try")</f>
        <v>This will be hard to do, but if it is the right company I would try</v>
      </c>
      <c r="S2538" s="1" t="str">
        <f ca="1">IFERROR(__xludf.DUMMYFUNCTION("""COMPUTED_VALUE"""),"bamadevim04@gmail.com")</f>
        <v>bamadevim04@gmail.com</v>
      </c>
    </row>
    <row r="2539" spans="1:19" ht="12.5" x14ac:dyDescent="0.25">
      <c r="A2539" s="2">
        <f ca="1">IFERROR(__xludf.DUMMYFUNCTION("""COMPUTED_VALUE"""),45065.5333465277)</f>
        <v>45065.5333465277</v>
      </c>
      <c r="B2539" s="1" t="str">
        <f ca="1">IFERROR(__xludf.DUMMYFUNCTION("""COMPUTED_VALUE"""),"India")</f>
        <v>India</v>
      </c>
      <c r="C2539" s="1">
        <f ca="1">IFERROR(__xludf.DUMMYFUNCTION("""COMPUTED_VALUE"""),110009)</f>
        <v>110009</v>
      </c>
      <c r="D2539" s="1" t="str">
        <f ca="1">IFERROR(__xludf.DUMMYFUNCTION("""COMPUTED_VALUE"""),"Female")</f>
        <v>Female</v>
      </c>
      <c r="E2539" s="1" t="str">
        <f ca="1">IFERROR(__xludf.DUMMYFUNCTION("""COMPUTED_VALUE"""),"Social Media like LinkedIn")</f>
        <v>Social Media like LinkedIn</v>
      </c>
      <c r="F2539" s="1" t="str">
        <f ca="1">IFERROR(__xludf.DUMMYFUNCTION("""COMPUTED_VALUE"""),"No, But if someone could bare the cost I will")</f>
        <v>No, But if someone could bare the cost I will</v>
      </c>
      <c r="G2539" s="1" t="str">
        <f ca="1">IFERROR(__xludf.DUMMYFUNCTION("""COMPUTED_VALUE"""),"Will work for 3 years or more")</f>
        <v>Will work for 3 years or more</v>
      </c>
      <c r="H2539" s="1" t="str">
        <f ca="1">IFERROR(__xludf.DUMMYFUNCTION("""COMPUTED_VALUE"""),"No")</f>
        <v>No</v>
      </c>
      <c r="I2539" s="1" t="str">
        <f ca="1">IFERROR(__xludf.DUMMYFUNCTION("""COMPUTED_VALUE"""),"Will NOT work for them")</f>
        <v>Will NOT work for them</v>
      </c>
      <c r="J2539" s="1">
        <f ca="1">IFERROR(__xludf.DUMMYFUNCTION("""COMPUTED_VALUE"""),3)</f>
        <v>3</v>
      </c>
      <c r="K2539" s="1" t="str">
        <f ca="1">IFERROR(__xludf.DUMMYFUNCTION("""COMPUTED_VALUE"""),"Every Day Office Environment")</f>
        <v>Every Day Office Environment</v>
      </c>
      <c r="L25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3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539" s="1" t="str">
        <f ca="1">IFERROR(__xludf.DUMMYFUNCTION("""COMPUTED_VALUE"""),"Design and Creative strategy in any company, Teaching in any of the institutes/colleges/online or offline, Design and Develop amazing software, Look deeply into Data and generate insights")</f>
        <v>Design and Creative strategy in any company, Teaching in any of the institutes/colleges/online or offline, Design and Develop amazing software, Look deeply into Data and generate insights</v>
      </c>
      <c r="O2539" s="1" t="str">
        <f ca="1">IFERROR(__xludf.DUMMYFUNCTION("""COMPUTED_VALUE"""),"Manager who clearly describes what she/he needs")</f>
        <v>Manager who clearly describes what she/he needs</v>
      </c>
      <c r="P2539" s="1" t="str">
        <f ca="1">IFERROR(__xludf.DUMMYFUNCTION("""COMPUTED_VALUE"""),"Work with 2 to 3 people in my team")</f>
        <v>Work with 2 to 3 people in my team</v>
      </c>
      <c r="Q2539" s="1" t="str">
        <f ca="1">IFERROR(__xludf.DUMMYFUNCTION("""COMPUTED_VALUE"""),"Yes, I Understand this is gonna happen everywhere")</f>
        <v>Yes, I Understand this is gonna happen everywhere</v>
      </c>
      <c r="R2539" s="1" t="str">
        <f ca="1">IFERROR(__xludf.DUMMYFUNCTION("""COMPUTED_VALUE"""),"This will be hard to do, but if it is the right company I would try")</f>
        <v>This will be hard to do, but if it is the right company I would try</v>
      </c>
      <c r="S2539" s="1" t="str">
        <f ca="1">IFERROR(__xludf.DUMMYFUNCTION("""COMPUTED_VALUE"""),"attriaakriti0507@gmail.com")</f>
        <v>attriaakriti0507@gmail.com</v>
      </c>
    </row>
    <row r="2540" spans="1:19" ht="12.5" x14ac:dyDescent="0.25">
      <c r="A2540" s="2">
        <f ca="1">IFERROR(__xludf.DUMMYFUNCTION("""COMPUTED_VALUE"""),45065.5373441435)</f>
        <v>45065.5373441435</v>
      </c>
      <c r="B2540" s="1" t="str">
        <f ca="1">IFERROR(__xludf.DUMMYFUNCTION("""COMPUTED_VALUE"""),"India")</f>
        <v>India</v>
      </c>
      <c r="C2540" s="1">
        <f ca="1">IFERROR(__xludf.DUMMYFUNCTION("""COMPUTED_VALUE"""),560105)</f>
        <v>560105</v>
      </c>
      <c r="D2540" s="1" t="str">
        <f ca="1">IFERROR(__xludf.DUMMYFUNCTION("""COMPUTED_VALUE"""),"Male")</f>
        <v>Male</v>
      </c>
      <c r="E2540" s="1" t="str">
        <f ca="1">IFERROR(__xludf.DUMMYFUNCTION("""COMPUTED_VALUE"""),"People who have changed the world for better")</f>
        <v>People who have changed the world for better</v>
      </c>
      <c r="F2540" s="1" t="str">
        <f ca="1">IFERROR(__xludf.DUMMYFUNCTION("""COMPUTED_VALUE"""),"Yes, I will earn and do that")</f>
        <v>Yes, I will earn and do that</v>
      </c>
      <c r="G2540" s="1" t="str">
        <f ca="1">IFERROR(__xludf.DUMMYFUNCTION("""COMPUTED_VALUE"""),"Will work for 3 years or more")</f>
        <v>Will work for 3 years or more</v>
      </c>
      <c r="H2540" s="1" t="str">
        <f ca="1">IFERROR(__xludf.DUMMYFUNCTION("""COMPUTED_VALUE"""),"No")</f>
        <v>No</v>
      </c>
      <c r="I2540" s="1" t="str">
        <f ca="1">IFERROR(__xludf.DUMMYFUNCTION("""COMPUTED_VALUE"""),"Will NOT work for them")</f>
        <v>Will NOT work for them</v>
      </c>
      <c r="J2540" s="1">
        <f ca="1">IFERROR(__xludf.DUMMYFUNCTION("""COMPUTED_VALUE"""),3)</f>
        <v>3</v>
      </c>
      <c r="K2540" s="1" t="str">
        <f ca="1">IFERROR(__xludf.DUMMYFUNCTION("""COMPUTED_VALUE"""),"Fully Remote with Options to travel as and when needed")</f>
        <v>Fully Remote with Options to travel as and when needed</v>
      </c>
      <c r="L25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4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40" s="1" t="str">
        <f ca="1">IFERROR(__xludf.DUMMYFUNCTION("""COMPUTED_VALUE"""),"Design and Creative strategy in any company, Design and Develop amazing software, Entrepreneur or Start Up, An Artificial Intelligence Specialist / Talking to Robots")</f>
        <v>Design and Creative strategy in any company, Design and Develop amazing software, Entrepreneur or Start Up, An Artificial Intelligence Specialist / Talking to Robots</v>
      </c>
      <c r="O2540" s="1" t="str">
        <f ca="1">IFERROR(__xludf.DUMMYFUNCTION("""COMPUTED_VALUE"""),"Manager who explains what is expected, sets a goal and helps achieve it")</f>
        <v>Manager who explains what is expected, sets a goal and helps achieve it</v>
      </c>
      <c r="P2540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540" s="1" t="str">
        <f ca="1">IFERROR(__xludf.DUMMYFUNCTION("""COMPUTED_VALUE"""),"Yes, I Understand this is gonna happen everywhere")</f>
        <v>Yes, I Understand this is gonna happen everywhere</v>
      </c>
      <c r="R2540" s="1" t="str">
        <f ca="1">IFERROR(__xludf.DUMMYFUNCTION("""COMPUTED_VALUE"""),"This will be hard to do, but if it is the right company I would try")</f>
        <v>This will be hard to do, but if it is the right company I would try</v>
      </c>
      <c r="S2540" s="1" t="str">
        <f ca="1">IFERROR(__xludf.DUMMYFUNCTION("""COMPUTED_VALUE"""),"sakarayharish653@gmail.com")</f>
        <v>sakarayharish653@gmail.com</v>
      </c>
    </row>
    <row r="2541" spans="1:19" ht="12.5" x14ac:dyDescent="0.25">
      <c r="A2541" s="2">
        <f ca="1">IFERROR(__xludf.DUMMYFUNCTION("""COMPUTED_VALUE"""),45065.5399497453)</f>
        <v>45065.539949745304</v>
      </c>
      <c r="B2541" s="1" t="str">
        <f ca="1">IFERROR(__xludf.DUMMYFUNCTION("""COMPUTED_VALUE"""),"India")</f>
        <v>India</v>
      </c>
      <c r="C2541" s="1">
        <f ca="1">IFERROR(__xludf.DUMMYFUNCTION("""COMPUTED_VALUE"""),201301)</f>
        <v>201301</v>
      </c>
      <c r="D2541" s="1" t="str">
        <f ca="1">IFERROR(__xludf.DUMMYFUNCTION("""COMPUTED_VALUE"""),"Female")</f>
        <v>Female</v>
      </c>
      <c r="E2541" s="1" t="str">
        <f ca="1">IFERROR(__xludf.DUMMYFUNCTION("""COMPUTED_VALUE"""),"People who have changed the world for better")</f>
        <v>People who have changed the world for better</v>
      </c>
      <c r="F2541" s="1" t="str">
        <f ca="1">IFERROR(__xludf.DUMMYFUNCTION("""COMPUTED_VALUE"""),"Yes, I will earn and do that")</f>
        <v>Yes, I will earn and do that</v>
      </c>
      <c r="G2541" s="1" t="str">
        <f ca="1">IFERROR(__xludf.DUMMYFUNCTION("""COMPUTED_VALUE"""),"This will be hard to do, but if it is the right company I would try")</f>
        <v>This will be hard to do, but if it is the right company I would try</v>
      </c>
      <c r="H2541" s="1" t="str">
        <f ca="1">IFERROR(__xludf.DUMMYFUNCTION("""COMPUTED_VALUE"""),"No")</f>
        <v>No</v>
      </c>
      <c r="I2541" s="1" t="str">
        <f ca="1">IFERROR(__xludf.DUMMYFUNCTION("""COMPUTED_VALUE"""),"Will NOT work for them")</f>
        <v>Will NOT work for them</v>
      </c>
      <c r="J2541" s="1">
        <f ca="1">IFERROR(__xludf.DUMMYFUNCTION("""COMPUTED_VALUE"""),2)</f>
        <v>2</v>
      </c>
      <c r="K2541" s="1" t="str">
        <f ca="1">IFERROR(__xludf.DUMMYFUNCTION("""COMPUTED_VALUE"""),"Fully Remote with Options to travel as and when needed")</f>
        <v>Fully Remote with Options to travel as and when needed</v>
      </c>
      <c r="L25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4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41" s="1" t="str">
        <f ca="1">IFERROR(__xludf.DUMMYFUNCTION("""COMPUTED_VALUE"""),"Teaching in any of the institutes/colleges/online or offline, Design and Develop amazing software, Look deeply into Data and generate insights, An Artificial Intelligence Specialist / Talking to Robots")</f>
        <v>Teaching in any of the institutes/colleges/online or offline, Design and Develop amazing software, Look deeply into Data and generate insights, An Artificial Intelligence Specialist / Talking to Robots</v>
      </c>
      <c r="O2541" s="1" t="str">
        <f ca="1">IFERROR(__xludf.DUMMYFUNCTION("""COMPUTED_VALUE"""),"Manager who sets goal and helps me achieve it")</f>
        <v>Manager who sets goal and helps me achieve it</v>
      </c>
      <c r="P2541" s="1" t="str">
        <f ca="1">IFERROR(__xludf.DUMMYFUNCTION("""COMPUTED_VALUE"""),"Work with 5 to 6 people in my team")</f>
        <v>Work with 5 to 6 people in my team</v>
      </c>
      <c r="Q2541" s="1" t="str">
        <f ca="1">IFERROR(__xludf.DUMMYFUNCTION("""COMPUTED_VALUE"""),"Yes, I Understand this is gonna happen everywhere")</f>
        <v>Yes, I Understand this is gonna happen everywhere</v>
      </c>
      <c r="R2541" s="1" t="str">
        <f ca="1">IFERROR(__xludf.DUMMYFUNCTION("""COMPUTED_VALUE"""),"No way")</f>
        <v>No way</v>
      </c>
      <c r="S2541" s="1" t="str">
        <f ca="1">IFERROR(__xludf.DUMMYFUNCTION("""COMPUTED_VALUE"""),"isheemakhan@gmail.com")</f>
        <v>isheemakhan@gmail.com</v>
      </c>
    </row>
    <row r="2542" spans="1:19" ht="12.5" x14ac:dyDescent="0.25">
      <c r="A2542" s="2">
        <f ca="1">IFERROR(__xludf.DUMMYFUNCTION("""COMPUTED_VALUE"""),45065.5404469097)</f>
        <v>45065.540446909697</v>
      </c>
      <c r="B2542" s="1" t="str">
        <f ca="1">IFERROR(__xludf.DUMMYFUNCTION("""COMPUTED_VALUE"""),"India")</f>
        <v>India</v>
      </c>
      <c r="C2542" s="1">
        <f ca="1">IFERROR(__xludf.DUMMYFUNCTION("""COMPUTED_VALUE"""),110092)</f>
        <v>110092</v>
      </c>
      <c r="D2542" s="1" t="str">
        <f ca="1">IFERROR(__xludf.DUMMYFUNCTION("""COMPUTED_VALUE"""),"Male")</f>
        <v>Male</v>
      </c>
      <c r="E2542" s="1" t="str">
        <f ca="1">IFERROR(__xludf.DUMMYFUNCTION("""COMPUTED_VALUE"""),"My Parents")</f>
        <v>My Parents</v>
      </c>
      <c r="F2542" s="1" t="str">
        <f ca="1">IFERROR(__xludf.DUMMYFUNCTION("""COMPUTED_VALUE"""),"No I would not be pursuing Higher Education outside of India")</f>
        <v>No I would not be pursuing Higher Education outside of India</v>
      </c>
      <c r="G2542" s="1" t="str">
        <f ca="1">IFERROR(__xludf.DUMMYFUNCTION("""COMPUTED_VALUE"""),"This will be hard to do, but if it is the right company I would try")</f>
        <v>This will be hard to do, but if it is the right company I would try</v>
      </c>
      <c r="H2542" s="1" t="str">
        <f ca="1">IFERROR(__xludf.DUMMYFUNCTION("""COMPUTED_VALUE"""),"No")</f>
        <v>No</v>
      </c>
      <c r="I2542" s="1" t="str">
        <f ca="1">IFERROR(__xludf.DUMMYFUNCTION("""COMPUTED_VALUE"""),"Will work for them")</f>
        <v>Will work for them</v>
      </c>
      <c r="J2542" s="1">
        <f ca="1">IFERROR(__xludf.DUMMYFUNCTION("""COMPUTED_VALUE"""),5)</f>
        <v>5</v>
      </c>
      <c r="K2542" s="1" t="str">
        <f ca="1">IFERROR(__xludf.DUMMYFUNCTION("""COMPUTED_VALUE"""),"Fully Remote with Options to travel as and when needed")</f>
        <v>Fully Remote with Options to travel as and when needed</v>
      </c>
      <c r="L2542" s="1" t="str">
        <f ca="1">IFERROR(__xludf.DUMMYFUNCTION("""COMPUTED_VALUE"""),"Employer who appreciates learning and enables that environment")</f>
        <v>Employer who appreciates learning and enables that environment</v>
      </c>
      <c r="M2542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542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2542" s="1" t="str">
        <f ca="1">IFERROR(__xludf.DUMMYFUNCTION("""COMPUTED_VALUE"""),"Manager who sets targets and expects me to achieve it")</f>
        <v>Manager who sets targets and expects me to achieve it</v>
      </c>
      <c r="P2542" s="1" t="str">
        <f ca="1">IFERROR(__xludf.DUMMYFUNCTION("""COMPUTED_VALUE"""),"Work with 7 to 10 or more people in my team")</f>
        <v>Work with 7 to 10 or more people in my team</v>
      </c>
      <c r="Q2542" s="1" t="str">
        <f ca="1">IFERROR(__xludf.DUMMYFUNCTION("""COMPUTED_VALUE"""),"Yes, I Understand this is gonna happen everywhere")</f>
        <v>Yes, I Understand this is gonna happen everywhere</v>
      </c>
      <c r="R2542" s="1" t="str">
        <f ca="1">IFERROR(__xludf.DUMMYFUNCTION("""COMPUTED_VALUE"""),"This will be hard to do, but if it is the right company I would try")</f>
        <v>This will be hard to do, but if it is the right company I would try</v>
      </c>
      <c r="S2542" s="1" t="str">
        <f ca="1">IFERROR(__xludf.DUMMYFUNCTION("""COMPUTED_VALUE"""),"swayams25347@gmail.com")</f>
        <v>swayams25347@gmail.com</v>
      </c>
    </row>
    <row r="2543" spans="1:19" ht="12.5" x14ac:dyDescent="0.25">
      <c r="A2543" s="2">
        <f ca="1">IFERROR(__xludf.DUMMYFUNCTION("""COMPUTED_VALUE"""),45065.5417443171)</f>
        <v>45065.541744317103</v>
      </c>
      <c r="B2543" s="1" t="str">
        <f ca="1">IFERROR(__xludf.DUMMYFUNCTION("""COMPUTED_VALUE"""),"India")</f>
        <v>India</v>
      </c>
      <c r="C2543" s="1">
        <f ca="1">IFERROR(__xludf.DUMMYFUNCTION("""COMPUTED_VALUE"""),440013)</f>
        <v>440013</v>
      </c>
      <c r="D2543" s="1" t="str">
        <f ca="1">IFERROR(__xludf.DUMMYFUNCTION("""COMPUTED_VALUE"""),"Female")</f>
        <v>Female</v>
      </c>
      <c r="E2543" s="1" t="str">
        <f ca="1">IFERROR(__xludf.DUMMYFUNCTION("""COMPUTED_VALUE"""),"Social Media like LinkedIn")</f>
        <v>Social Media like LinkedIn</v>
      </c>
      <c r="F2543" s="1" t="str">
        <f ca="1">IFERROR(__xludf.DUMMYFUNCTION("""COMPUTED_VALUE"""),"No I would not be pursuing Higher Education outside of India")</f>
        <v>No I would not be pursuing Higher Education outside of India</v>
      </c>
      <c r="G2543" s="1" t="str">
        <f ca="1">IFERROR(__xludf.DUMMYFUNCTION("""COMPUTED_VALUE"""),"Will work for 3 years or more")</f>
        <v>Will work for 3 years or more</v>
      </c>
      <c r="H2543" s="1" t="str">
        <f ca="1">IFERROR(__xludf.DUMMYFUNCTION("""COMPUTED_VALUE"""),"No")</f>
        <v>No</v>
      </c>
      <c r="I2543" s="1" t="str">
        <f ca="1">IFERROR(__xludf.DUMMYFUNCTION("""COMPUTED_VALUE"""),"Will work for them")</f>
        <v>Will work for them</v>
      </c>
      <c r="J2543" s="1">
        <f ca="1">IFERROR(__xludf.DUMMYFUNCTION("""COMPUTED_VALUE"""),5)</f>
        <v>5</v>
      </c>
      <c r="K2543" s="1" t="str">
        <f ca="1">IFERROR(__xludf.DUMMYFUNCTION("""COMPUTED_VALUE"""),"Every Day Office Environment")</f>
        <v>Every Day Office Environment</v>
      </c>
      <c r="L2543" s="1" t="str">
        <f ca="1">IFERROR(__xludf.DUMMYFUNCTION("""COMPUTED_VALUE"""),"Employer who appreciates learning and enables that environment")</f>
        <v>Employer who appreciates learning and enables that environment</v>
      </c>
      <c r="M2543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543" s="1" t="str">
        <f ca="1">IFERROR(__xludf.DUMMYFUNCTION("""COMPUTED_VALUE"""),"Business Operations in any organization, Design and Develop amazing software, Work as a freelancer and do my thing my way, An Artificial Intelligence Specialist / Talking to Robots")</f>
        <v>Business Operations in any organization, Design and Develop amazing software, Work as a freelancer and do my thing my way, An Artificial Intelligence Specialist / Talking to Robots</v>
      </c>
      <c r="O2543" s="1" t="str">
        <f ca="1">IFERROR(__xludf.DUMMYFUNCTION("""COMPUTED_VALUE"""),"Manager who explains what is expected, sets a goal and helps achieve it")</f>
        <v>Manager who explains what is expected, sets a goal and helps achieve it</v>
      </c>
      <c r="P2543" s="1" t="str">
        <f ca="1">IFERROR(__xludf.DUMMYFUNCTION("""COMPUTED_VALUE"""),"Work with 5 to 6 people in my team")</f>
        <v>Work with 5 to 6 people in my team</v>
      </c>
      <c r="Q2543" s="1" t="str">
        <f ca="1">IFERROR(__xludf.DUMMYFUNCTION("""COMPUTED_VALUE"""),"Yes, I Understand this is gonna happen everywhere")</f>
        <v>Yes, I Understand this is gonna happen everywhere</v>
      </c>
      <c r="R2543" s="1" t="str">
        <f ca="1">IFERROR(__xludf.DUMMYFUNCTION("""COMPUTED_VALUE"""),"This will be hard to do, but if it is the right company I would try")</f>
        <v>This will be hard to do, but if it is the right company I would try</v>
      </c>
      <c r="S2543" s="1" t="str">
        <f ca="1">IFERROR(__xludf.DUMMYFUNCTION("""COMPUTED_VALUE"""),"rautdivya4@gmail.com")</f>
        <v>rautdivya4@gmail.com</v>
      </c>
    </row>
    <row r="2544" spans="1:19" ht="12.5" x14ac:dyDescent="0.25">
      <c r="A2544" s="2">
        <f ca="1">IFERROR(__xludf.DUMMYFUNCTION("""COMPUTED_VALUE"""),45065.5432422453)</f>
        <v>45065.543242245301</v>
      </c>
      <c r="B2544" s="1" t="str">
        <f ca="1">IFERROR(__xludf.DUMMYFUNCTION("""COMPUTED_VALUE"""),"India")</f>
        <v>India</v>
      </c>
      <c r="C2544" s="1">
        <f ca="1">IFERROR(__xludf.DUMMYFUNCTION("""COMPUTED_VALUE"""),411011)</f>
        <v>411011</v>
      </c>
      <c r="D2544" s="1" t="str">
        <f ca="1">IFERROR(__xludf.DUMMYFUNCTION("""COMPUTED_VALUE"""),"Male")</f>
        <v>Male</v>
      </c>
      <c r="E2544" s="1" t="str">
        <f ca="1">IFERROR(__xludf.DUMMYFUNCTION("""COMPUTED_VALUE"""),"People who have changed the world for better")</f>
        <v>People who have changed the world for better</v>
      </c>
      <c r="F2544" s="1" t="str">
        <f ca="1">IFERROR(__xludf.DUMMYFUNCTION("""COMPUTED_VALUE"""),"Yes, I will earn and do that")</f>
        <v>Yes, I will earn and do that</v>
      </c>
      <c r="G2544" s="1" t="str">
        <f ca="1">IFERROR(__xludf.DUMMYFUNCTION("""COMPUTED_VALUE"""),"This will be hard to do, but if it is the right company I would try")</f>
        <v>This will be hard to do, but if it is the right company I would try</v>
      </c>
      <c r="H2544" s="1" t="str">
        <f ca="1">IFERROR(__xludf.DUMMYFUNCTION("""COMPUTED_VALUE"""),"No")</f>
        <v>No</v>
      </c>
      <c r="I2544" s="1" t="str">
        <f ca="1">IFERROR(__xludf.DUMMYFUNCTION("""COMPUTED_VALUE"""),"Will NOT work for them")</f>
        <v>Will NOT work for them</v>
      </c>
      <c r="J2544" s="1">
        <f ca="1">IFERROR(__xludf.DUMMYFUNCTION("""COMPUTED_VALUE"""),3)</f>
        <v>3</v>
      </c>
      <c r="K2544" s="1" t="str">
        <f ca="1">IFERROR(__xludf.DUMMYFUNCTION("""COMPUTED_VALUE"""),"Fully Remote with Options to travel as and when needed")</f>
        <v>Fully Remote with Options to travel as and when needed</v>
      </c>
      <c r="L2544" s="1" t="str">
        <f ca="1">IFERROR(__xludf.DUMMYFUNCTION("""COMPUTED_VALUE"""),"Employer who rewards learning and enables that environment")</f>
        <v>Employer who rewards learning and enables that environment</v>
      </c>
      <c r="M254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44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2544" s="1" t="str">
        <f ca="1">IFERROR(__xludf.DUMMYFUNCTION("""COMPUTED_VALUE"""),"Manager who explains what is expected, sets a goal and helps achieve it")</f>
        <v>Manager who explains what is expected, sets a goal and helps achieve it</v>
      </c>
      <c r="P2544" s="1" t="str">
        <f ca="1">IFERROR(__xludf.DUMMYFUNCTION("""COMPUTED_VALUE"""),"Work with 2 to 3 people in my team")</f>
        <v>Work with 2 to 3 people in my team</v>
      </c>
      <c r="Q2544" s="1" t="str">
        <f ca="1">IFERROR(__xludf.DUMMYFUNCTION("""COMPUTED_VALUE"""),"Yes, I Understand this is gonna happen everywhere")</f>
        <v>Yes, I Understand this is gonna happen everywhere</v>
      </c>
      <c r="R2544" s="1" t="str">
        <f ca="1">IFERROR(__xludf.DUMMYFUNCTION("""COMPUTED_VALUE"""),"This will be hard to do, but if it is the right company I would try")</f>
        <v>This will be hard to do, but if it is the right company I would try</v>
      </c>
      <c r="S2544" s="1" t="str">
        <f ca="1">IFERROR(__xludf.DUMMYFUNCTION("""COMPUTED_VALUE"""),"kushaltair@gmail.com")</f>
        <v>kushaltair@gmail.com</v>
      </c>
    </row>
    <row r="2545" spans="1:19" ht="12.5" x14ac:dyDescent="0.25">
      <c r="A2545" s="2">
        <f ca="1">IFERROR(__xludf.DUMMYFUNCTION("""COMPUTED_VALUE"""),45065.5447113773)</f>
        <v>45065.544711377297</v>
      </c>
      <c r="B2545" s="1" t="str">
        <f ca="1">IFERROR(__xludf.DUMMYFUNCTION("""COMPUTED_VALUE"""),"India")</f>
        <v>India</v>
      </c>
      <c r="C2545" s="1">
        <f ca="1">IFERROR(__xludf.DUMMYFUNCTION("""COMPUTED_VALUE"""),411057)</f>
        <v>411057</v>
      </c>
      <c r="D2545" s="1" t="str">
        <f ca="1">IFERROR(__xludf.DUMMYFUNCTION("""COMPUTED_VALUE"""),"Male")</f>
        <v>Male</v>
      </c>
      <c r="E2545" s="1" t="str">
        <f ca="1">IFERROR(__xludf.DUMMYFUNCTION("""COMPUTED_VALUE"""),"People who have changed the world for better")</f>
        <v>People who have changed the world for better</v>
      </c>
      <c r="F2545" s="1" t="str">
        <f ca="1">IFERROR(__xludf.DUMMYFUNCTION("""COMPUTED_VALUE"""),"No, But if someone could bare the cost I will")</f>
        <v>No, But if someone could bare the cost I will</v>
      </c>
      <c r="G2545" s="1" t="str">
        <f ca="1">IFERROR(__xludf.DUMMYFUNCTION("""COMPUTED_VALUE"""),"This will be hard to do, but if it is the right company I would try")</f>
        <v>This will be hard to do, but if it is the right company I would try</v>
      </c>
      <c r="H2545" s="1" t="str">
        <f ca="1">IFERROR(__xludf.DUMMYFUNCTION("""COMPUTED_VALUE"""),"No")</f>
        <v>No</v>
      </c>
      <c r="I2545" s="1" t="str">
        <f ca="1">IFERROR(__xludf.DUMMYFUNCTION("""COMPUTED_VALUE"""),"Will NOT work for them")</f>
        <v>Will NOT work for them</v>
      </c>
      <c r="J2545" s="1">
        <f ca="1">IFERROR(__xludf.DUMMYFUNCTION("""COMPUTED_VALUE"""),1)</f>
        <v>1</v>
      </c>
      <c r="K2545" s="1" t="str">
        <f ca="1">IFERROR(__xludf.DUMMYFUNCTION("""COMPUTED_VALUE"""),"Fully Remote with Options to travel as and when needed")</f>
        <v>Fully Remote with Options to travel as and when needed</v>
      </c>
      <c r="L2545" s="1" t="str">
        <f ca="1">IFERROR(__xludf.DUMMYFUNCTION("""COMPUTED_VALUE"""),"Employer who rewards learning and enables that environment")</f>
        <v>Employer who rewards learning and enables that environment</v>
      </c>
      <c r="M2545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545" s="1" t="str">
        <f ca="1">IFERROR(__xludf.DUMMYFUNCTION("""COMPUTED_VALUE"""),"Manage and drive End-to-End Projects or Products, Build and develop a Team, Design and Develop amazing software, Become a content Creator in some platform")</f>
        <v>Manage and drive End-to-End Projects or Products, Build and develop a Team, Design and Develop amazing software, Become a content Creator in some platform</v>
      </c>
      <c r="O2545" s="1" t="str">
        <f ca="1">IFERROR(__xludf.DUMMYFUNCTION("""COMPUTED_VALUE"""),"Manager who explains what is expected, sets a goal and helps achieve it")</f>
        <v>Manager who explains what is expected, sets a goal and helps achieve it</v>
      </c>
      <c r="P2545" s="1" t="str">
        <f ca="1">IFERROR(__xludf.DUMMYFUNCTION("""COMPUTED_VALUE"""),"Work with 5 to 6 people in my team")</f>
        <v>Work with 5 to 6 people in my team</v>
      </c>
      <c r="Q2545" s="1" t="str">
        <f ca="1">IFERROR(__xludf.DUMMYFUNCTION("""COMPUTED_VALUE"""),"Yes, I Understand this is gonna happen everywhere")</f>
        <v>Yes, I Understand this is gonna happen everywhere</v>
      </c>
      <c r="R2545" s="1" t="str">
        <f ca="1">IFERROR(__xludf.DUMMYFUNCTION("""COMPUTED_VALUE"""),"This will be hard to do, but if it is the right company I would try")</f>
        <v>This will be hard to do, but if it is the right company I would try</v>
      </c>
      <c r="S2545" s="1" t="str">
        <f ca="1">IFERROR(__xludf.DUMMYFUNCTION("""COMPUTED_VALUE"""),"kosambess@gmail.com")</f>
        <v>kosambess@gmail.com</v>
      </c>
    </row>
    <row r="2546" spans="1:19" ht="12.5" x14ac:dyDescent="0.25">
      <c r="A2546" s="2">
        <f ca="1">IFERROR(__xludf.DUMMYFUNCTION("""COMPUTED_VALUE"""),45065.5455879282)</f>
        <v>45065.545587928202</v>
      </c>
      <c r="B2546" s="1" t="str">
        <f ca="1">IFERROR(__xludf.DUMMYFUNCTION("""COMPUTED_VALUE"""),"India")</f>
        <v>India</v>
      </c>
      <c r="C2546" s="1">
        <f ca="1">IFERROR(__xludf.DUMMYFUNCTION("""COMPUTED_VALUE"""),411002)</f>
        <v>411002</v>
      </c>
      <c r="D2546" s="1" t="str">
        <f ca="1">IFERROR(__xludf.DUMMYFUNCTION("""COMPUTED_VALUE"""),"Male")</f>
        <v>Male</v>
      </c>
      <c r="E2546" s="1" t="str">
        <f ca="1">IFERROR(__xludf.DUMMYFUNCTION("""COMPUTED_VALUE"""),"People who have changed the world for better")</f>
        <v>People who have changed the world for better</v>
      </c>
      <c r="F2546" s="1" t="str">
        <f ca="1">IFERROR(__xludf.DUMMYFUNCTION("""COMPUTED_VALUE"""),"Yes, I will earn and do that")</f>
        <v>Yes, I will earn and do that</v>
      </c>
      <c r="G2546" s="1" t="str">
        <f ca="1">IFERROR(__xludf.DUMMYFUNCTION("""COMPUTED_VALUE"""),"This will be hard to do, but if it is the right company I would try")</f>
        <v>This will be hard to do, but if it is the right company I would try</v>
      </c>
      <c r="H2546" s="1" t="str">
        <f ca="1">IFERROR(__xludf.DUMMYFUNCTION("""COMPUTED_VALUE"""),"Yes")</f>
        <v>Yes</v>
      </c>
      <c r="I2546" s="1" t="str">
        <f ca="1">IFERROR(__xludf.DUMMYFUNCTION("""COMPUTED_VALUE"""),"Will NOT work for them")</f>
        <v>Will NOT work for them</v>
      </c>
      <c r="J2546" s="1">
        <f ca="1">IFERROR(__xludf.DUMMYFUNCTION("""COMPUTED_VALUE"""),8)</f>
        <v>8</v>
      </c>
      <c r="K2546" s="1" t="str">
        <f ca="1">IFERROR(__xludf.DUMMYFUNCTION("""COMPUTED_VALUE"""),"Hybrid Working Environment with more than 15 days a month at office")</f>
        <v>Hybrid Working Environment with more than 15 days a month at office</v>
      </c>
      <c r="L25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4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46" s="1" t="str">
        <f ca="1">IFERROR(__xludf.DUMMYFUNCTION("""COMPUTED_VALUE"""),"Business Operations in any organization, Look deeply into Data and generate insights, Entrepreneur or Start Up, I Want to sell things/Sales")</f>
        <v>Business Operations in any organization, Look deeply into Data and generate insights, Entrepreneur or Start Up, I Want to sell things/Sales</v>
      </c>
      <c r="O254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46" s="1" t="str">
        <f ca="1">IFERROR(__xludf.DUMMYFUNCTION("""COMPUTED_VALUE"""),"Work with 5 to 6 people in my team")</f>
        <v>Work with 5 to 6 people in my team</v>
      </c>
      <c r="Q2546" s="1" t="str">
        <f ca="1">IFERROR(__xludf.DUMMYFUNCTION("""COMPUTED_VALUE"""),"Yes, I Understand this is gonna happen everywhere")</f>
        <v>Yes, I Understand this is gonna happen everywhere</v>
      </c>
      <c r="R2546" s="1" t="str">
        <f ca="1">IFERROR(__xludf.DUMMYFUNCTION("""COMPUTED_VALUE"""),"This will be hard to do, but if it is the right company I would try")</f>
        <v>This will be hard to do, but if it is the right company I would try</v>
      </c>
      <c r="S2546" s="1" t="str">
        <f ca="1">IFERROR(__xludf.DUMMYFUNCTION("""COMPUTED_VALUE"""),"saurabhp7892@gmail.com")</f>
        <v>saurabhp7892@gmail.com</v>
      </c>
    </row>
    <row r="2547" spans="1:19" ht="12.5" x14ac:dyDescent="0.25">
      <c r="A2547" s="2">
        <f ca="1">IFERROR(__xludf.DUMMYFUNCTION("""COMPUTED_VALUE"""),45065.5458824189)</f>
        <v>45065.545882418897</v>
      </c>
      <c r="B2547" s="1" t="str">
        <f ca="1">IFERROR(__xludf.DUMMYFUNCTION("""COMPUTED_VALUE"""),"India")</f>
        <v>India</v>
      </c>
      <c r="C2547" s="1">
        <f ca="1">IFERROR(__xludf.DUMMYFUNCTION("""COMPUTED_VALUE"""),415110)</f>
        <v>415110</v>
      </c>
      <c r="D2547" s="1" t="str">
        <f ca="1">IFERROR(__xludf.DUMMYFUNCTION("""COMPUTED_VALUE"""),"Male")</f>
        <v>Male</v>
      </c>
      <c r="E2547" s="1" t="str">
        <f ca="1">IFERROR(__xludf.DUMMYFUNCTION("""COMPUTED_VALUE"""),"People who have changed the world for better")</f>
        <v>People who have changed the world for better</v>
      </c>
      <c r="F2547" s="1" t="str">
        <f ca="1">IFERROR(__xludf.DUMMYFUNCTION("""COMPUTED_VALUE"""),"Yes, I will earn and do that")</f>
        <v>Yes, I will earn and do that</v>
      </c>
      <c r="G2547" s="1" t="str">
        <f ca="1">IFERROR(__xludf.DUMMYFUNCTION("""COMPUTED_VALUE"""),"No way")</f>
        <v>No way</v>
      </c>
      <c r="H2547" s="1" t="str">
        <f ca="1">IFERROR(__xludf.DUMMYFUNCTION("""COMPUTED_VALUE"""),"No")</f>
        <v>No</v>
      </c>
      <c r="I2547" s="1" t="str">
        <f ca="1">IFERROR(__xludf.DUMMYFUNCTION("""COMPUTED_VALUE"""),"Will NOT work for them")</f>
        <v>Will NOT work for them</v>
      </c>
      <c r="J2547" s="1">
        <f ca="1">IFERROR(__xludf.DUMMYFUNCTION("""COMPUTED_VALUE"""),7)</f>
        <v>7</v>
      </c>
      <c r="K2547" s="1" t="str">
        <f ca="1">IFERROR(__xludf.DUMMYFUNCTION("""COMPUTED_VALUE"""),"Fully Remote with Options to travel as and when needed")</f>
        <v>Fully Remote with Options to travel as and when needed</v>
      </c>
      <c r="L2547" s="1" t="str">
        <f ca="1">IFERROR(__xludf.DUMMYFUNCTION("""COMPUTED_VALUE"""),"Employer who appreciates learning and enables that environment")</f>
        <v>Employer who appreciates learning and enables that environment</v>
      </c>
      <c r="M2547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547" s="1" t="str">
        <f ca="1">IFERROR(__xludf.DUMMYFUNCTION("""COMPUTED_VALUE"""),"Business Operations in any organization, Build and develop a Team, I Want to sell things/Sales, Manufacturing / Oil and Gas/ Construction / Hard Physical Work related")</f>
        <v>Business Operations in any organization, Build and develop a Team, I Want to sell things/Sales, Manufacturing / Oil and Gas/ Construction / Hard Physical Work related</v>
      </c>
      <c r="O2547" s="1" t="str">
        <f ca="1">IFERROR(__xludf.DUMMYFUNCTION("""COMPUTED_VALUE"""),"Manager who sets goal and helps me achieve it")</f>
        <v>Manager who sets goal and helps me achieve it</v>
      </c>
      <c r="P2547" s="1" t="str">
        <f ca="1">IFERROR(__xludf.DUMMYFUNCTION("""COMPUTED_VALUE"""),"Work with 7 to 10 or more people in my team")</f>
        <v>Work with 7 to 10 or more people in my team</v>
      </c>
      <c r="Q2547" s="1" t="str">
        <f ca="1">IFERROR(__xludf.DUMMYFUNCTION("""COMPUTED_VALUE"""),"Yes, I Understand this is gonna happen everywhere")</f>
        <v>Yes, I Understand this is gonna happen everywhere</v>
      </c>
      <c r="R2547" s="1" t="str">
        <f ca="1">IFERROR(__xludf.DUMMYFUNCTION("""COMPUTED_VALUE"""),"No way")</f>
        <v>No way</v>
      </c>
      <c r="S2547" s="1" t="str">
        <f ca="1">IFERROR(__xludf.DUMMYFUNCTION("""COMPUTED_VALUE"""),"shahaashay36@gmail.com")</f>
        <v>shahaashay36@gmail.com</v>
      </c>
    </row>
    <row r="2548" spans="1:19" ht="12.5" x14ac:dyDescent="0.25">
      <c r="A2548" s="2">
        <f ca="1">IFERROR(__xludf.DUMMYFUNCTION("""COMPUTED_VALUE"""),45065.5482109722)</f>
        <v>45065.5482109722</v>
      </c>
      <c r="B2548" s="1" t="str">
        <f ca="1">IFERROR(__xludf.DUMMYFUNCTION("""COMPUTED_VALUE"""),"India")</f>
        <v>India</v>
      </c>
      <c r="C2548" s="1">
        <f ca="1">IFERROR(__xludf.DUMMYFUNCTION("""COMPUTED_VALUE"""),411002)</f>
        <v>411002</v>
      </c>
      <c r="D2548" s="1" t="str">
        <f ca="1">IFERROR(__xludf.DUMMYFUNCTION("""COMPUTED_VALUE"""),"Male")</f>
        <v>Male</v>
      </c>
      <c r="E2548" s="1" t="str">
        <f ca="1">IFERROR(__xludf.DUMMYFUNCTION("""COMPUTED_VALUE"""),"My Parents")</f>
        <v>My Parents</v>
      </c>
      <c r="F2548" s="1" t="str">
        <f ca="1">IFERROR(__xludf.DUMMYFUNCTION("""COMPUTED_VALUE"""),"Yes, I will earn and do that")</f>
        <v>Yes, I will earn and do that</v>
      </c>
      <c r="G2548" s="1" t="str">
        <f ca="1">IFERROR(__xludf.DUMMYFUNCTION("""COMPUTED_VALUE"""),"This will be hard to do, but if it is the right company I would try")</f>
        <v>This will be hard to do, but if it is the right company I would try</v>
      </c>
      <c r="H2548" s="1" t="str">
        <f ca="1">IFERROR(__xludf.DUMMYFUNCTION("""COMPUTED_VALUE"""),"Yes")</f>
        <v>Yes</v>
      </c>
      <c r="I2548" s="1" t="str">
        <f ca="1">IFERROR(__xludf.DUMMYFUNCTION("""COMPUTED_VALUE"""),"Will NOT work for them")</f>
        <v>Will NOT work for them</v>
      </c>
      <c r="J2548" s="1">
        <f ca="1">IFERROR(__xludf.DUMMYFUNCTION("""COMPUTED_VALUE"""),9)</f>
        <v>9</v>
      </c>
      <c r="K2548" s="1" t="str">
        <f ca="1">IFERROR(__xludf.DUMMYFUNCTION("""COMPUTED_VALUE"""),"Hybrid Working Environment with more than 15 days a month at office")</f>
        <v>Hybrid Working Environment with more than 15 days a month at office</v>
      </c>
      <c r="L25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4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48" s="1" t="str">
        <f ca="1">IFERROR(__xludf.DUMMYFUNCTION("""COMPUTED_VALUE"""),"Design and Creative strategy in any company, Build and develop a Team, Entrepreneur or Start Up, Manufacturing / Oil and Gas/ Construction / Hard Physical Work related")</f>
        <v>Design and Creative strategy in any company, Build and develop a Team, Entrepreneur or Start Up, Manufacturing / Oil and Gas/ Construction / Hard Physical Work related</v>
      </c>
      <c r="O2548" s="1" t="str">
        <f ca="1">IFERROR(__xludf.DUMMYFUNCTION("""COMPUTED_VALUE"""),"Manager who explains what is expected, sets a goal and helps achieve it")</f>
        <v>Manager who explains what is expected, sets a goal and helps achieve it</v>
      </c>
      <c r="P2548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548" s="1" t="str">
        <f ca="1">IFERROR(__xludf.DUMMYFUNCTION("""COMPUTED_VALUE"""),"Yes, I Understand this is gonna happen everywhere")</f>
        <v>Yes, I Understand this is gonna happen everywhere</v>
      </c>
      <c r="R2548" s="1" t="str">
        <f ca="1">IFERROR(__xludf.DUMMYFUNCTION("""COMPUTED_VALUE"""),"This will be hard to do, but if it is the right company I would try")</f>
        <v>This will be hard to do, but if it is the right company I would try</v>
      </c>
      <c r="S2548" s="1" t="str">
        <f ca="1">IFERROR(__xludf.DUMMYFUNCTION("""COMPUTED_VALUE"""),"goyal.rohan6897@gmail.com")</f>
        <v>goyal.rohan6897@gmail.com</v>
      </c>
    </row>
    <row r="2549" spans="1:19" ht="12.5" x14ac:dyDescent="0.25">
      <c r="A2549" s="2">
        <f ca="1">IFERROR(__xludf.DUMMYFUNCTION("""COMPUTED_VALUE"""),45065.5505831712)</f>
        <v>45065.5505831712</v>
      </c>
      <c r="B2549" s="1" t="str">
        <f ca="1">IFERROR(__xludf.DUMMYFUNCTION("""COMPUTED_VALUE"""),"India")</f>
        <v>India</v>
      </c>
      <c r="C2549" s="1">
        <f ca="1">IFERROR(__xludf.DUMMYFUNCTION("""COMPUTED_VALUE"""),411042)</f>
        <v>411042</v>
      </c>
      <c r="D2549" s="1" t="str">
        <f ca="1">IFERROR(__xludf.DUMMYFUNCTION("""COMPUTED_VALUE"""),"Male")</f>
        <v>Male</v>
      </c>
      <c r="E2549" s="1" t="str">
        <f ca="1">IFERROR(__xludf.DUMMYFUNCTION("""COMPUTED_VALUE"""),"Social Media like LinkedIn")</f>
        <v>Social Media like LinkedIn</v>
      </c>
      <c r="F2549" s="1" t="str">
        <f ca="1">IFERROR(__xludf.DUMMYFUNCTION("""COMPUTED_VALUE"""),"Yes, I will earn and do that")</f>
        <v>Yes, I will earn and do that</v>
      </c>
      <c r="G2549" s="1" t="str">
        <f ca="1">IFERROR(__xludf.DUMMYFUNCTION("""COMPUTED_VALUE"""),"Will work for 3 years or more")</f>
        <v>Will work for 3 years or more</v>
      </c>
      <c r="H2549" s="1" t="str">
        <f ca="1">IFERROR(__xludf.DUMMYFUNCTION("""COMPUTED_VALUE"""),"No")</f>
        <v>No</v>
      </c>
      <c r="I2549" s="1" t="str">
        <f ca="1">IFERROR(__xludf.DUMMYFUNCTION("""COMPUTED_VALUE"""),"Will NOT work for them")</f>
        <v>Will NOT work for them</v>
      </c>
      <c r="J2549" s="1">
        <f ca="1">IFERROR(__xludf.DUMMYFUNCTION("""COMPUTED_VALUE"""),2)</f>
        <v>2</v>
      </c>
      <c r="K2549" s="1" t="str">
        <f ca="1">IFERROR(__xludf.DUMMYFUNCTION("""COMPUTED_VALUE"""),"Hybrid Working Environment with less than 3 days a month at office")</f>
        <v>Hybrid Working Environment with less than 3 days a month at office</v>
      </c>
      <c r="L2549" s="1" t="str">
        <f ca="1">IFERROR(__xludf.DUMMYFUNCTION("""COMPUTED_VALUE"""),"Employer who appreciates learning and enables that environment")</f>
        <v>Employer who appreciates learning and enables that environment</v>
      </c>
      <c r="M254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49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2549" s="1" t="str">
        <f ca="1">IFERROR(__xludf.DUMMYFUNCTION("""COMPUTED_VALUE"""),"Manager who clearly describes what she/he needs")</f>
        <v>Manager who clearly describes what she/he needs</v>
      </c>
      <c r="P2549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549" s="1" t="str">
        <f ca="1">IFERROR(__xludf.DUMMYFUNCTION("""COMPUTED_VALUE"""),"Yes, I Understand this is gonna happen everywhere")</f>
        <v>Yes, I Understand this is gonna happen everywhere</v>
      </c>
      <c r="R2549" s="1" t="str">
        <f ca="1">IFERROR(__xludf.DUMMYFUNCTION("""COMPUTED_VALUE"""),"This will be hard to do, but if it is the right company I would try")</f>
        <v>This will be hard to do, but if it is the right company I would try</v>
      </c>
      <c r="S2549" s="1" t="str">
        <f ca="1">IFERROR(__xludf.DUMMYFUNCTION("""COMPUTED_VALUE"""),"dikshantoswal@gmail.com")</f>
        <v>dikshantoswal@gmail.com</v>
      </c>
    </row>
    <row r="2550" spans="1:19" ht="12.5" x14ac:dyDescent="0.25">
      <c r="A2550" s="2">
        <f ca="1">IFERROR(__xludf.DUMMYFUNCTION("""COMPUTED_VALUE"""),45065.5506260763)</f>
        <v>45065.5506260763</v>
      </c>
      <c r="B2550" s="1" t="str">
        <f ca="1">IFERROR(__xludf.DUMMYFUNCTION("""COMPUTED_VALUE"""),"India")</f>
        <v>India</v>
      </c>
      <c r="C2550" s="1">
        <f ca="1">IFERROR(__xludf.DUMMYFUNCTION("""COMPUTED_VALUE"""),625218)</f>
        <v>625218</v>
      </c>
      <c r="D2550" s="1" t="str">
        <f ca="1">IFERROR(__xludf.DUMMYFUNCTION("""COMPUTED_VALUE"""),"Female")</f>
        <v>Female</v>
      </c>
      <c r="E2550" s="1" t="str">
        <f ca="1">IFERROR(__xludf.DUMMYFUNCTION("""COMPUTED_VALUE"""),"My Parents")</f>
        <v>My Parents</v>
      </c>
      <c r="F2550" s="1" t="str">
        <f ca="1">IFERROR(__xludf.DUMMYFUNCTION("""COMPUTED_VALUE"""),"Yes, I will earn and do that")</f>
        <v>Yes, I will earn and do that</v>
      </c>
      <c r="G2550" s="1" t="str">
        <f ca="1">IFERROR(__xludf.DUMMYFUNCTION("""COMPUTED_VALUE"""),"This will be hard to do, but if it is the right company I would try")</f>
        <v>This will be hard to do, but if it is the right company I would try</v>
      </c>
      <c r="H2550" s="1" t="str">
        <f ca="1">IFERROR(__xludf.DUMMYFUNCTION("""COMPUTED_VALUE"""),"No")</f>
        <v>No</v>
      </c>
      <c r="I2550" s="1" t="str">
        <f ca="1">IFERROR(__xludf.DUMMYFUNCTION("""COMPUTED_VALUE"""),"Will work for them")</f>
        <v>Will work for them</v>
      </c>
      <c r="J2550" s="1">
        <f ca="1">IFERROR(__xludf.DUMMYFUNCTION("""COMPUTED_VALUE"""),7)</f>
        <v>7</v>
      </c>
      <c r="K2550" s="1" t="str">
        <f ca="1">IFERROR(__xludf.DUMMYFUNCTION("""COMPUTED_VALUE"""),"Every Day Office Environment")</f>
        <v>Every Day Office Environment</v>
      </c>
      <c r="L2550" s="1" t="str">
        <f ca="1">IFERROR(__xludf.DUMMYFUNCTION("""COMPUTED_VALUE"""),"Employer who appreciates learning and enables that environment")</f>
        <v>Employer who appreciates learning and enables that environment</v>
      </c>
      <c r="M255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550" s="1" t="str">
        <f ca="1">IFERROR(__xludf.DUMMYFUNCTION("""COMPUTED_VALUE"""),"Design and Creative strategy in any company, Teaching in any of the institutes/colleges/online or offline, Design and Develop amazing software, Become a content Creator in some platform")</f>
        <v>Design and Creative strategy in any company, Teaching in any of the institutes/colleges/online or offline, Design and Develop amazing software, Become a content Creator in some platform</v>
      </c>
      <c r="O2550" s="1" t="str">
        <f ca="1">IFERROR(__xludf.DUMMYFUNCTION("""COMPUTED_VALUE"""),"Manager who explains what is expected, sets a goal and helps achieve it")</f>
        <v>Manager who explains what is expected, sets a goal and helps achieve it</v>
      </c>
      <c r="P2550" s="1" t="str">
        <f ca="1">IFERROR(__xludf.DUMMYFUNCTION("""COMPUTED_VALUE"""),"Work with 2 to 3 people in my team")</f>
        <v>Work with 2 to 3 people in my team</v>
      </c>
      <c r="Q2550" s="1" t="str">
        <f ca="1">IFERROR(__xludf.DUMMYFUNCTION("""COMPUTED_VALUE"""),"Yes, I Understand this is gonna happen everywhere")</f>
        <v>Yes, I Understand this is gonna happen everywhere</v>
      </c>
      <c r="R2550" s="1" t="str">
        <f ca="1">IFERROR(__xludf.DUMMYFUNCTION("""COMPUTED_VALUE"""),"This will be hard to do, but if it is the right company I would try")</f>
        <v>This will be hard to do, but if it is the right company I would try</v>
      </c>
      <c r="S2550" s="1" t="str">
        <f ca="1">IFERROR(__xludf.DUMMYFUNCTION("""COMPUTED_VALUE"""),"sahithya275@gmail.com")</f>
        <v>sahithya275@gmail.com</v>
      </c>
    </row>
    <row r="2551" spans="1:19" ht="12.5" x14ac:dyDescent="0.25">
      <c r="A2551" s="2">
        <f ca="1">IFERROR(__xludf.DUMMYFUNCTION("""COMPUTED_VALUE"""),45065.5514523379)</f>
        <v>45065.551452337902</v>
      </c>
      <c r="B2551" s="1" t="str">
        <f ca="1">IFERROR(__xludf.DUMMYFUNCTION("""COMPUTED_VALUE"""),"India")</f>
        <v>India</v>
      </c>
      <c r="C2551" s="1">
        <f ca="1">IFERROR(__xludf.DUMMYFUNCTION("""COMPUTED_VALUE"""),411048)</f>
        <v>411048</v>
      </c>
      <c r="D2551" s="1" t="str">
        <f ca="1">IFERROR(__xludf.DUMMYFUNCTION("""COMPUTED_VALUE"""),"Male")</f>
        <v>Male</v>
      </c>
      <c r="E2551" s="1" t="str">
        <f ca="1">IFERROR(__xludf.DUMMYFUNCTION("""COMPUTED_VALUE"""),"People from my circle, but not family members")</f>
        <v>People from my circle, but not family members</v>
      </c>
      <c r="F2551" s="1" t="str">
        <f ca="1">IFERROR(__xludf.DUMMYFUNCTION("""COMPUTED_VALUE"""),"Yes, I will earn and do that")</f>
        <v>Yes, I will earn and do that</v>
      </c>
      <c r="G2551" s="1" t="str">
        <f ca="1">IFERROR(__xludf.DUMMYFUNCTION("""COMPUTED_VALUE"""),"No way")</f>
        <v>No way</v>
      </c>
      <c r="H2551" s="1" t="str">
        <f ca="1">IFERROR(__xludf.DUMMYFUNCTION("""COMPUTED_VALUE"""),"No")</f>
        <v>No</v>
      </c>
      <c r="I2551" s="1" t="str">
        <f ca="1">IFERROR(__xludf.DUMMYFUNCTION("""COMPUTED_VALUE"""),"Will NOT work for them")</f>
        <v>Will NOT work for them</v>
      </c>
      <c r="J2551" s="1">
        <f ca="1">IFERROR(__xludf.DUMMYFUNCTION("""COMPUTED_VALUE"""),1)</f>
        <v>1</v>
      </c>
      <c r="K2551" s="1" t="str">
        <f ca="1">IFERROR(__xludf.DUMMYFUNCTION("""COMPUTED_VALUE"""),"Fully Remote with Options to travel as and when needed")</f>
        <v>Fully Remote with Options to travel as and when needed</v>
      </c>
      <c r="L25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5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51" s="1" t="str">
        <f ca="1">IFERROR(__xludf.DUMMYFUNCTION("""COMPUTED_VALUE"""),"Work as a freelancer and do my thing my way, Entrepreneur or Start Up, I Want to sell things/Sales, An Artificial Intelligence Specialist / Talking to Robots")</f>
        <v>Work as a freelancer and do my thing my way, Entrepreneur or Start Up, I Want to sell things/Sales, An Artificial Intelligence Specialist / Talking to Robots</v>
      </c>
      <c r="O2551" s="1" t="str">
        <f ca="1">IFERROR(__xludf.DUMMYFUNCTION("""COMPUTED_VALUE"""),"Manager who sets goal and helps me achieve it")</f>
        <v>Manager who sets goal and helps me achieve it</v>
      </c>
      <c r="P2551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551" s="1" t="str">
        <f ca="1">IFERROR(__xludf.DUMMYFUNCTION("""COMPUTED_VALUE"""),"Yes, I Understand this is gonna happen everywhere")</f>
        <v>Yes, I Understand this is gonna happen everywhere</v>
      </c>
      <c r="R2551" s="1" t="str">
        <f ca="1">IFERROR(__xludf.DUMMYFUNCTION("""COMPUTED_VALUE"""),"No way")</f>
        <v>No way</v>
      </c>
      <c r="S2551" s="1" t="str">
        <f ca="1">IFERROR(__xludf.DUMMYFUNCTION("""COMPUTED_VALUE"""),"neelsakhariya0@gmail.com")</f>
        <v>neelsakhariya0@gmail.com</v>
      </c>
    </row>
    <row r="2552" spans="1:19" ht="12.5" x14ac:dyDescent="0.25">
      <c r="A2552" s="2">
        <f ca="1">IFERROR(__xludf.DUMMYFUNCTION("""COMPUTED_VALUE"""),45065.5534219444)</f>
        <v>45065.553421944402</v>
      </c>
      <c r="B2552" s="1" t="str">
        <f ca="1">IFERROR(__xludf.DUMMYFUNCTION("""COMPUTED_VALUE"""),"India")</f>
        <v>India</v>
      </c>
      <c r="C2552" s="1">
        <f ca="1">IFERROR(__xludf.DUMMYFUNCTION("""COMPUTED_VALUE"""),411037)</f>
        <v>411037</v>
      </c>
      <c r="D2552" s="1" t="str">
        <f ca="1">IFERROR(__xludf.DUMMYFUNCTION("""COMPUTED_VALUE"""),"Male")</f>
        <v>Male</v>
      </c>
      <c r="E2552" s="1" t="str">
        <f ca="1">IFERROR(__xludf.DUMMYFUNCTION("""COMPUTED_VALUE"""),"People who have changed the world for better")</f>
        <v>People who have changed the world for better</v>
      </c>
      <c r="F2552" s="1" t="str">
        <f ca="1">IFERROR(__xludf.DUMMYFUNCTION("""COMPUTED_VALUE"""),"No, But if someone could bare the cost I will")</f>
        <v>No, But if someone could bare the cost I will</v>
      </c>
      <c r="G2552" s="1" t="str">
        <f ca="1">IFERROR(__xludf.DUMMYFUNCTION("""COMPUTED_VALUE"""),"This will be hard to do, but if it is the right company I would try")</f>
        <v>This will be hard to do, but if it is the right company I would try</v>
      </c>
      <c r="H2552" s="1" t="str">
        <f ca="1">IFERROR(__xludf.DUMMYFUNCTION("""COMPUTED_VALUE"""),"Yes")</f>
        <v>Yes</v>
      </c>
      <c r="I2552" s="1" t="str">
        <f ca="1">IFERROR(__xludf.DUMMYFUNCTION("""COMPUTED_VALUE"""),"Will NOT work for them")</f>
        <v>Will NOT work for them</v>
      </c>
      <c r="J2552" s="1">
        <f ca="1">IFERROR(__xludf.DUMMYFUNCTION("""COMPUTED_VALUE"""),3)</f>
        <v>3</v>
      </c>
      <c r="K2552" s="1" t="str">
        <f ca="1">IFERROR(__xludf.DUMMYFUNCTION("""COMPUTED_VALUE"""),"Hybrid Working Environment with less than 3 days a month at office")</f>
        <v>Hybrid Working Environment with less than 3 days a month at office</v>
      </c>
      <c r="L2552" s="1" t="str">
        <f ca="1">IFERROR(__xludf.DUMMYFUNCTION("""COMPUTED_VALUE"""),"Employer who rewards learning and enables that environment")</f>
        <v>Employer who rewards learning and enables that environment</v>
      </c>
      <c r="M2552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552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2552" s="1" t="str">
        <f ca="1">IFERROR(__xludf.DUMMYFUNCTION("""COMPUTED_VALUE"""),"Manager who explains what is expected, sets a goal and helps achieve it")</f>
        <v>Manager who explains what is expected, sets a goal and helps achieve it</v>
      </c>
      <c r="P2552" s="1" t="str">
        <f ca="1">IFERROR(__xludf.DUMMYFUNCTION("""COMPUTED_VALUE"""),"Work with 2 to 3 people in my team")</f>
        <v>Work with 2 to 3 people in my team</v>
      </c>
      <c r="Q2552" s="1" t="str">
        <f ca="1">IFERROR(__xludf.DUMMYFUNCTION("""COMPUTED_VALUE"""),"I have NO other choice")</f>
        <v>I have NO other choice</v>
      </c>
      <c r="R2552" s="1" t="str">
        <f ca="1">IFERROR(__xludf.DUMMYFUNCTION("""COMPUTED_VALUE"""),"This will be hard to do, but if it is the right company I would try")</f>
        <v>This will be hard to do, but if it is the right company I would try</v>
      </c>
      <c r="S2552" s="1" t="str">
        <f ca="1">IFERROR(__xludf.DUMMYFUNCTION("""COMPUTED_VALUE"""),"harshawardhanrathi@gmail.com")</f>
        <v>harshawardhanrathi@gmail.com</v>
      </c>
    </row>
    <row r="2553" spans="1:19" ht="12.5" x14ac:dyDescent="0.25">
      <c r="A2553" s="2">
        <f ca="1">IFERROR(__xludf.DUMMYFUNCTION("""COMPUTED_VALUE"""),45065.5538533912)</f>
        <v>45065.553853391197</v>
      </c>
      <c r="B2553" s="1" t="str">
        <f ca="1">IFERROR(__xludf.DUMMYFUNCTION("""COMPUTED_VALUE"""),"India")</f>
        <v>India</v>
      </c>
      <c r="C2553" s="1">
        <f ca="1">IFERROR(__xludf.DUMMYFUNCTION("""COMPUTED_VALUE"""),560103)</f>
        <v>560103</v>
      </c>
      <c r="D2553" s="1" t="str">
        <f ca="1">IFERROR(__xludf.DUMMYFUNCTION("""COMPUTED_VALUE"""),"Male")</f>
        <v>Male</v>
      </c>
      <c r="E2553" s="1" t="str">
        <f ca="1">IFERROR(__xludf.DUMMYFUNCTION("""COMPUTED_VALUE"""),"People from my circle, but not family members")</f>
        <v>People from my circle, but not family members</v>
      </c>
      <c r="F2553" s="1" t="str">
        <f ca="1">IFERROR(__xludf.DUMMYFUNCTION("""COMPUTED_VALUE"""),"No I would not be pursuing Higher Education outside of India")</f>
        <v>No I would not be pursuing Higher Education outside of India</v>
      </c>
      <c r="G2553" s="1" t="str">
        <f ca="1">IFERROR(__xludf.DUMMYFUNCTION("""COMPUTED_VALUE"""),"This will be hard to do, but if it is the right company I would try")</f>
        <v>This will be hard to do, but if it is the right company I would try</v>
      </c>
      <c r="H2553" s="1" t="str">
        <f ca="1">IFERROR(__xludf.DUMMYFUNCTION("""COMPUTED_VALUE"""),"No")</f>
        <v>No</v>
      </c>
      <c r="I2553" s="1" t="str">
        <f ca="1">IFERROR(__xludf.DUMMYFUNCTION("""COMPUTED_VALUE"""),"Will NOT work for them")</f>
        <v>Will NOT work for them</v>
      </c>
      <c r="J2553" s="1">
        <f ca="1">IFERROR(__xludf.DUMMYFUNCTION("""COMPUTED_VALUE"""),4)</f>
        <v>4</v>
      </c>
      <c r="K2553" s="1" t="str">
        <f ca="1">IFERROR(__xludf.DUMMYFUNCTION("""COMPUTED_VALUE"""),"Hybrid Working Environment with more than 15 days a month at office")</f>
        <v>Hybrid Working Environment with more than 15 days a month at office</v>
      </c>
      <c r="L25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5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53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553" s="1" t="str">
        <f ca="1">IFERROR(__xludf.DUMMYFUNCTION("""COMPUTED_VALUE"""),"Manager who explains what is expected, sets a goal and helps achieve it")</f>
        <v>Manager who explains what is expected, sets a goal and helps achieve it</v>
      </c>
      <c r="P2553" s="1" t="str">
        <f ca="1">IFERROR(__xludf.DUMMYFUNCTION("""COMPUTED_VALUE"""),"Work with 2 to 3 people in my team, Work with 5 to 6 people in my team")</f>
        <v>Work with 2 to 3 people in my team, Work with 5 to 6 people in my team</v>
      </c>
      <c r="Q2553" s="1" t="str">
        <f ca="1">IFERROR(__xludf.DUMMYFUNCTION("""COMPUTED_VALUE"""),"I have NO other choice")</f>
        <v>I have NO other choice</v>
      </c>
      <c r="R2553" s="1" t="str">
        <f ca="1">IFERROR(__xludf.DUMMYFUNCTION("""COMPUTED_VALUE"""),"This will be hard to do, but if it is the right company I would try")</f>
        <v>This will be hard to do, but if it is the right company I would try</v>
      </c>
      <c r="S2553" s="1" t="str">
        <f ca="1">IFERROR(__xludf.DUMMYFUNCTION("""COMPUTED_VALUE"""),"unmesh.bhosale5@gmail.com")</f>
        <v>unmesh.bhosale5@gmail.com</v>
      </c>
    </row>
    <row r="2554" spans="1:19" ht="12.5" x14ac:dyDescent="0.25">
      <c r="A2554" s="2">
        <f ca="1">IFERROR(__xludf.DUMMYFUNCTION("""COMPUTED_VALUE"""),45065.55891603)</f>
        <v>45065.558916030001</v>
      </c>
      <c r="B2554" s="1" t="str">
        <f ca="1">IFERROR(__xludf.DUMMYFUNCTION("""COMPUTED_VALUE"""),"India")</f>
        <v>India</v>
      </c>
      <c r="C2554" s="1">
        <f ca="1">IFERROR(__xludf.DUMMYFUNCTION("""COMPUTED_VALUE"""),413606)</f>
        <v>413606</v>
      </c>
      <c r="D2554" s="1" t="str">
        <f ca="1">IFERROR(__xludf.DUMMYFUNCTION("""COMPUTED_VALUE"""),"Male")</f>
        <v>Male</v>
      </c>
      <c r="E2554" s="1" t="str">
        <f ca="1">IFERROR(__xludf.DUMMYFUNCTION("""COMPUTED_VALUE"""),"People who have changed the world for better")</f>
        <v>People who have changed the world for better</v>
      </c>
      <c r="F2554" s="1" t="str">
        <f ca="1">IFERROR(__xludf.DUMMYFUNCTION("""COMPUTED_VALUE"""),"No I would not be pursuing Higher Education outside of India")</f>
        <v>No I would not be pursuing Higher Education outside of India</v>
      </c>
      <c r="G2554" s="1" t="str">
        <f ca="1">IFERROR(__xludf.DUMMYFUNCTION("""COMPUTED_VALUE"""),"Will work for 3 years or more")</f>
        <v>Will work for 3 years or more</v>
      </c>
      <c r="H2554" s="1" t="str">
        <f ca="1">IFERROR(__xludf.DUMMYFUNCTION("""COMPUTED_VALUE"""),"Yes")</f>
        <v>Yes</v>
      </c>
      <c r="I2554" s="1" t="str">
        <f ca="1">IFERROR(__xludf.DUMMYFUNCTION("""COMPUTED_VALUE"""),"Will NOT work for them")</f>
        <v>Will NOT work for them</v>
      </c>
      <c r="J2554" s="1">
        <f ca="1">IFERROR(__xludf.DUMMYFUNCTION("""COMPUTED_VALUE"""),6)</f>
        <v>6</v>
      </c>
      <c r="K2554" s="1" t="str">
        <f ca="1">IFERROR(__xludf.DUMMYFUNCTION("""COMPUTED_VALUE"""),"Fully Remote with Options to travel as and when needed")</f>
        <v>Fully Remote with Options to travel as and when needed</v>
      </c>
      <c r="L255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5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554" s="1" t="str">
        <f ca="1">IFERROR(__xludf.DUMMYFUNCTION("""COMPUTED_VALUE"""),"Design and Creative strategy in any company, Business Operations in any organization, Build and develop a Team, I Want to sell things/Sales")</f>
        <v>Design and Creative strategy in any company, Business Operations in any organization, Build and develop a Team, I Want to sell things/Sales</v>
      </c>
      <c r="O2554" s="1" t="str">
        <f ca="1">IFERROR(__xludf.DUMMYFUNCTION("""COMPUTED_VALUE"""),"Manager who explains what is expected, sets a goal and helps achieve it")</f>
        <v>Manager who explains what is expected, sets a goal and helps achieve it</v>
      </c>
      <c r="P2554" s="1" t="str">
        <f ca="1">IFERROR(__xludf.DUMMYFUNCTION("""COMPUTED_VALUE"""),"Work with 2 to 3 people in my team")</f>
        <v>Work with 2 to 3 people in my team</v>
      </c>
      <c r="Q2554" s="1" t="str">
        <f ca="1">IFERROR(__xludf.DUMMYFUNCTION("""COMPUTED_VALUE"""),"No")</f>
        <v>No</v>
      </c>
      <c r="R2554" s="1" t="str">
        <f ca="1">IFERROR(__xludf.DUMMYFUNCTION("""COMPUTED_VALUE"""),"This will be hard to do, but if it is the right company I would try")</f>
        <v>This will be hard to do, but if it is the right company I would try</v>
      </c>
      <c r="S2554" s="1" t="str">
        <f ca="1">IFERROR(__xludf.DUMMYFUNCTION("""COMPUTED_VALUE"""),"maneyashvant1998@gmail.com")</f>
        <v>maneyashvant1998@gmail.com</v>
      </c>
    </row>
    <row r="2555" spans="1:19" ht="12.5" x14ac:dyDescent="0.25">
      <c r="A2555" s="2">
        <f ca="1">IFERROR(__xludf.DUMMYFUNCTION("""COMPUTED_VALUE"""),45065.5644758912)</f>
        <v>45065.564475891202</v>
      </c>
      <c r="B2555" s="1" t="str">
        <f ca="1">IFERROR(__xludf.DUMMYFUNCTION("""COMPUTED_VALUE"""),"India")</f>
        <v>India</v>
      </c>
      <c r="C2555" s="1">
        <f ca="1">IFERROR(__xludf.DUMMYFUNCTION("""COMPUTED_VALUE"""),122003)</f>
        <v>122003</v>
      </c>
      <c r="D2555" s="1" t="str">
        <f ca="1">IFERROR(__xludf.DUMMYFUNCTION("""COMPUTED_VALUE"""),"Female")</f>
        <v>Female</v>
      </c>
      <c r="E2555" s="1" t="str">
        <f ca="1">IFERROR(__xludf.DUMMYFUNCTION("""COMPUTED_VALUE"""),"People who have changed the world for better")</f>
        <v>People who have changed the world for better</v>
      </c>
      <c r="F2555" s="1" t="str">
        <f ca="1">IFERROR(__xludf.DUMMYFUNCTION("""COMPUTED_VALUE"""),"No I would not be pursuing Higher Education outside of India")</f>
        <v>No I would not be pursuing Higher Education outside of India</v>
      </c>
      <c r="G2555" s="1" t="str">
        <f ca="1">IFERROR(__xludf.DUMMYFUNCTION("""COMPUTED_VALUE"""),"This will be hard to do, but if it is the right company I would try")</f>
        <v>This will be hard to do, but if it is the right company I would try</v>
      </c>
      <c r="H2555" s="1" t="str">
        <f ca="1">IFERROR(__xludf.DUMMYFUNCTION("""COMPUTED_VALUE"""),"No")</f>
        <v>No</v>
      </c>
      <c r="I2555" s="1" t="str">
        <f ca="1">IFERROR(__xludf.DUMMYFUNCTION("""COMPUTED_VALUE"""),"Will NOT work for them")</f>
        <v>Will NOT work for them</v>
      </c>
      <c r="J2555" s="1">
        <f ca="1">IFERROR(__xludf.DUMMYFUNCTION("""COMPUTED_VALUE"""),5)</f>
        <v>5</v>
      </c>
      <c r="K2555" s="1" t="str">
        <f ca="1">IFERROR(__xludf.DUMMYFUNCTION("""COMPUTED_VALUE"""),"Fully Remote with Options to travel as and when needed")</f>
        <v>Fully Remote with Options to travel as and when needed</v>
      </c>
      <c r="L2555" s="1" t="str">
        <f ca="1">IFERROR(__xludf.DUMMYFUNCTION("""COMPUTED_VALUE"""),"Employer who rewards learning and enables that environment")</f>
        <v>Employer who rewards learning and enables that environment</v>
      </c>
      <c r="M255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555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2555" s="1" t="str">
        <f ca="1">IFERROR(__xludf.DUMMYFUNCTION("""COMPUTED_VALUE"""),"Manager who clearly describes what she/he needs")</f>
        <v>Manager who clearly describes what she/he needs</v>
      </c>
      <c r="P2555" s="1" t="str">
        <f ca="1">IFERROR(__xludf.DUMMYFUNCTION("""COMPUTED_VALUE"""),"Work with 5 to 6 people in my team")</f>
        <v>Work with 5 to 6 people in my team</v>
      </c>
      <c r="Q2555" s="1" t="str">
        <f ca="1">IFERROR(__xludf.DUMMYFUNCTION("""COMPUTED_VALUE"""),"Yes, I Understand this is gonna happen everywhere")</f>
        <v>Yes, I Understand this is gonna happen everywhere</v>
      </c>
      <c r="R2555" s="1" t="str">
        <f ca="1">IFERROR(__xludf.DUMMYFUNCTION("""COMPUTED_VALUE"""),"This will be hard to do, but if it is the right company I would try")</f>
        <v>This will be hard to do, but if it is the right company I would try</v>
      </c>
      <c r="S2555" s="1" t="str">
        <f ca="1">IFERROR(__xludf.DUMMYFUNCTION("""COMPUTED_VALUE"""),"yadavsimran841@gmail.com")</f>
        <v>yadavsimran841@gmail.com</v>
      </c>
    </row>
    <row r="2556" spans="1:19" ht="12.5" x14ac:dyDescent="0.25">
      <c r="A2556" s="2">
        <f ca="1">IFERROR(__xludf.DUMMYFUNCTION("""COMPUTED_VALUE"""),45065.5656410879)</f>
        <v>45065.565641087902</v>
      </c>
      <c r="B2556" s="1" t="str">
        <f ca="1">IFERROR(__xludf.DUMMYFUNCTION("""COMPUTED_VALUE"""),"India")</f>
        <v>India</v>
      </c>
      <c r="C2556" s="1">
        <f ca="1">IFERROR(__xludf.DUMMYFUNCTION("""COMPUTED_VALUE"""),411057)</f>
        <v>411057</v>
      </c>
      <c r="D2556" s="1" t="str">
        <f ca="1">IFERROR(__xludf.DUMMYFUNCTION("""COMPUTED_VALUE"""),"Male")</f>
        <v>Male</v>
      </c>
      <c r="E2556" s="1" t="str">
        <f ca="1">IFERROR(__xludf.DUMMYFUNCTION("""COMPUTED_VALUE"""),"People from my circle, but not family members")</f>
        <v>People from my circle, but not family members</v>
      </c>
      <c r="F2556" s="1" t="str">
        <f ca="1">IFERROR(__xludf.DUMMYFUNCTION("""COMPUTED_VALUE"""),"No I would not be pursuing Higher Education outside of India")</f>
        <v>No I would not be pursuing Higher Education outside of India</v>
      </c>
      <c r="G2556" s="1" t="str">
        <f ca="1">IFERROR(__xludf.DUMMYFUNCTION("""COMPUTED_VALUE"""),"This will be hard to do, but if it is the right company I would try")</f>
        <v>This will be hard to do, but if it is the right company I would try</v>
      </c>
      <c r="H2556" s="1" t="str">
        <f ca="1">IFERROR(__xludf.DUMMYFUNCTION("""COMPUTED_VALUE"""),"No")</f>
        <v>No</v>
      </c>
      <c r="I2556" s="1" t="str">
        <f ca="1">IFERROR(__xludf.DUMMYFUNCTION("""COMPUTED_VALUE"""),"Will NOT work for them")</f>
        <v>Will NOT work for them</v>
      </c>
      <c r="J2556" s="1">
        <f ca="1">IFERROR(__xludf.DUMMYFUNCTION("""COMPUTED_VALUE"""),5)</f>
        <v>5</v>
      </c>
      <c r="K2556" s="1" t="str">
        <f ca="1">IFERROR(__xludf.DUMMYFUNCTION("""COMPUTED_VALUE"""),"Fully Remote with Options to travel as and when needed")</f>
        <v>Fully Remote with Options to travel as and when needed</v>
      </c>
      <c r="L2556" s="1" t="str">
        <f ca="1">IFERROR(__xludf.DUMMYFUNCTION("""COMPUTED_VALUE"""),"Employer who rewards learning and enables that environment")</f>
        <v>Employer who rewards learning and enables that environment</v>
      </c>
      <c r="M255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56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255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56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556" s="1" t="str">
        <f ca="1">IFERROR(__xludf.DUMMYFUNCTION("""COMPUTED_VALUE"""),"No")</f>
        <v>No</v>
      </c>
      <c r="R2556" s="1" t="str">
        <f ca="1">IFERROR(__xludf.DUMMYFUNCTION("""COMPUTED_VALUE"""),"This will be hard to do, but if it is the right company I would try")</f>
        <v>This will be hard to do, but if it is the right company I would try</v>
      </c>
      <c r="S2556" s="1" t="str">
        <f ca="1">IFERROR(__xludf.DUMMYFUNCTION("""COMPUTED_VALUE"""),"animesh.mandal1998@gmail.com")</f>
        <v>animesh.mandal1998@gmail.com</v>
      </c>
    </row>
    <row r="2557" spans="1:19" ht="12.5" x14ac:dyDescent="0.25">
      <c r="A2557" s="2">
        <f ca="1">IFERROR(__xludf.DUMMYFUNCTION("""COMPUTED_VALUE"""),45065.5658039467)</f>
        <v>45065.565803946702</v>
      </c>
      <c r="B2557" s="1" t="str">
        <f ca="1">IFERROR(__xludf.DUMMYFUNCTION("""COMPUTED_VALUE"""),"India")</f>
        <v>India</v>
      </c>
      <c r="C2557" s="1">
        <f ca="1">IFERROR(__xludf.DUMMYFUNCTION("""COMPUTED_VALUE"""),411060)</f>
        <v>411060</v>
      </c>
      <c r="D2557" s="1" t="str">
        <f ca="1">IFERROR(__xludf.DUMMYFUNCTION("""COMPUTED_VALUE"""),"Male")</f>
        <v>Male</v>
      </c>
      <c r="E2557" s="1" t="str">
        <f ca="1">IFERROR(__xludf.DUMMYFUNCTION("""COMPUTED_VALUE"""),"Social Media like LinkedIn")</f>
        <v>Social Media like LinkedIn</v>
      </c>
      <c r="F2557" s="1" t="str">
        <f ca="1">IFERROR(__xludf.DUMMYFUNCTION("""COMPUTED_VALUE"""),"No, But if someone could bare the cost I will")</f>
        <v>No, But if someone could bare the cost I will</v>
      </c>
      <c r="G2557" s="1" t="str">
        <f ca="1">IFERROR(__xludf.DUMMYFUNCTION("""COMPUTED_VALUE"""),"This will be hard to do, but if it is the right company I would try")</f>
        <v>This will be hard to do, but if it is the right company I would try</v>
      </c>
      <c r="H2557" s="1" t="str">
        <f ca="1">IFERROR(__xludf.DUMMYFUNCTION("""COMPUTED_VALUE"""),"No")</f>
        <v>No</v>
      </c>
      <c r="I2557" s="1" t="str">
        <f ca="1">IFERROR(__xludf.DUMMYFUNCTION("""COMPUTED_VALUE"""),"Will NOT work for them")</f>
        <v>Will NOT work for them</v>
      </c>
      <c r="J2557" s="1">
        <f ca="1">IFERROR(__xludf.DUMMYFUNCTION("""COMPUTED_VALUE"""),10)</f>
        <v>10</v>
      </c>
      <c r="K2557" s="1" t="str">
        <f ca="1">IFERROR(__xludf.DUMMYFUNCTION("""COMPUTED_VALUE"""),"Hybrid Working Environment with more than 15 days a month at office")</f>
        <v>Hybrid Working Environment with more than 15 days a month at office</v>
      </c>
      <c r="L2557" s="1" t="str">
        <f ca="1">IFERROR(__xludf.DUMMYFUNCTION("""COMPUTED_VALUE"""),"Employer who rewards learning and enables that environment")</f>
        <v>Employer who rewards learning and enables that environment</v>
      </c>
      <c r="M255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557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557" s="1" t="str">
        <f ca="1">IFERROR(__xludf.DUMMYFUNCTION("""COMPUTED_VALUE"""),"Manager who explains what is expected, sets a goal and helps achieve it")</f>
        <v>Manager who explains what is expected, sets a goal and helps achieve it</v>
      </c>
      <c r="P2557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557" s="1" t="str">
        <f ca="1">IFERROR(__xludf.DUMMYFUNCTION("""COMPUTED_VALUE"""),"No")</f>
        <v>No</v>
      </c>
      <c r="R2557" s="1" t="str">
        <f ca="1">IFERROR(__xludf.DUMMYFUNCTION("""COMPUTED_VALUE"""),"This will be hard to do, but if it is the right company I would try")</f>
        <v>This will be hard to do, but if it is the right company I would try</v>
      </c>
      <c r="S2557" s="1" t="str">
        <f ca="1">IFERROR(__xludf.DUMMYFUNCTION("""COMPUTED_VALUE"""),"hiteshsn35@gmail.com")</f>
        <v>hiteshsn35@gmail.com</v>
      </c>
    </row>
    <row r="2558" spans="1:19" ht="12.5" x14ac:dyDescent="0.25">
      <c r="A2558" s="2">
        <f ca="1">IFERROR(__xludf.DUMMYFUNCTION("""COMPUTED_VALUE"""),45065.569039537)</f>
        <v>45065.569039536997</v>
      </c>
      <c r="B2558" s="1" t="str">
        <f ca="1">IFERROR(__xludf.DUMMYFUNCTION("""COMPUTED_VALUE"""),"India")</f>
        <v>India</v>
      </c>
      <c r="C2558" s="1">
        <f ca="1">IFERROR(__xludf.DUMMYFUNCTION("""COMPUTED_VALUE"""),401107)</f>
        <v>401107</v>
      </c>
      <c r="D2558" s="1" t="str">
        <f ca="1">IFERROR(__xludf.DUMMYFUNCTION("""COMPUTED_VALUE"""),"Male")</f>
        <v>Male</v>
      </c>
      <c r="E2558" s="1" t="str">
        <f ca="1">IFERROR(__xludf.DUMMYFUNCTION("""COMPUTED_VALUE"""),"My Parents")</f>
        <v>My Parents</v>
      </c>
      <c r="F2558" s="1" t="str">
        <f ca="1">IFERROR(__xludf.DUMMYFUNCTION("""COMPUTED_VALUE"""),"Yes, I will earn and do that")</f>
        <v>Yes, I will earn and do that</v>
      </c>
      <c r="G2558" s="1" t="str">
        <f ca="1">IFERROR(__xludf.DUMMYFUNCTION("""COMPUTED_VALUE"""),"This will be hard to do, but if it is the right company I would try")</f>
        <v>This will be hard to do, but if it is the right company I would try</v>
      </c>
      <c r="H2558" s="1" t="str">
        <f ca="1">IFERROR(__xludf.DUMMYFUNCTION("""COMPUTED_VALUE"""),"No")</f>
        <v>No</v>
      </c>
      <c r="I2558" s="1" t="str">
        <f ca="1">IFERROR(__xludf.DUMMYFUNCTION("""COMPUTED_VALUE"""),"Will NOT work for them")</f>
        <v>Will NOT work for them</v>
      </c>
      <c r="J2558" s="1">
        <f ca="1">IFERROR(__xludf.DUMMYFUNCTION("""COMPUTED_VALUE"""),2)</f>
        <v>2</v>
      </c>
      <c r="K2558" s="1" t="str">
        <f ca="1">IFERROR(__xludf.DUMMYFUNCTION("""COMPUTED_VALUE"""),"Fully Remote with Options to travel as and when needed")</f>
        <v>Fully Remote with Options to travel as and when needed</v>
      </c>
      <c r="L25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5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558" s="1" t="str">
        <f ca="1">IFERROR(__xludf.DUMMYFUNCTION("""COMPUTED_VALUE"""),"Design and Creative strategy in any company, Teaching in any of the institutes/colleges/online or offline, Business Operations in any organization, Design and Develop amazing software")</f>
        <v>Design and Creative strategy in any company, Teaching in any of the institutes/colleges/online or offline, Business Operations in any organization, Design and Develop amazing software</v>
      </c>
      <c r="O2558" s="1" t="str">
        <f ca="1">IFERROR(__xludf.DUMMYFUNCTION("""COMPUTED_VALUE"""),"Manager who explains what is expected, sets a goal and helps achieve it")</f>
        <v>Manager who explains what is expected, sets a goal and helps achieve it</v>
      </c>
      <c r="P2558" s="1" t="str">
        <f ca="1">IFERROR(__xludf.DUMMYFUNCTION("""COMPUTED_VALUE"""),"Work with 5 to 6 people in my team")</f>
        <v>Work with 5 to 6 people in my team</v>
      </c>
      <c r="Q2558" s="1" t="str">
        <f ca="1">IFERROR(__xludf.DUMMYFUNCTION("""COMPUTED_VALUE"""),"Yes, I Understand this is gonna happen everywhere")</f>
        <v>Yes, I Understand this is gonna happen everywhere</v>
      </c>
      <c r="R2558" s="1" t="str">
        <f ca="1">IFERROR(__xludf.DUMMYFUNCTION("""COMPUTED_VALUE"""),"This will be hard to do, but if it is the right company I would try")</f>
        <v>This will be hard to do, but if it is the right company I would try</v>
      </c>
      <c r="S2558" s="1" t="str">
        <f ca="1">IFERROR(__xludf.DUMMYFUNCTION("""COMPUTED_VALUE"""),"shaikhmobin2000@gmail.com")</f>
        <v>shaikhmobin2000@gmail.com</v>
      </c>
    </row>
    <row r="2559" spans="1:19" ht="12.5" x14ac:dyDescent="0.25">
      <c r="A2559" s="2">
        <f ca="1">IFERROR(__xludf.DUMMYFUNCTION("""COMPUTED_VALUE"""),45065.5710315856)</f>
        <v>45065.571031585598</v>
      </c>
      <c r="B2559" s="1" t="str">
        <f ca="1">IFERROR(__xludf.DUMMYFUNCTION("""COMPUTED_VALUE"""),"India")</f>
        <v>India</v>
      </c>
      <c r="C2559" s="1">
        <f ca="1">IFERROR(__xludf.DUMMYFUNCTION("""COMPUTED_VALUE"""),411011)</f>
        <v>411011</v>
      </c>
      <c r="D2559" s="1" t="str">
        <f ca="1">IFERROR(__xludf.DUMMYFUNCTION("""COMPUTED_VALUE"""),"Male")</f>
        <v>Male</v>
      </c>
      <c r="E2559" s="1" t="str">
        <f ca="1">IFERROR(__xludf.DUMMYFUNCTION("""COMPUTED_VALUE"""),"People from my circle, but not family members")</f>
        <v>People from my circle, but not family members</v>
      </c>
      <c r="F2559" s="1" t="str">
        <f ca="1">IFERROR(__xludf.DUMMYFUNCTION("""COMPUTED_VALUE"""),"Yes, I will earn and do that")</f>
        <v>Yes, I will earn and do that</v>
      </c>
      <c r="G2559" s="1" t="str">
        <f ca="1">IFERROR(__xludf.DUMMYFUNCTION("""COMPUTED_VALUE"""),"Will work for 3 years or more")</f>
        <v>Will work for 3 years or more</v>
      </c>
      <c r="H2559" s="1" t="str">
        <f ca="1">IFERROR(__xludf.DUMMYFUNCTION("""COMPUTED_VALUE"""),"No")</f>
        <v>No</v>
      </c>
      <c r="I2559" s="1" t="str">
        <f ca="1">IFERROR(__xludf.DUMMYFUNCTION("""COMPUTED_VALUE"""),"Will NOT work for them")</f>
        <v>Will NOT work for them</v>
      </c>
      <c r="J2559" s="1">
        <f ca="1">IFERROR(__xludf.DUMMYFUNCTION("""COMPUTED_VALUE"""),5)</f>
        <v>5</v>
      </c>
      <c r="K2559" s="1" t="str">
        <f ca="1">IFERROR(__xludf.DUMMYFUNCTION("""COMPUTED_VALUE"""),"Every Day Office Environment")</f>
        <v>Every Day Office Environment</v>
      </c>
      <c r="L25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5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59" s="1" t="str">
        <f ca="1">IFERROR(__xludf.DUMMYFUNCTION("""COMPUTED_VALUE"""),"Manage and drive End-to-End Projects or Products, Design and Develop amazing software, Entrepreneur or Start Up, An Artificial Intelligence Specialist / Talking to Robots")</f>
        <v>Manage and drive End-to-End Projects or Products, Design and Develop amazing software, Entrepreneur or Start Up, An Artificial Intelligence Specialist / Talking to Robots</v>
      </c>
      <c r="O2559" s="1" t="str">
        <f ca="1">IFERROR(__xludf.DUMMYFUNCTION("""COMPUTED_VALUE"""),"Manager who explains what is expected, sets a goal and helps achieve it")</f>
        <v>Manager who explains what is expected, sets a goal and helps achieve it</v>
      </c>
      <c r="P2559" s="1" t="str">
        <f ca="1">IFERROR(__xludf.DUMMYFUNCTION("""COMPUTED_VALUE"""),"Work with 2 to 3 people in my team, Work with 5 to 6 people in my team")</f>
        <v>Work with 2 to 3 people in my team, Work with 5 to 6 people in my team</v>
      </c>
      <c r="Q2559" s="1" t="str">
        <f ca="1">IFERROR(__xludf.DUMMYFUNCTION("""COMPUTED_VALUE"""),"No")</f>
        <v>No</v>
      </c>
      <c r="R2559" s="1" t="str">
        <f ca="1">IFERROR(__xludf.DUMMYFUNCTION("""COMPUTED_VALUE"""),"This will be hard to do, but if it is the right company I would try")</f>
        <v>This will be hard to do, but if it is the right company I would try</v>
      </c>
      <c r="S2559" s="1" t="str">
        <f ca="1">IFERROR(__xludf.DUMMYFUNCTION("""COMPUTED_VALUE"""),"sharvil.gujarathi@gmail.com")</f>
        <v>sharvil.gujarathi@gmail.com</v>
      </c>
    </row>
    <row r="2560" spans="1:19" ht="12.5" x14ac:dyDescent="0.25">
      <c r="A2560" s="2">
        <f ca="1">IFERROR(__xludf.DUMMYFUNCTION("""COMPUTED_VALUE"""),45065.5712208912)</f>
        <v>45065.571220891201</v>
      </c>
      <c r="B2560" s="1" t="str">
        <f ca="1">IFERROR(__xludf.DUMMYFUNCTION("""COMPUTED_VALUE"""),"India")</f>
        <v>India</v>
      </c>
      <c r="C2560" s="1">
        <f ca="1">IFERROR(__xludf.DUMMYFUNCTION("""COMPUTED_VALUE"""),122003)</f>
        <v>122003</v>
      </c>
      <c r="D2560" s="1" t="str">
        <f ca="1">IFERROR(__xludf.DUMMYFUNCTION("""COMPUTED_VALUE"""),"Female")</f>
        <v>Female</v>
      </c>
      <c r="E2560" s="1" t="str">
        <f ca="1">IFERROR(__xludf.DUMMYFUNCTION("""COMPUTED_VALUE"""),"My Parents")</f>
        <v>My Parents</v>
      </c>
      <c r="F2560" s="1" t="str">
        <f ca="1">IFERROR(__xludf.DUMMYFUNCTION("""COMPUTED_VALUE"""),"Yes, I will earn and do that")</f>
        <v>Yes, I will earn and do that</v>
      </c>
      <c r="G2560" s="1" t="str">
        <f ca="1">IFERROR(__xludf.DUMMYFUNCTION("""COMPUTED_VALUE"""),"Will work for 3 years or more")</f>
        <v>Will work for 3 years or more</v>
      </c>
      <c r="H2560" s="1" t="str">
        <f ca="1">IFERROR(__xludf.DUMMYFUNCTION("""COMPUTED_VALUE"""),"Yes")</f>
        <v>Yes</v>
      </c>
      <c r="I2560" s="1" t="str">
        <f ca="1">IFERROR(__xludf.DUMMYFUNCTION("""COMPUTED_VALUE"""),"Will NOT work for them")</f>
        <v>Will NOT work for them</v>
      </c>
      <c r="J2560" s="1">
        <f ca="1">IFERROR(__xludf.DUMMYFUNCTION("""COMPUTED_VALUE"""),8)</f>
        <v>8</v>
      </c>
      <c r="K2560" s="1" t="str">
        <f ca="1">IFERROR(__xludf.DUMMYFUNCTION("""COMPUTED_VALUE"""),"Hybrid Working Environment with more than 15 days a month at office")</f>
        <v>Hybrid Working Environment with more than 15 days a month at office</v>
      </c>
      <c r="L2560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560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560" s="1" t="str">
        <f ca="1">IFERROR(__xludf.DUMMYFUNCTION("""COMPUTED_VALUE"""),"Teaching in any of the institutes/colleges/online or offline, Design and Develop amazing software, Become a content Creator in some platform, Manufacturing / Oil and Gas/ Construction / Hard Physical Work related")</f>
        <v>Teaching in any of the institutes/colleges/online or offline, Design and Develop amazing software, Become a content Creator in some platform, Manufacturing / Oil and Gas/ Construction / Hard Physical Work related</v>
      </c>
      <c r="O2560" s="1" t="str">
        <f ca="1">IFERROR(__xludf.DUMMYFUNCTION("""COMPUTED_VALUE"""),"Manager who sets goal and helps me achieve it")</f>
        <v>Manager who sets goal and helps me achieve it</v>
      </c>
      <c r="P2560" s="1" t="str">
        <f ca="1">IFERROR(__xludf.DUMMYFUNCTION("""COMPUTED_VALUE"""),"Work with 5 to 6 people in my team")</f>
        <v>Work with 5 to 6 people in my team</v>
      </c>
      <c r="Q2560" s="1" t="str">
        <f ca="1">IFERROR(__xludf.DUMMYFUNCTION("""COMPUTED_VALUE"""),"No")</f>
        <v>No</v>
      </c>
      <c r="R2560" s="1" t="str">
        <f ca="1">IFERROR(__xludf.DUMMYFUNCTION("""COMPUTED_VALUE"""),"This will be hard to do, but if it is the right company I would try")</f>
        <v>This will be hard to do, but if it is the right company I would try</v>
      </c>
      <c r="S2560" s="1" t="str">
        <f ca="1">IFERROR(__xludf.DUMMYFUNCTION("""COMPUTED_VALUE"""),"himanshiydv1100@gmail.com")</f>
        <v>himanshiydv1100@gmail.com</v>
      </c>
    </row>
    <row r="2561" spans="1:19" ht="12.5" x14ac:dyDescent="0.25">
      <c r="A2561" s="2">
        <f ca="1">IFERROR(__xludf.DUMMYFUNCTION("""COMPUTED_VALUE"""),45065.5712230902)</f>
        <v>45065.571223090199</v>
      </c>
      <c r="B2561" s="1" t="str">
        <f ca="1">IFERROR(__xludf.DUMMYFUNCTION("""COMPUTED_VALUE"""),"India")</f>
        <v>India</v>
      </c>
      <c r="C2561" s="1">
        <f ca="1">IFERROR(__xludf.DUMMYFUNCTION("""COMPUTED_VALUE"""),400093)</f>
        <v>400093</v>
      </c>
      <c r="D2561" s="1" t="str">
        <f ca="1">IFERROR(__xludf.DUMMYFUNCTION("""COMPUTED_VALUE"""),"Male")</f>
        <v>Male</v>
      </c>
      <c r="E2561" s="1" t="str">
        <f ca="1">IFERROR(__xludf.DUMMYFUNCTION("""COMPUTED_VALUE"""),"My Parents")</f>
        <v>My Parents</v>
      </c>
      <c r="F2561" s="1" t="str">
        <f ca="1">IFERROR(__xludf.DUMMYFUNCTION("""COMPUTED_VALUE"""),"No, But if someone could bare the cost I will")</f>
        <v>No, But if someone could bare the cost I will</v>
      </c>
      <c r="G2561" s="1" t="str">
        <f ca="1">IFERROR(__xludf.DUMMYFUNCTION("""COMPUTED_VALUE"""),"This will be hard to do, but if it is the right company I would try")</f>
        <v>This will be hard to do, but if it is the right company I would try</v>
      </c>
      <c r="H2561" s="1" t="str">
        <f ca="1">IFERROR(__xludf.DUMMYFUNCTION("""COMPUTED_VALUE"""),"No")</f>
        <v>No</v>
      </c>
      <c r="I2561" s="1" t="str">
        <f ca="1">IFERROR(__xludf.DUMMYFUNCTION("""COMPUTED_VALUE"""),"Will NOT work for them")</f>
        <v>Will NOT work for them</v>
      </c>
      <c r="J2561" s="1">
        <f ca="1">IFERROR(__xludf.DUMMYFUNCTION("""COMPUTED_VALUE"""),6)</f>
        <v>6</v>
      </c>
      <c r="K2561" s="1" t="str">
        <f ca="1">IFERROR(__xludf.DUMMYFUNCTION("""COMPUTED_VALUE"""),"Hybrid Working Environment with more than 15 days a month at office")</f>
        <v>Hybrid Working Environment with more than 15 days a month at office</v>
      </c>
      <c r="L25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6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61" s="1" t="str">
        <f ca="1">IFERROR(__xludf.DUMMYFUNCTION("""COMPUTED_VALUE"""),"Design and Creative strategy in any company, Business Operations in any organization, Look deeply into Data and generate insights, An Artificial Intelligence Specialist / Talking to Robots")</f>
        <v>Design and Creative strategy in any company, Business Operations in any organization, Look deeply into Data and generate insights, An Artificial Intelligence Specialist / Talking to Robots</v>
      </c>
      <c r="O2561" s="1" t="str">
        <f ca="1">IFERROR(__xludf.DUMMYFUNCTION("""COMPUTED_VALUE"""),"Manager who sets goal and helps me achieve it")</f>
        <v>Manager who sets goal and helps me achieve it</v>
      </c>
      <c r="P2561" s="1" t="str">
        <f ca="1">IFERROR(__xludf.DUMMYFUNCTION("""COMPUTED_VALUE"""),"Work with 2 to 3 people in my team, Work with 5 to 6 people in my team")</f>
        <v>Work with 2 to 3 people in my team, Work with 5 to 6 people in my team</v>
      </c>
      <c r="Q2561" s="1" t="str">
        <f ca="1">IFERROR(__xludf.DUMMYFUNCTION("""COMPUTED_VALUE"""),"Yes, I Understand this is gonna happen everywhere")</f>
        <v>Yes, I Understand this is gonna happen everywhere</v>
      </c>
      <c r="R2561" s="1" t="str">
        <f ca="1">IFERROR(__xludf.DUMMYFUNCTION("""COMPUTED_VALUE"""),"No way")</f>
        <v>No way</v>
      </c>
      <c r="S2561" s="1" t="str">
        <f ca="1">IFERROR(__xludf.DUMMYFUNCTION("""COMPUTED_VALUE"""),"abhisheksalvi369@gmail.com")</f>
        <v>abhisheksalvi369@gmail.com</v>
      </c>
    </row>
    <row r="2562" spans="1:19" ht="12.5" x14ac:dyDescent="0.25">
      <c r="A2562" s="2">
        <f ca="1">IFERROR(__xludf.DUMMYFUNCTION("""COMPUTED_VALUE"""),45065.5811331134)</f>
        <v>45065.581133113403</v>
      </c>
      <c r="B2562" s="1" t="str">
        <f ca="1">IFERROR(__xludf.DUMMYFUNCTION("""COMPUTED_VALUE"""),"India")</f>
        <v>India</v>
      </c>
      <c r="C2562" s="1">
        <f ca="1">IFERROR(__xludf.DUMMYFUNCTION("""COMPUTED_VALUE"""),600016)</f>
        <v>600016</v>
      </c>
      <c r="D2562" s="1" t="str">
        <f ca="1">IFERROR(__xludf.DUMMYFUNCTION("""COMPUTED_VALUE"""),"Male")</f>
        <v>Male</v>
      </c>
      <c r="E2562" s="1" t="str">
        <f ca="1">IFERROR(__xludf.DUMMYFUNCTION("""COMPUTED_VALUE"""),"People who have changed the world for better")</f>
        <v>People who have changed the world for better</v>
      </c>
      <c r="F2562" s="1" t="str">
        <f ca="1">IFERROR(__xludf.DUMMYFUNCTION("""COMPUTED_VALUE"""),"No, But if someone could bare the cost I will")</f>
        <v>No, But if someone could bare the cost I will</v>
      </c>
      <c r="G2562" s="1" t="str">
        <f ca="1">IFERROR(__xludf.DUMMYFUNCTION("""COMPUTED_VALUE"""),"No way")</f>
        <v>No way</v>
      </c>
      <c r="H2562" s="1" t="str">
        <f ca="1">IFERROR(__xludf.DUMMYFUNCTION("""COMPUTED_VALUE"""),"No")</f>
        <v>No</v>
      </c>
      <c r="I2562" s="1" t="str">
        <f ca="1">IFERROR(__xludf.DUMMYFUNCTION("""COMPUTED_VALUE"""),"Will work for them")</f>
        <v>Will work for them</v>
      </c>
      <c r="J2562" s="1">
        <f ca="1">IFERROR(__xludf.DUMMYFUNCTION("""COMPUTED_VALUE"""),2)</f>
        <v>2</v>
      </c>
      <c r="K2562" s="1" t="str">
        <f ca="1">IFERROR(__xludf.DUMMYFUNCTION("""COMPUTED_VALUE"""),"Fully Remote with Options to travel as and when needed")</f>
        <v>Fully Remote with Options to travel as and when needed</v>
      </c>
      <c r="L256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6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62" s="1" t="str">
        <f ca="1">IFERROR(__xludf.DUMMYFUNCTION("""COMPUTED_VALUE"""),"Business Operations in any organization, Work as a freelancer and do my thing my way, Become a content Creator in some platform, Entrepreneur or Start Up")</f>
        <v>Business Operations in any organization, Work as a freelancer and do my thing my way, Become a content Creator in some platform, Entrepreneur or Start Up</v>
      </c>
      <c r="O2562" s="1" t="str">
        <f ca="1">IFERROR(__xludf.DUMMYFUNCTION("""COMPUTED_VALUE"""),"Manager who clearly describes what she/he needs")</f>
        <v>Manager who clearly describes what she/he needs</v>
      </c>
      <c r="P2562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2562" s="1" t="str">
        <f ca="1">IFERROR(__xludf.DUMMYFUNCTION("""COMPUTED_VALUE"""),"Yes, I Understand this is gonna happen everywhere")</f>
        <v>Yes, I Understand this is gonna happen everywhere</v>
      </c>
      <c r="R2562" s="1" t="str">
        <f ca="1">IFERROR(__xludf.DUMMYFUNCTION("""COMPUTED_VALUE"""),"No way")</f>
        <v>No way</v>
      </c>
      <c r="S2562" s="1" t="str">
        <f ca="1">IFERROR(__xludf.DUMMYFUNCTION("""COMPUTED_VALUE"""),"massraju890@gmail.com")</f>
        <v>massraju890@gmail.com</v>
      </c>
    </row>
    <row r="2563" spans="1:19" ht="12.5" x14ac:dyDescent="0.25">
      <c r="A2563" s="2">
        <f ca="1">IFERROR(__xludf.DUMMYFUNCTION("""COMPUTED_VALUE"""),45065.5884595601)</f>
        <v>45065.588459560102</v>
      </c>
      <c r="B2563" s="1" t="str">
        <f ca="1">IFERROR(__xludf.DUMMYFUNCTION("""COMPUTED_VALUE"""),"India")</f>
        <v>India</v>
      </c>
      <c r="C2563" s="1">
        <f ca="1">IFERROR(__xludf.DUMMYFUNCTION("""COMPUTED_VALUE"""),445001)</f>
        <v>445001</v>
      </c>
      <c r="D2563" s="1" t="str">
        <f ca="1">IFERROR(__xludf.DUMMYFUNCTION("""COMPUTED_VALUE"""),"Female")</f>
        <v>Female</v>
      </c>
      <c r="E2563" s="1" t="str">
        <f ca="1">IFERROR(__xludf.DUMMYFUNCTION("""COMPUTED_VALUE"""),"Influencers who had successful careers")</f>
        <v>Influencers who had successful careers</v>
      </c>
      <c r="F2563" s="1" t="str">
        <f ca="1">IFERROR(__xludf.DUMMYFUNCTION("""COMPUTED_VALUE"""),"Yes, I will earn and do that")</f>
        <v>Yes, I will earn and do that</v>
      </c>
      <c r="G2563" s="1" t="str">
        <f ca="1">IFERROR(__xludf.DUMMYFUNCTION("""COMPUTED_VALUE"""),"This will be hard to do, but if it is the right company I would try")</f>
        <v>This will be hard to do, but if it is the right company I would try</v>
      </c>
      <c r="H2563" s="1" t="str">
        <f ca="1">IFERROR(__xludf.DUMMYFUNCTION("""COMPUTED_VALUE"""),"No")</f>
        <v>No</v>
      </c>
      <c r="I2563" s="1" t="str">
        <f ca="1">IFERROR(__xludf.DUMMYFUNCTION("""COMPUTED_VALUE"""),"Will NOT work for them")</f>
        <v>Will NOT work for them</v>
      </c>
      <c r="J2563" s="1">
        <f ca="1">IFERROR(__xludf.DUMMYFUNCTION("""COMPUTED_VALUE"""),1)</f>
        <v>1</v>
      </c>
      <c r="K2563" s="1" t="str">
        <f ca="1">IFERROR(__xludf.DUMMYFUNCTION("""COMPUTED_VALUE"""),"Fully Remote with Options to travel as and when needed")</f>
        <v>Fully Remote with Options to travel as and when needed</v>
      </c>
      <c r="L2563" s="1" t="str">
        <f ca="1">IFERROR(__xludf.DUMMYFUNCTION("""COMPUTED_VALUE"""),"Employer who appreciates learning and enables that environment")</f>
        <v>Employer who appreciates learning and enables that environment</v>
      </c>
      <c r="M2563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563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563" s="1" t="str">
        <f ca="1">IFERROR(__xludf.DUMMYFUNCTION("""COMPUTED_VALUE"""),"Manager who sets goal and helps me achieve it")</f>
        <v>Manager who sets goal and helps me achieve it</v>
      </c>
      <c r="P2563" s="1" t="str">
        <f ca="1">IFERROR(__xludf.DUMMYFUNCTION("""COMPUTED_VALUE"""),"Work with more than 10 people in my team")</f>
        <v>Work with more than 10 people in my team</v>
      </c>
      <c r="Q2563" s="1" t="str">
        <f ca="1">IFERROR(__xludf.DUMMYFUNCTION("""COMPUTED_VALUE"""),"Yes, I Understand this is gonna happen everywhere")</f>
        <v>Yes, I Understand this is gonna happen everywhere</v>
      </c>
      <c r="R2563" s="1" t="str">
        <f ca="1">IFERROR(__xludf.DUMMYFUNCTION("""COMPUTED_VALUE"""),"This will be hard to do, but if it is the right company I would try")</f>
        <v>This will be hard to do, but if it is the right company I would try</v>
      </c>
      <c r="S2563" s="1" t="str">
        <f ca="1">IFERROR(__xludf.DUMMYFUNCTION("""COMPUTED_VALUE"""),"rtjlokhande@gmail.com")</f>
        <v>rtjlokhande@gmail.com</v>
      </c>
    </row>
    <row r="2564" spans="1:19" ht="12.5" x14ac:dyDescent="0.25">
      <c r="A2564" s="2">
        <f ca="1">IFERROR(__xludf.DUMMYFUNCTION("""COMPUTED_VALUE"""),45065.5922784953)</f>
        <v>45065.5922784953</v>
      </c>
      <c r="B2564" s="1" t="str">
        <f ca="1">IFERROR(__xludf.DUMMYFUNCTION("""COMPUTED_VALUE"""),"India")</f>
        <v>India</v>
      </c>
      <c r="C2564" s="1">
        <f ca="1">IFERROR(__xludf.DUMMYFUNCTION("""COMPUTED_VALUE"""),411057)</f>
        <v>411057</v>
      </c>
      <c r="D2564" s="1" t="str">
        <f ca="1">IFERROR(__xludf.DUMMYFUNCTION("""COMPUTED_VALUE"""),"Male")</f>
        <v>Male</v>
      </c>
      <c r="E2564" s="1" t="str">
        <f ca="1">IFERROR(__xludf.DUMMYFUNCTION("""COMPUTED_VALUE"""),"My Parents")</f>
        <v>My Parents</v>
      </c>
      <c r="F2564" s="1" t="str">
        <f ca="1">IFERROR(__xludf.DUMMYFUNCTION("""COMPUTED_VALUE"""),"No, But if someone could bare the cost I will")</f>
        <v>No, But if someone could bare the cost I will</v>
      </c>
      <c r="G2564" s="1" t="str">
        <f ca="1">IFERROR(__xludf.DUMMYFUNCTION("""COMPUTED_VALUE"""),"Will work for 3 years or more")</f>
        <v>Will work for 3 years or more</v>
      </c>
      <c r="H2564" s="1" t="str">
        <f ca="1">IFERROR(__xludf.DUMMYFUNCTION("""COMPUTED_VALUE"""),"No")</f>
        <v>No</v>
      </c>
      <c r="I2564" s="1" t="str">
        <f ca="1">IFERROR(__xludf.DUMMYFUNCTION("""COMPUTED_VALUE"""),"Will NOT work for them")</f>
        <v>Will NOT work for them</v>
      </c>
      <c r="J2564" s="1">
        <f ca="1">IFERROR(__xludf.DUMMYFUNCTION("""COMPUTED_VALUE"""),1)</f>
        <v>1</v>
      </c>
      <c r="K2564" s="1" t="str">
        <f ca="1">IFERROR(__xludf.DUMMYFUNCTION("""COMPUTED_VALUE"""),"Hybrid Working Environment with more than 15 days a month at office")</f>
        <v>Hybrid Working Environment with more than 15 days a month at office</v>
      </c>
      <c r="L256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64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564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564" s="1" t="str">
        <f ca="1">IFERROR(__xludf.DUMMYFUNCTION("""COMPUTED_VALUE"""),"Manager who explains what is expected, sets a goal and helps achieve it")</f>
        <v>Manager who explains what is expected, sets a goal and helps achieve it</v>
      </c>
      <c r="P2564" s="1" t="str">
        <f ca="1">IFERROR(__xludf.DUMMYFUNCTION("""COMPUTED_VALUE"""),"Work with more than 10 people in my team")</f>
        <v>Work with more than 10 people in my team</v>
      </c>
      <c r="Q2564" s="1" t="str">
        <f ca="1">IFERROR(__xludf.DUMMYFUNCTION("""COMPUTED_VALUE"""),"Yes, I Understand this is gonna happen everywhere")</f>
        <v>Yes, I Understand this is gonna happen everywhere</v>
      </c>
      <c r="R2564" s="1" t="str">
        <f ca="1">IFERROR(__xludf.DUMMYFUNCTION("""COMPUTED_VALUE"""),"Will work for 7 years or more")</f>
        <v>Will work for 7 years or more</v>
      </c>
      <c r="S2564" s="1" t="str">
        <f ca="1">IFERROR(__xludf.DUMMYFUNCTION("""COMPUTED_VALUE"""),"petareyash@gmail.com")</f>
        <v>petareyash@gmail.com</v>
      </c>
    </row>
    <row r="2565" spans="1:19" ht="12.5" x14ac:dyDescent="0.25">
      <c r="A2565" s="2">
        <f ca="1">IFERROR(__xludf.DUMMYFUNCTION("""COMPUTED_VALUE"""),45065.5973974537)</f>
        <v>45065.597397453697</v>
      </c>
      <c r="B2565" s="1" t="str">
        <f ca="1">IFERROR(__xludf.DUMMYFUNCTION("""COMPUTED_VALUE"""),"India")</f>
        <v>India</v>
      </c>
      <c r="C2565" s="1">
        <f ca="1">IFERROR(__xludf.DUMMYFUNCTION("""COMPUTED_VALUE"""),445001)</f>
        <v>445001</v>
      </c>
      <c r="D2565" s="1" t="str">
        <f ca="1">IFERROR(__xludf.DUMMYFUNCTION("""COMPUTED_VALUE"""),"Female")</f>
        <v>Female</v>
      </c>
      <c r="E2565" s="1" t="str">
        <f ca="1">IFERROR(__xludf.DUMMYFUNCTION("""COMPUTED_VALUE"""),"My Parents")</f>
        <v>My Parents</v>
      </c>
      <c r="F2565" s="1" t="str">
        <f ca="1">IFERROR(__xludf.DUMMYFUNCTION("""COMPUTED_VALUE"""),"No I would not be pursuing Higher Education outside of India")</f>
        <v>No I would not be pursuing Higher Education outside of India</v>
      </c>
      <c r="G2565" s="1" t="str">
        <f ca="1">IFERROR(__xludf.DUMMYFUNCTION("""COMPUTED_VALUE"""),"This will be hard to do, but if it is the right company I would try")</f>
        <v>This will be hard to do, but if it is the right company I would try</v>
      </c>
      <c r="H2565" s="1" t="str">
        <f ca="1">IFERROR(__xludf.DUMMYFUNCTION("""COMPUTED_VALUE"""),"No")</f>
        <v>No</v>
      </c>
      <c r="I2565" s="1" t="str">
        <f ca="1">IFERROR(__xludf.DUMMYFUNCTION("""COMPUTED_VALUE"""),"Will NOT work for them")</f>
        <v>Will NOT work for them</v>
      </c>
      <c r="J2565" s="1">
        <f ca="1">IFERROR(__xludf.DUMMYFUNCTION("""COMPUTED_VALUE"""),6)</f>
        <v>6</v>
      </c>
      <c r="K2565" s="1" t="str">
        <f ca="1">IFERROR(__xludf.DUMMYFUNCTION("""COMPUTED_VALUE"""),"Every Day Office Environment")</f>
        <v>Every Day Office Environment</v>
      </c>
      <c r="L2565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56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65" s="1" t="str">
        <f ca="1">IFERROR(__xludf.DUMMYFUNCTION("""COMPUTED_VALUE"""),"Design and Creative strategy in any company, Business Operations in any organization, Manage and drive End-to-End Projects or Products, Work in a BPO setup for some well known client")</f>
        <v>Design and Creative strategy in any company, Business Operations in any organization, Manage and drive End-to-End Projects or Products, Work in a BPO setup for some well known client</v>
      </c>
      <c r="O2565" s="1" t="str">
        <f ca="1">IFERROR(__xludf.DUMMYFUNCTION("""COMPUTED_VALUE"""),"Manager who explains what is expected, sets a goal and helps achieve it")</f>
        <v>Manager who explains what is expected, sets a goal and helps achieve it</v>
      </c>
      <c r="P2565" s="1" t="str">
        <f ca="1">IFERROR(__xludf.DUMMYFUNCTION("""COMPUTED_VALUE"""),"Work with 2 to 3 people in my team")</f>
        <v>Work with 2 to 3 people in my team</v>
      </c>
      <c r="Q2565" s="1" t="str">
        <f ca="1">IFERROR(__xludf.DUMMYFUNCTION("""COMPUTED_VALUE"""),"Yes, I Understand this is gonna happen everywhere")</f>
        <v>Yes, I Understand this is gonna happen everywhere</v>
      </c>
      <c r="R2565" s="1" t="str">
        <f ca="1">IFERROR(__xludf.DUMMYFUNCTION("""COMPUTED_VALUE"""),"This will be hard to do, but if it is the right company I would try")</f>
        <v>This will be hard to do, but if it is the right company I would try</v>
      </c>
      <c r="S2565" s="1" t="str">
        <f ca="1">IFERROR(__xludf.DUMMYFUNCTION("""COMPUTED_VALUE"""),"jaishrirathod2000@gmail.com")</f>
        <v>jaishrirathod2000@gmail.com</v>
      </c>
    </row>
    <row r="2566" spans="1:19" ht="12.5" x14ac:dyDescent="0.25">
      <c r="A2566" s="2">
        <f ca="1">IFERROR(__xludf.DUMMYFUNCTION("""COMPUTED_VALUE"""),45065.5979320138)</f>
        <v>45065.597932013799</v>
      </c>
      <c r="B2566" s="1" t="str">
        <f ca="1">IFERROR(__xludf.DUMMYFUNCTION("""COMPUTED_VALUE"""),"India")</f>
        <v>India</v>
      </c>
      <c r="C2566" s="1">
        <f ca="1">IFERROR(__xludf.DUMMYFUNCTION("""COMPUTED_VALUE"""),445001)</f>
        <v>445001</v>
      </c>
      <c r="D2566" s="1" t="str">
        <f ca="1">IFERROR(__xludf.DUMMYFUNCTION("""COMPUTED_VALUE"""),"Female")</f>
        <v>Female</v>
      </c>
      <c r="E2566" s="1" t="str">
        <f ca="1">IFERROR(__xludf.DUMMYFUNCTION("""COMPUTED_VALUE"""),"My Parents")</f>
        <v>My Parents</v>
      </c>
      <c r="F2566" s="1" t="str">
        <f ca="1">IFERROR(__xludf.DUMMYFUNCTION("""COMPUTED_VALUE"""),"Yes, I will earn and do that")</f>
        <v>Yes, I will earn and do that</v>
      </c>
      <c r="G2566" s="1" t="str">
        <f ca="1">IFERROR(__xludf.DUMMYFUNCTION("""COMPUTED_VALUE"""),"This will be hard to do, but if it is the right company I would try")</f>
        <v>This will be hard to do, but if it is the right company I would try</v>
      </c>
      <c r="H2566" s="1" t="str">
        <f ca="1">IFERROR(__xludf.DUMMYFUNCTION("""COMPUTED_VALUE"""),"No")</f>
        <v>No</v>
      </c>
      <c r="I2566" s="1" t="str">
        <f ca="1">IFERROR(__xludf.DUMMYFUNCTION("""COMPUTED_VALUE"""),"Will NOT work for them")</f>
        <v>Will NOT work for them</v>
      </c>
      <c r="J2566" s="1">
        <f ca="1">IFERROR(__xludf.DUMMYFUNCTION("""COMPUTED_VALUE"""),4)</f>
        <v>4</v>
      </c>
      <c r="K2566" s="1" t="str">
        <f ca="1">IFERROR(__xludf.DUMMYFUNCTION("""COMPUTED_VALUE"""),"Every Day Office Environment")</f>
        <v>Every Day Office Environment</v>
      </c>
      <c r="L2566" s="1" t="str">
        <f ca="1">IFERROR(__xludf.DUMMYFUNCTION("""COMPUTED_VALUE"""),"Employer who appreciates learning and enables that environment")</f>
        <v>Employer who appreciates learning and enables that environment</v>
      </c>
      <c r="M256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566" s="1" t="str">
        <f ca="1">IFERROR(__xludf.DUMMYFUNCTION("""COMPUTED_VALUE"""),"Teaching in any of the institutes/colleges/online or offline, Business Operations in any organization, Manage and drive End-to-End Projects or Products, An Artificial Intelligence Specialist / Talking to Robots")</f>
        <v>Teaching in any of the institutes/colleges/online or offline, Business Operations in any organization, Manage and drive End-to-End Projects or Products, An Artificial Intelligence Specialist / Talking to Robots</v>
      </c>
      <c r="O256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66" s="1" t="str">
        <f ca="1">IFERROR(__xludf.DUMMYFUNCTION("""COMPUTED_VALUE"""),"Work alone, Work with 2 to 3 people in my team")</f>
        <v>Work alone, Work with 2 to 3 people in my team</v>
      </c>
      <c r="Q2566" s="1" t="str">
        <f ca="1">IFERROR(__xludf.DUMMYFUNCTION("""COMPUTED_VALUE"""),"Yes, I Understand this is gonna happen everywhere")</f>
        <v>Yes, I Understand this is gonna happen everywhere</v>
      </c>
      <c r="R2566" s="1" t="str">
        <f ca="1">IFERROR(__xludf.DUMMYFUNCTION("""COMPUTED_VALUE"""),"This will be hard to do, but if it is the right company I would try")</f>
        <v>This will be hard to do, but if it is the right company I would try</v>
      </c>
      <c r="S2566" s="1" t="str">
        <f ca="1">IFERROR(__xludf.DUMMYFUNCTION("""COMPUTED_VALUE"""),"apurvabokse1@gmail.com")</f>
        <v>apurvabokse1@gmail.com</v>
      </c>
    </row>
    <row r="2567" spans="1:19" ht="12.5" x14ac:dyDescent="0.25">
      <c r="A2567" s="2">
        <f ca="1">IFERROR(__xludf.DUMMYFUNCTION("""COMPUTED_VALUE"""),45065.6049548032)</f>
        <v>45065.604954803202</v>
      </c>
      <c r="B2567" s="1" t="str">
        <f ca="1">IFERROR(__xludf.DUMMYFUNCTION("""COMPUTED_VALUE"""),"India")</f>
        <v>India</v>
      </c>
      <c r="C2567" s="1">
        <f ca="1">IFERROR(__xludf.DUMMYFUNCTION("""COMPUTED_VALUE"""),410206)</f>
        <v>410206</v>
      </c>
      <c r="D2567" s="1" t="str">
        <f ca="1">IFERROR(__xludf.DUMMYFUNCTION("""COMPUTED_VALUE"""),"Male")</f>
        <v>Male</v>
      </c>
      <c r="E2567" s="1" t="str">
        <f ca="1">IFERROR(__xludf.DUMMYFUNCTION("""COMPUTED_VALUE"""),"Social Media like LinkedIn")</f>
        <v>Social Media like LinkedIn</v>
      </c>
      <c r="F2567" s="1" t="str">
        <f ca="1">IFERROR(__xludf.DUMMYFUNCTION("""COMPUTED_VALUE"""),"No, But if someone could bare the cost I will")</f>
        <v>No, But if someone could bare the cost I will</v>
      </c>
      <c r="G2567" s="1" t="str">
        <f ca="1">IFERROR(__xludf.DUMMYFUNCTION("""COMPUTED_VALUE"""),"This will be hard to do, but if it is the right company I would try")</f>
        <v>This will be hard to do, but if it is the right company I would try</v>
      </c>
      <c r="H2567" s="1" t="str">
        <f ca="1">IFERROR(__xludf.DUMMYFUNCTION("""COMPUTED_VALUE"""),"No")</f>
        <v>No</v>
      </c>
      <c r="I2567" s="1" t="str">
        <f ca="1">IFERROR(__xludf.DUMMYFUNCTION("""COMPUTED_VALUE"""),"Will NOT work for them")</f>
        <v>Will NOT work for them</v>
      </c>
      <c r="J2567" s="1">
        <f ca="1">IFERROR(__xludf.DUMMYFUNCTION("""COMPUTED_VALUE"""),5)</f>
        <v>5</v>
      </c>
      <c r="K2567" s="1" t="str">
        <f ca="1">IFERROR(__xludf.DUMMYFUNCTION("""COMPUTED_VALUE"""),"Hybrid Working Environment with more than 15 days a month at office")</f>
        <v>Hybrid Working Environment with more than 15 days a month at office</v>
      </c>
      <c r="L25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6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67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567" s="1" t="str">
        <f ca="1">IFERROR(__xludf.DUMMYFUNCTION("""COMPUTED_VALUE"""),"Manager who explains what is expected, sets a goal and helps achieve it")</f>
        <v>Manager who explains what is expected, sets a goal and helps achieve it</v>
      </c>
      <c r="P2567" s="1" t="str">
        <f ca="1">IFERROR(__xludf.DUMMYFUNCTION("""COMPUTED_VALUE"""),"Work with 5 to 6 people in my team")</f>
        <v>Work with 5 to 6 people in my team</v>
      </c>
      <c r="Q2567" s="1" t="str">
        <f ca="1">IFERROR(__xludf.DUMMYFUNCTION("""COMPUTED_VALUE"""),"Yes, I Understand this is gonna happen everywhere")</f>
        <v>Yes, I Understand this is gonna happen everywhere</v>
      </c>
      <c r="R2567" s="1" t="str">
        <f ca="1">IFERROR(__xludf.DUMMYFUNCTION("""COMPUTED_VALUE"""),"This will be hard to do, but if it is the right company I would try")</f>
        <v>This will be hard to do, but if it is the right company I would try</v>
      </c>
      <c r="S2567" s="1" t="str">
        <f ca="1">IFERROR(__xludf.DUMMYFUNCTION("""COMPUTED_VALUE"""),"sadafuleshrikant@gmail.com")</f>
        <v>sadafuleshrikant@gmail.com</v>
      </c>
    </row>
    <row r="2568" spans="1:19" ht="12.5" x14ac:dyDescent="0.25">
      <c r="A2568" s="2">
        <f ca="1">IFERROR(__xludf.DUMMYFUNCTION("""COMPUTED_VALUE"""),45065.6085699188)</f>
        <v>45065.608569918899</v>
      </c>
      <c r="B2568" s="1" t="str">
        <f ca="1">IFERROR(__xludf.DUMMYFUNCTION("""COMPUTED_VALUE"""),"India")</f>
        <v>India</v>
      </c>
      <c r="C2568" s="1">
        <f ca="1">IFERROR(__xludf.DUMMYFUNCTION("""COMPUTED_VALUE"""),411004)</f>
        <v>411004</v>
      </c>
      <c r="D2568" s="1" t="str">
        <f ca="1">IFERROR(__xludf.DUMMYFUNCTION("""COMPUTED_VALUE"""),"Male")</f>
        <v>Male</v>
      </c>
      <c r="E2568" s="1" t="str">
        <f ca="1">IFERROR(__xludf.DUMMYFUNCTION("""COMPUTED_VALUE"""),"People from my circle, but not family members")</f>
        <v>People from my circle, but not family members</v>
      </c>
      <c r="F2568" s="1" t="str">
        <f ca="1">IFERROR(__xludf.DUMMYFUNCTION("""COMPUTED_VALUE"""),"Yes, I will earn and do that")</f>
        <v>Yes, I will earn and do that</v>
      </c>
      <c r="G2568" s="1" t="str">
        <f ca="1">IFERROR(__xludf.DUMMYFUNCTION("""COMPUTED_VALUE"""),"This will be hard to do, but if it is the right company I would try")</f>
        <v>This will be hard to do, but if it is the right company I would try</v>
      </c>
      <c r="H2568" s="1" t="str">
        <f ca="1">IFERROR(__xludf.DUMMYFUNCTION("""COMPUTED_VALUE"""),"No")</f>
        <v>No</v>
      </c>
      <c r="I2568" s="1" t="str">
        <f ca="1">IFERROR(__xludf.DUMMYFUNCTION("""COMPUTED_VALUE"""),"Will NOT work for them")</f>
        <v>Will NOT work for them</v>
      </c>
      <c r="J2568" s="1">
        <f ca="1">IFERROR(__xludf.DUMMYFUNCTION("""COMPUTED_VALUE"""),2)</f>
        <v>2</v>
      </c>
      <c r="K2568" s="1" t="str">
        <f ca="1">IFERROR(__xludf.DUMMYFUNCTION("""COMPUTED_VALUE"""),"Hybrid Working Environment with less than 3 days a month at office")</f>
        <v>Hybrid Working Environment with less than 3 days a month at office</v>
      </c>
      <c r="L2568" s="1" t="str">
        <f ca="1">IFERROR(__xludf.DUMMYFUNCTION("""COMPUTED_VALUE"""),"Employer who appreciates learning and enables that environment")</f>
        <v>Employer who appreciates learning and enables that environment</v>
      </c>
      <c r="M2568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568" s="1" t="str">
        <f ca="1">IFERROR(__xludf.DUMMYFUNCTION("""COMPUTED_VALUE"""),"Manage and drive End-to-End Projects or Products, Build and develop a Team, Look deeply into Data and generate insights, An Artificial Intelligence Specialist / Talking to Robots")</f>
        <v>Manage and drive End-to-End Projects or Products, Build and develop a Team, Look deeply into Data and generate insights, An Artificial Intelligence Specialist / Talking to Robots</v>
      </c>
      <c r="O2568" s="1" t="str">
        <f ca="1">IFERROR(__xludf.DUMMYFUNCTION("""COMPUTED_VALUE"""),"Manager who clearly describes what she/he needs")</f>
        <v>Manager who clearly describes what she/he needs</v>
      </c>
      <c r="P2568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568" s="1" t="str">
        <f ca="1">IFERROR(__xludf.DUMMYFUNCTION("""COMPUTED_VALUE"""),"Yes")</f>
        <v>Yes</v>
      </c>
      <c r="R2568" s="1" t="str">
        <f ca="1">IFERROR(__xludf.DUMMYFUNCTION("""COMPUTED_VALUE"""),"No way")</f>
        <v>No way</v>
      </c>
      <c r="S2568" s="1" t="str">
        <f ca="1">IFERROR(__xludf.DUMMYFUNCTION("""COMPUTED_VALUE"""),"chenmay.external@gmail.com")</f>
        <v>chenmay.external@gmail.com</v>
      </c>
    </row>
    <row r="2569" spans="1:19" ht="12.5" x14ac:dyDescent="0.25">
      <c r="A2569" s="2">
        <f ca="1">IFERROR(__xludf.DUMMYFUNCTION("""COMPUTED_VALUE"""),45065.6088476504)</f>
        <v>45065.608847650401</v>
      </c>
      <c r="B2569" s="1" t="str">
        <f ca="1">IFERROR(__xludf.DUMMYFUNCTION("""COMPUTED_VALUE"""),"India")</f>
        <v>India</v>
      </c>
      <c r="C2569" s="1">
        <f ca="1">IFERROR(__xludf.DUMMYFUNCTION("""COMPUTED_VALUE"""),122001)</f>
        <v>122001</v>
      </c>
      <c r="D2569" s="1" t="str">
        <f ca="1">IFERROR(__xludf.DUMMYFUNCTION("""COMPUTED_VALUE"""),"Female")</f>
        <v>Female</v>
      </c>
      <c r="E2569" s="1" t="str">
        <f ca="1">IFERROR(__xludf.DUMMYFUNCTION("""COMPUTED_VALUE"""),"People who have changed the world for better")</f>
        <v>People who have changed the world for better</v>
      </c>
      <c r="F2569" s="1" t="str">
        <f ca="1">IFERROR(__xludf.DUMMYFUNCTION("""COMPUTED_VALUE"""),"Yes, I will earn and do that")</f>
        <v>Yes, I will earn and do that</v>
      </c>
      <c r="G2569" s="1" t="str">
        <f ca="1">IFERROR(__xludf.DUMMYFUNCTION("""COMPUTED_VALUE"""),"Will work for 3 years or more")</f>
        <v>Will work for 3 years or more</v>
      </c>
      <c r="H2569" s="1" t="str">
        <f ca="1">IFERROR(__xludf.DUMMYFUNCTION("""COMPUTED_VALUE"""),"No")</f>
        <v>No</v>
      </c>
      <c r="I2569" s="1" t="str">
        <f ca="1">IFERROR(__xludf.DUMMYFUNCTION("""COMPUTED_VALUE"""),"Will NOT work for them")</f>
        <v>Will NOT work for them</v>
      </c>
      <c r="J2569" s="1">
        <f ca="1">IFERROR(__xludf.DUMMYFUNCTION("""COMPUTED_VALUE"""),8)</f>
        <v>8</v>
      </c>
      <c r="K2569" s="1" t="str">
        <f ca="1">IFERROR(__xludf.DUMMYFUNCTION("""COMPUTED_VALUE"""),"Every Day Office Environment")</f>
        <v>Every Day Office Environment</v>
      </c>
      <c r="L2569" s="1" t="str">
        <f ca="1">IFERROR(__xludf.DUMMYFUNCTION("""COMPUTED_VALUE"""),"Employer who appreciates learning and enables that environment")</f>
        <v>Employer who appreciates learning and enables that environment</v>
      </c>
      <c r="M256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69" s="1" t="str">
        <f ca="1">IFERROR(__xludf.DUMMYFUNCTION("""COMPUTED_VALUE"""),"Design and Creative strategy in any company, Teaching in any of the institutes/colleges/online or offline, Design and Develop amazing software, Look deeply into Data and generate insights")</f>
        <v>Design and Creative strategy in any company, Teaching in any of the institutes/colleges/online or offline, Design and Develop amazing software, Look deeply into Data and generate insights</v>
      </c>
      <c r="O2569" s="1" t="str">
        <f ca="1">IFERROR(__xludf.DUMMYFUNCTION("""COMPUTED_VALUE"""),"Manager who explains what is expected, sets a goal and helps achieve it")</f>
        <v>Manager who explains what is expected, sets a goal and helps achieve it</v>
      </c>
      <c r="P2569" s="1" t="str">
        <f ca="1">IFERROR(__xludf.DUMMYFUNCTION("""COMPUTED_VALUE"""),"Work with 2 to 3 people in my team")</f>
        <v>Work with 2 to 3 people in my team</v>
      </c>
      <c r="Q2569" s="1" t="str">
        <f ca="1">IFERROR(__xludf.DUMMYFUNCTION("""COMPUTED_VALUE"""),"Yes, I Understand this is gonna happen everywhere")</f>
        <v>Yes, I Understand this is gonna happen everywhere</v>
      </c>
      <c r="R2569" s="1" t="str">
        <f ca="1">IFERROR(__xludf.DUMMYFUNCTION("""COMPUTED_VALUE"""),"No way")</f>
        <v>No way</v>
      </c>
      <c r="S2569" s="1" t="str">
        <f ca="1">IFERROR(__xludf.DUMMYFUNCTION("""COMPUTED_VALUE"""),"deepikay234@gmail.com")</f>
        <v>deepikay234@gmail.com</v>
      </c>
    </row>
    <row r="2570" spans="1:19" ht="12.5" x14ac:dyDescent="0.25">
      <c r="A2570" s="2">
        <f ca="1">IFERROR(__xludf.DUMMYFUNCTION("""COMPUTED_VALUE"""),45065.6106224305)</f>
        <v>45065.610622430497</v>
      </c>
      <c r="B2570" s="1" t="str">
        <f ca="1">IFERROR(__xludf.DUMMYFUNCTION("""COMPUTED_VALUE"""),"India")</f>
        <v>India</v>
      </c>
      <c r="C2570" s="1">
        <f ca="1">IFERROR(__xludf.DUMMYFUNCTION("""COMPUTED_VALUE"""),411061)</f>
        <v>411061</v>
      </c>
      <c r="D2570" s="1" t="str">
        <f ca="1">IFERROR(__xludf.DUMMYFUNCTION("""COMPUTED_VALUE"""),"Female")</f>
        <v>Female</v>
      </c>
      <c r="E2570" s="1" t="str">
        <f ca="1">IFERROR(__xludf.DUMMYFUNCTION("""COMPUTED_VALUE"""),"People who have changed the world for better")</f>
        <v>People who have changed the world for better</v>
      </c>
      <c r="F2570" s="1" t="str">
        <f ca="1">IFERROR(__xludf.DUMMYFUNCTION("""COMPUTED_VALUE"""),"No I would not be pursuing Higher Education outside of India")</f>
        <v>No I would not be pursuing Higher Education outside of India</v>
      </c>
      <c r="G2570" s="1" t="str">
        <f ca="1">IFERROR(__xludf.DUMMYFUNCTION("""COMPUTED_VALUE"""),"Will work for 3 years or more")</f>
        <v>Will work for 3 years or more</v>
      </c>
      <c r="H2570" s="1" t="str">
        <f ca="1">IFERROR(__xludf.DUMMYFUNCTION("""COMPUTED_VALUE"""),"No")</f>
        <v>No</v>
      </c>
      <c r="I2570" s="1" t="str">
        <f ca="1">IFERROR(__xludf.DUMMYFUNCTION("""COMPUTED_VALUE"""),"Will NOT work for them")</f>
        <v>Will NOT work for them</v>
      </c>
      <c r="J2570" s="1">
        <f ca="1">IFERROR(__xludf.DUMMYFUNCTION("""COMPUTED_VALUE"""),6)</f>
        <v>6</v>
      </c>
      <c r="K2570" s="1" t="str">
        <f ca="1">IFERROR(__xludf.DUMMYFUNCTION("""COMPUTED_VALUE"""),"Hybrid Working Environment with more than 15 days a month at office")</f>
        <v>Hybrid Working Environment with more than 15 days a month at office</v>
      </c>
      <c r="L2570" s="1" t="str">
        <f ca="1">IFERROR(__xludf.DUMMYFUNCTION("""COMPUTED_VALUE"""),"Employer who appreciates learning and enables that environment")</f>
        <v>Employer who appreciates learning and enables that environment</v>
      </c>
      <c r="M2570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570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2570" s="1" t="str">
        <f ca="1">IFERROR(__xludf.DUMMYFUNCTION("""COMPUTED_VALUE"""),"Manager who explains what is expected, sets a goal and helps achieve it")</f>
        <v>Manager who explains what is expected, sets a goal and helps achieve it</v>
      </c>
      <c r="P2570" s="1" t="str">
        <f ca="1">IFERROR(__xludf.DUMMYFUNCTION("""COMPUTED_VALUE"""),"Work with 7 to 10 or more people in my team")</f>
        <v>Work with 7 to 10 or more people in my team</v>
      </c>
      <c r="Q2570" s="1" t="str">
        <f ca="1">IFERROR(__xludf.DUMMYFUNCTION("""COMPUTED_VALUE"""),"Yes, I Understand this is gonna happen everywhere")</f>
        <v>Yes, I Understand this is gonna happen everywhere</v>
      </c>
      <c r="R2570" s="1" t="str">
        <f ca="1">IFERROR(__xludf.DUMMYFUNCTION("""COMPUTED_VALUE"""),"No way")</f>
        <v>No way</v>
      </c>
      <c r="S2570" s="1" t="str">
        <f ca="1">IFERROR(__xludf.DUMMYFUNCTION("""COMPUTED_VALUE"""),"patil.vidya559@gmail.com")</f>
        <v>patil.vidya559@gmail.com</v>
      </c>
    </row>
    <row r="2571" spans="1:19" ht="12.5" x14ac:dyDescent="0.25">
      <c r="A2571" s="2">
        <f ca="1">IFERROR(__xludf.DUMMYFUNCTION("""COMPUTED_VALUE"""),45065.6145699421)</f>
        <v>45065.614569942103</v>
      </c>
      <c r="B2571" s="1" t="str">
        <f ca="1">IFERROR(__xludf.DUMMYFUNCTION("""COMPUTED_VALUE"""),"India")</f>
        <v>India</v>
      </c>
      <c r="C2571" s="1">
        <f ca="1">IFERROR(__xludf.DUMMYFUNCTION("""COMPUTED_VALUE"""),110077)</f>
        <v>110077</v>
      </c>
      <c r="D2571" s="1" t="str">
        <f ca="1">IFERROR(__xludf.DUMMYFUNCTION("""COMPUTED_VALUE"""),"Male")</f>
        <v>Male</v>
      </c>
      <c r="E2571" s="1" t="str">
        <f ca="1">IFERROR(__xludf.DUMMYFUNCTION("""COMPUTED_VALUE"""),"My Parents")</f>
        <v>My Parents</v>
      </c>
      <c r="F2571" s="1" t="str">
        <f ca="1">IFERROR(__xludf.DUMMYFUNCTION("""COMPUTED_VALUE"""),"No I would not be pursuing Higher Education outside of India")</f>
        <v>No I would not be pursuing Higher Education outside of India</v>
      </c>
      <c r="G2571" s="1" t="str">
        <f ca="1">IFERROR(__xludf.DUMMYFUNCTION("""COMPUTED_VALUE"""),"This will be hard to do, but if it is the right company I would try")</f>
        <v>This will be hard to do, but if it is the right company I would try</v>
      </c>
      <c r="H2571" s="1" t="str">
        <f ca="1">IFERROR(__xludf.DUMMYFUNCTION("""COMPUTED_VALUE"""),"Yes")</f>
        <v>Yes</v>
      </c>
      <c r="I2571" s="1" t="str">
        <f ca="1">IFERROR(__xludf.DUMMYFUNCTION("""COMPUTED_VALUE"""),"Will work for them")</f>
        <v>Will work for them</v>
      </c>
      <c r="J2571" s="1">
        <f ca="1">IFERROR(__xludf.DUMMYFUNCTION("""COMPUTED_VALUE"""),7)</f>
        <v>7</v>
      </c>
      <c r="K2571" s="1" t="str">
        <f ca="1">IFERROR(__xludf.DUMMYFUNCTION("""COMPUTED_VALUE"""),"Fully Remote with Options to travel as and when needed")</f>
        <v>Fully Remote with Options to travel as and when needed</v>
      </c>
      <c r="L25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71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571" s="1" t="str">
        <f ca="1">IFERROR(__xludf.DUMMYFUNCTION("""COMPUTED_VALUE"""),"Design and Creative strategy in any company, Business Operations in any organization, Look deeply into Data and generate insights, Become a content Creator in some platform")</f>
        <v>Design and Creative strategy in any company, Business Operations in any organization, Look deeply into Data and generate insights, Become a content Creator in some platform</v>
      </c>
      <c r="O2571" s="1" t="str">
        <f ca="1">IFERROR(__xludf.DUMMYFUNCTION("""COMPUTED_VALUE"""),"Manager who explains what is expected, sets a goal and helps achieve it")</f>
        <v>Manager who explains what is expected, sets a goal and helps achieve it</v>
      </c>
      <c r="P2571" s="1" t="str">
        <f ca="1">IFERROR(__xludf.DUMMYFUNCTION("""COMPUTED_VALUE"""),"Work with 5 to 6 people in my team")</f>
        <v>Work with 5 to 6 people in my team</v>
      </c>
      <c r="Q2571" s="1" t="str">
        <f ca="1">IFERROR(__xludf.DUMMYFUNCTION("""COMPUTED_VALUE"""),"Yes, I Understand this is gonna happen everywhere")</f>
        <v>Yes, I Understand this is gonna happen everywhere</v>
      </c>
      <c r="R2571" s="1" t="str">
        <f ca="1">IFERROR(__xludf.DUMMYFUNCTION("""COMPUTED_VALUE"""),"This will be hard to do, but if it is the right company I would try")</f>
        <v>This will be hard to do, but if it is the right company I would try</v>
      </c>
      <c r="S2571" s="1" t="str">
        <f ca="1">IFERROR(__xludf.DUMMYFUNCTION("""COMPUTED_VALUE"""),"ankitgodara017@gmail.com")</f>
        <v>ankitgodara017@gmail.com</v>
      </c>
    </row>
    <row r="2572" spans="1:19" ht="12.5" x14ac:dyDescent="0.25">
      <c r="A2572" s="2">
        <f ca="1">IFERROR(__xludf.DUMMYFUNCTION("""COMPUTED_VALUE"""),45065.6251966087)</f>
        <v>45065.6251966087</v>
      </c>
      <c r="B2572" s="1" t="str">
        <f ca="1">IFERROR(__xludf.DUMMYFUNCTION("""COMPUTED_VALUE"""),"India")</f>
        <v>India</v>
      </c>
      <c r="C2572" s="1">
        <f ca="1">IFERROR(__xludf.DUMMYFUNCTION("""COMPUTED_VALUE"""),400090)</f>
        <v>400090</v>
      </c>
      <c r="D2572" s="1" t="str">
        <f ca="1">IFERROR(__xludf.DUMMYFUNCTION("""COMPUTED_VALUE"""),"Female")</f>
        <v>Female</v>
      </c>
      <c r="E2572" s="1" t="str">
        <f ca="1">IFERROR(__xludf.DUMMYFUNCTION("""COMPUTED_VALUE"""),"My Parents")</f>
        <v>My Parents</v>
      </c>
      <c r="F2572" s="1" t="str">
        <f ca="1">IFERROR(__xludf.DUMMYFUNCTION("""COMPUTED_VALUE"""),"No, But if someone could bare the cost I will")</f>
        <v>No, But if someone could bare the cost I will</v>
      </c>
      <c r="G2572" s="1" t="str">
        <f ca="1">IFERROR(__xludf.DUMMYFUNCTION("""COMPUTED_VALUE"""),"This will be hard to do, but if it is the right company I would try")</f>
        <v>This will be hard to do, but if it is the right company I would try</v>
      </c>
      <c r="H2572" s="1" t="str">
        <f ca="1">IFERROR(__xludf.DUMMYFUNCTION("""COMPUTED_VALUE"""),"No")</f>
        <v>No</v>
      </c>
      <c r="I2572" s="1" t="str">
        <f ca="1">IFERROR(__xludf.DUMMYFUNCTION("""COMPUTED_VALUE"""),"Will NOT work for them")</f>
        <v>Will NOT work for them</v>
      </c>
      <c r="J2572" s="1">
        <f ca="1">IFERROR(__xludf.DUMMYFUNCTION("""COMPUTED_VALUE"""),5)</f>
        <v>5</v>
      </c>
      <c r="K2572" s="1" t="str">
        <f ca="1">IFERROR(__xludf.DUMMYFUNCTION("""COMPUTED_VALUE"""),"Fully Remote with Options to travel as and when needed")</f>
        <v>Fully Remote with Options to travel as and when needed</v>
      </c>
      <c r="L2572" s="1" t="str">
        <f ca="1">IFERROR(__xludf.DUMMYFUNCTION("""COMPUTED_VALUE"""),"Employer who appreciates learning and enables that environment")</f>
        <v>Employer who appreciates learning and enables that environment</v>
      </c>
      <c r="M2572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72" s="1" t="str">
        <f ca="1">IFERROR(__xludf.DUMMYFUNCTION("""COMPUTED_VALUE"""),"Business Operations in any organization, Design and Develop amazing software, Become a content Creator in some platform, An Artificial Intelligence Specialist / Talking to Robots")</f>
        <v>Business Operations in any organization, Design and Develop amazing software, Become a content Creator in some platform, An Artificial Intelligence Specialist / Talking to Robots</v>
      </c>
      <c r="O2572" s="1" t="str">
        <f ca="1">IFERROR(__xludf.DUMMYFUNCTION("""COMPUTED_VALUE"""),"Manager who sets goal and helps me achieve it")</f>
        <v>Manager who sets goal and helps me achieve it</v>
      </c>
      <c r="P2572" s="1" t="str">
        <f ca="1">IFERROR(__xludf.DUMMYFUNCTION("""COMPUTED_VALUE"""),"Work with 2 to 3 people in my team")</f>
        <v>Work with 2 to 3 people in my team</v>
      </c>
      <c r="Q2572" s="1" t="str">
        <f ca="1">IFERROR(__xludf.DUMMYFUNCTION("""COMPUTED_VALUE"""),"No")</f>
        <v>No</v>
      </c>
      <c r="R2572" s="1" t="str">
        <f ca="1">IFERROR(__xludf.DUMMYFUNCTION("""COMPUTED_VALUE"""),"No way")</f>
        <v>No way</v>
      </c>
      <c r="S2572" s="1" t="str">
        <f ca="1">IFERROR(__xludf.DUMMYFUNCTION("""COMPUTED_VALUE"""),"sanikashinde101@gmail.com")</f>
        <v>sanikashinde101@gmail.com</v>
      </c>
    </row>
    <row r="2573" spans="1:19" ht="12.5" x14ac:dyDescent="0.25">
      <c r="A2573" s="2">
        <f ca="1">IFERROR(__xludf.DUMMYFUNCTION("""COMPUTED_VALUE"""),45065.6305322916)</f>
        <v>45065.630532291601</v>
      </c>
      <c r="B2573" s="1" t="str">
        <f ca="1">IFERROR(__xludf.DUMMYFUNCTION("""COMPUTED_VALUE"""),"India")</f>
        <v>India</v>
      </c>
      <c r="C2573" s="1">
        <f ca="1">IFERROR(__xludf.DUMMYFUNCTION("""COMPUTED_VALUE"""),400095)</f>
        <v>400095</v>
      </c>
      <c r="D2573" s="1" t="str">
        <f ca="1">IFERROR(__xludf.DUMMYFUNCTION("""COMPUTED_VALUE"""),"Male")</f>
        <v>Male</v>
      </c>
      <c r="E2573" s="1" t="str">
        <f ca="1">IFERROR(__xludf.DUMMYFUNCTION("""COMPUTED_VALUE"""),"My Parents")</f>
        <v>My Parents</v>
      </c>
      <c r="F2573" s="1" t="str">
        <f ca="1">IFERROR(__xludf.DUMMYFUNCTION("""COMPUTED_VALUE"""),"No, But if someone could bare the cost I will")</f>
        <v>No, But if someone could bare the cost I will</v>
      </c>
      <c r="G2573" s="1" t="str">
        <f ca="1">IFERROR(__xludf.DUMMYFUNCTION("""COMPUTED_VALUE"""),"Will work for 3 years or more")</f>
        <v>Will work for 3 years or more</v>
      </c>
      <c r="H2573" s="1" t="str">
        <f ca="1">IFERROR(__xludf.DUMMYFUNCTION("""COMPUTED_VALUE"""),"No")</f>
        <v>No</v>
      </c>
      <c r="I2573" s="1" t="str">
        <f ca="1">IFERROR(__xludf.DUMMYFUNCTION("""COMPUTED_VALUE"""),"Will NOT work for them")</f>
        <v>Will NOT work for them</v>
      </c>
      <c r="J2573" s="1">
        <f ca="1">IFERROR(__xludf.DUMMYFUNCTION("""COMPUTED_VALUE"""),3)</f>
        <v>3</v>
      </c>
      <c r="K2573" s="1" t="str">
        <f ca="1">IFERROR(__xludf.DUMMYFUNCTION("""COMPUTED_VALUE"""),"Every Day Office Environment")</f>
        <v>Every Day Office Environment</v>
      </c>
      <c r="L25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7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73" s="1" t="str">
        <f ca="1">IFERROR(__xludf.DUMMYFUNCTION("""COMPUTED_VALUE"""),"Build and develop a Team, Design and Develop amazing software, Look deeply into Data and generate insights, Work as a freelancer and do my thing my way")</f>
        <v>Build and develop a Team, Design and Develop amazing software, Look deeply into Data and generate insights, Work as a freelancer and do my thing my way</v>
      </c>
      <c r="O2573" s="1" t="str">
        <f ca="1">IFERROR(__xludf.DUMMYFUNCTION("""COMPUTED_VALUE"""),"Manager who sets goal and helps me achieve it")</f>
        <v>Manager who sets goal and helps me achieve it</v>
      </c>
      <c r="P2573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573" s="1" t="str">
        <f ca="1">IFERROR(__xludf.DUMMYFUNCTION("""COMPUTED_VALUE"""),"Yes, I Understand this is gonna happen everywhere")</f>
        <v>Yes, I Understand this is gonna happen everywhere</v>
      </c>
      <c r="R2573" s="1" t="str">
        <f ca="1">IFERROR(__xludf.DUMMYFUNCTION("""COMPUTED_VALUE"""),"This will be hard to do, but if it is the right company I would try")</f>
        <v>This will be hard to do, but if it is the right company I would try</v>
      </c>
      <c r="S2573" s="1" t="str">
        <f ca="1">IFERROR(__xludf.DUMMYFUNCTION("""COMPUTED_VALUE"""),"sayedtahir41@gmail.com")</f>
        <v>sayedtahir41@gmail.com</v>
      </c>
    </row>
    <row r="2574" spans="1:19" ht="12.5" x14ac:dyDescent="0.25">
      <c r="A2574" s="2">
        <f ca="1">IFERROR(__xludf.DUMMYFUNCTION("""COMPUTED_VALUE"""),45065.6418838773)</f>
        <v>45065.641883877302</v>
      </c>
      <c r="B2574" s="1" t="str">
        <f ca="1">IFERROR(__xludf.DUMMYFUNCTION("""COMPUTED_VALUE"""),"India")</f>
        <v>India</v>
      </c>
      <c r="C2574" s="1">
        <f ca="1">IFERROR(__xludf.DUMMYFUNCTION("""COMPUTED_VALUE"""),560016)</f>
        <v>560016</v>
      </c>
      <c r="D2574" s="1" t="str">
        <f ca="1">IFERROR(__xludf.DUMMYFUNCTION("""COMPUTED_VALUE"""),"Male")</f>
        <v>Male</v>
      </c>
      <c r="E2574" s="1" t="str">
        <f ca="1">IFERROR(__xludf.DUMMYFUNCTION("""COMPUTED_VALUE"""),"Influencers who had successful careers")</f>
        <v>Influencers who had successful careers</v>
      </c>
      <c r="F2574" s="1" t="str">
        <f ca="1">IFERROR(__xludf.DUMMYFUNCTION("""COMPUTED_VALUE"""),"No I would not be pursuing Higher Education outside of India")</f>
        <v>No I would not be pursuing Higher Education outside of India</v>
      </c>
      <c r="G2574" s="1" t="str">
        <f ca="1">IFERROR(__xludf.DUMMYFUNCTION("""COMPUTED_VALUE"""),"Will work for 3 years or more")</f>
        <v>Will work for 3 years or more</v>
      </c>
      <c r="H2574" s="1" t="str">
        <f ca="1">IFERROR(__xludf.DUMMYFUNCTION("""COMPUTED_VALUE"""),"No")</f>
        <v>No</v>
      </c>
      <c r="I2574" s="1" t="str">
        <f ca="1">IFERROR(__xludf.DUMMYFUNCTION("""COMPUTED_VALUE"""),"Will NOT work for them")</f>
        <v>Will NOT work for them</v>
      </c>
      <c r="J2574" s="1">
        <f ca="1">IFERROR(__xludf.DUMMYFUNCTION("""COMPUTED_VALUE"""),7)</f>
        <v>7</v>
      </c>
      <c r="K2574" s="1" t="str">
        <f ca="1">IFERROR(__xludf.DUMMYFUNCTION("""COMPUTED_VALUE"""),"Fully Remote with Options to travel as and when needed")</f>
        <v>Fully Remote with Options to travel as and when needed</v>
      </c>
      <c r="L25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7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74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574" s="1" t="str">
        <f ca="1">IFERROR(__xludf.DUMMYFUNCTION("""COMPUTED_VALUE"""),"Manager who clearly describes what she/he needs")</f>
        <v>Manager who clearly describes what she/he needs</v>
      </c>
      <c r="P2574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574" s="1" t="str">
        <f ca="1">IFERROR(__xludf.DUMMYFUNCTION("""COMPUTED_VALUE"""),"Yes")</f>
        <v>Yes</v>
      </c>
      <c r="R2574" s="1" t="str">
        <f ca="1">IFERROR(__xludf.DUMMYFUNCTION("""COMPUTED_VALUE"""),"This will be hard to do, but if it is the right company I would try")</f>
        <v>This will be hard to do, but if it is the right company I would try</v>
      </c>
      <c r="S2574" s="1" t="str">
        <f ca="1">IFERROR(__xludf.DUMMYFUNCTION("""COMPUTED_VALUE"""),"khanadalkerpk@gmail.com")</f>
        <v>khanadalkerpk@gmail.com</v>
      </c>
    </row>
    <row r="2575" spans="1:19" ht="12.5" x14ac:dyDescent="0.25">
      <c r="A2575" s="2">
        <f ca="1">IFERROR(__xludf.DUMMYFUNCTION("""COMPUTED_VALUE"""),45065.6422500694)</f>
        <v>45065.642250069403</v>
      </c>
      <c r="B2575" s="1" t="str">
        <f ca="1">IFERROR(__xludf.DUMMYFUNCTION("""COMPUTED_VALUE"""),"India")</f>
        <v>India</v>
      </c>
      <c r="C2575" s="1">
        <f ca="1">IFERROR(__xludf.DUMMYFUNCTION("""COMPUTED_VALUE"""),431001)</f>
        <v>431001</v>
      </c>
      <c r="D2575" s="1" t="str">
        <f ca="1">IFERROR(__xludf.DUMMYFUNCTION("""COMPUTED_VALUE"""),"Female")</f>
        <v>Female</v>
      </c>
      <c r="E2575" s="1" t="str">
        <f ca="1">IFERROR(__xludf.DUMMYFUNCTION("""COMPUTED_VALUE"""),"Influencers who had successful careers")</f>
        <v>Influencers who had successful careers</v>
      </c>
      <c r="F2575" s="1" t="str">
        <f ca="1">IFERROR(__xludf.DUMMYFUNCTION("""COMPUTED_VALUE"""),"No I would not be pursuing Higher Education outside of India")</f>
        <v>No I would not be pursuing Higher Education outside of India</v>
      </c>
      <c r="G2575" s="1" t="str">
        <f ca="1">IFERROR(__xludf.DUMMYFUNCTION("""COMPUTED_VALUE"""),"This will be hard to do, but if it is the right company I would try")</f>
        <v>This will be hard to do, but if it is the right company I would try</v>
      </c>
      <c r="H2575" s="1" t="str">
        <f ca="1">IFERROR(__xludf.DUMMYFUNCTION("""COMPUTED_VALUE"""),"No")</f>
        <v>No</v>
      </c>
      <c r="I2575" s="1" t="str">
        <f ca="1">IFERROR(__xludf.DUMMYFUNCTION("""COMPUTED_VALUE"""),"Will NOT work for them")</f>
        <v>Will NOT work for them</v>
      </c>
      <c r="J2575" s="1">
        <f ca="1">IFERROR(__xludf.DUMMYFUNCTION("""COMPUTED_VALUE"""),2)</f>
        <v>2</v>
      </c>
      <c r="K2575" s="1" t="str">
        <f ca="1">IFERROR(__xludf.DUMMYFUNCTION("""COMPUTED_VALUE"""),"Every Day Office Environment")</f>
        <v>Every Day Office Environment</v>
      </c>
      <c r="L25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7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75" s="1" t="str">
        <f ca="1">IFERROR(__xludf.DUMMYFUNCTION("""COMPUTED_VALUE"""),"Design and Creative strategy in any company, Manage and drive End-to-End Projects or Products, Build and develop a Team, Become a content Creator in some platform")</f>
        <v>Design and Creative strategy in any company, Manage and drive End-to-End Projects or Products, Build and develop a Team, Become a content Creator in some platform</v>
      </c>
      <c r="O2575" s="1" t="str">
        <f ca="1">IFERROR(__xludf.DUMMYFUNCTION("""COMPUTED_VALUE"""),"Manager who explains what is expected, sets a goal and helps achieve it")</f>
        <v>Manager who explains what is expected, sets a goal and helps achieve it</v>
      </c>
      <c r="P2575" s="1" t="str">
        <f ca="1">IFERROR(__xludf.DUMMYFUNCTION("""COMPUTED_VALUE"""),"Work with 5 to 6 people in my team")</f>
        <v>Work with 5 to 6 people in my team</v>
      </c>
      <c r="Q2575" s="1" t="str">
        <f ca="1">IFERROR(__xludf.DUMMYFUNCTION("""COMPUTED_VALUE"""),"Yes, I Understand this is gonna happen everywhere")</f>
        <v>Yes, I Understand this is gonna happen everywhere</v>
      </c>
      <c r="R2575" s="1" t="str">
        <f ca="1">IFERROR(__xludf.DUMMYFUNCTION("""COMPUTED_VALUE"""),"No way")</f>
        <v>No way</v>
      </c>
      <c r="S2575" s="1" t="str">
        <f ca="1">IFERROR(__xludf.DUMMYFUNCTION("""COMPUTED_VALUE"""),"navyaraparthi18@gmail.com")</f>
        <v>navyaraparthi18@gmail.com</v>
      </c>
    </row>
    <row r="2576" spans="1:19" ht="12.5" x14ac:dyDescent="0.25">
      <c r="A2576" s="2">
        <f ca="1">IFERROR(__xludf.DUMMYFUNCTION("""COMPUTED_VALUE"""),45065.6437554976)</f>
        <v>45065.6437554976</v>
      </c>
      <c r="B2576" s="1" t="str">
        <f ca="1">IFERROR(__xludf.DUMMYFUNCTION("""COMPUTED_VALUE"""),"Germany")</f>
        <v>Germany</v>
      </c>
      <c r="C2576" s="1">
        <f ca="1">IFERROR(__xludf.DUMMYFUNCTION("""COMPUTED_VALUE"""),39108)</f>
        <v>39108</v>
      </c>
      <c r="D2576" s="1" t="str">
        <f ca="1">IFERROR(__xludf.DUMMYFUNCTION("""COMPUTED_VALUE"""),"Male")</f>
        <v>Male</v>
      </c>
      <c r="E2576" s="1" t="str">
        <f ca="1">IFERROR(__xludf.DUMMYFUNCTION("""COMPUTED_VALUE"""),"People who have changed the world for better")</f>
        <v>People who have changed the world for better</v>
      </c>
      <c r="F2576" s="1" t="str">
        <f ca="1">IFERROR(__xludf.DUMMYFUNCTION("""COMPUTED_VALUE"""),"Yes, I will earn and do that")</f>
        <v>Yes, I will earn and do that</v>
      </c>
      <c r="G2576" s="1" t="str">
        <f ca="1">IFERROR(__xludf.DUMMYFUNCTION("""COMPUTED_VALUE"""),"Will work for 3 years or more")</f>
        <v>Will work for 3 years or more</v>
      </c>
      <c r="H2576" s="1" t="str">
        <f ca="1">IFERROR(__xludf.DUMMYFUNCTION("""COMPUTED_VALUE"""),"No")</f>
        <v>No</v>
      </c>
      <c r="I2576" s="1" t="str">
        <f ca="1">IFERROR(__xludf.DUMMYFUNCTION("""COMPUTED_VALUE"""),"Will NOT work for them")</f>
        <v>Will NOT work for them</v>
      </c>
      <c r="J2576" s="1">
        <f ca="1">IFERROR(__xludf.DUMMYFUNCTION("""COMPUTED_VALUE"""),10)</f>
        <v>10</v>
      </c>
      <c r="K2576" s="1" t="str">
        <f ca="1">IFERROR(__xludf.DUMMYFUNCTION("""COMPUTED_VALUE"""),"Fully Remote with Options to travel as and when needed")</f>
        <v>Fully Remote with Options to travel as and when needed</v>
      </c>
      <c r="L257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7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576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57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76" s="1" t="str">
        <f ca="1">IFERROR(__xludf.DUMMYFUNCTION("""COMPUTED_VALUE"""),"Work with 5 to 6 people in my team")</f>
        <v>Work with 5 to 6 people in my team</v>
      </c>
      <c r="Q2576" s="1" t="str">
        <f ca="1">IFERROR(__xludf.DUMMYFUNCTION("""COMPUTED_VALUE"""),"Yes, I Understand this is gonna happen everywhere")</f>
        <v>Yes, I Understand this is gonna happen everywhere</v>
      </c>
      <c r="R2576" s="1" t="str">
        <f ca="1">IFERROR(__xludf.DUMMYFUNCTION("""COMPUTED_VALUE"""),"This will be hard to do, but if it is the right company I would try")</f>
        <v>This will be hard to do, but if it is the right company I would try</v>
      </c>
      <c r="S2576" s="1" t="str">
        <f ca="1">IFERROR(__xludf.DUMMYFUNCTION("""COMPUTED_VALUE"""),"msmanikantarajums@gmail.com")</f>
        <v>msmanikantarajums@gmail.com</v>
      </c>
    </row>
    <row r="2577" spans="1:19" ht="12.5" x14ac:dyDescent="0.25">
      <c r="A2577" s="2">
        <f ca="1">IFERROR(__xludf.DUMMYFUNCTION("""COMPUTED_VALUE"""),45065.644431412)</f>
        <v>45065.644431412002</v>
      </c>
      <c r="B2577" s="1" t="str">
        <f ca="1">IFERROR(__xludf.DUMMYFUNCTION("""COMPUTED_VALUE"""),"India")</f>
        <v>India</v>
      </c>
      <c r="C2577" s="1">
        <f ca="1">IFERROR(__xludf.DUMMYFUNCTION("""COMPUTED_VALUE"""),122102)</f>
        <v>122102</v>
      </c>
      <c r="D2577" s="1" t="str">
        <f ca="1">IFERROR(__xludf.DUMMYFUNCTION("""COMPUTED_VALUE"""),"Male")</f>
        <v>Male</v>
      </c>
      <c r="E2577" s="1" t="str">
        <f ca="1">IFERROR(__xludf.DUMMYFUNCTION("""COMPUTED_VALUE"""),"My Parents")</f>
        <v>My Parents</v>
      </c>
      <c r="F2577" s="1" t="str">
        <f ca="1">IFERROR(__xludf.DUMMYFUNCTION("""COMPUTED_VALUE"""),"Yes, I will earn and do that")</f>
        <v>Yes, I will earn and do that</v>
      </c>
      <c r="G2577" s="1" t="str">
        <f ca="1">IFERROR(__xludf.DUMMYFUNCTION("""COMPUTED_VALUE"""),"Will work for 3 years or more")</f>
        <v>Will work for 3 years or more</v>
      </c>
      <c r="H2577" s="1" t="str">
        <f ca="1">IFERROR(__xludf.DUMMYFUNCTION("""COMPUTED_VALUE"""),"Yes")</f>
        <v>Yes</v>
      </c>
      <c r="I2577" s="1" t="str">
        <f ca="1">IFERROR(__xludf.DUMMYFUNCTION("""COMPUTED_VALUE"""),"Will work for them")</f>
        <v>Will work for them</v>
      </c>
      <c r="J2577" s="1">
        <f ca="1">IFERROR(__xludf.DUMMYFUNCTION("""COMPUTED_VALUE"""),5)</f>
        <v>5</v>
      </c>
      <c r="K2577" s="1" t="str">
        <f ca="1">IFERROR(__xludf.DUMMYFUNCTION("""COMPUTED_VALUE"""),"Hybrid Working Environment with more than 15 days a month at office")</f>
        <v>Hybrid Working Environment with more than 15 days a month at office</v>
      </c>
      <c r="L2577" s="1" t="str">
        <f ca="1">IFERROR(__xludf.DUMMYFUNCTION("""COMPUTED_VALUE"""),"Employer who appreciates learning and enables that environment")</f>
        <v>Employer who appreciates learning and enables that environment</v>
      </c>
      <c r="M257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77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577" s="1" t="str">
        <f ca="1">IFERROR(__xludf.DUMMYFUNCTION("""COMPUTED_VALUE"""),"Manager who clearly describes what she/he needs")</f>
        <v>Manager who clearly describes what she/he needs</v>
      </c>
      <c r="P2577" s="1" t="str">
        <f ca="1">IFERROR(__xludf.DUMMYFUNCTION("""COMPUTED_VALUE"""),"Work with 2 to 3 people in my team")</f>
        <v>Work with 2 to 3 people in my team</v>
      </c>
      <c r="Q2577" s="1" t="str">
        <f ca="1">IFERROR(__xludf.DUMMYFUNCTION("""COMPUTED_VALUE"""),"Yes")</f>
        <v>Yes</v>
      </c>
      <c r="R2577" s="1" t="str">
        <f ca="1">IFERROR(__xludf.DUMMYFUNCTION("""COMPUTED_VALUE"""),"Will work for 7 years or more")</f>
        <v>Will work for 7 years or more</v>
      </c>
      <c r="S2577" s="1" t="str">
        <f ca="1">IFERROR(__xludf.DUMMYFUNCTION("""COMPUTED_VALUE"""),"mohitrohilla9815@gmail.com")</f>
        <v>mohitrohilla9815@gmail.com</v>
      </c>
    </row>
    <row r="2578" spans="1:19" ht="12.5" x14ac:dyDescent="0.25">
      <c r="A2578" s="2">
        <f ca="1">IFERROR(__xludf.DUMMYFUNCTION("""COMPUTED_VALUE"""),45065.6484241203)</f>
        <v>45065.6484241203</v>
      </c>
      <c r="B2578" s="1" t="str">
        <f ca="1">IFERROR(__xludf.DUMMYFUNCTION("""COMPUTED_VALUE"""),"India")</f>
        <v>India</v>
      </c>
      <c r="C2578" s="1">
        <f ca="1">IFERROR(__xludf.DUMMYFUNCTION("""COMPUTED_VALUE"""),500090)</f>
        <v>500090</v>
      </c>
      <c r="D2578" s="1" t="str">
        <f ca="1">IFERROR(__xludf.DUMMYFUNCTION("""COMPUTED_VALUE"""),"Male")</f>
        <v>Male</v>
      </c>
      <c r="E2578" s="1" t="str">
        <f ca="1">IFERROR(__xludf.DUMMYFUNCTION("""COMPUTED_VALUE"""),"My Parents")</f>
        <v>My Parents</v>
      </c>
      <c r="F2578" s="1" t="str">
        <f ca="1">IFERROR(__xludf.DUMMYFUNCTION("""COMPUTED_VALUE"""),"No I would not be pursuing Higher Education outside of India")</f>
        <v>No I would not be pursuing Higher Education outside of India</v>
      </c>
      <c r="G2578" s="1" t="str">
        <f ca="1">IFERROR(__xludf.DUMMYFUNCTION("""COMPUTED_VALUE"""),"This will be hard to do, but if it is the right company I would try")</f>
        <v>This will be hard to do, but if it is the right company I would try</v>
      </c>
      <c r="H2578" s="1" t="str">
        <f ca="1">IFERROR(__xludf.DUMMYFUNCTION("""COMPUTED_VALUE"""),"No")</f>
        <v>No</v>
      </c>
      <c r="I2578" s="1" t="str">
        <f ca="1">IFERROR(__xludf.DUMMYFUNCTION("""COMPUTED_VALUE"""),"Will NOT work for them")</f>
        <v>Will NOT work for them</v>
      </c>
      <c r="J2578" s="1">
        <f ca="1">IFERROR(__xludf.DUMMYFUNCTION("""COMPUTED_VALUE"""),3)</f>
        <v>3</v>
      </c>
      <c r="K2578" s="1" t="str">
        <f ca="1">IFERROR(__xludf.DUMMYFUNCTION("""COMPUTED_VALUE"""),"Fully Remote with Options to travel as and when needed")</f>
        <v>Fully Remote with Options to travel as and when needed</v>
      </c>
      <c r="L25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78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578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578" s="1" t="str">
        <f ca="1">IFERROR(__xludf.DUMMYFUNCTION("""COMPUTED_VALUE"""),"Manager who explains what is expected, sets a goal and helps achieve it")</f>
        <v>Manager who explains what is expected, sets a goal and helps achieve it</v>
      </c>
      <c r="P2578" s="1" t="str">
        <f ca="1">IFERROR(__xludf.DUMMYFUNCTION("""COMPUTED_VALUE"""),"Work with 2 to 3 people in my team")</f>
        <v>Work with 2 to 3 people in my team</v>
      </c>
      <c r="Q2578" s="1" t="str">
        <f ca="1">IFERROR(__xludf.DUMMYFUNCTION("""COMPUTED_VALUE"""),"Yes, I Understand this is gonna happen everywhere")</f>
        <v>Yes, I Understand this is gonna happen everywhere</v>
      </c>
      <c r="R2578" s="1" t="str">
        <f ca="1">IFERROR(__xludf.DUMMYFUNCTION("""COMPUTED_VALUE"""),"This will be hard to do, but if it is the right company I would try")</f>
        <v>This will be hard to do, but if it is the right company I would try</v>
      </c>
      <c r="S2578" s="1" t="str">
        <f ca="1">IFERROR(__xludf.DUMMYFUNCTION("""COMPUTED_VALUE"""),"ranjeethpeddabudi@gmail.com")</f>
        <v>ranjeethpeddabudi@gmail.com</v>
      </c>
    </row>
    <row r="2579" spans="1:19" ht="12.5" x14ac:dyDescent="0.25">
      <c r="A2579" s="2">
        <f ca="1">IFERROR(__xludf.DUMMYFUNCTION("""COMPUTED_VALUE"""),45065.6514427777)</f>
        <v>45065.6514427777</v>
      </c>
      <c r="B2579" s="1" t="str">
        <f ca="1">IFERROR(__xludf.DUMMYFUNCTION("""COMPUTED_VALUE"""),"India")</f>
        <v>India</v>
      </c>
      <c r="C2579" s="1">
        <f ca="1">IFERROR(__xludf.DUMMYFUNCTION("""COMPUTED_VALUE"""),583212)</f>
        <v>583212</v>
      </c>
      <c r="D2579" s="1" t="str">
        <f ca="1">IFERROR(__xludf.DUMMYFUNCTION("""COMPUTED_VALUE"""),"Female")</f>
        <v>Female</v>
      </c>
      <c r="E2579" s="1" t="str">
        <f ca="1">IFERROR(__xludf.DUMMYFUNCTION("""COMPUTED_VALUE"""),"My Parents")</f>
        <v>My Parents</v>
      </c>
      <c r="F2579" s="1" t="str">
        <f ca="1">IFERROR(__xludf.DUMMYFUNCTION("""COMPUTED_VALUE"""),"Yes, I will earn and do that")</f>
        <v>Yes, I will earn and do that</v>
      </c>
      <c r="G2579" s="1" t="str">
        <f ca="1">IFERROR(__xludf.DUMMYFUNCTION("""COMPUTED_VALUE"""),"This will be hard to do, but if it is the right company I would try")</f>
        <v>This will be hard to do, but if it is the right company I would try</v>
      </c>
      <c r="H2579" s="1" t="str">
        <f ca="1">IFERROR(__xludf.DUMMYFUNCTION("""COMPUTED_VALUE"""),"No")</f>
        <v>No</v>
      </c>
      <c r="I2579" s="1" t="str">
        <f ca="1">IFERROR(__xludf.DUMMYFUNCTION("""COMPUTED_VALUE"""),"Will NOT work for them")</f>
        <v>Will NOT work for them</v>
      </c>
      <c r="J2579" s="1">
        <f ca="1">IFERROR(__xludf.DUMMYFUNCTION("""COMPUTED_VALUE"""),6)</f>
        <v>6</v>
      </c>
      <c r="K2579" s="1" t="str">
        <f ca="1">IFERROR(__xludf.DUMMYFUNCTION("""COMPUTED_VALUE"""),"Every Day Office Environment")</f>
        <v>Every Day Office Environment</v>
      </c>
      <c r="L2579" s="1" t="str">
        <f ca="1">IFERROR(__xludf.DUMMYFUNCTION("""COMPUTED_VALUE"""),"Employer who appreciates learning and enables that environment")</f>
        <v>Employer who appreciates learning and enables that environment</v>
      </c>
      <c r="M2579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579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2579" s="1" t="str">
        <f ca="1">IFERROR(__xludf.DUMMYFUNCTION("""COMPUTED_VALUE"""),"Manager who clearly describes what she/he needs")</f>
        <v>Manager who clearly describes what she/he needs</v>
      </c>
      <c r="P2579" s="1" t="str">
        <f ca="1">IFERROR(__xludf.DUMMYFUNCTION("""COMPUTED_VALUE"""),"Work with 2 to 3 people in my team")</f>
        <v>Work with 2 to 3 people in my team</v>
      </c>
      <c r="Q2579" s="1" t="str">
        <f ca="1">IFERROR(__xludf.DUMMYFUNCTION("""COMPUTED_VALUE"""),"I have NO other choice")</f>
        <v>I have NO other choice</v>
      </c>
      <c r="R2579" s="1" t="str">
        <f ca="1">IFERROR(__xludf.DUMMYFUNCTION("""COMPUTED_VALUE"""),"No way")</f>
        <v>No way</v>
      </c>
      <c r="S2579" s="1" t="str">
        <f ca="1">IFERROR(__xludf.DUMMYFUNCTION("""COMPUTED_VALUE"""),"bhomikagangam@gmail.com")</f>
        <v>bhomikagangam@gmail.com</v>
      </c>
    </row>
    <row r="2580" spans="1:19" ht="12.5" x14ac:dyDescent="0.25">
      <c r="A2580" s="2">
        <f ca="1">IFERROR(__xludf.DUMMYFUNCTION("""COMPUTED_VALUE"""),45065.6520479861)</f>
        <v>45065.652047986099</v>
      </c>
      <c r="B2580" s="1" t="str">
        <f ca="1">IFERROR(__xludf.DUMMYFUNCTION("""COMPUTED_VALUE"""),"India")</f>
        <v>India</v>
      </c>
      <c r="C2580" s="1">
        <f ca="1">IFERROR(__xludf.DUMMYFUNCTION("""COMPUTED_VALUE"""),122001)</f>
        <v>122001</v>
      </c>
      <c r="D2580" s="1" t="str">
        <f ca="1">IFERROR(__xludf.DUMMYFUNCTION("""COMPUTED_VALUE"""),"Female")</f>
        <v>Female</v>
      </c>
      <c r="E2580" s="1" t="str">
        <f ca="1">IFERROR(__xludf.DUMMYFUNCTION("""COMPUTED_VALUE"""),"Influencers who had successful careers")</f>
        <v>Influencers who had successful careers</v>
      </c>
      <c r="F2580" s="1" t="str">
        <f ca="1">IFERROR(__xludf.DUMMYFUNCTION("""COMPUTED_VALUE"""),"No I would not be pursuing Higher Education outside of India")</f>
        <v>No I would not be pursuing Higher Education outside of India</v>
      </c>
      <c r="G2580" s="1" t="str">
        <f ca="1">IFERROR(__xludf.DUMMYFUNCTION("""COMPUTED_VALUE"""),"This will be hard to do, but if it is the right company I would try")</f>
        <v>This will be hard to do, but if it is the right company I would try</v>
      </c>
      <c r="H2580" s="1" t="str">
        <f ca="1">IFERROR(__xludf.DUMMYFUNCTION("""COMPUTED_VALUE"""),"No")</f>
        <v>No</v>
      </c>
      <c r="I2580" s="1" t="str">
        <f ca="1">IFERROR(__xludf.DUMMYFUNCTION("""COMPUTED_VALUE"""),"Will NOT work for them")</f>
        <v>Will NOT work for them</v>
      </c>
      <c r="J2580" s="1">
        <f ca="1">IFERROR(__xludf.DUMMYFUNCTION("""COMPUTED_VALUE"""),5)</f>
        <v>5</v>
      </c>
      <c r="K2580" s="1" t="str">
        <f ca="1">IFERROR(__xludf.DUMMYFUNCTION("""COMPUTED_VALUE"""),"Fully Remote with Options to travel as and when needed")</f>
        <v>Fully Remote with Options to travel as and when needed</v>
      </c>
      <c r="L2580" s="1" t="str">
        <f ca="1">IFERROR(__xludf.DUMMYFUNCTION("""COMPUTED_VALUE"""),"Employer who appreciates learning and enables that environment")</f>
        <v>Employer who appreciates learning and enables that environment</v>
      </c>
      <c r="M258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80" s="1" t="str">
        <f ca="1">IFERROR(__xludf.DUMMYFUNCTION("""COMPUTED_VALUE"""),"Design and Creative strategy in any company, Business Operations in any organization, Build and develop a Team, Work as a freelancer and do my thing my way")</f>
        <v>Design and Creative strategy in any company, Business Operations in any organization, Build and develop a Team, Work as a freelancer and do my thing my way</v>
      </c>
      <c r="O2580" s="1" t="str">
        <f ca="1">IFERROR(__xludf.DUMMYFUNCTION("""COMPUTED_VALUE"""),"Manager who explains what is expected, sets a goal and helps achieve it")</f>
        <v>Manager who explains what is expected, sets a goal and helps achieve it</v>
      </c>
      <c r="P2580" s="1" t="str">
        <f ca="1">IFERROR(__xludf.DUMMYFUNCTION("""COMPUTED_VALUE"""),"Work with more than 10 people in my team")</f>
        <v>Work with more than 10 people in my team</v>
      </c>
      <c r="Q2580" s="1" t="str">
        <f ca="1">IFERROR(__xludf.DUMMYFUNCTION("""COMPUTED_VALUE"""),"Yes, I Understand this is gonna happen everywhere")</f>
        <v>Yes, I Understand this is gonna happen everywhere</v>
      </c>
      <c r="R2580" s="1" t="str">
        <f ca="1">IFERROR(__xludf.DUMMYFUNCTION("""COMPUTED_VALUE"""),"This will be hard to do, but if it is the right company I would try")</f>
        <v>This will be hard to do, but if it is the right company I would try</v>
      </c>
      <c r="S2580" s="1" t="str">
        <f ca="1">IFERROR(__xludf.DUMMYFUNCTION("""COMPUTED_VALUE"""),"priyanka.dha.2424@gmail.com")</f>
        <v>priyanka.dha.2424@gmail.com</v>
      </c>
    </row>
    <row r="2581" spans="1:19" ht="12.5" x14ac:dyDescent="0.25">
      <c r="A2581" s="2">
        <f ca="1">IFERROR(__xludf.DUMMYFUNCTION("""COMPUTED_VALUE"""),45065.6614798148)</f>
        <v>45065.6614798148</v>
      </c>
      <c r="B2581" s="1" t="str">
        <f ca="1">IFERROR(__xludf.DUMMYFUNCTION("""COMPUTED_VALUE"""),"India")</f>
        <v>India</v>
      </c>
      <c r="C2581" s="1">
        <f ca="1">IFERROR(__xludf.DUMMYFUNCTION("""COMPUTED_VALUE"""),416002)</f>
        <v>416002</v>
      </c>
      <c r="D2581" s="1" t="str">
        <f ca="1">IFERROR(__xludf.DUMMYFUNCTION("""COMPUTED_VALUE"""),"Male")</f>
        <v>Male</v>
      </c>
      <c r="E2581" s="1" t="str">
        <f ca="1">IFERROR(__xludf.DUMMYFUNCTION("""COMPUTED_VALUE"""),"My Parents")</f>
        <v>My Parents</v>
      </c>
      <c r="F2581" s="1" t="str">
        <f ca="1">IFERROR(__xludf.DUMMYFUNCTION("""COMPUTED_VALUE"""),"Yes, I will earn and do that")</f>
        <v>Yes, I will earn and do that</v>
      </c>
      <c r="G2581" s="1" t="str">
        <f ca="1">IFERROR(__xludf.DUMMYFUNCTION("""COMPUTED_VALUE"""),"Will work for 3 years or more")</f>
        <v>Will work for 3 years or more</v>
      </c>
      <c r="H2581" s="1" t="str">
        <f ca="1">IFERROR(__xludf.DUMMYFUNCTION("""COMPUTED_VALUE"""),"Yes")</f>
        <v>Yes</v>
      </c>
      <c r="I2581" s="1" t="str">
        <f ca="1">IFERROR(__xludf.DUMMYFUNCTION("""COMPUTED_VALUE"""),"Will work for them")</f>
        <v>Will work for them</v>
      </c>
      <c r="J2581" s="1">
        <f ca="1">IFERROR(__xludf.DUMMYFUNCTION("""COMPUTED_VALUE"""),7)</f>
        <v>7</v>
      </c>
      <c r="K2581" s="1" t="str">
        <f ca="1">IFERROR(__xludf.DUMMYFUNCTION("""COMPUTED_VALUE"""),"Every Day Office Environment")</f>
        <v>Every Day Office Environment</v>
      </c>
      <c r="L258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81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581" s="1" t="str">
        <f ca="1">IFERROR(__xludf.DUMMYFUNCTION("""COMPUTED_VALUE"""),"Teaching in any of the institutes/colleges/online or offline, Design and Develop amazing software, Work as a freelancer and do my thing my way, Entrepreneur or Start Up")</f>
        <v>Teaching in any of the institutes/colleges/online or offline, Design and Develop amazing software, Work as a freelancer and do my thing my way, Entrepreneur or Start Up</v>
      </c>
      <c r="O2581" s="1" t="str">
        <f ca="1">IFERROR(__xludf.DUMMYFUNCTION("""COMPUTED_VALUE"""),"Manager who clearly describes what she/he needs")</f>
        <v>Manager who clearly describes what she/he needs</v>
      </c>
      <c r="P2581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581" s="1" t="str">
        <f ca="1">IFERROR(__xludf.DUMMYFUNCTION("""COMPUTED_VALUE"""),"Yes, I Understand this is gonna happen everywhere")</f>
        <v>Yes, I Understand this is gonna happen everywhere</v>
      </c>
      <c r="R2581" s="1" t="str">
        <f ca="1">IFERROR(__xludf.DUMMYFUNCTION("""COMPUTED_VALUE"""),"Will work for 7 years or more")</f>
        <v>Will work for 7 years or more</v>
      </c>
      <c r="S2581" s="1" t="str">
        <f ca="1">IFERROR(__xludf.DUMMYFUNCTION("""COMPUTED_VALUE"""),"sahilvarute9@gmail.com")</f>
        <v>sahilvarute9@gmail.com</v>
      </c>
    </row>
    <row r="2582" spans="1:19" ht="12.5" x14ac:dyDescent="0.25">
      <c r="A2582" s="2">
        <f ca="1">IFERROR(__xludf.DUMMYFUNCTION("""COMPUTED_VALUE"""),45065.6621050115)</f>
        <v>45065.662105011499</v>
      </c>
      <c r="B2582" s="1" t="str">
        <f ca="1">IFERROR(__xludf.DUMMYFUNCTION("""COMPUTED_VALUE"""),"India")</f>
        <v>India</v>
      </c>
      <c r="C2582" s="1">
        <f ca="1">IFERROR(__xludf.DUMMYFUNCTION("""COMPUTED_VALUE"""),411011)</f>
        <v>411011</v>
      </c>
      <c r="D2582" s="1" t="str">
        <f ca="1">IFERROR(__xludf.DUMMYFUNCTION("""COMPUTED_VALUE"""),"Male")</f>
        <v>Male</v>
      </c>
      <c r="E2582" s="1" t="str">
        <f ca="1">IFERROR(__xludf.DUMMYFUNCTION("""COMPUTED_VALUE"""),"Influencers who had successful careers")</f>
        <v>Influencers who had successful careers</v>
      </c>
      <c r="F2582" s="1" t="str">
        <f ca="1">IFERROR(__xludf.DUMMYFUNCTION("""COMPUTED_VALUE"""),"No I would not be pursuing Higher Education outside of India")</f>
        <v>No I would not be pursuing Higher Education outside of India</v>
      </c>
      <c r="G2582" s="1" t="str">
        <f ca="1">IFERROR(__xludf.DUMMYFUNCTION("""COMPUTED_VALUE"""),"This will be hard to do, but if it is the right company I would try")</f>
        <v>This will be hard to do, but if it is the right company I would try</v>
      </c>
      <c r="H2582" s="1" t="str">
        <f ca="1">IFERROR(__xludf.DUMMYFUNCTION("""COMPUTED_VALUE"""),"No")</f>
        <v>No</v>
      </c>
      <c r="I2582" s="1" t="str">
        <f ca="1">IFERROR(__xludf.DUMMYFUNCTION("""COMPUTED_VALUE"""),"Will NOT work for them")</f>
        <v>Will NOT work for them</v>
      </c>
      <c r="J2582" s="1">
        <f ca="1">IFERROR(__xludf.DUMMYFUNCTION("""COMPUTED_VALUE"""),8)</f>
        <v>8</v>
      </c>
      <c r="K2582" s="1" t="str">
        <f ca="1">IFERROR(__xludf.DUMMYFUNCTION("""COMPUTED_VALUE"""),"Every Day Office Environment")</f>
        <v>Every Day Office Environment</v>
      </c>
      <c r="L258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8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82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582" s="1" t="str">
        <f ca="1">IFERROR(__xludf.DUMMYFUNCTION("""COMPUTED_VALUE"""),"Manager who sets targets and expects me to achieve it")</f>
        <v>Manager who sets targets and expects me to achieve it</v>
      </c>
      <c r="P2582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582" s="1" t="str">
        <f ca="1">IFERROR(__xludf.DUMMYFUNCTION("""COMPUTED_VALUE"""),"Yes, I Understand this is gonna happen everywhere")</f>
        <v>Yes, I Understand this is gonna happen everywhere</v>
      </c>
      <c r="R2582" s="1" t="str">
        <f ca="1">IFERROR(__xludf.DUMMYFUNCTION("""COMPUTED_VALUE"""),"This will be hard to do, but if it is the right company I would try")</f>
        <v>This will be hard to do, but if it is the right company I would try</v>
      </c>
      <c r="S2582" s="1" t="str">
        <f ca="1">IFERROR(__xludf.DUMMYFUNCTION("""COMPUTED_VALUE"""),"agarwalritesh70@gmail.com")</f>
        <v>agarwalritesh70@gmail.com</v>
      </c>
    </row>
    <row r="2583" spans="1:19" ht="12.5" x14ac:dyDescent="0.25">
      <c r="A2583" s="2">
        <f ca="1">IFERROR(__xludf.DUMMYFUNCTION("""COMPUTED_VALUE"""),45065.6624420833)</f>
        <v>45065.662442083303</v>
      </c>
      <c r="B2583" s="1" t="str">
        <f ca="1">IFERROR(__xludf.DUMMYFUNCTION("""COMPUTED_VALUE"""),"India")</f>
        <v>India</v>
      </c>
      <c r="C2583" s="1">
        <f ca="1">IFERROR(__xludf.DUMMYFUNCTION("""COMPUTED_VALUE"""),431003)</f>
        <v>431003</v>
      </c>
      <c r="D2583" s="1" t="str">
        <f ca="1">IFERROR(__xludf.DUMMYFUNCTION("""COMPUTED_VALUE"""),"Female")</f>
        <v>Female</v>
      </c>
      <c r="E2583" s="1" t="str">
        <f ca="1">IFERROR(__xludf.DUMMYFUNCTION("""COMPUTED_VALUE"""),"My Parents")</f>
        <v>My Parents</v>
      </c>
      <c r="F2583" s="1" t="str">
        <f ca="1">IFERROR(__xludf.DUMMYFUNCTION("""COMPUTED_VALUE"""),"Yes, I will earn and do that")</f>
        <v>Yes, I will earn and do that</v>
      </c>
      <c r="G2583" s="1" t="str">
        <f ca="1">IFERROR(__xludf.DUMMYFUNCTION("""COMPUTED_VALUE"""),"This will be hard to do, but if it is the right company I would try")</f>
        <v>This will be hard to do, but if it is the right company I would try</v>
      </c>
      <c r="H2583" s="1" t="str">
        <f ca="1">IFERROR(__xludf.DUMMYFUNCTION("""COMPUTED_VALUE"""),"No")</f>
        <v>No</v>
      </c>
      <c r="I2583" s="1" t="str">
        <f ca="1">IFERROR(__xludf.DUMMYFUNCTION("""COMPUTED_VALUE"""),"Will NOT work for them")</f>
        <v>Will NOT work for them</v>
      </c>
      <c r="J2583" s="1">
        <f ca="1">IFERROR(__xludf.DUMMYFUNCTION("""COMPUTED_VALUE"""),3)</f>
        <v>3</v>
      </c>
      <c r="K2583" s="1" t="str">
        <f ca="1">IFERROR(__xludf.DUMMYFUNCTION("""COMPUTED_VALUE"""),"Fully Remote with Options to travel as and when needed")</f>
        <v>Fully Remote with Options to travel as and when needed</v>
      </c>
      <c r="L25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8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83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2583" s="1" t="str">
        <f ca="1">IFERROR(__xludf.DUMMYFUNCTION("""COMPUTED_VALUE"""),"Manager who sets targets and expects me to achieve it")</f>
        <v>Manager who sets targets and expects me to achieve it</v>
      </c>
      <c r="P2583" s="1" t="str">
        <f ca="1">IFERROR(__xludf.DUMMYFUNCTION("""COMPUTED_VALUE"""),"Work with 2 to 3 people in my team, Work with 5 to 6 people in my team")</f>
        <v>Work with 2 to 3 people in my team, Work with 5 to 6 people in my team</v>
      </c>
      <c r="Q2583" s="1" t="str">
        <f ca="1">IFERROR(__xludf.DUMMYFUNCTION("""COMPUTED_VALUE"""),"Yes, I Understand this is gonna happen everywhere")</f>
        <v>Yes, I Understand this is gonna happen everywhere</v>
      </c>
      <c r="R2583" s="1" t="str">
        <f ca="1">IFERROR(__xludf.DUMMYFUNCTION("""COMPUTED_VALUE"""),"Will work for 7 years or more")</f>
        <v>Will work for 7 years or more</v>
      </c>
      <c r="S2583" s="1" t="str">
        <f ca="1">IFERROR(__xludf.DUMMYFUNCTION("""COMPUTED_VALUE"""),"vishakhabokse1412@gmail.com")</f>
        <v>vishakhabokse1412@gmail.com</v>
      </c>
    </row>
    <row r="2584" spans="1:19" ht="12.5" x14ac:dyDescent="0.25">
      <c r="A2584" s="2">
        <f ca="1">IFERROR(__xludf.DUMMYFUNCTION("""COMPUTED_VALUE"""),45065.6717022569)</f>
        <v>45065.671702256899</v>
      </c>
      <c r="B2584" s="1" t="str">
        <f ca="1">IFERROR(__xludf.DUMMYFUNCTION("""COMPUTED_VALUE"""),"India")</f>
        <v>India</v>
      </c>
      <c r="C2584" s="1">
        <f ca="1">IFERROR(__xludf.DUMMYFUNCTION("""COMPUTED_VALUE"""),122001)</f>
        <v>122001</v>
      </c>
      <c r="D2584" s="1" t="str">
        <f ca="1">IFERROR(__xludf.DUMMYFUNCTION("""COMPUTED_VALUE"""),"Female")</f>
        <v>Female</v>
      </c>
      <c r="E2584" s="1" t="str">
        <f ca="1">IFERROR(__xludf.DUMMYFUNCTION("""COMPUTED_VALUE"""),"My Parents")</f>
        <v>My Parents</v>
      </c>
      <c r="F2584" s="1" t="str">
        <f ca="1">IFERROR(__xludf.DUMMYFUNCTION("""COMPUTED_VALUE"""),"No, But if someone could bare the cost I will")</f>
        <v>No, But if someone could bare the cost I will</v>
      </c>
      <c r="G2584" s="1" t="str">
        <f ca="1">IFERROR(__xludf.DUMMYFUNCTION("""COMPUTED_VALUE"""),"No way")</f>
        <v>No way</v>
      </c>
      <c r="H2584" s="1" t="str">
        <f ca="1">IFERROR(__xludf.DUMMYFUNCTION("""COMPUTED_VALUE"""),"No")</f>
        <v>No</v>
      </c>
      <c r="I2584" s="1" t="str">
        <f ca="1">IFERROR(__xludf.DUMMYFUNCTION("""COMPUTED_VALUE"""),"Will NOT work for them")</f>
        <v>Will NOT work for them</v>
      </c>
      <c r="J2584" s="1">
        <f ca="1">IFERROR(__xludf.DUMMYFUNCTION("""COMPUTED_VALUE"""),6)</f>
        <v>6</v>
      </c>
      <c r="K2584" s="1" t="str">
        <f ca="1">IFERROR(__xludf.DUMMYFUNCTION("""COMPUTED_VALUE"""),"Fully Remote with Options to travel as and when needed")</f>
        <v>Fully Remote with Options to travel as and when needed</v>
      </c>
      <c r="L2584" s="1" t="str">
        <f ca="1">IFERROR(__xludf.DUMMYFUNCTION("""COMPUTED_VALUE"""),"Employer who rewards learning and enables that environment")</f>
        <v>Employer who rewards learning and enables that environment</v>
      </c>
      <c r="M258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584" s="1" t="str">
        <f ca="1">IFERROR(__xludf.DUMMYFUNCTION("""COMPUTED_VALUE"""),"Design and Creative strategy in any company, Build and develop a Team, Entrepreneur or Start Up, An Artificial Intelligence Specialist / Talking to Robots")</f>
        <v>Design and Creative strategy in any company, Build and develop a Team, Entrepreneur or Start Up, An Artificial Intelligence Specialist / Talking to Robots</v>
      </c>
      <c r="O2584" s="1" t="str">
        <f ca="1">IFERROR(__xludf.DUMMYFUNCTION("""COMPUTED_VALUE"""),"Manager who sets goal and helps me achieve it")</f>
        <v>Manager who sets goal and helps me achieve it</v>
      </c>
      <c r="P2584" s="1" t="str">
        <f ca="1">IFERROR(__xludf.DUMMYFUNCTION("""COMPUTED_VALUE"""),"Work with 2 to 3 people in my team")</f>
        <v>Work with 2 to 3 people in my team</v>
      </c>
      <c r="Q2584" s="1" t="str">
        <f ca="1">IFERROR(__xludf.DUMMYFUNCTION("""COMPUTED_VALUE"""),"Yes, I Understand this is gonna happen everywhere")</f>
        <v>Yes, I Understand this is gonna happen everywhere</v>
      </c>
      <c r="R2584" s="1" t="str">
        <f ca="1">IFERROR(__xludf.DUMMYFUNCTION("""COMPUTED_VALUE"""),"No way")</f>
        <v>No way</v>
      </c>
      <c r="S2584" s="1" t="str">
        <f ca="1">IFERROR(__xludf.DUMMYFUNCTION("""COMPUTED_VALUE"""),"reetikakachchhwa@gmail.com")</f>
        <v>reetikakachchhwa@gmail.com</v>
      </c>
    </row>
    <row r="2585" spans="1:19" ht="12.5" x14ac:dyDescent="0.25">
      <c r="A2585" s="2">
        <f ca="1">IFERROR(__xludf.DUMMYFUNCTION("""COMPUTED_VALUE"""),45065.6833115046)</f>
        <v>45065.683311504603</v>
      </c>
      <c r="B2585" s="1" t="str">
        <f ca="1">IFERROR(__xludf.DUMMYFUNCTION("""COMPUTED_VALUE"""),"India")</f>
        <v>India</v>
      </c>
      <c r="C2585" s="1">
        <f ca="1">IFERROR(__xludf.DUMMYFUNCTION("""COMPUTED_VALUE"""),202001)</f>
        <v>202001</v>
      </c>
      <c r="D2585" s="1" t="str">
        <f ca="1">IFERROR(__xludf.DUMMYFUNCTION("""COMPUTED_VALUE"""),"Male")</f>
        <v>Male</v>
      </c>
      <c r="E2585" s="1" t="str">
        <f ca="1">IFERROR(__xludf.DUMMYFUNCTION("""COMPUTED_VALUE"""),"My Parents")</f>
        <v>My Parents</v>
      </c>
      <c r="F2585" s="1" t="str">
        <f ca="1">IFERROR(__xludf.DUMMYFUNCTION("""COMPUTED_VALUE"""),"Yes, I will earn and do that")</f>
        <v>Yes, I will earn and do that</v>
      </c>
      <c r="G2585" s="1" t="str">
        <f ca="1">IFERROR(__xludf.DUMMYFUNCTION("""COMPUTED_VALUE"""),"Will work for 3 years or more")</f>
        <v>Will work for 3 years or more</v>
      </c>
      <c r="H2585" s="1" t="str">
        <f ca="1">IFERROR(__xludf.DUMMYFUNCTION("""COMPUTED_VALUE"""),"No")</f>
        <v>No</v>
      </c>
      <c r="I2585" s="1" t="str">
        <f ca="1">IFERROR(__xludf.DUMMYFUNCTION("""COMPUTED_VALUE"""),"Will NOT work for them")</f>
        <v>Will NOT work for them</v>
      </c>
      <c r="J2585" s="1">
        <f ca="1">IFERROR(__xludf.DUMMYFUNCTION("""COMPUTED_VALUE"""),5)</f>
        <v>5</v>
      </c>
      <c r="K2585" s="1" t="str">
        <f ca="1">IFERROR(__xludf.DUMMYFUNCTION("""COMPUTED_VALUE"""),"Fully Remote with Options to travel as and when needed")</f>
        <v>Fully Remote with Options to travel as and when needed</v>
      </c>
      <c r="L25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8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85" s="1" t="str">
        <f ca="1">IFERROR(__xludf.DUMMYFUNCTION("""COMPUTED_VALUE"""),"Design and Creative strategy in any company, Manage and drive End-to-End Projects or Products, Entrepreneur or Start Up, Manufacturing / Oil and Gas/ Construction / Hard Physical Work related")</f>
        <v>Design and Creative strategy in any company, Manage and drive End-to-End Projects or Products, Entrepreneur or Start Up, Manufacturing / Oil and Gas/ Construction / Hard Physical Work related</v>
      </c>
      <c r="O2585" s="1" t="str">
        <f ca="1">IFERROR(__xludf.DUMMYFUNCTION("""COMPUTED_VALUE"""),"Manager who sets goal and helps me achieve it")</f>
        <v>Manager who sets goal and helps me achieve it</v>
      </c>
      <c r="P2585" s="1" t="str">
        <f ca="1">IFERROR(__xludf.DUMMYFUNCTION("""COMPUTED_VALUE"""),"Work with 7 to 10 or more people in my team")</f>
        <v>Work with 7 to 10 or more people in my team</v>
      </c>
      <c r="Q2585" s="1" t="str">
        <f ca="1">IFERROR(__xludf.DUMMYFUNCTION("""COMPUTED_VALUE"""),"No")</f>
        <v>No</v>
      </c>
      <c r="R2585" s="1" t="str">
        <f ca="1">IFERROR(__xludf.DUMMYFUNCTION("""COMPUTED_VALUE"""),"This will be hard to do, but if it is the right company I would try")</f>
        <v>This will be hard to do, but if it is the right company I would try</v>
      </c>
      <c r="S2585" s="1" t="str">
        <f ca="1">IFERROR(__xludf.DUMMYFUNCTION("""COMPUTED_VALUE"""),"janmayjaisinghyaduwanshi@gmail.com")</f>
        <v>janmayjaisinghyaduwanshi@gmail.com</v>
      </c>
    </row>
    <row r="2586" spans="1:19" ht="12.5" x14ac:dyDescent="0.25">
      <c r="A2586" s="2">
        <f ca="1">IFERROR(__xludf.DUMMYFUNCTION("""COMPUTED_VALUE"""),45065.6940891898)</f>
        <v>45065.694089189798</v>
      </c>
      <c r="B2586" s="1" t="str">
        <f ca="1">IFERROR(__xludf.DUMMYFUNCTION("""COMPUTED_VALUE"""),"India")</f>
        <v>India</v>
      </c>
      <c r="C2586" s="1">
        <f ca="1">IFERROR(__xludf.DUMMYFUNCTION("""COMPUTED_VALUE"""),122001)</f>
        <v>122001</v>
      </c>
      <c r="D2586" s="1" t="str">
        <f ca="1">IFERROR(__xludf.DUMMYFUNCTION("""COMPUTED_VALUE"""),"Male")</f>
        <v>Male</v>
      </c>
      <c r="E2586" s="1" t="str">
        <f ca="1">IFERROR(__xludf.DUMMYFUNCTION("""COMPUTED_VALUE"""),"People who have changed the world for better")</f>
        <v>People who have changed the world for better</v>
      </c>
      <c r="F2586" s="1" t="str">
        <f ca="1">IFERROR(__xludf.DUMMYFUNCTION("""COMPUTED_VALUE"""),"Yes, I will earn and do that")</f>
        <v>Yes, I will earn and do that</v>
      </c>
      <c r="G2586" s="1" t="str">
        <f ca="1">IFERROR(__xludf.DUMMYFUNCTION("""COMPUTED_VALUE"""),"Will work for 3 years or more")</f>
        <v>Will work for 3 years or more</v>
      </c>
      <c r="H2586" s="1" t="str">
        <f ca="1">IFERROR(__xludf.DUMMYFUNCTION("""COMPUTED_VALUE"""),"No")</f>
        <v>No</v>
      </c>
      <c r="I2586" s="1" t="str">
        <f ca="1">IFERROR(__xludf.DUMMYFUNCTION("""COMPUTED_VALUE"""),"Will NOT work for them")</f>
        <v>Will NOT work for them</v>
      </c>
      <c r="J2586" s="1">
        <f ca="1">IFERROR(__xludf.DUMMYFUNCTION("""COMPUTED_VALUE"""),3)</f>
        <v>3</v>
      </c>
      <c r="K2586" s="1" t="str">
        <f ca="1">IFERROR(__xludf.DUMMYFUNCTION("""COMPUTED_VALUE"""),"Every Day Office Environment")</f>
        <v>Every Day Office Environment</v>
      </c>
      <c r="L25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8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86" s="1" t="str">
        <f ca="1">IFERROR(__xludf.DUMMYFUNCTION("""COMPUTED_VALUE"""),"Teaching in any of the institutes/colleges/online or offline, Build and develop a Team, Design and Develop amazing software, An Artificial Intelligence Specialist / Talking to Robots")</f>
        <v>Teaching in any of the institutes/colleges/online or offline, Build and develop a Team, Design and Develop amazing software, An Artificial Intelligence Specialist / Talking to Robots</v>
      </c>
      <c r="O258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86" s="1" t="str">
        <f ca="1">IFERROR(__xludf.DUMMYFUNCTION("""COMPUTED_VALUE"""),"Work with 5 to 6 people in my team")</f>
        <v>Work with 5 to 6 people in my team</v>
      </c>
      <c r="Q2586" s="1" t="str">
        <f ca="1">IFERROR(__xludf.DUMMYFUNCTION("""COMPUTED_VALUE"""),"Yes, I Understand this is gonna happen everywhere")</f>
        <v>Yes, I Understand this is gonna happen everywhere</v>
      </c>
      <c r="R2586" s="1" t="str">
        <f ca="1">IFERROR(__xludf.DUMMYFUNCTION("""COMPUTED_VALUE"""),"This will be hard to do, but if it is the right company I would try")</f>
        <v>This will be hard to do, but if it is the right company I would try</v>
      </c>
      <c r="S2586" s="1" t="str">
        <f ca="1">IFERROR(__xludf.DUMMYFUNCTION("""COMPUTED_VALUE"""),"mvats070@gmail.com")</f>
        <v>mvats070@gmail.com</v>
      </c>
    </row>
    <row r="2587" spans="1:19" ht="12.5" x14ac:dyDescent="0.25">
      <c r="A2587" s="2">
        <f ca="1">IFERROR(__xludf.DUMMYFUNCTION("""COMPUTED_VALUE"""),45065.6975180439)</f>
        <v>45065.697518043897</v>
      </c>
      <c r="B2587" s="1" t="str">
        <f ca="1">IFERROR(__xludf.DUMMYFUNCTION("""COMPUTED_VALUE"""),"India")</f>
        <v>India</v>
      </c>
      <c r="C2587" s="1">
        <f ca="1">IFERROR(__xludf.DUMMYFUNCTION("""COMPUTED_VALUE"""),411023)</f>
        <v>411023</v>
      </c>
      <c r="D2587" s="1" t="str">
        <f ca="1">IFERROR(__xludf.DUMMYFUNCTION("""COMPUTED_VALUE"""),"Female")</f>
        <v>Female</v>
      </c>
      <c r="E2587" s="1" t="str">
        <f ca="1">IFERROR(__xludf.DUMMYFUNCTION("""COMPUTED_VALUE"""),"My Parents")</f>
        <v>My Parents</v>
      </c>
      <c r="F2587" s="1" t="str">
        <f ca="1">IFERROR(__xludf.DUMMYFUNCTION("""COMPUTED_VALUE"""),"Yes, I will earn and do that")</f>
        <v>Yes, I will earn and do that</v>
      </c>
      <c r="G2587" s="1" t="str">
        <f ca="1">IFERROR(__xludf.DUMMYFUNCTION("""COMPUTED_VALUE"""),"This will be hard to do, but if it is the right company I would try")</f>
        <v>This will be hard to do, but if it is the right company I would try</v>
      </c>
      <c r="H2587" s="1" t="str">
        <f ca="1">IFERROR(__xludf.DUMMYFUNCTION("""COMPUTED_VALUE"""),"No")</f>
        <v>No</v>
      </c>
      <c r="I2587" s="1" t="str">
        <f ca="1">IFERROR(__xludf.DUMMYFUNCTION("""COMPUTED_VALUE"""),"Will NOT work for them")</f>
        <v>Will NOT work for them</v>
      </c>
      <c r="J2587" s="1">
        <f ca="1">IFERROR(__xludf.DUMMYFUNCTION("""COMPUTED_VALUE"""),5)</f>
        <v>5</v>
      </c>
      <c r="K2587" s="1" t="str">
        <f ca="1">IFERROR(__xludf.DUMMYFUNCTION("""COMPUTED_VALUE"""),"Every Day Office Environment")</f>
        <v>Every Day Office Environment</v>
      </c>
      <c r="L2587" s="1" t="str">
        <f ca="1">IFERROR(__xludf.DUMMYFUNCTION("""COMPUTED_VALUE"""),"Employer who rewards learning and enables that environment")</f>
        <v>Employer who rewards learning and enables that environment</v>
      </c>
      <c r="M258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87" s="1" t="str">
        <f ca="1">IFERROR(__xludf.DUMMYFUNCTION("""COMPUTED_VALUE"""),"Design and Creative strategy in any company, Teaching in any of the institutes/colleges/online or offline, Manage and drive End-to-End Projects or Products, Look deeply into Data and generate insights")</f>
        <v>Design and Creative strategy in any company, Teaching in any of the institutes/colleges/online or offline, Manage and drive End-to-End Projects or Products, Look deeply into Data and generate insights</v>
      </c>
      <c r="O2587" s="1" t="str">
        <f ca="1">IFERROR(__xludf.DUMMYFUNCTION("""COMPUTED_VALUE"""),"Manager who explains what is expected, sets a goal and helps achieve it")</f>
        <v>Manager who explains what is expected, sets a goal and helps achieve it</v>
      </c>
      <c r="P2587" s="1" t="str">
        <f ca="1">IFERROR(__xludf.DUMMYFUNCTION("""COMPUTED_VALUE"""),"Work with 5 to 6 people in my team")</f>
        <v>Work with 5 to 6 people in my team</v>
      </c>
      <c r="Q2587" s="1" t="str">
        <f ca="1">IFERROR(__xludf.DUMMYFUNCTION("""COMPUTED_VALUE"""),"No")</f>
        <v>No</v>
      </c>
      <c r="R2587" s="1" t="str">
        <f ca="1">IFERROR(__xludf.DUMMYFUNCTION("""COMPUTED_VALUE"""),"This will be hard to do, but if it is the right company I would try")</f>
        <v>This will be hard to do, but if it is the right company I would try</v>
      </c>
      <c r="S2587" s="1" t="str">
        <f ca="1">IFERROR(__xludf.DUMMYFUNCTION("""COMPUTED_VALUE"""),"amrutawanjale21@gmail.com")</f>
        <v>amrutawanjale21@gmail.com</v>
      </c>
    </row>
    <row r="2588" spans="1:19" ht="12.5" x14ac:dyDescent="0.25">
      <c r="A2588" s="2">
        <f ca="1">IFERROR(__xludf.DUMMYFUNCTION("""COMPUTED_VALUE"""),45065.7360255555)</f>
        <v>45065.736025555503</v>
      </c>
      <c r="B2588" s="1" t="str">
        <f ca="1">IFERROR(__xludf.DUMMYFUNCTION("""COMPUTED_VALUE"""),"India")</f>
        <v>India</v>
      </c>
      <c r="C2588" s="1">
        <f ca="1">IFERROR(__xludf.DUMMYFUNCTION("""COMPUTED_VALUE"""),532421)</f>
        <v>532421</v>
      </c>
      <c r="D2588" s="1" t="str">
        <f ca="1">IFERROR(__xludf.DUMMYFUNCTION("""COMPUTED_VALUE"""),"Male")</f>
        <v>Male</v>
      </c>
      <c r="E2588" s="1" t="str">
        <f ca="1">IFERROR(__xludf.DUMMYFUNCTION("""COMPUTED_VALUE"""),"People who have changed the world for better")</f>
        <v>People who have changed the world for better</v>
      </c>
      <c r="F2588" s="1" t="str">
        <f ca="1">IFERROR(__xludf.DUMMYFUNCTION("""COMPUTED_VALUE"""),"Yes, I will earn and do that")</f>
        <v>Yes, I will earn and do that</v>
      </c>
      <c r="G2588" s="1" t="str">
        <f ca="1">IFERROR(__xludf.DUMMYFUNCTION("""COMPUTED_VALUE"""),"Will work for 3 years or more")</f>
        <v>Will work for 3 years or more</v>
      </c>
      <c r="H2588" s="1" t="str">
        <f ca="1">IFERROR(__xludf.DUMMYFUNCTION("""COMPUTED_VALUE"""),"Yes")</f>
        <v>Yes</v>
      </c>
      <c r="I2588" s="1" t="str">
        <f ca="1">IFERROR(__xludf.DUMMYFUNCTION("""COMPUTED_VALUE"""),"Will work for them")</f>
        <v>Will work for them</v>
      </c>
      <c r="J2588" s="1">
        <f ca="1">IFERROR(__xludf.DUMMYFUNCTION("""COMPUTED_VALUE"""),1)</f>
        <v>1</v>
      </c>
      <c r="K2588" s="1" t="str">
        <f ca="1">IFERROR(__xludf.DUMMYFUNCTION("""COMPUTED_VALUE"""),"Fully Remote with Options to travel as and when needed")</f>
        <v>Fully Remote with Options to travel as and when needed</v>
      </c>
      <c r="L2588" s="1" t="str">
        <f ca="1">IFERROR(__xludf.DUMMYFUNCTION("""COMPUTED_VALUE"""),"Employer who appreciates learning and enables that environment")</f>
        <v>Employer who appreciates learning and enables that environment</v>
      </c>
      <c r="M258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88" s="1" t="str">
        <f ca="1">IFERROR(__xludf.DUMMYFUNCTION("""COMPUTED_VALUE"""),"Design and Creative strategy in any company, Business Operations in any organization, Entrepreneur or Start Up, An Artificial Intelligence Specialist / Talking to Robots")</f>
        <v>Design and Creative strategy in any company, Business Operations in any organization, Entrepreneur or Start Up, An Artificial Intelligence Specialist / Talking to Robots</v>
      </c>
      <c r="O2588" s="1" t="str">
        <f ca="1">IFERROR(__xludf.DUMMYFUNCTION("""COMPUTED_VALUE"""),"Manager who clearly describes what she/he needs")</f>
        <v>Manager who clearly describes what she/he needs</v>
      </c>
      <c r="P2588" s="1" t="str">
        <f ca="1">IFERROR(__xludf.DUMMYFUNCTION("""COMPUTED_VALUE"""),"Work alone, Work with 5 to 6 people in my team")</f>
        <v>Work alone, Work with 5 to 6 people in my team</v>
      </c>
      <c r="Q2588" s="1" t="str">
        <f ca="1">IFERROR(__xludf.DUMMYFUNCTION("""COMPUTED_VALUE"""),"No")</f>
        <v>No</v>
      </c>
      <c r="R2588" s="1" t="str">
        <f ca="1">IFERROR(__xludf.DUMMYFUNCTION("""COMPUTED_VALUE"""),"This will be hard to do, but if it is the right company I would try")</f>
        <v>This will be hard to do, but if it is the right company I would try</v>
      </c>
      <c r="S2588" s="1" t="str">
        <f ca="1">IFERROR(__xludf.DUMMYFUNCTION("""COMPUTED_VALUE"""),"kirandurgumahanthi@gmail.com")</f>
        <v>kirandurgumahanthi@gmail.com</v>
      </c>
    </row>
    <row r="2589" spans="1:19" ht="12.5" x14ac:dyDescent="0.25">
      <c r="A2589" s="2">
        <f ca="1">IFERROR(__xludf.DUMMYFUNCTION("""COMPUTED_VALUE"""),45065.7378130324)</f>
        <v>45065.7378130324</v>
      </c>
      <c r="B2589" s="1" t="str">
        <f ca="1">IFERROR(__xludf.DUMMYFUNCTION("""COMPUTED_VALUE"""),"India")</f>
        <v>India</v>
      </c>
      <c r="C2589" s="1">
        <f ca="1">IFERROR(__xludf.DUMMYFUNCTION("""COMPUTED_VALUE"""),110018)</f>
        <v>110018</v>
      </c>
      <c r="D2589" s="1" t="str">
        <f ca="1">IFERROR(__xludf.DUMMYFUNCTION("""COMPUTED_VALUE"""),"Male")</f>
        <v>Male</v>
      </c>
      <c r="E2589" s="1" t="str">
        <f ca="1">IFERROR(__xludf.DUMMYFUNCTION("""COMPUTED_VALUE"""),"My Parents")</f>
        <v>My Parents</v>
      </c>
      <c r="F2589" s="1" t="str">
        <f ca="1">IFERROR(__xludf.DUMMYFUNCTION("""COMPUTED_VALUE"""),"No, But if someone could bare the cost I will")</f>
        <v>No, But if someone could bare the cost I will</v>
      </c>
      <c r="G2589" s="1" t="str">
        <f ca="1">IFERROR(__xludf.DUMMYFUNCTION("""COMPUTED_VALUE"""),"This will be hard to do, but if it is the right company I would try")</f>
        <v>This will be hard to do, but if it is the right company I would try</v>
      </c>
      <c r="H2589" s="1" t="str">
        <f ca="1">IFERROR(__xludf.DUMMYFUNCTION("""COMPUTED_VALUE"""),"Yes")</f>
        <v>Yes</v>
      </c>
      <c r="I2589" s="1" t="str">
        <f ca="1">IFERROR(__xludf.DUMMYFUNCTION("""COMPUTED_VALUE"""),"Will NOT work for them")</f>
        <v>Will NOT work for them</v>
      </c>
      <c r="J2589" s="1">
        <f ca="1">IFERROR(__xludf.DUMMYFUNCTION("""COMPUTED_VALUE"""),5)</f>
        <v>5</v>
      </c>
      <c r="K2589" s="1" t="str">
        <f ca="1">IFERROR(__xludf.DUMMYFUNCTION("""COMPUTED_VALUE"""),"Hybrid Working Environment with less than 3 days a month at office")</f>
        <v>Hybrid Working Environment with less than 3 days a month at office</v>
      </c>
      <c r="L25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8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89" s="1" t="str">
        <f ca="1">IFERROR(__xludf.DUMMYFUNCTION("""COMPUTED_VALUE"""),"Design and Creative strategy in any company, Teaching in any of the institutes/colleges/online or offline, Look deeply into Data and generate insights, Work as a freelancer and do my thing my way")</f>
        <v>Design and Creative strategy in any company, Teaching in any of the institutes/colleges/online or offline, Look deeply into Data and generate insights, Work as a freelancer and do my thing my way</v>
      </c>
      <c r="O2589" s="1" t="str">
        <f ca="1">IFERROR(__xludf.DUMMYFUNCTION("""COMPUTED_VALUE"""),"Manager who explains what is expected, sets a goal and helps achieve it")</f>
        <v>Manager who explains what is expected, sets a goal and helps achieve it</v>
      </c>
      <c r="P2589" s="1" t="str">
        <f ca="1">IFERROR(__xludf.DUMMYFUNCTION("""COMPUTED_VALUE"""),"Work with 2 to 3 people in my team")</f>
        <v>Work with 2 to 3 people in my team</v>
      </c>
      <c r="Q2589" s="1" t="str">
        <f ca="1">IFERROR(__xludf.DUMMYFUNCTION("""COMPUTED_VALUE"""),"No")</f>
        <v>No</v>
      </c>
      <c r="R2589" s="1" t="str">
        <f ca="1">IFERROR(__xludf.DUMMYFUNCTION("""COMPUTED_VALUE"""),"This will be hard to do, but if it is the right company I would try")</f>
        <v>This will be hard to do, but if it is the right company I would try</v>
      </c>
      <c r="S2589" s="1" t="str">
        <f ca="1">IFERROR(__xludf.DUMMYFUNCTION("""COMPUTED_VALUE"""),"yash.verma.ui@gmail.com")</f>
        <v>yash.verma.ui@gmail.com</v>
      </c>
    </row>
    <row r="2590" spans="1:19" ht="12.5" x14ac:dyDescent="0.25">
      <c r="A2590" s="2">
        <f ca="1">IFERROR(__xludf.DUMMYFUNCTION("""COMPUTED_VALUE"""),45065.7387740277)</f>
        <v>45065.738774027697</v>
      </c>
      <c r="B2590" s="1" t="str">
        <f ca="1">IFERROR(__xludf.DUMMYFUNCTION("""COMPUTED_VALUE"""),"India")</f>
        <v>India</v>
      </c>
      <c r="C2590" s="1">
        <f ca="1">IFERROR(__xludf.DUMMYFUNCTION("""COMPUTED_VALUE"""),412101)</f>
        <v>412101</v>
      </c>
      <c r="D2590" s="1" t="str">
        <f ca="1">IFERROR(__xludf.DUMMYFUNCTION("""COMPUTED_VALUE"""),"Female")</f>
        <v>Female</v>
      </c>
      <c r="E2590" s="1" t="str">
        <f ca="1">IFERROR(__xludf.DUMMYFUNCTION("""COMPUTED_VALUE"""),"Social Media like LinkedIn")</f>
        <v>Social Media like LinkedIn</v>
      </c>
      <c r="F2590" s="1" t="str">
        <f ca="1">IFERROR(__xludf.DUMMYFUNCTION("""COMPUTED_VALUE"""),"Yes, I will earn and do that")</f>
        <v>Yes, I will earn and do that</v>
      </c>
      <c r="G2590" s="1" t="str">
        <f ca="1">IFERROR(__xludf.DUMMYFUNCTION("""COMPUTED_VALUE"""),"This will be hard to do, but if it is the right company I would try")</f>
        <v>This will be hard to do, but if it is the right company I would try</v>
      </c>
      <c r="H2590" s="1" t="str">
        <f ca="1">IFERROR(__xludf.DUMMYFUNCTION("""COMPUTED_VALUE"""),"Yes")</f>
        <v>Yes</v>
      </c>
      <c r="I2590" s="1" t="str">
        <f ca="1">IFERROR(__xludf.DUMMYFUNCTION("""COMPUTED_VALUE"""),"Will NOT work for them")</f>
        <v>Will NOT work for them</v>
      </c>
      <c r="J2590" s="1">
        <f ca="1">IFERROR(__xludf.DUMMYFUNCTION("""COMPUTED_VALUE"""),3)</f>
        <v>3</v>
      </c>
      <c r="K2590" s="1" t="str">
        <f ca="1">IFERROR(__xludf.DUMMYFUNCTION("""COMPUTED_VALUE"""),"Every Day Office Environment")</f>
        <v>Every Day Office Environment</v>
      </c>
      <c r="L25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9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590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2590" s="1" t="str">
        <f ca="1">IFERROR(__xludf.DUMMYFUNCTION("""COMPUTED_VALUE"""),"Manager who explains what is expected, sets a goal and helps achieve it")</f>
        <v>Manager who explains what is expected, sets a goal and helps achieve it</v>
      </c>
      <c r="P2590" s="1" t="str">
        <f ca="1">IFERROR(__xludf.DUMMYFUNCTION("""COMPUTED_VALUE"""),"Work with 5 to 6 people in my team")</f>
        <v>Work with 5 to 6 people in my team</v>
      </c>
      <c r="Q2590" s="1" t="str">
        <f ca="1">IFERROR(__xludf.DUMMYFUNCTION("""COMPUTED_VALUE"""),"Yes, I Understand this is gonna happen everywhere")</f>
        <v>Yes, I Understand this is gonna happen everywhere</v>
      </c>
      <c r="R2590" s="1" t="str">
        <f ca="1">IFERROR(__xludf.DUMMYFUNCTION("""COMPUTED_VALUE"""),"This will be hard to do, but if it is the right company I would try")</f>
        <v>This will be hard to do, but if it is the right company I would try</v>
      </c>
      <c r="S2590" s="1" t="str">
        <f ca="1">IFERROR(__xludf.DUMMYFUNCTION("""COMPUTED_VALUE"""),"sayalidp17@gmail.com")</f>
        <v>sayalidp17@gmail.com</v>
      </c>
    </row>
    <row r="2591" spans="1:19" ht="12.5" x14ac:dyDescent="0.25">
      <c r="A2591" s="2">
        <f ca="1">IFERROR(__xludf.DUMMYFUNCTION("""COMPUTED_VALUE"""),45065.7409965393)</f>
        <v>45065.740996539302</v>
      </c>
      <c r="B2591" s="1" t="str">
        <f ca="1">IFERROR(__xludf.DUMMYFUNCTION("""COMPUTED_VALUE"""),"India")</f>
        <v>India</v>
      </c>
      <c r="C2591" s="1">
        <f ca="1">IFERROR(__xludf.DUMMYFUNCTION("""COMPUTED_VALUE"""),400065)</f>
        <v>400065</v>
      </c>
      <c r="D2591" s="1" t="str">
        <f ca="1">IFERROR(__xludf.DUMMYFUNCTION("""COMPUTED_VALUE"""),"Male")</f>
        <v>Male</v>
      </c>
      <c r="E2591" s="1" t="str">
        <f ca="1">IFERROR(__xludf.DUMMYFUNCTION("""COMPUTED_VALUE"""),"My Parents")</f>
        <v>My Parents</v>
      </c>
      <c r="F2591" s="1" t="str">
        <f ca="1">IFERROR(__xludf.DUMMYFUNCTION("""COMPUTED_VALUE"""),"Yes, I will earn and do that")</f>
        <v>Yes, I will earn and do that</v>
      </c>
      <c r="G2591" s="1" t="str">
        <f ca="1">IFERROR(__xludf.DUMMYFUNCTION("""COMPUTED_VALUE"""),"This will be hard to do, but if it is the right company I would try")</f>
        <v>This will be hard to do, but if it is the right company I would try</v>
      </c>
      <c r="H2591" s="1" t="str">
        <f ca="1">IFERROR(__xludf.DUMMYFUNCTION("""COMPUTED_VALUE"""),"No")</f>
        <v>No</v>
      </c>
      <c r="I2591" s="1" t="str">
        <f ca="1">IFERROR(__xludf.DUMMYFUNCTION("""COMPUTED_VALUE"""),"Will NOT work for them")</f>
        <v>Will NOT work for them</v>
      </c>
      <c r="J2591" s="1">
        <f ca="1">IFERROR(__xludf.DUMMYFUNCTION("""COMPUTED_VALUE"""),10)</f>
        <v>10</v>
      </c>
      <c r="K2591" s="1" t="str">
        <f ca="1">IFERROR(__xludf.DUMMYFUNCTION("""COMPUTED_VALUE"""),"Every Day Office Environment")</f>
        <v>Every Day Office Environment</v>
      </c>
      <c r="L25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9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91" s="1" t="str">
        <f ca="1">IFERROR(__xludf.DUMMYFUNCTION("""COMPUTED_VALUE"""),"Manage and drive End-to-End Projects or Products, Build and develop a Team, Look deeply into Data and generate insights, Work in a BPO setup for some well known client")</f>
        <v>Manage and drive End-to-End Projects or Products, Build and develop a Team, Look deeply into Data and generate insights, Work in a BPO setup for some well known client</v>
      </c>
      <c r="O2591" s="1" t="str">
        <f ca="1">IFERROR(__xludf.DUMMYFUNCTION("""COMPUTED_VALUE"""),"Manager who sets goal and helps me achieve it")</f>
        <v>Manager who sets goal and helps me achieve it</v>
      </c>
      <c r="P2591" s="1" t="str">
        <f ca="1">IFERROR(__xludf.DUMMYFUNCTION("""COMPUTED_VALUE"""),"Work with 7 to 10 or more people in my team")</f>
        <v>Work with 7 to 10 or more people in my team</v>
      </c>
      <c r="Q2591" s="1" t="str">
        <f ca="1">IFERROR(__xludf.DUMMYFUNCTION("""COMPUTED_VALUE"""),"Yes, I Understand this is gonna happen everywhere")</f>
        <v>Yes, I Understand this is gonna happen everywhere</v>
      </c>
      <c r="R2591" s="1" t="str">
        <f ca="1">IFERROR(__xludf.DUMMYFUNCTION("""COMPUTED_VALUE"""),"No way")</f>
        <v>No way</v>
      </c>
      <c r="S2591" s="1" t="str">
        <f ca="1">IFERROR(__xludf.DUMMYFUNCTION("""COMPUTED_VALUE"""),"manishreddy2610@gmail.com")</f>
        <v>manishreddy2610@gmail.com</v>
      </c>
    </row>
    <row r="2592" spans="1:19" ht="12.5" x14ac:dyDescent="0.25">
      <c r="A2592" s="2">
        <f ca="1">IFERROR(__xludf.DUMMYFUNCTION("""COMPUTED_VALUE"""),45065.7436673379)</f>
        <v>45065.743667337898</v>
      </c>
      <c r="B2592" s="1" t="str">
        <f ca="1">IFERROR(__xludf.DUMMYFUNCTION("""COMPUTED_VALUE"""),"India")</f>
        <v>India</v>
      </c>
      <c r="C2592" s="1">
        <f ca="1">IFERROR(__xludf.DUMMYFUNCTION("""COMPUTED_VALUE"""),110071)</f>
        <v>110071</v>
      </c>
      <c r="D2592" s="1" t="str">
        <f ca="1">IFERROR(__xludf.DUMMYFUNCTION("""COMPUTED_VALUE"""),"Male")</f>
        <v>Male</v>
      </c>
      <c r="E2592" s="1" t="str">
        <f ca="1">IFERROR(__xludf.DUMMYFUNCTION("""COMPUTED_VALUE"""),"My Parents")</f>
        <v>My Parents</v>
      </c>
      <c r="F2592" s="1" t="str">
        <f ca="1">IFERROR(__xludf.DUMMYFUNCTION("""COMPUTED_VALUE"""),"No, But if someone could bare the cost I will")</f>
        <v>No, But if someone could bare the cost I will</v>
      </c>
      <c r="G2592" s="1" t="str">
        <f ca="1">IFERROR(__xludf.DUMMYFUNCTION("""COMPUTED_VALUE"""),"No way")</f>
        <v>No way</v>
      </c>
      <c r="H2592" s="1" t="str">
        <f ca="1">IFERROR(__xludf.DUMMYFUNCTION("""COMPUTED_VALUE"""),"No")</f>
        <v>No</v>
      </c>
      <c r="I2592" s="1" t="str">
        <f ca="1">IFERROR(__xludf.DUMMYFUNCTION("""COMPUTED_VALUE"""),"Will work for them")</f>
        <v>Will work for them</v>
      </c>
      <c r="J2592" s="1">
        <f ca="1">IFERROR(__xludf.DUMMYFUNCTION("""COMPUTED_VALUE"""),5)</f>
        <v>5</v>
      </c>
      <c r="K2592" s="1" t="str">
        <f ca="1">IFERROR(__xludf.DUMMYFUNCTION("""COMPUTED_VALUE"""),"Hybrid Working Environment with less than 3 days a month at office")</f>
        <v>Hybrid Working Environment with less than 3 days a month at office</v>
      </c>
      <c r="L25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92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592" s="1" t="str">
        <f ca="1">IFERROR(__xludf.DUMMYFUNCTION("""COMPUTED_VALUE"""),"Build and develop a Team, Work as a freelancer and do my thing my way, I Want to sell things/Sales, An Artificial Intelligence Specialist / Talking to Robots")</f>
        <v>Build and develop a Team, Work as a freelancer and do my thing my way, I Want to sell things/Sales, An Artificial Intelligence Specialist / Talking to Robots</v>
      </c>
      <c r="O2592" s="1" t="str">
        <f ca="1">IFERROR(__xludf.DUMMYFUNCTION("""COMPUTED_VALUE"""),"Manager who sets targets and expects me to achieve it")</f>
        <v>Manager who sets targets and expects me to achieve it</v>
      </c>
      <c r="P2592" s="1" t="str">
        <f ca="1">IFERROR(__xludf.DUMMYFUNCTION("""COMPUTED_VALUE"""),"Work with 5 to 6 people in my team")</f>
        <v>Work with 5 to 6 people in my team</v>
      </c>
      <c r="Q2592" s="1" t="str">
        <f ca="1">IFERROR(__xludf.DUMMYFUNCTION("""COMPUTED_VALUE"""),"No")</f>
        <v>No</v>
      </c>
      <c r="R2592" s="1" t="str">
        <f ca="1">IFERROR(__xludf.DUMMYFUNCTION("""COMPUTED_VALUE"""),"No way")</f>
        <v>No way</v>
      </c>
      <c r="S2592" s="1" t="str">
        <f ca="1">IFERROR(__xludf.DUMMYFUNCTION("""COMPUTED_VALUE"""),"himanshudalal209@gmail.com")</f>
        <v>himanshudalal209@gmail.com</v>
      </c>
    </row>
    <row r="2593" spans="1:19" ht="12.5" x14ac:dyDescent="0.25">
      <c r="A2593" s="2">
        <f ca="1">IFERROR(__xludf.DUMMYFUNCTION("""COMPUTED_VALUE"""),45065.7451299074)</f>
        <v>45065.745129907402</v>
      </c>
      <c r="B2593" s="1" t="str">
        <f ca="1">IFERROR(__xludf.DUMMYFUNCTION("""COMPUTED_VALUE"""),"India")</f>
        <v>India</v>
      </c>
      <c r="C2593" s="1">
        <f ca="1">IFERROR(__xludf.DUMMYFUNCTION("""COMPUTED_VALUE"""),400077)</f>
        <v>400077</v>
      </c>
      <c r="D2593" s="1" t="str">
        <f ca="1">IFERROR(__xludf.DUMMYFUNCTION("""COMPUTED_VALUE"""),"Male")</f>
        <v>Male</v>
      </c>
      <c r="E2593" s="1" t="str">
        <f ca="1">IFERROR(__xludf.DUMMYFUNCTION("""COMPUTED_VALUE"""),"People who have changed the world for better")</f>
        <v>People who have changed the world for better</v>
      </c>
      <c r="F2593" s="1" t="str">
        <f ca="1">IFERROR(__xludf.DUMMYFUNCTION("""COMPUTED_VALUE"""),"Yes, I will earn and do that")</f>
        <v>Yes, I will earn and do that</v>
      </c>
      <c r="G2593" s="1" t="str">
        <f ca="1">IFERROR(__xludf.DUMMYFUNCTION("""COMPUTED_VALUE"""),"Will work for 3 years or more")</f>
        <v>Will work for 3 years or more</v>
      </c>
      <c r="H2593" s="1" t="str">
        <f ca="1">IFERROR(__xludf.DUMMYFUNCTION("""COMPUTED_VALUE"""),"No")</f>
        <v>No</v>
      </c>
      <c r="I2593" s="1" t="str">
        <f ca="1">IFERROR(__xludf.DUMMYFUNCTION("""COMPUTED_VALUE"""),"Will NOT work for them")</f>
        <v>Will NOT work for them</v>
      </c>
      <c r="J2593" s="1">
        <f ca="1">IFERROR(__xludf.DUMMYFUNCTION("""COMPUTED_VALUE"""),7)</f>
        <v>7</v>
      </c>
      <c r="K2593" s="1" t="str">
        <f ca="1">IFERROR(__xludf.DUMMYFUNCTION("""COMPUTED_VALUE"""),"Every Day Office Environment")</f>
        <v>Every Day Office Environment</v>
      </c>
      <c r="L2593" s="1" t="str">
        <f ca="1">IFERROR(__xludf.DUMMYFUNCTION("""COMPUTED_VALUE"""),"Employer who appreciates learning and enables that environment")</f>
        <v>Employer who appreciates learning and enables that environment</v>
      </c>
      <c r="M259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93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593" s="1" t="str">
        <f ca="1">IFERROR(__xludf.DUMMYFUNCTION("""COMPUTED_VALUE"""),"Manager who clearly describes what she/he needs")</f>
        <v>Manager who clearly describes what she/he needs</v>
      </c>
      <c r="P2593" s="1" t="str">
        <f ca="1">IFERROR(__xludf.DUMMYFUNCTION("""COMPUTED_VALUE"""),"Work with 5 to 6 people in my team")</f>
        <v>Work with 5 to 6 people in my team</v>
      </c>
      <c r="Q2593" s="1" t="str">
        <f ca="1">IFERROR(__xludf.DUMMYFUNCTION("""COMPUTED_VALUE"""),"Yes, I Understand this is gonna happen everywhere")</f>
        <v>Yes, I Understand this is gonna happen everywhere</v>
      </c>
      <c r="R2593" s="1" t="str">
        <f ca="1">IFERROR(__xludf.DUMMYFUNCTION("""COMPUTED_VALUE"""),"Will work for 7 years or more")</f>
        <v>Will work for 7 years or more</v>
      </c>
      <c r="S2593" s="1" t="str">
        <f ca="1">IFERROR(__xludf.DUMMYFUNCTION("""COMPUTED_VALUE"""),"daftarydeep@gmail.com")</f>
        <v>daftarydeep@gmail.com</v>
      </c>
    </row>
    <row r="2594" spans="1:19" ht="12.5" x14ac:dyDescent="0.25">
      <c r="A2594" s="2">
        <f ca="1">IFERROR(__xludf.DUMMYFUNCTION("""COMPUTED_VALUE"""),45065.7456012384)</f>
        <v>45065.745601238399</v>
      </c>
      <c r="B2594" s="1" t="str">
        <f ca="1">IFERROR(__xludf.DUMMYFUNCTION("""COMPUTED_VALUE"""),"India")</f>
        <v>India</v>
      </c>
      <c r="C2594" s="1">
        <f ca="1">IFERROR(__xludf.DUMMYFUNCTION("""COMPUTED_VALUE"""),122001)</f>
        <v>122001</v>
      </c>
      <c r="D2594" s="1" t="str">
        <f ca="1">IFERROR(__xludf.DUMMYFUNCTION("""COMPUTED_VALUE"""),"Female")</f>
        <v>Female</v>
      </c>
      <c r="E2594" s="1" t="str">
        <f ca="1">IFERROR(__xludf.DUMMYFUNCTION("""COMPUTED_VALUE"""),"My Parents")</f>
        <v>My Parents</v>
      </c>
      <c r="F2594" s="1" t="str">
        <f ca="1">IFERROR(__xludf.DUMMYFUNCTION("""COMPUTED_VALUE"""),"Yes, I will earn and do that")</f>
        <v>Yes, I will earn and do that</v>
      </c>
      <c r="G2594" s="1" t="str">
        <f ca="1">IFERROR(__xludf.DUMMYFUNCTION("""COMPUTED_VALUE"""),"Will work for 3 years or more")</f>
        <v>Will work for 3 years or more</v>
      </c>
      <c r="H2594" s="1" t="str">
        <f ca="1">IFERROR(__xludf.DUMMYFUNCTION("""COMPUTED_VALUE"""),"No")</f>
        <v>No</v>
      </c>
      <c r="I2594" s="1" t="str">
        <f ca="1">IFERROR(__xludf.DUMMYFUNCTION("""COMPUTED_VALUE"""),"Will NOT work for them")</f>
        <v>Will NOT work for them</v>
      </c>
      <c r="J2594" s="1">
        <f ca="1">IFERROR(__xludf.DUMMYFUNCTION("""COMPUTED_VALUE"""),5)</f>
        <v>5</v>
      </c>
      <c r="K2594" s="1" t="str">
        <f ca="1">IFERROR(__xludf.DUMMYFUNCTION("""COMPUTED_VALUE"""),"Fully Remote with No option to visit offices")</f>
        <v>Fully Remote with No option to visit offices</v>
      </c>
      <c r="L2594" s="1" t="str">
        <f ca="1">IFERROR(__xludf.DUMMYFUNCTION("""COMPUTED_VALUE"""),"Employer who appreciates learning and enables that environment")</f>
        <v>Employer who appreciates learning and enables that environment</v>
      </c>
      <c r="M259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94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594" s="1" t="str">
        <f ca="1">IFERROR(__xludf.DUMMYFUNCTION("""COMPUTED_VALUE"""),"Manager who clearly describes what she/he needs")</f>
        <v>Manager who clearly describes what she/he needs</v>
      </c>
      <c r="P2594" s="1" t="str">
        <f ca="1">IFERROR(__xludf.DUMMYFUNCTION("""COMPUTED_VALUE"""),"Work with 2 to 3 people in my team")</f>
        <v>Work with 2 to 3 people in my team</v>
      </c>
      <c r="Q2594" s="1" t="str">
        <f ca="1">IFERROR(__xludf.DUMMYFUNCTION("""COMPUTED_VALUE"""),"No")</f>
        <v>No</v>
      </c>
      <c r="R2594" s="1" t="str">
        <f ca="1">IFERROR(__xludf.DUMMYFUNCTION("""COMPUTED_VALUE"""),"Will work for 7 years or more")</f>
        <v>Will work for 7 years or more</v>
      </c>
      <c r="S2594" s="1" t="str">
        <f ca="1">IFERROR(__xludf.DUMMYFUNCTION("""COMPUTED_VALUE"""),"nishadawar111@gmail.com")</f>
        <v>nishadawar111@gmail.com</v>
      </c>
    </row>
    <row r="2595" spans="1:19" ht="12.5" x14ac:dyDescent="0.25">
      <c r="A2595" s="2">
        <f ca="1">IFERROR(__xludf.DUMMYFUNCTION("""COMPUTED_VALUE"""),45065.746685162)</f>
        <v>45065.746685161997</v>
      </c>
      <c r="B2595" s="1" t="str">
        <f ca="1">IFERROR(__xludf.DUMMYFUNCTION("""COMPUTED_VALUE"""),"India")</f>
        <v>India</v>
      </c>
      <c r="C2595" s="1">
        <f ca="1">IFERROR(__xludf.DUMMYFUNCTION("""COMPUTED_VALUE"""),124001)</f>
        <v>124001</v>
      </c>
      <c r="D2595" s="1" t="str">
        <f ca="1">IFERROR(__xludf.DUMMYFUNCTION("""COMPUTED_VALUE"""),"Male")</f>
        <v>Male</v>
      </c>
      <c r="E2595" s="1" t="str">
        <f ca="1">IFERROR(__xludf.DUMMYFUNCTION("""COMPUTED_VALUE"""),"People from my circle, but not family members")</f>
        <v>People from my circle, but not family members</v>
      </c>
      <c r="F2595" s="1" t="str">
        <f ca="1">IFERROR(__xludf.DUMMYFUNCTION("""COMPUTED_VALUE"""),"No I would not be pursuing Higher Education outside of India")</f>
        <v>No I would not be pursuing Higher Education outside of India</v>
      </c>
      <c r="G2595" s="1" t="str">
        <f ca="1">IFERROR(__xludf.DUMMYFUNCTION("""COMPUTED_VALUE"""),"This will be hard to do, but if it is the right company I would try")</f>
        <v>This will be hard to do, but if it is the right company I would try</v>
      </c>
      <c r="H2595" s="1" t="str">
        <f ca="1">IFERROR(__xludf.DUMMYFUNCTION("""COMPUTED_VALUE"""),"No")</f>
        <v>No</v>
      </c>
      <c r="I2595" s="1" t="str">
        <f ca="1">IFERROR(__xludf.DUMMYFUNCTION("""COMPUTED_VALUE"""),"Will work for them")</f>
        <v>Will work for them</v>
      </c>
      <c r="J2595" s="1">
        <f ca="1">IFERROR(__xludf.DUMMYFUNCTION("""COMPUTED_VALUE"""),10)</f>
        <v>10</v>
      </c>
      <c r="K2595" s="1" t="str">
        <f ca="1">IFERROR(__xludf.DUMMYFUNCTION("""COMPUTED_VALUE"""),"Every Day Office Environment")</f>
        <v>Every Day Office Environment</v>
      </c>
      <c r="L2595" s="1" t="str">
        <f ca="1">IFERROR(__xludf.DUMMYFUNCTION("""COMPUTED_VALUE"""),"Employer who appreciates learning and enables that environment")</f>
        <v>Employer who appreciates learning and enables that environment</v>
      </c>
      <c r="M259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595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2595" s="1" t="str">
        <f ca="1">IFERROR(__xludf.DUMMYFUNCTION("""COMPUTED_VALUE"""),"Manager who sets goal and helps me achieve it")</f>
        <v>Manager who sets goal and helps me achieve it</v>
      </c>
      <c r="P2595" s="1" t="str">
        <f ca="1">IFERROR(__xludf.DUMMYFUNCTION("""COMPUTED_VALUE"""),"Work with 5 to 6 people in my team")</f>
        <v>Work with 5 to 6 people in my team</v>
      </c>
      <c r="Q2595" s="1" t="str">
        <f ca="1">IFERROR(__xludf.DUMMYFUNCTION("""COMPUTED_VALUE"""),"I have NO other choice")</f>
        <v>I have NO other choice</v>
      </c>
      <c r="R2595" s="1" t="str">
        <f ca="1">IFERROR(__xludf.DUMMYFUNCTION("""COMPUTED_VALUE"""),"This will be hard to do, but if it is the right company I would try")</f>
        <v>This will be hard to do, but if it is the right company I would try</v>
      </c>
      <c r="S2595" s="1" t="str">
        <f ca="1">IFERROR(__xludf.DUMMYFUNCTION("""COMPUTED_VALUE"""),"tusharhooda480@gmail.com")</f>
        <v>tusharhooda480@gmail.com</v>
      </c>
    </row>
    <row r="2596" spans="1:19" ht="12.5" x14ac:dyDescent="0.25">
      <c r="A2596" s="2">
        <f ca="1">IFERROR(__xludf.DUMMYFUNCTION("""COMPUTED_VALUE"""),45065.7468139004)</f>
        <v>45065.746813900398</v>
      </c>
      <c r="B2596" s="1" t="str">
        <f ca="1">IFERROR(__xludf.DUMMYFUNCTION("""COMPUTED_VALUE"""),"India")</f>
        <v>India</v>
      </c>
      <c r="C2596" s="1">
        <f ca="1">IFERROR(__xludf.DUMMYFUNCTION("""COMPUTED_VALUE"""),751010)</f>
        <v>751010</v>
      </c>
      <c r="D2596" s="1" t="str">
        <f ca="1">IFERROR(__xludf.DUMMYFUNCTION("""COMPUTED_VALUE"""),"Male")</f>
        <v>Male</v>
      </c>
      <c r="E2596" s="1" t="str">
        <f ca="1">IFERROR(__xludf.DUMMYFUNCTION("""COMPUTED_VALUE"""),"Influencers who had successful careers")</f>
        <v>Influencers who had successful careers</v>
      </c>
      <c r="F2596" s="1" t="str">
        <f ca="1">IFERROR(__xludf.DUMMYFUNCTION("""COMPUTED_VALUE"""),"No I would not be pursuing Higher Education outside of India")</f>
        <v>No I would not be pursuing Higher Education outside of India</v>
      </c>
      <c r="G2596" s="1" t="str">
        <f ca="1">IFERROR(__xludf.DUMMYFUNCTION("""COMPUTED_VALUE"""),"Will work for 3 years or more")</f>
        <v>Will work for 3 years or more</v>
      </c>
      <c r="H2596" s="1" t="str">
        <f ca="1">IFERROR(__xludf.DUMMYFUNCTION("""COMPUTED_VALUE"""),"No")</f>
        <v>No</v>
      </c>
      <c r="I2596" s="1" t="str">
        <f ca="1">IFERROR(__xludf.DUMMYFUNCTION("""COMPUTED_VALUE"""),"Will NOT work for them")</f>
        <v>Will NOT work for them</v>
      </c>
      <c r="J2596" s="1">
        <f ca="1">IFERROR(__xludf.DUMMYFUNCTION("""COMPUTED_VALUE"""),9)</f>
        <v>9</v>
      </c>
      <c r="K2596" s="1" t="str">
        <f ca="1">IFERROR(__xludf.DUMMYFUNCTION("""COMPUTED_VALUE"""),"Hybrid Working Environment with more than 15 days a month at office")</f>
        <v>Hybrid Working Environment with more than 15 days a month at office</v>
      </c>
      <c r="L2596" s="1" t="str">
        <f ca="1">IFERROR(__xludf.DUMMYFUNCTION("""COMPUTED_VALUE"""),"Employer who appreciates learning and enables that environment")</f>
        <v>Employer who appreciates learning and enables that environment</v>
      </c>
      <c r="M259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596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2596" s="1" t="str">
        <f ca="1">IFERROR(__xludf.DUMMYFUNCTION("""COMPUTED_VALUE"""),"Manager who explains what is expected, sets a goal and helps achieve it")</f>
        <v>Manager who explains what is expected, sets a goal and helps achieve it</v>
      </c>
      <c r="P2596" s="1" t="str">
        <f ca="1">IFERROR(__xludf.DUMMYFUNCTION("""COMPUTED_VALUE"""),"Work with 5 to 6 people in my team")</f>
        <v>Work with 5 to 6 people in my team</v>
      </c>
      <c r="Q2596" s="1" t="str">
        <f ca="1">IFERROR(__xludf.DUMMYFUNCTION("""COMPUTED_VALUE"""),"No")</f>
        <v>No</v>
      </c>
      <c r="R2596" s="1" t="str">
        <f ca="1">IFERROR(__xludf.DUMMYFUNCTION("""COMPUTED_VALUE"""),"This will be hard to do, but if it is the right company I would try")</f>
        <v>This will be hard to do, but if it is the right company I would try</v>
      </c>
      <c r="S2596" s="1" t="str">
        <f ca="1">IFERROR(__xludf.DUMMYFUNCTION("""COMPUTED_VALUE"""),"surajku16@gmail.com")</f>
        <v>surajku16@gmail.com</v>
      </c>
    </row>
    <row r="2597" spans="1:19" ht="12.5" x14ac:dyDescent="0.25">
      <c r="A2597" s="2">
        <f ca="1">IFERROR(__xludf.DUMMYFUNCTION("""COMPUTED_VALUE"""),45065.7469469907)</f>
        <v>45065.746946990701</v>
      </c>
      <c r="B2597" s="1" t="str">
        <f ca="1">IFERROR(__xludf.DUMMYFUNCTION("""COMPUTED_VALUE"""),"India")</f>
        <v>India</v>
      </c>
      <c r="C2597" s="1">
        <f ca="1">IFERROR(__xludf.DUMMYFUNCTION("""COMPUTED_VALUE"""),400098)</f>
        <v>400098</v>
      </c>
      <c r="D2597" s="1" t="str">
        <f ca="1">IFERROR(__xludf.DUMMYFUNCTION("""COMPUTED_VALUE"""),"Female")</f>
        <v>Female</v>
      </c>
      <c r="E2597" s="1" t="str">
        <f ca="1">IFERROR(__xludf.DUMMYFUNCTION("""COMPUTED_VALUE"""),"My Parents")</f>
        <v>My Parents</v>
      </c>
      <c r="F2597" s="1" t="str">
        <f ca="1">IFERROR(__xludf.DUMMYFUNCTION("""COMPUTED_VALUE"""),"Yes, I will earn and do that")</f>
        <v>Yes, I will earn and do that</v>
      </c>
      <c r="G2597" s="1" t="str">
        <f ca="1">IFERROR(__xludf.DUMMYFUNCTION("""COMPUTED_VALUE"""),"Will work for 3 years or more")</f>
        <v>Will work for 3 years or more</v>
      </c>
      <c r="H2597" s="1" t="str">
        <f ca="1">IFERROR(__xludf.DUMMYFUNCTION("""COMPUTED_VALUE"""),"Yes")</f>
        <v>Yes</v>
      </c>
      <c r="I2597" s="1" t="str">
        <f ca="1">IFERROR(__xludf.DUMMYFUNCTION("""COMPUTED_VALUE"""),"Will work for them")</f>
        <v>Will work for them</v>
      </c>
      <c r="J2597" s="1">
        <f ca="1">IFERROR(__xludf.DUMMYFUNCTION("""COMPUTED_VALUE"""),6)</f>
        <v>6</v>
      </c>
      <c r="K2597" s="1" t="str">
        <f ca="1">IFERROR(__xludf.DUMMYFUNCTION("""COMPUTED_VALUE"""),"Hybrid Working Environment with more than 15 days a month at office")</f>
        <v>Hybrid Working Environment with more than 15 days a month at office</v>
      </c>
      <c r="L25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97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597" s="1" t="str">
        <f ca="1">IFERROR(__xludf.DUMMYFUNCTION("""COMPUTED_VALUE"""),"Design and Creative strategy in any company, Teaching in any of the institutes/colleges/online or offline, Business Operations in any organization, Entrepreneur or Start Up")</f>
        <v>Design and Creative strategy in any company, Teaching in any of the institutes/colleges/online or offline, Business Operations in any organization, Entrepreneur or Start Up</v>
      </c>
      <c r="O2597" s="1" t="str">
        <f ca="1">IFERROR(__xludf.DUMMYFUNCTION("""COMPUTED_VALUE"""),"Manager who clearly describes what she/he needs")</f>
        <v>Manager who clearly describes what she/he needs</v>
      </c>
      <c r="P2597" s="1" t="str">
        <f ca="1">IFERROR(__xludf.DUMMYFUNCTION("""COMPUTED_VALUE"""),"Work alone, Work with 2 to 3 people in my team")</f>
        <v>Work alone, Work with 2 to 3 people in my team</v>
      </c>
      <c r="Q2597" s="1" t="str">
        <f ca="1">IFERROR(__xludf.DUMMYFUNCTION("""COMPUTED_VALUE"""),"Yes, I Understand this is gonna happen everywhere")</f>
        <v>Yes, I Understand this is gonna happen everywhere</v>
      </c>
      <c r="R2597" s="1" t="str">
        <f ca="1">IFERROR(__xludf.DUMMYFUNCTION("""COMPUTED_VALUE"""),"Will work for 7 years or more")</f>
        <v>Will work for 7 years or more</v>
      </c>
      <c r="S2597" s="1" t="str">
        <f ca="1">IFERROR(__xludf.DUMMYFUNCTION("""COMPUTED_VALUE"""),"tanishkagala26@gmail.com")</f>
        <v>tanishkagala26@gmail.com</v>
      </c>
    </row>
    <row r="2598" spans="1:19" ht="12.5" x14ac:dyDescent="0.25">
      <c r="A2598" s="2">
        <f ca="1">IFERROR(__xludf.DUMMYFUNCTION("""COMPUTED_VALUE"""),45065.7474844444)</f>
        <v>45065.7474844444</v>
      </c>
      <c r="B2598" s="1" t="str">
        <f ca="1">IFERROR(__xludf.DUMMYFUNCTION("""COMPUTED_VALUE"""),"India")</f>
        <v>India</v>
      </c>
      <c r="C2598" s="1">
        <f ca="1">IFERROR(__xludf.DUMMYFUNCTION("""COMPUTED_VALUE"""),110009)</f>
        <v>110009</v>
      </c>
      <c r="D2598" s="1" t="str">
        <f ca="1">IFERROR(__xludf.DUMMYFUNCTION("""COMPUTED_VALUE"""),"Male")</f>
        <v>Male</v>
      </c>
      <c r="E2598" s="1" t="str">
        <f ca="1">IFERROR(__xludf.DUMMYFUNCTION("""COMPUTED_VALUE"""),"My Parents")</f>
        <v>My Parents</v>
      </c>
      <c r="F2598" s="1" t="str">
        <f ca="1">IFERROR(__xludf.DUMMYFUNCTION("""COMPUTED_VALUE"""),"Yes, I will earn and do that")</f>
        <v>Yes, I will earn and do that</v>
      </c>
      <c r="G2598" s="1" t="str">
        <f ca="1">IFERROR(__xludf.DUMMYFUNCTION("""COMPUTED_VALUE"""),"This will be hard to do, but if it is the right company I would try")</f>
        <v>This will be hard to do, but if it is the right company I would try</v>
      </c>
      <c r="H2598" s="1" t="str">
        <f ca="1">IFERROR(__xludf.DUMMYFUNCTION("""COMPUTED_VALUE"""),"No")</f>
        <v>No</v>
      </c>
      <c r="I2598" s="1" t="str">
        <f ca="1">IFERROR(__xludf.DUMMYFUNCTION("""COMPUTED_VALUE"""),"Will NOT work for them")</f>
        <v>Will NOT work for them</v>
      </c>
      <c r="J2598" s="1">
        <f ca="1">IFERROR(__xludf.DUMMYFUNCTION("""COMPUTED_VALUE"""),5)</f>
        <v>5</v>
      </c>
      <c r="K2598" s="1" t="str">
        <f ca="1">IFERROR(__xludf.DUMMYFUNCTION("""COMPUTED_VALUE"""),"Every Day Office Environment")</f>
        <v>Every Day Office Environment</v>
      </c>
      <c r="L25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9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598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598" s="1" t="str">
        <f ca="1">IFERROR(__xludf.DUMMYFUNCTION("""COMPUTED_VALUE"""),"Manager who sets goal and helps me achieve it")</f>
        <v>Manager who sets goal and helps me achieve it</v>
      </c>
      <c r="P2598" s="1" t="str">
        <f ca="1">IFERROR(__xludf.DUMMYFUNCTION("""COMPUTED_VALUE"""),"Work with more than 10 people in my team")</f>
        <v>Work with more than 10 people in my team</v>
      </c>
      <c r="Q2598" s="1" t="str">
        <f ca="1">IFERROR(__xludf.DUMMYFUNCTION("""COMPUTED_VALUE"""),"No")</f>
        <v>No</v>
      </c>
      <c r="R2598" s="1" t="str">
        <f ca="1">IFERROR(__xludf.DUMMYFUNCTION("""COMPUTED_VALUE"""),"This will be hard to do, but if it is the right company I would try")</f>
        <v>This will be hard to do, but if it is the right company I would try</v>
      </c>
      <c r="S2598" s="1" t="str">
        <f ca="1">IFERROR(__xludf.DUMMYFUNCTION("""COMPUTED_VALUE"""),"pushpinder.singh611@gmail.com")</f>
        <v>pushpinder.singh611@gmail.com</v>
      </c>
    </row>
    <row r="2599" spans="1:19" ht="12.5" x14ac:dyDescent="0.25">
      <c r="A2599" s="2">
        <f ca="1">IFERROR(__xludf.DUMMYFUNCTION("""COMPUTED_VALUE"""),45065.749518449)</f>
        <v>45065.749518449004</v>
      </c>
      <c r="B2599" s="1" t="str">
        <f ca="1">IFERROR(__xludf.DUMMYFUNCTION("""COMPUTED_VALUE"""),"India")</f>
        <v>India</v>
      </c>
      <c r="C2599" s="1">
        <f ca="1">IFERROR(__xludf.DUMMYFUNCTION("""COMPUTED_VALUE"""),520002)</f>
        <v>520002</v>
      </c>
      <c r="D2599" s="1" t="str">
        <f ca="1">IFERROR(__xludf.DUMMYFUNCTION("""COMPUTED_VALUE"""),"Female")</f>
        <v>Female</v>
      </c>
      <c r="E2599" s="1" t="str">
        <f ca="1">IFERROR(__xludf.DUMMYFUNCTION("""COMPUTED_VALUE"""),"My Parents")</f>
        <v>My Parents</v>
      </c>
      <c r="F2599" s="1" t="str">
        <f ca="1">IFERROR(__xludf.DUMMYFUNCTION("""COMPUTED_VALUE"""),"Yes, I will earn and do that")</f>
        <v>Yes, I will earn and do that</v>
      </c>
      <c r="G2599" s="1" t="str">
        <f ca="1">IFERROR(__xludf.DUMMYFUNCTION("""COMPUTED_VALUE"""),"Will work for 3 years or more")</f>
        <v>Will work for 3 years or more</v>
      </c>
      <c r="H2599" s="1" t="str">
        <f ca="1">IFERROR(__xludf.DUMMYFUNCTION("""COMPUTED_VALUE"""),"Yes")</f>
        <v>Yes</v>
      </c>
      <c r="I2599" s="1" t="str">
        <f ca="1">IFERROR(__xludf.DUMMYFUNCTION("""COMPUTED_VALUE"""),"Will work for them")</f>
        <v>Will work for them</v>
      </c>
      <c r="J2599" s="1">
        <f ca="1">IFERROR(__xludf.DUMMYFUNCTION("""COMPUTED_VALUE"""),1)</f>
        <v>1</v>
      </c>
      <c r="K2599" s="1" t="str">
        <f ca="1">IFERROR(__xludf.DUMMYFUNCTION("""COMPUTED_VALUE"""),"Every Day Office Environment")</f>
        <v>Every Day Office Environment</v>
      </c>
      <c r="L259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59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599" s="1" t="str">
        <f ca="1">IFERROR(__xludf.DUMMYFUNCTION("""COMPUTED_VALUE"""),"Design and Creative strategy in any company, Teaching in any of the institutes/colleges/online or offline, Entrepreneur or Start Up, I Want to sell things/Sales")</f>
        <v>Design and Creative strategy in any company, Teaching in any of the institutes/colleges/online or offline, Entrepreneur or Start Up, I Want to sell things/Sales</v>
      </c>
      <c r="O2599" s="1" t="str">
        <f ca="1">IFERROR(__xludf.DUMMYFUNCTION("""COMPUTED_VALUE"""),"Manager who sets unrealistic targets")</f>
        <v>Manager who sets unrealistic targets</v>
      </c>
      <c r="P2599" s="1" t="str">
        <f ca="1">IFERROR(__xludf.DUMMYFUNCTION("""COMPUTED_VALUE"""),"Work alone")</f>
        <v>Work alone</v>
      </c>
      <c r="Q2599" s="1" t="str">
        <f ca="1">IFERROR(__xludf.DUMMYFUNCTION("""COMPUTED_VALUE"""),"Yes, I Understand this is gonna happen everywhere")</f>
        <v>Yes, I Understand this is gonna happen everywhere</v>
      </c>
      <c r="R2599" s="1" t="str">
        <f ca="1">IFERROR(__xludf.DUMMYFUNCTION("""COMPUTED_VALUE"""),"Will work for 7 years or more")</f>
        <v>Will work for 7 years or more</v>
      </c>
      <c r="S2599" s="1" t="str">
        <f ca="1">IFERROR(__xludf.DUMMYFUNCTION("""COMPUTED_VALUE"""),"bindumadhavijuturi@gmail.com")</f>
        <v>bindumadhavijuturi@gmail.com</v>
      </c>
    </row>
    <row r="2600" spans="1:19" ht="12.5" x14ac:dyDescent="0.25">
      <c r="A2600" s="2">
        <f ca="1">IFERROR(__xludf.DUMMYFUNCTION("""COMPUTED_VALUE"""),45065.7505204629)</f>
        <v>45065.750520462898</v>
      </c>
      <c r="B2600" s="1" t="str">
        <f ca="1">IFERROR(__xludf.DUMMYFUNCTION("""COMPUTED_VALUE"""),"India")</f>
        <v>India</v>
      </c>
      <c r="C2600" s="1">
        <f ca="1">IFERROR(__xludf.DUMMYFUNCTION("""COMPUTED_VALUE"""),411014)</f>
        <v>411014</v>
      </c>
      <c r="D2600" s="1" t="str">
        <f ca="1">IFERROR(__xludf.DUMMYFUNCTION("""COMPUTED_VALUE"""),"Female")</f>
        <v>Female</v>
      </c>
      <c r="E2600" s="1" t="str">
        <f ca="1">IFERROR(__xludf.DUMMYFUNCTION("""COMPUTED_VALUE"""),"People from my circle, but not family members")</f>
        <v>People from my circle, but not family members</v>
      </c>
      <c r="F2600" s="1" t="str">
        <f ca="1">IFERROR(__xludf.DUMMYFUNCTION("""COMPUTED_VALUE"""),"No, But if someone could bare the cost I will")</f>
        <v>No, But if someone could bare the cost I will</v>
      </c>
      <c r="G2600" s="1" t="str">
        <f ca="1">IFERROR(__xludf.DUMMYFUNCTION("""COMPUTED_VALUE"""),"This will be hard to do, but if it is the right company I would try")</f>
        <v>This will be hard to do, but if it is the right company I would try</v>
      </c>
      <c r="H2600" s="1" t="str">
        <f ca="1">IFERROR(__xludf.DUMMYFUNCTION("""COMPUTED_VALUE"""),"No")</f>
        <v>No</v>
      </c>
      <c r="I2600" s="1" t="str">
        <f ca="1">IFERROR(__xludf.DUMMYFUNCTION("""COMPUTED_VALUE"""),"Will NOT work for them")</f>
        <v>Will NOT work for them</v>
      </c>
      <c r="J2600" s="1">
        <f ca="1">IFERROR(__xludf.DUMMYFUNCTION("""COMPUTED_VALUE"""),5)</f>
        <v>5</v>
      </c>
      <c r="K2600" s="1" t="str">
        <f ca="1">IFERROR(__xludf.DUMMYFUNCTION("""COMPUTED_VALUE"""),"Fully Remote with Options to travel as and when needed")</f>
        <v>Fully Remote with Options to travel as and when needed</v>
      </c>
      <c r="L26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00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600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600" s="1" t="str">
        <f ca="1">IFERROR(__xludf.DUMMYFUNCTION("""COMPUTED_VALUE"""),"Manager who explains what is expected, sets a goal and helps achieve it")</f>
        <v>Manager who explains what is expected, sets a goal and helps achieve it</v>
      </c>
      <c r="P2600" s="1" t="str">
        <f ca="1">IFERROR(__xludf.DUMMYFUNCTION("""COMPUTED_VALUE"""),"Work with 2 to 3 people in my team, Work with 5 to 6 people in my team")</f>
        <v>Work with 2 to 3 people in my team, Work with 5 to 6 people in my team</v>
      </c>
      <c r="Q2600" s="1" t="str">
        <f ca="1">IFERROR(__xludf.DUMMYFUNCTION("""COMPUTED_VALUE"""),"Yes, I Understand this is gonna happen everywhere")</f>
        <v>Yes, I Understand this is gonna happen everywhere</v>
      </c>
      <c r="R2600" s="1" t="str">
        <f ca="1">IFERROR(__xludf.DUMMYFUNCTION("""COMPUTED_VALUE"""),"No way")</f>
        <v>No way</v>
      </c>
      <c r="S2600" s="1" t="str">
        <f ca="1">IFERROR(__xludf.DUMMYFUNCTION("""COMPUTED_VALUE"""),"nikitakamble375@gmail.com")</f>
        <v>nikitakamble375@gmail.com</v>
      </c>
    </row>
    <row r="2601" spans="1:19" ht="12.5" x14ac:dyDescent="0.25">
      <c r="A2601" s="2">
        <f ca="1">IFERROR(__xludf.DUMMYFUNCTION("""COMPUTED_VALUE"""),45065.7514812731)</f>
        <v>45065.751481273102</v>
      </c>
      <c r="B2601" s="1" t="str">
        <f ca="1">IFERROR(__xludf.DUMMYFUNCTION("""COMPUTED_VALUE"""),"India")</f>
        <v>India</v>
      </c>
      <c r="C2601" s="1">
        <f ca="1">IFERROR(__xludf.DUMMYFUNCTION("""COMPUTED_VALUE"""),521001)</f>
        <v>521001</v>
      </c>
      <c r="D2601" s="1" t="str">
        <f ca="1">IFERROR(__xludf.DUMMYFUNCTION("""COMPUTED_VALUE"""),"Female")</f>
        <v>Female</v>
      </c>
      <c r="E2601" s="1" t="str">
        <f ca="1">IFERROR(__xludf.DUMMYFUNCTION("""COMPUTED_VALUE"""),"My Parents")</f>
        <v>My Parents</v>
      </c>
      <c r="F2601" s="1" t="str">
        <f ca="1">IFERROR(__xludf.DUMMYFUNCTION("""COMPUTED_VALUE"""),"No I would not be pursuing Higher Education outside of India")</f>
        <v>No I would not be pursuing Higher Education outside of India</v>
      </c>
      <c r="G2601" s="1" t="str">
        <f ca="1">IFERROR(__xludf.DUMMYFUNCTION("""COMPUTED_VALUE"""),"Will work for 3 years or more")</f>
        <v>Will work for 3 years or more</v>
      </c>
      <c r="H2601" s="1" t="str">
        <f ca="1">IFERROR(__xludf.DUMMYFUNCTION("""COMPUTED_VALUE"""),"No")</f>
        <v>No</v>
      </c>
      <c r="I2601" s="1" t="str">
        <f ca="1">IFERROR(__xludf.DUMMYFUNCTION("""COMPUTED_VALUE"""),"Will NOT work for them")</f>
        <v>Will NOT work for them</v>
      </c>
      <c r="J2601" s="1">
        <f ca="1">IFERROR(__xludf.DUMMYFUNCTION("""COMPUTED_VALUE"""),7)</f>
        <v>7</v>
      </c>
      <c r="K2601" s="1" t="str">
        <f ca="1">IFERROR(__xludf.DUMMYFUNCTION("""COMPUTED_VALUE"""),"Every Day Office Environment")</f>
        <v>Every Day Office Environment</v>
      </c>
      <c r="L2601" s="1" t="str">
        <f ca="1">IFERROR(__xludf.DUMMYFUNCTION("""COMPUTED_VALUE"""),"Employer who appreciates learning and enables that environment")</f>
        <v>Employer who appreciates learning and enables that environment</v>
      </c>
      <c r="M2601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601" s="1" t="str">
        <f ca="1">IFERROR(__xludf.DUMMYFUNCTION("""COMPUTED_VALUE"""),"Design and Creative strategy in any company, Manage and drive End-to-End Projects or Products, Build and develop a Team, Become a content Creator in some platform")</f>
        <v>Design and Creative strategy in any company, Manage and drive End-to-End Projects or Products, Build and develop a Team, Become a content Creator in some platform</v>
      </c>
      <c r="O2601" s="1" t="str">
        <f ca="1">IFERROR(__xludf.DUMMYFUNCTION("""COMPUTED_VALUE"""),"Manager who explains what is expected, sets a goal and helps achieve it")</f>
        <v>Manager who explains what is expected, sets a goal and helps achieve it</v>
      </c>
      <c r="P2601" s="1" t="str">
        <f ca="1">IFERROR(__xludf.DUMMYFUNCTION("""COMPUTED_VALUE"""),"Work with 5 to 6 people in my team")</f>
        <v>Work with 5 to 6 people in my team</v>
      </c>
      <c r="Q2601" s="1" t="str">
        <f ca="1">IFERROR(__xludf.DUMMYFUNCTION("""COMPUTED_VALUE"""),"Yes, I Understand this is gonna happen everywhere")</f>
        <v>Yes, I Understand this is gonna happen everywhere</v>
      </c>
      <c r="R2601" s="1" t="str">
        <f ca="1">IFERROR(__xludf.DUMMYFUNCTION("""COMPUTED_VALUE"""),"Will work for 7 years or more")</f>
        <v>Will work for 7 years or more</v>
      </c>
      <c r="S2601" s="1" t="str">
        <f ca="1">IFERROR(__xludf.DUMMYFUNCTION("""COMPUTED_VALUE"""),"talupulanagma@gmail.com")</f>
        <v>talupulanagma@gmail.com</v>
      </c>
    </row>
    <row r="2602" spans="1:19" ht="12.5" x14ac:dyDescent="0.25">
      <c r="A2602" s="2">
        <f ca="1">IFERROR(__xludf.DUMMYFUNCTION("""COMPUTED_VALUE"""),45065.7531143634)</f>
        <v>45065.753114363397</v>
      </c>
      <c r="B2602" s="1" t="str">
        <f ca="1">IFERROR(__xludf.DUMMYFUNCTION("""COMPUTED_VALUE"""),"India")</f>
        <v>India</v>
      </c>
      <c r="C2602" s="1">
        <f ca="1">IFERROR(__xludf.DUMMYFUNCTION("""COMPUTED_VALUE"""),560093)</f>
        <v>560093</v>
      </c>
      <c r="D2602" s="1" t="str">
        <f ca="1">IFERROR(__xludf.DUMMYFUNCTION("""COMPUTED_VALUE"""),"Male")</f>
        <v>Male</v>
      </c>
      <c r="E2602" s="1" t="str">
        <f ca="1">IFERROR(__xludf.DUMMYFUNCTION("""COMPUTED_VALUE"""),"People who have changed the world for better")</f>
        <v>People who have changed the world for better</v>
      </c>
      <c r="F2602" s="1" t="str">
        <f ca="1">IFERROR(__xludf.DUMMYFUNCTION("""COMPUTED_VALUE"""),"No I would not be pursuing Higher Education outside of India")</f>
        <v>No I would not be pursuing Higher Education outside of India</v>
      </c>
      <c r="G2602" s="1" t="str">
        <f ca="1">IFERROR(__xludf.DUMMYFUNCTION("""COMPUTED_VALUE"""),"This will be hard to do, but if it is the right company I would try")</f>
        <v>This will be hard to do, but if it is the right company I would try</v>
      </c>
      <c r="H2602" s="1" t="str">
        <f ca="1">IFERROR(__xludf.DUMMYFUNCTION("""COMPUTED_VALUE"""),"No")</f>
        <v>No</v>
      </c>
      <c r="I2602" s="1" t="str">
        <f ca="1">IFERROR(__xludf.DUMMYFUNCTION("""COMPUTED_VALUE"""),"Will NOT work for them")</f>
        <v>Will NOT work for them</v>
      </c>
      <c r="J2602" s="1">
        <f ca="1">IFERROR(__xludf.DUMMYFUNCTION("""COMPUTED_VALUE"""),9)</f>
        <v>9</v>
      </c>
      <c r="K2602" s="1" t="str">
        <f ca="1">IFERROR(__xludf.DUMMYFUNCTION("""COMPUTED_VALUE"""),"Hybrid Working Environment with more than 15 days a month at office")</f>
        <v>Hybrid Working Environment with more than 15 days a month at office</v>
      </c>
      <c r="L26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02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602" s="1" t="str">
        <f ca="1">IFERROR(__xludf.DUMMYFUNCTION("""COMPUTED_VALUE"""),"Business Operations in any organization, Work as a freelancer and do my thing my way, Entrepreneur or Start Up, I Want to sell things/Sales")</f>
        <v>Business Operations in any organization, Work as a freelancer and do my thing my way, Entrepreneur or Start Up, I Want to sell things/Sales</v>
      </c>
      <c r="O2602" s="1" t="str">
        <f ca="1">IFERROR(__xludf.DUMMYFUNCTION("""COMPUTED_VALUE"""),"Manager who explains what is expected, sets a goal and helps achieve it")</f>
        <v>Manager who explains what is expected, sets a goal and helps achieve it</v>
      </c>
      <c r="P2602" s="1" t="str">
        <f ca="1">IFERROR(__xludf.DUMMYFUNCTION("""COMPUTED_VALUE"""),"Work with 5 to 6 people in my team")</f>
        <v>Work with 5 to 6 people in my team</v>
      </c>
      <c r="Q2602" s="1" t="str">
        <f ca="1">IFERROR(__xludf.DUMMYFUNCTION("""COMPUTED_VALUE"""),"Yes, I Understand this is gonna happen everywhere")</f>
        <v>Yes, I Understand this is gonna happen everywhere</v>
      </c>
      <c r="R2602" s="1" t="str">
        <f ca="1">IFERROR(__xludf.DUMMYFUNCTION("""COMPUTED_VALUE"""),"This will be hard to do, but if it is the right company I would try")</f>
        <v>This will be hard to do, but if it is the right company I would try</v>
      </c>
      <c r="S2602" s="1" t="str">
        <f ca="1">IFERROR(__xludf.DUMMYFUNCTION("""COMPUTED_VALUE"""),"vikrantsahoo119@gmail.com")</f>
        <v>vikrantsahoo119@gmail.com</v>
      </c>
    </row>
    <row r="2603" spans="1:19" ht="12.5" x14ac:dyDescent="0.25">
      <c r="A2603" s="2">
        <f ca="1">IFERROR(__xludf.DUMMYFUNCTION("""COMPUTED_VALUE"""),45065.7534299652)</f>
        <v>45065.753429965203</v>
      </c>
      <c r="B2603" s="1" t="str">
        <f ca="1">IFERROR(__xludf.DUMMYFUNCTION("""COMPUTED_VALUE"""),"India")</f>
        <v>India</v>
      </c>
      <c r="C2603" s="1">
        <f ca="1">IFERROR(__xludf.DUMMYFUNCTION("""COMPUTED_VALUE"""),395009)</f>
        <v>395009</v>
      </c>
      <c r="D2603" s="1" t="str">
        <f ca="1">IFERROR(__xludf.DUMMYFUNCTION("""COMPUTED_VALUE"""),"Female")</f>
        <v>Female</v>
      </c>
      <c r="E2603" s="1" t="str">
        <f ca="1">IFERROR(__xludf.DUMMYFUNCTION("""COMPUTED_VALUE"""),"My Parents")</f>
        <v>My Parents</v>
      </c>
      <c r="F2603" s="1" t="str">
        <f ca="1">IFERROR(__xludf.DUMMYFUNCTION("""COMPUTED_VALUE"""),"Yes, I will earn and do that")</f>
        <v>Yes, I will earn and do that</v>
      </c>
      <c r="G2603" s="1" t="str">
        <f ca="1">IFERROR(__xludf.DUMMYFUNCTION("""COMPUTED_VALUE"""),"Will work for 3 years or more")</f>
        <v>Will work for 3 years or more</v>
      </c>
      <c r="H2603" s="1" t="str">
        <f ca="1">IFERROR(__xludf.DUMMYFUNCTION("""COMPUTED_VALUE"""),"No")</f>
        <v>No</v>
      </c>
      <c r="I2603" s="1" t="str">
        <f ca="1">IFERROR(__xludf.DUMMYFUNCTION("""COMPUTED_VALUE"""),"Will NOT work for them")</f>
        <v>Will NOT work for them</v>
      </c>
      <c r="J2603" s="1">
        <f ca="1">IFERROR(__xludf.DUMMYFUNCTION("""COMPUTED_VALUE"""),3)</f>
        <v>3</v>
      </c>
      <c r="K2603" s="1" t="str">
        <f ca="1">IFERROR(__xludf.DUMMYFUNCTION("""COMPUTED_VALUE"""),"Fully Remote with No option to visit offices")</f>
        <v>Fully Remote with No option to visit offices</v>
      </c>
      <c r="L260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0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603" s="1" t="str">
        <f ca="1">IFERROR(__xludf.DUMMYFUNCTION("""COMPUTED_VALUE"""),"Design and Creative strategy in any company, Build and develop a Team, Design and Develop amazing software, Work as a freelancer and do my thing my way")</f>
        <v>Design and Creative strategy in any company, Build and develop a Team, Design and Develop amazing software, Work as a freelancer and do my thing my way</v>
      </c>
      <c r="O2603" s="1" t="str">
        <f ca="1">IFERROR(__xludf.DUMMYFUNCTION("""COMPUTED_VALUE"""),"Manager who sets goal and helps me achieve it")</f>
        <v>Manager who sets goal and helps me achieve it</v>
      </c>
      <c r="P2603" s="1" t="str">
        <f ca="1">IFERROR(__xludf.DUMMYFUNCTION("""COMPUTED_VALUE"""),"Work with 5 to 6 people in my team")</f>
        <v>Work with 5 to 6 people in my team</v>
      </c>
      <c r="Q2603" s="1" t="str">
        <f ca="1">IFERROR(__xludf.DUMMYFUNCTION("""COMPUTED_VALUE"""),"No")</f>
        <v>No</v>
      </c>
      <c r="R2603" s="1" t="str">
        <f ca="1">IFERROR(__xludf.DUMMYFUNCTION("""COMPUTED_VALUE"""),"This will be hard to do, but if it is the right company I would try")</f>
        <v>This will be hard to do, but if it is the right company I would try</v>
      </c>
      <c r="S2603" s="1" t="str">
        <f ca="1">IFERROR(__xludf.DUMMYFUNCTION("""COMPUTED_VALUE"""),"tamakuwalazeel@gmail.com")</f>
        <v>tamakuwalazeel@gmail.com</v>
      </c>
    </row>
    <row r="2604" spans="1:19" ht="12.5" x14ac:dyDescent="0.25">
      <c r="A2604" s="2">
        <f ca="1">IFERROR(__xludf.DUMMYFUNCTION("""COMPUTED_VALUE"""),45065.7554841898)</f>
        <v>45065.755484189802</v>
      </c>
      <c r="B2604" s="1" t="str">
        <f ca="1">IFERROR(__xludf.DUMMYFUNCTION("""COMPUTED_VALUE"""),"India")</f>
        <v>India</v>
      </c>
      <c r="C2604" s="1">
        <f ca="1">IFERROR(__xludf.DUMMYFUNCTION("""COMPUTED_VALUE"""),520001)</f>
        <v>520001</v>
      </c>
      <c r="D2604" s="1" t="str">
        <f ca="1">IFERROR(__xludf.DUMMYFUNCTION("""COMPUTED_VALUE"""),"Male")</f>
        <v>Male</v>
      </c>
      <c r="E2604" s="1" t="str">
        <f ca="1">IFERROR(__xludf.DUMMYFUNCTION("""COMPUTED_VALUE"""),"My Parents")</f>
        <v>My Parents</v>
      </c>
      <c r="F2604" s="1" t="str">
        <f ca="1">IFERROR(__xludf.DUMMYFUNCTION("""COMPUTED_VALUE"""),"Yes, I will earn and do that")</f>
        <v>Yes, I will earn and do that</v>
      </c>
      <c r="G2604" s="1" t="str">
        <f ca="1">IFERROR(__xludf.DUMMYFUNCTION("""COMPUTED_VALUE"""),"This will be hard to do, but if it is the right company I would try")</f>
        <v>This will be hard to do, but if it is the right company I would try</v>
      </c>
      <c r="H2604" s="1" t="str">
        <f ca="1">IFERROR(__xludf.DUMMYFUNCTION("""COMPUTED_VALUE"""),"No")</f>
        <v>No</v>
      </c>
      <c r="I2604" s="1" t="str">
        <f ca="1">IFERROR(__xludf.DUMMYFUNCTION("""COMPUTED_VALUE"""),"Will NOT work for them")</f>
        <v>Will NOT work for them</v>
      </c>
      <c r="J2604" s="1">
        <f ca="1">IFERROR(__xludf.DUMMYFUNCTION("""COMPUTED_VALUE"""),2)</f>
        <v>2</v>
      </c>
      <c r="K2604" s="1" t="str">
        <f ca="1">IFERROR(__xludf.DUMMYFUNCTION("""COMPUTED_VALUE"""),"Every Day Office Environment")</f>
        <v>Every Day Office Environment</v>
      </c>
      <c r="L2604" s="1" t="str">
        <f ca="1">IFERROR(__xludf.DUMMYFUNCTION("""COMPUTED_VALUE"""),"Employer who appreciates learning and enables that environment")</f>
        <v>Employer who appreciates learning and enables that environment</v>
      </c>
      <c r="M260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604" s="1" t="str">
        <f ca="1">IFERROR(__xludf.DUMMYFUNCTION("""COMPUTED_VALUE"""),"Business Operations in any organization, Manage and drive End-to-End Projects or Products, I Want to sell things/Sales, Manufacturing / Oil and Gas/ Construction / Hard Physical Work related")</f>
        <v>Business Operations in any organization, Manage and drive End-to-End Projects or Products, I Want to sell things/Sales, Manufacturing / Oil and Gas/ Construction / Hard Physical Work related</v>
      </c>
      <c r="O2604" s="1" t="str">
        <f ca="1">IFERROR(__xludf.DUMMYFUNCTION("""COMPUTED_VALUE"""),"Manager who sets unrealistic targets")</f>
        <v>Manager who sets unrealistic targets</v>
      </c>
      <c r="P2604" s="1" t="str">
        <f ca="1">IFERROR(__xludf.DUMMYFUNCTION("""COMPUTED_VALUE"""),"Work with more than 10 people in my team")</f>
        <v>Work with more than 10 people in my team</v>
      </c>
      <c r="Q2604" s="1" t="str">
        <f ca="1">IFERROR(__xludf.DUMMYFUNCTION("""COMPUTED_VALUE"""),"Yes")</f>
        <v>Yes</v>
      </c>
      <c r="R2604" s="1" t="str">
        <f ca="1">IFERROR(__xludf.DUMMYFUNCTION("""COMPUTED_VALUE"""),"This will be hard to do, but if it is the right company I would try")</f>
        <v>This will be hard to do, but if it is the right company I would try</v>
      </c>
      <c r="S2604" s="1" t="str">
        <f ca="1">IFERROR(__xludf.DUMMYFUNCTION("""COMPUTED_VALUE"""),"peethalasai281@gmail.com")</f>
        <v>peethalasai281@gmail.com</v>
      </c>
    </row>
    <row r="2605" spans="1:19" ht="12.5" x14ac:dyDescent="0.25">
      <c r="A2605" s="2">
        <f ca="1">IFERROR(__xludf.DUMMYFUNCTION("""COMPUTED_VALUE"""),45065.7558997453)</f>
        <v>45065.755899745302</v>
      </c>
      <c r="B2605" s="1" t="str">
        <f ca="1">IFERROR(__xludf.DUMMYFUNCTION("""COMPUTED_VALUE"""),"India")</f>
        <v>India</v>
      </c>
      <c r="C2605" s="1">
        <f ca="1">IFERROR(__xludf.DUMMYFUNCTION("""COMPUTED_VALUE"""),632006)</f>
        <v>632006</v>
      </c>
      <c r="D2605" s="1" t="str">
        <f ca="1">IFERROR(__xludf.DUMMYFUNCTION("""COMPUTED_VALUE"""),"Female")</f>
        <v>Female</v>
      </c>
      <c r="E2605" s="1" t="str">
        <f ca="1">IFERROR(__xludf.DUMMYFUNCTION("""COMPUTED_VALUE"""),"People from my circle, but not family members")</f>
        <v>People from my circle, but not family members</v>
      </c>
      <c r="F2605" s="1" t="str">
        <f ca="1">IFERROR(__xludf.DUMMYFUNCTION("""COMPUTED_VALUE"""),"No, But if someone could bare the cost I will")</f>
        <v>No, But if someone could bare the cost I will</v>
      </c>
      <c r="G2605" s="1" t="str">
        <f ca="1">IFERROR(__xludf.DUMMYFUNCTION("""COMPUTED_VALUE"""),"This will be hard to do, but if it is the right company I would try")</f>
        <v>This will be hard to do, but if it is the right company I would try</v>
      </c>
      <c r="H2605" s="1" t="str">
        <f ca="1">IFERROR(__xludf.DUMMYFUNCTION("""COMPUTED_VALUE"""),"No")</f>
        <v>No</v>
      </c>
      <c r="I2605" s="1" t="str">
        <f ca="1">IFERROR(__xludf.DUMMYFUNCTION("""COMPUTED_VALUE"""),"Will NOT work for them")</f>
        <v>Will NOT work for them</v>
      </c>
      <c r="J2605" s="1">
        <f ca="1">IFERROR(__xludf.DUMMYFUNCTION("""COMPUTED_VALUE"""),4)</f>
        <v>4</v>
      </c>
      <c r="K2605" s="1" t="str">
        <f ca="1">IFERROR(__xludf.DUMMYFUNCTION("""COMPUTED_VALUE"""),"Fully Remote with Options to travel as and when needed")</f>
        <v>Fully Remote with Options to travel as and when needed</v>
      </c>
      <c r="L2605" s="1" t="str">
        <f ca="1">IFERROR(__xludf.DUMMYFUNCTION("""COMPUTED_VALUE"""),"Employer who rewards learning and enables that environment")</f>
        <v>Employer who rewards learning and enables that environment</v>
      </c>
      <c r="M260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05" s="1" t="str">
        <f ca="1">IFERROR(__xludf.DUMMYFUNCTION("""COMPUTED_VALUE"""),"Design and Creative strategy in any company, Work as a freelancer and do my thing my way, Become a content Creator in some platform, Entrepreneur or Start Up")</f>
        <v>Design and Creative strategy in any company, Work as a freelancer and do my thing my way, Become a content Creator in some platform, Entrepreneur or Start Up</v>
      </c>
      <c r="O2605" s="1" t="str">
        <f ca="1">IFERROR(__xludf.DUMMYFUNCTION("""COMPUTED_VALUE"""),"Manager who explains what is expected, sets a goal and helps achieve it")</f>
        <v>Manager who explains what is expected, sets a goal and helps achieve it</v>
      </c>
      <c r="P2605" s="1" t="str">
        <f ca="1">IFERROR(__xludf.DUMMYFUNCTION("""COMPUTED_VALUE"""),"Work with 2 to 3 people in my team, Work with 5 to 6 people in my team")</f>
        <v>Work with 2 to 3 people in my team, Work with 5 to 6 people in my team</v>
      </c>
      <c r="Q2605" s="1" t="str">
        <f ca="1">IFERROR(__xludf.DUMMYFUNCTION("""COMPUTED_VALUE"""),"No")</f>
        <v>No</v>
      </c>
      <c r="R2605" s="1" t="str">
        <f ca="1">IFERROR(__xludf.DUMMYFUNCTION("""COMPUTED_VALUE"""),"This will be hard to do, but if it is the right company I would try")</f>
        <v>This will be hard to do, but if it is the right company I would try</v>
      </c>
      <c r="S2605" s="1" t="str">
        <f ca="1">IFERROR(__xludf.DUMMYFUNCTION("""COMPUTED_VALUE"""),"jd.bookdragon@gmail.com")</f>
        <v>jd.bookdragon@gmail.com</v>
      </c>
    </row>
    <row r="2606" spans="1:19" ht="12.5" x14ac:dyDescent="0.25">
      <c r="A2606" s="2">
        <f ca="1">IFERROR(__xludf.DUMMYFUNCTION("""COMPUTED_VALUE"""),45065.7579688078)</f>
        <v>45065.757968807797</v>
      </c>
      <c r="B2606" s="1" t="str">
        <f ca="1">IFERROR(__xludf.DUMMYFUNCTION("""COMPUTED_VALUE"""),"India")</f>
        <v>India</v>
      </c>
      <c r="C2606" s="1">
        <f ca="1">IFERROR(__xludf.DUMMYFUNCTION("""COMPUTED_VALUE"""),600025)</f>
        <v>600025</v>
      </c>
      <c r="D2606" s="1" t="str">
        <f ca="1">IFERROR(__xludf.DUMMYFUNCTION("""COMPUTED_VALUE"""),"Female")</f>
        <v>Female</v>
      </c>
      <c r="E2606" s="1" t="str">
        <f ca="1">IFERROR(__xludf.DUMMYFUNCTION("""COMPUTED_VALUE"""),"People from my circle, but not family members")</f>
        <v>People from my circle, but not family members</v>
      </c>
      <c r="F2606" s="1" t="str">
        <f ca="1">IFERROR(__xludf.DUMMYFUNCTION("""COMPUTED_VALUE"""),"No, But if someone could bare the cost I will")</f>
        <v>No, But if someone could bare the cost I will</v>
      </c>
      <c r="G2606" s="1" t="str">
        <f ca="1">IFERROR(__xludf.DUMMYFUNCTION("""COMPUTED_VALUE"""),"This will be hard to do, but if it is the right company I would try")</f>
        <v>This will be hard to do, but if it is the right company I would try</v>
      </c>
      <c r="H2606" s="1" t="str">
        <f ca="1">IFERROR(__xludf.DUMMYFUNCTION("""COMPUTED_VALUE"""),"No")</f>
        <v>No</v>
      </c>
      <c r="I2606" s="1" t="str">
        <f ca="1">IFERROR(__xludf.DUMMYFUNCTION("""COMPUTED_VALUE"""),"Will NOT work for them")</f>
        <v>Will NOT work for them</v>
      </c>
      <c r="J2606" s="1">
        <f ca="1">IFERROR(__xludf.DUMMYFUNCTION("""COMPUTED_VALUE"""),7)</f>
        <v>7</v>
      </c>
      <c r="K2606" s="1" t="str">
        <f ca="1">IFERROR(__xludf.DUMMYFUNCTION("""COMPUTED_VALUE"""),"Hybrid Working Environment with more than 15 days a month at office")</f>
        <v>Hybrid Working Environment with more than 15 days a month at office</v>
      </c>
      <c r="L260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0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06" s="1" t="str">
        <f ca="1">IFERROR(__xludf.DUMMYFUNCTION("""COMPUTED_VALUE"""),"Design and Creative strategy in any company, Look deeply into Data and generate insights, Work as a freelancer and do my thing my way, Become a content Creator in some platform")</f>
        <v>Design and Creative strategy in any company, Look deeply into Data and generate insights, Work as a freelancer and do my thing my way, Become a content Creator in some platform</v>
      </c>
      <c r="O2606" s="1" t="str">
        <f ca="1">IFERROR(__xludf.DUMMYFUNCTION("""COMPUTED_VALUE"""),"Manager who explains what is expected, sets a goal and helps achieve it")</f>
        <v>Manager who explains what is expected, sets a goal and helps achieve it</v>
      </c>
      <c r="P2606" s="1" t="str">
        <f ca="1">IFERROR(__xludf.DUMMYFUNCTION("""COMPUTED_VALUE"""),"Work with 2 to 3 people in my team")</f>
        <v>Work with 2 to 3 people in my team</v>
      </c>
      <c r="Q2606" s="1" t="str">
        <f ca="1">IFERROR(__xludf.DUMMYFUNCTION("""COMPUTED_VALUE"""),"Yes, I Understand this is gonna happen everywhere")</f>
        <v>Yes, I Understand this is gonna happen everywhere</v>
      </c>
      <c r="R2606" s="1" t="str">
        <f ca="1">IFERROR(__xludf.DUMMYFUNCTION("""COMPUTED_VALUE"""),"This will be hard to do, but if it is the right company I would try")</f>
        <v>This will be hard to do, but if it is the right company I would try</v>
      </c>
      <c r="S2606" s="1" t="str">
        <f ca="1">IFERROR(__xludf.DUMMYFUNCTION("""COMPUTED_VALUE"""),"nandhini.esha@gmail.com")</f>
        <v>nandhini.esha@gmail.com</v>
      </c>
    </row>
    <row r="2607" spans="1:19" ht="12.5" x14ac:dyDescent="0.25">
      <c r="A2607" s="2">
        <f ca="1">IFERROR(__xludf.DUMMYFUNCTION("""COMPUTED_VALUE"""),45065.7585348032)</f>
        <v>45065.758534803201</v>
      </c>
      <c r="B2607" s="1" t="str">
        <f ca="1">IFERROR(__xludf.DUMMYFUNCTION("""COMPUTED_VALUE"""),"India")</f>
        <v>India</v>
      </c>
      <c r="C2607" s="1">
        <f ca="1">IFERROR(__xludf.DUMMYFUNCTION("""COMPUTED_VALUE"""),530029)</f>
        <v>530029</v>
      </c>
      <c r="D2607" s="1" t="str">
        <f ca="1">IFERROR(__xludf.DUMMYFUNCTION("""COMPUTED_VALUE"""),"Male")</f>
        <v>Male</v>
      </c>
      <c r="E2607" s="1" t="str">
        <f ca="1">IFERROR(__xludf.DUMMYFUNCTION("""COMPUTED_VALUE"""),"Influencers who had successful careers")</f>
        <v>Influencers who had successful careers</v>
      </c>
      <c r="F2607" s="1" t="str">
        <f ca="1">IFERROR(__xludf.DUMMYFUNCTION("""COMPUTED_VALUE"""),"No, But if someone could bare the cost I will")</f>
        <v>No, But if someone could bare the cost I will</v>
      </c>
      <c r="G2607" s="1" t="str">
        <f ca="1">IFERROR(__xludf.DUMMYFUNCTION("""COMPUTED_VALUE"""),"This will be hard to do, but if it is the right company I would try")</f>
        <v>This will be hard to do, but if it is the right company I would try</v>
      </c>
      <c r="H2607" s="1" t="str">
        <f ca="1">IFERROR(__xludf.DUMMYFUNCTION("""COMPUTED_VALUE"""),"No")</f>
        <v>No</v>
      </c>
      <c r="I2607" s="1" t="str">
        <f ca="1">IFERROR(__xludf.DUMMYFUNCTION("""COMPUTED_VALUE"""),"Will NOT work for them")</f>
        <v>Will NOT work for them</v>
      </c>
      <c r="J2607" s="1">
        <f ca="1">IFERROR(__xludf.DUMMYFUNCTION("""COMPUTED_VALUE"""),1)</f>
        <v>1</v>
      </c>
      <c r="K2607" s="1" t="str">
        <f ca="1">IFERROR(__xludf.DUMMYFUNCTION("""COMPUTED_VALUE"""),"Fully Remote with Options to travel as and when needed")</f>
        <v>Fully Remote with Options to travel as and when needed</v>
      </c>
      <c r="L2607" s="1" t="str">
        <f ca="1">IFERROR(__xludf.DUMMYFUNCTION("""COMPUTED_VALUE"""),"Employer who appreciates learning and enables that environment")</f>
        <v>Employer who appreciates learning and enables that environment</v>
      </c>
      <c r="M260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07" s="1" t="str">
        <f ca="1">IFERROR(__xludf.DUMMYFUNCTION("""COMPUTED_VALUE"""),"Design and Creative strategy in any company, Build and develop a Team, Look deeply into Data and generate insights, An Artificial Intelligence Specialist / Talking to Robots")</f>
        <v>Design and Creative strategy in any company, Build and develop a Team, Look deeply into Data and generate insights, An Artificial Intelligence Specialist / Talking to Robots</v>
      </c>
      <c r="O2607" s="1" t="str">
        <f ca="1">IFERROR(__xludf.DUMMYFUNCTION("""COMPUTED_VALUE"""),"Manager who clearly describes what she/he needs")</f>
        <v>Manager who clearly describes what she/he needs</v>
      </c>
      <c r="P2607" s="1" t="str">
        <f ca="1">IFERROR(__xludf.DUMMYFUNCTION("""COMPUTED_VALUE"""),"Work with 5 to 6 people in my team")</f>
        <v>Work with 5 to 6 people in my team</v>
      </c>
      <c r="Q2607" s="1" t="str">
        <f ca="1">IFERROR(__xludf.DUMMYFUNCTION("""COMPUTED_VALUE"""),"No")</f>
        <v>No</v>
      </c>
      <c r="R2607" s="1" t="str">
        <f ca="1">IFERROR(__xludf.DUMMYFUNCTION("""COMPUTED_VALUE"""),"This will be hard to do, but if it is the right company I would try")</f>
        <v>This will be hard to do, but if it is the right company I would try</v>
      </c>
      <c r="S2607" s="1" t="str">
        <f ca="1">IFERROR(__xludf.DUMMYFUNCTION("""COMPUTED_VALUE"""),"kannururamesh0408@gmail.com")</f>
        <v>kannururamesh0408@gmail.com</v>
      </c>
    </row>
    <row r="2608" spans="1:19" ht="12.5" x14ac:dyDescent="0.25">
      <c r="A2608" s="2">
        <f ca="1">IFERROR(__xludf.DUMMYFUNCTION("""COMPUTED_VALUE"""),45065.7593655555)</f>
        <v>45065.759365555503</v>
      </c>
      <c r="B2608" s="1" t="str">
        <f ca="1">IFERROR(__xludf.DUMMYFUNCTION("""COMPUTED_VALUE"""),"India")</f>
        <v>India</v>
      </c>
      <c r="C2608" s="1">
        <f ca="1">IFERROR(__xludf.DUMMYFUNCTION("""COMPUTED_VALUE"""),520001)</f>
        <v>520001</v>
      </c>
      <c r="D2608" s="1" t="str">
        <f ca="1">IFERROR(__xludf.DUMMYFUNCTION("""COMPUTED_VALUE"""),"Female")</f>
        <v>Female</v>
      </c>
      <c r="E2608" s="1" t="str">
        <f ca="1">IFERROR(__xludf.DUMMYFUNCTION("""COMPUTED_VALUE"""),"My Parents")</f>
        <v>My Parents</v>
      </c>
      <c r="F2608" s="1" t="str">
        <f ca="1">IFERROR(__xludf.DUMMYFUNCTION("""COMPUTED_VALUE"""),"Yes, I will earn and do that")</f>
        <v>Yes, I will earn and do that</v>
      </c>
      <c r="G2608" s="1" t="str">
        <f ca="1">IFERROR(__xludf.DUMMYFUNCTION("""COMPUTED_VALUE"""),"This will be hard to do, but if it is the right company I would try")</f>
        <v>This will be hard to do, but if it is the right company I would try</v>
      </c>
      <c r="H2608" s="1" t="str">
        <f ca="1">IFERROR(__xludf.DUMMYFUNCTION("""COMPUTED_VALUE"""),"No")</f>
        <v>No</v>
      </c>
      <c r="I2608" s="1" t="str">
        <f ca="1">IFERROR(__xludf.DUMMYFUNCTION("""COMPUTED_VALUE"""),"Will NOT work for them")</f>
        <v>Will NOT work for them</v>
      </c>
      <c r="J2608" s="1">
        <f ca="1">IFERROR(__xludf.DUMMYFUNCTION("""COMPUTED_VALUE"""),1)</f>
        <v>1</v>
      </c>
      <c r="K2608" s="1" t="str">
        <f ca="1">IFERROR(__xludf.DUMMYFUNCTION("""COMPUTED_VALUE"""),"Hybrid Working Environment with less than 3 days a month at office")</f>
        <v>Hybrid Working Environment with less than 3 days a month at office</v>
      </c>
      <c r="L26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0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08" s="1" t="str">
        <f ca="1">IFERROR(__xludf.DUMMYFUNCTION("""COMPUTED_VALUE"""),"Design and Creative strategy in any company, Business Operations in any organization, Manage and drive End-to-End Projects or Products, Design and Develop amazing software")</f>
        <v>Design and Creative strategy in any company, Business Operations in any organization, Manage and drive End-to-End Projects or Products, Design and Develop amazing software</v>
      </c>
      <c r="O2608" s="1" t="str">
        <f ca="1">IFERROR(__xludf.DUMMYFUNCTION("""COMPUTED_VALUE"""),"Manager who explains what is expected, sets a goal and helps achieve it")</f>
        <v>Manager who explains what is expected, sets a goal and helps achieve it</v>
      </c>
      <c r="P2608" s="1" t="str">
        <f ca="1">IFERROR(__xludf.DUMMYFUNCTION("""COMPUTED_VALUE"""),"Work alone, Work with 2 to 3 people in my team")</f>
        <v>Work alone, Work with 2 to 3 people in my team</v>
      </c>
      <c r="Q2608" s="1" t="str">
        <f ca="1">IFERROR(__xludf.DUMMYFUNCTION("""COMPUTED_VALUE"""),"Yes, I Understand this is gonna happen everywhere")</f>
        <v>Yes, I Understand this is gonna happen everywhere</v>
      </c>
      <c r="R2608" s="1" t="str">
        <f ca="1">IFERROR(__xludf.DUMMYFUNCTION("""COMPUTED_VALUE"""),"This will be hard to do, but if it is the right company I would try")</f>
        <v>This will be hard to do, but if it is the right company I would try</v>
      </c>
      <c r="S2608" s="1" t="str">
        <f ca="1">IFERROR(__xludf.DUMMYFUNCTION("""COMPUTED_VALUE"""),"meenasanga31@gmail.com")</f>
        <v>meenasanga31@gmail.com</v>
      </c>
    </row>
    <row r="2609" spans="1:19" ht="12.5" x14ac:dyDescent="0.25">
      <c r="A2609" s="2">
        <f ca="1">IFERROR(__xludf.DUMMYFUNCTION("""COMPUTED_VALUE"""),45065.7593784953)</f>
        <v>45065.759378495299</v>
      </c>
      <c r="B2609" s="1" t="str">
        <f ca="1">IFERROR(__xludf.DUMMYFUNCTION("""COMPUTED_VALUE"""),"India")</f>
        <v>India</v>
      </c>
      <c r="C2609" s="1">
        <f ca="1">IFERROR(__xludf.DUMMYFUNCTION("""COMPUTED_VALUE"""),500078)</f>
        <v>500078</v>
      </c>
      <c r="D2609" s="1" t="str">
        <f ca="1">IFERROR(__xludf.DUMMYFUNCTION("""COMPUTED_VALUE"""),"Female")</f>
        <v>Female</v>
      </c>
      <c r="E2609" s="1" t="str">
        <f ca="1">IFERROR(__xludf.DUMMYFUNCTION("""COMPUTED_VALUE"""),"My Parents")</f>
        <v>My Parents</v>
      </c>
      <c r="F2609" s="1" t="str">
        <f ca="1">IFERROR(__xludf.DUMMYFUNCTION("""COMPUTED_VALUE"""),"Yes, I will earn and do that")</f>
        <v>Yes, I will earn and do that</v>
      </c>
      <c r="G2609" s="1" t="str">
        <f ca="1">IFERROR(__xludf.DUMMYFUNCTION("""COMPUTED_VALUE"""),"Will work for 3 years or more")</f>
        <v>Will work for 3 years or more</v>
      </c>
      <c r="H2609" s="1" t="str">
        <f ca="1">IFERROR(__xludf.DUMMYFUNCTION("""COMPUTED_VALUE"""),"No")</f>
        <v>No</v>
      </c>
      <c r="I2609" s="1" t="str">
        <f ca="1">IFERROR(__xludf.DUMMYFUNCTION("""COMPUTED_VALUE"""),"Will NOT work for them")</f>
        <v>Will NOT work for them</v>
      </c>
      <c r="J2609" s="1">
        <f ca="1">IFERROR(__xludf.DUMMYFUNCTION("""COMPUTED_VALUE"""),5)</f>
        <v>5</v>
      </c>
      <c r="K2609" s="1" t="str">
        <f ca="1">IFERROR(__xludf.DUMMYFUNCTION("""COMPUTED_VALUE"""),"Every Day Office Environment")</f>
        <v>Every Day Office Environment</v>
      </c>
      <c r="L260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0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09" s="1" t="str">
        <f ca="1">IFERROR(__xludf.DUMMYFUNCTION("""COMPUTED_VALUE"""),"Design and Creative strategy in any company, Teaching in any of the institutes/colleges/online or offline, Entrepreneur or Start Up, Manufacturing / Oil and Gas/ Construction / Hard Physical Work related")</f>
        <v>Design and Creative strategy in any company, Teaching in any of the institutes/colleges/online or offline, Entrepreneur or Start Up, Manufacturing / Oil and Gas/ Construction / Hard Physical Work related</v>
      </c>
      <c r="O2609" s="1" t="str">
        <f ca="1">IFERROR(__xludf.DUMMYFUNCTION("""COMPUTED_VALUE"""),"Manager who sets goal and helps me achieve it")</f>
        <v>Manager who sets goal and helps me achieve it</v>
      </c>
      <c r="P2609" s="1" t="str">
        <f ca="1">IFERROR(__xludf.DUMMYFUNCTION("""COMPUTED_VALUE"""),"Work with 2 to 3 people in my team")</f>
        <v>Work with 2 to 3 people in my team</v>
      </c>
      <c r="Q2609" s="1" t="str">
        <f ca="1">IFERROR(__xludf.DUMMYFUNCTION("""COMPUTED_VALUE"""),"Yes, I Understand this is gonna happen everywhere")</f>
        <v>Yes, I Understand this is gonna happen everywhere</v>
      </c>
      <c r="R2609" s="1" t="str">
        <f ca="1">IFERROR(__xludf.DUMMYFUNCTION("""COMPUTED_VALUE"""),"Will work for 7 years or more")</f>
        <v>Will work for 7 years or more</v>
      </c>
      <c r="S2609" s="1" t="str">
        <f ca="1">IFERROR(__xludf.DUMMYFUNCTION("""COMPUTED_VALUE"""),"chandananagalingam@gmail.com")</f>
        <v>chandananagalingam@gmail.com</v>
      </c>
    </row>
    <row r="2610" spans="1:19" ht="12.5" x14ac:dyDescent="0.25">
      <c r="A2610" s="2">
        <f ca="1">IFERROR(__xludf.DUMMYFUNCTION("""COMPUTED_VALUE"""),45065.7608572916)</f>
        <v>45065.7608572916</v>
      </c>
      <c r="B2610" s="1" t="str">
        <f ca="1">IFERROR(__xludf.DUMMYFUNCTION("""COMPUTED_VALUE"""),"India")</f>
        <v>India</v>
      </c>
      <c r="C2610" s="1">
        <f ca="1">IFERROR(__xludf.DUMMYFUNCTION("""COMPUTED_VALUE"""),632009)</f>
        <v>632009</v>
      </c>
      <c r="D2610" s="1" t="str">
        <f ca="1">IFERROR(__xludf.DUMMYFUNCTION("""COMPUTED_VALUE"""),"Female")</f>
        <v>Female</v>
      </c>
      <c r="E2610" s="1" t="str">
        <f ca="1">IFERROR(__xludf.DUMMYFUNCTION("""COMPUTED_VALUE"""),"Influencers who had successful careers")</f>
        <v>Influencers who had successful careers</v>
      </c>
      <c r="F2610" s="1" t="str">
        <f ca="1">IFERROR(__xludf.DUMMYFUNCTION("""COMPUTED_VALUE"""),"Yes, I will earn and do that")</f>
        <v>Yes, I will earn and do that</v>
      </c>
      <c r="G2610" s="1" t="str">
        <f ca="1">IFERROR(__xludf.DUMMYFUNCTION("""COMPUTED_VALUE"""),"This will be hard to do, but if it is the right company I would try")</f>
        <v>This will be hard to do, but if it is the right company I would try</v>
      </c>
      <c r="H2610" s="1" t="str">
        <f ca="1">IFERROR(__xludf.DUMMYFUNCTION("""COMPUTED_VALUE"""),"Yes")</f>
        <v>Yes</v>
      </c>
      <c r="I2610" s="1" t="str">
        <f ca="1">IFERROR(__xludf.DUMMYFUNCTION("""COMPUTED_VALUE"""),"Will NOT work for them")</f>
        <v>Will NOT work for them</v>
      </c>
      <c r="J2610" s="1">
        <f ca="1">IFERROR(__xludf.DUMMYFUNCTION("""COMPUTED_VALUE"""),3)</f>
        <v>3</v>
      </c>
      <c r="K2610" s="1" t="str">
        <f ca="1">IFERROR(__xludf.DUMMYFUNCTION("""COMPUTED_VALUE"""),"Hybrid Working Environment with less than 3 days a month at office")</f>
        <v>Hybrid Working Environment with less than 3 days a month at office</v>
      </c>
      <c r="L2610" s="1" t="str">
        <f ca="1">IFERROR(__xludf.DUMMYFUNCTION("""COMPUTED_VALUE"""),"Employer who rewards learning and enables that environment")</f>
        <v>Employer who rewards learning and enables that environment</v>
      </c>
      <c r="M2610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610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2610" s="1" t="str">
        <f ca="1">IFERROR(__xludf.DUMMYFUNCTION("""COMPUTED_VALUE"""),"Manager who clearly describes what she/he needs")</f>
        <v>Manager who clearly describes what she/he needs</v>
      </c>
      <c r="P2610" s="1" t="str">
        <f ca="1">IFERROR(__xludf.DUMMYFUNCTION("""COMPUTED_VALUE"""),"Work with 2 to 3 people in my team")</f>
        <v>Work with 2 to 3 people in my team</v>
      </c>
      <c r="Q2610" s="1" t="str">
        <f ca="1">IFERROR(__xludf.DUMMYFUNCTION("""COMPUTED_VALUE"""),"I have NO other choice")</f>
        <v>I have NO other choice</v>
      </c>
      <c r="R2610" s="1" t="str">
        <f ca="1">IFERROR(__xludf.DUMMYFUNCTION("""COMPUTED_VALUE"""),"This will be hard to do, but if it is the right company I would try")</f>
        <v>This will be hard to do, but if it is the right company I would try</v>
      </c>
      <c r="S2610" s="1" t="str">
        <f ca="1">IFERROR(__xludf.DUMMYFUNCTION("""COMPUTED_VALUE"""),"sandhyasridharan20@gmail.com")</f>
        <v>sandhyasridharan20@gmail.com</v>
      </c>
    </row>
    <row r="2611" spans="1:19" ht="12.5" x14ac:dyDescent="0.25">
      <c r="A2611" s="2">
        <f ca="1">IFERROR(__xludf.DUMMYFUNCTION("""COMPUTED_VALUE"""),45065.7613955555)</f>
        <v>45065.761395555499</v>
      </c>
      <c r="B2611" s="1" t="str">
        <f ca="1">IFERROR(__xludf.DUMMYFUNCTION("""COMPUTED_VALUE"""),"India")</f>
        <v>India</v>
      </c>
      <c r="C2611" s="1">
        <f ca="1">IFERROR(__xludf.DUMMYFUNCTION("""COMPUTED_VALUE"""),521301)</f>
        <v>521301</v>
      </c>
      <c r="D2611" s="1" t="str">
        <f ca="1">IFERROR(__xludf.DUMMYFUNCTION("""COMPUTED_VALUE"""),"Female")</f>
        <v>Female</v>
      </c>
      <c r="E2611" s="1" t="str">
        <f ca="1">IFERROR(__xludf.DUMMYFUNCTION("""COMPUTED_VALUE"""),"My Parents")</f>
        <v>My Parents</v>
      </c>
      <c r="F2611" s="1" t="str">
        <f ca="1">IFERROR(__xludf.DUMMYFUNCTION("""COMPUTED_VALUE"""),"No I would not be pursuing Higher Education outside of India")</f>
        <v>No I would not be pursuing Higher Education outside of India</v>
      </c>
      <c r="G2611" s="1" t="str">
        <f ca="1">IFERROR(__xludf.DUMMYFUNCTION("""COMPUTED_VALUE"""),"Will work for 3 years or more")</f>
        <v>Will work for 3 years or more</v>
      </c>
      <c r="H2611" s="1" t="str">
        <f ca="1">IFERROR(__xludf.DUMMYFUNCTION("""COMPUTED_VALUE"""),"No")</f>
        <v>No</v>
      </c>
      <c r="I2611" s="1" t="str">
        <f ca="1">IFERROR(__xludf.DUMMYFUNCTION("""COMPUTED_VALUE"""),"Will NOT work for them")</f>
        <v>Will NOT work for them</v>
      </c>
      <c r="J2611" s="1">
        <f ca="1">IFERROR(__xludf.DUMMYFUNCTION("""COMPUTED_VALUE"""),7)</f>
        <v>7</v>
      </c>
      <c r="K2611" s="1" t="str">
        <f ca="1">IFERROR(__xludf.DUMMYFUNCTION("""COMPUTED_VALUE"""),"Fully Remote with Options to travel as and when needed")</f>
        <v>Fully Remote with Options to travel as and when needed</v>
      </c>
      <c r="L26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1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11" s="1" t="str">
        <f ca="1">IFERROR(__xludf.DUMMYFUNCTION("""COMPUTED_VALUE"""),"Design and Creative strategy in any company, Teaching in any of the institutes/colleges/online or offline, Look deeply into Data and generate insights, Entrepreneur or Start Up")</f>
        <v>Design and Creative strategy in any company, Teaching in any of the institutes/colleges/online or offline, Look deeply into Data and generate insights, Entrepreneur or Start Up</v>
      </c>
      <c r="O2611" s="1" t="str">
        <f ca="1">IFERROR(__xludf.DUMMYFUNCTION("""COMPUTED_VALUE"""),"Manager who explains what is expected, sets a goal and helps achieve it")</f>
        <v>Manager who explains what is expected, sets a goal and helps achieve it</v>
      </c>
      <c r="P2611" s="1" t="str">
        <f ca="1">IFERROR(__xludf.DUMMYFUNCTION("""COMPUTED_VALUE"""),"Work with more than 10 people in my team")</f>
        <v>Work with more than 10 people in my team</v>
      </c>
      <c r="Q2611" s="1" t="str">
        <f ca="1">IFERROR(__xludf.DUMMYFUNCTION("""COMPUTED_VALUE"""),"No")</f>
        <v>No</v>
      </c>
      <c r="R2611" s="1" t="str">
        <f ca="1">IFERROR(__xludf.DUMMYFUNCTION("""COMPUTED_VALUE"""),"This will be hard to do, but if it is the right company I would try")</f>
        <v>This will be hard to do, but if it is the right company I would try</v>
      </c>
      <c r="S2611" s="1" t="str">
        <f ca="1">IFERROR(__xludf.DUMMYFUNCTION("""COMPUTED_VALUE"""),"shabana3773@gmail.com")</f>
        <v>shabana3773@gmail.com</v>
      </c>
    </row>
    <row r="2612" spans="1:19" ht="12.5" x14ac:dyDescent="0.25">
      <c r="A2612" s="2">
        <f ca="1">IFERROR(__xludf.DUMMYFUNCTION("""COMPUTED_VALUE"""),45065.7646821064)</f>
        <v>45065.764682106397</v>
      </c>
      <c r="B2612" s="1" t="str">
        <f ca="1">IFERROR(__xludf.DUMMYFUNCTION("""COMPUTED_VALUE"""),"India")</f>
        <v>India</v>
      </c>
      <c r="C2612" s="1">
        <f ca="1">IFERROR(__xludf.DUMMYFUNCTION("""COMPUTED_VALUE"""),751010)</f>
        <v>751010</v>
      </c>
      <c r="D2612" s="1" t="str">
        <f ca="1">IFERROR(__xludf.DUMMYFUNCTION("""COMPUTED_VALUE"""),"Female")</f>
        <v>Female</v>
      </c>
      <c r="E2612" s="1" t="str">
        <f ca="1">IFERROR(__xludf.DUMMYFUNCTION("""COMPUTED_VALUE"""),"Social Media like LinkedIn")</f>
        <v>Social Media like LinkedIn</v>
      </c>
      <c r="F2612" s="1" t="str">
        <f ca="1">IFERROR(__xludf.DUMMYFUNCTION("""COMPUTED_VALUE"""),"Yes, I will earn and do that")</f>
        <v>Yes, I will earn and do that</v>
      </c>
      <c r="G2612" s="1" t="str">
        <f ca="1">IFERROR(__xludf.DUMMYFUNCTION("""COMPUTED_VALUE"""),"This will be hard to do, but if it is the right company I would try")</f>
        <v>This will be hard to do, but if it is the right company I would try</v>
      </c>
      <c r="H2612" s="1" t="str">
        <f ca="1">IFERROR(__xludf.DUMMYFUNCTION("""COMPUTED_VALUE"""),"No")</f>
        <v>No</v>
      </c>
      <c r="I2612" s="1" t="str">
        <f ca="1">IFERROR(__xludf.DUMMYFUNCTION("""COMPUTED_VALUE"""),"Will NOT work for them")</f>
        <v>Will NOT work for them</v>
      </c>
      <c r="J2612" s="1">
        <f ca="1">IFERROR(__xludf.DUMMYFUNCTION("""COMPUTED_VALUE"""),5)</f>
        <v>5</v>
      </c>
      <c r="K2612" s="1" t="str">
        <f ca="1">IFERROR(__xludf.DUMMYFUNCTION("""COMPUTED_VALUE"""),"Fully Remote with Options to travel as and when needed")</f>
        <v>Fully Remote with Options to travel as and when needed</v>
      </c>
      <c r="L2612" s="1" t="str">
        <f ca="1">IFERROR(__xludf.DUMMYFUNCTION("""COMPUTED_VALUE"""),"Employer who appreciates learning and enables that environment")</f>
        <v>Employer who appreciates learning and enables that environment</v>
      </c>
      <c r="M261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12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612" s="1" t="str">
        <f ca="1">IFERROR(__xludf.DUMMYFUNCTION("""COMPUTED_VALUE"""),"Manager who sets goal and helps me achieve it")</f>
        <v>Manager who sets goal and helps me achieve it</v>
      </c>
      <c r="P2612" s="1" t="str">
        <f ca="1">IFERROR(__xludf.DUMMYFUNCTION("""COMPUTED_VALUE"""),"Work with 5 to 6 people in my team")</f>
        <v>Work with 5 to 6 people in my team</v>
      </c>
      <c r="Q2612" s="1" t="str">
        <f ca="1">IFERROR(__xludf.DUMMYFUNCTION("""COMPUTED_VALUE"""),"Yes, I Understand this is gonna happen everywhere")</f>
        <v>Yes, I Understand this is gonna happen everywhere</v>
      </c>
      <c r="R2612" s="1" t="str">
        <f ca="1">IFERROR(__xludf.DUMMYFUNCTION("""COMPUTED_VALUE"""),"This will be hard to do, but if it is the right company I would try")</f>
        <v>This will be hard to do, but if it is the right company I would try</v>
      </c>
      <c r="S2612" s="1" t="str">
        <f ca="1">IFERROR(__xludf.DUMMYFUNCTION("""COMPUTED_VALUE"""),"pinaki7@gmail.com")</f>
        <v>pinaki7@gmail.com</v>
      </c>
    </row>
    <row r="2613" spans="1:19" ht="12.5" x14ac:dyDescent="0.25">
      <c r="A2613" s="2">
        <f ca="1">IFERROR(__xludf.DUMMYFUNCTION("""COMPUTED_VALUE"""),45065.7674390046)</f>
        <v>45065.767439004601</v>
      </c>
      <c r="B2613" s="1" t="str">
        <f ca="1">IFERROR(__xludf.DUMMYFUNCTION("""COMPUTED_VALUE"""),"India")</f>
        <v>India</v>
      </c>
      <c r="C2613" s="1">
        <f ca="1">IFERROR(__xludf.DUMMYFUNCTION("""COMPUTED_VALUE"""),520012)</f>
        <v>520012</v>
      </c>
      <c r="D2613" s="1" t="str">
        <f ca="1">IFERROR(__xludf.DUMMYFUNCTION("""COMPUTED_VALUE"""),"Male")</f>
        <v>Male</v>
      </c>
      <c r="E2613" s="1" t="str">
        <f ca="1">IFERROR(__xludf.DUMMYFUNCTION("""COMPUTED_VALUE"""),"People from my circle, but not family members")</f>
        <v>People from my circle, but not family members</v>
      </c>
      <c r="F2613" s="1" t="str">
        <f ca="1">IFERROR(__xludf.DUMMYFUNCTION("""COMPUTED_VALUE"""),"No I would not be pursuing Higher Education outside of India")</f>
        <v>No I would not be pursuing Higher Education outside of India</v>
      </c>
      <c r="G2613" s="1" t="str">
        <f ca="1">IFERROR(__xludf.DUMMYFUNCTION("""COMPUTED_VALUE"""),"Will work for 3 years or more")</f>
        <v>Will work for 3 years or more</v>
      </c>
      <c r="H2613" s="1" t="str">
        <f ca="1">IFERROR(__xludf.DUMMYFUNCTION("""COMPUTED_VALUE"""),"Yes")</f>
        <v>Yes</v>
      </c>
      <c r="I2613" s="1" t="str">
        <f ca="1">IFERROR(__xludf.DUMMYFUNCTION("""COMPUTED_VALUE"""),"Will NOT work for them")</f>
        <v>Will NOT work for them</v>
      </c>
      <c r="J2613" s="1">
        <f ca="1">IFERROR(__xludf.DUMMYFUNCTION("""COMPUTED_VALUE"""),10)</f>
        <v>10</v>
      </c>
      <c r="K2613" s="1" t="str">
        <f ca="1">IFERROR(__xludf.DUMMYFUNCTION("""COMPUTED_VALUE"""),"Fully Remote with Options to travel as and when needed")</f>
        <v>Fully Remote with Options to travel as and when needed</v>
      </c>
      <c r="L26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13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13" s="1" t="str">
        <f ca="1">IFERROR(__xludf.DUMMYFUNCTION("""COMPUTED_VALUE"""),"Business Operations in any organization, Manage and drive End-to-End Projects or Products, Build and develop a Team, I Want to sell things/Sales")</f>
        <v>Business Operations in any organization, Manage and drive End-to-End Projects or Products, Build and develop a Team, I Want to sell things/Sales</v>
      </c>
      <c r="O2613" s="1" t="str">
        <f ca="1">IFERROR(__xludf.DUMMYFUNCTION("""COMPUTED_VALUE"""),"Manager who explains what is expected, sets a goal and helps achieve it")</f>
        <v>Manager who explains what is expected, sets a goal and helps achieve it</v>
      </c>
      <c r="P2613" s="1" t="str">
        <f ca="1">IFERROR(__xludf.DUMMYFUNCTION("""COMPUTED_VALUE"""),"Work with more than 10 people in my team")</f>
        <v>Work with more than 10 people in my team</v>
      </c>
      <c r="Q2613" s="1" t="str">
        <f ca="1">IFERROR(__xludf.DUMMYFUNCTION("""COMPUTED_VALUE"""),"Yes")</f>
        <v>Yes</v>
      </c>
      <c r="R2613" s="1" t="str">
        <f ca="1">IFERROR(__xludf.DUMMYFUNCTION("""COMPUTED_VALUE"""),"Will work for 7 years or more")</f>
        <v>Will work for 7 years or more</v>
      </c>
      <c r="S2613" s="1" t="str">
        <f ca="1">IFERROR(__xludf.DUMMYFUNCTION("""COMPUTED_VALUE"""),"cubz.2009@gmail.com")</f>
        <v>cubz.2009@gmail.com</v>
      </c>
    </row>
    <row r="2614" spans="1:19" ht="12.5" x14ac:dyDescent="0.25">
      <c r="A2614" s="2">
        <f ca="1">IFERROR(__xludf.DUMMYFUNCTION("""COMPUTED_VALUE"""),45065.7682502546)</f>
        <v>45065.768250254601</v>
      </c>
      <c r="B2614" s="1" t="str">
        <f ca="1">IFERROR(__xludf.DUMMYFUNCTION("""COMPUTED_VALUE"""),"India")</f>
        <v>India</v>
      </c>
      <c r="C2614" s="1">
        <f ca="1">IFERROR(__xludf.DUMMYFUNCTION("""COMPUTED_VALUE"""),122102)</f>
        <v>122102</v>
      </c>
      <c r="D2614" s="1" t="str">
        <f ca="1">IFERROR(__xludf.DUMMYFUNCTION("""COMPUTED_VALUE"""),"Male")</f>
        <v>Male</v>
      </c>
      <c r="E2614" s="1" t="str">
        <f ca="1">IFERROR(__xludf.DUMMYFUNCTION("""COMPUTED_VALUE"""),"Influencers who had successful careers")</f>
        <v>Influencers who had successful careers</v>
      </c>
      <c r="F2614" s="1" t="str">
        <f ca="1">IFERROR(__xludf.DUMMYFUNCTION("""COMPUTED_VALUE"""),"No I would not be pursuing Higher Education outside of India")</f>
        <v>No I would not be pursuing Higher Education outside of India</v>
      </c>
      <c r="G2614" s="1" t="str">
        <f ca="1">IFERROR(__xludf.DUMMYFUNCTION("""COMPUTED_VALUE"""),"This will be hard to do, but if it is the right company I would try")</f>
        <v>This will be hard to do, but if it is the right company I would try</v>
      </c>
      <c r="H2614" s="1" t="str">
        <f ca="1">IFERROR(__xludf.DUMMYFUNCTION("""COMPUTED_VALUE"""),"Yes")</f>
        <v>Yes</v>
      </c>
      <c r="I2614" s="1" t="str">
        <f ca="1">IFERROR(__xludf.DUMMYFUNCTION("""COMPUTED_VALUE"""),"Will work for them")</f>
        <v>Will work for them</v>
      </c>
      <c r="J2614" s="1">
        <f ca="1">IFERROR(__xludf.DUMMYFUNCTION("""COMPUTED_VALUE"""),6)</f>
        <v>6</v>
      </c>
      <c r="K2614" s="1" t="str">
        <f ca="1">IFERROR(__xludf.DUMMYFUNCTION("""COMPUTED_VALUE"""),"Fully Remote with Options to travel as and when needed")</f>
        <v>Fully Remote with Options to travel as and when needed</v>
      </c>
      <c r="L261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1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14" s="1" t="str">
        <f ca="1">IFERROR(__xludf.DUMMYFUNCTION("""COMPUTED_VALUE"""),"Business Operations in any organization, Build and develop a Team, Look deeply into Data and generate insights, I Want to sell things/Sales")</f>
        <v>Business Operations in any organization, Build and develop a Team, Look deeply into Data and generate insights, I Want to sell things/Sales</v>
      </c>
      <c r="O2614" s="1" t="str">
        <f ca="1">IFERROR(__xludf.DUMMYFUNCTION("""COMPUTED_VALUE"""),"Manager who sets unrealistic targets")</f>
        <v>Manager who sets unrealistic targets</v>
      </c>
      <c r="P2614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614" s="1" t="str">
        <f ca="1">IFERROR(__xludf.DUMMYFUNCTION("""COMPUTED_VALUE"""),"Yes, I Understand this is gonna happen everywhere")</f>
        <v>Yes, I Understand this is gonna happen everywhere</v>
      </c>
      <c r="R2614" s="1" t="str">
        <f ca="1">IFERROR(__xludf.DUMMYFUNCTION("""COMPUTED_VALUE"""),"No way")</f>
        <v>No way</v>
      </c>
      <c r="S2614" s="1" t="str">
        <f ca="1">IFERROR(__xludf.DUMMYFUNCTION("""COMPUTED_VALUE"""),"dagarenterprises1@gmail.com")</f>
        <v>dagarenterprises1@gmail.com</v>
      </c>
    </row>
    <row r="2615" spans="1:19" ht="12.5" x14ac:dyDescent="0.25">
      <c r="A2615" s="2">
        <f ca="1">IFERROR(__xludf.DUMMYFUNCTION("""COMPUTED_VALUE"""),45065.7766610995)</f>
        <v>45065.776661099502</v>
      </c>
      <c r="B2615" s="1" t="str">
        <f ca="1">IFERROR(__xludf.DUMMYFUNCTION("""COMPUTED_VALUE"""),"India")</f>
        <v>India</v>
      </c>
      <c r="C2615" s="1">
        <f ca="1">IFERROR(__xludf.DUMMYFUNCTION("""COMPUTED_VALUE"""),400055)</f>
        <v>400055</v>
      </c>
      <c r="D2615" s="1" t="str">
        <f ca="1">IFERROR(__xludf.DUMMYFUNCTION("""COMPUTED_VALUE"""),"Female")</f>
        <v>Female</v>
      </c>
      <c r="E2615" s="1" t="str">
        <f ca="1">IFERROR(__xludf.DUMMYFUNCTION("""COMPUTED_VALUE"""),"People from my circle, but not family members")</f>
        <v>People from my circle, but not family members</v>
      </c>
      <c r="F2615" s="1" t="str">
        <f ca="1">IFERROR(__xludf.DUMMYFUNCTION("""COMPUTED_VALUE"""),"Yes, I will earn and do that")</f>
        <v>Yes, I will earn and do that</v>
      </c>
      <c r="G2615" s="1" t="str">
        <f ca="1">IFERROR(__xludf.DUMMYFUNCTION("""COMPUTED_VALUE"""),"This will be hard to do, but if it is the right company I would try")</f>
        <v>This will be hard to do, but if it is the right company I would try</v>
      </c>
      <c r="H2615" s="1" t="str">
        <f ca="1">IFERROR(__xludf.DUMMYFUNCTION("""COMPUTED_VALUE"""),"Yes")</f>
        <v>Yes</v>
      </c>
      <c r="I2615" s="1" t="str">
        <f ca="1">IFERROR(__xludf.DUMMYFUNCTION("""COMPUTED_VALUE"""),"Will NOT work for them")</f>
        <v>Will NOT work for them</v>
      </c>
      <c r="J2615" s="1">
        <f ca="1">IFERROR(__xludf.DUMMYFUNCTION("""COMPUTED_VALUE"""),5)</f>
        <v>5</v>
      </c>
      <c r="K2615" s="1" t="str">
        <f ca="1">IFERROR(__xludf.DUMMYFUNCTION("""COMPUTED_VALUE"""),"Fully Remote with Options to travel as and when needed")</f>
        <v>Fully Remote with Options to travel as and when needed</v>
      </c>
      <c r="L261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1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15" s="1" t="str">
        <f ca="1">IFERROR(__xludf.DUMMYFUNCTION("""COMPUTED_VALUE"""),"Design and Creative strategy in any company, Build and develop a Team, Work as a freelancer and do my thing my way, Become a content Creator in some platform")</f>
        <v>Design and Creative strategy in any company, Build and develop a Team, Work as a freelancer and do my thing my way, Become a content Creator in some platform</v>
      </c>
      <c r="O2615" s="1" t="str">
        <f ca="1">IFERROR(__xludf.DUMMYFUNCTION("""COMPUTED_VALUE"""),"Manager who explains what is expected, sets a goal and helps achieve it")</f>
        <v>Manager who explains what is expected, sets a goal and helps achieve it</v>
      </c>
      <c r="P2615" s="1" t="str">
        <f ca="1">IFERROR(__xludf.DUMMYFUNCTION("""COMPUTED_VALUE"""),"Work with 2 to 3 people in my team")</f>
        <v>Work with 2 to 3 people in my team</v>
      </c>
      <c r="Q2615" s="1" t="str">
        <f ca="1">IFERROR(__xludf.DUMMYFUNCTION("""COMPUTED_VALUE"""),"Yes, I Understand this is gonna happen everywhere")</f>
        <v>Yes, I Understand this is gonna happen everywhere</v>
      </c>
      <c r="R2615" s="1" t="str">
        <f ca="1">IFERROR(__xludf.DUMMYFUNCTION("""COMPUTED_VALUE"""),"No way")</f>
        <v>No way</v>
      </c>
      <c r="S2615" s="1" t="str">
        <f ca="1">IFERROR(__xludf.DUMMYFUNCTION("""COMPUTED_VALUE"""),"sompuraamee@gmail.com")</f>
        <v>sompuraamee@gmail.com</v>
      </c>
    </row>
    <row r="2616" spans="1:19" ht="12.5" x14ac:dyDescent="0.25">
      <c r="A2616" s="2">
        <f ca="1">IFERROR(__xludf.DUMMYFUNCTION("""COMPUTED_VALUE"""),45065.7857818055)</f>
        <v>45065.785781805498</v>
      </c>
      <c r="B2616" s="1" t="str">
        <f ca="1">IFERROR(__xludf.DUMMYFUNCTION("""COMPUTED_VALUE"""),"India")</f>
        <v>India</v>
      </c>
      <c r="C2616" s="1">
        <f ca="1">IFERROR(__xludf.DUMMYFUNCTION("""COMPUTED_VALUE"""),533429)</f>
        <v>533429</v>
      </c>
      <c r="D2616" s="1" t="str">
        <f ca="1">IFERROR(__xludf.DUMMYFUNCTION("""COMPUTED_VALUE"""),"Male")</f>
        <v>Male</v>
      </c>
      <c r="E2616" s="1" t="str">
        <f ca="1">IFERROR(__xludf.DUMMYFUNCTION("""COMPUTED_VALUE"""),"My Parents")</f>
        <v>My Parents</v>
      </c>
      <c r="F2616" s="1" t="str">
        <f ca="1">IFERROR(__xludf.DUMMYFUNCTION("""COMPUTED_VALUE"""),"No, But if someone could bare the cost I will")</f>
        <v>No, But if someone could bare the cost I will</v>
      </c>
      <c r="G2616" s="1" t="str">
        <f ca="1">IFERROR(__xludf.DUMMYFUNCTION("""COMPUTED_VALUE"""),"This will be hard to do, but if it is the right company I would try")</f>
        <v>This will be hard to do, but if it is the right company I would try</v>
      </c>
      <c r="H2616" s="1" t="str">
        <f ca="1">IFERROR(__xludf.DUMMYFUNCTION("""COMPUTED_VALUE"""),"Yes")</f>
        <v>Yes</v>
      </c>
      <c r="I2616" s="1" t="str">
        <f ca="1">IFERROR(__xludf.DUMMYFUNCTION("""COMPUTED_VALUE"""),"Will work for them")</f>
        <v>Will work for them</v>
      </c>
      <c r="J2616" s="1">
        <f ca="1">IFERROR(__xludf.DUMMYFUNCTION("""COMPUTED_VALUE"""),5)</f>
        <v>5</v>
      </c>
      <c r="K2616" s="1" t="str">
        <f ca="1">IFERROR(__xludf.DUMMYFUNCTION("""COMPUTED_VALUE"""),"Hybrid Working Environment with more than 15 days a month at office")</f>
        <v>Hybrid Working Environment with more than 15 days a month at office</v>
      </c>
      <c r="L2616" s="1" t="str">
        <f ca="1">IFERROR(__xludf.DUMMYFUNCTION("""COMPUTED_VALUE"""),"Employer who appreciates learning and enables that environment")</f>
        <v>Employer who appreciates learning and enables that environment</v>
      </c>
      <c r="M2616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616" s="1" t="str">
        <f ca="1">IFERROR(__xludf.DUMMYFUNCTION("""COMPUTED_VALUE"""),"Design and Creative strategy in any company, Teaching in any of the institutes/colleges/online or offline, I Want to sell things/Sales, Manufacturing / Oil and Gas/ Construction / Hard Physical Work related")</f>
        <v>Design and Creative strategy in any company, Teaching in any of the institutes/colleges/online or offline, I Want to sell things/Sales, Manufacturing / Oil and Gas/ Construction / Hard Physical Work related</v>
      </c>
      <c r="O2616" s="1" t="str">
        <f ca="1">IFERROR(__xludf.DUMMYFUNCTION("""COMPUTED_VALUE"""),"Manager who sets targets and expects me to achieve it")</f>
        <v>Manager who sets targets and expects me to achieve it</v>
      </c>
      <c r="P2616" s="1" t="str">
        <f ca="1">IFERROR(__xludf.DUMMYFUNCTION("""COMPUTED_VALUE"""),"Work with 2 to 3 people in my team")</f>
        <v>Work with 2 to 3 people in my team</v>
      </c>
      <c r="Q2616" s="1" t="str">
        <f ca="1">IFERROR(__xludf.DUMMYFUNCTION("""COMPUTED_VALUE"""),"Yes, I Understand this is gonna happen everywhere")</f>
        <v>Yes, I Understand this is gonna happen everywhere</v>
      </c>
      <c r="R2616" s="1" t="str">
        <f ca="1">IFERROR(__xludf.DUMMYFUNCTION("""COMPUTED_VALUE"""),"This will be hard to do, but if it is the right company I would try")</f>
        <v>This will be hard to do, but if it is the right company I would try</v>
      </c>
      <c r="S2616" s="1" t="str">
        <f ca="1">IFERROR(__xludf.DUMMYFUNCTION("""COMPUTED_VALUE"""),"sivaram7478@gmail.com")</f>
        <v>sivaram7478@gmail.com</v>
      </c>
    </row>
    <row r="2617" spans="1:19" ht="12.5" x14ac:dyDescent="0.25">
      <c r="A2617" s="2">
        <f ca="1">IFERROR(__xludf.DUMMYFUNCTION("""COMPUTED_VALUE"""),45065.7867471875)</f>
        <v>45065.7867471875</v>
      </c>
      <c r="B2617" s="1" t="str">
        <f ca="1">IFERROR(__xludf.DUMMYFUNCTION("""COMPUTED_VALUE"""),"India")</f>
        <v>India</v>
      </c>
      <c r="C2617" s="1">
        <f ca="1">IFERROR(__xludf.DUMMYFUNCTION("""COMPUTED_VALUE"""),226010)</f>
        <v>226010</v>
      </c>
      <c r="D2617" s="1" t="str">
        <f ca="1">IFERROR(__xludf.DUMMYFUNCTION("""COMPUTED_VALUE"""),"Male")</f>
        <v>Male</v>
      </c>
      <c r="E2617" s="1" t="str">
        <f ca="1">IFERROR(__xludf.DUMMYFUNCTION("""COMPUTED_VALUE"""),"People from my circle, but not family members")</f>
        <v>People from my circle, but not family members</v>
      </c>
      <c r="F2617" s="1" t="str">
        <f ca="1">IFERROR(__xludf.DUMMYFUNCTION("""COMPUTED_VALUE"""),"No, But if someone could bare the cost I will")</f>
        <v>No, But if someone could bare the cost I will</v>
      </c>
      <c r="G2617" s="1" t="str">
        <f ca="1">IFERROR(__xludf.DUMMYFUNCTION("""COMPUTED_VALUE"""),"This will be hard to do, but if it is the right company I would try")</f>
        <v>This will be hard to do, but if it is the right company I would try</v>
      </c>
      <c r="H2617" s="1" t="str">
        <f ca="1">IFERROR(__xludf.DUMMYFUNCTION("""COMPUTED_VALUE"""),"Yes")</f>
        <v>Yes</v>
      </c>
      <c r="I2617" s="1" t="str">
        <f ca="1">IFERROR(__xludf.DUMMYFUNCTION("""COMPUTED_VALUE"""),"Will work for them")</f>
        <v>Will work for them</v>
      </c>
      <c r="J2617" s="1">
        <f ca="1">IFERROR(__xludf.DUMMYFUNCTION("""COMPUTED_VALUE"""),5)</f>
        <v>5</v>
      </c>
      <c r="K2617" s="1" t="str">
        <f ca="1">IFERROR(__xludf.DUMMYFUNCTION("""COMPUTED_VALUE"""),"Hybrid Working Environment with more than 15 days a month at office")</f>
        <v>Hybrid Working Environment with more than 15 days a month at office</v>
      </c>
      <c r="L261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1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617" s="1" t="str">
        <f ca="1">IFERROR(__xludf.DUMMYFUNCTION("""COMPUTED_VALUE"""),"Business Operations in any organization, Build and develop a Team, Entrepreneur or Start Up, Manufacturing / Oil and Gas/ Construction / Hard Physical Work related")</f>
        <v>Business Operations in any organization, Build and develop a Team, Entrepreneur or Start Up, Manufacturing / Oil and Gas/ Construction / Hard Physical Work related</v>
      </c>
      <c r="O2617" s="1" t="str">
        <f ca="1">IFERROR(__xludf.DUMMYFUNCTION("""COMPUTED_VALUE"""),"Manager who sets goal and helps me achieve it")</f>
        <v>Manager who sets goal and helps me achieve it</v>
      </c>
      <c r="P2617" s="1" t="str">
        <f ca="1">IFERROR(__xludf.DUMMYFUNCTION("""COMPUTED_VALUE"""),"Work alone")</f>
        <v>Work alone</v>
      </c>
      <c r="Q2617" s="1" t="str">
        <f ca="1">IFERROR(__xludf.DUMMYFUNCTION("""COMPUTED_VALUE"""),"Yes, I Understand this is gonna happen everywhere")</f>
        <v>Yes, I Understand this is gonna happen everywhere</v>
      </c>
      <c r="R2617" s="1" t="str">
        <f ca="1">IFERROR(__xludf.DUMMYFUNCTION("""COMPUTED_VALUE"""),"This will be hard to do, but if it is the right company I would try")</f>
        <v>This will be hard to do, but if it is the right company I would try</v>
      </c>
      <c r="S2617" s="1" t="str">
        <f ca="1">IFERROR(__xludf.DUMMYFUNCTION("""COMPUTED_VALUE"""),"anshagarwal567@gmail.com")</f>
        <v>anshagarwal567@gmail.com</v>
      </c>
    </row>
    <row r="2618" spans="1:19" ht="12.5" x14ac:dyDescent="0.25">
      <c r="A2618" s="2">
        <f ca="1">IFERROR(__xludf.DUMMYFUNCTION("""COMPUTED_VALUE"""),45065.7918217476)</f>
        <v>45065.791821747604</v>
      </c>
      <c r="B2618" s="1" t="str">
        <f ca="1">IFERROR(__xludf.DUMMYFUNCTION("""COMPUTED_VALUE"""),"India")</f>
        <v>India</v>
      </c>
      <c r="C2618" s="1">
        <f ca="1">IFERROR(__xludf.DUMMYFUNCTION("""COMPUTED_VALUE"""),577601)</f>
        <v>577601</v>
      </c>
      <c r="D2618" s="1" t="str">
        <f ca="1">IFERROR(__xludf.DUMMYFUNCTION("""COMPUTED_VALUE"""),"Male")</f>
        <v>Male</v>
      </c>
      <c r="E2618" s="1" t="str">
        <f ca="1">IFERROR(__xludf.DUMMYFUNCTION("""COMPUTED_VALUE"""),"My Parents")</f>
        <v>My Parents</v>
      </c>
      <c r="F2618" s="1" t="str">
        <f ca="1">IFERROR(__xludf.DUMMYFUNCTION("""COMPUTED_VALUE"""),"Yes, I will earn and do that")</f>
        <v>Yes, I will earn and do that</v>
      </c>
      <c r="G2618" s="1" t="str">
        <f ca="1">IFERROR(__xludf.DUMMYFUNCTION("""COMPUTED_VALUE"""),"Will work for 3 years or more")</f>
        <v>Will work for 3 years or more</v>
      </c>
      <c r="H2618" s="1" t="str">
        <f ca="1">IFERROR(__xludf.DUMMYFUNCTION("""COMPUTED_VALUE"""),"No")</f>
        <v>No</v>
      </c>
      <c r="I2618" s="1" t="str">
        <f ca="1">IFERROR(__xludf.DUMMYFUNCTION("""COMPUTED_VALUE"""),"Will NOT work for them")</f>
        <v>Will NOT work for them</v>
      </c>
      <c r="J2618" s="1">
        <f ca="1">IFERROR(__xludf.DUMMYFUNCTION("""COMPUTED_VALUE"""),7)</f>
        <v>7</v>
      </c>
      <c r="K2618" s="1" t="str">
        <f ca="1">IFERROR(__xludf.DUMMYFUNCTION("""COMPUTED_VALUE"""),"Hybrid Working Environment with more than 15 days a month at office")</f>
        <v>Hybrid Working Environment with more than 15 days a month at office</v>
      </c>
      <c r="L2618" s="1" t="str">
        <f ca="1">IFERROR(__xludf.DUMMYFUNCTION("""COMPUTED_VALUE"""),"Employer who appreciates learning and enables that environment")</f>
        <v>Employer who appreciates learning and enables that environment</v>
      </c>
      <c r="M261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18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2618" s="1" t="str">
        <f ca="1">IFERROR(__xludf.DUMMYFUNCTION("""COMPUTED_VALUE"""),"Manager who clearly describes what she/he needs")</f>
        <v>Manager who clearly describes what she/he needs</v>
      </c>
      <c r="P2618" s="1" t="str">
        <f ca="1">IFERROR(__xludf.DUMMYFUNCTION("""COMPUTED_VALUE"""),"Work with more than 10 people in my team")</f>
        <v>Work with more than 10 people in my team</v>
      </c>
      <c r="Q2618" s="1" t="str">
        <f ca="1">IFERROR(__xludf.DUMMYFUNCTION("""COMPUTED_VALUE"""),"Yes, I Understand this is gonna happen everywhere")</f>
        <v>Yes, I Understand this is gonna happen everywhere</v>
      </c>
      <c r="R2618" s="1" t="str">
        <f ca="1">IFERROR(__xludf.DUMMYFUNCTION("""COMPUTED_VALUE"""),"This will be hard to do, but if it is the right company I would try")</f>
        <v>This will be hard to do, but if it is the right company I would try</v>
      </c>
      <c r="S2618" s="1" t="str">
        <f ca="1">IFERROR(__xludf.DUMMYFUNCTION("""COMPUTED_VALUE"""),"pvinayaka14@gmail.com")</f>
        <v>pvinayaka14@gmail.com</v>
      </c>
    </row>
    <row r="2619" spans="1:19" ht="12.5" x14ac:dyDescent="0.25">
      <c r="A2619" s="2">
        <f ca="1">IFERROR(__xludf.DUMMYFUNCTION("""COMPUTED_VALUE"""),45065.7964754629)</f>
        <v>45065.796475462899</v>
      </c>
      <c r="B2619" s="1" t="str">
        <f ca="1">IFERROR(__xludf.DUMMYFUNCTION("""COMPUTED_VALUE"""),"India")</f>
        <v>India</v>
      </c>
      <c r="C2619" s="1">
        <f ca="1">IFERROR(__xludf.DUMMYFUNCTION("""COMPUTED_VALUE"""),632006)</f>
        <v>632006</v>
      </c>
      <c r="D2619" s="1" t="str">
        <f ca="1">IFERROR(__xludf.DUMMYFUNCTION("""COMPUTED_VALUE"""),"Male")</f>
        <v>Male</v>
      </c>
      <c r="E2619" s="1" t="str">
        <f ca="1">IFERROR(__xludf.DUMMYFUNCTION("""COMPUTED_VALUE"""),"My Parents")</f>
        <v>My Parents</v>
      </c>
      <c r="F2619" s="1" t="str">
        <f ca="1">IFERROR(__xludf.DUMMYFUNCTION("""COMPUTED_VALUE"""),"No, But if someone could bare the cost I will")</f>
        <v>No, But if someone could bare the cost I will</v>
      </c>
      <c r="G2619" s="1" t="str">
        <f ca="1">IFERROR(__xludf.DUMMYFUNCTION("""COMPUTED_VALUE"""),"No way")</f>
        <v>No way</v>
      </c>
      <c r="H2619" s="1" t="str">
        <f ca="1">IFERROR(__xludf.DUMMYFUNCTION("""COMPUTED_VALUE"""),"Yes")</f>
        <v>Yes</v>
      </c>
      <c r="I2619" s="1" t="str">
        <f ca="1">IFERROR(__xludf.DUMMYFUNCTION("""COMPUTED_VALUE"""),"Will work for them")</f>
        <v>Will work for them</v>
      </c>
      <c r="J2619" s="1">
        <f ca="1">IFERROR(__xludf.DUMMYFUNCTION("""COMPUTED_VALUE"""),4)</f>
        <v>4</v>
      </c>
      <c r="K2619" s="1" t="str">
        <f ca="1">IFERROR(__xludf.DUMMYFUNCTION("""COMPUTED_VALUE"""),"Fully Remote with Options to travel as and when needed")</f>
        <v>Fully Remote with Options to travel as and when needed</v>
      </c>
      <c r="L2619" s="1" t="str">
        <f ca="1">IFERROR(__xludf.DUMMYFUNCTION("""COMPUTED_VALUE"""),"Employer who rewards learning and enables that environment")</f>
        <v>Employer who rewards learning and enables that environment</v>
      </c>
      <c r="M2619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619" s="1" t="str">
        <f ca="1">IFERROR(__xludf.DUMMYFUNCTION("""COMPUTED_VALUE"""),"Teaching in any of the institutes/colleges/online or offline, Design and Develop amazing software, Entrepreneur or Start Up, An Artificial Intelligence Specialist / Talking to Robots")</f>
        <v>Teaching in any of the institutes/colleges/online or offline, Design and Develop amazing software, Entrepreneur or Start Up, An Artificial Intelligence Specialist / Talking to Robots</v>
      </c>
      <c r="O2619" s="1" t="str">
        <f ca="1">IFERROR(__xludf.DUMMYFUNCTION("""COMPUTED_VALUE"""),"Manager who explains what is expected, sets a goal and helps achieve it")</f>
        <v>Manager who explains what is expected, sets a goal and helps achieve it</v>
      </c>
      <c r="P2619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619" s="1" t="str">
        <f ca="1">IFERROR(__xludf.DUMMYFUNCTION("""COMPUTED_VALUE"""),"No")</f>
        <v>No</v>
      </c>
      <c r="R2619" s="1" t="str">
        <f ca="1">IFERROR(__xludf.DUMMYFUNCTION("""COMPUTED_VALUE"""),"No way")</f>
        <v>No way</v>
      </c>
      <c r="S2619" s="1" t="str">
        <f ca="1">IFERROR(__xludf.DUMMYFUNCTION("""COMPUTED_VALUE"""),"udayachandran1725@gmail.com")</f>
        <v>udayachandran1725@gmail.com</v>
      </c>
    </row>
    <row r="2620" spans="1:19" ht="12.5" x14ac:dyDescent="0.25">
      <c r="A2620" s="2">
        <f ca="1">IFERROR(__xludf.DUMMYFUNCTION("""COMPUTED_VALUE"""),45065.7966590046)</f>
        <v>45065.796659004598</v>
      </c>
      <c r="B2620" s="1" t="str">
        <f ca="1">IFERROR(__xludf.DUMMYFUNCTION("""COMPUTED_VALUE"""),"India")</f>
        <v>India</v>
      </c>
      <c r="C2620" s="1">
        <f ca="1">IFERROR(__xludf.DUMMYFUNCTION("""COMPUTED_VALUE"""),603210)</f>
        <v>603210</v>
      </c>
      <c r="D2620" s="1" t="str">
        <f ca="1">IFERROR(__xludf.DUMMYFUNCTION("""COMPUTED_VALUE"""),"Male")</f>
        <v>Male</v>
      </c>
      <c r="E2620" s="1" t="str">
        <f ca="1">IFERROR(__xludf.DUMMYFUNCTION("""COMPUTED_VALUE"""),"Social Media like LinkedIn")</f>
        <v>Social Media like LinkedIn</v>
      </c>
      <c r="F2620" s="1" t="str">
        <f ca="1">IFERROR(__xludf.DUMMYFUNCTION("""COMPUTED_VALUE"""),"No, But if someone could bare the cost I will")</f>
        <v>No, But if someone could bare the cost I will</v>
      </c>
      <c r="G2620" s="1" t="str">
        <f ca="1">IFERROR(__xludf.DUMMYFUNCTION("""COMPUTED_VALUE"""),"Will work for 3 years or more")</f>
        <v>Will work for 3 years or more</v>
      </c>
      <c r="H2620" s="1" t="str">
        <f ca="1">IFERROR(__xludf.DUMMYFUNCTION("""COMPUTED_VALUE"""),"Yes")</f>
        <v>Yes</v>
      </c>
      <c r="I2620" s="1" t="str">
        <f ca="1">IFERROR(__xludf.DUMMYFUNCTION("""COMPUTED_VALUE"""),"Will NOT work for them")</f>
        <v>Will NOT work for them</v>
      </c>
      <c r="J2620" s="1">
        <f ca="1">IFERROR(__xludf.DUMMYFUNCTION("""COMPUTED_VALUE"""),5)</f>
        <v>5</v>
      </c>
      <c r="K2620" s="1" t="str">
        <f ca="1">IFERROR(__xludf.DUMMYFUNCTION("""COMPUTED_VALUE"""),"Hybrid Working Environment with more than 15 days a month at office")</f>
        <v>Hybrid Working Environment with more than 15 days a month at office</v>
      </c>
      <c r="L2620" s="1" t="str">
        <f ca="1">IFERROR(__xludf.DUMMYFUNCTION("""COMPUTED_VALUE"""),"Employer who appreciates learning and enables that environment")</f>
        <v>Employer who appreciates learning and enables that environment</v>
      </c>
      <c r="M262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20" s="1" t="str">
        <f ca="1">IFERROR(__xludf.DUMMYFUNCTION("""COMPUTED_VALUE"""),"Become a content Creator in some platform, Entrepreneur or Start Up, I Want to sell things/Sales, Manufacturing / Oil and Gas/ Construction / Hard Physical Work related")</f>
        <v>Become a content Creator in some platform, Entrepreneur or Start Up, I Want to sell things/Sales, Manufacturing / Oil and Gas/ Construction / Hard Physical Work related</v>
      </c>
      <c r="O2620" s="1" t="str">
        <f ca="1">IFERROR(__xludf.DUMMYFUNCTION("""COMPUTED_VALUE"""),"Manager who sets goal and helps me achieve it")</f>
        <v>Manager who sets goal and helps me achieve it</v>
      </c>
      <c r="P2620" s="1" t="str">
        <f ca="1">IFERROR(__xludf.DUMMYFUNCTION("""COMPUTED_VALUE"""),"Work with 2 to 3 people in my team")</f>
        <v>Work with 2 to 3 people in my team</v>
      </c>
      <c r="Q2620" s="1" t="str">
        <f ca="1">IFERROR(__xludf.DUMMYFUNCTION("""COMPUTED_VALUE"""),"Yes, I Understand this is gonna happen everywhere")</f>
        <v>Yes, I Understand this is gonna happen everywhere</v>
      </c>
      <c r="R2620" s="1" t="str">
        <f ca="1">IFERROR(__xludf.DUMMYFUNCTION("""COMPUTED_VALUE"""),"This will be hard to do, but if it is the right company I would try")</f>
        <v>This will be hard to do, but if it is the right company I would try</v>
      </c>
      <c r="S2620" s="1" t="str">
        <f ca="1">IFERROR(__xludf.DUMMYFUNCTION("""COMPUTED_VALUE"""),"mustafausean@gmail.com")</f>
        <v>mustafausean@gmail.com</v>
      </c>
    </row>
    <row r="2621" spans="1:19" ht="12.5" x14ac:dyDescent="0.25">
      <c r="A2621" s="2">
        <f ca="1">IFERROR(__xludf.DUMMYFUNCTION("""COMPUTED_VALUE"""),45065.7990393171)</f>
        <v>45065.799039317099</v>
      </c>
      <c r="B2621" s="1" t="str">
        <f ca="1">IFERROR(__xludf.DUMMYFUNCTION("""COMPUTED_VALUE"""),"India")</f>
        <v>India</v>
      </c>
      <c r="C2621" s="1">
        <f ca="1">IFERROR(__xludf.DUMMYFUNCTION("""COMPUTED_VALUE"""),520012)</f>
        <v>520012</v>
      </c>
      <c r="D2621" s="1" t="str">
        <f ca="1">IFERROR(__xludf.DUMMYFUNCTION("""COMPUTED_VALUE"""),"Female")</f>
        <v>Female</v>
      </c>
      <c r="E2621" s="1" t="str">
        <f ca="1">IFERROR(__xludf.DUMMYFUNCTION("""COMPUTED_VALUE"""),"My Parents")</f>
        <v>My Parents</v>
      </c>
      <c r="F2621" s="1" t="str">
        <f ca="1">IFERROR(__xludf.DUMMYFUNCTION("""COMPUTED_VALUE"""),"No I would not be pursuing Higher Education outside of India")</f>
        <v>No I would not be pursuing Higher Education outside of India</v>
      </c>
      <c r="G2621" s="1" t="str">
        <f ca="1">IFERROR(__xludf.DUMMYFUNCTION("""COMPUTED_VALUE"""),"Will work for 3 years or more")</f>
        <v>Will work for 3 years or more</v>
      </c>
      <c r="H2621" s="1" t="str">
        <f ca="1">IFERROR(__xludf.DUMMYFUNCTION("""COMPUTED_VALUE"""),"No")</f>
        <v>No</v>
      </c>
      <c r="I2621" s="1" t="str">
        <f ca="1">IFERROR(__xludf.DUMMYFUNCTION("""COMPUTED_VALUE"""),"Will NOT work for them")</f>
        <v>Will NOT work for them</v>
      </c>
      <c r="J2621" s="1">
        <f ca="1">IFERROR(__xludf.DUMMYFUNCTION("""COMPUTED_VALUE"""),10)</f>
        <v>10</v>
      </c>
      <c r="K2621" s="1" t="str">
        <f ca="1">IFERROR(__xludf.DUMMYFUNCTION("""COMPUTED_VALUE"""),"Fully Remote with No option to visit offices")</f>
        <v>Fully Remote with No option to visit offices</v>
      </c>
      <c r="L262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2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621" s="1" t="str">
        <f ca="1">IFERROR(__xludf.DUMMYFUNCTION("""COMPUTED_VALUE"""),"Design and Creative strategy in any company, Build and develop a Team, Work in a BPO setup for some well known client, Work as a freelancer and do my thing my way")</f>
        <v>Design and Creative strategy in any company, Build and develop a Team, Work in a BPO setup for some well known client, Work as a freelancer and do my thing my way</v>
      </c>
      <c r="O2621" s="1" t="str">
        <f ca="1">IFERROR(__xludf.DUMMYFUNCTION("""COMPUTED_VALUE"""),"Manager who explains what is expected, sets a goal and helps achieve it")</f>
        <v>Manager who explains what is expected, sets a goal and helps achieve it</v>
      </c>
      <c r="P2621" s="1" t="str">
        <f ca="1">IFERROR(__xludf.DUMMYFUNCTION("""COMPUTED_VALUE"""),"Work with 5 to 6 people in my team")</f>
        <v>Work with 5 to 6 people in my team</v>
      </c>
      <c r="Q2621" s="1" t="str">
        <f ca="1">IFERROR(__xludf.DUMMYFUNCTION("""COMPUTED_VALUE"""),"Yes, I Understand this is gonna happen everywhere")</f>
        <v>Yes, I Understand this is gonna happen everywhere</v>
      </c>
      <c r="R2621" s="1" t="str">
        <f ca="1">IFERROR(__xludf.DUMMYFUNCTION("""COMPUTED_VALUE"""),"This will be hard to do, but if it is the right company I would try")</f>
        <v>This will be hard to do, but if it is the right company I would try</v>
      </c>
      <c r="S2621" s="1" t="str">
        <f ca="1">IFERROR(__xludf.DUMMYFUNCTION("""COMPUTED_VALUE"""),"reshmalakshmiaitha@gmail.com")</f>
        <v>reshmalakshmiaitha@gmail.com</v>
      </c>
    </row>
    <row r="2622" spans="1:19" ht="12.5" x14ac:dyDescent="0.25">
      <c r="A2622" s="2">
        <f ca="1">IFERROR(__xludf.DUMMYFUNCTION("""COMPUTED_VALUE"""),45065.807194456)</f>
        <v>45065.807194456</v>
      </c>
      <c r="B2622" s="1" t="str">
        <f ca="1">IFERROR(__xludf.DUMMYFUNCTION("""COMPUTED_VALUE"""),"India")</f>
        <v>India</v>
      </c>
      <c r="C2622" s="1">
        <f ca="1">IFERROR(__xludf.DUMMYFUNCTION("""COMPUTED_VALUE"""),416606)</f>
        <v>416606</v>
      </c>
      <c r="D2622" s="1" t="str">
        <f ca="1">IFERROR(__xludf.DUMMYFUNCTION("""COMPUTED_VALUE"""),"Female")</f>
        <v>Female</v>
      </c>
      <c r="E2622" s="1" t="str">
        <f ca="1">IFERROR(__xludf.DUMMYFUNCTION("""COMPUTED_VALUE"""),"Social Media like LinkedIn")</f>
        <v>Social Media like LinkedIn</v>
      </c>
      <c r="F2622" s="1" t="str">
        <f ca="1">IFERROR(__xludf.DUMMYFUNCTION("""COMPUTED_VALUE"""),"No, But if someone could bare the cost I will")</f>
        <v>No, But if someone could bare the cost I will</v>
      </c>
      <c r="G2622" s="1" t="str">
        <f ca="1">IFERROR(__xludf.DUMMYFUNCTION("""COMPUTED_VALUE"""),"No way")</f>
        <v>No way</v>
      </c>
      <c r="H2622" s="1" t="str">
        <f ca="1">IFERROR(__xludf.DUMMYFUNCTION("""COMPUTED_VALUE"""),"Yes")</f>
        <v>Yes</v>
      </c>
      <c r="I2622" s="1" t="str">
        <f ca="1">IFERROR(__xludf.DUMMYFUNCTION("""COMPUTED_VALUE"""),"Will work for them")</f>
        <v>Will work for them</v>
      </c>
      <c r="J2622" s="1">
        <f ca="1">IFERROR(__xludf.DUMMYFUNCTION("""COMPUTED_VALUE"""),6)</f>
        <v>6</v>
      </c>
      <c r="K2622" s="1" t="str">
        <f ca="1">IFERROR(__xludf.DUMMYFUNCTION("""COMPUTED_VALUE"""),"Hybrid Working Environment with more than 15 days a month at office")</f>
        <v>Hybrid Working Environment with more than 15 days a month at office</v>
      </c>
      <c r="L2622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62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22" s="1" t="str">
        <f ca="1">IFERROR(__xludf.DUMMYFUNCTION("""COMPUTED_VALUE"""),"Manage and drive End-to-End Projects or Products, Design and Develop amazing software, Work in a BPO setup for some well known client, Become a content Creator in some platform")</f>
        <v>Manage and drive End-to-End Projects or Products, Design and Develop amazing software, Work in a BPO setup for some well known client, Become a content Creator in some platform</v>
      </c>
      <c r="O2622" s="1" t="str">
        <f ca="1">IFERROR(__xludf.DUMMYFUNCTION("""COMPUTED_VALUE"""),"Manager who sets goal and helps me achieve it")</f>
        <v>Manager who sets goal and helps me achieve it</v>
      </c>
      <c r="P2622" s="1" t="str">
        <f ca="1">IFERROR(__xludf.DUMMYFUNCTION("""COMPUTED_VALUE"""),"Work with 5 to 6 people in my team")</f>
        <v>Work with 5 to 6 people in my team</v>
      </c>
      <c r="Q2622" s="1" t="str">
        <f ca="1">IFERROR(__xludf.DUMMYFUNCTION("""COMPUTED_VALUE"""),"I have NO other choice")</f>
        <v>I have NO other choice</v>
      </c>
      <c r="R2622" s="1" t="str">
        <f ca="1">IFERROR(__xludf.DUMMYFUNCTION("""COMPUTED_VALUE"""),"No way")</f>
        <v>No way</v>
      </c>
      <c r="S2622" s="1" t="str">
        <f ca="1">IFERROR(__xludf.DUMMYFUNCTION("""COMPUTED_VALUE"""),"nikitamithbaonkar21@gmail.com")</f>
        <v>nikitamithbaonkar21@gmail.com</v>
      </c>
    </row>
    <row r="2623" spans="1:19" ht="12.5" x14ac:dyDescent="0.25">
      <c r="A2623" s="2">
        <f ca="1">IFERROR(__xludf.DUMMYFUNCTION("""COMPUTED_VALUE"""),45065.8082933449)</f>
        <v>45065.808293344897</v>
      </c>
      <c r="B2623" s="1" t="str">
        <f ca="1">IFERROR(__xludf.DUMMYFUNCTION("""COMPUTED_VALUE"""),"India")</f>
        <v>India</v>
      </c>
      <c r="C2623" s="1">
        <f ca="1">IFERROR(__xludf.DUMMYFUNCTION("""COMPUTED_VALUE"""),530017)</f>
        <v>530017</v>
      </c>
      <c r="D2623" s="1" t="str">
        <f ca="1">IFERROR(__xludf.DUMMYFUNCTION("""COMPUTED_VALUE"""),"Male")</f>
        <v>Male</v>
      </c>
      <c r="E2623" s="1" t="str">
        <f ca="1">IFERROR(__xludf.DUMMYFUNCTION("""COMPUTED_VALUE"""),"People who have changed the world for better")</f>
        <v>People who have changed the world for better</v>
      </c>
      <c r="F2623" s="1" t="str">
        <f ca="1">IFERROR(__xludf.DUMMYFUNCTION("""COMPUTED_VALUE"""),"No I would not be pursuing Higher Education outside of India")</f>
        <v>No I would not be pursuing Higher Education outside of India</v>
      </c>
      <c r="G2623" s="1" t="str">
        <f ca="1">IFERROR(__xludf.DUMMYFUNCTION("""COMPUTED_VALUE"""),"This will be hard to do, but if it is the right company I would try")</f>
        <v>This will be hard to do, but if it is the right company I would try</v>
      </c>
      <c r="H2623" s="1" t="str">
        <f ca="1">IFERROR(__xludf.DUMMYFUNCTION("""COMPUTED_VALUE"""),"No")</f>
        <v>No</v>
      </c>
      <c r="I2623" s="1" t="str">
        <f ca="1">IFERROR(__xludf.DUMMYFUNCTION("""COMPUTED_VALUE"""),"Will NOT work for them")</f>
        <v>Will NOT work for them</v>
      </c>
      <c r="J2623" s="1">
        <f ca="1">IFERROR(__xludf.DUMMYFUNCTION("""COMPUTED_VALUE"""),1)</f>
        <v>1</v>
      </c>
      <c r="K2623" s="1" t="str">
        <f ca="1">IFERROR(__xludf.DUMMYFUNCTION("""COMPUTED_VALUE"""),"Hybrid Working Environment with more than 15 days a month at office")</f>
        <v>Hybrid Working Environment with more than 15 days a month at office</v>
      </c>
      <c r="L2623" s="1" t="str">
        <f ca="1">IFERROR(__xludf.DUMMYFUNCTION("""COMPUTED_VALUE"""),"Employer who appreciates learning and enables that environment")</f>
        <v>Employer who appreciates learning and enables that environment</v>
      </c>
      <c r="M2623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2623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2623" s="1" t="str">
        <f ca="1">IFERROR(__xludf.DUMMYFUNCTION("""COMPUTED_VALUE"""),"Manager who explains what is expected, sets a goal and helps achieve it")</f>
        <v>Manager who explains what is expected, sets a goal and helps achieve it</v>
      </c>
      <c r="P2623" s="1" t="str">
        <f ca="1">IFERROR(__xludf.DUMMYFUNCTION("""COMPUTED_VALUE"""),"Work with 5 to 6 people in my team")</f>
        <v>Work with 5 to 6 people in my team</v>
      </c>
      <c r="Q2623" s="1" t="str">
        <f ca="1">IFERROR(__xludf.DUMMYFUNCTION("""COMPUTED_VALUE"""),"Yes, I Understand this is gonna happen everywhere")</f>
        <v>Yes, I Understand this is gonna happen everywhere</v>
      </c>
      <c r="R2623" s="1" t="str">
        <f ca="1">IFERROR(__xludf.DUMMYFUNCTION("""COMPUTED_VALUE"""),"This will be hard to do, but if it is the right company I would try")</f>
        <v>This will be hard to do, but if it is the right company I would try</v>
      </c>
      <c r="S2623" s="1" t="str">
        <f ca="1">IFERROR(__xludf.DUMMYFUNCTION("""COMPUTED_VALUE"""),"imgirishch@gmail.com")</f>
        <v>imgirishch@gmail.com</v>
      </c>
    </row>
    <row r="2624" spans="1:19" ht="12.5" x14ac:dyDescent="0.25">
      <c r="A2624" s="2">
        <f ca="1">IFERROR(__xludf.DUMMYFUNCTION("""COMPUTED_VALUE"""),45065.8085914004)</f>
        <v>45065.808591400397</v>
      </c>
      <c r="B2624" s="1" t="str">
        <f ca="1">IFERROR(__xludf.DUMMYFUNCTION("""COMPUTED_VALUE"""),"India")</f>
        <v>India</v>
      </c>
      <c r="C2624" s="1">
        <f ca="1">IFERROR(__xludf.DUMMYFUNCTION("""COMPUTED_VALUE"""),400068)</f>
        <v>400068</v>
      </c>
      <c r="D2624" s="1" t="str">
        <f ca="1">IFERROR(__xludf.DUMMYFUNCTION("""COMPUTED_VALUE"""),"Male")</f>
        <v>Male</v>
      </c>
      <c r="E2624" s="1" t="str">
        <f ca="1">IFERROR(__xludf.DUMMYFUNCTION("""COMPUTED_VALUE"""),"Social Media like LinkedIn")</f>
        <v>Social Media like LinkedIn</v>
      </c>
      <c r="F2624" s="1" t="str">
        <f ca="1">IFERROR(__xludf.DUMMYFUNCTION("""COMPUTED_VALUE"""),"No I would not be pursuing Higher Education outside of India")</f>
        <v>No I would not be pursuing Higher Education outside of India</v>
      </c>
      <c r="G2624" s="1" t="str">
        <f ca="1">IFERROR(__xludf.DUMMYFUNCTION("""COMPUTED_VALUE"""),"This will be hard to do, but if it is the right company I would try")</f>
        <v>This will be hard to do, but if it is the right company I would try</v>
      </c>
      <c r="H2624" s="1" t="str">
        <f ca="1">IFERROR(__xludf.DUMMYFUNCTION("""COMPUTED_VALUE"""),"No")</f>
        <v>No</v>
      </c>
      <c r="I2624" s="1" t="str">
        <f ca="1">IFERROR(__xludf.DUMMYFUNCTION("""COMPUTED_VALUE"""),"Will NOT work for them")</f>
        <v>Will NOT work for them</v>
      </c>
      <c r="J2624" s="1">
        <f ca="1">IFERROR(__xludf.DUMMYFUNCTION("""COMPUTED_VALUE"""),1)</f>
        <v>1</v>
      </c>
      <c r="K2624" s="1" t="str">
        <f ca="1">IFERROR(__xludf.DUMMYFUNCTION("""COMPUTED_VALUE"""),"Every Day Office Environment")</f>
        <v>Every Day Office Environment</v>
      </c>
      <c r="L2624" s="1" t="str">
        <f ca="1">IFERROR(__xludf.DUMMYFUNCTION("""COMPUTED_VALUE"""),"Employer who appreciates learning and enables that environment")</f>
        <v>Employer who appreciates learning and enables that environment</v>
      </c>
      <c r="M262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24" s="1" t="str">
        <f ca="1">IFERROR(__xludf.DUMMYFUNCTION("""COMPUTED_VALUE"""),"Business Operations in any organization, Manage and drive End-to-End Projects or Products, Design and Develop amazing software, An Artificial Intelligence Specialist / Talking to Robots")</f>
        <v>Business Operations in any organization, Manage and drive End-to-End Projects or Products, Design and Develop amazing software, An Artificial Intelligence Specialist / Talking to Robots</v>
      </c>
      <c r="O2624" s="1" t="str">
        <f ca="1">IFERROR(__xludf.DUMMYFUNCTION("""COMPUTED_VALUE"""),"Manager who explains what is expected, sets a goal and helps achieve it")</f>
        <v>Manager who explains what is expected, sets a goal and helps achieve it</v>
      </c>
      <c r="P2624" s="1" t="str">
        <f ca="1">IFERROR(__xludf.DUMMYFUNCTION("""COMPUTED_VALUE"""),"Work with 5 to 6 people in my team")</f>
        <v>Work with 5 to 6 people in my team</v>
      </c>
      <c r="Q2624" s="1" t="str">
        <f ca="1">IFERROR(__xludf.DUMMYFUNCTION("""COMPUTED_VALUE"""),"Yes, I Understand this is gonna happen everywhere")</f>
        <v>Yes, I Understand this is gonna happen everywhere</v>
      </c>
      <c r="R2624" s="1" t="str">
        <f ca="1">IFERROR(__xludf.DUMMYFUNCTION("""COMPUTED_VALUE"""),"This will be hard to do, but if it is the right company I would try")</f>
        <v>This will be hard to do, but if it is the right company I would try</v>
      </c>
      <c r="S2624" s="1" t="str">
        <f ca="1">IFERROR(__xludf.DUMMYFUNCTION("""COMPUTED_VALUE"""),"hetsiddhapura654@gmail.com")</f>
        <v>hetsiddhapura654@gmail.com</v>
      </c>
    </row>
    <row r="2625" spans="1:19" ht="12.5" x14ac:dyDescent="0.25">
      <c r="A2625" s="2">
        <f ca="1">IFERROR(__xludf.DUMMYFUNCTION("""COMPUTED_VALUE"""),45065.8090169444)</f>
        <v>45065.809016944397</v>
      </c>
      <c r="B2625" s="1" t="str">
        <f ca="1">IFERROR(__xludf.DUMMYFUNCTION("""COMPUTED_VALUE"""),"India")</f>
        <v>India</v>
      </c>
      <c r="C2625" s="1" t="str">
        <f ca="1">IFERROR(__xludf.DUMMYFUNCTION("""COMPUTED_VALUE"""),"+91")</f>
        <v>+91</v>
      </c>
      <c r="D2625" s="1" t="str">
        <f ca="1">IFERROR(__xludf.DUMMYFUNCTION("""COMPUTED_VALUE"""),"Male")</f>
        <v>Male</v>
      </c>
      <c r="E2625" s="1" t="str">
        <f ca="1">IFERROR(__xludf.DUMMYFUNCTION("""COMPUTED_VALUE"""),"Social Media like LinkedIn")</f>
        <v>Social Media like LinkedIn</v>
      </c>
      <c r="F2625" s="1" t="str">
        <f ca="1">IFERROR(__xludf.DUMMYFUNCTION("""COMPUTED_VALUE"""),"Yes, I will earn and do that")</f>
        <v>Yes, I will earn and do that</v>
      </c>
      <c r="G2625" s="1" t="str">
        <f ca="1">IFERROR(__xludf.DUMMYFUNCTION("""COMPUTED_VALUE"""),"This will be hard to do, but if it is the right company I would try")</f>
        <v>This will be hard to do, but if it is the right company I would try</v>
      </c>
      <c r="H2625" s="1" t="str">
        <f ca="1">IFERROR(__xludf.DUMMYFUNCTION("""COMPUTED_VALUE"""),"No")</f>
        <v>No</v>
      </c>
      <c r="I2625" s="1" t="str">
        <f ca="1">IFERROR(__xludf.DUMMYFUNCTION("""COMPUTED_VALUE"""),"Will NOT work for them")</f>
        <v>Will NOT work for them</v>
      </c>
      <c r="J2625" s="1">
        <f ca="1">IFERROR(__xludf.DUMMYFUNCTION("""COMPUTED_VALUE"""),1)</f>
        <v>1</v>
      </c>
      <c r="K2625" s="1" t="str">
        <f ca="1">IFERROR(__xludf.DUMMYFUNCTION("""COMPUTED_VALUE"""),"Every Day Office Environment")</f>
        <v>Every Day Office Environment</v>
      </c>
      <c r="L2625" s="1" t="str">
        <f ca="1">IFERROR(__xludf.DUMMYFUNCTION("""COMPUTED_VALUE"""),"Employer who rewards learning and enables that environment")</f>
        <v>Employer who rewards learning and enables that environment</v>
      </c>
      <c r="M262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25" s="1" t="str">
        <f ca="1">IFERROR(__xludf.DUMMYFUNCTION("""COMPUTED_VALUE"""),"Design and Creative strategy in any company, Business Operations in any organization, Work as a freelancer and do my thing my way, Become a content Creator in some platform")</f>
        <v>Design and Creative strategy in any company, Business Operations in any organization, Work as a freelancer and do my thing my way, Become a content Creator in some platform</v>
      </c>
      <c r="O2625" s="1" t="str">
        <f ca="1">IFERROR(__xludf.DUMMYFUNCTION("""COMPUTED_VALUE"""),"Manager who clearly describes what she/he needs")</f>
        <v>Manager who clearly describes what she/he needs</v>
      </c>
      <c r="P2625" s="1" t="str">
        <f ca="1">IFERROR(__xludf.DUMMYFUNCTION("""COMPUTED_VALUE"""),"Work with 2 to 3 people in my team")</f>
        <v>Work with 2 to 3 people in my team</v>
      </c>
      <c r="Q2625" s="1" t="str">
        <f ca="1">IFERROR(__xludf.DUMMYFUNCTION("""COMPUTED_VALUE"""),"Yes, I Understand this is gonna happen everywhere")</f>
        <v>Yes, I Understand this is gonna happen everywhere</v>
      </c>
      <c r="R2625" s="1" t="str">
        <f ca="1">IFERROR(__xludf.DUMMYFUNCTION("""COMPUTED_VALUE"""),"No way")</f>
        <v>No way</v>
      </c>
      <c r="S2625" s="1" t="str">
        <f ca="1">IFERROR(__xludf.DUMMYFUNCTION("""COMPUTED_VALUE"""),"jettivijay2@gmail.com")</f>
        <v>jettivijay2@gmail.com</v>
      </c>
    </row>
    <row r="2626" spans="1:19" ht="12.5" x14ac:dyDescent="0.25">
      <c r="A2626" s="2">
        <f ca="1">IFERROR(__xludf.DUMMYFUNCTION("""COMPUTED_VALUE"""),45065.8098589814)</f>
        <v>45065.809858981404</v>
      </c>
      <c r="B2626" s="1" t="str">
        <f ca="1">IFERROR(__xludf.DUMMYFUNCTION("""COMPUTED_VALUE"""),"India")</f>
        <v>India</v>
      </c>
      <c r="C2626" s="1">
        <f ca="1">IFERROR(__xludf.DUMMYFUNCTION("""COMPUTED_VALUE"""),122001)</f>
        <v>122001</v>
      </c>
      <c r="D2626" s="1" t="str">
        <f ca="1">IFERROR(__xludf.DUMMYFUNCTION("""COMPUTED_VALUE"""),"Female")</f>
        <v>Female</v>
      </c>
      <c r="E2626" s="1" t="str">
        <f ca="1">IFERROR(__xludf.DUMMYFUNCTION("""COMPUTED_VALUE"""),"People who have changed the world for better")</f>
        <v>People who have changed the world for better</v>
      </c>
      <c r="F2626" s="1" t="str">
        <f ca="1">IFERROR(__xludf.DUMMYFUNCTION("""COMPUTED_VALUE"""),"Yes, I will earn and do that")</f>
        <v>Yes, I will earn and do that</v>
      </c>
      <c r="G2626" s="1" t="str">
        <f ca="1">IFERROR(__xludf.DUMMYFUNCTION("""COMPUTED_VALUE"""),"This will be hard to do, but if it is the right company I would try")</f>
        <v>This will be hard to do, but if it is the right company I would try</v>
      </c>
      <c r="H2626" s="1" t="str">
        <f ca="1">IFERROR(__xludf.DUMMYFUNCTION("""COMPUTED_VALUE"""),"No")</f>
        <v>No</v>
      </c>
      <c r="I2626" s="1" t="str">
        <f ca="1">IFERROR(__xludf.DUMMYFUNCTION("""COMPUTED_VALUE"""),"Will work for them")</f>
        <v>Will work for them</v>
      </c>
      <c r="J2626" s="1">
        <f ca="1">IFERROR(__xludf.DUMMYFUNCTION("""COMPUTED_VALUE"""),8)</f>
        <v>8</v>
      </c>
      <c r="K2626" s="1" t="str">
        <f ca="1">IFERROR(__xludf.DUMMYFUNCTION("""COMPUTED_VALUE"""),"Fully Remote with No option to visit offices")</f>
        <v>Fully Remote with No option to visit offices</v>
      </c>
      <c r="L2626" s="1" t="str">
        <f ca="1">IFERROR(__xludf.DUMMYFUNCTION("""COMPUTED_VALUE"""),"Employer who rewards learning and enables that environment")</f>
        <v>Employer who rewards learning and enables that environment</v>
      </c>
      <c r="M2626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626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2626" s="1" t="str">
        <f ca="1">IFERROR(__xludf.DUMMYFUNCTION("""COMPUTED_VALUE"""),"Manager who explains what is expected, sets a goal and helps achieve it")</f>
        <v>Manager who explains what is expected, sets a goal and helps achieve it</v>
      </c>
      <c r="P2626" s="1" t="str">
        <f ca="1">IFERROR(__xludf.DUMMYFUNCTION("""COMPUTED_VALUE"""),"Work with 2 to 3 people in my team")</f>
        <v>Work with 2 to 3 people in my team</v>
      </c>
      <c r="Q2626" s="1" t="str">
        <f ca="1">IFERROR(__xludf.DUMMYFUNCTION("""COMPUTED_VALUE"""),"No")</f>
        <v>No</v>
      </c>
      <c r="R2626" s="1" t="str">
        <f ca="1">IFERROR(__xludf.DUMMYFUNCTION("""COMPUTED_VALUE"""),"This will be hard to do, but if it is the right company I would try")</f>
        <v>This will be hard to do, but if it is the right company I would try</v>
      </c>
      <c r="S2626" s="1" t="str">
        <f ca="1">IFERROR(__xludf.DUMMYFUNCTION("""COMPUTED_VALUE"""),"sweetyaghi71@gmail.com")</f>
        <v>sweetyaghi71@gmail.com</v>
      </c>
    </row>
    <row r="2627" spans="1:19" ht="12.5" x14ac:dyDescent="0.25">
      <c r="A2627" s="2">
        <f ca="1">IFERROR(__xludf.DUMMYFUNCTION("""COMPUTED_VALUE"""),45065.8199965972)</f>
        <v>45065.819996597202</v>
      </c>
      <c r="B2627" s="1" t="str">
        <f ca="1">IFERROR(__xludf.DUMMYFUNCTION("""COMPUTED_VALUE"""),"India")</f>
        <v>India</v>
      </c>
      <c r="C2627" s="1">
        <f ca="1">IFERROR(__xludf.DUMMYFUNCTION("""COMPUTED_VALUE"""),530044)</f>
        <v>530044</v>
      </c>
      <c r="D2627" s="1" t="str">
        <f ca="1">IFERROR(__xludf.DUMMYFUNCTION("""COMPUTED_VALUE"""),"Male")</f>
        <v>Male</v>
      </c>
      <c r="E2627" s="1" t="str">
        <f ca="1">IFERROR(__xludf.DUMMYFUNCTION("""COMPUTED_VALUE"""),"My Parents")</f>
        <v>My Parents</v>
      </c>
      <c r="F2627" s="1" t="str">
        <f ca="1">IFERROR(__xludf.DUMMYFUNCTION("""COMPUTED_VALUE"""),"No, But if someone could bare the cost I will")</f>
        <v>No, But if someone could bare the cost I will</v>
      </c>
      <c r="G2627" s="1" t="str">
        <f ca="1">IFERROR(__xludf.DUMMYFUNCTION("""COMPUTED_VALUE"""),"No way")</f>
        <v>No way</v>
      </c>
      <c r="H2627" s="1" t="str">
        <f ca="1">IFERROR(__xludf.DUMMYFUNCTION("""COMPUTED_VALUE"""),"No")</f>
        <v>No</v>
      </c>
      <c r="I2627" s="1" t="str">
        <f ca="1">IFERROR(__xludf.DUMMYFUNCTION("""COMPUTED_VALUE"""),"Will work for them")</f>
        <v>Will work for them</v>
      </c>
      <c r="J2627" s="1">
        <f ca="1">IFERROR(__xludf.DUMMYFUNCTION("""COMPUTED_VALUE"""),1)</f>
        <v>1</v>
      </c>
      <c r="K2627" s="1" t="str">
        <f ca="1">IFERROR(__xludf.DUMMYFUNCTION("""COMPUTED_VALUE"""),"Every Day Office Environment")</f>
        <v>Every Day Office Environment</v>
      </c>
      <c r="L2627" s="1" t="str">
        <f ca="1">IFERROR(__xludf.DUMMYFUNCTION("""COMPUTED_VALUE"""),"Employer who appreciates learning and enables that environment")</f>
        <v>Employer who appreciates learning and enables that environment</v>
      </c>
      <c r="M2627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27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2627" s="1" t="str">
        <f ca="1">IFERROR(__xludf.DUMMYFUNCTION("""COMPUTED_VALUE"""),"Manager who sets targets and expects me to achieve it")</f>
        <v>Manager who sets targets and expects me to achieve it</v>
      </c>
      <c r="P2627" s="1" t="str">
        <f ca="1">IFERROR(__xludf.DUMMYFUNCTION("""COMPUTED_VALUE"""),"Work with more than 10 people in my team")</f>
        <v>Work with more than 10 people in my team</v>
      </c>
      <c r="Q2627" s="1" t="str">
        <f ca="1">IFERROR(__xludf.DUMMYFUNCTION("""COMPUTED_VALUE"""),"No")</f>
        <v>No</v>
      </c>
      <c r="R2627" s="1" t="str">
        <f ca="1">IFERROR(__xludf.DUMMYFUNCTION("""COMPUTED_VALUE"""),"No way")</f>
        <v>No way</v>
      </c>
      <c r="S2627" s="1" t="str">
        <f ca="1">IFERROR(__xludf.DUMMYFUNCTION("""COMPUTED_VALUE"""),"padamatavenkatsai2005@gmail.com")</f>
        <v>padamatavenkatsai2005@gmail.com</v>
      </c>
    </row>
    <row r="2628" spans="1:19" ht="12.5" x14ac:dyDescent="0.25">
      <c r="A2628" s="2">
        <f ca="1">IFERROR(__xludf.DUMMYFUNCTION("""COMPUTED_VALUE"""),45065.8260569097)</f>
        <v>45065.826056909696</v>
      </c>
      <c r="B2628" s="1" t="str">
        <f ca="1">IFERROR(__xludf.DUMMYFUNCTION("""COMPUTED_VALUE"""),"India")</f>
        <v>India</v>
      </c>
      <c r="C2628" s="1">
        <f ca="1">IFERROR(__xludf.DUMMYFUNCTION("""COMPUTED_VALUE"""),140301)</f>
        <v>140301</v>
      </c>
      <c r="D2628" s="1" t="str">
        <f ca="1">IFERROR(__xludf.DUMMYFUNCTION("""COMPUTED_VALUE"""),"Female")</f>
        <v>Female</v>
      </c>
      <c r="E2628" s="1" t="str">
        <f ca="1">IFERROR(__xludf.DUMMYFUNCTION("""COMPUTED_VALUE"""),"My Parents")</f>
        <v>My Parents</v>
      </c>
      <c r="F2628" s="1" t="str">
        <f ca="1">IFERROR(__xludf.DUMMYFUNCTION("""COMPUTED_VALUE"""),"Yes, I will earn and do that")</f>
        <v>Yes, I will earn and do that</v>
      </c>
      <c r="G2628" s="1" t="str">
        <f ca="1">IFERROR(__xludf.DUMMYFUNCTION("""COMPUTED_VALUE"""),"This will be hard to do, but if it is the right company I would try")</f>
        <v>This will be hard to do, but if it is the right company I would try</v>
      </c>
      <c r="H2628" s="1" t="str">
        <f ca="1">IFERROR(__xludf.DUMMYFUNCTION("""COMPUTED_VALUE"""),"No")</f>
        <v>No</v>
      </c>
      <c r="I2628" s="1" t="str">
        <f ca="1">IFERROR(__xludf.DUMMYFUNCTION("""COMPUTED_VALUE"""),"Will NOT work for them")</f>
        <v>Will NOT work for them</v>
      </c>
      <c r="J2628" s="1">
        <f ca="1">IFERROR(__xludf.DUMMYFUNCTION("""COMPUTED_VALUE"""),1)</f>
        <v>1</v>
      </c>
      <c r="K2628" s="1" t="str">
        <f ca="1">IFERROR(__xludf.DUMMYFUNCTION("""COMPUTED_VALUE"""),"Hybrid Working Environment with more than 15 days a month at office")</f>
        <v>Hybrid Working Environment with more than 15 days a month at office</v>
      </c>
      <c r="L2628" s="1" t="str">
        <f ca="1">IFERROR(__xludf.DUMMYFUNCTION("""COMPUTED_VALUE"""),"Employer who appreciates learning and enables that environment")</f>
        <v>Employer who appreciates learning and enables that environment</v>
      </c>
      <c r="M262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28" s="1" t="str">
        <f ca="1">IFERROR(__xludf.DUMMYFUNCTION("""COMPUTED_VALUE"""),"Teaching in any of the institutes/colleges/online or offline, Business Operations in any organization, Manage and drive End-to-End Projects or Products, Build and develop a Team")</f>
        <v>Teaching in any of the institutes/colleges/online or offline, Business Operations in any organization, Manage and drive End-to-End Projects or Products, Build and develop a Team</v>
      </c>
      <c r="O2628" s="1" t="str">
        <f ca="1">IFERROR(__xludf.DUMMYFUNCTION("""COMPUTED_VALUE"""),"Manager who sets goal and helps me achieve it")</f>
        <v>Manager who sets goal and helps me achieve it</v>
      </c>
      <c r="P2628" s="1" t="str">
        <f ca="1">IFERROR(__xludf.DUMMYFUNCTION("""COMPUTED_VALUE"""),"Work with 2 to 3 people in my team, Work with 5 to 6 people in my team")</f>
        <v>Work with 2 to 3 people in my team, Work with 5 to 6 people in my team</v>
      </c>
      <c r="Q2628" s="1" t="str">
        <f ca="1">IFERROR(__xludf.DUMMYFUNCTION("""COMPUTED_VALUE"""),"Yes, I Understand this is gonna happen everywhere")</f>
        <v>Yes, I Understand this is gonna happen everywhere</v>
      </c>
      <c r="R2628" s="1" t="str">
        <f ca="1">IFERROR(__xludf.DUMMYFUNCTION("""COMPUTED_VALUE"""),"This will be hard to do, but if it is the right company I would try")</f>
        <v>This will be hard to do, but if it is the right company I would try</v>
      </c>
      <c r="S2628" s="1" t="str">
        <f ca="1">IFERROR(__xludf.DUMMYFUNCTION("""COMPUTED_VALUE"""),"rajeshsandra01@gmail.com")</f>
        <v>rajeshsandra01@gmail.com</v>
      </c>
    </row>
    <row r="2629" spans="1:19" ht="12.5" x14ac:dyDescent="0.25">
      <c r="A2629" s="2">
        <f ca="1">IFERROR(__xludf.DUMMYFUNCTION("""COMPUTED_VALUE"""),45065.8272517592)</f>
        <v>45065.827251759198</v>
      </c>
      <c r="B2629" s="1" t="str">
        <f ca="1">IFERROR(__xludf.DUMMYFUNCTION("""COMPUTED_VALUE"""),"India")</f>
        <v>India</v>
      </c>
      <c r="C2629" s="1">
        <f ca="1">IFERROR(__xludf.DUMMYFUNCTION("""COMPUTED_VALUE"""),533429)</f>
        <v>533429</v>
      </c>
      <c r="D2629" s="1" t="str">
        <f ca="1">IFERROR(__xludf.DUMMYFUNCTION("""COMPUTED_VALUE"""),"Female")</f>
        <v>Female</v>
      </c>
      <c r="E2629" s="1" t="str">
        <f ca="1">IFERROR(__xludf.DUMMYFUNCTION("""COMPUTED_VALUE"""),"My Parents")</f>
        <v>My Parents</v>
      </c>
      <c r="F2629" s="1" t="str">
        <f ca="1">IFERROR(__xludf.DUMMYFUNCTION("""COMPUTED_VALUE"""),"No, But if someone could bare the cost I will")</f>
        <v>No, But if someone could bare the cost I will</v>
      </c>
      <c r="G2629" s="1" t="str">
        <f ca="1">IFERROR(__xludf.DUMMYFUNCTION("""COMPUTED_VALUE"""),"This will be hard to do, but if it is the right company I would try")</f>
        <v>This will be hard to do, but if it is the right company I would try</v>
      </c>
      <c r="H2629" s="1" t="str">
        <f ca="1">IFERROR(__xludf.DUMMYFUNCTION("""COMPUTED_VALUE"""),"No")</f>
        <v>No</v>
      </c>
      <c r="I2629" s="1" t="str">
        <f ca="1">IFERROR(__xludf.DUMMYFUNCTION("""COMPUTED_VALUE"""),"Will NOT work for them")</f>
        <v>Will NOT work for them</v>
      </c>
      <c r="J2629" s="1">
        <f ca="1">IFERROR(__xludf.DUMMYFUNCTION("""COMPUTED_VALUE"""),2)</f>
        <v>2</v>
      </c>
      <c r="K2629" s="1" t="str">
        <f ca="1">IFERROR(__xludf.DUMMYFUNCTION("""COMPUTED_VALUE"""),"Hybrid Working Environment with less than 3 days a month at office")</f>
        <v>Hybrid Working Environment with less than 3 days a month at office</v>
      </c>
      <c r="L2629" s="1" t="str">
        <f ca="1">IFERROR(__xludf.DUMMYFUNCTION("""COMPUTED_VALUE"""),"Employer who appreciates learning and enables that environment")</f>
        <v>Employer who appreciates learning and enables that environment</v>
      </c>
      <c r="M2629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629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2629" s="1" t="str">
        <f ca="1">IFERROR(__xludf.DUMMYFUNCTION("""COMPUTED_VALUE"""),"Manager who sets goal and helps me achieve it")</f>
        <v>Manager who sets goal and helps me achieve it</v>
      </c>
      <c r="P2629" s="1" t="str">
        <f ca="1">IFERROR(__xludf.DUMMYFUNCTION("""COMPUTED_VALUE"""),"Work with 5 to 6 people in my team")</f>
        <v>Work with 5 to 6 people in my team</v>
      </c>
      <c r="Q2629" s="1" t="str">
        <f ca="1">IFERROR(__xludf.DUMMYFUNCTION("""COMPUTED_VALUE"""),"No")</f>
        <v>No</v>
      </c>
      <c r="R2629" s="1" t="str">
        <f ca="1">IFERROR(__xludf.DUMMYFUNCTION("""COMPUTED_VALUE"""),"No way")</f>
        <v>No way</v>
      </c>
      <c r="S2629" s="1" t="str">
        <f ca="1">IFERROR(__xludf.DUMMYFUNCTION("""COMPUTED_VALUE"""),"sidagammounika03@gmail.com")</f>
        <v>sidagammounika03@gmail.com</v>
      </c>
    </row>
    <row r="2630" spans="1:19" ht="12.5" x14ac:dyDescent="0.25">
      <c r="A2630" s="2">
        <f ca="1">IFERROR(__xludf.DUMMYFUNCTION("""COMPUTED_VALUE"""),45065.8299192129)</f>
        <v>45065.829919212898</v>
      </c>
      <c r="B2630" s="1" t="str">
        <f ca="1">IFERROR(__xludf.DUMMYFUNCTION("""COMPUTED_VALUE"""),"India")</f>
        <v>India</v>
      </c>
      <c r="C2630" s="1">
        <f ca="1">IFERROR(__xludf.DUMMYFUNCTION("""COMPUTED_VALUE"""),122001)</f>
        <v>122001</v>
      </c>
      <c r="D2630" s="1" t="str">
        <f ca="1">IFERROR(__xludf.DUMMYFUNCTION("""COMPUTED_VALUE"""),"Male")</f>
        <v>Male</v>
      </c>
      <c r="E2630" s="1" t="str">
        <f ca="1">IFERROR(__xludf.DUMMYFUNCTION("""COMPUTED_VALUE"""),"People from my circle, but not family members")</f>
        <v>People from my circle, but not family members</v>
      </c>
      <c r="F2630" s="1" t="str">
        <f ca="1">IFERROR(__xludf.DUMMYFUNCTION("""COMPUTED_VALUE"""),"Yes, I will earn and do that")</f>
        <v>Yes, I will earn and do that</v>
      </c>
      <c r="G2630" s="1" t="str">
        <f ca="1">IFERROR(__xludf.DUMMYFUNCTION("""COMPUTED_VALUE"""),"Will work for 3 years or more")</f>
        <v>Will work for 3 years or more</v>
      </c>
      <c r="H2630" s="1" t="str">
        <f ca="1">IFERROR(__xludf.DUMMYFUNCTION("""COMPUTED_VALUE"""),"Yes")</f>
        <v>Yes</v>
      </c>
      <c r="I2630" s="1" t="str">
        <f ca="1">IFERROR(__xludf.DUMMYFUNCTION("""COMPUTED_VALUE"""),"Will NOT work for them")</f>
        <v>Will NOT work for them</v>
      </c>
      <c r="J2630" s="1">
        <f ca="1">IFERROR(__xludf.DUMMYFUNCTION("""COMPUTED_VALUE"""),7)</f>
        <v>7</v>
      </c>
      <c r="K2630" s="1" t="str">
        <f ca="1">IFERROR(__xludf.DUMMYFUNCTION("""COMPUTED_VALUE"""),"Fully Remote with Options to travel as and when needed")</f>
        <v>Fully Remote with Options to travel as and when needed</v>
      </c>
      <c r="L2630" s="1" t="str">
        <f ca="1">IFERROR(__xludf.DUMMYFUNCTION("""COMPUTED_VALUE"""),"Employer who rewards learning and enables that environment")</f>
        <v>Employer who rewards learning and enables that environment</v>
      </c>
      <c r="M263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630" s="1" t="str">
        <f ca="1">IFERROR(__xludf.DUMMYFUNCTION("""COMPUTED_VALUE"""),"Design and Creative strategy in any company, Teaching in any of the institutes/colleges/online or offline, Look deeply into Data and generate insights, Become a content Creator in some platform")</f>
        <v>Design and Creative strategy in any company, Teaching in any of the institutes/colleges/online or offline, Look deeply into Data and generate insights, Become a content Creator in some platform</v>
      </c>
      <c r="O2630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0" s="1" t="str">
        <f ca="1">IFERROR(__xludf.DUMMYFUNCTION("""COMPUTED_VALUE"""),"Work with 5 to 6 people in my team")</f>
        <v>Work with 5 to 6 people in my team</v>
      </c>
      <c r="Q2630" s="1" t="str">
        <f ca="1">IFERROR(__xludf.DUMMYFUNCTION("""COMPUTED_VALUE"""),"Yes, I Understand this is gonna happen everywhere")</f>
        <v>Yes, I Understand this is gonna happen everywhere</v>
      </c>
      <c r="R2630" s="1" t="str">
        <f ca="1">IFERROR(__xludf.DUMMYFUNCTION("""COMPUTED_VALUE"""),"Will work for 7 years or more")</f>
        <v>Will work for 7 years or more</v>
      </c>
      <c r="S2630" s="1" t="str">
        <f ca="1">IFERROR(__xludf.DUMMYFUNCTION("""COMPUTED_VALUE"""),"ishwarsingh0154@gmail.com")</f>
        <v>ishwarsingh0154@gmail.com</v>
      </c>
    </row>
    <row r="2631" spans="1:19" ht="12.5" x14ac:dyDescent="0.25">
      <c r="A2631" s="2">
        <f ca="1">IFERROR(__xludf.DUMMYFUNCTION("""COMPUTED_VALUE"""),45065.8370480092)</f>
        <v>45065.837048009198</v>
      </c>
      <c r="B2631" s="1" t="str">
        <f ca="1">IFERROR(__xludf.DUMMYFUNCTION("""COMPUTED_VALUE"""),"India")</f>
        <v>India</v>
      </c>
      <c r="C2631" s="1">
        <f ca="1">IFERROR(__xludf.DUMMYFUNCTION("""COMPUTED_VALUE"""),689504)</f>
        <v>689504</v>
      </c>
      <c r="D2631" s="1" t="str">
        <f ca="1">IFERROR(__xludf.DUMMYFUNCTION("""COMPUTED_VALUE"""),"Female")</f>
        <v>Female</v>
      </c>
      <c r="E2631" s="1" t="str">
        <f ca="1">IFERROR(__xludf.DUMMYFUNCTION("""COMPUTED_VALUE"""),"People who have changed the world for better")</f>
        <v>People who have changed the world for better</v>
      </c>
      <c r="F2631" s="1" t="str">
        <f ca="1">IFERROR(__xludf.DUMMYFUNCTION("""COMPUTED_VALUE"""),"Yes, I will earn and do that")</f>
        <v>Yes, I will earn and do that</v>
      </c>
      <c r="G2631" s="1" t="str">
        <f ca="1">IFERROR(__xludf.DUMMYFUNCTION("""COMPUTED_VALUE"""),"Will work for 3 years or more")</f>
        <v>Will work for 3 years or more</v>
      </c>
      <c r="H2631" s="1" t="str">
        <f ca="1">IFERROR(__xludf.DUMMYFUNCTION("""COMPUTED_VALUE"""),"No")</f>
        <v>No</v>
      </c>
      <c r="I2631" s="1" t="str">
        <f ca="1">IFERROR(__xludf.DUMMYFUNCTION("""COMPUTED_VALUE"""),"Will NOT work for them")</f>
        <v>Will NOT work for them</v>
      </c>
      <c r="J2631" s="1">
        <f ca="1">IFERROR(__xludf.DUMMYFUNCTION("""COMPUTED_VALUE"""),8)</f>
        <v>8</v>
      </c>
      <c r="K2631" s="1" t="str">
        <f ca="1">IFERROR(__xludf.DUMMYFUNCTION("""COMPUTED_VALUE"""),"Hybrid Working Environment with more than 15 days a month at office")</f>
        <v>Hybrid Working Environment with more than 15 days a month at office</v>
      </c>
      <c r="L2631" s="1" t="str">
        <f ca="1">IFERROR(__xludf.DUMMYFUNCTION("""COMPUTED_VALUE"""),"Employer who rewards learning and enables that environment")</f>
        <v>Employer who rewards learning and enables that environment</v>
      </c>
      <c r="M263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31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631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1" s="1" t="str">
        <f ca="1">IFERROR(__xludf.DUMMYFUNCTION("""COMPUTED_VALUE"""),"Work with 2 to 3 people in my team")</f>
        <v>Work with 2 to 3 people in my team</v>
      </c>
      <c r="Q2631" s="1" t="str">
        <f ca="1">IFERROR(__xludf.DUMMYFUNCTION("""COMPUTED_VALUE"""),"Yes, I Understand this is gonna happen everywhere")</f>
        <v>Yes, I Understand this is gonna happen everywhere</v>
      </c>
      <c r="R2631" s="1" t="str">
        <f ca="1">IFERROR(__xludf.DUMMYFUNCTION("""COMPUTED_VALUE"""),"This will be hard to do, but if it is the right company I would try")</f>
        <v>This will be hard to do, but if it is the right company I would try</v>
      </c>
      <c r="S2631" s="1" t="str">
        <f ca="1">IFERROR(__xludf.DUMMYFUNCTION("""COMPUTED_VALUE"""),"athiraraji98@gmail.com")</f>
        <v>athiraraji98@gmail.com</v>
      </c>
    </row>
    <row r="2632" spans="1:19" ht="12.5" x14ac:dyDescent="0.25">
      <c r="A2632" s="2">
        <f ca="1">IFERROR(__xludf.DUMMYFUNCTION("""COMPUTED_VALUE"""),45065.8375674652)</f>
        <v>45065.837567465198</v>
      </c>
      <c r="B2632" s="1" t="str">
        <f ca="1">IFERROR(__xludf.DUMMYFUNCTION("""COMPUTED_VALUE"""),"India")</f>
        <v>India</v>
      </c>
      <c r="C2632" s="1">
        <f ca="1">IFERROR(__xludf.DUMMYFUNCTION("""COMPUTED_VALUE"""),140413)</f>
        <v>140413</v>
      </c>
      <c r="D2632" s="1" t="str">
        <f ca="1">IFERROR(__xludf.DUMMYFUNCTION("""COMPUTED_VALUE"""),"Female")</f>
        <v>Female</v>
      </c>
      <c r="E2632" s="1" t="str">
        <f ca="1">IFERROR(__xludf.DUMMYFUNCTION("""COMPUTED_VALUE"""),"My Parents")</f>
        <v>My Parents</v>
      </c>
      <c r="F2632" s="1" t="str">
        <f ca="1">IFERROR(__xludf.DUMMYFUNCTION("""COMPUTED_VALUE"""),"No I would not be pursuing Higher Education outside of India")</f>
        <v>No I would not be pursuing Higher Education outside of India</v>
      </c>
      <c r="G2632" s="1" t="str">
        <f ca="1">IFERROR(__xludf.DUMMYFUNCTION("""COMPUTED_VALUE"""),"Will work for 3 years or more")</f>
        <v>Will work for 3 years or more</v>
      </c>
      <c r="H2632" s="1" t="str">
        <f ca="1">IFERROR(__xludf.DUMMYFUNCTION("""COMPUTED_VALUE"""),"No")</f>
        <v>No</v>
      </c>
      <c r="I2632" s="1" t="str">
        <f ca="1">IFERROR(__xludf.DUMMYFUNCTION("""COMPUTED_VALUE"""),"Will NOT work for them")</f>
        <v>Will NOT work for them</v>
      </c>
      <c r="J2632" s="1">
        <f ca="1">IFERROR(__xludf.DUMMYFUNCTION("""COMPUTED_VALUE"""),3)</f>
        <v>3</v>
      </c>
      <c r="K2632" s="1" t="str">
        <f ca="1">IFERROR(__xludf.DUMMYFUNCTION("""COMPUTED_VALUE"""),"Fully Remote with Options to travel as and when needed")</f>
        <v>Fully Remote with Options to travel as and when needed</v>
      </c>
      <c r="L263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3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32" s="1" t="str">
        <f ca="1">IFERROR(__xludf.DUMMYFUNCTION("""COMPUTED_VALUE"""),"Teaching in any of the institutes/colleges/online or offline, Work as a freelancer and do my thing my way, Entrepreneur or Start Up, An Artificial Intelligence Specialist / Talking to Robots")</f>
        <v>Teaching in any of the institutes/colleges/online or offline, Work as a freelancer and do my thing my way, Entrepreneur or Start Up, An Artificial Intelligence Specialist / Talking to Robots</v>
      </c>
      <c r="O2632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2" s="1" t="str">
        <f ca="1">IFERROR(__xludf.DUMMYFUNCTION("""COMPUTED_VALUE"""),"Work with 2 to 3 people in my team")</f>
        <v>Work with 2 to 3 people in my team</v>
      </c>
      <c r="Q2632" s="1" t="str">
        <f ca="1">IFERROR(__xludf.DUMMYFUNCTION("""COMPUTED_VALUE"""),"Yes, I Understand this is gonna happen everywhere")</f>
        <v>Yes, I Understand this is gonna happen everywhere</v>
      </c>
      <c r="R2632" s="1" t="str">
        <f ca="1">IFERROR(__xludf.DUMMYFUNCTION("""COMPUTED_VALUE"""),"Will work for 7 years or more")</f>
        <v>Will work for 7 years or more</v>
      </c>
      <c r="S2632" s="1" t="str">
        <f ca="1">IFERROR(__xludf.DUMMYFUNCTION("""COMPUTED_VALUE"""),"pragatijain980@gmail.com")</f>
        <v>pragatijain980@gmail.com</v>
      </c>
    </row>
    <row r="2633" spans="1:19" ht="12.5" x14ac:dyDescent="0.25">
      <c r="A2633" s="2">
        <f ca="1">IFERROR(__xludf.DUMMYFUNCTION("""COMPUTED_VALUE"""),45065.837751493)</f>
        <v>45065.837751493003</v>
      </c>
      <c r="B2633" s="1" t="str">
        <f ca="1">IFERROR(__xludf.DUMMYFUNCTION("""COMPUTED_VALUE"""),"India")</f>
        <v>India</v>
      </c>
      <c r="C2633" s="1">
        <f ca="1">IFERROR(__xludf.DUMMYFUNCTION("""COMPUTED_VALUE"""),140301)</f>
        <v>140301</v>
      </c>
      <c r="D2633" s="1" t="str">
        <f ca="1">IFERROR(__xludf.DUMMYFUNCTION("""COMPUTED_VALUE"""),"Female")</f>
        <v>Female</v>
      </c>
      <c r="E2633" s="1" t="str">
        <f ca="1">IFERROR(__xludf.DUMMYFUNCTION("""COMPUTED_VALUE"""),"Social Media like LinkedIn")</f>
        <v>Social Media like LinkedIn</v>
      </c>
      <c r="F2633" s="1" t="str">
        <f ca="1">IFERROR(__xludf.DUMMYFUNCTION("""COMPUTED_VALUE"""),"Yes, I will earn and do that")</f>
        <v>Yes, I will earn and do that</v>
      </c>
      <c r="G2633" s="1" t="str">
        <f ca="1">IFERROR(__xludf.DUMMYFUNCTION("""COMPUTED_VALUE"""),"This will be hard to do, but if it is the right company I would try")</f>
        <v>This will be hard to do, but if it is the right company I would try</v>
      </c>
      <c r="H2633" s="1" t="str">
        <f ca="1">IFERROR(__xludf.DUMMYFUNCTION("""COMPUTED_VALUE"""),"No")</f>
        <v>No</v>
      </c>
      <c r="I2633" s="1" t="str">
        <f ca="1">IFERROR(__xludf.DUMMYFUNCTION("""COMPUTED_VALUE"""),"Will NOT work for them")</f>
        <v>Will NOT work for them</v>
      </c>
      <c r="J2633" s="1">
        <f ca="1">IFERROR(__xludf.DUMMYFUNCTION("""COMPUTED_VALUE"""),3)</f>
        <v>3</v>
      </c>
      <c r="K2633" s="1" t="str">
        <f ca="1">IFERROR(__xludf.DUMMYFUNCTION("""COMPUTED_VALUE"""),"Hybrid Working Environment with more than 15 days a month at office")</f>
        <v>Hybrid Working Environment with more than 15 days a month at office</v>
      </c>
      <c r="L263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3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33" s="1" t="str">
        <f ca="1">IFERROR(__xludf.DUMMYFUNCTION("""COMPUTED_VALUE"""),"Design and Creative strategy in any company, Business Operations in any organization, Become a content Creator in some platform, Entrepreneur or Start Up")</f>
        <v>Design and Creative strategy in any company, Business Operations in any organization, Become a content Creator in some platform, Entrepreneur or Start Up</v>
      </c>
      <c r="O2633" s="1" t="str">
        <f ca="1">IFERROR(__xludf.DUMMYFUNCTION("""COMPUTED_VALUE"""),"Manager who clearly describes what she/he needs")</f>
        <v>Manager who clearly describes what she/he needs</v>
      </c>
      <c r="P2633" s="1" t="str">
        <f ca="1">IFERROR(__xludf.DUMMYFUNCTION("""COMPUTED_VALUE"""),"Work with 2 to 3 people in my team")</f>
        <v>Work with 2 to 3 people in my team</v>
      </c>
      <c r="Q2633" s="1" t="str">
        <f ca="1">IFERROR(__xludf.DUMMYFUNCTION("""COMPUTED_VALUE"""),"No")</f>
        <v>No</v>
      </c>
      <c r="R2633" s="1" t="str">
        <f ca="1">IFERROR(__xludf.DUMMYFUNCTION("""COMPUTED_VALUE"""),"This will be hard to do, but if it is the right company I would try")</f>
        <v>This will be hard to do, but if it is the right company I would try</v>
      </c>
      <c r="S2633" s="1" t="str">
        <f ca="1">IFERROR(__xludf.DUMMYFUNCTION("""COMPUTED_VALUE"""),"vishnumaya102001@gmail.com")</f>
        <v>vishnumaya102001@gmail.com</v>
      </c>
    </row>
    <row r="2634" spans="1:19" ht="12.5" x14ac:dyDescent="0.25">
      <c r="A2634" s="2">
        <f ca="1">IFERROR(__xludf.DUMMYFUNCTION("""COMPUTED_VALUE"""),45065.8403112499)</f>
        <v>45065.8403112499</v>
      </c>
      <c r="B2634" s="1" t="str">
        <f ca="1">IFERROR(__xludf.DUMMYFUNCTION("""COMPUTED_VALUE"""),"India")</f>
        <v>India</v>
      </c>
      <c r="C2634" s="1">
        <f ca="1">IFERROR(__xludf.DUMMYFUNCTION("""COMPUTED_VALUE"""),122003)</f>
        <v>122003</v>
      </c>
      <c r="D2634" s="1" t="str">
        <f ca="1">IFERROR(__xludf.DUMMYFUNCTION("""COMPUTED_VALUE"""),"Female")</f>
        <v>Female</v>
      </c>
      <c r="E2634" s="1" t="str">
        <f ca="1">IFERROR(__xludf.DUMMYFUNCTION("""COMPUTED_VALUE"""),"My Parents")</f>
        <v>My Parents</v>
      </c>
      <c r="F2634" s="1" t="str">
        <f ca="1">IFERROR(__xludf.DUMMYFUNCTION("""COMPUTED_VALUE"""),"Yes, I will earn and do that")</f>
        <v>Yes, I will earn and do that</v>
      </c>
      <c r="G2634" s="1" t="str">
        <f ca="1">IFERROR(__xludf.DUMMYFUNCTION("""COMPUTED_VALUE"""),"Will work for 3 years or more")</f>
        <v>Will work for 3 years or more</v>
      </c>
      <c r="H2634" s="1" t="str">
        <f ca="1">IFERROR(__xludf.DUMMYFUNCTION("""COMPUTED_VALUE"""),"Yes")</f>
        <v>Yes</v>
      </c>
      <c r="I2634" s="1" t="str">
        <f ca="1">IFERROR(__xludf.DUMMYFUNCTION("""COMPUTED_VALUE"""),"Will NOT work for them")</f>
        <v>Will NOT work for them</v>
      </c>
      <c r="J2634" s="1">
        <f ca="1">IFERROR(__xludf.DUMMYFUNCTION("""COMPUTED_VALUE"""),1)</f>
        <v>1</v>
      </c>
      <c r="K2634" s="1" t="str">
        <f ca="1">IFERROR(__xludf.DUMMYFUNCTION("""COMPUTED_VALUE"""),"Fully Remote with Options to travel as and when needed")</f>
        <v>Fully Remote with Options to travel as and when needed</v>
      </c>
      <c r="L26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3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34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2634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4" s="1" t="str">
        <f ca="1">IFERROR(__xludf.DUMMYFUNCTION("""COMPUTED_VALUE"""),"Work with 2 to 3 people in my team")</f>
        <v>Work with 2 to 3 people in my team</v>
      </c>
      <c r="Q2634" s="1" t="str">
        <f ca="1">IFERROR(__xludf.DUMMYFUNCTION("""COMPUTED_VALUE"""),"Yes, I Understand this is gonna happen everywhere")</f>
        <v>Yes, I Understand this is gonna happen everywhere</v>
      </c>
      <c r="R2634" s="1" t="str">
        <f ca="1">IFERROR(__xludf.DUMMYFUNCTION("""COMPUTED_VALUE"""),"This will be hard to do, but if it is the right company I would try")</f>
        <v>This will be hard to do, but if it is the right company I would try</v>
      </c>
      <c r="S2634" s="1" t="str">
        <f ca="1">IFERROR(__xludf.DUMMYFUNCTION("""COMPUTED_VALUE"""),"yadav.madhu556@gmail.com")</f>
        <v>yadav.madhu556@gmail.com</v>
      </c>
    </row>
    <row r="2635" spans="1:19" ht="12.5" x14ac:dyDescent="0.25">
      <c r="A2635" s="2">
        <f ca="1">IFERROR(__xludf.DUMMYFUNCTION("""COMPUTED_VALUE"""),45065.840433206)</f>
        <v>45065.840433206002</v>
      </c>
      <c r="B2635" s="1" t="str">
        <f ca="1">IFERROR(__xludf.DUMMYFUNCTION("""COMPUTED_VALUE"""),"India")</f>
        <v>India</v>
      </c>
      <c r="C2635" s="1">
        <f ca="1">IFERROR(__xludf.DUMMYFUNCTION("""COMPUTED_VALUE"""),400104)</f>
        <v>400104</v>
      </c>
      <c r="D2635" s="1" t="str">
        <f ca="1">IFERROR(__xludf.DUMMYFUNCTION("""COMPUTED_VALUE"""),"Male")</f>
        <v>Male</v>
      </c>
      <c r="E2635" s="1" t="str">
        <f ca="1">IFERROR(__xludf.DUMMYFUNCTION("""COMPUTED_VALUE"""),"My Parents")</f>
        <v>My Parents</v>
      </c>
      <c r="F2635" s="1" t="str">
        <f ca="1">IFERROR(__xludf.DUMMYFUNCTION("""COMPUTED_VALUE"""),"Yes, I will earn and do that")</f>
        <v>Yes, I will earn and do that</v>
      </c>
      <c r="G2635" s="1" t="str">
        <f ca="1">IFERROR(__xludf.DUMMYFUNCTION("""COMPUTED_VALUE"""),"This will be hard to do, but if it is the right company I would try")</f>
        <v>This will be hard to do, but if it is the right company I would try</v>
      </c>
      <c r="H2635" s="1" t="str">
        <f ca="1">IFERROR(__xludf.DUMMYFUNCTION("""COMPUTED_VALUE"""),"Yes")</f>
        <v>Yes</v>
      </c>
      <c r="I2635" s="1" t="str">
        <f ca="1">IFERROR(__xludf.DUMMYFUNCTION("""COMPUTED_VALUE"""),"Will NOT work for them")</f>
        <v>Will NOT work for them</v>
      </c>
      <c r="J2635" s="1">
        <f ca="1">IFERROR(__xludf.DUMMYFUNCTION("""COMPUTED_VALUE"""),6)</f>
        <v>6</v>
      </c>
      <c r="K2635" s="1" t="str">
        <f ca="1">IFERROR(__xludf.DUMMYFUNCTION("""COMPUTED_VALUE"""),"Fully Remote with Options to travel as and when needed")</f>
        <v>Fully Remote with Options to travel as and when needed</v>
      </c>
      <c r="L2635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63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35" s="1" t="str">
        <f ca="1">IFERROR(__xludf.DUMMYFUNCTION("""COMPUTED_VALUE"""),"Design and Creative strategy in any company, Business Operations in any organization, Work in a BPO setup for some well known client, I Want to sell things/Sales")</f>
        <v>Design and Creative strategy in any company, Business Operations in any organization, Work in a BPO setup for some well known client, I Want to sell things/Sales</v>
      </c>
      <c r="O2635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5" s="1" t="str">
        <f ca="1">IFERROR(__xludf.DUMMYFUNCTION("""COMPUTED_VALUE"""),"Work with 2 to 3 people in my team")</f>
        <v>Work with 2 to 3 people in my team</v>
      </c>
      <c r="Q2635" s="1" t="str">
        <f ca="1">IFERROR(__xludf.DUMMYFUNCTION("""COMPUTED_VALUE"""),"Yes, I Understand this is gonna happen everywhere")</f>
        <v>Yes, I Understand this is gonna happen everywhere</v>
      </c>
      <c r="R2635" s="1" t="str">
        <f ca="1">IFERROR(__xludf.DUMMYFUNCTION("""COMPUTED_VALUE"""),"This will be hard to do, but if it is the right company I would try")</f>
        <v>This will be hard to do, but if it is the right company I would try</v>
      </c>
      <c r="S2635" s="1" t="str">
        <f ca="1">IFERROR(__xludf.DUMMYFUNCTION("""COMPUTED_VALUE"""),"sahil.savla31@gmail.com")</f>
        <v>sahil.savla31@gmail.com</v>
      </c>
    </row>
    <row r="2636" spans="1:19" ht="12.5" x14ac:dyDescent="0.25">
      <c r="A2636" s="2">
        <f ca="1">IFERROR(__xludf.DUMMYFUNCTION("""COMPUTED_VALUE"""),45065.843855787)</f>
        <v>45065.843855787003</v>
      </c>
      <c r="B2636" s="1" t="str">
        <f ca="1">IFERROR(__xludf.DUMMYFUNCTION("""COMPUTED_VALUE"""),"India")</f>
        <v>India</v>
      </c>
      <c r="C2636" s="1">
        <f ca="1">IFERROR(__xludf.DUMMYFUNCTION("""COMPUTED_VALUE"""),140301)</f>
        <v>140301</v>
      </c>
      <c r="D2636" s="1" t="str">
        <f ca="1">IFERROR(__xludf.DUMMYFUNCTION("""COMPUTED_VALUE"""),"Female")</f>
        <v>Female</v>
      </c>
      <c r="E2636" s="1" t="str">
        <f ca="1">IFERROR(__xludf.DUMMYFUNCTION("""COMPUTED_VALUE"""),"My Parents")</f>
        <v>My Parents</v>
      </c>
      <c r="F2636" s="1" t="str">
        <f ca="1">IFERROR(__xludf.DUMMYFUNCTION("""COMPUTED_VALUE"""),"Yes, I will earn and do that")</f>
        <v>Yes, I will earn and do that</v>
      </c>
      <c r="G2636" s="1" t="str">
        <f ca="1">IFERROR(__xludf.DUMMYFUNCTION("""COMPUTED_VALUE"""),"Will work for 3 years or more")</f>
        <v>Will work for 3 years or more</v>
      </c>
      <c r="H2636" s="1" t="str">
        <f ca="1">IFERROR(__xludf.DUMMYFUNCTION("""COMPUTED_VALUE"""),"No")</f>
        <v>No</v>
      </c>
      <c r="I2636" s="1" t="str">
        <f ca="1">IFERROR(__xludf.DUMMYFUNCTION("""COMPUTED_VALUE"""),"Will NOT work for them")</f>
        <v>Will NOT work for them</v>
      </c>
      <c r="J2636" s="1">
        <f ca="1">IFERROR(__xludf.DUMMYFUNCTION("""COMPUTED_VALUE"""),5)</f>
        <v>5</v>
      </c>
      <c r="K2636" s="1" t="str">
        <f ca="1">IFERROR(__xludf.DUMMYFUNCTION("""COMPUTED_VALUE"""),"Fully Remote with Options to travel as and when needed")</f>
        <v>Fully Remote with Options to travel as and when needed</v>
      </c>
      <c r="L263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3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36" s="1" t="str">
        <f ca="1">IFERROR(__xludf.DUMMYFUNCTION("""COMPUTED_VALUE"""),"Design and Creative strategy in any company, Teaching in any of the institutes/colleges/online or offline, Manage and drive End-to-End Projects or Products, An Artificial Intelligence Specialist / Talking to Robots")</f>
        <v>Design and Creative strategy in any company, Teaching in any of the institutes/colleges/online or offline, Manage and drive End-to-End Projects or Products, An Artificial Intelligence Specialist / Talking to Robots</v>
      </c>
      <c r="O2636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6" s="1" t="str">
        <f ca="1">IFERROR(__xludf.DUMMYFUNCTION("""COMPUTED_VALUE"""),"Work with 2 to 3 people in my team")</f>
        <v>Work with 2 to 3 people in my team</v>
      </c>
      <c r="Q2636" s="1" t="str">
        <f ca="1">IFERROR(__xludf.DUMMYFUNCTION("""COMPUTED_VALUE"""),"Yes, I Understand this is gonna happen everywhere")</f>
        <v>Yes, I Understand this is gonna happen everywhere</v>
      </c>
      <c r="R2636" s="1" t="str">
        <f ca="1">IFERROR(__xludf.DUMMYFUNCTION("""COMPUTED_VALUE"""),"This will be hard to do, but if it is the right company I would try")</f>
        <v>This will be hard to do, but if it is the right company I would try</v>
      </c>
      <c r="S2636" s="1" t="str">
        <f ca="1">IFERROR(__xludf.DUMMYFUNCTION("""COMPUTED_VALUE"""),"msmahima504@gmail.com")</f>
        <v>msmahima504@gmail.com</v>
      </c>
    </row>
    <row r="2637" spans="1:19" ht="12.5" x14ac:dyDescent="0.25">
      <c r="A2637" s="2">
        <f ca="1">IFERROR(__xludf.DUMMYFUNCTION("""COMPUTED_VALUE"""),45065.8447865046)</f>
        <v>45065.844786504596</v>
      </c>
      <c r="B2637" s="1" t="str">
        <f ca="1">IFERROR(__xludf.DUMMYFUNCTION("""COMPUTED_VALUE"""),"India")</f>
        <v>India</v>
      </c>
      <c r="C2637" s="1">
        <f ca="1">IFERROR(__xludf.DUMMYFUNCTION("""COMPUTED_VALUE"""),530044)</f>
        <v>530044</v>
      </c>
      <c r="D2637" s="1" t="str">
        <f ca="1">IFERROR(__xludf.DUMMYFUNCTION("""COMPUTED_VALUE"""),"Female")</f>
        <v>Female</v>
      </c>
      <c r="E2637" s="1" t="str">
        <f ca="1">IFERROR(__xludf.DUMMYFUNCTION("""COMPUTED_VALUE"""),"My Parents")</f>
        <v>My Parents</v>
      </c>
      <c r="F2637" s="1" t="str">
        <f ca="1">IFERROR(__xludf.DUMMYFUNCTION("""COMPUTED_VALUE"""),"Yes, I will earn and do that")</f>
        <v>Yes, I will earn and do that</v>
      </c>
      <c r="G2637" s="1" t="str">
        <f ca="1">IFERROR(__xludf.DUMMYFUNCTION("""COMPUTED_VALUE"""),"Will work for 3 years or more")</f>
        <v>Will work for 3 years or more</v>
      </c>
      <c r="H2637" s="1" t="str">
        <f ca="1">IFERROR(__xludf.DUMMYFUNCTION("""COMPUTED_VALUE"""),"No")</f>
        <v>No</v>
      </c>
      <c r="I2637" s="1" t="str">
        <f ca="1">IFERROR(__xludf.DUMMYFUNCTION("""COMPUTED_VALUE"""),"Will NOT work for them")</f>
        <v>Will NOT work for them</v>
      </c>
      <c r="J2637" s="1">
        <f ca="1">IFERROR(__xludf.DUMMYFUNCTION("""COMPUTED_VALUE"""),1)</f>
        <v>1</v>
      </c>
      <c r="K2637" s="1" t="str">
        <f ca="1">IFERROR(__xludf.DUMMYFUNCTION("""COMPUTED_VALUE"""),"Every Day Office Environment")</f>
        <v>Every Day Office Environment</v>
      </c>
      <c r="L2637" s="1" t="str">
        <f ca="1">IFERROR(__xludf.DUMMYFUNCTION("""COMPUTED_VALUE"""),"Employer who appreciates learning and enables that environment")</f>
        <v>Employer who appreciates learning and enables that environment</v>
      </c>
      <c r="M2637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637" s="1" t="str">
        <f ca="1">IFERROR(__xludf.DUMMYFUNCTION("""COMPUTED_VALUE"""),"Design and Creative strategy in any company, Teaching in any of the institutes/colleges/online or offline, Entrepreneur or Start Up, An Artificial Intelligence Specialist / Talking to Robots")</f>
        <v>Design and Creative strategy in any company, Teaching in any of the institutes/colleges/online or offline, Entrepreneur or Start Up, An Artificial Intelligence Specialist / Talking to Robots</v>
      </c>
      <c r="O2637" s="1" t="str">
        <f ca="1">IFERROR(__xludf.DUMMYFUNCTION("""COMPUTED_VALUE"""),"Manager who clearly describes what she/he needs")</f>
        <v>Manager who clearly describes what she/he needs</v>
      </c>
      <c r="P2637" s="1" t="str">
        <f ca="1">IFERROR(__xludf.DUMMYFUNCTION("""COMPUTED_VALUE"""),"Work with more than 10 people in my team")</f>
        <v>Work with more than 10 people in my team</v>
      </c>
      <c r="Q2637" s="1" t="str">
        <f ca="1">IFERROR(__xludf.DUMMYFUNCTION("""COMPUTED_VALUE"""),"Yes, I Understand this is gonna happen everywhere")</f>
        <v>Yes, I Understand this is gonna happen everywhere</v>
      </c>
      <c r="R2637" s="1" t="str">
        <f ca="1">IFERROR(__xludf.DUMMYFUNCTION("""COMPUTED_VALUE"""),"Will work for 7 years or more")</f>
        <v>Will work for 7 years or more</v>
      </c>
      <c r="S2637" s="1" t="str">
        <f ca="1">IFERROR(__xludf.DUMMYFUNCTION("""COMPUTED_VALUE"""),"srivarshinitulasi@gmail.com")</f>
        <v>srivarshinitulasi@gmail.com</v>
      </c>
    </row>
    <row r="2638" spans="1:19" ht="12.5" x14ac:dyDescent="0.25">
      <c r="A2638" s="2">
        <f ca="1">IFERROR(__xludf.DUMMYFUNCTION("""COMPUTED_VALUE"""),45065.8459901041)</f>
        <v>45065.845990104099</v>
      </c>
      <c r="B2638" s="1" t="str">
        <f ca="1">IFERROR(__xludf.DUMMYFUNCTION("""COMPUTED_VALUE"""),"India")</f>
        <v>India</v>
      </c>
      <c r="C2638" s="1">
        <f ca="1">IFERROR(__xludf.DUMMYFUNCTION("""COMPUTED_VALUE"""),679121)</f>
        <v>679121</v>
      </c>
      <c r="D2638" s="1" t="str">
        <f ca="1">IFERROR(__xludf.DUMMYFUNCTION("""COMPUTED_VALUE"""),"Female")</f>
        <v>Female</v>
      </c>
      <c r="E2638" s="1" t="str">
        <f ca="1">IFERROR(__xludf.DUMMYFUNCTION("""COMPUTED_VALUE"""),"My Parents")</f>
        <v>My Parents</v>
      </c>
      <c r="F2638" s="1" t="str">
        <f ca="1">IFERROR(__xludf.DUMMYFUNCTION("""COMPUTED_VALUE"""),"Yes, I will earn and do that")</f>
        <v>Yes, I will earn and do that</v>
      </c>
      <c r="G2638" s="1" t="str">
        <f ca="1">IFERROR(__xludf.DUMMYFUNCTION("""COMPUTED_VALUE"""),"This will be hard to do, but if it is the right company I would try")</f>
        <v>This will be hard to do, but if it is the right company I would try</v>
      </c>
      <c r="H2638" s="1" t="str">
        <f ca="1">IFERROR(__xludf.DUMMYFUNCTION("""COMPUTED_VALUE"""),"No")</f>
        <v>No</v>
      </c>
      <c r="I2638" s="1" t="str">
        <f ca="1">IFERROR(__xludf.DUMMYFUNCTION("""COMPUTED_VALUE"""),"Will NOT work for them")</f>
        <v>Will NOT work for them</v>
      </c>
      <c r="J2638" s="1">
        <f ca="1">IFERROR(__xludf.DUMMYFUNCTION("""COMPUTED_VALUE"""),8)</f>
        <v>8</v>
      </c>
      <c r="K2638" s="1" t="str">
        <f ca="1">IFERROR(__xludf.DUMMYFUNCTION("""COMPUTED_VALUE"""),"Fully Remote with Options to travel as and when needed")</f>
        <v>Fully Remote with Options to travel as and when needed</v>
      </c>
      <c r="L2638" s="1" t="str">
        <f ca="1">IFERROR(__xludf.DUMMYFUNCTION("""COMPUTED_VALUE"""),"Employer who appreciates learning and enables that environment")</f>
        <v>Employer who appreciates learning and enables that environment</v>
      </c>
      <c r="M2638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638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638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8" s="1" t="str">
        <f ca="1">IFERROR(__xludf.DUMMYFUNCTION("""COMPUTED_VALUE"""),"Work with 2 to 3 people in my team")</f>
        <v>Work with 2 to 3 people in my team</v>
      </c>
      <c r="Q2638" s="1" t="str">
        <f ca="1">IFERROR(__xludf.DUMMYFUNCTION("""COMPUTED_VALUE"""),"Yes, I Understand this is gonna happen everywhere")</f>
        <v>Yes, I Understand this is gonna happen everywhere</v>
      </c>
      <c r="R2638" s="1" t="str">
        <f ca="1">IFERROR(__xludf.DUMMYFUNCTION("""COMPUTED_VALUE"""),"This will be hard to do, but if it is the right company I would try")</f>
        <v>This will be hard to do, but if it is the right company I would try</v>
      </c>
      <c r="S2638" s="1" t="str">
        <f ca="1">IFERROR(__xludf.DUMMYFUNCTION("""COMPUTED_VALUE"""),"malavika.shibu2@gmail.com")</f>
        <v>malavika.shibu2@gmail.com</v>
      </c>
    </row>
    <row r="2639" spans="1:19" ht="12.5" x14ac:dyDescent="0.25">
      <c r="A2639" s="2">
        <f ca="1">IFERROR(__xludf.DUMMYFUNCTION("""COMPUTED_VALUE"""),45065.8494989583)</f>
        <v>45065.849498958298</v>
      </c>
      <c r="B2639" s="1" t="str">
        <f ca="1">IFERROR(__xludf.DUMMYFUNCTION("""COMPUTED_VALUE"""),"India")</f>
        <v>India</v>
      </c>
      <c r="C2639" s="1">
        <f ca="1">IFERROR(__xludf.DUMMYFUNCTION("""COMPUTED_VALUE"""),140301)</f>
        <v>140301</v>
      </c>
      <c r="D2639" s="1" t="str">
        <f ca="1">IFERROR(__xludf.DUMMYFUNCTION("""COMPUTED_VALUE"""),"Female")</f>
        <v>Female</v>
      </c>
      <c r="E2639" s="1" t="str">
        <f ca="1">IFERROR(__xludf.DUMMYFUNCTION("""COMPUTED_VALUE"""),"People from my circle, but not family members")</f>
        <v>People from my circle, but not family members</v>
      </c>
      <c r="F2639" s="1" t="str">
        <f ca="1">IFERROR(__xludf.DUMMYFUNCTION("""COMPUTED_VALUE"""),"Yes, I will earn and do that")</f>
        <v>Yes, I will earn and do that</v>
      </c>
      <c r="G2639" s="1" t="str">
        <f ca="1">IFERROR(__xludf.DUMMYFUNCTION("""COMPUTED_VALUE"""),"Will work for 3 years or more")</f>
        <v>Will work for 3 years or more</v>
      </c>
      <c r="H2639" s="1" t="str">
        <f ca="1">IFERROR(__xludf.DUMMYFUNCTION("""COMPUTED_VALUE"""),"No")</f>
        <v>No</v>
      </c>
      <c r="I2639" s="1" t="str">
        <f ca="1">IFERROR(__xludf.DUMMYFUNCTION("""COMPUTED_VALUE"""),"Will NOT work for them")</f>
        <v>Will NOT work for them</v>
      </c>
      <c r="J2639" s="1">
        <f ca="1">IFERROR(__xludf.DUMMYFUNCTION("""COMPUTED_VALUE"""),6)</f>
        <v>6</v>
      </c>
      <c r="K2639" s="1" t="str">
        <f ca="1">IFERROR(__xludf.DUMMYFUNCTION("""COMPUTED_VALUE"""),"Hybrid Working Environment with more than 15 days a month at office")</f>
        <v>Hybrid Working Environment with more than 15 days a month at office</v>
      </c>
      <c r="L26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3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39" s="1" t="str">
        <f ca="1">IFERROR(__xludf.DUMMYFUNCTION("""COMPUTED_VALUE"""),"Teaching in any of the institutes/colleges/online or offline, Manage and drive End-to-End Projects or Products, Design and Develop amazing software, An Artificial Intelligence Specialist / Talking to Robots")</f>
        <v>Teaching in any of the institutes/colleges/online or offline, Manage and drive End-to-End Projects or Products, Design and Develop amazing software, An Artificial Intelligence Specialist / Talking to Robots</v>
      </c>
      <c r="O2639" s="1" t="str">
        <f ca="1">IFERROR(__xludf.DUMMYFUNCTION("""COMPUTED_VALUE"""),"Manager who explains what is expected, sets a goal and helps achieve it")</f>
        <v>Manager who explains what is expected, sets a goal and helps achieve it</v>
      </c>
      <c r="P2639" s="1" t="str">
        <f ca="1">IFERROR(__xludf.DUMMYFUNCTION("""COMPUTED_VALUE"""),"Work with 2 to 3 people in my team")</f>
        <v>Work with 2 to 3 people in my team</v>
      </c>
      <c r="Q2639" s="1" t="str">
        <f ca="1">IFERROR(__xludf.DUMMYFUNCTION("""COMPUTED_VALUE"""),"Yes, I Understand this is gonna happen everywhere")</f>
        <v>Yes, I Understand this is gonna happen everywhere</v>
      </c>
      <c r="R2639" s="1" t="str">
        <f ca="1">IFERROR(__xludf.DUMMYFUNCTION("""COMPUTED_VALUE"""),"This will be hard to do, but if it is the right company I would try")</f>
        <v>This will be hard to do, but if it is the right company I would try</v>
      </c>
      <c r="S2639" s="1" t="str">
        <f ca="1">IFERROR(__xludf.DUMMYFUNCTION("""COMPUTED_VALUE"""),"princirawat29@gmail.com")</f>
        <v>princirawat29@gmail.com</v>
      </c>
    </row>
    <row r="2640" spans="1:19" ht="12.5" x14ac:dyDescent="0.25">
      <c r="A2640" s="2">
        <f ca="1">IFERROR(__xludf.DUMMYFUNCTION("""COMPUTED_VALUE"""),45065.8530475694)</f>
        <v>45065.853047569399</v>
      </c>
      <c r="B2640" s="1" t="str">
        <f ca="1">IFERROR(__xludf.DUMMYFUNCTION("""COMPUTED_VALUE"""),"India")</f>
        <v>India</v>
      </c>
      <c r="C2640" s="1">
        <f ca="1">IFERROR(__xludf.DUMMYFUNCTION("""COMPUTED_VALUE"""),533429)</f>
        <v>533429</v>
      </c>
      <c r="D2640" s="1" t="str">
        <f ca="1">IFERROR(__xludf.DUMMYFUNCTION("""COMPUTED_VALUE"""),"Female")</f>
        <v>Female</v>
      </c>
      <c r="E2640" s="1" t="str">
        <f ca="1">IFERROR(__xludf.DUMMYFUNCTION("""COMPUTED_VALUE"""),"My Parents")</f>
        <v>My Parents</v>
      </c>
      <c r="F2640" s="1" t="str">
        <f ca="1">IFERROR(__xludf.DUMMYFUNCTION("""COMPUTED_VALUE"""),"No, But if someone could bare the cost I will")</f>
        <v>No, But if someone could bare the cost I will</v>
      </c>
      <c r="G2640" s="1" t="str">
        <f ca="1">IFERROR(__xludf.DUMMYFUNCTION("""COMPUTED_VALUE"""),"This will be hard to do, but if it is the right company I would try")</f>
        <v>This will be hard to do, but if it is the right company I would try</v>
      </c>
      <c r="H2640" s="1" t="str">
        <f ca="1">IFERROR(__xludf.DUMMYFUNCTION("""COMPUTED_VALUE"""),"No")</f>
        <v>No</v>
      </c>
      <c r="I2640" s="1" t="str">
        <f ca="1">IFERROR(__xludf.DUMMYFUNCTION("""COMPUTED_VALUE"""),"Will work for them")</f>
        <v>Will work for them</v>
      </c>
      <c r="J2640" s="1">
        <f ca="1">IFERROR(__xludf.DUMMYFUNCTION("""COMPUTED_VALUE"""),1)</f>
        <v>1</v>
      </c>
      <c r="K2640" s="1" t="str">
        <f ca="1">IFERROR(__xludf.DUMMYFUNCTION("""COMPUTED_VALUE"""),"Fully Remote with Options to travel as and when needed")</f>
        <v>Fully Remote with Options to travel as and when needed</v>
      </c>
      <c r="L264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640" s="1" t="str">
        <f ca="1">IFERROR(__xludf.DUMMYFUNCTION("""COMPUTED_VALUE"""),"Business Operations in any organization, Become a content Creator in some platform, Entrepreneur or Start Up, Manufacturing / Oil and Gas/ Construction / Hard Physical Work related")</f>
        <v>Business Operations in any organization, Become a content Creator in some platform, Entrepreneur or Start Up, Manufacturing / Oil and Gas/ Construction / Hard Physical Work related</v>
      </c>
      <c r="O2640" s="1" t="str">
        <f ca="1">IFERROR(__xludf.DUMMYFUNCTION("""COMPUTED_VALUE"""),"Manager who sets goal and helps me achieve it")</f>
        <v>Manager who sets goal and helps me achieve it</v>
      </c>
      <c r="P2640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640" s="1" t="str">
        <f ca="1">IFERROR(__xludf.DUMMYFUNCTION("""COMPUTED_VALUE"""),"Yes, I Understand this is gonna happen everywhere")</f>
        <v>Yes, I Understand this is gonna happen everywhere</v>
      </c>
      <c r="R2640" s="1" t="str">
        <f ca="1">IFERROR(__xludf.DUMMYFUNCTION("""COMPUTED_VALUE"""),"This will be hard to do, but if it is the right company I would try")</f>
        <v>This will be hard to do, but if it is the right company I would try</v>
      </c>
      <c r="S2640" s="1" t="str">
        <f ca="1">IFERROR(__xludf.DUMMYFUNCTION("""COMPUTED_VALUE"""),"akhilavirothi@gmail.com")</f>
        <v>akhilavirothi@gmail.com</v>
      </c>
    </row>
    <row r="2641" spans="1:19" ht="12.5" x14ac:dyDescent="0.25">
      <c r="A2641" s="2">
        <f ca="1">IFERROR(__xludf.DUMMYFUNCTION("""COMPUTED_VALUE"""),45065.8546576504)</f>
        <v>45065.854657650401</v>
      </c>
      <c r="B2641" s="1" t="str">
        <f ca="1">IFERROR(__xludf.DUMMYFUNCTION("""COMPUTED_VALUE"""),"India")</f>
        <v>India</v>
      </c>
      <c r="C2641" s="1">
        <f ca="1">IFERROR(__xludf.DUMMYFUNCTION("""COMPUTED_VALUE"""),520001)</f>
        <v>520001</v>
      </c>
      <c r="D2641" s="1" t="str">
        <f ca="1">IFERROR(__xludf.DUMMYFUNCTION("""COMPUTED_VALUE"""),"Male")</f>
        <v>Male</v>
      </c>
      <c r="E2641" s="1" t="str">
        <f ca="1">IFERROR(__xludf.DUMMYFUNCTION("""COMPUTED_VALUE"""),"My Parents")</f>
        <v>My Parents</v>
      </c>
      <c r="F2641" s="1" t="str">
        <f ca="1">IFERROR(__xludf.DUMMYFUNCTION("""COMPUTED_VALUE"""),"Yes, I will earn and do that")</f>
        <v>Yes, I will earn and do that</v>
      </c>
      <c r="G2641" s="1" t="str">
        <f ca="1">IFERROR(__xludf.DUMMYFUNCTION("""COMPUTED_VALUE"""),"Will work for 3 years or more")</f>
        <v>Will work for 3 years or more</v>
      </c>
      <c r="H2641" s="1" t="str">
        <f ca="1">IFERROR(__xludf.DUMMYFUNCTION("""COMPUTED_VALUE"""),"No")</f>
        <v>No</v>
      </c>
      <c r="I2641" s="1" t="str">
        <f ca="1">IFERROR(__xludf.DUMMYFUNCTION("""COMPUTED_VALUE"""),"Will NOT work for them")</f>
        <v>Will NOT work for them</v>
      </c>
      <c r="J2641" s="1">
        <f ca="1">IFERROR(__xludf.DUMMYFUNCTION("""COMPUTED_VALUE"""),5)</f>
        <v>5</v>
      </c>
      <c r="K2641" s="1" t="str">
        <f ca="1">IFERROR(__xludf.DUMMYFUNCTION("""COMPUTED_VALUE"""),"Every Day Office Environment")</f>
        <v>Every Day Office Environment</v>
      </c>
      <c r="L26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641" s="1" t="str">
        <f ca="1">IFERROR(__xludf.DUMMYFUNCTION("""COMPUTED_VALUE"""),"Design and Creative strategy in any company, Build and develop a Team, Design and Develop amazing software, I Want to sell things/Sales")</f>
        <v>Design and Creative strategy in any company, Build and develop a Team, Design and Develop amazing software, I Want to sell things/Sales</v>
      </c>
      <c r="O2641" s="1" t="str">
        <f ca="1">IFERROR(__xludf.DUMMYFUNCTION("""COMPUTED_VALUE"""),"Manager who explains what is expected, sets a goal and helps achieve it")</f>
        <v>Manager who explains what is expected, sets a goal and helps achieve it</v>
      </c>
      <c r="P2641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641" s="1" t="str">
        <f ca="1">IFERROR(__xludf.DUMMYFUNCTION("""COMPUTED_VALUE"""),"Yes, I Understand this is gonna happen everywhere")</f>
        <v>Yes, I Understand this is gonna happen everywhere</v>
      </c>
      <c r="R2641" s="1" t="str">
        <f ca="1">IFERROR(__xludf.DUMMYFUNCTION("""COMPUTED_VALUE"""),"This will be hard to do, but if it is the right company I would try")</f>
        <v>This will be hard to do, but if it is the right company I would try</v>
      </c>
      <c r="S2641" s="1" t="str">
        <f ca="1">IFERROR(__xludf.DUMMYFUNCTION("""COMPUTED_VALUE"""),"yerupalli.venkatesh@gmail.com")</f>
        <v>yerupalli.venkatesh@gmail.com</v>
      </c>
    </row>
    <row r="2642" spans="1:19" ht="12.5" x14ac:dyDescent="0.25">
      <c r="A2642" s="2">
        <f ca="1">IFERROR(__xludf.DUMMYFUNCTION("""COMPUTED_VALUE"""),45065.8560624074)</f>
        <v>45065.856062407402</v>
      </c>
      <c r="B2642" s="1" t="str">
        <f ca="1">IFERROR(__xludf.DUMMYFUNCTION("""COMPUTED_VALUE"""),"India")</f>
        <v>India</v>
      </c>
      <c r="C2642" s="1">
        <f ca="1">IFERROR(__xludf.DUMMYFUNCTION("""COMPUTED_VALUE"""),632006)</f>
        <v>632006</v>
      </c>
      <c r="D2642" s="1" t="str">
        <f ca="1">IFERROR(__xludf.DUMMYFUNCTION("""COMPUTED_VALUE"""),"Male")</f>
        <v>Male</v>
      </c>
      <c r="E2642" s="1" t="str">
        <f ca="1">IFERROR(__xludf.DUMMYFUNCTION("""COMPUTED_VALUE"""),"Influencers who had successful careers")</f>
        <v>Influencers who had successful careers</v>
      </c>
      <c r="F2642" s="1" t="str">
        <f ca="1">IFERROR(__xludf.DUMMYFUNCTION("""COMPUTED_VALUE"""),"Yes, I will earn and do that")</f>
        <v>Yes, I will earn and do that</v>
      </c>
      <c r="G2642" s="1" t="str">
        <f ca="1">IFERROR(__xludf.DUMMYFUNCTION("""COMPUTED_VALUE"""),"This will be hard to do, but if it is the right company I would try")</f>
        <v>This will be hard to do, but if it is the right company I would try</v>
      </c>
      <c r="H2642" s="1" t="str">
        <f ca="1">IFERROR(__xludf.DUMMYFUNCTION("""COMPUTED_VALUE"""),"Yes")</f>
        <v>Yes</v>
      </c>
      <c r="I2642" s="1" t="str">
        <f ca="1">IFERROR(__xludf.DUMMYFUNCTION("""COMPUTED_VALUE"""),"Will NOT work for them")</f>
        <v>Will NOT work for them</v>
      </c>
      <c r="J2642" s="1">
        <f ca="1">IFERROR(__xludf.DUMMYFUNCTION("""COMPUTED_VALUE"""),9)</f>
        <v>9</v>
      </c>
      <c r="K2642" s="1" t="str">
        <f ca="1">IFERROR(__xludf.DUMMYFUNCTION("""COMPUTED_VALUE"""),"Hybrid Working Environment with less than 3 days a month at office")</f>
        <v>Hybrid Working Environment with less than 3 days a month at office</v>
      </c>
      <c r="L2642" s="1" t="str">
        <f ca="1">IFERROR(__xludf.DUMMYFUNCTION("""COMPUTED_VALUE"""),"Employer who rewards learning and enables that environment")</f>
        <v>Employer who rewards learning and enables that environment</v>
      </c>
      <c r="M2642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642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2642" s="1" t="str">
        <f ca="1">IFERROR(__xludf.DUMMYFUNCTION("""COMPUTED_VALUE"""),"Manager who clearly describes what she/he needs")</f>
        <v>Manager who clearly describes what she/he needs</v>
      </c>
      <c r="P2642" s="1" t="str">
        <f ca="1">IFERROR(__xludf.DUMMYFUNCTION("""COMPUTED_VALUE"""),"Work with 5 to 6 people in my team")</f>
        <v>Work with 5 to 6 people in my team</v>
      </c>
      <c r="Q2642" s="1" t="str">
        <f ca="1">IFERROR(__xludf.DUMMYFUNCTION("""COMPUTED_VALUE"""),"Yes, I Understand this is gonna happen everywhere")</f>
        <v>Yes, I Understand this is gonna happen everywhere</v>
      </c>
      <c r="R2642" s="1" t="str">
        <f ca="1">IFERROR(__xludf.DUMMYFUNCTION("""COMPUTED_VALUE"""),"This will be hard to do, but if it is the right company I would try")</f>
        <v>This will be hard to do, but if it is the right company I would try</v>
      </c>
      <c r="S2642" s="1" t="str">
        <f ca="1">IFERROR(__xludf.DUMMYFUNCTION("""COMPUTED_VALUE"""),"adhilionel2003@gmail.com")</f>
        <v>adhilionel2003@gmail.com</v>
      </c>
    </row>
    <row r="2643" spans="1:19" ht="12.5" x14ac:dyDescent="0.25">
      <c r="A2643" s="2">
        <f ca="1">IFERROR(__xludf.DUMMYFUNCTION("""COMPUTED_VALUE"""),45065.8582861921)</f>
        <v>45065.858286192102</v>
      </c>
      <c r="B2643" s="1" t="str">
        <f ca="1">IFERROR(__xludf.DUMMYFUNCTION("""COMPUTED_VALUE"""),"India")</f>
        <v>India</v>
      </c>
      <c r="C2643" s="1">
        <f ca="1">IFERROR(__xludf.DUMMYFUNCTION("""COMPUTED_VALUE"""),411002)</f>
        <v>411002</v>
      </c>
      <c r="D2643" s="1" t="str">
        <f ca="1">IFERROR(__xludf.DUMMYFUNCTION("""COMPUTED_VALUE"""),"Male")</f>
        <v>Male</v>
      </c>
      <c r="E2643" s="1" t="str">
        <f ca="1">IFERROR(__xludf.DUMMYFUNCTION("""COMPUTED_VALUE"""),"People from my circle, but not family members")</f>
        <v>People from my circle, but not family members</v>
      </c>
      <c r="F2643" s="1" t="str">
        <f ca="1">IFERROR(__xludf.DUMMYFUNCTION("""COMPUTED_VALUE"""),"Yes, I will earn and do that")</f>
        <v>Yes, I will earn and do that</v>
      </c>
      <c r="G2643" s="1" t="str">
        <f ca="1">IFERROR(__xludf.DUMMYFUNCTION("""COMPUTED_VALUE"""),"This will be hard to do, but if it is the right company I would try")</f>
        <v>This will be hard to do, but if it is the right company I would try</v>
      </c>
      <c r="H2643" s="1" t="str">
        <f ca="1">IFERROR(__xludf.DUMMYFUNCTION("""COMPUTED_VALUE"""),"No")</f>
        <v>No</v>
      </c>
      <c r="I2643" s="1" t="str">
        <f ca="1">IFERROR(__xludf.DUMMYFUNCTION("""COMPUTED_VALUE"""),"Will NOT work for them")</f>
        <v>Will NOT work for them</v>
      </c>
      <c r="J2643" s="1">
        <f ca="1">IFERROR(__xludf.DUMMYFUNCTION("""COMPUTED_VALUE"""),7)</f>
        <v>7</v>
      </c>
      <c r="K2643" s="1" t="str">
        <f ca="1">IFERROR(__xludf.DUMMYFUNCTION("""COMPUTED_VALUE"""),"Fully Remote with Options to travel as and when needed")</f>
        <v>Fully Remote with Options to travel as and when needed</v>
      </c>
      <c r="L26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3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643" s="1" t="str">
        <f ca="1">IFERROR(__xludf.DUMMYFUNCTION("""COMPUTED_VALUE"""),"Design and Creative strategy in any company, Build and develop a Team, Work as a freelancer and do my thing my way, I Want to sell things/Sales")</f>
        <v>Design and Creative strategy in any company, Build and develop a Team, Work as a freelancer and do my thing my way, I Want to sell things/Sales</v>
      </c>
      <c r="O2643" s="1" t="str">
        <f ca="1">IFERROR(__xludf.DUMMYFUNCTION("""COMPUTED_VALUE"""),"Manager who explains what is expected, sets a goal and helps achieve it")</f>
        <v>Manager who explains what is expected, sets a goal and helps achieve it</v>
      </c>
      <c r="P2643" s="1" t="str">
        <f ca="1">IFERROR(__xludf.DUMMYFUNCTION("""COMPUTED_VALUE"""),"Work with 2 to 3 people in my team, Work with more than 10 people in my team")</f>
        <v>Work with 2 to 3 people in my team, Work with more than 10 people in my team</v>
      </c>
      <c r="Q2643" s="1" t="str">
        <f ca="1">IFERROR(__xludf.DUMMYFUNCTION("""COMPUTED_VALUE"""),"Yes, I Understand this is gonna happen everywhere")</f>
        <v>Yes, I Understand this is gonna happen everywhere</v>
      </c>
      <c r="R2643" s="1" t="str">
        <f ca="1">IFERROR(__xludf.DUMMYFUNCTION("""COMPUTED_VALUE"""),"No way")</f>
        <v>No way</v>
      </c>
      <c r="S2643" s="1" t="str">
        <f ca="1">IFERROR(__xludf.DUMMYFUNCTION("""COMPUTED_VALUE"""),"smiely1359@gmail.com")</f>
        <v>smiely1359@gmail.com</v>
      </c>
    </row>
    <row r="2644" spans="1:19" ht="12.5" x14ac:dyDescent="0.25">
      <c r="A2644" s="2">
        <f ca="1">IFERROR(__xludf.DUMMYFUNCTION("""COMPUTED_VALUE"""),45065.8686593865)</f>
        <v>45065.868659386499</v>
      </c>
      <c r="B2644" s="1" t="str">
        <f ca="1">IFERROR(__xludf.DUMMYFUNCTION("""COMPUTED_VALUE"""),"India")</f>
        <v>India</v>
      </c>
      <c r="C2644" s="1">
        <f ca="1">IFERROR(__xludf.DUMMYFUNCTION("""COMPUTED_VALUE"""),500046)</f>
        <v>500046</v>
      </c>
      <c r="D2644" s="1" t="str">
        <f ca="1">IFERROR(__xludf.DUMMYFUNCTION("""COMPUTED_VALUE"""),"Female")</f>
        <v>Female</v>
      </c>
      <c r="E2644" s="1" t="str">
        <f ca="1">IFERROR(__xludf.DUMMYFUNCTION("""COMPUTED_VALUE"""),"My Parents")</f>
        <v>My Parents</v>
      </c>
      <c r="F2644" s="1" t="str">
        <f ca="1">IFERROR(__xludf.DUMMYFUNCTION("""COMPUTED_VALUE"""),"Yes, I will earn and do that")</f>
        <v>Yes, I will earn and do that</v>
      </c>
      <c r="G2644" s="1" t="str">
        <f ca="1">IFERROR(__xludf.DUMMYFUNCTION("""COMPUTED_VALUE"""),"No way")</f>
        <v>No way</v>
      </c>
      <c r="H2644" s="1" t="str">
        <f ca="1">IFERROR(__xludf.DUMMYFUNCTION("""COMPUTED_VALUE"""),"No")</f>
        <v>No</v>
      </c>
      <c r="I2644" s="1" t="str">
        <f ca="1">IFERROR(__xludf.DUMMYFUNCTION("""COMPUTED_VALUE"""),"Will NOT work for them")</f>
        <v>Will NOT work for them</v>
      </c>
      <c r="J2644" s="1">
        <f ca="1">IFERROR(__xludf.DUMMYFUNCTION("""COMPUTED_VALUE"""),7)</f>
        <v>7</v>
      </c>
      <c r="K2644" s="1" t="str">
        <f ca="1">IFERROR(__xludf.DUMMYFUNCTION("""COMPUTED_VALUE"""),"Every Day Office Environment")</f>
        <v>Every Day Office Environment</v>
      </c>
      <c r="L264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4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44" s="1" t="str">
        <f ca="1">IFERROR(__xludf.DUMMYFUNCTION("""COMPUTED_VALUE"""),"Teaching in any of the institutes/colleges/online or offline, Look deeply into Data and generate insights, Work as a freelancer and do my thing my way, Entrepreneur or Start Up")</f>
        <v>Teaching in any of the institutes/colleges/online or offline, Look deeply into Data and generate insights, Work as a freelancer and do my thing my way, Entrepreneur or Start Up</v>
      </c>
      <c r="O2644" s="1" t="str">
        <f ca="1">IFERROR(__xludf.DUMMYFUNCTION("""COMPUTED_VALUE"""),"Manager who explains what is expected, sets a goal and helps achieve it")</f>
        <v>Manager who explains what is expected, sets a goal and helps achieve it</v>
      </c>
      <c r="P2644" s="1" t="str">
        <f ca="1">IFERROR(__xludf.DUMMYFUNCTION("""COMPUTED_VALUE"""),"Work with 2 to 3 people in my team")</f>
        <v>Work with 2 to 3 people in my team</v>
      </c>
      <c r="Q2644" s="1" t="str">
        <f ca="1">IFERROR(__xludf.DUMMYFUNCTION("""COMPUTED_VALUE"""),"Yes, I Understand this is gonna happen everywhere")</f>
        <v>Yes, I Understand this is gonna happen everywhere</v>
      </c>
      <c r="R2644" s="1" t="str">
        <f ca="1">IFERROR(__xludf.DUMMYFUNCTION("""COMPUTED_VALUE"""),"No way")</f>
        <v>No way</v>
      </c>
      <c r="S2644" s="1" t="str">
        <f ca="1">IFERROR(__xludf.DUMMYFUNCTION("""COMPUTED_VALUE"""),"suchi.saraswat.5@gmail.com")</f>
        <v>suchi.saraswat.5@gmail.com</v>
      </c>
    </row>
    <row r="2645" spans="1:19" ht="12.5" x14ac:dyDescent="0.25">
      <c r="A2645" s="2">
        <f ca="1">IFERROR(__xludf.DUMMYFUNCTION("""COMPUTED_VALUE"""),45065.871345787)</f>
        <v>45065.871345787004</v>
      </c>
      <c r="B2645" s="1" t="str">
        <f ca="1">IFERROR(__xludf.DUMMYFUNCTION("""COMPUTED_VALUE"""),"India")</f>
        <v>India</v>
      </c>
      <c r="C2645" s="1">
        <f ca="1">IFERROR(__xludf.DUMMYFUNCTION("""COMPUTED_VALUE"""),121004)</f>
        <v>121004</v>
      </c>
      <c r="D2645" s="1" t="str">
        <f ca="1">IFERROR(__xludf.DUMMYFUNCTION("""COMPUTED_VALUE"""),"Female")</f>
        <v>Female</v>
      </c>
      <c r="E2645" s="1" t="str">
        <f ca="1">IFERROR(__xludf.DUMMYFUNCTION("""COMPUTED_VALUE"""),"My Parents")</f>
        <v>My Parents</v>
      </c>
      <c r="F2645" s="1" t="str">
        <f ca="1">IFERROR(__xludf.DUMMYFUNCTION("""COMPUTED_VALUE"""),"No I would not be pursuing Higher Education outside of India")</f>
        <v>No I would not be pursuing Higher Education outside of India</v>
      </c>
      <c r="G2645" s="1" t="str">
        <f ca="1">IFERROR(__xludf.DUMMYFUNCTION("""COMPUTED_VALUE"""),"Will work for 3 years or more")</f>
        <v>Will work for 3 years or more</v>
      </c>
      <c r="H2645" s="1" t="str">
        <f ca="1">IFERROR(__xludf.DUMMYFUNCTION("""COMPUTED_VALUE"""),"No")</f>
        <v>No</v>
      </c>
      <c r="I2645" s="1" t="str">
        <f ca="1">IFERROR(__xludf.DUMMYFUNCTION("""COMPUTED_VALUE"""),"Will NOT work for them")</f>
        <v>Will NOT work for them</v>
      </c>
      <c r="J2645" s="1">
        <f ca="1">IFERROR(__xludf.DUMMYFUNCTION("""COMPUTED_VALUE"""),2)</f>
        <v>2</v>
      </c>
      <c r="K2645" s="1" t="str">
        <f ca="1">IFERROR(__xludf.DUMMYFUNCTION("""COMPUTED_VALUE"""),"Fully Remote with Options to travel as and when needed")</f>
        <v>Fully Remote with Options to travel as and when needed</v>
      </c>
      <c r="L264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5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645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645" s="1" t="str">
        <f ca="1">IFERROR(__xludf.DUMMYFUNCTION("""COMPUTED_VALUE"""),"Manager who sets goal and helps me achieve it")</f>
        <v>Manager who sets goal and helps me achieve it</v>
      </c>
      <c r="P2645" s="1" t="str">
        <f ca="1">IFERROR(__xludf.DUMMYFUNCTION("""COMPUTED_VALUE"""),"Work with 5 to 6 people in my team")</f>
        <v>Work with 5 to 6 people in my team</v>
      </c>
      <c r="Q2645" s="1" t="str">
        <f ca="1">IFERROR(__xludf.DUMMYFUNCTION("""COMPUTED_VALUE"""),"No")</f>
        <v>No</v>
      </c>
      <c r="R2645" s="1" t="str">
        <f ca="1">IFERROR(__xludf.DUMMYFUNCTION("""COMPUTED_VALUE"""),"Will work for 7 years or more")</f>
        <v>Will work for 7 years or more</v>
      </c>
      <c r="S2645" s="1" t="str">
        <f ca="1">IFERROR(__xludf.DUMMYFUNCTION("""COMPUTED_VALUE"""),"ks0494618@gmail.com")</f>
        <v>ks0494618@gmail.com</v>
      </c>
    </row>
    <row r="2646" spans="1:19" ht="12.5" x14ac:dyDescent="0.25">
      <c r="A2646" s="2">
        <f ca="1">IFERROR(__xludf.DUMMYFUNCTION("""COMPUTED_VALUE"""),45065.8751743518)</f>
        <v>45065.875174351801</v>
      </c>
      <c r="B2646" s="1" t="str">
        <f ca="1">IFERROR(__xludf.DUMMYFUNCTION("""COMPUTED_VALUE"""),"India")</f>
        <v>India</v>
      </c>
      <c r="C2646" s="1">
        <f ca="1">IFERROR(__xludf.DUMMYFUNCTION("""COMPUTED_VALUE"""),500046)</f>
        <v>500046</v>
      </c>
      <c r="D2646" s="1" t="str">
        <f ca="1">IFERROR(__xludf.DUMMYFUNCTION("""COMPUTED_VALUE"""),"Female")</f>
        <v>Female</v>
      </c>
      <c r="E2646" s="1" t="str">
        <f ca="1">IFERROR(__xludf.DUMMYFUNCTION("""COMPUTED_VALUE"""),"People from my circle, but not family members")</f>
        <v>People from my circle, but not family members</v>
      </c>
      <c r="F2646" s="1" t="str">
        <f ca="1">IFERROR(__xludf.DUMMYFUNCTION("""COMPUTED_VALUE"""),"No, But if someone could bare the cost I will")</f>
        <v>No, But if someone could bare the cost I will</v>
      </c>
      <c r="G2646" s="1" t="str">
        <f ca="1">IFERROR(__xludf.DUMMYFUNCTION("""COMPUTED_VALUE"""),"Will work for 3 years or more")</f>
        <v>Will work for 3 years or more</v>
      </c>
      <c r="H2646" s="1" t="str">
        <f ca="1">IFERROR(__xludf.DUMMYFUNCTION("""COMPUTED_VALUE"""),"No")</f>
        <v>No</v>
      </c>
      <c r="I2646" s="1" t="str">
        <f ca="1">IFERROR(__xludf.DUMMYFUNCTION("""COMPUTED_VALUE"""),"Will NOT work for them")</f>
        <v>Will NOT work for them</v>
      </c>
      <c r="J2646" s="1">
        <f ca="1">IFERROR(__xludf.DUMMYFUNCTION("""COMPUTED_VALUE"""),8)</f>
        <v>8</v>
      </c>
      <c r="K2646" s="1" t="str">
        <f ca="1">IFERROR(__xludf.DUMMYFUNCTION("""COMPUTED_VALUE"""),"Every Day Office Environment")</f>
        <v>Every Day Office Environment</v>
      </c>
      <c r="L264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46" s="1" t="str">
        <f ca="1">IFERROR(__xludf.DUMMYFUNCTION("""COMPUTED_VALUE"""),"Teaching in any of the institutes/colleges/online or offline, Work as a freelancer and do my thing my way, Become a content Creator in some platform, An Artificial Intelligence Specialist / Talking to Robots")</f>
        <v>Teaching in any of the institutes/colleges/online or offline, Work as a freelancer and do my thing my way, Become a content Creator in some platform, An Artificial Intelligence Specialist / Talking to Robots</v>
      </c>
      <c r="O2646" s="1" t="str">
        <f ca="1">IFERROR(__xludf.DUMMYFUNCTION("""COMPUTED_VALUE"""),"Manager who explains what is expected, sets a goal and helps achieve it")</f>
        <v>Manager who explains what is expected, sets a goal and helps achieve it</v>
      </c>
      <c r="P2646" s="1" t="str">
        <f ca="1">IFERROR(__xludf.DUMMYFUNCTION("""COMPUTED_VALUE"""),"Work with 2 to 3 people in my team")</f>
        <v>Work with 2 to 3 people in my team</v>
      </c>
      <c r="Q2646" s="1" t="str">
        <f ca="1">IFERROR(__xludf.DUMMYFUNCTION("""COMPUTED_VALUE"""),"Yes, I Understand this is gonna happen everywhere")</f>
        <v>Yes, I Understand this is gonna happen everywhere</v>
      </c>
      <c r="R2646" s="1" t="str">
        <f ca="1">IFERROR(__xludf.DUMMYFUNCTION("""COMPUTED_VALUE"""),"This will be hard to do, but if it is the right company I would try")</f>
        <v>This will be hard to do, but if it is the right company I would try</v>
      </c>
      <c r="S2646" s="1" t="str">
        <f ca="1">IFERROR(__xludf.DUMMYFUNCTION("""COMPUTED_VALUE"""),"thebookwithnoname1994@gmail.com")</f>
        <v>thebookwithnoname1994@gmail.com</v>
      </c>
    </row>
    <row r="2647" spans="1:19" ht="12.5" x14ac:dyDescent="0.25">
      <c r="A2647" s="2">
        <f ca="1">IFERROR(__xludf.DUMMYFUNCTION("""COMPUTED_VALUE"""),45065.8755514004)</f>
        <v>45065.875551400401</v>
      </c>
      <c r="B2647" s="1" t="str">
        <f ca="1">IFERROR(__xludf.DUMMYFUNCTION("""COMPUTED_VALUE"""),"India")</f>
        <v>India</v>
      </c>
      <c r="C2647" s="1">
        <f ca="1">IFERROR(__xludf.DUMMYFUNCTION("""COMPUTED_VALUE"""),500012)</f>
        <v>500012</v>
      </c>
      <c r="D2647" s="1" t="str">
        <f ca="1">IFERROR(__xludf.DUMMYFUNCTION("""COMPUTED_VALUE"""),"Female")</f>
        <v>Female</v>
      </c>
      <c r="E2647" s="1" t="str">
        <f ca="1">IFERROR(__xludf.DUMMYFUNCTION("""COMPUTED_VALUE"""),"People who have changed the world for better")</f>
        <v>People who have changed the world for better</v>
      </c>
      <c r="F2647" s="1" t="str">
        <f ca="1">IFERROR(__xludf.DUMMYFUNCTION("""COMPUTED_VALUE"""),"Yes, I will earn and do that")</f>
        <v>Yes, I will earn and do that</v>
      </c>
      <c r="G2647" s="1" t="str">
        <f ca="1">IFERROR(__xludf.DUMMYFUNCTION("""COMPUTED_VALUE"""),"Will work for 3 years or more")</f>
        <v>Will work for 3 years or more</v>
      </c>
      <c r="H2647" s="1" t="str">
        <f ca="1">IFERROR(__xludf.DUMMYFUNCTION("""COMPUTED_VALUE"""),"Yes")</f>
        <v>Yes</v>
      </c>
      <c r="I2647" s="1" t="str">
        <f ca="1">IFERROR(__xludf.DUMMYFUNCTION("""COMPUTED_VALUE"""),"Will NOT work for them")</f>
        <v>Will NOT work for them</v>
      </c>
      <c r="J2647" s="1">
        <f ca="1">IFERROR(__xludf.DUMMYFUNCTION("""COMPUTED_VALUE"""),2)</f>
        <v>2</v>
      </c>
      <c r="K2647" s="1" t="str">
        <f ca="1">IFERROR(__xludf.DUMMYFUNCTION("""COMPUTED_VALUE"""),"Hybrid Working Environment with less than 3 days a month at office")</f>
        <v>Hybrid Working Environment with less than 3 days a month at office</v>
      </c>
      <c r="L264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47" s="1" t="str">
        <f ca="1">IFERROR(__xludf.DUMMYFUNCTION("""COMPUTED_VALUE"""),"Teaching in any of the institutes/colleges/online or offline, Look deeply into Data and generate insights, Work as a freelancer and do my thing my way, Entrepreneur or Start Up")</f>
        <v>Teaching in any of the institutes/colleges/online or offline, Look deeply into Data and generate insights, Work as a freelancer and do my thing my way, Entrepreneur or Start Up</v>
      </c>
      <c r="O2647" s="1" t="str">
        <f ca="1">IFERROR(__xludf.DUMMYFUNCTION("""COMPUTED_VALUE"""),"Manager who clearly describes what she/he needs")</f>
        <v>Manager who clearly describes what she/he needs</v>
      </c>
      <c r="P2647" s="1" t="str">
        <f ca="1">IFERROR(__xludf.DUMMYFUNCTION("""COMPUTED_VALUE"""),"Work alone, Work with 2 to 3 people in my team")</f>
        <v>Work alone, Work with 2 to 3 people in my team</v>
      </c>
      <c r="Q2647" s="1" t="str">
        <f ca="1">IFERROR(__xludf.DUMMYFUNCTION("""COMPUTED_VALUE"""),"Yes, I Understand this is gonna happen everywhere")</f>
        <v>Yes, I Understand this is gonna happen everywhere</v>
      </c>
      <c r="R2647" s="1" t="str">
        <f ca="1">IFERROR(__xludf.DUMMYFUNCTION("""COMPUTED_VALUE"""),"This will be hard to do, but if it is the right company I would try")</f>
        <v>This will be hard to do, but if it is the right company I would try</v>
      </c>
      <c r="S2647" s="1" t="str">
        <f ca="1">IFERROR(__xludf.DUMMYFUNCTION("""COMPUTED_VALUE"""),"navaneetha.mavooru@gmail.com")</f>
        <v>navaneetha.mavooru@gmail.com</v>
      </c>
    </row>
    <row r="2648" spans="1:19" ht="12.5" x14ac:dyDescent="0.25">
      <c r="A2648" s="2">
        <f ca="1">IFERROR(__xludf.DUMMYFUNCTION("""COMPUTED_VALUE"""),45065.8823720138)</f>
        <v>45065.882372013803</v>
      </c>
      <c r="B2648" s="1" t="str">
        <f ca="1">IFERROR(__xludf.DUMMYFUNCTION("""COMPUTED_VALUE"""),"Germany")</f>
        <v>Germany</v>
      </c>
      <c r="C2648" s="1" t="str">
        <f ca="1">IFERROR(__xludf.DUMMYFUNCTION("""COMPUTED_VALUE"""),"01069")</f>
        <v>01069</v>
      </c>
      <c r="D2648" s="1" t="str">
        <f ca="1">IFERROR(__xludf.DUMMYFUNCTION("""COMPUTED_VALUE"""),"Male")</f>
        <v>Male</v>
      </c>
      <c r="E2648" s="1" t="str">
        <f ca="1">IFERROR(__xludf.DUMMYFUNCTION("""COMPUTED_VALUE"""),"My Parents")</f>
        <v>My Parents</v>
      </c>
      <c r="F2648" s="1" t="str">
        <f ca="1">IFERROR(__xludf.DUMMYFUNCTION("""COMPUTED_VALUE"""),"Yes, I will earn and do that")</f>
        <v>Yes, I will earn and do that</v>
      </c>
      <c r="G2648" s="1" t="str">
        <f ca="1">IFERROR(__xludf.DUMMYFUNCTION("""COMPUTED_VALUE"""),"Will work for 3 years or more")</f>
        <v>Will work for 3 years or more</v>
      </c>
      <c r="H2648" s="1" t="str">
        <f ca="1">IFERROR(__xludf.DUMMYFUNCTION("""COMPUTED_VALUE"""),"No")</f>
        <v>No</v>
      </c>
      <c r="I2648" s="1" t="str">
        <f ca="1">IFERROR(__xludf.DUMMYFUNCTION("""COMPUTED_VALUE"""),"Will NOT work for them")</f>
        <v>Will NOT work for them</v>
      </c>
      <c r="J2648" s="1">
        <f ca="1">IFERROR(__xludf.DUMMYFUNCTION("""COMPUTED_VALUE"""),3)</f>
        <v>3</v>
      </c>
      <c r="K2648" s="1" t="str">
        <f ca="1">IFERROR(__xludf.DUMMYFUNCTION("""COMPUTED_VALUE"""),"Hybrid Working Environment with more than 15 days a month at office")</f>
        <v>Hybrid Working Environment with more than 15 days a month at office</v>
      </c>
      <c r="L264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4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4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648" s="1" t="str">
        <f ca="1">IFERROR(__xludf.DUMMYFUNCTION("""COMPUTED_VALUE"""),"Manager who explains what is expected, sets a goal and helps achieve it")</f>
        <v>Manager who explains what is expected, sets a goal and helps achieve it</v>
      </c>
      <c r="P2648" s="1" t="str">
        <f ca="1">IFERROR(__xludf.DUMMYFUNCTION("""COMPUTED_VALUE"""),"Work alone")</f>
        <v>Work alone</v>
      </c>
      <c r="Q2648" s="1" t="str">
        <f ca="1">IFERROR(__xludf.DUMMYFUNCTION("""COMPUTED_VALUE"""),"Yes, I Understand this is gonna happen everywhere")</f>
        <v>Yes, I Understand this is gonna happen everywhere</v>
      </c>
      <c r="R2648" s="1" t="str">
        <f ca="1">IFERROR(__xludf.DUMMYFUNCTION("""COMPUTED_VALUE"""),"This will be hard to do, but if it is the right company I would try")</f>
        <v>This will be hard to do, but if it is the right company I would try</v>
      </c>
      <c r="S2648" s="1" t="str">
        <f ca="1">IFERROR(__xludf.DUMMYFUNCTION("""COMPUTED_VALUE"""),"sreenupillai202@gmail.com")</f>
        <v>sreenupillai202@gmail.com</v>
      </c>
    </row>
    <row r="2649" spans="1:19" ht="12.5" x14ac:dyDescent="0.25">
      <c r="A2649" s="2">
        <f ca="1">IFERROR(__xludf.DUMMYFUNCTION("""COMPUTED_VALUE"""),45065.8925522222)</f>
        <v>45065.892552222198</v>
      </c>
      <c r="B2649" s="1" t="str">
        <f ca="1">IFERROR(__xludf.DUMMYFUNCTION("""COMPUTED_VALUE"""),"India")</f>
        <v>India</v>
      </c>
      <c r="C2649" s="1">
        <f ca="1">IFERROR(__xludf.DUMMYFUNCTION("""COMPUTED_VALUE"""),632006)</f>
        <v>632006</v>
      </c>
      <c r="D2649" s="1" t="str">
        <f ca="1">IFERROR(__xludf.DUMMYFUNCTION("""COMPUTED_VALUE"""),"Female")</f>
        <v>Female</v>
      </c>
      <c r="E2649" s="1" t="str">
        <f ca="1">IFERROR(__xludf.DUMMYFUNCTION("""COMPUTED_VALUE"""),"Social Media like LinkedIn")</f>
        <v>Social Media like LinkedIn</v>
      </c>
      <c r="F2649" s="1" t="str">
        <f ca="1">IFERROR(__xludf.DUMMYFUNCTION("""COMPUTED_VALUE"""),"Yes, I will earn and do that")</f>
        <v>Yes, I will earn and do that</v>
      </c>
      <c r="G2649" s="1" t="str">
        <f ca="1">IFERROR(__xludf.DUMMYFUNCTION("""COMPUTED_VALUE"""),"Will work for 3 years or more")</f>
        <v>Will work for 3 years or more</v>
      </c>
      <c r="H2649" s="1" t="str">
        <f ca="1">IFERROR(__xludf.DUMMYFUNCTION("""COMPUTED_VALUE"""),"No")</f>
        <v>No</v>
      </c>
      <c r="I2649" s="1" t="str">
        <f ca="1">IFERROR(__xludf.DUMMYFUNCTION("""COMPUTED_VALUE"""),"Will NOT work for them")</f>
        <v>Will NOT work for them</v>
      </c>
      <c r="J2649" s="1">
        <f ca="1">IFERROR(__xludf.DUMMYFUNCTION("""COMPUTED_VALUE"""),5)</f>
        <v>5</v>
      </c>
      <c r="K2649" s="1" t="str">
        <f ca="1">IFERROR(__xludf.DUMMYFUNCTION("""COMPUTED_VALUE"""),"Every Day Office Environment")</f>
        <v>Every Day Office Environment</v>
      </c>
      <c r="L2649" s="1" t="str">
        <f ca="1">IFERROR(__xludf.DUMMYFUNCTION("""COMPUTED_VALUE"""),"Employer who appreciates learning and enables that environment")</f>
        <v>Employer who appreciates learning and enables that environment</v>
      </c>
      <c r="M264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49" s="1" t="str">
        <f ca="1">IFERROR(__xludf.DUMMYFUNCTION("""COMPUTED_VALUE"""),"Design and Creative strategy in any company, Design and Develop amazing software, Look deeply into Data and generate insights, An Artificial Intelligence Specialist / Talking to Robots")</f>
        <v>Design and Creative strategy in any company, Design and Develop amazing software, Look deeply into Data and generate insights, An Artificial Intelligence Specialist / Talking to Robots</v>
      </c>
      <c r="O2649" s="1" t="str">
        <f ca="1">IFERROR(__xludf.DUMMYFUNCTION("""COMPUTED_VALUE"""),"Manager who explains what is expected, sets a goal and helps achieve it")</f>
        <v>Manager who explains what is expected, sets a goal and helps achieve it</v>
      </c>
      <c r="P2649" s="1" t="str">
        <f ca="1">IFERROR(__xludf.DUMMYFUNCTION("""COMPUTED_VALUE"""),"Work with 5 to 6 people in my team")</f>
        <v>Work with 5 to 6 people in my team</v>
      </c>
      <c r="Q2649" s="1" t="str">
        <f ca="1">IFERROR(__xludf.DUMMYFUNCTION("""COMPUTED_VALUE"""),"Yes, I Understand this is gonna happen everywhere")</f>
        <v>Yes, I Understand this is gonna happen everywhere</v>
      </c>
      <c r="R2649" s="1" t="str">
        <f ca="1">IFERROR(__xludf.DUMMYFUNCTION("""COMPUTED_VALUE"""),"No way")</f>
        <v>No way</v>
      </c>
      <c r="S2649" s="1" t="str">
        <f ca="1">IFERROR(__xludf.DUMMYFUNCTION("""COMPUTED_VALUE"""),"nehha.sudharsan@gmail.com")</f>
        <v>nehha.sudharsan@gmail.com</v>
      </c>
    </row>
    <row r="2650" spans="1:19" ht="12.5" x14ac:dyDescent="0.25">
      <c r="A2650" s="2">
        <f ca="1">IFERROR(__xludf.DUMMYFUNCTION("""COMPUTED_VALUE"""),45065.9061751041)</f>
        <v>45065.906175104101</v>
      </c>
      <c r="B2650" s="1" t="str">
        <f ca="1">IFERROR(__xludf.DUMMYFUNCTION("""COMPUTED_VALUE"""),"India")</f>
        <v>India</v>
      </c>
      <c r="C2650" s="1">
        <f ca="1">IFERROR(__xludf.DUMMYFUNCTION("""COMPUTED_VALUE"""),121004)</f>
        <v>121004</v>
      </c>
      <c r="D2650" s="1" t="str">
        <f ca="1">IFERROR(__xludf.DUMMYFUNCTION("""COMPUTED_VALUE"""),"Female")</f>
        <v>Female</v>
      </c>
      <c r="E2650" s="1" t="str">
        <f ca="1">IFERROR(__xludf.DUMMYFUNCTION("""COMPUTED_VALUE"""),"People from my circle, but not family members")</f>
        <v>People from my circle, but not family members</v>
      </c>
      <c r="F2650" s="1" t="str">
        <f ca="1">IFERROR(__xludf.DUMMYFUNCTION("""COMPUTED_VALUE"""),"No I would not be pursuing Higher Education outside of India")</f>
        <v>No I would not be pursuing Higher Education outside of India</v>
      </c>
      <c r="G2650" s="1" t="str">
        <f ca="1">IFERROR(__xludf.DUMMYFUNCTION("""COMPUTED_VALUE"""),"Will work for 3 years or more")</f>
        <v>Will work for 3 years or more</v>
      </c>
      <c r="H2650" s="1" t="str">
        <f ca="1">IFERROR(__xludf.DUMMYFUNCTION("""COMPUTED_VALUE"""),"No")</f>
        <v>No</v>
      </c>
      <c r="I2650" s="1" t="str">
        <f ca="1">IFERROR(__xludf.DUMMYFUNCTION("""COMPUTED_VALUE"""),"Will NOT work for them")</f>
        <v>Will NOT work for them</v>
      </c>
      <c r="J2650" s="1">
        <f ca="1">IFERROR(__xludf.DUMMYFUNCTION("""COMPUTED_VALUE"""),4)</f>
        <v>4</v>
      </c>
      <c r="K2650" s="1" t="str">
        <f ca="1">IFERROR(__xludf.DUMMYFUNCTION("""COMPUTED_VALUE"""),"Hybrid Working Environment with more than 15 days a month at office")</f>
        <v>Hybrid Working Environment with more than 15 days a month at office</v>
      </c>
      <c r="L26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5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650" s="1" t="str">
        <f ca="1">IFERROR(__xludf.DUMMYFUNCTION("""COMPUTED_VALUE"""),"Teaching in any of the institutes/colleges/online or offline, Build and develop a Team, Look deeply into Data and generate insights, Work as a freelancer and do my thing my way")</f>
        <v>Teaching in any of the institutes/colleges/online or offline, Build and develop a Team, Look deeply into Data and generate insights, Work as a freelancer and do my thing my way</v>
      </c>
      <c r="O2650" s="1" t="str">
        <f ca="1">IFERROR(__xludf.DUMMYFUNCTION("""COMPUTED_VALUE"""),"Manager who explains what is expected, sets a goal and helps achieve it")</f>
        <v>Manager who explains what is expected, sets a goal and helps achieve it</v>
      </c>
      <c r="P2650" s="1" t="str">
        <f ca="1">IFERROR(__xludf.DUMMYFUNCTION("""COMPUTED_VALUE"""),"Work with 5 to 6 people in my team")</f>
        <v>Work with 5 to 6 people in my team</v>
      </c>
      <c r="Q2650" s="1" t="str">
        <f ca="1">IFERROR(__xludf.DUMMYFUNCTION("""COMPUTED_VALUE"""),"No")</f>
        <v>No</v>
      </c>
      <c r="R2650" s="1" t="str">
        <f ca="1">IFERROR(__xludf.DUMMYFUNCTION("""COMPUTED_VALUE"""),"This will be hard to do, but if it is the right company I would try")</f>
        <v>This will be hard to do, but if it is the right company I would try</v>
      </c>
      <c r="S2650" s="1" t="str">
        <f ca="1">IFERROR(__xludf.DUMMYFUNCTION("""COMPUTED_VALUE"""),"bhartikardam69@gmail.com")</f>
        <v>bhartikardam69@gmail.com</v>
      </c>
    </row>
    <row r="2651" spans="1:19" ht="12.5" x14ac:dyDescent="0.25">
      <c r="A2651" s="2">
        <f ca="1">IFERROR(__xludf.DUMMYFUNCTION("""COMPUTED_VALUE"""),45065.9080336111)</f>
        <v>45065.9080336111</v>
      </c>
      <c r="B2651" s="1" t="str">
        <f ca="1">IFERROR(__xludf.DUMMYFUNCTION("""COMPUTED_VALUE"""),"Afganistan")</f>
        <v>Afganistan</v>
      </c>
      <c r="C2651" s="1">
        <f ca="1">IFERROR(__xludf.DUMMYFUNCTION("""COMPUTED_VALUE"""),3601)</f>
        <v>3601</v>
      </c>
      <c r="D2651" s="1" t="str">
        <f ca="1">IFERROR(__xludf.DUMMYFUNCTION("""COMPUTED_VALUE"""),"Female")</f>
        <v>Female</v>
      </c>
      <c r="E2651" s="1" t="str">
        <f ca="1">IFERROR(__xludf.DUMMYFUNCTION("""COMPUTED_VALUE"""),"My Parents")</f>
        <v>My Parents</v>
      </c>
      <c r="F2651" s="1" t="str">
        <f ca="1">IFERROR(__xludf.DUMMYFUNCTION("""COMPUTED_VALUE"""),"Yes, I will earn and do that")</f>
        <v>Yes, I will earn and do that</v>
      </c>
      <c r="G2651" s="1" t="str">
        <f ca="1">IFERROR(__xludf.DUMMYFUNCTION("""COMPUTED_VALUE"""),"Will work for 3 years or more")</f>
        <v>Will work for 3 years or more</v>
      </c>
      <c r="H2651" s="1" t="str">
        <f ca="1">IFERROR(__xludf.DUMMYFUNCTION("""COMPUTED_VALUE"""),"No")</f>
        <v>No</v>
      </c>
      <c r="I2651" s="1" t="str">
        <f ca="1">IFERROR(__xludf.DUMMYFUNCTION("""COMPUTED_VALUE"""),"Will NOT work for them")</f>
        <v>Will NOT work for them</v>
      </c>
      <c r="J2651" s="1">
        <f ca="1">IFERROR(__xludf.DUMMYFUNCTION("""COMPUTED_VALUE"""),1)</f>
        <v>1</v>
      </c>
      <c r="K2651" s="1" t="str">
        <f ca="1">IFERROR(__xludf.DUMMYFUNCTION("""COMPUTED_VALUE"""),"Every Day Office Environment")</f>
        <v>Every Day Office Environment</v>
      </c>
      <c r="L2651" s="1" t="str">
        <f ca="1">IFERROR(__xludf.DUMMYFUNCTION("""COMPUTED_VALUE"""),"Employer who appreciates learning and enables that environment")</f>
        <v>Employer who appreciates learning and enables that environment</v>
      </c>
      <c r="M265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51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651" s="1" t="str">
        <f ca="1">IFERROR(__xludf.DUMMYFUNCTION("""COMPUTED_VALUE"""),"Manager who clearly describes what she/he needs")</f>
        <v>Manager who clearly describes what she/he needs</v>
      </c>
      <c r="P2651" s="1" t="str">
        <f ca="1">IFERROR(__xludf.DUMMYFUNCTION("""COMPUTED_VALUE"""),"Work with 2 to 3 people in my team")</f>
        <v>Work with 2 to 3 people in my team</v>
      </c>
      <c r="Q2651" s="1" t="str">
        <f ca="1">IFERROR(__xludf.DUMMYFUNCTION("""COMPUTED_VALUE"""),"No")</f>
        <v>No</v>
      </c>
      <c r="R2651" s="1" t="str">
        <f ca="1">IFERROR(__xludf.DUMMYFUNCTION("""COMPUTED_VALUE"""),"This will be hard to do, but if it is the right company I would try")</f>
        <v>This will be hard to do, but if it is the right company I would try</v>
      </c>
      <c r="S2651" s="1" t="str">
        <f ca="1">IFERROR(__xludf.DUMMYFUNCTION("""COMPUTED_VALUE"""),"yasameen.saifi2016@gmail.com")</f>
        <v>yasameen.saifi2016@gmail.com</v>
      </c>
    </row>
    <row r="2652" spans="1:19" ht="12.5" x14ac:dyDescent="0.25">
      <c r="A2652" s="2">
        <f ca="1">IFERROR(__xludf.DUMMYFUNCTION("""COMPUTED_VALUE"""),45065.9344303703)</f>
        <v>45065.934430370296</v>
      </c>
      <c r="B2652" s="1" t="str">
        <f ca="1">IFERROR(__xludf.DUMMYFUNCTION("""COMPUTED_VALUE"""),"India")</f>
        <v>India</v>
      </c>
      <c r="C2652" s="1">
        <f ca="1">IFERROR(__xludf.DUMMYFUNCTION("""COMPUTED_VALUE"""),520012)</f>
        <v>520012</v>
      </c>
      <c r="D2652" s="1" t="str">
        <f ca="1">IFERROR(__xludf.DUMMYFUNCTION("""COMPUTED_VALUE"""),"Male")</f>
        <v>Male</v>
      </c>
      <c r="E2652" s="1" t="str">
        <f ca="1">IFERROR(__xludf.DUMMYFUNCTION("""COMPUTED_VALUE"""),"My Parents")</f>
        <v>My Parents</v>
      </c>
      <c r="F2652" s="1" t="str">
        <f ca="1">IFERROR(__xludf.DUMMYFUNCTION("""COMPUTED_VALUE"""),"Yes, I will earn and do that")</f>
        <v>Yes, I will earn and do that</v>
      </c>
      <c r="G2652" s="1" t="str">
        <f ca="1">IFERROR(__xludf.DUMMYFUNCTION("""COMPUTED_VALUE"""),"Will work for 3 years or more")</f>
        <v>Will work for 3 years or more</v>
      </c>
      <c r="H2652" s="1" t="str">
        <f ca="1">IFERROR(__xludf.DUMMYFUNCTION("""COMPUTED_VALUE"""),"No")</f>
        <v>No</v>
      </c>
      <c r="I2652" s="1" t="str">
        <f ca="1">IFERROR(__xludf.DUMMYFUNCTION("""COMPUTED_VALUE"""),"Will NOT work for them")</f>
        <v>Will NOT work for them</v>
      </c>
      <c r="J2652" s="1">
        <f ca="1">IFERROR(__xludf.DUMMYFUNCTION("""COMPUTED_VALUE"""),1)</f>
        <v>1</v>
      </c>
      <c r="K2652" s="1" t="str">
        <f ca="1">IFERROR(__xludf.DUMMYFUNCTION("""COMPUTED_VALUE"""),"Fully Remote with Options to travel as and when needed")</f>
        <v>Fully Remote with Options to travel as and when needed</v>
      </c>
      <c r="L2652" s="1" t="str">
        <f ca="1">IFERROR(__xludf.DUMMYFUNCTION("""COMPUTED_VALUE"""),"Employer who appreciates learning and enables that environment")</f>
        <v>Employer who appreciates learning and enables that environment</v>
      </c>
      <c r="M2652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652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2652" s="1" t="str">
        <f ca="1">IFERROR(__xludf.DUMMYFUNCTION("""COMPUTED_VALUE"""),"Manager who explains what is expected, sets a goal and helps achieve it")</f>
        <v>Manager who explains what is expected, sets a goal and helps achieve it</v>
      </c>
      <c r="P2652" s="1" t="str">
        <f ca="1">IFERROR(__xludf.DUMMYFUNCTION("""COMPUTED_VALUE"""),"Work alone")</f>
        <v>Work alone</v>
      </c>
      <c r="Q2652" s="1" t="str">
        <f ca="1">IFERROR(__xludf.DUMMYFUNCTION("""COMPUTED_VALUE"""),"Yes, I Understand this is gonna happen everywhere")</f>
        <v>Yes, I Understand this is gonna happen everywhere</v>
      </c>
      <c r="R2652" s="1" t="str">
        <f ca="1">IFERROR(__xludf.DUMMYFUNCTION("""COMPUTED_VALUE"""),"This will be hard to do, but if it is the right company I would try")</f>
        <v>This will be hard to do, but if it is the right company I would try</v>
      </c>
      <c r="S2652" s="1" t="str">
        <f ca="1">IFERROR(__xludf.DUMMYFUNCTION("""COMPUTED_VALUE"""),"harishkondepati15@gmail.com")</f>
        <v>harishkondepati15@gmail.com</v>
      </c>
    </row>
    <row r="2653" spans="1:19" ht="12.5" x14ac:dyDescent="0.25">
      <c r="A2653" s="2">
        <f ca="1">IFERROR(__xludf.DUMMYFUNCTION("""COMPUTED_VALUE"""),45065.9468007175)</f>
        <v>45065.946800717502</v>
      </c>
      <c r="B2653" s="1" t="str">
        <f ca="1">IFERROR(__xludf.DUMMYFUNCTION("""COMPUTED_VALUE"""),"India")</f>
        <v>India</v>
      </c>
      <c r="C2653" s="1">
        <f ca="1">IFERROR(__xludf.DUMMYFUNCTION("""COMPUTED_VALUE"""),425001)</f>
        <v>425001</v>
      </c>
      <c r="D2653" s="1" t="str">
        <f ca="1">IFERROR(__xludf.DUMMYFUNCTION("""COMPUTED_VALUE"""),"Male")</f>
        <v>Male</v>
      </c>
      <c r="E2653" s="1" t="str">
        <f ca="1">IFERROR(__xludf.DUMMYFUNCTION("""COMPUTED_VALUE"""),"My Parents")</f>
        <v>My Parents</v>
      </c>
      <c r="F2653" s="1" t="str">
        <f ca="1">IFERROR(__xludf.DUMMYFUNCTION("""COMPUTED_VALUE"""),"No, But if someone could bare the cost I will")</f>
        <v>No, But if someone could bare the cost I will</v>
      </c>
      <c r="G2653" s="1" t="str">
        <f ca="1">IFERROR(__xludf.DUMMYFUNCTION("""COMPUTED_VALUE"""),"Will work for 3 years or more")</f>
        <v>Will work for 3 years or more</v>
      </c>
      <c r="H2653" s="1" t="str">
        <f ca="1">IFERROR(__xludf.DUMMYFUNCTION("""COMPUTED_VALUE"""),"No")</f>
        <v>No</v>
      </c>
      <c r="I2653" s="1" t="str">
        <f ca="1">IFERROR(__xludf.DUMMYFUNCTION("""COMPUTED_VALUE"""),"Will NOT work for them")</f>
        <v>Will NOT work for them</v>
      </c>
      <c r="J2653" s="1">
        <f ca="1">IFERROR(__xludf.DUMMYFUNCTION("""COMPUTED_VALUE"""),3)</f>
        <v>3</v>
      </c>
      <c r="K2653" s="1" t="str">
        <f ca="1">IFERROR(__xludf.DUMMYFUNCTION("""COMPUTED_VALUE"""),"Hybrid Working Environment with less than 3 days a month at office")</f>
        <v>Hybrid Working Environment with less than 3 days a month at office</v>
      </c>
      <c r="L265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5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53" s="1" t="str">
        <f ca="1">IFERROR(__xludf.DUMMYFUNCTION("""COMPUTED_VALUE"""),"Design and Creative strategy in any company, Business Operations in any organization, Manage and drive End-to-End Projects or Products, An Artificial Intelligence Specialist / Talking to Robots")</f>
        <v>Design and Creative strategy in any company, Business Operations in any organization, Manage and drive End-to-End Projects or Products, An Artificial Intelligence Specialist / Talking to Robots</v>
      </c>
      <c r="O2653" s="1" t="str">
        <f ca="1">IFERROR(__xludf.DUMMYFUNCTION("""COMPUTED_VALUE"""),"Manager who sets goal and helps me achieve it")</f>
        <v>Manager who sets goal and helps me achieve it</v>
      </c>
      <c r="P2653" s="1" t="str">
        <f ca="1">IFERROR(__xludf.DUMMYFUNCTION("""COMPUTED_VALUE"""),"Work with 2 to 3 people in my team")</f>
        <v>Work with 2 to 3 people in my team</v>
      </c>
      <c r="Q2653" s="1" t="str">
        <f ca="1">IFERROR(__xludf.DUMMYFUNCTION("""COMPUTED_VALUE"""),"Yes, I Understand this is gonna happen everywhere")</f>
        <v>Yes, I Understand this is gonna happen everywhere</v>
      </c>
      <c r="R2653" s="1" t="str">
        <f ca="1">IFERROR(__xludf.DUMMYFUNCTION("""COMPUTED_VALUE"""),"This will be hard to do, but if it is the right company I would try")</f>
        <v>This will be hard to do, but if it is the right company I would try</v>
      </c>
      <c r="S2653" s="1" t="str">
        <f ca="1">IFERROR(__xludf.DUMMYFUNCTION("""COMPUTED_VALUE"""),"saraf.sahil4@gmail.com")</f>
        <v>saraf.sahil4@gmail.com</v>
      </c>
    </row>
    <row r="2654" spans="1:19" ht="12.5" x14ac:dyDescent="0.25">
      <c r="A2654" s="2">
        <f ca="1">IFERROR(__xludf.DUMMYFUNCTION("""COMPUTED_VALUE"""),45065.9597005092)</f>
        <v>45065.9597005092</v>
      </c>
      <c r="B2654" s="1" t="str">
        <f ca="1">IFERROR(__xludf.DUMMYFUNCTION("""COMPUTED_VALUE"""),"Afganistan")</f>
        <v>Afganistan</v>
      </c>
      <c r="C2654" s="1">
        <f ca="1">IFERROR(__xludf.DUMMYFUNCTION("""COMPUTED_VALUE"""),2001)</f>
        <v>2001</v>
      </c>
      <c r="D2654" s="1" t="str">
        <f ca="1">IFERROR(__xludf.DUMMYFUNCTION("""COMPUTED_VALUE"""),"Female")</f>
        <v>Female</v>
      </c>
      <c r="E2654" s="1" t="str">
        <f ca="1">IFERROR(__xludf.DUMMYFUNCTION("""COMPUTED_VALUE"""),"People who have changed the world for better")</f>
        <v>People who have changed the world for better</v>
      </c>
      <c r="F2654" s="1" t="str">
        <f ca="1">IFERROR(__xludf.DUMMYFUNCTION("""COMPUTED_VALUE"""),"No, But if someone could bare the cost I will")</f>
        <v>No, But if someone could bare the cost I will</v>
      </c>
      <c r="G2654" s="1" t="str">
        <f ca="1">IFERROR(__xludf.DUMMYFUNCTION("""COMPUTED_VALUE"""),"This will be hard to do, but if it is the right company I would try")</f>
        <v>This will be hard to do, but if it is the right company I would try</v>
      </c>
      <c r="H2654" s="1" t="str">
        <f ca="1">IFERROR(__xludf.DUMMYFUNCTION("""COMPUTED_VALUE"""),"No")</f>
        <v>No</v>
      </c>
      <c r="I2654" s="1" t="str">
        <f ca="1">IFERROR(__xludf.DUMMYFUNCTION("""COMPUTED_VALUE"""),"Will NOT work for them")</f>
        <v>Will NOT work for them</v>
      </c>
      <c r="J2654" s="1">
        <f ca="1">IFERROR(__xludf.DUMMYFUNCTION("""COMPUTED_VALUE"""),5)</f>
        <v>5</v>
      </c>
      <c r="K2654" s="1" t="str">
        <f ca="1">IFERROR(__xludf.DUMMYFUNCTION("""COMPUTED_VALUE"""),"Every Day Office Environment")</f>
        <v>Every Day Office Environment</v>
      </c>
      <c r="L2654" s="1" t="str">
        <f ca="1">IFERROR(__xludf.DUMMYFUNCTION("""COMPUTED_VALUE"""),"Employer who appreciates learning and enables that environment")</f>
        <v>Employer who appreciates learning and enables that environment</v>
      </c>
      <c r="M265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54" s="1" t="str">
        <f ca="1">IFERROR(__xludf.DUMMYFUNCTION("""COMPUTED_VALUE"""),"Teaching in any of the institutes/colleges/online or offline, Business Operations in any organization, Build and develop a Team, Entrepreneur or Start Up")</f>
        <v>Teaching in any of the institutes/colleges/online or offline, Business Operations in any organization, Build and develop a Team, Entrepreneur or Start Up</v>
      </c>
      <c r="O2654" s="1" t="str">
        <f ca="1">IFERROR(__xludf.DUMMYFUNCTION("""COMPUTED_VALUE"""),"Manager who explains what is expected, sets a goal and helps achieve it")</f>
        <v>Manager who explains what is expected, sets a goal and helps achieve it</v>
      </c>
      <c r="P2654" s="1" t="str">
        <f ca="1">IFERROR(__xludf.DUMMYFUNCTION("""COMPUTED_VALUE"""),"Work alone")</f>
        <v>Work alone</v>
      </c>
      <c r="Q2654" s="1" t="str">
        <f ca="1">IFERROR(__xludf.DUMMYFUNCTION("""COMPUTED_VALUE"""),"Yes, I Understand this is gonna happen everywhere")</f>
        <v>Yes, I Understand this is gonna happen everywhere</v>
      </c>
      <c r="R2654" s="1" t="str">
        <f ca="1">IFERROR(__xludf.DUMMYFUNCTION("""COMPUTED_VALUE"""),"This will be hard to do, but if it is the right company I would try")</f>
        <v>This will be hard to do, but if it is the right company I would try</v>
      </c>
      <c r="S2654" s="1" t="str">
        <f ca="1">IFERROR(__xludf.DUMMYFUNCTION("""COMPUTED_VALUE"""),"zarifaazizi967@gmail.com")</f>
        <v>zarifaazizi967@gmail.com</v>
      </c>
    </row>
    <row r="2655" spans="1:19" ht="12.5" x14ac:dyDescent="0.25">
      <c r="A2655" s="2">
        <f ca="1">IFERROR(__xludf.DUMMYFUNCTION("""COMPUTED_VALUE"""),45065.974200324)</f>
        <v>45065.974200324003</v>
      </c>
      <c r="B2655" s="1" t="str">
        <f ca="1">IFERROR(__xludf.DUMMYFUNCTION("""COMPUTED_VALUE"""),"India")</f>
        <v>India</v>
      </c>
      <c r="C2655" s="1">
        <f ca="1">IFERROR(__xludf.DUMMYFUNCTION("""COMPUTED_VALUE"""),632006)</f>
        <v>632006</v>
      </c>
      <c r="D2655" s="1" t="str">
        <f ca="1">IFERROR(__xludf.DUMMYFUNCTION("""COMPUTED_VALUE"""),"Female")</f>
        <v>Female</v>
      </c>
      <c r="E2655" s="1" t="str">
        <f ca="1">IFERROR(__xludf.DUMMYFUNCTION("""COMPUTED_VALUE"""),"People who have changed the world for better")</f>
        <v>People who have changed the world for better</v>
      </c>
      <c r="F2655" s="1" t="str">
        <f ca="1">IFERROR(__xludf.DUMMYFUNCTION("""COMPUTED_VALUE"""),"No I would not be pursuing Higher Education outside of India")</f>
        <v>No I would not be pursuing Higher Education outside of India</v>
      </c>
      <c r="G2655" s="1" t="str">
        <f ca="1">IFERROR(__xludf.DUMMYFUNCTION("""COMPUTED_VALUE"""),"Will work for 3 years or more")</f>
        <v>Will work for 3 years or more</v>
      </c>
      <c r="H2655" s="1" t="str">
        <f ca="1">IFERROR(__xludf.DUMMYFUNCTION("""COMPUTED_VALUE"""),"No")</f>
        <v>No</v>
      </c>
      <c r="I2655" s="1" t="str">
        <f ca="1">IFERROR(__xludf.DUMMYFUNCTION("""COMPUTED_VALUE"""),"Will NOT work for them")</f>
        <v>Will NOT work for them</v>
      </c>
      <c r="J2655" s="1">
        <f ca="1">IFERROR(__xludf.DUMMYFUNCTION("""COMPUTED_VALUE"""),5)</f>
        <v>5</v>
      </c>
      <c r="K2655" s="1" t="str">
        <f ca="1">IFERROR(__xludf.DUMMYFUNCTION("""COMPUTED_VALUE"""),"Hybrid Working Environment with more than 15 days a month at office")</f>
        <v>Hybrid Working Environment with more than 15 days a month at office</v>
      </c>
      <c r="L2655" s="1" t="str">
        <f ca="1">IFERROR(__xludf.DUMMYFUNCTION("""COMPUTED_VALUE"""),"Employer who rewards learning and enables that environment")</f>
        <v>Employer who rewards learning and enables that environment</v>
      </c>
      <c r="M2655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655" s="1" t="str">
        <f ca="1">IFERROR(__xludf.DUMMYFUNCTION("""COMPUTED_VALUE"""),"Design and Creative strategy in any company, Build and develop a Team, Look deeply into Data and generate insights, An Artificial Intelligence Specialist / Talking to Robots")</f>
        <v>Design and Creative strategy in any company, Build and develop a Team, Look deeply into Data and generate insights, An Artificial Intelligence Specialist / Talking to Robots</v>
      </c>
      <c r="O2655" s="1" t="str">
        <f ca="1">IFERROR(__xludf.DUMMYFUNCTION("""COMPUTED_VALUE"""),"Manager who explains what is expected, sets a goal and helps achieve it")</f>
        <v>Manager who explains what is expected, sets a goal and helps achieve it</v>
      </c>
      <c r="P2655" s="1" t="str">
        <f ca="1">IFERROR(__xludf.DUMMYFUNCTION("""COMPUTED_VALUE"""),"Work with 5 to 6 people in my team")</f>
        <v>Work with 5 to 6 people in my team</v>
      </c>
      <c r="Q2655" s="1" t="str">
        <f ca="1">IFERROR(__xludf.DUMMYFUNCTION("""COMPUTED_VALUE"""),"Yes, I Understand this is gonna happen everywhere")</f>
        <v>Yes, I Understand this is gonna happen everywhere</v>
      </c>
      <c r="R2655" s="1" t="str">
        <f ca="1">IFERROR(__xludf.DUMMYFUNCTION("""COMPUTED_VALUE"""),"Will work for 7 years or more")</f>
        <v>Will work for 7 years or more</v>
      </c>
      <c r="S2655" s="1" t="str">
        <f ca="1">IFERROR(__xludf.DUMMYFUNCTION("""COMPUTED_VALUE"""),"sheethll.592@gmail.com")</f>
        <v>sheethll.592@gmail.com</v>
      </c>
    </row>
    <row r="2656" spans="1:19" ht="12.5" x14ac:dyDescent="0.25">
      <c r="A2656" s="2">
        <f ca="1">IFERROR(__xludf.DUMMYFUNCTION("""COMPUTED_VALUE"""),45065.9791431481)</f>
        <v>45065.979143148099</v>
      </c>
      <c r="B2656" s="1" t="str">
        <f ca="1">IFERROR(__xludf.DUMMYFUNCTION("""COMPUTED_VALUE"""),"India")</f>
        <v>India</v>
      </c>
      <c r="C2656" s="1">
        <f ca="1">IFERROR(__xludf.DUMMYFUNCTION("""COMPUTED_VALUE"""),400064)</f>
        <v>400064</v>
      </c>
      <c r="D2656" s="1" t="str">
        <f ca="1">IFERROR(__xludf.DUMMYFUNCTION("""COMPUTED_VALUE"""),"Female")</f>
        <v>Female</v>
      </c>
      <c r="E2656" s="1" t="str">
        <f ca="1">IFERROR(__xludf.DUMMYFUNCTION("""COMPUTED_VALUE"""),"Influencers who had successful careers")</f>
        <v>Influencers who had successful careers</v>
      </c>
      <c r="F2656" s="1" t="str">
        <f ca="1">IFERROR(__xludf.DUMMYFUNCTION("""COMPUTED_VALUE"""),"Yes, I will earn and do that")</f>
        <v>Yes, I will earn and do that</v>
      </c>
      <c r="G2656" s="1" t="str">
        <f ca="1">IFERROR(__xludf.DUMMYFUNCTION("""COMPUTED_VALUE"""),"This will be hard to do, but if it is the right company I would try")</f>
        <v>This will be hard to do, but if it is the right company I would try</v>
      </c>
      <c r="H2656" s="1" t="str">
        <f ca="1">IFERROR(__xludf.DUMMYFUNCTION("""COMPUTED_VALUE"""),"Yes")</f>
        <v>Yes</v>
      </c>
      <c r="I2656" s="1" t="str">
        <f ca="1">IFERROR(__xludf.DUMMYFUNCTION("""COMPUTED_VALUE"""),"Will NOT work for them")</f>
        <v>Will NOT work for them</v>
      </c>
      <c r="J2656" s="1">
        <f ca="1">IFERROR(__xludf.DUMMYFUNCTION("""COMPUTED_VALUE"""),5)</f>
        <v>5</v>
      </c>
      <c r="K2656" s="1" t="str">
        <f ca="1">IFERROR(__xludf.DUMMYFUNCTION("""COMPUTED_VALUE"""),"Fully Remote with Options to travel as and when needed")</f>
        <v>Fully Remote with Options to travel as and when needed</v>
      </c>
      <c r="L265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5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56" s="1" t="str">
        <f ca="1">IFERROR(__xludf.DUMMYFUNCTION("""COMPUTED_VALUE"""),"Design and Creative strategy in any company, Build and develop a Team, Become a content Creator in some platform, Entrepreneur or Start Up")</f>
        <v>Design and Creative strategy in any company, Build and develop a Team, Become a content Creator in some platform, Entrepreneur or Start Up</v>
      </c>
      <c r="O2656" s="1" t="str">
        <f ca="1">IFERROR(__xludf.DUMMYFUNCTION("""COMPUTED_VALUE"""),"Manager who sets goal and helps me achieve it")</f>
        <v>Manager who sets goal and helps me achieve it</v>
      </c>
      <c r="P2656" s="1" t="str">
        <f ca="1">IFERROR(__xludf.DUMMYFUNCTION("""COMPUTED_VALUE"""),"Work with 5 to 6 people in my team")</f>
        <v>Work with 5 to 6 people in my team</v>
      </c>
      <c r="Q2656" s="1" t="str">
        <f ca="1">IFERROR(__xludf.DUMMYFUNCTION("""COMPUTED_VALUE"""),"Yes, I Understand this is gonna happen everywhere")</f>
        <v>Yes, I Understand this is gonna happen everywhere</v>
      </c>
      <c r="R2656" s="1" t="str">
        <f ca="1">IFERROR(__xludf.DUMMYFUNCTION("""COMPUTED_VALUE"""),"This will be hard to do, but if it is the right company I would try")</f>
        <v>This will be hard to do, but if it is the right company I would try</v>
      </c>
      <c r="S2656" s="1" t="str">
        <f ca="1">IFERROR(__xludf.DUMMYFUNCTION("""COMPUTED_VALUE"""),"vidhisheth2006@gmail.com")</f>
        <v>vidhisheth2006@gmail.com</v>
      </c>
    </row>
    <row r="2657" spans="1:19" ht="12.5" x14ac:dyDescent="0.25">
      <c r="A2657" s="2">
        <f ca="1">IFERROR(__xludf.DUMMYFUNCTION("""COMPUTED_VALUE"""),45065.9910175231)</f>
        <v>45065.991017523098</v>
      </c>
      <c r="B2657" s="1" t="str">
        <f ca="1">IFERROR(__xludf.DUMMYFUNCTION("""COMPUTED_VALUE"""),"Other")</f>
        <v>Other</v>
      </c>
      <c r="C2657" s="1" t="str">
        <f ca="1">IFERROR(__xludf.DUMMYFUNCTION("""COMPUTED_VALUE"""),"LE20JS")</f>
        <v>LE20JS</v>
      </c>
      <c r="D2657" s="1" t="str">
        <f ca="1">IFERROR(__xludf.DUMMYFUNCTION("""COMPUTED_VALUE"""),"Male")</f>
        <v>Male</v>
      </c>
      <c r="E2657" s="1" t="str">
        <f ca="1">IFERROR(__xludf.DUMMYFUNCTION("""COMPUTED_VALUE"""),"My Parents")</f>
        <v>My Parents</v>
      </c>
      <c r="F2657" s="1" t="str">
        <f ca="1">IFERROR(__xludf.DUMMYFUNCTION("""COMPUTED_VALUE"""),"Yes, I will earn and do that")</f>
        <v>Yes, I will earn and do that</v>
      </c>
      <c r="G2657" s="1" t="str">
        <f ca="1">IFERROR(__xludf.DUMMYFUNCTION("""COMPUTED_VALUE"""),"Will work for 3 years or more")</f>
        <v>Will work for 3 years or more</v>
      </c>
      <c r="H2657" s="1" t="str">
        <f ca="1">IFERROR(__xludf.DUMMYFUNCTION("""COMPUTED_VALUE"""),"No")</f>
        <v>No</v>
      </c>
      <c r="I2657" s="1" t="str">
        <f ca="1">IFERROR(__xludf.DUMMYFUNCTION("""COMPUTED_VALUE"""),"Will NOT work for them")</f>
        <v>Will NOT work for them</v>
      </c>
      <c r="J2657" s="1">
        <f ca="1">IFERROR(__xludf.DUMMYFUNCTION("""COMPUTED_VALUE"""),3)</f>
        <v>3</v>
      </c>
      <c r="K2657" s="1" t="str">
        <f ca="1">IFERROR(__xludf.DUMMYFUNCTION("""COMPUTED_VALUE"""),"Hybrid Working Environment with more than 15 days a month at office")</f>
        <v>Hybrid Working Environment with more than 15 days a month at office</v>
      </c>
      <c r="L265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5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57" s="1" t="str">
        <f ca="1">IFERROR(__xludf.DUMMYFUNCTION("""COMPUTED_VALUE"""),"Business Operations in any organization, Design and Develop amazing software, Look deeply into Data and generate insights, Work as a freelancer and do my thing my way")</f>
        <v>Business Operations in any organization, Design and Develop amazing software, Look deeply into Data and generate insights, Work as a freelancer and do my thing my way</v>
      </c>
      <c r="O2657" s="1" t="str">
        <f ca="1">IFERROR(__xludf.DUMMYFUNCTION("""COMPUTED_VALUE"""),"Manager who sets goal and helps me achieve it")</f>
        <v>Manager who sets goal and helps me achieve it</v>
      </c>
      <c r="P2657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657" s="1" t="str">
        <f ca="1">IFERROR(__xludf.DUMMYFUNCTION("""COMPUTED_VALUE"""),"Yes, I Understand this is gonna happen everywhere")</f>
        <v>Yes, I Understand this is gonna happen everywhere</v>
      </c>
      <c r="R2657" s="1" t="str">
        <f ca="1">IFERROR(__xludf.DUMMYFUNCTION("""COMPUTED_VALUE"""),"This will be hard to do, but if it is the right company I would try")</f>
        <v>This will be hard to do, but if it is the right company I would try</v>
      </c>
      <c r="S2657" s="1" t="str">
        <f ca="1">IFERROR(__xludf.DUMMYFUNCTION("""COMPUTED_VALUE"""),"aniket.deshpande2016@gmail.com")</f>
        <v>aniket.deshpande2016@gmail.com</v>
      </c>
    </row>
    <row r="2658" spans="1:19" ht="12.5" x14ac:dyDescent="0.25">
      <c r="A2658" s="2">
        <f ca="1">IFERROR(__xludf.DUMMYFUNCTION("""COMPUTED_VALUE"""),45066.1311481828)</f>
        <v>45066.131148182802</v>
      </c>
      <c r="B2658" s="1" t="str">
        <f ca="1">IFERROR(__xludf.DUMMYFUNCTION("""COMPUTED_VALUE"""),"India")</f>
        <v>India</v>
      </c>
      <c r="C2658" s="1">
        <f ca="1">IFERROR(__xludf.DUMMYFUNCTION("""COMPUTED_VALUE"""),560078)</f>
        <v>560078</v>
      </c>
      <c r="D2658" s="1" t="str">
        <f ca="1">IFERROR(__xludf.DUMMYFUNCTION("""COMPUTED_VALUE"""),"Male")</f>
        <v>Male</v>
      </c>
      <c r="E2658" s="1" t="str">
        <f ca="1">IFERROR(__xludf.DUMMYFUNCTION("""COMPUTED_VALUE"""),"My Parents")</f>
        <v>My Parents</v>
      </c>
      <c r="F2658" s="1" t="str">
        <f ca="1">IFERROR(__xludf.DUMMYFUNCTION("""COMPUTED_VALUE"""),"No I would not be pursuing Higher Education outside of India")</f>
        <v>No I would not be pursuing Higher Education outside of India</v>
      </c>
      <c r="G2658" s="1" t="str">
        <f ca="1">IFERROR(__xludf.DUMMYFUNCTION("""COMPUTED_VALUE"""),"Will work for 3 years or more")</f>
        <v>Will work for 3 years or more</v>
      </c>
      <c r="H2658" s="1" t="str">
        <f ca="1">IFERROR(__xludf.DUMMYFUNCTION("""COMPUTED_VALUE"""),"Yes")</f>
        <v>Yes</v>
      </c>
      <c r="I2658" s="1" t="str">
        <f ca="1">IFERROR(__xludf.DUMMYFUNCTION("""COMPUTED_VALUE"""),"Will NOT work for them")</f>
        <v>Will NOT work for them</v>
      </c>
      <c r="J2658" s="1">
        <f ca="1">IFERROR(__xludf.DUMMYFUNCTION("""COMPUTED_VALUE"""),9)</f>
        <v>9</v>
      </c>
      <c r="K2658" s="1" t="str">
        <f ca="1">IFERROR(__xludf.DUMMYFUNCTION("""COMPUTED_VALUE"""),"Fully Remote with Options to travel as and when needed")</f>
        <v>Fully Remote with Options to travel as and when needed</v>
      </c>
      <c r="L265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5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5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658" s="1" t="str">
        <f ca="1">IFERROR(__xludf.DUMMYFUNCTION("""COMPUTED_VALUE"""),"Manager who explains what is expected, sets a goal and helps achieve it")</f>
        <v>Manager who explains what is expected, sets a goal and helps achieve it</v>
      </c>
      <c r="P2658" s="1" t="str">
        <f ca="1">IFERROR(__xludf.DUMMYFUNCTION("""COMPUTED_VALUE"""),"Work with more than 10 people in my team")</f>
        <v>Work with more than 10 people in my team</v>
      </c>
      <c r="Q2658" s="1" t="str">
        <f ca="1">IFERROR(__xludf.DUMMYFUNCTION("""COMPUTED_VALUE"""),"Yes")</f>
        <v>Yes</v>
      </c>
      <c r="R2658" s="1" t="str">
        <f ca="1">IFERROR(__xludf.DUMMYFUNCTION("""COMPUTED_VALUE"""),"This will be hard to do, but if it is the right company I would try")</f>
        <v>This will be hard to do, but if it is the right company I would try</v>
      </c>
      <c r="S2658" s="1" t="str">
        <f ca="1">IFERROR(__xludf.DUMMYFUNCTION("""COMPUTED_VALUE"""),"syed.muhib32@gmail.com")</f>
        <v>syed.muhib32@gmail.com</v>
      </c>
    </row>
    <row r="2659" spans="1:19" ht="12.5" x14ac:dyDescent="0.25">
      <c r="A2659" s="2">
        <f ca="1">IFERROR(__xludf.DUMMYFUNCTION("""COMPUTED_VALUE"""),45066.3181801851)</f>
        <v>45066.318180185102</v>
      </c>
      <c r="B2659" s="1" t="str">
        <f ca="1">IFERROR(__xludf.DUMMYFUNCTION("""COMPUTED_VALUE"""),"India")</f>
        <v>India</v>
      </c>
      <c r="C2659" s="1">
        <f ca="1">IFERROR(__xludf.DUMMYFUNCTION("""COMPUTED_VALUE"""),625016)</f>
        <v>625016</v>
      </c>
      <c r="D2659" s="1" t="str">
        <f ca="1">IFERROR(__xludf.DUMMYFUNCTION("""COMPUTED_VALUE"""),"Female")</f>
        <v>Female</v>
      </c>
      <c r="E2659" s="1" t="str">
        <f ca="1">IFERROR(__xludf.DUMMYFUNCTION("""COMPUTED_VALUE"""),"My Parents")</f>
        <v>My Parents</v>
      </c>
      <c r="F2659" s="1" t="str">
        <f ca="1">IFERROR(__xludf.DUMMYFUNCTION("""COMPUTED_VALUE"""),"No I would not be pursuing Higher Education outside of India")</f>
        <v>No I would not be pursuing Higher Education outside of India</v>
      </c>
      <c r="G2659" s="1" t="str">
        <f ca="1">IFERROR(__xludf.DUMMYFUNCTION("""COMPUTED_VALUE"""),"Will work for 3 years or more")</f>
        <v>Will work for 3 years or more</v>
      </c>
      <c r="H2659" s="1" t="str">
        <f ca="1">IFERROR(__xludf.DUMMYFUNCTION("""COMPUTED_VALUE"""),"No")</f>
        <v>No</v>
      </c>
      <c r="I2659" s="1" t="str">
        <f ca="1">IFERROR(__xludf.DUMMYFUNCTION("""COMPUTED_VALUE"""),"Will work for them")</f>
        <v>Will work for them</v>
      </c>
      <c r="J2659" s="1">
        <f ca="1">IFERROR(__xludf.DUMMYFUNCTION("""COMPUTED_VALUE"""),10)</f>
        <v>10</v>
      </c>
      <c r="K2659" s="1" t="str">
        <f ca="1">IFERROR(__xludf.DUMMYFUNCTION("""COMPUTED_VALUE"""),"Every Day Office Environment")</f>
        <v>Every Day Office Environment</v>
      </c>
      <c r="L265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5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659" s="1" t="str">
        <f ca="1">IFERROR(__xludf.DUMMYFUNCTION("""COMPUTED_VALUE"""),"Teaching in any of the institutes/colleges/online or offline, Build and develop a Team, Look deeply into Data and generate insights, Work as a freelancer and do my thing my way")</f>
        <v>Teaching in any of the institutes/colleges/online or offline, Build and develop a Team, Look deeply into Data and generate insights, Work as a freelancer and do my thing my way</v>
      </c>
      <c r="O2659" s="1" t="str">
        <f ca="1">IFERROR(__xludf.DUMMYFUNCTION("""COMPUTED_VALUE"""),"Manager who sets goal and helps me achieve it")</f>
        <v>Manager who sets goal and helps me achieve it</v>
      </c>
      <c r="P2659" s="1" t="str">
        <f ca="1">IFERROR(__xludf.DUMMYFUNCTION("""COMPUTED_VALUE"""),"Work with 2 to 3 people in my team, Work with 7 to 10 or more people in my team")</f>
        <v>Work with 2 to 3 people in my team, Work with 7 to 10 or more people in my team</v>
      </c>
      <c r="Q2659" s="1" t="str">
        <f ca="1">IFERROR(__xludf.DUMMYFUNCTION("""COMPUTED_VALUE"""),"No")</f>
        <v>No</v>
      </c>
      <c r="R2659" s="1" t="str">
        <f ca="1">IFERROR(__xludf.DUMMYFUNCTION("""COMPUTED_VALUE"""),"Will work for 7 years or more")</f>
        <v>Will work for 7 years or more</v>
      </c>
      <c r="S2659" s="1" t="str">
        <f ca="1">IFERROR(__xludf.DUMMYFUNCTION("""COMPUTED_VALUE"""),"sindhubala315@gmail.com")</f>
        <v>sindhubala315@gmail.com</v>
      </c>
    </row>
    <row r="2660" spans="1:19" ht="12.5" x14ac:dyDescent="0.25">
      <c r="A2660" s="2">
        <f ca="1">IFERROR(__xludf.DUMMYFUNCTION("""COMPUTED_VALUE"""),45066.3779990509)</f>
        <v>45066.377999050899</v>
      </c>
      <c r="B2660" s="1" t="str">
        <f ca="1">IFERROR(__xludf.DUMMYFUNCTION("""COMPUTED_VALUE"""),"India")</f>
        <v>India</v>
      </c>
      <c r="C2660" s="1">
        <f ca="1">IFERROR(__xludf.DUMMYFUNCTION("""COMPUTED_VALUE"""),582201)</f>
        <v>582201</v>
      </c>
      <c r="D2660" s="1" t="str">
        <f ca="1">IFERROR(__xludf.DUMMYFUNCTION("""COMPUTED_VALUE"""),"Female")</f>
        <v>Female</v>
      </c>
      <c r="E2660" s="1" t="str">
        <f ca="1">IFERROR(__xludf.DUMMYFUNCTION("""COMPUTED_VALUE"""),"Social Media like LinkedIn")</f>
        <v>Social Media like LinkedIn</v>
      </c>
      <c r="F2660" s="1" t="str">
        <f ca="1">IFERROR(__xludf.DUMMYFUNCTION("""COMPUTED_VALUE"""),"Yes, I will earn and do that")</f>
        <v>Yes, I will earn and do that</v>
      </c>
      <c r="G2660" s="1" t="str">
        <f ca="1">IFERROR(__xludf.DUMMYFUNCTION("""COMPUTED_VALUE"""),"This will be hard to do, but if it is the right company I would try")</f>
        <v>This will be hard to do, but if it is the right company I would try</v>
      </c>
      <c r="H2660" s="1" t="str">
        <f ca="1">IFERROR(__xludf.DUMMYFUNCTION("""COMPUTED_VALUE"""),"No")</f>
        <v>No</v>
      </c>
      <c r="I2660" s="1" t="str">
        <f ca="1">IFERROR(__xludf.DUMMYFUNCTION("""COMPUTED_VALUE"""),"Will work for them")</f>
        <v>Will work for them</v>
      </c>
      <c r="J2660" s="1">
        <f ca="1">IFERROR(__xludf.DUMMYFUNCTION("""COMPUTED_VALUE"""),1)</f>
        <v>1</v>
      </c>
      <c r="K2660" s="1" t="str">
        <f ca="1">IFERROR(__xludf.DUMMYFUNCTION("""COMPUTED_VALUE"""),"Fully Remote with Options to travel as and when needed")</f>
        <v>Fully Remote with Options to travel as and when needed</v>
      </c>
      <c r="L26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60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660" s="1" t="str">
        <f ca="1">IFERROR(__xludf.DUMMYFUNCTION("""COMPUTED_VALUE"""),"Manage and drive End-to-End Projects or Products, Look deeply into Data and generate insights, Work as a freelancer and do my thing my way, Become a content Creator in some platform")</f>
        <v>Manage and drive End-to-End Projects or Products, Look deeply into Data and generate insights, Work as a freelancer and do my thing my way, Become a content Creator in some platform</v>
      </c>
      <c r="O2660" s="1" t="str">
        <f ca="1">IFERROR(__xludf.DUMMYFUNCTION("""COMPUTED_VALUE"""),"Manager who sets targets and expects me to achieve it")</f>
        <v>Manager who sets targets and expects me to achieve it</v>
      </c>
      <c r="P2660" s="1" t="str">
        <f ca="1">IFERROR(__xludf.DUMMYFUNCTION("""COMPUTED_VALUE"""),"Work with 2 to 3 people in my team")</f>
        <v>Work with 2 to 3 people in my team</v>
      </c>
      <c r="Q2660" s="1" t="str">
        <f ca="1">IFERROR(__xludf.DUMMYFUNCTION("""COMPUTED_VALUE"""),"No")</f>
        <v>No</v>
      </c>
      <c r="R2660" s="1" t="str">
        <f ca="1">IFERROR(__xludf.DUMMYFUNCTION("""COMPUTED_VALUE"""),"This will be hard to do, but if it is the right company I would try")</f>
        <v>This will be hard to do, but if it is the right company I would try</v>
      </c>
      <c r="S2660" s="1" t="str">
        <f ca="1">IFERROR(__xludf.DUMMYFUNCTION("""COMPUTED_VALUE"""),"roopaprakashkammar@gmail.com")</f>
        <v>roopaprakashkammar@gmail.com</v>
      </c>
    </row>
    <row r="2661" spans="1:19" ht="12.5" x14ac:dyDescent="0.25">
      <c r="A2661" s="2">
        <f ca="1">IFERROR(__xludf.DUMMYFUNCTION("""COMPUTED_VALUE"""),45066.381349074)</f>
        <v>45066.381349073999</v>
      </c>
      <c r="B2661" s="1" t="str">
        <f ca="1">IFERROR(__xludf.DUMMYFUNCTION("""COMPUTED_VALUE"""),"India")</f>
        <v>India</v>
      </c>
      <c r="C2661" s="1">
        <f ca="1">IFERROR(__xludf.DUMMYFUNCTION("""COMPUTED_VALUE"""),121001)</f>
        <v>121001</v>
      </c>
      <c r="D2661" s="1" t="str">
        <f ca="1">IFERROR(__xludf.DUMMYFUNCTION("""COMPUTED_VALUE"""),"Female")</f>
        <v>Female</v>
      </c>
      <c r="E2661" s="1" t="str">
        <f ca="1">IFERROR(__xludf.DUMMYFUNCTION("""COMPUTED_VALUE"""),"My Parents")</f>
        <v>My Parents</v>
      </c>
      <c r="F2661" s="1" t="str">
        <f ca="1">IFERROR(__xludf.DUMMYFUNCTION("""COMPUTED_VALUE"""),"Yes, I will earn and do that")</f>
        <v>Yes, I will earn and do that</v>
      </c>
      <c r="G2661" s="1" t="str">
        <f ca="1">IFERROR(__xludf.DUMMYFUNCTION("""COMPUTED_VALUE"""),"This will be hard to do, but if it is the right company I would try")</f>
        <v>This will be hard to do, but if it is the right company I would try</v>
      </c>
      <c r="H2661" s="1" t="str">
        <f ca="1">IFERROR(__xludf.DUMMYFUNCTION("""COMPUTED_VALUE"""),"Yes")</f>
        <v>Yes</v>
      </c>
      <c r="I2661" s="1" t="str">
        <f ca="1">IFERROR(__xludf.DUMMYFUNCTION("""COMPUTED_VALUE"""),"Will work for them")</f>
        <v>Will work for them</v>
      </c>
      <c r="J2661" s="1">
        <f ca="1">IFERROR(__xludf.DUMMYFUNCTION("""COMPUTED_VALUE"""),6)</f>
        <v>6</v>
      </c>
      <c r="K2661" s="1" t="str">
        <f ca="1">IFERROR(__xludf.DUMMYFUNCTION("""COMPUTED_VALUE"""),"Hybrid Working Environment with more than 15 days a month at office")</f>
        <v>Hybrid Working Environment with more than 15 days a month at office</v>
      </c>
      <c r="L2661" s="1" t="str">
        <f ca="1">IFERROR(__xludf.DUMMYFUNCTION("""COMPUTED_VALUE"""),"Employer who appreciates learning and enables that environment")</f>
        <v>Employer who appreciates learning and enables that environment</v>
      </c>
      <c r="M2661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661" s="1" t="str">
        <f ca="1">IFERROR(__xludf.DUMMYFUNCTION("""COMPUTED_VALUE"""),"Design and Creative strategy in any company, Teaching in any of the institutes/colleges/online or offline, Business Operations in any organization, Look deeply into Data and generate insights")</f>
        <v>Design and Creative strategy in any company, Teaching in any of the institutes/colleges/online or offline, Business Operations in any organization, Look deeply into Data and generate insights</v>
      </c>
      <c r="O2661" s="1" t="str">
        <f ca="1">IFERROR(__xludf.DUMMYFUNCTION("""COMPUTED_VALUE"""),"Manager who sets targets and expects me to achieve it")</f>
        <v>Manager who sets targets and expects me to achieve it</v>
      </c>
      <c r="P2661" s="1" t="str">
        <f ca="1">IFERROR(__xludf.DUMMYFUNCTION("""COMPUTED_VALUE"""),"Work with 2 to 3 people in my team")</f>
        <v>Work with 2 to 3 people in my team</v>
      </c>
      <c r="Q2661" s="1" t="str">
        <f ca="1">IFERROR(__xludf.DUMMYFUNCTION("""COMPUTED_VALUE"""),"Yes, I Understand this is gonna happen everywhere")</f>
        <v>Yes, I Understand this is gonna happen everywhere</v>
      </c>
      <c r="R2661" s="1" t="str">
        <f ca="1">IFERROR(__xludf.DUMMYFUNCTION("""COMPUTED_VALUE"""),"This will be hard to do, but if it is the right company I would try")</f>
        <v>This will be hard to do, but if it is the right company I would try</v>
      </c>
      <c r="S2661" s="1" t="str">
        <f ca="1">IFERROR(__xludf.DUMMYFUNCTION("""COMPUTED_VALUE"""),"anushakalra1097@gmail.com")</f>
        <v>anushakalra1097@gmail.com</v>
      </c>
    </row>
    <row r="2662" spans="1:19" ht="12.5" x14ac:dyDescent="0.25">
      <c r="A2662" s="2">
        <f ca="1">IFERROR(__xludf.DUMMYFUNCTION("""COMPUTED_VALUE"""),45066.4065817476)</f>
        <v>45066.4065817476</v>
      </c>
      <c r="B2662" s="1" t="str">
        <f ca="1">IFERROR(__xludf.DUMMYFUNCTION("""COMPUTED_VALUE"""),"India")</f>
        <v>India</v>
      </c>
      <c r="C2662" s="1">
        <f ca="1">IFERROR(__xludf.DUMMYFUNCTION("""COMPUTED_VALUE"""),577004)</f>
        <v>577004</v>
      </c>
      <c r="D2662" s="1" t="str">
        <f ca="1">IFERROR(__xludf.DUMMYFUNCTION("""COMPUTED_VALUE"""),"Male")</f>
        <v>Male</v>
      </c>
      <c r="E2662" s="1" t="str">
        <f ca="1">IFERROR(__xludf.DUMMYFUNCTION("""COMPUTED_VALUE"""),"People who have changed the world for better")</f>
        <v>People who have changed the world for better</v>
      </c>
      <c r="F2662" s="1" t="str">
        <f ca="1">IFERROR(__xludf.DUMMYFUNCTION("""COMPUTED_VALUE"""),"Yes, I will earn and do that")</f>
        <v>Yes, I will earn and do that</v>
      </c>
      <c r="G2662" s="1" t="str">
        <f ca="1">IFERROR(__xludf.DUMMYFUNCTION("""COMPUTED_VALUE"""),"This will be hard to do, but if it is the right company I would try")</f>
        <v>This will be hard to do, but if it is the right company I would try</v>
      </c>
      <c r="H2662" s="1" t="str">
        <f ca="1">IFERROR(__xludf.DUMMYFUNCTION("""COMPUTED_VALUE"""),"No")</f>
        <v>No</v>
      </c>
      <c r="I2662" s="1" t="str">
        <f ca="1">IFERROR(__xludf.DUMMYFUNCTION("""COMPUTED_VALUE"""),"Will NOT work for them")</f>
        <v>Will NOT work for them</v>
      </c>
      <c r="J2662" s="1">
        <f ca="1">IFERROR(__xludf.DUMMYFUNCTION("""COMPUTED_VALUE"""),10)</f>
        <v>10</v>
      </c>
      <c r="K2662" s="1" t="str">
        <f ca="1">IFERROR(__xludf.DUMMYFUNCTION("""COMPUTED_VALUE"""),"Hybrid Working Environment with more than 15 days a month at office")</f>
        <v>Hybrid Working Environment with more than 15 days a month at office</v>
      </c>
      <c r="L2662" s="1" t="str">
        <f ca="1">IFERROR(__xludf.DUMMYFUNCTION("""COMPUTED_VALUE"""),"Employer who appreciates learning and enables that environment")</f>
        <v>Employer who appreciates learning and enables that environment</v>
      </c>
      <c r="M266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62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2662" s="1" t="str">
        <f ca="1">IFERROR(__xludf.DUMMYFUNCTION("""COMPUTED_VALUE"""),"Manager who clearly describes what she/he needs")</f>
        <v>Manager who clearly describes what she/he needs</v>
      </c>
      <c r="P2662" s="1" t="str">
        <f ca="1">IFERROR(__xludf.DUMMYFUNCTION("""COMPUTED_VALUE"""),"Work with 7 to 10 or more people in my team")</f>
        <v>Work with 7 to 10 or more people in my team</v>
      </c>
      <c r="Q2662" s="1" t="str">
        <f ca="1">IFERROR(__xludf.DUMMYFUNCTION("""COMPUTED_VALUE"""),"Yes, I Understand this is gonna happen everywhere")</f>
        <v>Yes, I Understand this is gonna happen everywhere</v>
      </c>
      <c r="R2662" s="1" t="str">
        <f ca="1">IFERROR(__xludf.DUMMYFUNCTION("""COMPUTED_VALUE"""),"No way")</f>
        <v>No way</v>
      </c>
      <c r="S2662" s="1" t="str">
        <f ca="1">IFERROR(__xludf.DUMMYFUNCTION("""COMPUTED_VALUE"""),"lohith963@gmail.com")</f>
        <v>lohith963@gmail.com</v>
      </c>
    </row>
    <row r="2663" spans="1:19" ht="12.5" x14ac:dyDescent="0.25">
      <c r="A2663" s="2">
        <f ca="1">IFERROR(__xludf.DUMMYFUNCTION("""COMPUTED_VALUE"""),45066.4068235532)</f>
        <v>45066.406823553203</v>
      </c>
      <c r="B2663" s="1" t="str">
        <f ca="1">IFERROR(__xludf.DUMMYFUNCTION("""COMPUTED_VALUE"""),"United Arab Emirates")</f>
        <v>United Arab Emirates</v>
      </c>
      <c r="C2663" s="1">
        <f ca="1">IFERROR(__xludf.DUMMYFUNCTION("""COMPUTED_VALUE"""),560085)</f>
        <v>560085</v>
      </c>
      <c r="D2663" s="1" t="str">
        <f ca="1">IFERROR(__xludf.DUMMYFUNCTION("""COMPUTED_VALUE"""),"Male")</f>
        <v>Male</v>
      </c>
      <c r="E2663" s="1" t="str">
        <f ca="1">IFERROR(__xludf.DUMMYFUNCTION("""COMPUTED_VALUE"""),"People from my circle, but not family members")</f>
        <v>People from my circle, but not family members</v>
      </c>
      <c r="F2663" s="1" t="str">
        <f ca="1">IFERROR(__xludf.DUMMYFUNCTION("""COMPUTED_VALUE"""),"No I would not be pursuing Higher Education outside of India")</f>
        <v>No I would not be pursuing Higher Education outside of India</v>
      </c>
      <c r="G2663" s="1" t="str">
        <f ca="1">IFERROR(__xludf.DUMMYFUNCTION("""COMPUTED_VALUE"""),"Will work for 3 years or more")</f>
        <v>Will work for 3 years or more</v>
      </c>
      <c r="H2663" s="1" t="str">
        <f ca="1">IFERROR(__xludf.DUMMYFUNCTION("""COMPUTED_VALUE"""),"No")</f>
        <v>No</v>
      </c>
      <c r="I2663" s="1" t="str">
        <f ca="1">IFERROR(__xludf.DUMMYFUNCTION("""COMPUTED_VALUE"""),"Will NOT work for them")</f>
        <v>Will NOT work for them</v>
      </c>
      <c r="J2663" s="1">
        <f ca="1">IFERROR(__xludf.DUMMYFUNCTION("""COMPUTED_VALUE"""),5)</f>
        <v>5</v>
      </c>
      <c r="K2663" s="1" t="str">
        <f ca="1">IFERROR(__xludf.DUMMYFUNCTION("""COMPUTED_VALUE"""),"Fully Remote with Options to travel as and when needed")</f>
        <v>Fully Remote with Options to travel as and when needed</v>
      </c>
      <c r="L2663" s="1" t="str">
        <f ca="1">IFERROR(__xludf.DUMMYFUNCTION("""COMPUTED_VALUE"""),"Employer who appreciates learning and enables that environment")</f>
        <v>Employer who appreciates learning and enables that environment</v>
      </c>
      <c r="M2663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663" s="1" t="str">
        <f ca="1">IFERROR(__xludf.DUMMYFUNCTION("""COMPUTED_VALUE"""),"Business Operations in any organization, Build and develop a Team, Work as a freelancer and do my thing my way, Entrepreneur or Start Up")</f>
        <v>Business Operations in any organization, Build and develop a Team, Work as a freelancer and do my thing my way, Entrepreneur or Start Up</v>
      </c>
      <c r="O2663" s="1" t="str">
        <f ca="1">IFERROR(__xludf.DUMMYFUNCTION("""COMPUTED_VALUE"""),"Manager who clearly describes what she/he needs")</f>
        <v>Manager who clearly describes what she/he needs</v>
      </c>
      <c r="P2663" s="1" t="str">
        <f ca="1">IFERROR(__xludf.DUMMYFUNCTION("""COMPUTED_VALUE"""),"Work with 2 to 3 people in my team")</f>
        <v>Work with 2 to 3 people in my team</v>
      </c>
      <c r="Q2663" s="1" t="str">
        <f ca="1">IFERROR(__xludf.DUMMYFUNCTION("""COMPUTED_VALUE"""),"Yes, I Understand this is gonna happen everywhere")</f>
        <v>Yes, I Understand this is gonna happen everywhere</v>
      </c>
      <c r="R2663" s="1" t="str">
        <f ca="1">IFERROR(__xludf.DUMMYFUNCTION("""COMPUTED_VALUE"""),"This will be hard to do, but if it is the right company I would try")</f>
        <v>This will be hard to do, but if it is the right company I would try</v>
      </c>
      <c r="S2663" s="1" t="str">
        <f ca="1">IFERROR(__xludf.DUMMYFUNCTION("""COMPUTED_VALUE"""),"shivaarjun1245@gmail.com")</f>
        <v>shivaarjun1245@gmail.com</v>
      </c>
    </row>
    <row r="2664" spans="1:19" ht="12.5" x14ac:dyDescent="0.25">
      <c r="A2664" s="2">
        <f ca="1">IFERROR(__xludf.DUMMYFUNCTION("""COMPUTED_VALUE"""),45066.4118545138)</f>
        <v>45066.411854513797</v>
      </c>
      <c r="B2664" s="1" t="str">
        <f ca="1">IFERROR(__xludf.DUMMYFUNCTION("""COMPUTED_VALUE"""),"India")</f>
        <v>India</v>
      </c>
      <c r="C2664" s="1">
        <f ca="1">IFERROR(__xludf.DUMMYFUNCTION("""COMPUTED_VALUE"""),122102)</f>
        <v>122102</v>
      </c>
      <c r="D2664" s="1" t="str">
        <f ca="1">IFERROR(__xludf.DUMMYFUNCTION("""COMPUTED_VALUE"""),"Female")</f>
        <v>Female</v>
      </c>
      <c r="E2664" s="1" t="str">
        <f ca="1">IFERROR(__xludf.DUMMYFUNCTION("""COMPUTED_VALUE"""),"My Parents")</f>
        <v>My Parents</v>
      </c>
      <c r="F2664" s="1" t="str">
        <f ca="1">IFERROR(__xludf.DUMMYFUNCTION("""COMPUTED_VALUE"""),"No, But if someone could bare the cost I will")</f>
        <v>No, But if someone could bare the cost I will</v>
      </c>
      <c r="G2664" s="1" t="str">
        <f ca="1">IFERROR(__xludf.DUMMYFUNCTION("""COMPUTED_VALUE"""),"No way")</f>
        <v>No way</v>
      </c>
      <c r="H2664" s="1" t="str">
        <f ca="1">IFERROR(__xludf.DUMMYFUNCTION("""COMPUTED_VALUE"""),"No")</f>
        <v>No</v>
      </c>
      <c r="I2664" s="1" t="str">
        <f ca="1">IFERROR(__xludf.DUMMYFUNCTION("""COMPUTED_VALUE"""),"Will NOT work for them")</f>
        <v>Will NOT work for them</v>
      </c>
      <c r="J2664" s="1">
        <f ca="1">IFERROR(__xludf.DUMMYFUNCTION("""COMPUTED_VALUE"""),5)</f>
        <v>5</v>
      </c>
      <c r="K2664" s="1" t="str">
        <f ca="1">IFERROR(__xludf.DUMMYFUNCTION("""COMPUTED_VALUE"""),"Fully Remote with Options to travel as and when needed")</f>
        <v>Fully Remote with Options to travel as and when needed</v>
      </c>
      <c r="L2664" s="1" t="str">
        <f ca="1">IFERROR(__xludf.DUMMYFUNCTION("""COMPUTED_VALUE"""),"Employer who rewards learning and enables that environment")</f>
        <v>Employer who rewards learning and enables that environment</v>
      </c>
      <c r="M266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64" s="1" t="str">
        <f ca="1">IFERROR(__xludf.DUMMYFUNCTION("""COMPUTED_VALUE"""),"Design and Creative strategy in any company, Work as a freelancer and do my thing my way, Entrepreneur or Start Up, An Artificial Intelligence Specialist / Talking to Robots")</f>
        <v>Design and Creative strategy in any company, Work as a freelancer and do my thing my way, Entrepreneur or Start Up, An Artificial Intelligence Specialist / Talking to Robots</v>
      </c>
      <c r="O2664" s="1" t="str">
        <f ca="1">IFERROR(__xludf.DUMMYFUNCTION("""COMPUTED_VALUE"""),"Manager who sets goal and helps me achieve it")</f>
        <v>Manager who sets goal and helps me achieve it</v>
      </c>
      <c r="P2664" s="1" t="str">
        <f ca="1">IFERROR(__xludf.DUMMYFUNCTION("""COMPUTED_VALUE"""),"Work with 2 to 3 people in my team")</f>
        <v>Work with 2 to 3 people in my team</v>
      </c>
      <c r="Q2664" s="1" t="str">
        <f ca="1">IFERROR(__xludf.DUMMYFUNCTION("""COMPUTED_VALUE"""),"Yes, I Understand this is gonna happen everywhere")</f>
        <v>Yes, I Understand this is gonna happen everywhere</v>
      </c>
      <c r="R2664" s="1" t="str">
        <f ca="1">IFERROR(__xludf.DUMMYFUNCTION("""COMPUTED_VALUE"""),"No way")</f>
        <v>No way</v>
      </c>
      <c r="S2664" s="1" t="str">
        <f ca="1">IFERROR(__xludf.DUMMYFUNCTION("""COMPUTED_VALUE"""),"priyankachoudhary2069@gmail.com")</f>
        <v>priyankachoudhary2069@gmail.com</v>
      </c>
    </row>
    <row r="2665" spans="1:19" ht="12.5" x14ac:dyDescent="0.25">
      <c r="A2665" s="2">
        <f ca="1">IFERROR(__xludf.DUMMYFUNCTION("""COMPUTED_VALUE"""),45066.4120861921)</f>
        <v>45066.412086192096</v>
      </c>
      <c r="B2665" s="1" t="str">
        <f ca="1">IFERROR(__xludf.DUMMYFUNCTION("""COMPUTED_VALUE"""),"India")</f>
        <v>India</v>
      </c>
      <c r="C2665" s="1">
        <f ca="1">IFERROR(__xludf.DUMMYFUNCTION("""COMPUTED_VALUE"""),560078)</f>
        <v>560078</v>
      </c>
      <c r="D2665" s="1" t="str">
        <f ca="1">IFERROR(__xludf.DUMMYFUNCTION("""COMPUTED_VALUE"""),"Male")</f>
        <v>Male</v>
      </c>
      <c r="E2665" s="1" t="str">
        <f ca="1">IFERROR(__xludf.DUMMYFUNCTION("""COMPUTED_VALUE"""),"Influencers who had successful careers")</f>
        <v>Influencers who had successful careers</v>
      </c>
      <c r="F2665" s="1" t="str">
        <f ca="1">IFERROR(__xludf.DUMMYFUNCTION("""COMPUTED_VALUE"""),"No I would not be pursuing Higher Education outside of India")</f>
        <v>No I would not be pursuing Higher Education outside of India</v>
      </c>
      <c r="G2665" s="1" t="str">
        <f ca="1">IFERROR(__xludf.DUMMYFUNCTION("""COMPUTED_VALUE"""),"Will work for 3 years or more")</f>
        <v>Will work for 3 years or more</v>
      </c>
      <c r="H2665" s="1" t="str">
        <f ca="1">IFERROR(__xludf.DUMMYFUNCTION("""COMPUTED_VALUE"""),"No")</f>
        <v>No</v>
      </c>
      <c r="I2665" s="1" t="str">
        <f ca="1">IFERROR(__xludf.DUMMYFUNCTION("""COMPUTED_VALUE"""),"Will NOT work for them")</f>
        <v>Will NOT work for them</v>
      </c>
      <c r="J2665" s="1">
        <f ca="1">IFERROR(__xludf.DUMMYFUNCTION("""COMPUTED_VALUE"""),3)</f>
        <v>3</v>
      </c>
      <c r="K2665" s="1" t="str">
        <f ca="1">IFERROR(__xludf.DUMMYFUNCTION("""COMPUTED_VALUE"""),"Fully Remote with No option to visit offices")</f>
        <v>Fully Remote with No option to visit offices</v>
      </c>
      <c r="L2665" s="1" t="str">
        <f ca="1">IFERROR(__xludf.DUMMYFUNCTION("""COMPUTED_VALUE"""),"Employer who appreciates learning and enables that environment")</f>
        <v>Employer who appreciates learning and enables that environment</v>
      </c>
      <c r="M2665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665" s="1" t="str">
        <f ca="1">IFERROR(__xludf.DUMMYFUNCTION("""COMPUTED_VALUE"""),"Business Operations in any organization, Work in a BPO setup for some well known client, Work as a freelancer and do my thing my way, Entrepreneur or Start Up")</f>
        <v>Business Operations in any organization, Work in a BPO setup for some well known client, Work as a freelancer and do my thing my way, Entrepreneur or Start Up</v>
      </c>
      <c r="O2665" s="1" t="str">
        <f ca="1">IFERROR(__xludf.DUMMYFUNCTION("""COMPUTED_VALUE"""),"Manager who explains what is expected, sets a goal and helps achieve it")</f>
        <v>Manager who explains what is expected, sets a goal and helps achieve it</v>
      </c>
      <c r="P2665" s="1" t="str">
        <f ca="1">IFERROR(__xludf.DUMMYFUNCTION("""COMPUTED_VALUE"""),"Work with 7 to 10 or more people in my team")</f>
        <v>Work with 7 to 10 or more people in my team</v>
      </c>
      <c r="Q2665" s="1" t="str">
        <f ca="1">IFERROR(__xludf.DUMMYFUNCTION("""COMPUTED_VALUE"""),"Yes, I Understand this is gonna happen everywhere")</f>
        <v>Yes, I Understand this is gonna happen everywhere</v>
      </c>
      <c r="R2665" s="1" t="str">
        <f ca="1">IFERROR(__xludf.DUMMYFUNCTION("""COMPUTED_VALUE"""),"This will be hard to do, but if it is the right company I would try")</f>
        <v>This will be hard to do, but if it is the right company I would try</v>
      </c>
      <c r="S2665" s="1" t="str">
        <f ca="1">IFERROR(__xludf.DUMMYFUNCTION("""COMPUTED_VALUE"""),"shoaibrafi89@gmail.com")</f>
        <v>shoaibrafi89@gmail.com</v>
      </c>
    </row>
    <row r="2666" spans="1:19" ht="12.5" x14ac:dyDescent="0.25">
      <c r="A2666" s="2">
        <f ca="1">IFERROR(__xludf.DUMMYFUNCTION("""COMPUTED_VALUE"""),45066.4477465277)</f>
        <v>45066.447746527701</v>
      </c>
      <c r="B2666" s="1" t="str">
        <f ca="1">IFERROR(__xludf.DUMMYFUNCTION("""COMPUTED_VALUE"""),"India")</f>
        <v>India</v>
      </c>
      <c r="C2666" s="1">
        <f ca="1">IFERROR(__xludf.DUMMYFUNCTION("""COMPUTED_VALUE"""),632007)</f>
        <v>632007</v>
      </c>
      <c r="D2666" s="1" t="str">
        <f ca="1">IFERROR(__xludf.DUMMYFUNCTION("""COMPUTED_VALUE"""),"Female")</f>
        <v>Female</v>
      </c>
      <c r="E2666" s="1" t="str">
        <f ca="1">IFERROR(__xludf.DUMMYFUNCTION("""COMPUTED_VALUE"""),"My Parents")</f>
        <v>My Parents</v>
      </c>
      <c r="F2666" s="1" t="str">
        <f ca="1">IFERROR(__xludf.DUMMYFUNCTION("""COMPUTED_VALUE"""),"Yes, I will earn and do that")</f>
        <v>Yes, I will earn and do that</v>
      </c>
      <c r="G2666" s="1" t="str">
        <f ca="1">IFERROR(__xludf.DUMMYFUNCTION("""COMPUTED_VALUE"""),"This will be hard to do, but if it is the right company I would try")</f>
        <v>This will be hard to do, but if it is the right company I would try</v>
      </c>
      <c r="H2666" s="1" t="str">
        <f ca="1">IFERROR(__xludf.DUMMYFUNCTION("""COMPUTED_VALUE"""),"No")</f>
        <v>No</v>
      </c>
      <c r="I2666" s="1" t="str">
        <f ca="1">IFERROR(__xludf.DUMMYFUNCTION("""COMPUTED_VALUE"""),"Will NOT work for them")</f>
        <v>Will NOT work for them</v>
      </c>
      <c r="J2666" s="1">
        <f ca="1">IFERROR(__xludf.DUMMYFUNCTION("""COMPUTED_VALUE"""),4)</f>
        <v>4</v>
      </c>
      <c r="K2666" s="1" t="str">
        <f ca="1">IFERROR(__xludf.DUMMYFUNCTION("""COMPUTED_VALUE"""),"Fully Remote with Options to travel as and when needed")</f>
        <v>Fully Remote with Options to travel as and when needed</v>
      </c>
      <c r="L26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66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666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666" s="1" t="str">
        <f ca="1">IFERROR(__xludf.DUMMYFUNCTION("""COMPUTED_VALUE"""),"Manager who explains what is expected, sets a goal and helps achieve it")</f>
        <v>Manager who explains what is expected, sets a goal and helps achieve it</v>
      </c>
      <c r="P2666" s="1" t="str">
        <f ca="1">IFERROR(__xludf.DUMMYFUNCTION("""COMPUTED_VALUE"""),"Work with 2 to 3 people in my team")</f>
        <v>Work with 2 to 3 people in my team</v>
      </c>
      <c r="Q2666" s="1" t="str">
        <f ca="1">IFERROR(__xludf.DUMMYFUNCTION("""COMPUTED_VALUE"""),"No")</f>
        <v>No</v>
      </c>
      <c r="R2666" s="1" t="str">
        <f ca="1">IFERROR(__xludf.DUMMYFUNCTION("""COMPUTED_VALUE"""),"This will be hard to do, but if it is the right company I would try")</f>
        <v>This will be hard to do, but if it is the right company I would try</v>
      </c>
      <c r="S2666" s="1" t="str">
        <f ca="1">IFERROR(__xludf.DUMMYFUNCTION("""COMPUTED_VALUE"""),"reapl8394@gmail.com")</f>
        <v>reapl8394@gmail.com</v>
      </c>
    </row>
    <row r="2667" spans="1:19" ht="12.5" x14ac:dyDescent="0.25">
      <c r="A2667" s="2">
        <f ca="1">IFERROR(__xludf.DUMMYFUNCTION("""COMPUTED_VALUE"""),45066.4588107523)</f>
        <v>45066.458810752301</v>
      </c>
      <c r="B2667" s="1" t="str">
        <f ca="1">IFERROR(__xludf.DUMMYFUNCTION("""COMPUTED_VALUE"""),"India")</f>
        <v>India</v>
      </c>
      <c r="C2667" s="1">
        <f ca="1">IFERROR(__xludf.DUMMYFUNCTION("""COMPUTED_VALUE"""),400614)</f>
        <v>400614</v>
      </c>
      <c r="D2667" s="1" t="str">
        <f ca="1">IFERROR(__xludf.DUMMYFUNCTION("""COMPUTED_VALUE"""),"Male")</f>
        <v>Male</v>
      </c>
      <c r="E2667" s="1" t="str">
        <f ca="1">IFERROR(__xludf.DUMMYFUNCTION("""COMPUTED_VALUE"""),"My Parents")</f>
        <v>My Parents</v>
      </c>
      <c r="F2667" s="1" t="str">
        <f ca="1">IFERROR(__xludf.DUMMYFUNCTION("""COMPUTED_VALUE"""),"Yes, I will earn and do that")</f>
        <v>Yes, I will earn and do that</v>
      </c>
      <c r="G2667" s="1" t="str">
        <f ca="1">IFERROR(__xludf.DUMMYFUNCTION("""COMPUTED_VALUE"""),"This will be hard to do, but if it is the right company I would try")</f>
        <v>This will be hard to do, but if it is the right company I would try</v>
      </c>
      <c r="H2667" s="1" t="str">
        <f ca="1">IFERROR(__xludf.DUMMYFUNCTION("""COMPUTED_VALUE"""),"No")</f>
        <v>No</v>
      </c>
      <c r="I2667" s="1" t="str">
        <f ca="1">IFERROR(__xludf.DUMMYFUNCTION("""COMPUTED_VALUE"""),"Will NOT work for them")</f>
        <v>Will NOT work for them</v>
      </c>
      <c r="J2667" s="1">
        <f ca="1">IFERROR(__xludf.DUMMYFUNCTION("""COMPUTED_VALUE"""),4)</f>
        <v>4</v>
      </c>
      <c r="K2667" s="1" t="str">
        <f ca="1">IFERROR(__xludf.DUMMYFUNCTION("""COMPUTED_VALUE"""),"Fully Remote with Options to travel as and when needed")</f>
        <v>Fully Remote with Options to travel as and when needed</v>
      </c>
      <c r="L266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67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667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667" s="1" t="str">
        <f ca="1">IFERROR(__xludf.DUMMYFUNCTION("""COMPUTED_VALUE"""),"Manager who explains what is expected, sets a goal and helps achieve it")</f>
        <v>Manager who explains what is expected, sets a goal and helps achieve it</v>
      </c>
      <c r="P2667" s="1" t="str">
        <f ca="1">IFERROR(__xludf.DUMMYFUNCTION("""COMPUTED_VALUE"""),"Work with 5 to 6 people in my team")</f>
        <v>Work with 5 to 6 people in my team</v>
      </c>
      <c r="Q2667" s="1" t="str">
        <f ca="1">IFERROR(__xludf.DUMMYFUNCTION("""COMPUTED_VALUE"""),"Yes, I Understand this is gonna happen everywhere")</f>
        <v>Yes, I Understand this is gonna happen everywhere</v>
      </c>
      <c r="R2667" s="1" t="str">
        <f ca="1">IFERROR(__xludf.DUMMYFUNCTION("""COMPUTED_VALUE"""),"This will be hard to do, but if it is the right company I would try")</f>
        <v>This will be hard to do, but if it is the right company I would try</v>
      </c>
      <c r="S2667" s="1" t="str">
        <f ca="1">IFERROR(__xludf.DUMMYFUNCTION("""COMPUTED_VALUE"""),"kamalkumar15299@gmail.com")</f>
        <v>kamalkumar15299@gmail.com</v>
      </c>
    </row>
    <row r="2668" spans="1:19" ht="12.5" x14ac:dyDescent="0.25">
      <c r="A2668" s="2">
        <f ca="1">IFERROR(__xludf.DUMMYFUNCTION("""COMPUTED_VALUE"""),45066.4612659027)</f>
        <v>45066.461265902697</v>
      </c>
      <c r="B2668" s="1" t="str">
        <f ca="1">IFERROR(__xludf.DUMMYFUNCTION("""COMPUTED_VALUE"""),"India")</f>
        <v>India</v>
      </c>
      <c r="C2668" s="1">
        <f ca="1">IFERROR(__xludf.DUMMYFUNCTION("""COMPUTED_VALUE"""),577004)</f>
        <v>577004</v>
      </c>
      <c r="D2668" s="1" t="str">
        <f ca="1">IFERROR(__xludf.DUMMYFUNCTION("""COMPUTED_VALUE"""),"Male")</f>
        <v>Male</v>
      </c>
      <c r="E2668" s="1" t="str">
        <f ca="1">IFERROR(__xludf.DUMMYFUNCTION("""COMPUTED_VALUE"""),"My Parents")</f>
        <v>My Parents</v>
      </c>
      <c r="F2668" s="1" t="str">
        <f ca="1">IFERROR(__xludf.DUMMYFUNCTION("""COMPUTED_VALUE"""),"Yes, I will earn and do that")</f>
        <v>Yes, I will earn and do that</v>
      </c>
      <c r="G2668" s="1" t="str">
        <f ca="1">IFERROR(__xludf.DUMMYFUNCTION("""COMPUTED_VALUE"""),"Will work for 3 years or more")</f>
        <v>Will work for 3 years or more</v>
      </c>
      <c r="H2668" s="1" t="str">
        <f ca="1">IFERROR(__xludf.DUMMYFUNCTION("""COMPUTED_VALUE"""),"No")</f>
        <v>No</v>
      </c>
      <c r="I2668" s="1" t="str">
        <f ca="1">IFERROR(__xludf.DUMMYFUNCTION("""COMPUTED_VALUE"""),"Will NOT work for them")</f>
        <v>Will NOT work for them</v>
      </c>
      <c r="J2668" s="1">
        <f ca="1">IFERROR(__xludf.DUMMYFUNCTION("""COMPUTED_VALUE"""),5)</f>
        <v>5</v>
      </c>
      <c r="K2668" s="1" t="str">
        <f ca="1">IFERROR(__xludf.DUMMYFUNCTION("""COMPUTED_VALUE"""),"Fully Remote with No option to visit offices")</f>
        <v>Fully Remote with No option to visit offices</v>
      </c>
      <c r="L266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6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68" s="1" t="str">
        <f ca="1">IFERROR(__xludf.DUMMYFUNCTION("""COMPUTED_VALUE"""),"Build and develop a Team, Work as a freelancer and do my thing my way, Become a content Creator in some platform, Entrepreneur or Start Up")</f>
        <v>Build and develop a Team, Work as a freelancer and do my thing my way, Become a content Creator in some platform, Entrepreneur or Start Up</v>
      </c>
      <c r="O2668" s="1" t="str">
        <f ca="1">IFERROR(__xludf.DUMMYFUNCTION("""COMPUTED_VALUE"""),"Manager who explains what is expected, sets a goal and helps achieve it")</f>
        <v>Manager who explains what is expected, sets a goal and helps achieve it</v>
      </c>
      <c r="P2668" s="1" t="str">
        <f ca="1">IFERROR(__xludf.DUMMYFUNCTION("""COMPUTED_VALUE"""),"Work with 2 to 3 people in my team")</f>
        <v>Work with 2 to 3 people in my team</v>
      </c>
      <c r="Q2668" s="1" t="str">
        <f ca="1">IFERROR(__xludf.DUMMYFUNCTION("""COMPUTED_VALUE"""),"Yes, I Understand this is gonna happen everywhere")</f>
        <v>Yes, I Understand this is gonna happen everywhere</v>
      </c>
      <c r="R2668" s="1" t="str">
        <f ca="1">IFERROR(__xludf.DUMMYFUNCTION("""COMPUTED_VALUE"""),"This will be hard to do, but if it is the right company I would try")</f>
        <v>This will be hard to do, but if it is the right company I would try</v>
      </c>
      <c r="S2668" s="1" t="str">
        <f ca="1">IFERROR(__xludf.DUMMYFUNCTION("""COMPUTED_VALUE"""),"krthik789@gmail.com")</f>
        <v>krthik789@gmail.com</v>
      </c>
    </row>
    <row r="2669" spans="1:19" ht="12.5" x14ac:dyDescent="0.25">
      <c r="A2669" s="2">
        <f ca="1">IFERROR(__xludf.DUMMYFUNCTION("""COMPUTED_VALUE"""),45066.4618637731)</f>
        <v>45066.461863773096</v>
      </c>
      <c r="B2669" s="1" t="str">
        <f ca="1">IFERROR(__xludf.DUMMYFUNCTION("""COMPUTED_VALUE"""),"India")</f>
        <v>India</v>
      </c>
      <c r="C2669" s="1">
        <f ca="1">IFERROR(__xludf.DUMMYFUNCTION("""COMPUTED_VALUE"""),600052)</f>
        <v>600052</v>
      </c>
      <c r="D2669" s="1" t="str">
        <f ca="1">IFERROR(__xludf.DUMMYFUNCTION("""COMPUTED_VALUE"""),"Male")</f>
        <v>Male</v>
      </c>
      <c r="E2669" s="1" t="str">
        <f ca="1">IFERROR(__xludf.DUMMYFUNCTION("""COMPUTED_VALUE"""),"My Parents")</f>
        <v>My Parents</v>
      </c>
      <c r="F2669" s="1" t="str">
        <f ca="1">IFERROR(__xludf.DUMMYFUNCTION("""COMPUTED_VALUE"""),"No, But if someone could bare the cost I will")</f>
        <v>No, But if someone could bare the cost I will</v>
      </c>
      <c r="G2669" s="1" t="str">
        <f ca="1">IFERROR(__xludf.DUMMYFUNCTION("""COMPUTED_VALUE"""),"This will be hard to do, but if it is the right company I would try")</f>
        <v>This will be hard to do, but if it is the right company I would try</v>
      </c>
      <c r="H2669" s="1" t="str">
        <f ca="1">IFERROR(__xludf.DUMMYFUNCTION("""COMPUTED_VALUE"""),"No")</f>
        <v>No</v>
      </c>
      <c r="I2669" s="1" t="str">
        <f ca="1">IFERROR(__xludf.DUMMYFUNCTION("""COMPUTED_VALUE"""),"Will NOT work for them")</f>
        <v>Will NOT work for them</v>
      </c>
      <c r="J2669" s="1">
        <f ca="1">IFERROR(__xludf.DUMMYFUNCTION("""COMPUTED_VALUE"""),8)</f>
        <v>8</v>
      </c>
      <c r="K2669" s="1" t="str">
        <f ca="1">IFERROR(__xludf.DUMMYFUNCTION("""COMPUTED_VALUE"""),"Hybrid Working Environment with more than 15 days a month at office")</f>
        <v>Hybrid Working Environment with more than 15 days a month at office</v>
      </c>
      <c r="L26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6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669" s="1" t="str">
        <f ca="1">IFERROR(__xludf.DUMMYFUNCTION("""COMPUTED_VALUE"""),"Design and Creative strategy in any company, Design and Develop amazing software, Work as a freelancer and do my thing my way, An Artificial Intelligence Specialist / Talking to Robots")</f>
        <v>Design and Creative strategy in any company, Design and Develop amazing software, Work as a freelancer and do my thing my way, An Artificial Intelligence Specialist / Talking to Robots</v>
      </c>
      <c r="O2669" s="1" t="str">
        <f ca="1">IFERROR(__xludf.DUMMYFUNCTION("""COMPUTED_VALUE"""),"Manager who clearly describes what she/he needs")</f>
        <v>Manager who clearly describes what she/he needs</v>
      </c>
      <c r="P2669" s="1" t="str">
        <f ca="1">IFERROR(__xludf.DUMMYFUNCTION("""COMPUTED_VALUE"""),"Work with 2 to 3 people in my team, Work with more than 10 people in my team")</f>
        <v>Work with 2 to 3 people in my team, Work with more than 10 people in my team</v>
      </c>
      <c r="Q2669" s="1" t="str">
        <f ca="1">IFERROR(__xludf.DUMMYFUNCTION("""COMPUTED_VALUE"""),"Yes, I Understand this is gonna happen everywhere")</f>
        <v>Yes, I Understand this is gonna happen everywhere</v>
      </c>
      <c r="R2669" s="1" t="str">
        <f ca="1">IFERROR(__xludf.DUMMYFUNCTION("""COMPUTED_VALUE"""),"This will be hard to do, but if it is the right company I would try")</f>
        <v>This will be hard to do, but if it is the right company I would try</v>
      </c>
      <c r="S2669" s="1" t="str">
        <f ca="1">IFERROR(__xludf.DUMMYFUNCTION("""COMPUTED_VALUE"""),"yogapiriyan0@gmail.com")</f>
        <v>yogapiriyan0@gmail.com</v>
      </c>
    </row>
    <row r="2670" spans="1:19" ht="12.5" x14ac:dyDescent="0.25">
      <c r="A2670" s="2">
        <f ca="1">IFERROR(__xludf.DUMMYFUNCTION("""COMPUTED_VALUE"""),45066.4844838425)</f>
        <v>45066.484483842498</v>
      </c>
      <c r="B2670" s="1" t="str">
        <f ca="1">IFERROR(__xludf.DUMMYFUNCTION("""COMPUTED_VALUE"""),"India")</f>
        <v>India</v>
      </c>
      <c r="C2670" s="1">
        <f ca="1">IFERROR(__xludf.DUMMYFUNCTION("""COMPUTED_VALUE"""),400606)</f>
        <v>400606</v>
      </c>
      <c r="D2670" s="1" t="str">
        <f ca="1">IFERROR(__xludf.DUMMYFUNCTION("""COMPUTED_VALUE"""),"Male")</f>
        <v>Male</v>
      </c>
      <c r="E2670" s="1" t="str">
        <f ca="1">IFERROR(__xludf.DUMMYFUNCTION("""COMPUTED_VALUE"""),"Influencers who had successful careers")</f>
        <v>Influencers who had successful careers</v>
      </c>
      <c r="F2670" s="1" t="str">
        <f ca="1">IFERROR(__xludf.DUMMYFUNCTION("""COMPUTED_VALUE"""),"No I would not be pursuing Higher Education outside of India")</f>
        <v>No I would not be pursuing Higher Education outside of India</v>
      </c>
      <c r="G2670" s="1" t="str">
        <f ca="1">IFERROR(__xludf.DUMMYFUNCTION("""COMPUTED_VALUE"""),"Will work for 3 years or more")</f>
        <v>Will work for 3 years or more</v>
      </c>
      <c r="H2670" s="1" t="str">
        <f ca="1">IFERROR(__xludf.DUMMYFUNCTION("""COMPUTED_VALUE"""),"Yes")</f>
        <v>Yes</v>
      </c>
      <c r="I2670" s="1" t="str">
        <f ca="1">IFERROR(__xludf.DUMMYFUNCTION("""COMPUTED_VALUE"""),"Will NOT work for them")</f>
        <v>Will NOT work for them</v>
      </c>
      <c r="J2670" s="1">
        <f ca="1">IFERROR(__xludf.DUMMYFUNCTION("""COMPUTED_VALUE"""),4)</f>
        <v>4</v>
      </c>
      <c r="K2670" s="1" t="str">
        <f ca="1">IFERROR(__xludf.DUMMYFUNCTION("""COMPUTED_VALUE"""),"Fully Remote with Options to travel as and when needed")</f>
        <v>Fully Remote with Options to travel as and when needed</v>
      </c>
      <c r="L2670" s="1" t="str">
        <f ca="1">IFERROR(__xludf.DUMMYFUNCTION("""COMPUTED_VALUE"""),"Employer who rewards learning and enables that environment")</f>
        <v>Employer who rewards learning and enables that environment</v>
      </c>
      <c r="M2670" s="1" t="str">
        <f ca="1">IFERROR(__xludf.DUMMYFUNCTION("""COMPUTED_VALUE"""),"Instructor or Expert Learning Programs, Learning by observing others, Self Purchased Course from External Platforms")</f>
        <v>Instructor or Expert Learning Programs, Learning by observing others, Self Purchased Course from External Platforms</v>
      </c>
      <c r="N2670" s="1" t="str">
        <f ca="1">IFERROR(__xludf.DUMMYFUNCTION("""COMPUTED_VALUE"""),"Teaching in any of the institutes/colleges/online or offline, Design and Develop amazing software, Become a content Creator in some platform, An Artificial Intelligence Specialist / Talking to Robots")</f>
        <v>Teaching in any of the institutes/colleges/online or offline, Design and Develop amazing software, Become a content Creator in some platform, An Artificial Intelligence Specialist / Talking to Robots</v>
      </c>
      <c r="O2670" s="1" t="str">
        <f ca="1">IFERROR(__xludf.DUMMYFUNCTION("""COMPUTED_VALUE"""),"Manager who sets goal and helps me achieve it")</f>
        <v>Manager who sets goal and helps me achieve it</v>
      </c>
      <c r="P2670" s="1" t="str">
        <f ca="1">IFERROR(__xludf.DUMMYFUNCTION("""COMPUTED_VALUE"""),"Work with 7 to 10 or more people in my team")</f>
        <v>Work with 7 to 10 or more people in my team</v>
      </c>
      <c r="Q2670" s="1" t="str">
        <f ca="1">IFERROR(__xludf.DUMMYFUNCTION("""COMPUTED_VALUE"""),"No")</f>
        <v>No</v>
      </c>
      <c r="R2670" s="1" t="str">
        <f ca="1">IFERROR(__xludf.DUMMYFUNCTION("""COMPUTED_VALUE"""),"This will be hard to do, but if it is the right company I would try")</f>
        <v>This will be hard to do, but if it is the right company I would try</v>
      </c>
      <c r="S2670" s="1" t="str">
        <f ca="1">IFERROR(__xludf.DUMMYFUNCTION("""COMPUTED_VALUE"""),"pednekar.ganesh3689@gmail.com")</f>
        <v>pednekar.ganesh3689@gmail.com</v>
      </c>
    </row>
    <row r="2671" spans="1:19" ht="12.5" x14ac:dyDescent="0.25">
      <c r="A2671" s="2">
        <f ca="1">IFERROR(__xludf.DUMMYFUNCTION("""COMPUTED_VALUE"""),45066.5213541666)</f>
        <v>45066.521354166602</v>
      </c>
      <c r="B2671" s="1" t="str">
        <f ca="1">IFERROR(__xludf.DUMMYFUNCTION("""COMPUTED_VALUE"""),"India")</f>
        <v>India</v>
      </c>
      <c r="C2671" s="1">
        <f ca="1">IFERROR(__xludf.DUMMYFUNCTION("""COMPUTED_VALUE"""),500046)</f>
        <v>500046</v>
      </c>
      <c r="D2671" s="1" t="str">
        <f ca="1">IFERROR(__xludf.DUMMYFUNCTION("""COMPUTED_VALUE"""),"Female")</f>
        <v>Female</v>
      </c>
      <c r="E2671" s="1" t="str">
        <f ca="1">IFERROR(__xludf.DUMMYFUNCTION("""COMPUTED_VALUE"""),"People from my circle, but not family members")</f>
        <v>People from my circle, but not family members</v>
      </c>
      <c r="F2671" s="1" t="str">
        <f ca="1">IFERROR(__xludf.DUMMYFUNCTION("""COMPUTED_VALUE"""),"No I would not be pursuing Higher Education outside of India")</f>
        <v>No I would not be pursuing Higher Education outside of India</v>
      </c>
      <c r="G2671" s="1" t="str">
        <f ca="1">IFERROR(__xludf.DUMMYFUNCTION("""COMPUTED_VALUE"""),"This will be hard to do, but if it is the right company I would try")</f>
        <v>This will be hard to do, but if it is the right company I would try</v>
      </c>
      <c r="H2671" s="1" t="str">
        <f ca="1">IFERROR(__xludf.DUMMYFUNCTION("""COMPUTED_VALUE"""),"No")</f>
        <v>No</v>
      </c>
      <c r="I2671" s="1" t="str">
        <f ca="1">IFERROR(__xludf.DUMMYFUNCTION("""COMPUTED_VALUE"""),"Will NOT work for them")</f>
        <v>Will NOT work for them</v>
      </c>
      <c r="J2671" s="1">
        <f ca="1">IFERROR(__xludf.DUMMYFUNCTION("""COMPUTED_VALUE"""),4)</f>
        <v>4</v>
      </c>
      <c r="K2671" s="1" t="str">
        <f ca="1">IFERROR(__xludf.DUMMYFUNCTION("""COMPUTED_VALUE"""),"Fully Remote with Options to travel as and when needed")</f>
        <v>Fully Remote with Options to travel as and when needed</v>
      </c>
      <c r="L26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7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71" s="1" t="str">
        <f ca="1">IFERROR(__xludf.DUMMYFUNCTION("""COMPUTED_VALUE"""),"Design and Creative strategy in any company, Teaching in any of the institutes/colleges/online or offline, Work as a freelancer and do my thing my way, Entrepreneur or Start Up")</f>
        <v>Design and Creative strategy in any company, Teaching in any of the institutes/colleges/online or offline, Work as a freelancer and do my thing my way, Entrepreneur or Start Up</v>
      </c>
      <c r="O2671" s="1" t="str">
        <f ca="1">IFERROR(__xludf.DUMMYFUNCTION("""COMPUTED_VALUE"""),"Manager who sets goal and helps me achieve it")</f>
        <v>Manager who sets goal and helps me achieve it</v>
      </c>
      <c r="P2671" s="1" t="str">
        <f ca="1">IFERROR(__xludf.DUMMYFUNCTION("""COMPUTED_VALUE"""),"Work with 2 to 3 people in my team")</f>
        <v>Work with 2 to 3 people in my team</v>
      </c>
      <c r="Q2671" s="1" t="str">
        <f ca="1">IFERROR(__xludf.DUMMYFUNCTION("""COMPUTED_VALUE"""),"Yes, I Understand this is gonna happen everywhere")</f>
        <v>Yes, I Understand this is gonna happen everywhere</v>
      </c>
      <c r="R2671" s="1" t="str">
        <f ca="1">IFERROR(__xludf.DUMMYFUNCTION("""COMPUTED_VALUE"""),"No way")</f>
        <v>No way</v>
      </c>
      <c r="S2671" s="1" t="str">
        <f ca="1">IFERROR(__xludf.DUMMYFUNCTION("""COMPUTED_VALUE"""),"18ltph08@uohyd.ac.in")</f>
        <v>18ltph08@uohyd.ac.in</v>
      </c>
    </row>
    <row r="2672" spans="1:19" ht="12.5" x14ac:dyDescent="0.25">
      <c r="A2672" s="2">
        <f ca="1">IFERROR(__xludf.DUMMYFUNCTION("""COMPUTED_VALUE"""),45066.5273174421)</f>
        <v>45066.527317442102</v>
      </c>
      <c r="B2672" s="1" t="str">
        <f ca="1">IFERROR(__xludf.DUMMYFUNCTION("""COMPUTED_VALUE"""),"India")</f>
        <v>India</v>
      </c>
      <c r="C2672" s="1">
        <f ca="1">IFERROR(__xludf.DUMMYFUNCTION("""COMPUTED_VALUE"""),751024)</f>
        <v>751024</v>
      </c>
      <c r="D2672" s="1" t="str">
        <f ca="1">IFERROR(__xludf.DUMMYFUNCTION("""COMPUTED_VALUE"""),"Male")</f>
        <v>Male</v>
      </c>
      <c r="E2672" s="1" t="str">
        <f ca="1">IFERROR(__xludf.DUMMYFUNCTION("""COMPUTED_VALUE"""),"People who have changed the world for better")</f>
        <v>People who have changed the world for better</v>
      </c>
      <c r="F2672" s="1" t="str">
        <f ca="1">IFERROR(__xludf.DUMMYFUNCTION("""COMPUTED_VALUE"""),"Yes, I will earn and do that")</f>
        <v>Yes, I will earn and do that</v>
      </c>
      <c r="G2672" s="1" t="str">
        <f ca="1">IFERROR(__xludf.DUMMYFUNCTION("""COMPUTED_VALUE"""),"This will be hard to do, but if it is the right company I would try")</f>
        <v>This will be hard to do, but if it is the right company I would try</v>
      </c>
      <c r="H2672" s="1" t="str">
        <f ca="1">IFERROR(__xludf.DUMMYFUNCTION("""COMPUTED_VALUE"""),"No")</f>
        <v>No</v>
      </c>
      <c r="I2672" s="1" t="str">
        <f ca="1">IFERROR(__xludf.DUMMYFUNCTION("""COMPUTED_VALUE"""),"Will NOT work for them")</f>
        <v>Will NOT work for them</v>
      </c>
      <c r="J2672" s="1">
        <f ca="1">IFERROR(__xludf.DUMMYFUNCTION("""COMPUTED_VALUE"""),5)</f>
        <v>5</v>
      </c>
      <c r="K2672" s="1" t="str">
        <f ca="1">IFERROR(__xludf.DUMMYFUNCTION("""COMPUTED_VALUE"""),"Fully Remote with Options to travel as and when needed")</f>
        <v>Fully Remote with Options to travel as and when needed</v>
      </c>
      <c r="L267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7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72" s="1" t="str">
        <f ca="1">IFERROR(__xludf.DUMMYFUNCTION("""COMPUTED_VALUE"""),"Manage and drive End-to-End Projects or Products, Build and develop a Team, Look deeply into Data and generate insights, Entrepreneur or Start Up")</f>
        <v>Manage and drive End-to-End Projects or Products, Build and develop a Team, Look deeply into Data and generate insights, Entrepreneur or Start Up</v>
      </c>
      <c r="O2672" s="1" t="str">
        <f ca="1">IFERROR(__xludf.DUMMYFUNCTION("""COMPUTED_VALUE"""),"Manager who explains what is expected, sets a goal and helps achieve it")</f>
        <v>Manager who explains what is expected, sets a goal and helps achieve it</v>
      </c>
      <c r="P2672" s="1" t="str">
        <f ca="1">IFERROR(__xludf.DUMMYFUNCTION("""COMPUTED_VALUE"""),"Work with 2 to 3 people in my team")</f>
        <v>Work with 2 to 3 people in my team</v>
      </c>
      <c r="Q2672" s="1" t="str">
        <f ca="1">IFERROR(__xludf.DUMMYFUNCTION("""COMPUTED_VALUE"""),"Yes, I Understand this is gonna happen everywhere")</f>
        <v>Yes, I Understand this is gonna happen everywhere</v>
      </c>
      <c r="R2672" s="1" t="str">
        <f ca="1">IFERROR(__xludf.DUMMYFUNCTION("""COMPUTED_VALUE"""),"This will be hard to do, but if it is the right company I would try")</f>
        <v>This will be hard to do, but if it is the right company I would try</v>
      </c>
      <c r="S2672" s="1" t="str">
        <f ca="1">IFERROR(__xludf.DUMMYFUNCTION("""COMPUTED_VALUE"""),"adityasamal417@gmail.com")</f>
        <v>adityasamal417@gmail.com</v>
      </c>
    </row>
    <row r="2673" spans="1:19" ht="12.5" x14ac:dyDescent="0.25">
      <c r="A2673" s="2">
        <f ca="1">IFERROR(__xludf.DUMMYFUNCTION("""COMPUTED_VALUE"""),45066.5307690625)</f>
        <v>45066.530769062498</v>
      </c>
      <c r="B2673" s="1" t="str">
        <f ca="1">IFERROR(__xludf.DUMMYFUNCTION("""COMPUTED_VALUE"""),"India")</f>
        <v>India</v>
      </c>
      <c r="C2673" s="1">
        <f ca="1">IFERROR(__xludf.DUMMYFUNCTION("""COMPUTED_VALUE"""),503230)</f>
        <v>503230</v>
      </c>
      <c r="D2673" s="1" t="str">
        <f ca="1">IFERROR(__xludf.DUMMYFUNCTION("""COMPUTED_VALUE"""),"Male")</f>
        <v>Male</v>
      </c>
      <c r="E2673" s="1" t="str">
        <f ca="1">IFERROR(__xludf.DUMMYFUNCTION("""COMPUTED_VALUE"""),"My Parents")</f>
        <v>My Parents</v>
      </c>
      <c r="F2673" s="1" t="str">
        <f ca="1">IFERROR(__xludf.DUMMYFUNCTION("""COMPUTED_VALUE"""),"No I would not be pursuing Higher Education outside of India")</f>
        <v>No I would not be pursuing Higher Education outside of India</v>
      </c>
      <c r="G2673" s="1" t="str">
        <f ca="1">IFERROR(__xludf.DUMMYFUNCTION("""COMPUTED_VALUE"""),"This will be hard to do, but if it is the right company I would try")</f>
        <v>This will be hard to do, but if it is the right company I would try</v>
      </c>
      <c r="H2673" s="1" t="str">
        <f ca="1">IFERROR(__xludf.DUMMYFUNCTION("""COMPUTED_VALUE"""),"No")</f>
        <v>No</v>
      </c>
      <c r="I2673" s="1" t="str">
        <f ca="1">IFERROR(__xludf.DUMMYFUNCTION("""COMPUTED_VALUE"""),"Will NOT work for them")</f>
        <v>Will NOT work for them</v>
      </c>
      <c r="J2673" s="1">
        <f ca="1">IFERROR(__xludf.DUMMYFUNCTION("""COMPUTED_VALUE"""),1)</f>
        <v>1</v>
      </c>
      <c r="K2673" s="1" t="str">
        <f ca="1">IFERROR(__xludf.DUMMYFUNCTION("""COMPUTED_VALUE"""),"Hybrid Working Environment with more than 15 days a month at office")</f>
        <v>Hybrid Working Environment with more than 15 days a month at office</v>
      </c>
      <c r="L2673" s="1" t="str">
        <f ca="1">IFERROR(__xludf.DUMMYFUNCTION("""COMPUTED_VALUE"""),"Employer who appreciates learning and enables that environment")</f>
        <v>Employer who appreciates learning and enables that environment</v>
      </c>
      <c r="M267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73" s="1" t="str">
        <f ca="1">IFERROR(__xludf.DUMMYFUNCTION("""COMPUTED_VALUE"""),"Business Operations in any organization, Look deeply into Data and generate insights, Work as a freelancer and do my thing my way, Entrepreneur or Start Up")</f>
        <v>Business Operations in any organization, Look deeply into Data and generate insights, Work as a freelancer and do my thing my way, Entrepreneur or Start Up</v>
      </c>
      <c r="O2673" s="1" t="str">
        <f ca="1">IFERROR(__xludf.DUMMYFUNCTION("""COMPUTED_VALUE"""),"Manager who clearly describes what she/he needs")</f>
        <v>Manager who clearly describes what she/he needs</v>
      </c>
      <c r="P2673" s="1" t="str">
        <f ca="1">IFERROR(__xludf.DUMMYFUNCTION("""COMPUTED_VALUE"""),"Work with 2 to 3 people in my team")</f>
        <v>Work with 2 to 3 people in my team</v>
      </c>
      <c r="Q2673" s="1" t="str">
        <f ca="1">IFERROR(__xludf.DUMMYFUNCTION("""COMPUTED_VALUE"""),"No")</f>
        <v>No</v>
      </c>
      <c r="R2673" s="1" t="str">
        <f ca="1">IFERROR(__xludf.DUMMYFUNCTION("""COMPUTED_VALUE"""),"This will be hard to do, but if it is the right company I would try")</f>
        <v>This will be hard to do, but if it is the right company I would try</v>
      </c>
      <c r="S2673" s="1" t="str">
        <f ca="1">IFERROR(__xludf.DUMMYFUNCTION("""COMPUTED_VALUE"""),"nikhil.sangapnor@gmail.com")</f>
        <v>nikhil.sangapnor@gmail.com</v>
      </c>
    </row>
    <row r="2674" spans="1:19" ht="12.5" x14ac:dyDescent="0.25">
      <c r="A2674" s="2">
        <f ca="1">IFERROR(__xludf.DUMMYFUNCTION("""COMPUTED_VALUE"""),45066.5377634375)</f>
        <v>45066.537763437504</v>
      </c>
      <c r="B2674" s="1" t="str">
        <f ca="1">IFERROR(__xludf.DUMMYFUNCTION("""COMPUTED_VALUE"""),"India")</f>
        <v>India</v>
      </c>
      <c r="C2674" s="1">
        <f ca="1">IFERROR(__xludf.DUMMYFUNCTION("""COMPUTED_VALUE"""),122018)</f>
        <v>122018</v>
      </c>
      <c r="D2674" s="1" t="str">
        <f ca="1">IFERROR(__xludf.DUMMYFUNCTION("""COMPUTED_VALUE"""),"Male")</f>
        <v>Male</v>
      </c>
      <c r="E2674" s="1" t="str">
        <f ca="1">IFERROR(__xludf.DUMMYFUNCTION("""COMPUTED_VALUE"""),"People from my circle, but not family members")</f>
        <v>People from my circle, but not family members</v>
      </c>
      <c r="F2674" s="1" t="str">
        <f ca="1">IFERROR(__xludf.DUMMYFUNCTION("""COMPUTED_VALUE"""),"No I would not be pursuing Higher Education outside of India")</f>
        <v>No I would not be pursuing Higher Education outside of India</v>
      </c>
      <c r="G2674" s="1" t="str">
        <f ca="1">IFERROR(__xludf.DUMMYFUNCTION("""COMPUTED_VALUE"""),"This will be hard to do, but if it is the right company I would try")</f>
        <v>This will be hard to do, but if it is the right company I would try</v>
      </c>
      <c r="H2674" s="1" t="str">
        <f ca="1">IFERROR(__xludf.DUMMYFUNCTION("""COMPUTED_VALUE"""),"No")</f>
        <v>No</v>
      </c>
      <c r="I2674" s="1" t="str">
        <f ca="1">IFERROR(__xludf.DUMMYFUNCTION("""COMPUTED_VALUE"""),"Will NOT work for them")</f>
        <v>Will NOT work for them</v>
      </c>
      <c r="J2674" s="1">
        <f ca="1">IFERROR(__xludf.DUMMYFUNCTION("""COMPUTED_VALUE"""),5)</f>
        <v>5</v>
      </c>
      <c r="K2674" s="1" t="str">
        <f ca="1">IFERROR(__xludf.DUMMYFUNCTION("""COMPUTED_VALUE"""),"Fully Remote with Options to travel as and when needed")</f>
        <v>Fully Remote with Options to travel as and when needed</v>
      </c>
      <c r="L26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7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674" s="1" t="str">
        <f ca="1">IFERROR(__xludf.DUMMYFUNCTION("""COMPUTED_VALUE"""),"Teaching in any of the institutes/colleges/online or offline, Build and develop a Team, Look deeply into Data and generate insights, An Artificial Intelligence Specialist / Talking to Robots")</f>
        <v>Teaching in any of the institutes/colleges/online or offline, Build and develop a Team, Look deeply into Data and generate insights, An Artificial Intelligence Specialist / Talking to Robots</v>
      </c>
      <c r="O2674" s="1" t="str">
        <f ca="1">IFERROR(__xludf.DUMMYFUNCTION("""COMPUTED_VALUE"""),"Manager who sets goal and helps me achieve it")</f>
        <v>Manager who sets goal and helps me achieve it</v>
      </c>
      <c r="P2674" s="1" t="str">
        <f ca="1">IFERROR(__xludf.DUMMYFUNCTION("""COMPUTED_VALUE"""),"Work with 5 to 6 people in my team")</f>
        <v>Work with 5 to 6 people in my team</v>
      </c>
      <c r="Q2674" s="1" t="str">
        <f ca="1">IFERROR(__xludf.DUMMYFUNCTION("""COMPUTED_VALUE"""),"Yes, I Understand this is gonna happen everywhere")</f>
        <v>Yes, I Understand this is gonna happen everywhere</v>
      </c>
      <c r="R2674" s="1" t="str">
        <f ca="1">IFERROR(__xludf.DUMMYFUNCTION("""COMPUTED_VALUE"""),"No way")</f>
        <v>No way</v>
      </c>
      <c r="S2674" s="1" t="str">
        <f ca="1">IFERROR(__xludf.DUMMYFUNCTION("""COMPUTED_VALUE"""),"rahul.rs.sharma.2000@gmail.com")</f>
        <v>rahul.rs.sharma.2000@gmail.com</v>
      </c>
    </row>
    <row r="2675" spans="1:19" ht="12.5" x14ac:dyDescent="0.25">
      <c r="A2675" s="2">
        <f ca="1">IFERROR(__xludf.DUMMYFUNCTION("""COMPUTED_VALUE"""),45066.5492862731)</f>
        <v>45066.549286273097</v>
      </c>
      <c r="B2675" s="1" t="str">
        <f ca="1">IFERROR(__xludf.DUMMYFUNCTION("""COMPUTED_VALUE"""),"India")</f>
        <v>India</v>
      </c>
      <c r="C2675" s="1">
        <f ca="1">IFERROR(__xludf.DUMMYFUNCTION("""COMPUTED_VALUE"""),400701)</f>
        <v>400701</v>
      </c>
      <c r="D2675" s="1" t="str">
        <f ca="1">IFERROR(__xludf.DUMMYFUNCTION("""COMPUTED_VALUE"""),"Male")</f>
        <v>Male</v>
      </c>
      <c r="E2675" s="1" t="str">
        <f ca="1">IFERROR(__xludf.DUMMYFUNCTION("""COMPUTED_VALUE"""),"My Parents")</f>
        <v>My Parents</v>
      </c>
      <c r="F2675" s="1" t="str">
        <f ca="1">IFERROR(__xludf.DUMMYFUNCTION("""COMPUTED_VALUE"""),"No I would not be pursuing Higher Education outside of India")</f>
        <v>No I would not be pursuing Higher Education outside of India</v>
      </c>
      <c r="G2675" s="1" t="str">
        <f ca="1">IFERROR(__xludf.DUMMYFUNCTION("""COMPUTED_VALUE"""),"Will work for 3 years or more")</f>
        <v>Will work for 3 years or more</v>
      </c>
      <c r="H2675" s="1" t="str">
        <f ca="1">IFERROR(__xludf.DUMMYFUNCTION("""COMPUTED_VALUE"""),"No")</f>
        <v>No</v>
      </c>
      <c r="I2675" s="1" t="str">
        <f ca="1">IFERROR(__xludf.DUMMYFUNCTION("""COMPUTED_VALUE"""),"Will NOT work for them")</f>
        <v>Will NOT work for them</v>
      </c>
      <c r="J2675" s="1">
        <f ca="1">IFERROR(__xludf.DUMMYFUNCTION("""COMPUTED_VALUE"""),3)</f>
        <v>3</v>
      </c>
      <c r="K2675" s="1" t="str">
        <f ca="1">IFERROR(__xludf.DUMMYFUNCTION("""COMPUTED_VALUE"""),"Fully Remote with Options to travel as and when needed")</f>
        <v>Fully Remote with Options to travel as and when needed</v>
      </c>
      <c r="L2675" s="1" t="str">
        <f ca="1">IFERROR(__xludf.DUMMYFUNCTION("""COMPUTED_VALUE"""),"Employer who appreciates learning and enables that environment")</f>
        <v>Employer who appreciates learning and enables that environment</v>
      </c>
      <c r="M2675" s="1" t="str">
        <f ca="1">IFERROR(__xludf.DUMMYFUNCTION("""COMPUTED_VALUE"""),"Trial and error by doing side projects within the company, Self Purchased Course from External Platforms, Manager Teaching you")</f>
        <v>Trial and error by doing side projects within the company, Self Purchased Course from External Platforms, Manager Teaching you</v>
      </c>
      <c r="N2675" s="1" t="str">
        <f ca="1">IFERROR(__xludf.DUMMYFUNCTION("""COMPUTED_VALUE"""),"Design and Creative strategy in any company, Manage and drive End-to-End Projects or Products, Design and Develop amazing software, Work as a freelancer and do my thing my way")</f>
        <v>Design and Creative strategy in any company, Manage and drive End-to-End Projects or Products, Design and Develop amazing software, Work as a freelancer and do my thing my way</v>
      </c>
      <c r="O2675" s="1" t="str">
        <f ca="1">IFERROR(__xludf.DUMMYFUNCTION("""COMPUTED_VALUE"""),"Manager who clearly describes what she/he needs")</f>
        <v>Manager who clearly describes what she/he needs</v>
      </c>
      <c r="P2675" s="1" t="str">
        <f ca="1">IFERROR(__xludf.DUMMYFUNCTION("""COMPUTED_VALUE"""),"Work with 5 to 6 people in my team")</f>
        <v>Work with 5 to 6 people in my team</v>
      </c>
      <c r="Q2675" s="1" t="str">
        <f ca="1">IFERROR(__xludf.DUMMYFUNCTION("""COMPUTED_VALUE"""),"Yes, I Understand this is gonna happen everywhere")</f>
        <v>Yes, I Understand this is gonna happen everywhere</v>
      </c>
      <c r="R2675" s="1" t="str">
        <f ca="1">IFERROR(__xludf.DUMMYFUNCTION("""COMPUTED_VALUE"""),"This will be hard to do, but if it is the right company I would try")</f>
        <v>This will be hard to do, but if it is the right company I would try</v>
      </c>
      <c r="S2675" s="1" t="str">
        <f ca="1">IFERROR(__xludf.DUMMYFUNCTION("""COMPUTED_VALUE"""),"sharmaabhijeet0786@gmail.com")</f>
        <v>sharmaabhijeet0786@gmail.com</v>
      </c>
    </row>
    <row r="2676" spans="1:19" ht="12.5" x14ac:dyDescent="0.25">
      <c r="A2676" s="2">
        <f ca="1">IFERROR(__xludf.DUMMYFUNCTION("""COMPUTED_VALUE"""),45066.5517218055)</f>
        <v>45066.551721805503</v>
      </c>
      <c r="B2676" s="1" t="str">
        <f ca="1">IFERROR(__xludf.DUMMYFUNCTION("""COMPUTED_VALUE"""),"India")</f>
        <v>India</v>
      </c>
      <c r="C2676" s="1">
        <f ca="1">IFERROR(__xludf.DUMMYFUNCTION("""COMPUTED_VALUE"""),421201)</f>
        <v>421201</v>
      </c>
      <c r="D2676" s="1" t="str">
        <f ca="1">IFERROR(__xludf.DUMMYFUNCTION("""COMPUTED_VALUE"""),"Female")</f>
        <v>Female</v>
      </c>
      <c r="E2676" s="1" t="str">
        <f ca="1">IFERROR(__xludf.DUMMYFUNCTION("""COMPUTED_VALUE"""),"My Parents")</f>
        <v>My Parents</v>
      </c>
      <c r="F2676" s="1" t="str">
        <f ca="1">IFERROR(__xludf.DUMMYFUNCTION("""COMPUTED_VALUE"""),"Yes, I will earn and do that")</f>
        <v>Yes, I will earn and do that</v>
      </c>
      <c r="G2676" s="1" t="str">
        <f ca="1">IFERROR(__xludf.DUMMYFUNCTION("""COMPUTED_VALUE"""),"Will work for 3 years or more")</f>
        <v>Will work for 3 years or more</v>
      </c>
      <c r="H2676" s="1" t="str">
        <f ca="1">IFERROR(__xludf.DUMMYFUNCTION("""COMPUTED_VALUE"""),"Yes")</f>
        <v>Yes</v>
      </c>
      <c r="I2676" s="1" t="str">
        <f ca="1">IFERROR(__xludf.DUMMYFUNCTION("""COMPUTED_VALUE"""),"Will work for them")</f>
        <v>Will work for them</v>
      </c>
      <c r="J2676" s="1">
        <f ca="1">IFERROR(__xludf.DUMMYFUNCTION("""COMPUTED_VALUE"""),5)</f>
        <v>5</v>
      </c>
      <c r="K2676" s="1" t="str">
        <f ca="1">IFERROR(__xludf.DUMMYFUNCTION("""COMPUTED_VALUE"""),"Every Day Office Environment")</f>
        <v>Every Day Office Environment</v>
      </c>
      <c r="L2676" s="1" t="str">
        <f ca="1">IFERROR(__xludf.DUMMYFUNCTION("""COMPUTED_VALUE"""),"Employer who appreciates learning and enables that environment")</f>
        <v>Employer who appreciates learning and enables that environment</v>
      </c>
      <c r="M267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76" s="1" t="str">
        <f ca="1">IFERROR(__xludf.DUMMYFUNCTION("""COMPUTED_VALUE"""),"Business Operations in any organization, Look deeply into Data and generate insights, Work as a freelancer and do my thing my way, Become a content Creator in some platform")</f>
        <v>Business Operations in any organization, Look deeply into Data and generate insights, Work as a freelancer and do my thing my way, Become a content Creator in some platform</v>
      </c>
      <c r="O2676" s="1" t="str">
        <f ca="1">IFERROR(__xludf.DUMMYFUNCTION("""COMPUTED_VALUE"""),"Manager who clearly describes what she/he needs")</f>
        <v>Manager who clearly describes what she/he needs</v>
      </c>
      <c r="P2676" s="1" t="str">
        <f ca="1">IFERROR(__xludf.DUMMYFUNCTION("""COMPUTED_VALUE"""),"Work with 5 to 6 people in my team")</f>
        <v>Work with 5 to 6 people in my team</v>
      </c>
      <c r="Q2676" s="1" t="str">
        <f ca="1">IFERROR(__xludf.DUMMYFUNCTION("""COMPUTED_VALUE"""),"Yes")</f>
        <v>Yes</v>
      </c>
      <c r="R2676" s="1" t="str">
        <f ca="1">IFERROR(__xludf.DUMMYFUNCTION("""COMPUTED_VALUE"""),"Will work for 7 years or more")</f>
        <v>Will work for 7 years or more</v>
      </c>
      <c r="S2676" s="1" t="str">
        <f ca="1">IFERROR(__xludf.DUMMYFUNCTION("""COMPUTED_VALUE"""),"vishe019@gmail.com")</f>
        <v>vishe019@gmail.com</v>
      </c>
    </row>
    <row r="2677" spans="1:19" ht="12.5" x14ac:dyDescent="0.25">
      <c r="A2677" s="2">
        <f ca="1">IFERROR(__xludf.DUMMYFUNCTION("""COMPUTED_VALUE"""),45066.5553384259)</f>
        <v>45066.555338425896</v>
      </c>
      <c r="B2677" s="1" t="str">
        <f ca="1">IFERROR(__xludf.DUMMYFUNCTION("""COMPUTED_VALUE"""),"India")</f>
        <v>India</v>
      </c>
      <c r="C2677" s="1">
        <f ca="1">IFERROR(__xludf.DUMMYFUNCTION("""COMPUTED_VALUE"""),631502)</f>
        <v>631502</v>
      </c>
      <c r="D2677" s="1" t="str">
        <f ca="1">IFERROR(__xludf.DUMMYFUNCTION("""COMPUTED_VALUE"""),"Male")</f>
        <v>Male</v>
      </c>
      <c r="E2677" s="1" t="str">
        <f ca="1">IFERROR(__xludf.DUMMYFUNCTION("""COMPUTED_VALUE"""),"People from my circle, but not family members")</f>
        <v>People from my circle, but not family members</v>
      </c>
      <c r="F2677" s="1" t="str">
        <f ca="1">IFERROR(__xludf.DUMMYFUNCTION("""COMPUTED_VALUE"""),"Yes, I will earn and do that")</f>
        <v>Yes, I will earn and do that</v>
      </c>
      <c r="G2677" s="1" t="str">
        <f ca="1">IFERROR(__xludf.DUMMYFUNCTION("""COMPUTED_VALUE"""),"Will work for 3 years or more")</f>
        <v>Will work for 3 years or more</v>
      </c>
      <c r="H2677" s="1" t="str">
        <f ca="1">IFERROR(__xludf.DUMMYFUNCTION("""COMPUTED_VALUE"""),"Yes")</f>
        <v>Yes</v>
      </c>
      <c r="I2677" s="1" t="str">
        <f ca="1">IFERROR(__xludf.DUMMYFUNCTION("""COMPUTED_VALUE"""),"Will work for them")</f>
        <v>Will work for them</v>
      </c>
      <c r="J2677" s="1">
        <f ca="1">IFERROR(__xludf.DUMMYFUNCTION("""COMPUTED_VALUE"""),8)</f>
        <v>8</v>
      </c>
      <c r="K2677" s="1" t="str">
        <f ca="1">IFERROR(__xludf.DUMMYFUNCTION("""COMPUTED_VALUE"""),"Hybrid Working Environment with more than 15 days a month at office")</f>
        <v>Hybrid Working Environment with more than 15 days a month at office</v>
      </c>
      <c r="L26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77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677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677" s="1" t="str">
        <f ca="1">IFERROR(__xludf.DUMMYFUNCTION("""COMPUTED_VALUE"""),"Manager who explains what is expected, sets a goal and helps achieve it")</f>
        <v>Manager who explains what is expected, sets a goal and helps achieve it</v>
      </c>
      <c r="P2677" s="1" t="str">
        <f ca="1">IFERROR(__xludf.DUMMYFUNCTION("""COMPUTED_VALUE"""),"Work with 2 to 3 people in my team")</f>
        <v>Work with 2 to 3 people in my team</v>
      </c>
      <c r="Q2677" s="1" t="str">
        <f ca="1">IFERROR(__xludf.DUMMYFUNCTION("""COMPUTED_VALUE"""),"Yes, I Understand this is gonna happen everywhere")</f>
        <v>Yes, I Understand this is gonna happen everywhere</v>
      </c>
      <c r="R2677" s="1" t="str">
        <f ca="1">IFERROR(__xludf.DUMMYFUNCTION("""COMPUTED_VALUE"""),"This will be hard to do, but if it is the right company I would try")</f>
        <v>This will be hard to do, but if it is the right company I would try</v>
      </c>
      <c r="S2677" s="1" t="str">
        <f ca="1">IFERROR(__xludf.DUMMYFUNCTION("""COMPUTED_VALUE"""),"200801107@rajalakshmi.edu.in")</f>
        <v>200801107@rajalakshmi.edu.in</v>
      </c>
    </row>
    <row r="2678" spans="1:19" ht="12.5" x14ac:dyDescent="0.25">
      <c r="A2678" s="2">
        <f ca="1">IFERROR(__xludf.DUMMYFUNCTION("""COMPUTED_VALUE"""),45066.5569080324)</f>
        <v>45066.556908032398</v>
      </c>
      <c r="B2678" s="1" t="str">
        <f ca="1">IFERROR(__xludf.DUMMYFUNCTION("""COMPUTED_VALUE"""),"India")</f>
        <v>India</v>
      </c>
      <c r="C2678" s="1">
        <f ca="1">IFERROR(__xludf.DUMMYFUNCTION("""COMPUTED_VALUE"""),421301)</f>
        <v>421301</v>
      </c>
      <c r="D2678" s="1" t="str">
        <f ca="1">IFERROR(__xludf.DUMMYFUNCTION("""COMPUTED_VALUE"""),"Male")</f>
        <v>Male</v>
      </c>
      <c r="E2678" s="1" t="str">
        <f ca="1">IFERROR(__xludf.DUMMYFUNCTION("""COMPUTED_VALUE"""),"My Parents")</f>
        <v>My Parents</v>
      </c>
      <c r="F2678" s="1" t="str">
        <f ca="1">IFERROR(__xludf.DUMMYFUNCTION("""COMPUTED_VALUE"""),"Yes, I will earn and do that")</f>
        <v>Yes, I will earn and do that</v>
      </c>
      <c r="G2678" s="1" t="str">
        <f ca="1">IFERROR(__xludf.DUMMYFUNCTION("""COMPUTED_VALUE"""),"This will be hard to do, but if it is the right company I would try")</f>
        <v>This will be hard to do, but if it is the right company I would try</v>
      </c>
      <c r="H2678" s="1" t="str">
        <f ca="1">IFERROR(__xludf.DUMMYFUNCTION("""COMPUTED_VALUE"""),"Yes")</f>
        <v>Yes</v>
      </c>
      <c r="I2678" s="1" t="str">
        <f ca="1">IFERROR(__xludf.DUMMYFUNCTION("""COMPUTED_VALUE"""),"Will work for them")</f>
        <v>Will work for them</v>
      </c>
      <c r="J2678" s="1">
        <f ca="1">IFERROR(__xludf.DUMMYFUNCTION("""COMPUTED_VALUE"""),10)</f>
        <v>10</v>
      </c>
      <c r="K2678" s="1" t="str">
        <f ca="1">IFERROR(__xludf.DUMMYFUNCTION("""COMPUTED_VALUE"""),"Every Day Office Environment")</f>
        <v>Every Day Office Environment</v>
      </c>
      <c r="L2678" s="1" t="str">
        <f ca="1">IFERROR(__xludf.DUMMYFUNCTION("""COMPUTED_VALUE"""),"Employer who appreciates learning and enables that environment")</f>
        <v>Employer who appreciates learning and enables that environment</v>
      </c>
      <c r="M2678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678" s="1" t="str">
        <f ca="1">IFERROR(__xludf.DUMMYFUNCTION("""COMPUTED_VALUE"""),"Design and Creative strategy in any company, Manage and drive End-to-End Projects or Products, Build and develop a Team, I Want to sell things/Sales")</f>
        <v>Design and Creative strategy in any company, Manage and drive End-to-End Projects or Products, Build and develop a Team, I Want to sell things/Sales</v>
      </c>
      <c r="O2678" s="1" t="str">
        <f ca="1">IFERROR(__xludf.DUMMYFUNCTION("""COMPUTED_VALUE"""),"Manager who sets targets and expects me to achieve it")</f>
        <v>Manager who sets targets and expects me to achieve it</v>
      </c>
      <c r="P2678" s="1" t="str">
        <f ca="1">IFERROR(__xludf.DUMMYFUNCTION("""COMPUTED_VALUE"""),"Work with more than 10 people in my team")</f>
        <v>Work with more than 10 people in my team</v>
      </c>
      <c r="Q2678" s="1" t="str">
        <f ca="1">IFERROR(__xludf.DUMMYFUNCTION("""COMPUTED_VALUE"""),"Yes, I Understand this is gonna happen everywhere")</f>
        <v>Yes, I Understand this is gonna happen everywhere</v>
      </c>
      <c r="R2678" s="1" t="str">
        <f ca="1">IFERROR(__xludf.DUMMYFUNCTION("""COMPUTED_VALUE"""),"This will be hard to do, but if it is the right company I would try")</f>
        <v>This will be hard to do, but if it is the right company I would try</v>
      </c>
      <c r="S2678" s="1" t="str">
        <f ca="1">IFERROR(__xludf.DUMMYFUNCTION("""COMPUTED_VALUE"""),"sachinrathod5689@gmail.com")</f>
        <v>sachinrathod5689@gmail.com</v>
      </c>
    </row>
    <row r="2679" spans="1:19" ht="12.5" x14ac:dyDescent="0.25">
      <c r="A2679" s="2">
        <f ca="1">IFERROR(__xludf.DUMMYFUNCTION("""COMPUTED_VALUE"""),45066.5618515624)</f>
        <v>45066.561851562401</v>
      </c>
      <c r="B2679" s="1" t="str">
        <f ca="1">IFERROR(__xludf.DUMMYFUNCTION("""COMPUTED_VALUE"""),"India")</f>
        <v>India</v>
      </c>
      <c r="C2679" s="1">
        <f ca="1">IFERROR(__xludf.DUMMYFUNCTION("""COMPUTED_VALUE"""),632513)</f>
        <v>632513</v>
      </c>
      <c r="D2679" s="1" t="str">
        <f ca="1">IFERROR(__xludf.DUMMYFUNCTION("""COMPUTED_VALUE"""),"Female")</f>
        <v>Female</v>
      </c>
      <c r="E2679" s="1" t="str">
        <f ca="1">IFERROR(__xludf.DUMMYFUNCTION("""COMPUTED_VALUE"""),"My Parents")</f>
        <v>My Parents</v>
      </c>
      <c r="F2679" s="1" t="str">
        <f ca="1">IFERROR(__xludf.DUMMYFUNCTION("""COMPUTED_VALUE"""),"No I would not be pursuing Higher Education outside of India")</f>
        <v>No I would not be pursuing Higher Education outside of India</v>
      </c>
      <c r="G2679" s="1" t="str">
        <f ca="1">IFERROR(__xludf.DUMMYFUNCTION("""COMPUTED_VALUE"""),"Will work for 3 years or more")</f>
        <v>Will work for 3 years or more</v>
      </c>
      <c r="H2679" s="1" t="str">
        <f ca="1">IFERROR(__xludf.DUMMYFUNCTION("""COMPUTED_VALUE"""),"No")</f>
        <v>No</v>
      </c>
      <c r="I2679" s="1" t="str">
        <f ca="1">IFERROR(__xludf.DUMMYFUNCTION("""COMPUTED_VALUE"""),"Will NOT work for them")</f>
        <v>Will NOT work for them</v>
      </c>
      <c r="J2679" s="1">
        <f ca="1">IFERROR(__xludf.DUMMYFUNCTION("""COMPUTED_VALUE"""),5)</f>
        <v>5</v>
      </c>
      <c r="K2679" s="1" t="str">
        <f ca="1">IFERROR(__xludf.DUMMYFUNCTION("""COMPUTED_VALUE"""),"Every Day Office Environment")</f>
        <v>Every Day Office Environment</v>
      </c>
      <c r="L2679" s="1" t="str">
        <f ca="1">IFERROR(__xludf.DUMMYFUNCTION("""COMPUTED_VALUE"""),"Employer who appreciates learning and enables that environment")</f>
        <v>Employer who appreciates learning and enables that environment</v>
      </c>
      <c r="M2679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79" s="1" t="str">
        <f ca="1">IFERROR(__xludf.DUMMYFUNCTION("""COMPUTED_VALUE"""),"Design and Creative strategy in any company, Build and develop a Team, Become a content Creator in some platform, Entrepreneur or Start Up")</f>
        <v>Design and Creative strategy in any company, Build and develop a Team, Become a content Creator in some platform, Entrepreneur or Start Up</v>
      </c>
      <c r="O2679" s="1" t="str">
        <f ca="1">IFERROR(__xludf.DUMMYFUNCTION("""COMPUTED_VALUE"""),"Manager who clearly describes what she/he needs")</f>
        <v>Manager who clearly describes what she/he needs</v>
      </c>
      <c r="P2679" s="1" t="str">
        <f ca="1">IFERROR(__xludf.DUMMYFUNCTION("""COMPUTED_VALUE"""),"Work alone, Work with 2 to 3 people in my team")</f>
        <v>Work alone, Work with 2 to 3 people in my team</v>
      </c>
      <c r="Q2679" s="1" t="str">
        <f ca="1">IFERROR(__xludf.DUMMYFUNCTION("""COMPUTED_VALUE"""),"Yes, I Understand this is gonna happen everywhere")</f>
        <v>Yes, I Understand this is gonna happen everywhere</v>
      </c>
      <c r="R2679" s="1" t="str">
        <f ca="1">IFERROR(__xludf.DUMMYFUNCTION("""COMPUTED_VALUE"""),"Will work for 7 years or more")</f>
        <v>Will work for 7 years or more</v>
      </c>
      <c r="S2679" s="1" t="str">
        <f ca="1">IFERROR(__xludf.DUMMYFUNCTION("""COMPUTED_VALUE"""),"200801099@rajalakshmi.edu.in")</f>
        <v>200801099@rajalakshmi.edu.in</v>
      </c>
    </row>
    <row r="2680" spans="1:19" ht="12.5" x14ac:dyDescent="0.25">
      <c r="A2680" s="2">
        <f ca="1">IFERROR(__xludf.DUMMYFUNCTION("""COMPUTED_VALUE"""),45066.5673054398)</f>
        <v>45066.567305439799</v>
      </c>
      <c r="B2680" s="1" t="str">
        <f ca="1">IFERROR(__xludf.DUMMYFUNCTION("""COMPUTED_VALUE"""),"India")</f>
        <v>India</v>
      </c>
      <c r="C2680" s="1">
        <f ca="1">IFERROR(__xludf.DUMMYFUNCTION("""COMPUTED_VALUE"""),600117)</f>
        <v>600117</v>
      </c>
      <c r="D2680" s="1" t="str">
        <f ca="1">IFERROR(__xludf.DUMMYFUNCTION("""COMPUTED_VALUE"""),"Male")</f>
        <v>Male</v>
      </c>
      <c r="E2680" s="1" t="str">
        <f ca="1">IFERROR(__xludf.DUMMYFUNCTION("""COMPUTED_VALUE"""),"My Parents")</f>
        <v>My Parents</v>
      </c>
      <c r="F2680" s="1" t="str">
        <f ca="1">IFERROR(__xludf.DUMMYFUNCTION("""COMPUTED_VALUE"""),"No I would not be pursuing Higher Education outside of India")</f>
        <v>No I would not be pursuing Higher Education outside of India</v>
      </c>
      <c r="G2680" s="1" t="str">
        <f ca="1">IFERROR(__xludf.DUMMYFUNCTION("""COMPUTED_VALUE"""),"This will be hard to do, but if it is the right company I would try")</f>
        <v>This will be hard to do, but if it is the right company I would try</v>
      </c>
      <c r="H2680" s="1" t="str">
        <f ca="1">IFERROR(__xludf.DUMMYFUNCTION("""COMPUTED_VALUE"""),"No")</f>
        <v>No</v>
      </c>
      <c r="I2680" s="1" t="str">
        <f ca="1">IFERROR(__xludf.DUMMYFUNCTION("""COMPUTED_VALUE"""),"Will NOT work for them")</f>
        <v>Will NOT work for them</v>
      </c>
      <c r="J2680" s="1">
        <f ca="1">IFERROR(__xludf.DUMMYFUNCTION("""COMPUTED_VALUE"""),1)</f>
        <v>1</v>
      </c>
      <c r="K2680" s="1" t="str">
        <f ca="1">IFERROR(__xludf.DUMMYFUNCTION("""COMPUTED_VALUE"""),"Every Day Office Environment")</f>
        <v>Every Day Office Environment</v>
      </c>
      <c r="L2680" s="1" t="str">
        <f ca="1">IFERROR(__xludf.DUMMYFUNCTION("""COMPUTED_VALUE"""),"Employer who appreciates learning and enables that environment")</f>
        <v>Employer who appreciates learning and enables that environment</v>
      </c>
      <c r="M2680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80" s="1" t="str">
        <f ca="1">IFERROR(__xludf.DUMMYFUNCTION("""COMPUTED_VALUE"""),"Build and develop a Team, Design and Develop amazing software, Look deeply into Data and generate insights, An Artificial Intelligence Specialist / Talking to Robots")</f>
        <v>Build and develop a Team, Design and Develop amazing software, Look deeply into Data and generate insights, An Artificial Intelligence Specialist / Talking to Robots</v>
      </c>
      <c r="O2680" s="1" t="str">
        <f ca="1">IFERROR(__xludf.DUMMYFUNCTION("""COMPUTED_VALUE"""),"Manager who clearly describes what she/he needs")</f>
        <v>Manager who clearly describes what she/he needs</v>
      </c>
      <c r="P2680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680" s="1" t="str">
        <f ca="1">IFERROR(__xludf.DUMMYFUNCTION("""COMPUTED_VALUE"""),"Yes, I Understand this is gonna happen everywhere")</f>
        <v>Yes, I Understand this is gonna happen everywhere</v>
      </c>
      <c r="R2680" s="1" t="str">
        <f ca="1">IFERROR(__xludf.DUMMYFUNCTION("""COMPUTED_VALUE"""),"This will be hard to do, but if it is the right company I would try")</f>
        <v>This will be hard to do, but if it is the right company I would try</v>
      </c>
      <c r="S2680" s="1" t="str">
        <f ca="1">IFERROR(__xludf.DUMMYFUNCTION("""COMPUTED_VALUE"""),"karthikseenu1623@gmail.com")</f>
        <v>karthikseenu1623@gmail.com</v>
      </c>
    </row>
    <row r="2681" spans="1:19" ht="12.5" x14ac:dyDescent="0.25">
      <c r="A2681" s="2">
        <f ca="1">IFERROR(__xludf.DUMMYFUNCTION("""COMPUTED_VALUE"""),45066.5677237847)</f>
        <v>45066.567723784698</v>
      </c>
      <c r="B2681" s="1" t="str">
        <f ca="1">IFERROR(__xludf.DUMMYFUNCTION("""COMPUTED_VALUE"""),"India")</f>
        <v>India</v>
      </c>
      <c r="C2681" s="1">
        <f ca="1">IFERROR(__xludf.DUMMYFUNCTION("""COMPUTED_VALUE"""),603211)</f>
        <v>603211</v>
      </c>
      <c r="D2681" s="1" t="str">
        <f ca="1">IFERROR(__xludf.DUMMYFUNCTION("""COMPUTED_VALUE"""),"Male")</f>
        <v>Male</v>
      </c>
      <c r="E2681" s="1" t="str">
        <f ca="1">IFERROR(__xludf.DUMMYFUNCTION("""COMPUTED_VALUE"""),"Influencers who had successful careers")</f>
        <v>Influencers who had successful careers</v>
      </c>
      <c r="F2681" s="1" t="str">
        <f ca="1">IFERROR(__xludf.DUMMYFUNCTION("""COMPUTED_VALUE"""),"Yes, I will earn and do that")</f>
        <v>Yes, I will earn and do that</v>
      </c>
      <c r="G2681" s="1" t="str">
        <f ca="1">IFERROR(__xludf.DUMMYFUNCTION("""COMPUTED_VALUE"""),"This will be hard to do, but if it is the right company I would try")</f>
        <v>This will be hard to do, but if it is the right company I would try</v>
      </c>
      <c r="H2681" s="1" t="str">
        <f ca="1">IFERROR(__xludf.DUMMYFUNCTION("""COMPUTED_VALUE"""),"No")</f>
        <v>No</v>
      </c>
      <c r="I2681" s="1" t="str">
        <f ca="1">IFERROR(__xludf.DUMMYFUNCTION("""COMPUTED_VALUE"""),"Will work for them")</f>
        <v>Will work for them</v>
      </c>
      <c r="J2681" s="1">
        <f ca="1">IFERROR(__xludf.DUMMYFUNCTION("""COMPUTED_VALUE"""),5)</f>
        <v>5</v>
      </c>
      <c r="K2681" s="1" t="str">
        <f ca="1">IFERROR(__xludf.DUMMYFUNCTION("""COMPUTED_VALUE"""),"Fully Remote with Options to travel as and when needed")</f>
        <v>Fully Remote with Options to travel as and when needed</v>
      </c>
      <c r="L2681" s="1" t="str">
        <f ca="1">IFERROR(__xludf.DUMMYFUNCTION("""COMPUTED_VALUE"""),"Employer who appreciates learning and enables that environment")</f>
        <v>Employer who appreciates learning and enables that environment</v>
      </c>
      <c r="M268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81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2681" s="1" t="str">
        <f ca="1">IFERROR(__xludf.DUMMYFUNCTION("""COMPUTED_VALUE"""),"Manager who explains what is expected, sets a goal and helps achieve it")</f>
        <v>Manager who explains what is expected, sets a goal and helps achieve it</v>
      </c>
      <c r="P2681" s="1" t="str">
        <f ca="1">IFERROR(__xludf.DUMMYFUNCTION("""COMPUTED_VALUE"""),"Work alone, Work with 5 to 6 people in my team")</f>
        <v>Work alone, Work with 5 to 6 people in my team</v>
      </c>
      <c r="Q2681" s="1" t="str">
        <f ca="1">IFERROR(__xludf.DUMMYFUNCTION("""COMPUTED_VALUE"""),"Yes, I Understand this is gonna happen everywhere")</f>
        <v>Yes, I Understand this is gonna happen everywhere</v>
      </c>
      <c r="R2681" s="1" t="str">
        <f ca="1">IFERROR(__xludf.DUMMYFUNCTION("""COMPUTED_VALUE"""),"No way")</f>
        <v>No way</v>
      </c>
      <c r="S2681" s="1" t="str">
        <f ca="1">IFERROR(__xludf.DUMMYFUNCTION("""COMPUTED_VALUE"""),"siddujay68@gmail.com")</f>
        <v>siddujay68@gmail.com</v>
      </c>
    </row>
    <row r="2682" spans="1:19" ht="12.5" x14ac:dyDescent="0.25">
      <c r="A2682" s="2">
        <f ca="1">IFERROR(__xludf.DUMMYFUNCTION("""COMPUTED_VALUE"""),45066.5693604398)</f>
        <v>45066.569360439797</v>
      </c>
      <c r="B2682" s="1" t="str">
        <f ca="1">IFERROR(__xludf.DUMMYFUNCTION("""COMPUTED_VALUE"""),"India")</f>
        <v>India</v>
      </c>
      <c r="C2682" s="1">
        <f ca="1">IFERROR(__xludf.DUMMYFUNCTION("""COMPUTED_VALUE"""),600127)</f>
        <v>600127</v>
      </c>
      <c r="D2682" s="1" t="str">
        <f ca="1">IFERROR(__xludf.DUMMYFUNCTION("""COMPUTED_VALUE"""),"Male")</f>
        <v>Male</v>
      </c>
      <c r="E2682" s="1" t="str">
        <f ca="1">IFERROR(__xludf.DUMMYFUNCTION("""COMPUTED_VALUE"""),"My Parents")</f>
        <v>My Parents</v>
      </c>
      <c r="F2682" s="1" t="str">
        <f ca="1">IFERROR(__xludf.DUMMYFUNCTION("""COMPUTED_VALUE"""),"Yes, I will earn and do that")</f>
        <v>Yes, I will earn and do that</v>
      </c>
      <c r="G2682" s="1" t="str">
        <f ca="1">IFERROR(__xludf.DUMMYFUNCTION("""COMPUTED_VALUE"""),"Will work for 3 years or more")</f>
        <v>Will work for 3 years or more</v>
      </c>
      <c r="H2682" s="1" t="str">
        <f ca="1">IFERROR(__xludf.DUMMYFUNCTION("""COMPUTED_VALUE"""),"Yes")</f>
        <v>Yes</v>
      </c>
      <c r="I2682" s="1" t="str">
        <f ca="1">IFERROR(__xludf.DUMMYFUNCTION("""COMPUTED_VALUE"""),"Will work for them")</f>
        <v>Will work for them</v>
      </c>
      <c r="J2682" s="1">
        <f ca="1">IFERROR(__xludf.DUMMYFUNCTION("""COMPUTED_VALUE"""),10)</f>
        <v>10</v>
      </c>
      <c r="K2682" s="1" t="str">
        <f ca="1">IFERROR(__xludf.DUMMYFUNCTION("""COMPUTED_VALUE"""),"Fully Remote with Options to travel as and when needed")</f>
        <v>Fully Remote with Options to travel as and when needed</v>
      </c>
      <c r="L2682" s="1" t="str">
        <f ca="1">IFERROR(__xludf.DUMMYFUNCTION("""COMPUTED_VALUE"""),"Employer who rewards learning and enables that environment")</f>
        <v>Employer who rewards learning and enables that environment</v>
      </c>
      <c r="M268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82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682" s="1" t="str">
        <f ca="1">IFERROR(__xludf.DUMMYFUNCTION("""COMPUTED_VALUE"""),"Manager who sets goal and helps me achieve it")</f>
        <v>Manager who sets goal and helps me achieve it</v>
      </c>
      <c r="P2682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682" s="1" t="str">
        <f ca="1">IFERROR(__xludf.DUMMYFUNCTION("""COMPUTED_VALUE"""),"Yes, I Understand this is gonna happen everywhere")</f>
        <v>Yes, I Understand this is gonna happen everywhere</v>
      </c>
      <c r="R2682" s="1" t="str">
        <f ca="1">IFERROR(__xludf.DUMMYFUNCTION("""COMPUTED_VALUE"""),"Will work for 7 years or more")</f>
        <v>Will work for 7 years or more</v>
      </c>
      <c r="S2682" s="1" t="str">
        <f ca="1">IFERROR(__xludf.DUMMYFUNCTION("""COMPUTED_VALUE"""),"jhavinash2002@gmail.com")</f>
        <v>jhavinash2002@gmail.com</v>
      </c>
    </row>
    <row r="2683" spans="1:19" ht="12.5" x14ac:dyDescent="0.25">
      <c r="A2683" s="2">
        <f ca="1">IFERROR(__xludf.DUMMYFUNCTION("""COMPUTED_VALUE"""),45066.5705834953)</f>
        <v>45066.570583495297</v>
      </c>
      <c r="B2683" s="1" t="str">
        <f ca="1">IFERROR(__xludf.DUMMYFUNCTION("""COMPUTED_VALUE"""),"India")</f>
        <v>India</v>
      </c>
      <c r="C2683" s="1">
        <f ca="1">IFERROR(__xludf.DUMMYFUNCTION("""COMPUTED_VALUE"""),631203)</f>
        <v>631203</v>
      </c>
      <c r="D2683" s="1" t="str">
        <f ca="1">IFERROR(__xludf.DUMMYFUNCTION("""COMPUTED_VALUE"""),"Male")</f>
        <v>Male</v>
      </c>
      <c r="E2683" s="1" t="str">
        <f ca="1">IFERROR(__xludf.DUMMYFUNCTION("""COMPUTED_VALUE"""),"Influencers who had successful careers")</f>
        <v>Influencers who had successful careers</v>
      </c>
      <c r="F2683" s="1" t="str">
        <f ca="1">IFERROR(__xludf.DUMMYFUNCTION("""COMPUTED_VALUE"""),"Yes, I will earn and do that")</f>
        <v>Yes, I will earn and do that</v>
      </c>
      <c r="G2683" s="1" t="str">
        <f ca="1">IFERROR(__xludf.DUMMYFUNCTION("""COMPUTED_VALUE"""),"Will work for 3 years or more")</f>
        <v>Will work for 3 years or more</v>
      </c>
      <c r="H2683" s="1" t="str">
        <f ca="1">IFERROR(__xludf.DUMMYFUNCTION("""COMPUTED_VALUE"""),"No")</f>
        <v>No</v>
      </c>
      <c r="I2683" s="1" t="str">
        <f ca="1">IFERROR(__xludf.DUMMYFUNCTION("""COMPUTED_VALUE"""),"Will NOT work for them")</f>
        <v>Will NOT work for them</v>
      </c>
      <c r="J2683" s="1">
        <f ca="1">IFERROR(__xludf.DUMMYFUNCTION("""COMPUTED_VALUE"""),5)</f>
        <v>5</v>
      </c>
      <c r="K2683" s="1" t="str">
        <f ca="1">IFERROR(__xludf.DUMMYFUNCTION("""COMPUTED_VALUE"""),"Every Day Office Environment")</f>
        <v>Every Day Office Environment</v>
      </c>
      <c r="L2683" s="1" t="str">
        <f ca="1">IFERROR(__xludf.DUMMYFUNCTION("""COMPUTED_VALUE"""),"Employer who appreciates learning and enables that environment")</f>
        <v>Employer who appreciates learning and enables that environment</v>
      </c>
      <c r="M268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683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683" s="1" t="str">
        <f ca="1">IFERROR(__xludf.DUMMYFUNCTION("""COMPUTED_VALUE"""),"Manager who clearly describes what she/he needs")</f>
        <v>Manager who clearly describes what she/he needs</v>
      </c>
      <c r="P2683" s="1" t="str">
        <f ca="1">IFERROR(__xludf.DUMMYFUNCTION("""COMPUTED_VALUE"""),"Work alone, Work with 2 to 3 people in my team")</f>
        <v>Work alone, Work with 2 to 3 people in my team</v>
      </c>
      <c r="Q2683" s="1" t="str">
        <f ca="1">IFERROR(__xludf.DUMMYFUNCTION("""COMPUTED_VALUE"""),"Yes, I Understand this is gonna happen everywhere")</f>
        <v>Yes, I Understand this is gonna happen everywhere</v>
      </c>
      <c r="R2683" s="1" t="str">
        <f ca="1">IFERROR(__xludf.DUMMYFUNCTION("""COMPUTED_VALUE"""),"This will be hard to do, but if it is the right company I would try")</f>
        <v>This will be hard to do, but if it is the right company I would try</v>
      </c>
      <c r="S2683" s="1" t="str">
        <f ca="1">IFERROR(__xludf.DUMMYFUNCTION("""COMPUTED_VALUE"""),"200801100@rajalakshmi.edu.in")</f>
        <v>200801100@rajalakshmi.edu.in</v>
      </c>
    </row>
    <row r="2684" spans="1:19" ht="12.5" x14ac:dyDescent="0.25">
      <c r="A2684" s="2">
        <f ca="1">IFERROR(__xludf.DUMMYFUNCTION("""COMPUTED_VALUE"""),45066.5782817824)</f>
        <v>45066.5782817824</v>
      </c>
      <c r="B2684" s="1" t="str">
        <f ca="1">IFERROR(__xludf.DUMMYFUNCTION("""COMPUTED_VALUE"""),"India")</f>
        <v>India</v>
      </c>
      <c r="C2684" s="1">
        <f ca="1">IFERROR(__xludf.DUMMYFUNCTION("""COMPUTED_VALUE"""),756001)</f>
        <v>756001</v>
      </c>
      <c r="D2684" s="1" t="str">
        <f ca="1">IFERROR(__xludf.DUMMYFUNCTION("""COMPUTED_VALUE"""),"Male")</f>
        <v>Male</v>
      </c>
      <c r="E2684" s="1" t="str">
        <f ca="1">IFERROR(__xludf.DUMMYFUNCTION("""COMPUTED_VALUE"""),"My Parents")</f>
        <v>My Parents</v>
      </c>
      <c r="F2684" s="1" t="str">
        <f ca="1">IFERROR(__xludf.DUMMYFUNCTION("""COMPUTED_VALUE"""),"No, But if someone could bare the cost I will")</f>
        <v>No, But if someone could bare the cost I will</v>
      </c>
      <c r="G2684" s="1" t="str">
        <f ca="1">IFERROR(__xludf.DUMMYFUNCTION("""COMPUTED_VALUE"""),"Will work for 3 years or more")</f>
        <v>Will work for 3 years or more</v>
      </c>
      <c r="H2684" s="1" t="str">
        <f ca="1">IFERROR(__xludf.DUMMYFUNCTION("""COMPUTED_VALUE"""),"No")</f>
        <v>No</v>
      </c>
      <c r="I2684" s="1" t="str">
        <f ca="1">IFERROR(__xludf.DUMMYFUNCTION("""COMPUTED_VALUE"""),"Will NOT work for them")</f>
        <v>Will NOT work for them</v>
      </c>
      <c r="J2684" s="1">
        <f ca="1">IFERROR(__xludf.DUMMYFUNCTION("""COMPUTED_VALUE"""),8)</f>
        <v>8</v>
      </c>
      <c r="K2684" s="1" t="str">
        <f ca="1">IFERROR(__xludf.DUMMYFUNCTION("""COMPUTED_VALUE"""),"Fully Remote with Options to travel as and when needed")</f>
        <v>Fully Remote with Options to travel as and when needed</v>
      </c>
      <c r="L2684" s="1" t="str">
        <f ca="1">IFERROR(__xludf.DUMMYFUNCTION("""COMPUTED_VALUE"""),"Employer who appreciates learning and enables that environment")</f>
        <v>Employer who appreciates learning and enables that environment</v>
      </c>
      <c r="M2684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684" s="1" t="str">
        <f ca="1">IFERROR(__xludf.DUMMYFUNCTION("""COMPUTED_VALUE"""),"Teaching in any of the institutes/colleges/online or offline, Work as a freelancer and do my thing my way, An Artificial Intelligence Specialist / Talking to Robots, Manufacturing / Oil and Gas/ Construction / Hard Physical Work related")</f>
        <v>Teaching in any of the institutes/colleges/online or offline, Work as a freelancer and do my thing my way, An Artificial Intelligence Specialist / Talking to Robots, Manufacturing / Oil and Gas/ Construction / Hard Physical Work related</v>
      </c>
      <c r="O2684" s="1" t="str">
        <f ca="1">IFERROR(__xludf.DUMMYFUNCTION("""COMPUTED_VALUE"""),"Manager who sets goal and helps me achieve it")</f>
        <v>Manager who sets goal and helps me achieve it</v>
      </c>
      <c r="P2684" s="1" t="str">
        <f ca="1">IFERROR(__xludf.DUMMYFUNCTION("""COMPUTED_VALUE"""),"Work with 2 to 3 people in my team")</f>
        <v>Work with 2 to 3 people in my team</v>
      </c>
      <c r="Q2684" s="1" t="str">
        <f ca="1">IFERROR(__xludf.DUMMYFUNCTION("""COMPUTED_VALUE"""),"Yes, I Understand this is gonna happen everywhere")</f>
        <v>Yes, I Understand this is gonna happen everywhere</v>
      </c>
      <c r="R2684" s="1" t="str">
        <f ca="1">IFERROR(__xludf.DUMMYFUNCTION("""COMPUTED_VALUE"""),"Will work for 7 years or more")</f>
        <v>Will work for 7 years or more</v>
      </c>
      <c r="S2684" s="1" t="str">
        <f ca="1">IFERROR(__xludf.DUMMYFUNCTION("""COMPUTED_VALUE"""),"sipubindhani12345@gmail.com")</f>
        <v>sipubindhani12345@gmail.com</v>
      </c>
    </row>
    <row r="2685" spans="1:19" ht="12.5" x14ac:dyDescent="0.25">
      <c r="A2685" s="2">
        <f ca="1">IFERROR(__xludf.DUMMYFUNCTION("""COMPUTED_VALUE"""),45066.5934314004)</f>
        <v>45066.593431400397</v>
      </c>
      <c r="B2685" s="1" t="str">
        <f ca="1">IFERROR(__xludf.DUMMYFUNCTION("""COMPUTED_VALUE"""),"India")</f>
        <v>India</v>
      </c>
      <c r="C2685" s="1">
        <f ca="1">IFERROR(__xludf.DUMMYFUNCTION("""COMPUTED_VALUE"""),756045)</f>
        <v>756045</v>
      </c>
      <c r="D2685" s="1" t="str">
        <f ca="1">IFERROR(__xludf.DUMMYFUNCTION("""COMPUTED_VALUE"""),"Male")</f>
        <v>Male</v>
      </c>
      <c r="E2685" s="1" t="str">
        <f ca="1">IFERROR(__xludf.DUMMYFUNCTION("""COMPUTED_VALUE"""),"People from my circle, but not family members")</f>
        <v>People from my circle, but not family members</v>
      </c>
      <c r="F2685" s="1" t="str">
        <f ca="1">IFERROR(__xludf.DUMMYFUNCTION("""COMPUTED_VALUE"""),"No, But if someone could bare the cost I will")</f>
        <v>No, But if someone could bare the cost I will</v>
      </c>
      <c r="G2685" s="1" t="str">
        <f ca="1">IFERROR(__xludf.DUMMYFUNCTION("""COMPUTED_VALUE"""),"This will be hard to do, but if it is the right company I would try")</f>
        <v>This will be hard to do, but if it is the right company I would try</v>
      </c>
      <c r="H2685" s="1" t="str">
        <f ca="1">IFERROR(__xludf.DUMMYFUNCTION("""COMPUTED_VALUE"""),"Yes")</f>
        <v>Yes</v>
      </c>
      <c r="I2685" s="1" t="str">
        <f ca="1">IFERROR(__xludf.DUMMYFUNCTION("""COMPUTED_VALUE"""),"Will NOT work for them")</f>
        <v>Will NOT work for them</v>
      </c>
      <c r="J2685" s="1">
        <f ca="1">IFERROR(__xludf.DUMMYFUNCTION("""COMPUTED_VALUE"""),5)</f>
        <v>5</v>
      </c>
      <c r="K2685" s="1" t="str">
        <f ca="1">IFERROR(__xludf.DUMMYFUNCTION("""COMPUTED_VALUE"""),"Hybrid Working Environment with less than 3 days a month at office")</f>
        <v>Hybrid Working Environment with less than 3 days a month at office</v>
      </c>
      <c r="L268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8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85" s="1" t="str">
        <f ca="1">IFERROR(__xludf.DUMMYFUNCTION("""COMPUTED_VALUE"""),"Teaching in any of the institutes/colleges/online or offline, Work as a freelancer and do my thing my way, Become a content Creator in some platform, Entrepreneur or Start Up")</f>
        <v>Teaching in any of the institutes/colleges/online or offline, Work as a freelancer and do my thing my way, Become a content Creator in some platform, Entrepreneur or Start Up</v>
      </c>
      <c r="O2685" s="1" t="str">
        <f ca="1">IFERROR(__xludf.DUMMYFUNCTION("""COMPUTED_VALUE"""),"Manager who explains what is expected, sets a goal and helps achieve it")</f>
        <v>Manager who explains what is expected, sets a goal and helps achieve it</v>
      </c>
      <c r="P2685" s="1" t="str">
        <f ca="1">IFERROR(__xludf.DUMMYFUNCTION("""COMPUTED_VALUE"""),"Work alone, Work with 7 to 10 or more people in my team, Work with more than 10 people in my team")</f>
        <v>Work alone, Work with 7 to 10 or more people in my team, Work with more than 10 people in my team</v>
      </c>
      <c r="Q2685" s="1" t="str">
        <f ca="1">IFERROR(__xludf.DUMMYFUNCTION("""COMPUTED_VALUE"""),"Yes, I Understand this is gonna happen everywhere")</f>
        <v>Yes, I Understand this is gonna happen everywhere</v>
      </c>
      <c r="R2685" s="1" t="str">
        <f ca="1">IFERROR(__xludf.DUMMYFUNCTION("""COMPUTED_VALUE"""),"This will be hard to do, but if it is the right company I would try")</f>
        <v>This will be hard to do, but if it is the right company I would try</v>
      </c>
      <c r="S2685" s="1" t="str">
        <f ca="1">IFERROR(__xludf.DUMMYFUNCTION("""COMPUTED_VALUE"""),"jjdashofficial@gmail.com")</f>
        <v>jjdashofficial@gmail.com</v>
      </c>
    </row>
    <row r="2686" spans="1:19" ht="12.5" x14ac:dyDescent="0.25">
      <c r="A2686" s="2">
        <f ca="1">IFERROR(__xludf.DUMMYFUNCTION("""COMPUTED_VALUE"""),45066.5999569444)</f>
        <v>45066.599956944403</v>
      </c>
      <c r="B2686" s="1" t="str">
        <f ca="1">IFERROR(__xludf.DUMMYFUNCTION("""COMPUTED_VALUE"""),"India")</f>
        <v>India</v>
      </c>
      <c r="C2686" s="1">
        <f ca="1">IFERROR(__xludf.DUMMYFUNCTION("""COMPUTED_VALUE"""),416510)</f>
        <v>416510</v>
      </c>
      <c r="D2686" s="1" t="str">
        <f ca="1">IFERROR(__xludf.DUMMYFUNCTION("""COMPUTED_VALUE"""),"Female")</f>
        <v>Female</v>
      </c>
      <c r="E2686" s="1" t="str">
        <f ca="1">IFERROR(__xludf.DUMMYFUNCTION("""COMPUTED_VALUE"""),"My Parents")</f>
        <v>My Parents</v>
      </c>
      <c r="F2686" s="1" t="str">
        <f ca="1">IFERROR(__xludf.DUMMYFUNCTION("""COMPUTED_VALUE"""),"No I would not be pursuing Higher Education outside of India")</f>
        <v>No I would not be pursuing Higher Education outside of India</v>
      </c>
      <c r="G2686" s="1" t="str">
        <f ca="1">IFERROR(__xludf.DUMMYFUNCTION("""COMPUTED_VALUE"""),"This will be hard to do, but if it is the right company I would try")</f>
        <v>This will be hard to do, but if it is the right company I would try</v>
      </c>
      <c r="H2686" s="1" t="str">
        <f ca="1">IFERROR(__xludf.DUMMYFUNCTION("""COMPUTED_VALUE"""),"No")</f>
        <v>No</v>
      </c>
      <c r="I2686" s="1" t="str">
        <f ca="1">IFERROR(__xludf.DUMMYFUNCTION("""COMPUTED_VALUE"""),"Will NOT work for them")</f>
        <v>Will NOT work for them</v>
      </c>
      <c r="J2686" s="1">
        <f ca="1">IFERROR(__xludf.DUMMYFUNCTION("""COMPUTED_VALUE"""),5)</f>
        <v>5</v>
      </c>
      <c r="K2686" s="1" t="str">
        <f ca="1">IFERROR(__xludf.DUMMYFUNCTION("""COMPUTED_VALUE"""),"Fully Remote with No option to visit offices")</f>
        <v>Fully Remote with No option to visit offices</v>
      </c>
      <c r="L2686" s="1" t="str">
        <f ca="1">IFERROR(__xludf.DUMMYFUNCTION("""COMPUTED_VALUE"""),"Employer who appreciates learning and enables that environment")</f>
        <v>Employer who appreciates learning and enables that environment</v>
      </c>
      <c r="M2686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686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2686" s="1" t="str">
        <f ca="1">IFERROR(__xludf.DUMMYFUNCTION("""COMPUTED_VALUE"""),"Manager who explains what is expected, sets a goal and helps achieve it")</f>
        <v>Manager who explains what is expected, sets a goal and helps achieve it</v>
      </c>
      <c r="P2686" s="1" t="str">
        <f ca="1">IFERROR(__xludf.DUMMYFUNCTION("""COMPUTED_VALUE"""),"Work with 5 to 6 people in my team")</f>
        <v>Work with 5 to 6 people in my team</v>
      </c>
      <c r="Q2686" s="1" t="str">
        <f ca="1">IFERROR(__xludf.DUMMYFUNCTION("""COMPUTED_VALUE"""),"I have NO other choice")</f>
        <v>I have NO other choice</v>
      </c>
      <c r="R2686" s="1" t="str">
        <f ca="1">IFERROR(__xludf.DUMMYFUNCTION("""COMPUTED_VALUE"""),"This will be hard to do, but if it is the right company I would try")</f>
        <v>This will be hard to do, but if it is the right company I would try</v>
      </c>
      <c r="S2686" s="1" t="str">
        <f ca="1">IFERROR(__xludf.DUMMYFUNCTION("""COMPUTED_VALUE"""),"fernandesceline2272@gmail.com")</f>
        <v>fernandesceline2272@gmail.com</v>
      </c>
    </row>
    <row r="2687" spans="1:19" ht="12.5" x14ac:dyDescent="0.25">
      <c r="A2687" s="2">
        <f ca="1">IFERROR(__xludf.DUMMYFUNCTION("""COMPUTED_VALUE"""),45066.6420417592)</f>
        <v>45066.642041759202</v>
      </c>
      <c r="B2687" s="1" t="str">
        <f ca="1">IFERROR(__xludf.DUMMYFUNCTION("""COMPUTED_VALUE"""),"India")</f>
        <v>India</v>
      </c>
      <c r="C2687" s="1">
        <f ca="1">IFERROR(__xludf.DUMMYFUNCTION("""COMPUTED_VALUE"""),400701)</f>
        <v>400701</v>
      </c>
      <c r="D2687" s="1" t="str">
        <f ca="1">IFERROR(__xludf.DUMMYFUNCTION("""COMPUTED_VALUE"""),"Male")</f>
        <v>Male</v>
      </c>
      <c r="E2687" s="1" t="str">
        <f ca="1">IFERROR(__xludf.DUMMYFUNCTION("""COMPUTED_VALUE"""),"People who have changed the world for better")</f>
        <v>People who have changed the world for better</v>
      </c>
      <c r="F2687" s="1" t="str">
        <f ca="1">IFERROR(__xludf.DUMMYFUNCTION("""COMPUTED_VALUE"""),"Yes, I will earn and do that")</f>
        <v>Yes, I will earn and do that</v>
      </c>
      <c r="G2687" s="1" t="str">
        <f ca="1">IFERROR(__xludf.DUMMYFUNCTION("""COMPUTED_VALUE"""),"This will be hard to do, but if it is the right company I would try")</f>
        <v>This will be hard to do, but if it is the right company I would try</v>
      </c>
      <c r="H2687" s="1" t="str">
        <f ca="1">IFERROR(__xludf.DUMMYFUNCTION("""COMPUTED_VALUE"""),"No")</f>
        <v>No</v>
      </c>
      <c r="I2687" s="1" t="str">
        <f ca="1">IFERROR(__xludf.DUMMYFUNCTION("""COMPUTED_VALUE"""),"Will NOT work for them")</f>
        <v>Will NOT work for them</v>
      </c>
      <c r="J2687" s="1">
        <f ca="1">IFERROR(__xludf.DUMMYFUNCTION("""COMPUTED_VALUE"""),5)</f>
        <v>5</v>
      </c>
      <c r="K2687" s="1" t="str">
        <f ca="1">IFERROR(__xludf.DUMMYFUNCTION("""COMPUTED_VALUE"""),"Hybrid Working Environment with more than 15 days a month at office")</f>
        <v>Hybrid Working Environment with more than 15 days a month at office</v>
      </c>
      <c r="L26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8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87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687" s="1" t="str">
        <f ca="1">IFERROR(__xludf.DUMMYFUNCTION("""COMPUTED_VALUE"""),"Manager who explains what is expected, sets a goal and helps achieve it")</f>
        <v>Manager who explains what is expected, sets a goal and helps achieve it</v>
      </c>
      <c r="P2687" s="1" t="str">
        <f ca="1">IFERROR(__xludf.DUMMYFUNCTION("""COMPUTED_VALUE"""),"Work with 5 to 6 people in my team")</f>
        <v>Work with 5 to 6 people in my team</v>
      </c>
      <c r="Q2687" s="1" t="str">
        <f ca="1">IFERROR(__xludf.DUMMYFUNCTION("""COMPUTED_VALUE"""),"Yes, I Understand this is gonna happen everywhere")</f>
        <v>Yes, I Understand this is gonna happen everywhere</v>
      </c>
      <c r="R2687" s="1" t="str">
        <f ca="1">IFERROR(__xludf.DUMMYFUNCTION("""COMPUTED_VALUE"""),"This will be hard to do, but if it is the right company I would try")</f>
        <v>This will be hard to do, but if it is the right company I would try</v>
      </c>
      <c r="S2687" s="1" t="str">
        <f ca="1">IFERROR(__xludf.DUMMYFUNCTION("""COMPUTED_VALUE"""),"meetth77@gmail.com")</f>
        <v>meetth77@gmail.com</v>
      </c>
    </row>
    <row r="2688" spans="1:19" ht="12.5" x14ac:dyDescent="0.25">
      <c r="A2688" s="2">
        <f ca="1">IFERROR(__xludf.DUMMYFUNCTION("""COMPUTED_VALUE"""),45066.6440714351)</f>
        <v>45066.644071435097</v>
      </c>
      <c r="B2688" s="1" t="str">
        <f ca="1">IFERROR(__xludf.DUMMYFUNCTION("""COMPUTED_VALUE"""),"India")</f>
        <v>India</v>
      </c>
      <c r="C2688" s="1">
        <f ca="1">IFERROR(__xludf.DUMMYFUNCTION("""COMPUTED_VALUE"""),522509)</f>
        <v>522509</v>
      </c>
      <c r="D2688" s="1" t="str">
        <f ca="1">IFERROR(__xludf.DUMMYFUNCTION("""COMPUTED_VALUE"""),"Female")</f>
        <v>Female</v>
      </c>
      <c r="E2688" s="1" t="str">
        <f ca="1">IFERROR(__xludf.DUMMYFUNCTION("""COMPUTED_VALUE"""),"People who have changed the world for better")</f>
        <v>People who have changed the world for better</v>
      </c>
      <c r="F2688" s="1" t="str">
        <f ca="1">IFERROR(__xludf.DUMMYFUNCTION("""COMPUTED_VALUE"""),"No I would not be pursuing Higher Education outside of India")</f>
        <v>No I would not be pursuing Higher Education outside of India</v>
      </c>
      <c r="G2688" s="1" t="str">
        <f ca="1">IFERROR(__xludf.DUMMYFUNCTION("""COMPUTED_VALUE"""),"This will be hard to do, but if it is the right company I would try")</f>
        <v>This will be hard to do, but if it is the right company I would try</v>
      </c>
      <c r="H2688" s="1" t="str">
        <f ca="1">IFERROR(__xludf.DUMMYFUNCTION("""COMPUTED_VALUE"""),"Yes")</f>
        <v>Yes</v>
      </c>
      <c r="I2688" s="1" t="str">
        <f ca="1">IFERROR(__xludf.DUMMYFUNCTION("""COMPUTED_VALUE"""),"Will work for them")</f>
        <v>Will work for them</v>
      </c>
      <c r="J2688" s="1">
        <f ca="1">IFERROR(__xludf.DUMMYFUNCTION("""COMPUTED_VALUE"""),4)</f>
        <v>4</v>
      </c>
      <c r="K2688" s="1" t="str">
        <f ca="1">IFERROR(__xludf.DUMMYFUNCTION("""COMPUTED_VALUE"""),"Fully Remote with Options to travel as and when needed")</f>
        <v>Fully Remote with Options to travel as and when needed</v>
      </c>
      <c r="L2688" s="1" t="str">
        <f ca="1">IFERROR(__xludf.DUMMYFUNCTION("""COMPUTED_VALUE"""),"Employer who appreciates learning and enables that environment")</f>
        <v>Employer who appreciates learning and enables that environment</v>
      </c>
      <c r="M268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688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688" s="1" t="str">
        <f ca="1">IFERROR(__xludf.DUMMYFUNCTION("""COMPUTED_VALUE"""),"Manager who explains what is expected, sets a goal and helps achieve it")</f>
        <v>Manager who explains what is expected, sets a goal and helps achieve it</v>
      </c>
      <c r="P2688" s="1" t="str">
        <f ca="1">IFERROR(__xludf.DUMMYFUNCTION("""COMPUTED_VALUE"""),"Work with 2 to 3 people in my team")</f>
        <v>Work with 2 to 3 people in my team</v>
      </c>
      <c r="Q2688" s="1" t="str">
        <f ca="1">IFERROR(__xludf.DUMMYFUNCTION("""COMPUTED_VALUE"""),"No")</f>
        <v>No</v>
      </c>
      <c r="R2688" s="1" t="str">
        <f ca="1">IFERROR(__xludf.DUMMYFUNCTION("""COMPUTED_VALUE"""),"This will be hard to do, but if it is the right company I would try")</f>
        <v>This will be hard to do, but if it is the right company I would try</v>
      </c>
      <c r="S2688" s="1" t="str">
        <f ca="1">IFERROR(__xludf.DUMMYFUNCTION("""COMPUTED_VALUE"""),"ullangulavijaya813@gmail.com")</f>
        <v>ullangulavijaya813@gmail.com</v>
      </c>
    </row>
    <row r="2689" spans="1:19" ht="12.5" x14ac:dyDescent="0.25">
      <c r="A2689" s="2">
        <f ca="1">IFERROR(__xludf.DUMMYFUNCTION("""COMPUTED_VALUE"""),45066.645708993)</f>
        <v>45066.645708992997</v>
      </c>
      <c r="B2689" s="1" t="str">
        <f ca="1">IFERROR(__xludf.DUMMYFUNCTION("""COMPUTED_VALUE"""),"India")</f>
        <v>India</v>
      </c>
      <c r="C2689" s="1">
        <f ca="1">IFERROR(__xludf.DUMMYFUNCTION("""COMPUTED_VALUE"""),522613)</f>
        <v>522613</v>
      </c>
      <c r="D2689" s="1" t="str">
        <f ca="1">IFERROR(__xludf.DUMMYFUNCTION("""COMPUTED_VALUE"""),"Male")</f>
        <v>Male</v>
      </c>
      <c r="E2689" s="1" t="str">
        <f ca="1">IFERROR(__xludf.DUMMYFUNCTION("""COMPUTED_VALUE"""),"People who have changed the world for better")</f>
        <v>People who have changed the world for better</v>
      </c>
      <c r="F2689" s="1" t="str">
        <f ca="1">IFERROR(__xludf.DUMMYFUNCTION("""COMPUTED_VALUE"""),"No, But if someone could bare the cost I will")</f>
        <v>No, But if someone could bare the cost I will</v>
      </c>
      <c r="G2689" s="1" t="str">
        <f ca="1">IFERROR(__xludf.DUMMYFUNCTION("""COMPUTED_VALUE"""),"This will be hard to do, but if it is the right company I would try")</f>
        <v>This will be hard to do, but if it is the right company I would try</v>
      </c>
      <c r="H2689" s="1" t="str">
        <f ca="1">IFERROR(__xludf.DUMMYFUNCTION("""COMPUTED_VALUE"""),"No")</f>
        <v>No</v>
      </c>
      <c r="I2689" s="1" t="str">
        <f ca="1">IFERROR(__xludf.DUMMYFUNCTION("""COMPUTED_VALUE"""),"Will NOT work for them")</f>
        <v>Will NOT work for them</v>
      </c>
      <c r="J2689" s="1">
        <f ca="1">IFERROR(__xludf.DUMMYFUNCTION("""COMPUTED_VALUE"""),10)</f>
        <v>10</v>
      </c>
      <c r="K2689" s="1" t="str">
        <f ca="1">IFERROR(__xludf.DUMMYFUNCTION("""COMPUTED_VALUE"""),"Fully Remote with No option to visit offices")</f>
        <v>Fully Remote with No option to visit offices</v>
      </c>
      <c r="L26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89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689" s="1" t="str">
        <f ca="1">IFERROR(__xludf.DUMMYFUNCTION("""COMPUTED_VALUE"""),"Business Operations in any organization, Manage and drive End-to-End Projects or Products, Build and develop a Team, Look deeply into Data and generate insights")</f>
        <v>Business Operations in any organization, Manage and drive End-to-End Projects or Products, Build and develop a Team, Look deeply into Data and generate insights</v>
      </c>
      <c r="O2689" s="1" t="str">
        <f ca="1">IFERROR(__xludf.DUMMYFUNCTION("""COMPUTED_VALUE"""),"Manager who explains what is expected, sets a goal and helps achieve it")</f>
        <v>Manager who explains what is expected, sets a goal and helps achieve it</v>
      </c>
      <c r="P2689" s="1" t="str">
        <f ca="1">IFERROR(__xludf.DUMMYFUNCTION("""COMPUTED_VALUE"""),"Work with 5 to 6 people in my team")</f>
        <v>Work with 5 to 6 people in my team</v>
      </c>
      <c r="Q2689" s="1" t="str">
        <f ca="1">IFERROR(__xludf.DUMMYFUNCTION("""COMPUTED_VALUE"""),"Yes, I Understand this is gonna happen everywhere")</f>
        <v>Yes, I Understand this is gonna happen everywhere</v>
      </c>
      <c r="R2689" s="1" t="str">
        <f ca="1">IFERROR(__xludf.DUMMYFUNCTION("""COMPUTED_VALUE"""),"This will be hard to do, but if it is the right company I would try")</f>
        <v>This will be hard to do, but if it is the right company I would try</v>
      </c>
      <c r="S2689" s="1" t="str">
        <f ca="1">IFERROR(__xludf.DUMMYFUNCTION("""COMPUTED_VALUE"""),"lakshman.lella@gmail.com")</f>
        <v>lakshman.lella@gmail.com</v>
      </c>
    </row>
    <row r="2690" spans="1:19" ht="12.5" x14ac:dyDescent="0.25">
      <c r="A2690" s="2">
        <f ca="1">IFERROR(__xludf.DUMMYFUNCTION("""COMPUTED_VALUE"""),45066.6459228009)</f>
        <v>45066.645922800897</v>
      </c>
      <c r="B2690" s="1" t="str">
        <f ca="1">IFERROR(__xludf.DUMMYFUNCTION("""COMPUTED_VALUE"""),"India")</f>
        <v>India</v>
      </c>
      <c r="C2690" s="1">
        <f ca="1">IFERROR(__xludf.DUMMYFUNCTION("""COMPUTED_VALUE"""),500072)</f>
        <v>500072</v>
      </c>
      <c r="D2690" s="1" t="str">
        <f ca="1">IFERROR(__xludf.DUMMYFUNCTION("""COMPUTED_VALUE"""),"Female")</f>
        <v>Female</v>
      </c>
      <c r="E2690" s="1" t="str">
        <f ca="1">IFERROR(__xludf.DUMMYFUNCTION("""COMPUTED_VALUE"""),"Influencers who had successful careers")</f>
        <v>Influencers who had successful careers</v>
      </c>
      <c r="F2690" s="1" t="str">
        <f ca="1">IFERROR(__xludf.DUMMYFUNCTION("""COMPUTED_VALUE"""),"Yes, I will earn and do that")</f>
        <v>Yes, I will earn and do that</v>
      </c>
      <c r="G2690" s="1" t="str">
        <f ca="1">IFERROR(__xludf.DUMMYFUNCTION("""COMPUTED_VALUE"""),"Will work for 3 years or more")</f>
        <v>Will work for 3 years or more</v>
      </c>
      <c r="H2690" s="1" t="str">
        <f ca="1">IFERROR(__xludf.DUMMYFUNCTION("""COMPUTED_VALUE"""),"Yes")</f>
        <v>Yes</v>
      </c>
      <c r="I2690" s="1" t="str">
        <f ca="1">IFERROR(__xludf.DUMMYFUNCTION("""COMPUTED_VALUE"""),"Will work for them")</f>
        <v>Will work for them</v>
      </c>
      <c r="J2690" s="1">
        <f ca="1">IFERROR(__xludf.DUMMYFUNCTION("""COMPUTED_VALUE"""),10)</f>
        <v>10</v>
      </c>
      <c r="K2690" s="1" t="str">
        <f ca="1">IFERROR(__xludf.DUMMYFUNCTION("""COMPUTED_VALUE"""),"Hybrid Working Environment with less than 3 days a month at office")</f>
        <v>Hybrid Working Environment with less than 3 days a month at office</v>
      </c>
      <c r="L2690" s="1" t="str">
        <f ca="1">IFERROR(__xludf.DUMMYFUNCTION("""COMPUTED_VALUE"""),"Employer who appreciates learning and enables that environment")</f>
        <v>Employer who appreciates learning and enables that environment</v>
      </c>
      <c r="M2690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690" s="1" t="str">
        <f ca="1">IFERROR(__xludf.DUMMYFUNCTION("""COMPUTED_VALUE"""),"Build and develop a Team, Look deeply into Data and generate insights, Work as a freelancer and do my thing my way, Entrepreneur or Start Up")</f>
        <v>Build and develop a Team, Look deeply into Data and generate insights, Work as a freelancer and do my thing my way, Entrepreneur or Start Up</v>
      </c>
      <c r="O2690" s="1" t="str">
        <f ca="1">IFERROR(__xludf.DUMMYFUNCTION("""COMPUTED_VALUE"""),"Manager who sets targets and expects me to achieve it")</f>
        <v>Manager who sets targets and expects me to achieve it</v>
      </c>
      <c r="P2690" s="1" t="str">
        <f ca="1">IFERROR(__xludf.DUMMYFUNCTION("""COMPUTED_VALUE"""),"Work with 5 to 6 people in my team")</f>
        <v>Work with 5 to 6 people in my team</v>
      </c>
      <c r="Q2690" s="1" t="str">
        <f ca="1">IFERROR(__xludf.DUMMYFUNCTION("""COMPUTED_VALUE"""),"Yes")</f>
        <v>Yes</v>
      </c>
      <c r="R2690" s="1" t="str">
        <f ca="1">IFERROR(__xludf.DUMMYFUNCTION("""COMPUTED_VALUE"""),"Will work for 7 years or more")</f>
        <v>Will work for 7 years or more</v>
      </c>
      <c r="S2690" s="1" t="str">
        <f ca="1">IFERROR(__xludf.DUMMYFUNCTION("""COMPUTED_VALUE"""),"prathimareddy.peddireddy44@gmail.com")</f>
        <v>prathimareddy.peddireddy44@gmail.com</v>
      </c>
    </row>
    <row r="2691" spans="1:19" ht="12.5" x14ac:dyDescent="0.25">
      <c r="A2691" s="2">
        <f ca="1">IFERROR(__xludf.DUMMYFUNCTION("""COMPUTED_VALUE"""),45066.6463549768)</f>
        <v>45066.646354976801</v>
      </c>
      <c r="B2691" s="1" t="str">
        <f ca="1">IFERROR(__xludf.DUMMYFUNCTION("""COMPUTED_VALUE"""),"India")</f>
        <v>India</v>
      </c>
      <c r="C2691" s="1">
        <f ca="1">IFERROR(__xludf.DUMMYFUNCTION("""COMPUTED_VALUE"""),572136)</f>
        <v>572136</v>
      </c>
      <c r="D2691" s="1" t="str">
        <f ca="1">IFERROR(__xludf.DUMMYFUNCTION("""COMPUTED_VALUE"""),"Male")</f>
        <v>Male</v>
      </c>
      <c r="E2691" s="1" t="str">
        <f ca="1">IFERROR(__xludf.DUMMYFUNCTION("""COMPUTED_VALUE"""),"My Parents")</f>
        <v>My Parents</v>
      </c>
      <c r="F2691" s="1" t="str">
        <f ca="1">IFERROR(__xludf.DUMMYFUNCTION("""COMPUTED_VALUE"""),"No, But if someone could bare the cost I will")</f>
        <v>No, But if someone could bare the cost I will</v>
      </c>
      <c r="G2691" s="1" t="str">
        <f ca="1">IFERROR(__xludf.DUMMYFUNCTION("""COMPUTED_VALUE"""),"No way")</f>
        <v>No way</v>
      </c>
      <c r="H2691" s="1" t="str">
        <f ca="1">IFERROR(__xludf.DUMMYFUNCTION("""COMPUTED_VALUE"""),"No")</f>
        <v>No</v>
      </c>
      <c r="I2691" s="1" t="str">
        <f ca="1">IFERROR(__xludf.DUMMYFUNCTION("""COMPUTED_VALUE"""),"Will NOT work for them")</f>
        <v>Will NOT work for them</v>
      </c>
      <c r="J2691" s="1">
        <f ca="1">IFERROR(__xludf.DUMMYFUNCTION("""COMPUTED_VALUE"""),1)</f>
        <v>1</v>
      </c>
      <c r="K2691" s="1" t="str">
        <f ca="1">IFERROR(__xludf.DUMMYFUNCTION("""COMPUTED_VALUE"""),"Fully Remote with Options to travel as and when needed")</f>
        <v>Fully Remote with Options to travel as and when needed</v>
      </c>
      <c r="L26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9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91" s="1" t="str">
        <f ca="1">IFERROR(__xludf.DUMMYFUNCTION("""COMPUTED_VALUE"""),"Build and develop a Team, Look deeply into Data and generate insights, Entrepreneur or Start Up, An Artificial Intelligence Specialist / Talking to Robots")</f>
        <v>Build and develop a Team, Look deeply into Data and generate insights, Entrepreneur or Start Up, An Artificial Intelligence Specialist / Talking to Robots</v>
      </c>
      <c r="O2691" s="1" t="str">
        <f ca="1">IFERROR(__xludf.DUMMYFUNCTION("""COMPUTED_VALUE"""),"Manager who explains what is expected, sets a goal and helps achieve it")</f>
        <v>Manager who explains what is expected, sets a goal and helps achieve it</v>
      </c>
      <c r="P2691" s="1" t="str">
        <f ca="1">IFERROR(__xludf.DUMMYFUNCTION("""COMPUTED_VALUE"""),"Work with 7 to 10 or more people in my team")</f>
        <v>Work with 7 to 10 or more people in my team</v>
      </c>
      <c r="Q2691" s="1" t="str">
        <f ca="1">IFERROR(__xludf.DUMMYFUNCTION("""COMPUTED_VALUE"""),"Yes")</f>
        <v>Yes</v>
      </c>
      <c r="R2691" s="1" t="str">
        <f ca="1">IFERROR(__xludf.DUMMYFUNCTION("""COMPUTED_VALUE"""),"No way")</f>
        <v>No way</v>
      </c>
      <c r="S2691" s="1" t="str">
        <f ca="1">IFERROR(__xludf.DUMMYFUNCTION("""COMPUTED_VALUE"""),"vinaychowdarykatta@gmail.com")</f>
        <v>vinaychowdarykatta@gmail.com</v>
      </c>
    </row>
    <row r="2692" spans="1:19" ht="12.5" x14ac:dyDescent="0.25">
      <c r="A2692" s="2">
        <f ca="1">IFERROR(__xludf.DUMMYFUNCTION("""COMPUTED_VALUE"""),45066.6468064699)</f>
        <v>45066.6468064699</v>
      </c>
      <c r="B2692" s="1" t="str">
        <f ca="1">IFERROR(__xludf.DUMMYFUNCTION("""COMPUTED_VALUE"""),"India")</f>
        <v>India</v>
      </c>
      <c r="C2692" s="1">
        <f ca="1">IFERROR(__xludf.DUMMYFUNCTION("""COMPUTED_VALUE"""),421201)</f>
        <v>421201</v>
      </c>
      <c r="D2692" s="1" t="str">
        <f ca="1">IFERROR(__xludf.DUMMYFUNCTION("""COMPUTED_VALUE"""),"Male")</f>
        <v>Male</v>
      </c>
      <c r="E2692" s="1" t="str">
        <f ca="1">IFERROR(__xludf.DUMMYFUNCTION("""COMPUTED_VALUE"""),"People who have changed the world for better")</f>
        <v>People who have changed the world for better</v>
      </c>
      <c r="F2692" s="1" t="str">
        <f ca="1">IFERROR(__xludf.DUMMYFUNCTION("""COMPUTED_VALUE"""),"No, But if someone could bare the cost I will")</f>
        <v>No, But if someone could bare the cost I will</v>
      </c>
      <c r="G2692" s="1" t="str">
        <f ca="1">IFERROR(__xludf.DUMMYFUNCTION("""COMPUTED_VALUE"""),"This will be hard to do, but if it is the right company I would try")</f>
        <v>This will be hard to do, but if it is the right company I would try</v>
      </c>
      <c r="H2692" s="1" t="str">
        <f ca="1">IFERROR(__xludf.DUMMYFUNCTION("""COMPUTED_VALUE"""),"No")</f>
        <v>No</v>
      </c>
      <c r="I2692" s="1" t="str">
        <f ca="1">IFERROR(__xludf.DUMMYFUNCTION("""COMPUTED_VALUE"""),"Will NOT work for them")</f>
        <v>Will NOT work for them</v>
      </c>
      <c r="J2692" s="1">
        <f ca="1">IFERROR(__xludf.DUMMYFUNCTION("""COMPUTED_VALUE"""),7)</f>
        <v>7</v>
      </c>
      <c r="K2692" s="1" t="str">
        <f ca="1">IFERROR(__xludf.DUMMYFUNCTION("""COMPUTED_VALUE"""),"Fully Remote with Options to travel as and when needed")</f>
        <v>Fully Remote with Options to travel as and when needed</v>
      </c>
      <c r="L26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9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692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692" s="1" t="str">
        <f ca="1">IFERROR(__xludf.DUMMYFUNCTION("""COMPUTED_VALUE"""),"Manager who explains what is expected, sets a goal and helps achieve it")</f>
        <v>Manager who explains what is expected, sets a goal and helps achieve it</v>
      </c>
      <c r="P2692" s="1" t="str">
        <f ca="1">IFERROR(__xludf.DUMMYFUNCTION("""COMPUTED_VALUE"""),"Work with 7 to 10 or more people in my team")</f>
        <v>Work with 7 to 10 or more people in my team</v>
      </c>
      <c r="Q2692" s="1" t="str">
        <f ca="1">IFERROR(__xludf.DUMMYFUNCTION("""COMPUTED_VALUE"""),"Yes")</f>
        <v>Yes</v>
      </c>
      <c r="R2692" s="1" t="str">
        <f ca="1">IFERROR(__xludf.DUMMYFUNCTION("""COMPUTED_VALUE"""),"This will be hard to do, but if it is the right company I would try")</f>
        <v>This will be hard to do, but if it is the right company I would try</v>
      </c>
      <c r="S2692" s="1" t="str">
        <f ca="1">IFERROR(__xludf.DUMMYFUNCTION("""COMPUTED_VALUE"""),"sdhuri1234@gmail.com")</f>
        <v>sdhuri1234@gmail.com</v>
      </c>
    </row>
    <row r="2693" spans="1:19" ht="12.5" x14ac:dyDescent="0.25">
      <c r="A2693" s="2">
        <f ca="1">IFERROR(__xludf.DUMMYFUNCTION("""COMPUTED_VALUE"""),45066.6559765856)</f>
        <v>45066.6559765856</v>
      </c>
      <c r="B2693" s="1" t="str">
        <f ca="1">IFERROR(__xludf.DUMMYFUNCTION("""COMPUTED_VALUE"""),"India")</f>
        <v>India</v>
      </c>
      <c r="C2693" s="1">
        <f ca="1">IFERROR(__xludf.DUMMYFUNCTION("""COMPUTED_VALUE"""),421306)</f>
        <v>421306</v>
      </c>
      <c r="D2693" s="1" t="str">
        <f ca="1">IFERROR(__xludf.DUMMYFUNCTION("""COMPUTED_VALUE"""),"Male")</f>
        <v>Male</v>
      </c>
      <c r="E2693" s="1" t="str">
        <f ca="1">IFERROR(__xludf.DUMMYFUNCTION("""COMPUTED_VALUE"""),"People who have changed the world for better")</f>
        <v>People who have changed the world for better</v>
      </c>
      <c r="F2693" s="1" t="str">
        <f ca="1">IFERROR(__xludf.DUMMYFUNCTION("""COMPUTED_VALUE"""),"No I would not be pursuing Higher Education outside of India")</f>
        <v>No I would not be pursuing Higher Education outside of India</v>
      </c>
      <c r="G2693" s="1" t="str">
        <f ca="1">IFERROR(__xludf.DUMMYFUNCTION("""COMPUTED_VALUE"""),"This will be hard to do, but if it is the right company I would try")</f>
        <v>This will be hard to do, but if it is the right company I would try</v>
      </c>
      <c r="H2693" s="1" t="str">
        <f ca="1">IFERROR(__xludf.DUMMYFUNCTION("""COMPUTED_VALUE"""),"No")</f>
        <v>No</v>
      </c>
      <c r="I2693" s="1" t="str">
        <f ca="1">IFERROR(__xludf.DUMMYFUNCTION("""COMPUTED_VALUE"""),"Will NOT work for them")</f>
        <v>Will NOT work for them</v>
      </c>
      <c r="J2693" s="1">
        <f ca="1">IFERROR(__xludf.DUMMYFUNCTION("""COMPUTED_VALUE"""),10)</f>
        <v>10</v>
      </c>
      <c r="K2693" s="1" t="str">
        <f ca="1">IFERROR(__xludf.DUMMYFUNCTION("""COMPUTED_VALUE"""),"Every Day Office Environment")</f>
        <v>Every Day Office Environment</v>
      </c>
      <c r="L26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93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693" s="1" t="str">
        <f ca="1">IFERROR(__xludf.DUMMYFUNCTION("""COMPUTED_VALUE"""),"Business Operations in any organization, Look deeply into Data and generate insights, Entrepreneur or Start Up, Manufacturing / Oil and Gas/ Construction / Hard Physical Work related")</f>
        <v>Business Operations in any organization, Look deeply into Data and generate insights, Entrepreneur or Start Up, Manufacturing / Oil and Gas/ Construction / Hard Physical Work related</v>
      </c>
      <c r="O2693" s="1" t="str">
        <f ca="1">IFERROR(__xludf.DUMMYFUNCTION("""COMPUTED_VALUE"""),"Manager who sets goal and helps me achieve it")</f>
        <v>Manager who sets goal and helps me achieve it</v>
      </c>
      <c r="P2693" s="1" t="str">
        <f ca="1">IFERROR(__xludf.DUMMYFUNCTION("""COMPUTED_VALUE"""),"Work with 5 to 6 people in my team")</f>
        <v>Work with 5 to 6 people in my team</v>
      </c>
      <c r="Q2693" s="1" t="str">
        <f ca="1">IFERROR(__xludf.DUMMYFUNCTION("""COMPUTED_VALUE"""),"No")</f>
        <v>No</v>
      </c>
      <c r="R2693" s="1" t="str">
        <f ca="1">IFERROR(__xludf.DUMMYFUNCTION("""COMPUTED_VALUE"""),"No way")</f>
        <v>No way</v>
      </c>
      <c r="S2693" s="1" t="str">
        <f ca="1">IFERROR(__xludf.DUMMYFUNCTION("""COMPUTED_VALUE"""),"indraprince1998@gmail.com")</f>
        <v>indraprince1998@gmail.com</v>
      </c>
    </row>
    <row r="2694" spans="1:19" ht="12.5" x14ac:dyDescent="0.25">
      <c r="A2694" s="2">
        <f ca="1">IFERROR(__xludf.DUMMYFUNCTION("""COMPUTED_VALUE"""),45066.6755512847)</f>
        <v>45066.675551284701</v>
      </c>
      <c r="B2694" s="1" t="str">
        <f ca="1">IFERROR(__xludf.DUMMYFUNCTION("""COMPUTED_VALUE"""),"India")</f>
        <v>India</v>
      </c>
      <c r="C2694" s="1">
        <f ca="1">IFERROR(__xludf.DUMMYFUNCTION("""COMPUTED_VALUE"""),500055)</f>
        <v>500055</v>
      </c>
      <c r="D2694" s="1" t="str">
        <f ca="1">IFERROR(__xludf.DUMMYFUNCTION("""COMPUTED_VALUE"""),"Female")</f>
        <v>Female</v>
      </c>
      <c r="E2694" s="1" t="str">
        <f ca="1">IFERROR(__xludf.DUMMYFUNCTION("""COMPUTED_VALUE"""),"My Parents")</f>
        <v>My Parents</v>
      </c>
      <c r="F2694" s="1" t="str">
        <f ca="1">IFERROR(__xludf.DUMMYFUNCTION("""COMPUTED_VALUE"""),"Yes, I will earn and do that")</f>
        <v>Yes, I will earn and do that</v>
      </c>
      <c r="G2694" s="1" t="str">
        <f ca="1">IFERROR(__xludf.DUMMYFUNCTION("""COMPUTED_VALUE"""),"Will work for 3 years or more")</f>
        <v>Will work for 3 years or more</v>
      </c>
      <c r="H2694" s="1" t="str">
        <f ca="1">IFERROR(__xludf.DUMMYFUNCTION("""COMPUTED_VALUE"""),"No")</f>
        <v>No</v>
      </c>
      <c r="I2694" s="1" t="str">
        <f ca="1">IFERROR(__xludf.DUMMYFUNCTION("""COMPUTED_VALUE"""),"Will NOT work for them")</f>
        <v>Will NOT work for them</v>
      </c>
      <c r="J2694" s="1">
        <f ca="1">IFERROR(__xludf.DUMMYFUNCTION("""COMPUTED_VALUE"""),5)</f>
        <v>5</v>
      </c>
      <c r="K2694" s="1" t="str">
        <f ca="1">IFERROR(__xludf.DUMMYFUNCTION("""COMPUTED_VALUE"""),"Fully Remote with Options to travel as and when needed")</f>
        <v>Fully Remote with Options to travel as and when needed</v>
      </c>
      <c r="L26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94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694" s="1" t="str">
        <f ca="1">IFERROR(__xludf.DUMMYFUNCTION("""COMPUTED_VALUE"""),"Design and Creative strategy in any company, Teaching in any of the institutes/colleges/online or offline, Entrepreneur or Start Up, Manufacturing / Oil and Gas/ Construction / Hard Physical Work related")</f>
        <v>Design and Creative strategy in any company, Teaching in any of the institutes/colleges/online or offline, Entrepreneur or Start Up, Manufacturing / Oil and Gas/ Construction / Hard Physical Work related</v>
      </c>
      <c r="O2694" s="1" t="str">
        <f ca="1">IFERROR(__xludf.DUMMYFUNCTION("""COMPUTED_VALUE"""),"Manager who explains what is expected, sets a goal and helps achieve it")</f>
        <v>Manager who explains what is expected, sets a goal and helps achieve it</v>
      </c>
      <c r="P2694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694" s="1" t="str">
        <f ca="1">IFERROR(__xludf.DUMMYFUNCTION("""COMPUTED_VALUE"""),"Yes, I Understand this is gonna happen everywhere")</f>
        <v>Yes, I Understand this is gonna happen everywhere</v>
      </c>
      <c r="R2694" s="1" t="str">
        <f ca="1">IFERROR(__xludf.DUMMYFUNCTION("""COMPUTED_VALUE"""),"This will be hard to do, but if it is the right company I would try")</f>
        <v>This will be hard to do, but if it is the right company I would try</v>
      </c>
      <c r="S2694" s="1" t="str">
        <f ca="1">IFERROR(__xludf.DUMMYFUNCTION("""COMPUTED_VALUE"""),"manishavarma160@gmail.com")</f>
        <v>manishavarma160@gmail.com</v>
      </c>
    </row>
    <row r="2695" spans="1:19" ht="12.5" x14ac:dyDescent="0.25">
      <c r="A2695" s="2">
        <f ca="1">IFERROR(__xludf.DUMMYFUNCTION("""COMPUTED_VALUE"""),45066.6973878009)</f>
        <v>45066.697387800901</v>
      </c>
      <c r="B2695" s="1" t="str">
        <f ca="1">IFERROR(__xludf.DUMMYFUNCTION("""COMPUTED_VALUE"""),"India")</f>
        <v>India</v>
      </c>
      <c r="C2695" s="1">
        <f ca="1">IFERROR(__xludf.DUMMYFUNCTION("""COMPUTED_VALUE"""),500062)</f>
        <v>500062</v>
      </c>
      <c r="D2695" s="1" t="str">
        <f ca="1">IFERROR(__xludf.DUMMYFUNCTION("""COMPUTED_VALUE"""),"Female")</f>
        <v>Female</v>
      </c>
      <c r="E2695" s="1" t="str">
        <f ca="1">IFERROR(__xludf.DUMMYFUNCTION("""COMPUTED_VALUE"""),"My Parents")</f>
        <v>My Parents</v>
      </c>
      <c r="F2695" s="1" t="str">
        <f ca="1">IFERROR(__xludf.DUMMYFUNCTION("""COMPUTED_VALUE"""),"No I would not be pursuing Higher Education outside of India")</f>
        <v>No I would not be pursuing Higher Education outside of India</v>
      </c>
      <c r="G2695" s="1" t="str">
        <f ca="1">IFERROR(__xludf.DUMMYFUNCTION("""COMPUTED_VALUE"""),"This will be hard to do, but if it is the right company I would try")</f>
        <v>This will be hard to do, but if it is the right company I would try</v>
      </c>
      <c r="H2695" s="1" t="str">
        <f ca="1">IFERROR(__xludf.DUMMYFUNCTION("""COMPUTED_VALUE"""),"No")</f>
        <v>No</v>
      </c>
      <c r="I2695" s="1" t="str">
        <f ca="1">IFERROR(__xludf.DUMMYFUNCTION("""COMPUTED_VALUE"""),"Will NOT work for them")</f>
        <v>Will NOT work for them</v>
      </c>
      <c r="J2695" s="1">
        <f ca="1">IFERROR(__xludf.DUMMYFUNCTION("""COMPUTED_VALUE"""),9)</f>
        <v>9</v>
      </c>
      <c r="K2695" s="1" t="str">
        <f ca="1">IFERROR(__xludf.DUMMYFUNCTION("""COMPUTED_VALUE"""),"Fully Remote with No option to visit offices")</f>
        <v>Fully Remote with No option to visit offices</v>
      </c>
      <c r="L2695" s="1" t="str">
        <f ca="1">IFERROR(__xludf.DUMMYFUNCTION("""COMPUTED_VALUE"""),"Employer who appreciates learning and enables that environment")</f>
        <v>Employer who appreciates learning and enables that environment</v>
      </c>
      <c r="M2695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695" s="1" t="str">
        <f ca="1">IFERROR(__xludf.DUMMYFUNCTION("""COMPUTED_VALUE"""),"Design and Creative strategy in any company, Design and Develop amazing software, Work as a freelancer and do my thing my way, An Artificial Intelligence Specialist / Talking to Robots")</f>
        <v>Design and Creative strategy in any company, Design and Develop amazing software, Work as a freelancer and do my thing my way, An Artificial Intelligence Specialist / Talking to Robots</v>
      </c>
      <c r="O2695" s="1" t="str">
        <f ca="1">IFERROR(__xludf.DUMMYFUNCTION("""COMPUTED_VALUE"""),"Manager who sets goal and helps me achieve it")</f>
        <v>Manager who sets goal and helps me achieve it</v>
      </c>
      <c r="P2695" s="1" t="str">
        <f ca="1">IFERROR(__xludf.DUMMYFUNCTION("""COMPUTED_VALUE"""),"Work with 5 to 6 people in my team")</f>
        <v>Work with 5 to 6 people in my team</v>
      </c>
      <c r="Q2695" s="1" t="str">
        <f ca="1">IFERROR(__xludf.DUMMYFUNCTION("""COMPUTED_VALUE"""),"Yes, I Understand this is gonna happen everywhere")</f>
        <v>Yes, I Understand this is gonna happen everywhere</v>
      </c>
      <c r="R2695" s="1" t="str">
        <f ca="1">IFERROR(__xludf.DUMMYFUNCTION("""COMPUTED_VALUE"""),"This will be hard to do, but if it is the right company I would try")</f>
        <v>This will be hard to do, but if it is the right company I would try</v>
      </c>
      <c r="S2695" s="1" t="str">
        <f ca="1">IFERROR(__xludf.DUMMYFUNCTION("""COMPUTED_VALUE"""),"kavyachintala103@gmail.com")</f>
        <v>kavyachintala103@gmail.com</v>
      </c>
    </row>
    <row r="2696" spans="1:19" ht="12.5" x14ac:dyDescent="0.25">
      <c r="A2696" s="2">
        <f ca="1">IFERROR(__xludf.DUMMYFUNCTION("""COMPUTED_VALUE"""),45066.698753206)</f>
        <v>45066.698753206001</v>
      </c>
      <c r="B2696" s="1" t="str">
        <f ca="1">IFERROR(__xludf.DUMMYFUNCTION("""COMPUTED_VALUE"""),"India")</f>
        <v>India</v>
      </c>
      <c r="C2696" s="1">
        <f ca="1">IFERROR(__xludf.DUMMYFUNCTION("""COMPUTED_VALUE"""),221001)</f>
        <v>221001</v>
      </c>
      <c r="D2696" s="1" t="str">
        <f ca="1">IFERROR(__xludf.DUMMYFUNCTION("""COMPUTED_VALUE"""),"Female")</f>
        <v>Female</v>
      </c>
      <c r="E2696" s="1" t="str">
        <f ca="1">IFERROR(__xludf.DUMMYFUNCTION("""COMPUTED_VALUE"""),"People who have changed the world for better")</f>
        <v>People who have changed the world for better</v>
      </c>
      <c r="F2696" s="1" t="str">
        <f ca="1">IFERROR(__xludf.DUMMYFUNCTION("""COMPUTED_VALUE"""),"No, But if someone could bare the cost I will")</f>
        <v>No, But if someone could bare the cost I will</v>
      </c>
      <c r="G2696" s="1" t="str">
        <f ca="1">IFERROR(__xludf.DUMMYFUNCTION("""COMPUTED_VALUE"""),"This will be hard to do, but if it is the right company I would try")</f>
        <v>This will be hard to do, but if it is the right company I would try</v>
      </c>
      <c r="H2696" s="1" t="str">
        <f ca="1">IFERROR(__xludf.DUMMYFUNCTION("""COMPUTED_VALUE"""),"No")</f>
        <v>No</v>
      </c>
      <c r="I2696" s="1" t="str">
        <f ca="1">IFERROR(__xludf.DUMMYFUNCTION("""COMPUTED_VALUE"""),"Will NOT work for them")</f>
        <v>Will NOT work for them</v>
      </c>
      <c r="J2696" s="1">
        <f ca="1">IFERROR(__xludf.DUMMYFUNCTION("""COMPUTED_VALUE"""),5)</f>
        <v>5</v>
      </c>
      <c r="K2696" s="1" t="str">
        <f ca="1">IFERROR(__xludf.DUMMYFUNCTION("""COMPUTED_VALUE"""),"Fully Remote with Options to travel as and when needed")</f>
        <v>Fully Remote with Options to travel as and when needed</v>
      </c>
      <c r="L2696" s="1" t="str">
        <f ca="1">IFERROR(__xludf.DUMMYFUNCTION("""COMPUTED_VALUE"""),"Employer who appreciates learning and enables that environment")</f>
        <v>Employer who appreciates learning and enables that environment</v>
      </c>
      <c r="M269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696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2696" s="1" t="str">
        <f ca="1">IFERROR(__xludf.DUMMYFUNCTION("""COMPUTED_VALUE"""),"Manager who sets goal and helps me achieve it")</f>
        <v>Manager who sets goal and helps me achieve it</v>
      </c>
      <c r="P2696" s="1" t="str">
        <f ca="1">IFERROR(__xludf.DUMMYFUNCTION("""COMPUTED_VALUE"""),"Work with 7 to 10 or more people in my team")</f>
        <v>Work with 7 to 10 or more people in my team</v>
      </c>
      <c r="Q2696" s="1" t="str">
        <f ca="1">IFERROR(__xludf.DUMMYFUNCTION("""COMPUTED_VALUE"""),"Yes, I Understand this is gonna happen everywhere")</f>
        <v>Yes, I Understand this is gonna happen everywhere</v>
      </c>
      <c r="R2696" s="1" t="str">
        <f ca="1">IFERROR(__xludf.DUMMYFUNCTION("""COMPUTED_VALUE"""),"This will be hard to do, but if it is the right company I would try")</f>
        <v>This will be hard to do, but if it is the right company I would try</v>
      </c>
      <c r="S2696" s="1" t="str">
        <f ca="1">IFERROR(__xludf.DUMMYFUNCTION("""COMPUTED_VALUE"""),"nainsijaiswal12345@gmail.com")</f>
        <v>nainsijaiswal12345@gmail.com</v>
      </c>
    </row>
    <row r="2697" spans="1:19" ht="12.5" x14ac:dyDescent="0.25">
      <c r="A2697" s="2">
        <f ca="1">IFERROR(__xludf.DUMMYFUNCTION("""COMPUTED_VALUE"""),45066.707477581)</f>
        <v>45066.707477581003</v>
      </c>
      <c r="B2697" s="1" t="str">
        <f ca="1">IFERROR(__xludf.DUMMYFUNCTION("""COMPUTED_VALUE"""),"India")</f>
        <v>India</v>
      </c>
      <c r="C2697" s="1">
        <f ca="1">IFERROR(__xludf.DUMMYFUNCTION("""COMPUTED_VALUE"""),464001)</f>
        <v>464001</v>
      </c>
      <c r="D2697" s="1" t="str">
        <f ca="1">IFERROR(__xludf.DUMMYFUNCTION("""COMPUTED_VALUE"""),"Female")</f>
        <v>Female</v>
      </c>
      <c r="E2697" s="1" t="str">
        <f ca="1">IFERROR(__xludf.DUMMYFUNCTION("""COMPUTED_VALUE"""),"Influencers who had successful careers")</f>
        <v>Influencers who had successful careers</v>
      </c>
      <c r="F2697" s="1" t="str">
        <f ca="1">IFERROR(__xludf.DUMMYFUNCTION("""COMPUTED_VALUE"""),"Yes, I will earn and do that")</f>
        <v>Yes, I will earn and do that</v>
      </c>
      <c r="G2697" s="1" t="str">
        <f ca="1">IFERROR(__xludf.DUMMYFUNCTION("""COMPUTED_VALUE"""),"This will be hard to do, but if it is the right company I would try")</f>
        <v>This will be hard to do, but if it is the right company I would try</v>
      </c>
      <c r="H2697" s="1" t="str">
        <f ca="1">IFERROR(__xludf.DUMMYFUNCTION("""COMPUTED_VALUE"""),"No")</f>
        <v>No</v>
      </c>
      <c r="I2697" s="1" t="str">
        <f ca="1">IFERROR(__xludf.DUMMYFUNCTION("""COMPUTED_VALUE"""),"Will NOT work for them")</f>
        <v>Will NOT work for them</v>
      </c>
      <c r="J2697" s="1">
        <f ca="1">IFERROR(__xludf.DUMMYFUNCTION("""COMPUTED_VALUE"""),6)</f>
        <v>6</v>
      </c>
      <c r="K2697" s="1" t="str">
        <f ca="1">IFERROR(__xludf.DUMMYFUNCTION("""COMPUTED_VALUE"""),"Hybrid Working Environment with more than 15 days a month at office")</f>
        <v>Hybrid Working Environment with more than 15 days a month at office</v>
      </c>
      <c r="L269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69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697" s="1" t="str">
        <f ca="1">IFERROR(__xludf.DUMMYFUNCTION("""COMPUTED_VALUE"""),"Design and Creative strategy in any company, Manage and drive End-to-End Projects or Products, Build and develop a Team, Look deeply into Data and generate insights")</f>
        <v>Design and Creative strategy in any company, Manage and drive End-to-End Projects or Products, Build and develop a Team, Look deeply into Data and generate insights</v>
      </c>
      <c r="O2697" s="1" t="str">
        <f ca="1">IFERROR(__xludf.DUMMYFUNCTION("""COMPUTED_VALUE"""),"Manager who explains what is expected, sets a goal and helps achieve it")</f>
        <v>Manager who explains what is expected, sets a goal and helps achieve it</v>
      </c>
      <c r="P2697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697" s="1" t="str">
        <f ca="1">IFERROR(__xludf.DUMMYFUNCTION("""COMPUTED_VALUE"""),"No")</f>
        <v>No</v>
      </c>
      <c r="R2697" s="1" t="str">
        <f ca="1">IFERROR(__xludf.DUMMYFUNCTION("""COMPUTED_VALUE"""),"This will be hard to do, but if it is the right company I would try")</f>
        <v>This will be hard to do, but if it is the right company I would try</v>
      </c>
      <c r="S2697" s="1" t="str">
        <f ca="1">IFERROR(__xludf.DUMMYFUNCTION("""COMPUTED_VALUE"""),"priyaraghuwanshi37@gmail.com")</f>
        <v>priyaraghuwanshi37@gmail.com</v>
      </c>
    </row>
    <row r="2698" spans="1:19" ht="12.5" x14ac:dyDescent="0.25">
      <c r="A2698" s="2">
        <f ca="1">IFERROR(__xludf.DUMMYFUNCTION("""COMPUTED_VALUE"""),45066.7138983217)</f>
        <v>45066.713898321701</v>
      </c>
      <c r="B2698" s="1" t="str">
        <f ca="1">IFERROR(__xludf.DUMMYFUNCTION("""COMPUTED_VALUE"""),"India")</f>
        <v>India</v>
      </c>
      <c r="C2698" s="1">
        <f ca="1">IFERROR(__xludf.DUMMYFUNCTION("""COMPUTED_VALUE"""),500018)</f>
        <v>500018</v>
      </c>
      <c r="D2698" s="1" t="str">
        <f ca="1">IFERROR(__xludf.DUMMYFUNCTION("""COMPUTED_VALUE"""),"Female")</f>
        <v>Female</v>
      </c>
      <c r="E2698" s="1" t="str">
        <f ca="1">IFERROR(__xludf.DUMMYFUNCTION("""COMPUTED_VALUE"""),"Influencers who had successful careers")</f>
        <v>Influencers who had successful careers</v>
      </c>
      <c r="F2698" s="1" t="str">
        <f ca="1">IFERROR(__xludf.DUMMYFUNCTION("""COMPUTED_VALUE"""),"No I would not be pursuing Higher Education outside of India")</f>
        <v>No I would not be pursuing Higher Education outside of India</v>
      </c>
      <c r="G2698" s="1" t="str">
        <f ca="1">IFERROR(__xludf.DUMMYFUNCTION("""COMPUTED_VALUE"""),"This will be hard to do, but if it is the right company I would try")</f>
        <v>This will be hard to do, but if it is the right company I would try</v>
      </c>
      <c r="H2698" s="1" t="str">
        <f ca="1">IFERROR(__xludf.DUMMYFUNCTION("""COMPUTED_VALUE"""),"Yes")</f>
        <v>Yes</v>
      </c>
      <c r="I2698" s="1" t="str">
        <f ca="1">IFERROR(__xludf.DUMMYFUNCTION("""COMPUTED_VALUE"""),"Will work for them")</f>
        <v>Will work for them</v>
      </c>
      <c r="J2698" s="1">
        <f ca="1">IFERROR(__xludf.DUMMYFUNCTION("""COMPUTED_VALUE"""),6)</f>
        <v>6</v>
      </c>
      <c r="K2698" s="1" t="str">
        <f ca="1">IFERROR(__xludf.DUMMYFUNCTION("""COMPUTED_VALUE"""),"Hybrid Working Environment with less than 3 days a month at office")</f>
        <v>Hybrid Working Environment with less than 3 days a month at office</v>
      </c>
      <c r="L2698" s="1" t="str">
        <f ca="1">IFERROR(__xludf.DUMMYFUNCTION("""COMPUTED_VALUE"""),"Employer who appreciates learning and enables that environment")</f>
        <v>Employer who appreciates learning and enables that environment</v>
      </c>
      <c r="M2698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2698" s="1" t="str">
        <f ca="1">IFERROR(__xludf.DUMMYFUNCTION("""COMPUTED_VALUE"""),"Business Operations in any organization, Look deeply into Data and generate insights, Become a content Creator in some platform, An Artificial Intelligence Specialist / Talking to Robots")</f>
        <v>Business Operations in any organization, Look deeply into Data and generate insights, Become a content Creator in some platform, An Artificial Intelligence Specialist / Talking to Robots</v>
      </c>
      <c r="O2698" s="1" t="str">
        <f ca="1">IFERROR(__xludf.DUMMYFUNCTION("""COMPUTED_VALUE"""),"Manager who sets goal and helps me achieve it")</f>
        <v>Manager who sets goal and helps me achieve it</v>
      </c>
      <c r="P2698" s="1" t="str">
        <f ca="1">IFERROR(__xludf.DUMMYFUNCTION("""COMPUTED_VALUE"""),"Work with 2 to 3 people in my team")</f>
        <v>Work with 2 to 3 people in my team</v>
      </c>
      <c r="Q2698" s="1" t="str">
        <f ca="1">IFERROR(__xludf.DUMMYFUNCTION("""COMPUTED_VALUE"""),"Yes, I Understand this is gonna happen everywhere")</f>
        <v>Yes, I Understand this is gonna happen everywhere</v>
      </c>
      <c r="R2698" s="1" t="str">
        <f ca="1">IFERROR(__xludf.DUMMYFUNCTION("""COMPUTED_VALUE"""),"This will be hard to do, but if it is the right company I would try")</f>
        <v>This will be hard to do, but if it is the right company I would try</v>
      </c>
      <c r="S2698" s="1" t="str">
        <f ca="1">IFERROR(__xludf.DUMMYFUNCTION("""COMPUTED_VALUE"""),"chitrasreeadapa55@gmail.com")</f>
        <v>chitrasreeadapa55@gmail.com</v>
      </c>
    </row>
    <row r="2699" spans="1:19" ht="12.5" x14ac:dyDescent="0.25">
      <c r="A2699" s="2">
        <f ca="1">IFERROR(__xludf.DUMMYFUNCTION("""COMPUTED_VALUE"""),45066.7153817592)</f>
        <v>45066.715381759197</v>
      </c>
      <c r="B2699" s="1" t="str">
        <f ca="1">IFERROR(__xludf.DUMMYFUNCTION("""COMPUTED_VALUE"""),"India")</f>
        <v>India</v>
      </c>
      <c r="C2699" s="1">
        <f ca="1">IFERROR(__xludf.DUMMYFUNCTION("""COMPUTED_VALUE"""),464001)</f>
        <v>464001</v>
      </c>
      <c r="D2699" s="1" t="str">
        <f ca="1">IFERROR(__xludf.DUMMYFUNCTION("""COMPUTED_VALUE"""),"Female")</f>
        <v>Female</v>
      </c>
      <c r="E2699" s="1" t="str">
        <f ca="1">IFERROR(__xludf.DUMMYFUNCTION("""COMPUTED_VALUE"""),"My Parents")</f>
        <v>My Parents</v>
      </c>
      <c r="F2699" s="1" t="str">
        <f ca="1">IFERROR(__xludf.DUMMYFUNCTION("""COMPUTED_VALUE"""),"No I would not be pursuing Higher Education outside of India")</f>
        <v>No I would not be pursuing Higher Education outside of India</v>
      </c>
      <c r="G2699" s="1" t="str">
        <f ca="1">IFERROR(__xludf.DUMMYFUNCTION("""COMPUTED_VALUE"""),"Will work for 3 years or more")</f>
        <v>Will work for 3 years or more</v>
      </c>
      <c r="H2699" s="1" t="str">
        <f ca="1">IFERROR(__xludf.DUMMYFUNCTION("""COMPUTED_VALUE"""),"No")</f>
        <v>No</v>
      </c>
      <c r="I2699" s="1" t="str">
        <f ca="1">IFERROR(__xludf.DUMMYFUNCTION("""COMPUTED_VALUE"""),"Will NOT work for them")</f>
        <v>Will NOT work for them</v>
      </c>
      <c r="J2699" s="1">
        <f ca="1">IFERROR(__xludf.DUMMYFUNCTION("""COMPUTED_VALUE"""),5)</f>
        <v>5</v>
      </c>
      <c r="K2699" s="1" t="str">
        <f ca="1">IFERROR(__xludf.DUMMYFUNCTION("""COMPUTED_VALUE"""),"Every Day Office Environment")</f>
        <v>Every Day Office Environment</v>
      </c>
      <c r="L2699" s="1" t="str">
        <f ca="1">IFERROR(__xludf.DUMMYFUNCTION("""COMPUTED_VALUE"""),"Employer who appreciates learning and enables that environment")</f>
        <v>Employer who appreciates learning and enables that environment</v>
      </c>
      <c r="M2699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699" s="1" t="str">
        <f ca="1">IFERROR(__xludf.DUMMYFUNCTION("""COMPUTED_VALUE"""),"Design and Creative strategy in any company, Teaching in any of the institutes/colleges/online or offline, Build and develop a Team, Become a content Creator in some platform")</f>
        <v>Design and Creative strategy in any company, Teaching in any of the institutes/colleges/online or offline, Build and develop a Team, Become a content Creator in some platform</v>
      </c>
      <c r="O2699" s="1" t="str">
        <f ca="1">IFERROR(__xludf.DUMMYFUNCTION("""COMPUTED_VALUE"""),"Manager who sets goal and helps me achieve it")</f>
        <v>Manager who sets goal and helps me achieve it</v>
      </c>
      <c r="P2699" s="1" t="str">
        <f ca="1">IFERROR(__xludf.DUMMYFUNCTION("""COMPUTED_VALUE"""),"Work with 2 to 3 people in my team")</f>
        <v>Work with 2 to 3 people in my team</v>
      </c>
      <c r="Q2699" s="1" t="str">
        <f ca="1">IFERROR(__xludf.DUMMYFUNCTION("""COMPUTED_VALUE"""),"No")</f>
        <v>No</v>
      </c>
      <c r="R2699" s="1" t="str">
        <f ca="1">IFERROR(__xludf.DUMMYFUNCTION("""COMPUTED_VALUE"""),"No way")</f>
        <v>No way</v>
      </c>
      <c r="S2699" s="1" t="str">
        <f ca="1">IFERROR(__xludf.DUMMYFUNCTION("""COMPUTED_VALUE"""),"raghuwanshijyoti14@gmail.com")</f>
        <v>raghuwanshijyoti14@gmail.com</v>
      </c>
    </row>
    <row r="2700" spans="1:19" ht="12.5" x14ac:dyDescent="0.25">
      <c r="A2700" s="2">
        <f ca="1">IFERROR(__xludf.DUMMYFUNCTION("""COMPUTED_VALUE"""),45066.7159435185)</f>
        <v>45066.715943518502</v>
      </c>
      <c r="B2700" s="1" t="str">
        <f ca="1">IFERROR(__xludf.DUMMYFUNCTION("""COMPUTED_VALUE"""),"India")</f>
        <v>India</v>
      </c>
      <c r="C2700" s="1">
        <f ca="1">IFERROR(__xludf.DUMMYFUNCTION("""COMPUTED_VALUE"""),462023)</f>
        <v>462023</v>
      </c>
      <c r="D2700" s="1" t="str">
        <f ca="1">IFERROR(__xludf.DUMMYFUNCTION("""COMPUTED_VALUE"""),"Male")</f>
        <v>Male</v>
      </c>
      <c r="E2700" s="1" t="str">
        <f ca="1">IFERROR(__xludf.DUMMYFUNCTION("""COMPUTED_VALUE"""),"My Parents")</f>
        <v>My Parents</v>
      </c>
      <c r="F2700" s="1" t="str">
        <f ca="1">IFERROR(__xludf.DUMMYFUNCTION("""COMPUTED_VALUE"""),"Yes, I will earn and do that")</f>
        <v>Yes, I will earn and do that</v>
      </c>
      <c r="G2700" s="1" t="str">
        <f ca="1">IFERROR(__xludf.DUMMYFUNCTION("""COMPUTED_VALUE"""),"Will work for 3 years or more")</f>
        <v>Will work for 3 years or more</v>
      </c>
      <c r="H2700" s="1" t="str">
        <f ca="1">IFERROR(__xludf.DUMMYFUNCTION("""COMPUTED_VALUE"""),"No")</f>
        <v>No</v>
      </c>
      <c r="I2700" s="1" t="str">
        <f ca="1">IFERROR(__xludf.DUMMYFUNCTION("""COMPUTED_VALUE"""),"Will NOT work for them")</f>
        <v>Will NOT work for them</v>
      </c>
      <c r="J2700" s="1">
        <f ca="1">IFERROR(__xludf.DUMMYFUNCTION("""COMPUTED_VALUE"""),3)</f>
        <v>3</v>
      </c>
      <c r="K2700" s="1" t="str">
        <f ca="1">IFERROR(__xludf.DUMMYFUNCTION("""COMPUTED_VALUE"""),"Hybrid Working Environment with more than 15 days a month at office")</f>
        <v>Hybrid Working Environment with more than 15 days a month at office</v>
      </c>
      <c r="L2700" s="1" t="str">
        <f ca="1">IFERROR(__xludf.DUMMYFUNCTION("""COMPUTED_VALUE"""),"Employer who rewards learning and enables that environment")</f>
        <v>Employer who rewards learning and enables that environment</v>
      </c>
      <c r="M270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00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700" s="1" t="str">
        <f ca="1">IFERROR(__xludf.DUMMYFUNCTION("""COMPUTED_VALUE"""),"Manager who clearly describes what she/he needs")</f>
        <v>Manager who clearly describes what she/he needs</v>
      </c>
      <c r="P2700" s="1" t="str">
        <f ca="1">IFERROR(__xludf.DUMMYFUNCTION("""COMPUTED_VALUE"""),"Work with more than 10 people in my team")</f>
        <v>Work with more than 10 people in my team</v>
      </c>
      <c r="Q2700" s="1" t="str">
        <f ca="1">IFERROR(__xludf.DUMMYFUNCTION("""COMPUTED_VALUE"""),"No")</f>
        <v>No</v>
      </c>
      <c r="R2700" s="1" t="str">
        <f ca="1">IFERROR(__xludf.DUMMYFUNCTION("""COMPUTED_VALUE"""),"No way")</f>
        <v>No way</v>
      </c>
      <c r="S2700" s="1" t="str">
        <f ca="1">IFERROR(__xludf.DUMMYFUNCTION("""COMPUTED_VALUE"""),"namannema1995@gmail.com")</f>
        <v>namannema1995@gmail.com</v>
      </c>
    </row>
    <row r="2701" spans="1:19" ht="12.5" x14ac:dyDescent="0.25">
      <c r="A2701" s="2">
        <f ca="1">IFERROR(__xludf.DUMMYFUNCTION("""COMPUTED_VALUE"""),45066.7178250925)</f>
        <v>45066.717825092499</v>
      </c>
      <c r="B2701" s="1" t="str">
        <f ca="1">IFERROR(__xludf.DUMMYFUNCTION("""COMPUTED_VALUE"""),"India")</f>
        <v>India</v>
      </c>
      <c r="C2701" s="1">
        <f ca="1">IFERROR(__xludf.DUMMYFUNCTION("""COMPUTED_VALUE"""),491001)</f>
        <v>491001</v>
      </c>
      <c r="D2701" s="1" t="str">
        <f ca="1">IFERROR(__xludf.DUMMYFUNCTION("""COMPUTED_VALUE"""),"Male")</f>
        <v>Male</v>
      </c>
      <c r="E2701" s="1" t="str">
        <f ca="1">IFERROR(__xludf.DUMMYFUNCTION("""COMPUTED_VALUE"""),"My Parents")</f>
        <v>My Parents</v>
      </c>
      <c r="F2701" s="1" t="str">
        <f ca="1">IFERROR(__xludf.DUMMYFUNCTION("""COMPUTED_VALUE"""),"Yes, I will earn and do that")</f>
        <v>Yes, I will earn and do that</v>
      </c>
      <c r="G2701" s="1" t="str">
        <f ca="1">IFERROR(__xludf.DUMMYFUNCTION("""COMPUTED_VALUE"""),"Will work for 3 years or more")</f>
        <v>Will work for 3 years or more</v>
      </c>
      <c r="H2701" s="1" t="str">
        <f ca="1">IFERROR(__xludf.DUMMYFUNCTION("""COMPUTED_VALUE"""),"Yes")</f>
        <v>Yes</v>
      </c>
      <c r="I2701" s="1" t="str">
        <f ca="1">IFERROR(__xludf.DUMMYFUNCTION("""COMPUTED_VALUE"""),"Will NOT work for them")</f>
        <v>Will NOT work for them</v>
      </c>
      <c r="J2701" s="1">
        <f ca="1">IFERROR(__xludf.DUMMYFUNCTION("""COMPUTED_VALUE"""),8)</f>
        <v>8</v>
      </c>
      <c r="K2701" s="1" t="str">
        <f ca="1">IFERROR(__xludf.DUMMYFUNCTION("""COMPUTED_VALUE"""),"Every Day Office Environment")</f>
        <v>Every Day Office Environment</v>
      </c>
      <c r="L2701" s="1" t="str">
        <f ca="1">IFERROR(__xludf.DUMMYFUNCTION("""COMPUTED_VALUE"""),"Employer who appreciates learning and enables that environment")</f>
        <v>Employer who appreciates learning and enables that environment</v>
      </c>
      <c r="M2701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701" s="1" t="str">
        <f ca="1">IFERROR(__xludf.DUMMYFUNCTION("""COMPUTED_VALUE"""),"Business Operations in any organization, Build and develop a Team, Look deeply into Data and generate insights, Manufacturing / Oil and Gas/ Construction / Hard Physical Work related")</f>
        <v>Business Operations in any organization, Build and develop a Team, Look deeply into Data and generate insights, Manufacturing / Oil and Gas/ Construction / Hard Physical Work related</v>
      </c>
      <c r="O2701" s="1" t="str">
        <f ca="1">IFERROR(__xludf.DUMMYFUNCTION("""COMPUTED_VALUE"""),"Manager who explains what is expected, sets a goal and helps achieve it")</f>
        <v>Manager who explains what is expected, sets a goal and helps achieve it</v>
      </c>
      <c r="P2701" s="1" t="str">
        <f ca="1">IFERROR(__xludf.DUMMYFUNCTION("""COMPUTED_VALUE"""),"Work with more than 10 people in my team")</f>
        <v>Work with more than 10 people in my team</v>
      </c>
      <c r="Q2701" s="1" t="str">
        <f ca="1">IFERROR(__xludf.DUMMYFUNCTION("""COMPUTED_VALUE"""),"Yes, I Understand this is gonna happen everywhere")</f>
        <v>Yes, I Understand this is gonna happen everywhere</v>
      </c>
      <c r="R2701" s="1" t="str">
        <f ca="1">IFERROR(__xludf.DUMMYFUNCTION("""COMPUTED_VALUE"""),"Will work for 7 years or more")</f>
        <v>Will work for 7 years or more</v>
      </c>
      <c r="S2701" s="1" t="str">
        <f ca="1">IFERROR(__xludf.DUMMYFUNCTION("""COMPUTED_VALUE"""),"gauravbharadwaj23@gmail.com")</f>
        <v>gauravbharadwaj23@gmail.com</v>
      </c>
    </row>
    <row r="2702" spans="1:19" ht="12.5" x14ac:dyDescent="0.25">
      <c r="A2702" s="2">
        <f ca="1">IFERROR(__xludf.DUMMYFUNCTION("""COMPUTED_VALUE"""),45066.7193304166)</f>
        <v>45066.719330416599</v>
      </c>
      <c r="B2702" s="1" t="str">
        <f ca="1">IFERROR(__xludf.DUMMYFUNCTION("""COMPUTED_VALUE"""),"India")</f>
        <v>India</v>
      </c>
      <c r="C2702" s="1">
        <f ca="1">IFERROR(__xludf.DUMMYFUNCTION("""COMPUTED_VALUE"""),464001)</f>
        <v>464001</v>
      </c>
      <c r="D2702" s="1" t="str">
        <f ca="1">IFERROR(__xludf.DUMMYFUNCTION("""COMPUTED_VALUE"""),"Male")</f>
        <v>Male</v>
      </c>
      <c r="E2702" s="1" t="str">
        <f ca="1">IFERROR(__xludf.DUMMYFUNCTION("""COMPUTED_VALUE"""),"People who have changed the world for better")</f>
        <v>People who have changed the world for better</v>
      </c>
      <c r="F2702" s="1" t="str">
        <f ca="1">IFERROR(__xludf.DUMMYFUNCTION("""COMPUTED_VALUE"""),"Yes, I will earn and do that")</f>
        <v>Yes, I will earn and do that</v>
      </c>
      <c r="G2702" s="1" t="str">
        <f ca="1">IFERROR(__xludf.DUMMYFUNCTION("""COMPUTED_VALUE"""),"Will work for 3 years or more")</f>
        <v>Will work for 3 years or more</v>
      </c>
      <c r="H2702" s="1" t="str">
        <f ca="1">IFERROR(__xludf.DUMMYFUNCTION("""COMPUTED_VALUE"""),"No")</f>
        <v>No</v>
      </c>
      <c r="I2702" s="1" t="str">
        <f ca="1">IFERROR(__xludf.DUMMYFUNCTION("""COMPUTED_VALUE"""),"Will NOT work for them")</f>
        <v>Will NOT work for them</v>
      </c>
      <c r="J2702" s="1">
        <f ca="1">IFERROR(__xludf.DUMMYFUNCTION("""COMPUTED_VALUE"""),5)</f>
        <v>5</v>
      </c>
      <c r="K2702" s="1" t="str">
        <f ca="1">IFERROR(__xludf.DUMMYFUNCTION("""COMPUTED_VALUE"""),"Hybrid Working Environment with more than 15 days a month at office")</f>
        <v>Hybrid Working Environment with more than 15 days a month at office</v>
      </c>
      <c r="L270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0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702" s="1" t="str">
        <f ca="1">IFERROR(__xludf.DUMMYFUNCTION("""COMPUTED_VALUE"""),"Design and Creative strategy in any company, Business Operations in any organization, Manage and drive End-to-End Projects or Products, Become a content Creator in some platform")</f>
        <v>Design and Creative strategy in any company, Business Operations in any organization, Manage and drive End-to-End Projects or Products, Become a content Creator in some platform</v>
      </c>
      <c r="O2702" s="1" t="str">
        <f ca="1">IFERROR(__xludf.DUMMYFUNCTION("""COMPUTED_VALUE"""),"Manager who explains what is expected, sets a goal and helps achieve it")</f>
        <v>Manager who explains what is expected, sets a goal and helps achieve it</v>
      </c>
      <c r="P2702" s="1" t="str">
        <f ca="1">IFERROR(__xludf.DUMMYFUNCTION("""COMPUTED_VALUE"""),"Work with 5 to 6 people in my team")</f>
        <v>Work with 5 to 6 people in my team</v>
      </c>
      <c r="Q2702" s="1" t="str">
        <f ca="1">IFERROR(__xludf.DUMMYFUNCTION("""COMPUTED_VALUE"""),"Yes, I Understand this is gonna happen everywhere")</f>
        <v>Yes, I Understand this is gonna happen everywhere</v>
      </c>
      <c r="R2702" s="1" t="str">
        <f ca="1">IFERROR(__xludf.DUMMYFUNCTION("""COMPUTED_VALUE"""),"This will be hard to do, but if it is the right company I would try")</f>
        <v>This will be hard to do, but if it is the right company I would try</v>
      </c>
      <c r="S2702" s="1" t="str">
        <f ca="1">IFERROR(__xludf.DUMMYFUNCTION("""COMPUTED_VALUE"""),"synthetic510@gmail.com")</f>
        <v>synthetic510@gmail.com</v>
      </c>
    </row>
    <row r="2703" spans="1:19" ht="12.5" x14ac:dyDescent="0.25">
      <c r="A2703" s="2">
        <f ca="1">IFERROR(__xludf.DUMMYFUNCTION("""COMPUTED_VALUE"""),45066.7239695486)</f>
        <v>45066.723969548599</v>
      </c>
      <c r="B2703" s="1" t="str">
        <f ca="1">IFERROR(__xludf.DUMMYFUNCTION("""COMPUTED_VALUE"""),"India")</f>
        <v>India</v>
      </c>
      <c r="C2703" s="1">
        <f ca="1">IFERROR(__xludf.DUMMYFUNCTION("""COMPUTED_VALUE"""),464001)</f>
        <v>464001</v>
      </c>
      <c r="D2703" s="1" t="str">
        <f ca="1">IFERROR(__xludf.DUMMYFUNCTION("""COMPUTED_VALUE"""),"Male")</f>
        <v>Male</v>
      </c>
      <c r="E2703" s="1" t="str">
        <f ca="1">IFERROR(__xludf.DUMMYFUNCTION("""COMPUTED_VALUE"""),"Influencers who had successful careers")</f>
        <v>Influencers who had successful careers</v>
      </c>
      <c r="F2703" s="1" t="str">
        <f ca="1">IFERROR(__xludf.DUMMYFUNCTION("""COMPUTED_VALUE"""),"No, But if someone could bare the cost I will")</f>
        <v>No, But if someone could bare the cost I will</v>
      </c>
      <c r="G2703" s="1" t="str">
        <f ca="1">IFERROR(__xludf.DUMMYFUNCTION("""COMPUTED_VALUE"""),"No way")</f>
        <v>No way</v>
      </c>
      <c r="H2703" s="1" t="str">
        <f ca="1">IFERROR(__xludf.DUMMYFUNCTION("""COMPUTED_VALUE"""),"No")</f>
        <v>No</v>
      </c>
      <c r="I2703" s="1" t="str">
        <f ca="1">IFERROR(__xludf.DUMMYFUNCTION("""COMPUTED_VALUE"""),"Will NOT work for them")</f>
        <v>Will NOT work for them</v>
      </c>
      <c r="J2703" s="1">
        <f ca="1">IFERROR(__xludf.DUMMYFUNCTION("""COMPUTED_VALUE"""),10)</f>
        <v>10</v>
      </c>
      <c r="K2703" s="1" t="str">
        <f ca="1">IFERROR(__xludf.DUMMYFUNCTION("""COMPUTED_VALUE"""),"Every Day Office Environment")</f>
        <v>Every Day Office Environment</v>
      </c>
      <c r="L2703" s="1" t="str">
        <f ca="1">IFERROR(__xludf.DUMMYFUNCTION("""COMPUTED_VALUE"""),"Employer who rewards learning and enables that environment")</f>
        <v>Employer who rewards learning and enables that environment</v>
      </c>
      <c r="M270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03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2703" s="1" t="str">
        <f ca="1">IFERROR(__xludf.DUMMYFUNCTION("""COMPUTED_VALUE"""),"Manager who clearly describes what she/he needs")</f>
        <v>Manager who clearly describes what she/he needs</v>
      </c>
      <c r="P2703" s="1" t="str">
        <f ca="1">IFERROR(__xludf.DUMMYFUNCTION("""COMPUTED_VALUE"""),"Work with 5 to 6 people in my team")</f>
        <v>Work with 5 to 6 people in my team</v>
      </c>
      <c r="Q2703" s="1" t="str">
        <f ca="1">IFERROR(__xludf.DUMMYFUNCTION("""COMPUTED_VALUE"""),"No")</f>
        <v>No</v>
      </c>
      <c r="R2703" s="1" t="str">
        <f ca="1">IFERROR(__xludf.DUMMYFUNCTION("""COMPUTED_VALUE"""),"Will work for 7 years or more")</f>
        <v>Will work for 7 years or more</v>
      </c>
      <c r="S2703" s="1" t="str">
        <f ca="1">IFERROR(__xludf.DUMMYFUNCTION("""COMPUTED_VALUE"""),"varunraghuwanshi18@gmail.com")</f>
        <v>varunraghuwanshi18@gmail.com</v>
      </c>
    </row>
    <row r="2704" spans="1:19" ht="12.5" x14ac:dyDescent="0.25">
      <c r="A2704" s="2">
        <f ca="1">IFERROR(__xludf.DUMMYFUNCTION("""COMPUTED_VALUE"""),45066.7247700925)</f>
        <v>45066.7247700925</v>
      </c>
      <c r="B2704" s="1" t="str">
        <f ca="1">IFERROR(__xludf.DUMMYFUNCTION("""COMPUTED_VALUE"""),"India")</f>
        <v>India</v>
      </c>
      <c r="C2704" s="1">
        <f ca="1">IFERROR(__xludf.DUMMYFUNCTION("""COMPUTED_VALUE"""),464001)</f>
        <v>464001</v>
      </c>
      <c r="D2704" s="1" t="str">
        <f ca="1">IFERROR(__xludf.DUMMYFUNCTION("""COMPUTED_VALUE"""),"Female")</f>
        <v>Female</v>
      </c>
      <c r="E2704" s="1" t="str">
        <f ca="1">IFERROR(__xludf.DUMMYFUNCTION("""COMPUTED_VALUE"""),"People who have changed the world for better")</f>
        <v>People who have changed the world for better</v>
      </c>
      <c r="F2704" s="1" t="str">
        <f ca="1">IFERROR(__xludf.DUMMYFUNCTION("""COMPUTED_VALUE"""),"No, But if someone could bare the cost I will")</f>
        <v>No, But if someone could bare the cost I will</v>
      </c>
      <c r="G2704" s="1" t="str">
        <f ca="1">IFERROR(__xludf.DUMMYFUNCTION("""COMPUTED_VALUE"""),"No way")</f>
        <v>No way</v>
      </c>
      <c r="H2704" s="1" t="str">
        <f ca="1">IFERROR(__xludf.DUMMYFUNCTION("""COMPUTED_VALUE"""),"No")</f>
        <v>No</v>
      </c>
      <c r="I2704" s="1" t="str">
        <f ca="1">IFERROR(__xludf.DUMMYFUNCTION("""COMPUTED_VALUE"""),"Will NOT work for them")</f>
        <v>Will NOT work for them</v>
      </c>
      <c r="J2704" s="1">
        <f ca="1">IFERROR(__xludf.DUMMYFUNCTION("""COMPUTED_VALUE"""),3)</f>
        <v>3</v>
      </c>
      <c r="K2704" s="1" t="str">
        <f ca="1">IFERROR(__xludf.DUMMYFUNCTION("""COMPUTED_VALUE"""),"Hybrid Working Environment with less than 3 days a month at office")</f>
        <v>Hybrid Working Environment with less than 3 days a month at office</v>
      </c>
      <c r="L2704" s="1" t="str">
        <f ca="1">IFERROR(__xludf.DUMMYFUNCTION("""COMPUTED_VALUE"""),"Employer who appreciates learning and enables that environment")</f>
        <v>Employer who appreciates learning and enables that environment</v>
      </c>
      <c r="M270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04" s="1" t="str">
        <f ca="1">IFERROR(__xludf.DUMMYFUNCTION("""COMPUTED_VALUE"""),"Teaching in any of the institutes/colleges/online or offline, Manage and drive End-to-End Projects or Products, Build and develop a Team, Design and Develop amazing software")</f>
        <v>Teaching in any of the institutes/colleges/online or offline, Manage and drive End-to-End Projects or Products, Build and develop a Team, Design and Develop amazing software</v>
      </c>
      <c r="O2704" s="1" t="str">
        <f ca="1">IFERROR(__xludf.DUMMYFUNCTION("""COMPUTED_VALUE"""),"Manager who sets goal and helps me achieve it")</f>
        <v>Manager who sets goal and helps me achieve it</v>
      </c>
      <c r="P2704" s="1" t="str">
        <f ca="1">IFERROR(__xludf.DUMMYFUNCTION("""COMPUTED_VALUE"""),"Work with 2 to 3 people in my team")</f>
        <v>Work with 2 to 3 people in my team</v>
      </c>
      <c r="Q2704" s="1" t="str">
        <f ca="1">IFERROR(__xludf.DUMMYFUNCTION("""COMPUTED_VALUE"""),"Yes, I Understand this is gonna happen everywhere")</f>
        <v>Yes, I Understand this is gonna happen everywhere</v>
      </c>
      <c r="R2704" s="1" t="str">
        <f ca="1">IFERROR(__xludf.DUMMYFUNCTION("""COMPUTED_VALUE"""),"No way")</f>
        <v>No way</v>
      </c>
      <c r="S2704" s="1" t="str">
        <f ca="1">IFERROR(__xludf.DUMMYFUNCTION("""COMPUTED_VALUE"""),"neharaghuwanshi3009@gmail.com")</f>
        <v>neharaghuwanshi3009@gmail.com</v>
      </c>
    </row>
    <row r="2705" spans="1:19" ht="12.5" x14ac:dyDescent="0.25">
      <c r="A2705" s="2">
        <f ca="1">IFERROR(__xludf.DUMMYFUNCTION("""COMPUTED_VALUE"""),45066.7280068055)</f>
        <v>45066.728006805497</v>
      </c>
      <c r="B2705" s="1" t="str">
        <f ca="1">IFERROR(__xludf.DUMMYFUNCTION("""COMPUTED_VALUE"""),"India")</f>
        <v>India</v>
      </c>
      <c r="C2705" s="1">
        <f ca="1">IFERROR(__xludf.DUMMYFUNCTION("""COMPUTED_VALUE"""),500015)</f>
        <v>500015</v>
      </c>
      <c r="D2705" s="1" t="str">
        <f ca="1">IFERROR(__xludf.DUMMYFUNCTION("""COMPUTED_VALUE"""),"Male")</f>
        <v>Male</v>
      </c>
      <c r="E2705" s="1" t="str">
        <f ca="1">IFERROR(__xludf.DUMMYFUNCTION("""COMPUTED_VALUE"""),"My Parents")</f>
        <v>My Parents</v>
      </c>
      <c r="F2705" s="1" t="str">
        <f ca="1">IFERROR(__xludf.DUMMYFUNCTION("""COMPUTED_VALUE"""),"Yes, I will earn and do that")</f>
        <v>Yes, I will earn and do that</v>
      </c>
      <c r="G2705" s="1" t="str">
        <f ca="1">IFERROR(__xludf.DUMMYFUNCTION("""COMPUTED_VALUE"""),"This will be hard to do, but if it is the right company I would try")</f>
        <v>This will be hard to do, but if it is the right company I would try</v>
      </c>
      <c r="H2705" s="1" t="str">
        <f ca="1">IFERROR(__xludf.DUMMYFUNCTION("""COMPUTED_VALUE"""),"No")</f>
        <v>No</v>
      </c>
      <c r="I2705" s="1" t="str">
        <f ca="1">IFERROR(__xludf.DUMMYFUNCTION("""COMPUTED_VALUE"""),"Will NOT work for them")</f>
        <v>Will NOT work for them</v>
      </c>
      <c r="J2705" s="1">
        <f ca="1">IFERROR(__xludf.DUMMYFUNCTION("""COMPUTED_VALUE"""),5)</f>
        <v>5</v>
      </c>
      <c r="K2705" s="1" t="str">
        <f ca="1">IFERROR(__xludf.DUMMYFUNCTION("""COMPUTED_VALUE"""),"Hybrid Working Environment with more than 15 days a month at office")</f>
        <v>Hybrid Working Environment with more than 15 days a month at office</v>
      </c>
      <c r="L270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05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705" s="1" t="str">
        <f ca="1">IFERROR(__xludf.DUMMYFUNCTION("""COMPUTED_VALUE"""),"Design and Creative strategy in any company, Manage and drive End-to-End Projects or Products, Build and develop a Team, Work in a BPO setup for some well known client")</f>
        <v>Design and Creative strategy in any company, Manage and drive End-to-End Projects or Products, Build and develop a Team, Work in a BPO setup for some well known client</v>
      </c>
      <c r="O2705" s="1" t="str">
        <f ca="1">IFERROR(__xludf.DUMMYFUNCTION("""COMPUTED_VALUE"""),"Manager who explains what is expected, sets a goal and helps achieve it")</f>
        <v>Manager who explains what is expected, sets a goal and helps achieve it</v>
      </c>
      <c r="P2705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705" s="1" t="str">
        <f ca="1">IFERROR(__xludf.DUMMYFUNCTION("""COMPUTED_VALUE"""),"Yes, I Understand this is gonna happen everywhere")</f>
        <v>Yes, I Understand this is gonna happen everywhere</v>
      </c>
      <c r="R2705" s="1" t="str">
        <f ca="1">IFERROR(__xludf.DUMMYFUNCTION("""COMPUTED_VALUE"""),"Will work for 7 years or more")</f>
        <v>Will work for 7 years or more</v>
      </c>
      <c r="S2705" s="1" t="str">
        <f ca="1">IFERROR(__xludf.DUMMYFUNCTION("""COMPUTED_VALUE"""),"zubermohiddinshaik@gmail.com")</f>
        <v>zubermohiddinshaik@gmail.com</v>
      </c>
    </row>
    <row r="2706" spans="1:19" ht="12.5" x14ac:dyDescent="0.25">
      <c r="A2706" s="2">
        <f ca="1">IFERROR(__xludf.DUMMYFUNCTION("""COMPUTED_VALUE"""),45066.73857853)</f>
        <v>45066.738578529999</v>
      </c>
      <c r="B2706" s="1" t="str">
        <f ca="1">IFERROR(__xludf.DUMMYFUNCTION("""COMPUTED_VALUE"""),"India")</f>
        <v>India</v>
      </c>
      <c r="C2706" s="1">
        <f ca="1">IFERROR(__xludf.DUMMYFUNCTION("""COMPUTED_VALUE"""),50090)</f>
        <v>50090</v>
      </c>
      <c r="D2706" s="1" t="str">
        <f ca="1">IFERROR(__xludf.DUMMYFUNCTION("""COMPUTED_VALUE"""),"Female")</f>
        <v>Female</v>
      </c>
      <c r="E2706" s="1" t="str">
        <f ca="1">IFERROR(__xludf.DUMMYFUNCTION("""COMPUTED_VALUE"""),"People who have changed the world for better")</f>
        <v>People who have changed the world for better</v>
      </c>
      <c r="F2706" s="1" t="str">
        <f ca="1">IFERROR(__xludf.DUMMYFUNCTION("""COMPUTED_VALUE"""),"No, But if someone could bare the cost I will")</f>
        <v>No, But if someone could bare the cost I will</v>
      </c>
      <c r="G2706" s="1" t="str">
        <f ca="1">IFERROR(__xludf.DUMMYFUNCTION("""COMPUTED_VALUE"""),"Will work for 3 years or more")</f>
        <v>Will work for 3 years or more</v>
      </c>
      <c r="H2706" s="1" t="str">
        <f ca="1">IFERROR(__xludf.DUMMYFUNCTION("""COMPUTED_VALUE"""),"No")</f>
        <v>No</v>
      </c>
      <c r="I2706" s="1" t="str">
        <f ca="1">IFERROR(__xludf.DUMMYFUNCTION("""COMPUTED_VALUE"""),"Will NOT work for them")</f>
        <v>Will NOT work for them</v>
      </c>
      <c r="J2706" s="1">
        <f ca="1">IFERROR(__xludf.DUMMYFUNCTION("""COMPUTED_VALUE"""),5)</f>
        <v>5</v>
      </c>
      <c r="K2706" s="1" t="str">
        <f ca="1">IFERROR(__xludf.DUMMYFUNCTION("""COMPUTED_VALUE"""),"Hybrid Working Environment with more than 15 days a month at office")</f>
        <v>Hybrid Working Environment with more than 15 days a month at office</v>
      </c>
      <c r="L2706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706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706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706" s="1" t="str">
        <f ca="1">IFERROR(__xludf.DUMMYFUNCTION("""COMPUTED_VALUE"""),"Manager who sets unrealistic targets")</f>
        <v>Manager who sets unrealistic targets</v>
      </c>
      <c r="P2706" s="1" t="str">
        <f ca="1">IFERROR(__xludf.DUMMYFUNCTION("""COMPUTED_VALUE"""),"Work with 2 to 3 people in my team, Work with 7 to 10 or more people in my team")</f>
        <v>Work with 2 to 3 people in my team, Work with 7 to 10 or more people in my team</v>
      </c>
      <c r="Q2706" s="1" t="str">
        <f ca="1">IFERROR(__xludf.DUMMYFUNCTION("""COMPUTED_VALUE"""),"No")</f>
        <v>No</v>
      </c>
      <c r="R2706" s="1" t="str">
        <f ca="1">IFERROR(__xludf.DUMMYFUNCTION("""COMPUTED_VALUE"""),"Will work for 7 years or more")</f>
        <v>Will work for 7 years or more</v>
      </c>
      <c r="S2706" s="1" t="str">
        <f ca="1">IFERROR(__xludf.DUMMYFUNCTION("""COMPUTED_VALUE"""),"lavanya.lendi@gmail.com")</f>
        <v>lavanya.lendi@gmail.com</v>
      </c>
    </row>
    <row r="2707" spans="1:19" ht="12.5" x14ac:dyDescent="0.25">
      <c r="A2707" s="2">
        <f ca="1">IFERROR(__xludf.DUMMYFUNCTION("""COMPUTED_VALUE"""),45066.7385833217)</f>
        <v>45066.738583321698</v>
      </c>
      <c r="B2707" s="1" t="str">
        <f ca="1">IFERROR(__xludf.DUMMYFUNCTION("""COMPUTED_VALUE"""),"India")</f>
        <v>India</v>
      </c>
      <c r="C2707" s="1">
        <f ca="1">IFERROR(__xludf.DUMMYFUNCTION("""COMPUTED_VALUE"""),122001)</f>
        <v>122001</v>
      </c>
      <c r="D2707" s="1" t="str">
        <f ca="1">IFERROR(__xludf.DUMMYFUNCTION("""COMPUTED_VALUE"""),"Male")</f>
        <v>Male</v>
      </c>
      <c r="E2707" s="1" t="str">
        <f ca="1">IFERROR(__xludf.DUMMYFUNCTION("""COMPUTED_VALUE"""),"People who have changed the world for better")</f>
        <v>People who have changed the world for better</v>
      </c>
      <c r="F2707" s="1" t="str">
        <f ca="1">IFERROR(__xludf.DUMMYFUNCTION("""COMPUTED_VALUE"""),"No, But if someone could bare the cost I will")</f>
        <v>No, But if someone could bare the cost I will</v>
      </c>
      <c r="G2707" s="1" t="str">
        <f ca="1">IFERROR(__xludf.DUMMYFUNCTION("""COMPUTED_VALUE"""),"This will be hard to do, but if it is the right company I would try")</f>
        <v>This will be hard to do, but if it is the right company I would try</v>
      </c>
      <c r="H2707" s="1" t="str">
        <f ca="1">IFERROR(__xludf.DUMMYFUNCTION("""COMPUTED_VALUE"""),"No")</f>
        <v>No</v>
      </c>
      <c r="I2707" s="1" t="str">
        <f ca="1">IFERROR(__xludf.DUMMYFUNCTION("""COMPUTED_VALUE"""),"Will NOT work for them")</f>
        <v>Will NOT work for them</v>
      </c>
      <c r="J2707" s="1">
        <f ca="1">IFERROR(__xludf.DUMMYFUNCTION("""COMPUTED_VALUE"""),5)</f>
        <v>5</v>
      </c>
      <c r="K2707" s="1" t="str">
        <f ca="1">IFERROR(__xludf.DUMMYFUNCTION("""COMPUTED_VALUE"""),"Hybrid Working Environment with more than 15 days a month at office")</f>
        <v>Hybrid Working Environment with more than 15 days a month at office</v>
      </c>
      <c r="L270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0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07" s="1" t="str">
        <f ca="1">IFERROR(__xludf.DUMMYFUNCTION("""COMPUTED_VALUE"""),"Design and Creative strategy in any company, Teaching in any of the institutes/colleges/online or offline, Become a content Creator in some platform, Entrepreneur or Start Up")</f>
        <v>Design and Creative strategy in any company, Teaching in any of the institutes/colleges/online or offline, Become a content Creator in some platform, Entrepreneur or Start Up</v>
      </c>
      <c r="O2707" s="1" t="str">
        <f ca="1">IFERROR(__xludf.DUMMYFUNCTION("""COMPUTED_VALUE"""),"Manager who explains what is expected, sets a goal and helps achieve it")</f>
        <v>Manager who explains what is expected, sets a goal and helps achieve it</v>
      </c>
      <c r="P2707" s="1" t="str">
        <f ca="1">IFERROR(__xludf.DUMMYFUNCTION("""COMPUTED_VALUE"""),"Work with 2 to 3 people in my team, Work with 5 to 6 people in my team")</f>
        <v>Work with 2 to 3 people in my team, Work with 5 to 6 people in my team</v>
      </c>
      <c r="Q2707" s="1" t="str">
        <f ca="1">IFERROR(__xludf.DUMMYFUNCTION("""COMPUTED_VALUE"""),"Yes, I Understand this is gonna happen everywhere")</f>
        <v>Yes, I Understand this is gonna happen everywhere</v>
      </c>
      <c r="R2707" s="1" t="str">
        <f ca="1">IFERROR(__xludf.DUMMYFUNCTION("""COMPUTED_VALUE"""),"This will be hard to do, but if it is the right company I would try")</f>
        <v>This will be hard to do, but if it is the right company I would try</v>
      </c>
      <c r="S2707" s="1" t="str">
        <f ca="1">IFERROR(__xludf.DUMMYFUNCTION("""COMPUTED_VALUE"""),"kumarmanvendra9981@gmail.com")</f>
        <v>kumarmanvendra9981@gmail.com</v>
      </c>
    </row>
    <row r="2708" spans="1:19" ht="12.5" x14ac:dyDescent="0.25">
      <c r="A2708" s="2">
        <f ca="1">IFERROR(__xludf.DUMMYFUNCTION("""COMPUTED_VALUE"""),45066.7395195601)</f>
        <v>45066.739519560098</v>
      </c>
      <c r="B2708" s="1" t="str">
        <f ca="1">IFERROR(__xludf.DUMMYFUNCTION("""COMPUTED_VALUE"""),"India")</f>
        <v>India</v>
      </c>
      <c r="C2708" s="1">
        <f ca="1">IFERROR(__xludf.DUMMYFUNCTION("""COMPUTED_VALUE"""),452010)</f>
        <v>452010</v>
      </c>
      <c r="D2708" s="1" t="str">
        <f ca="1">IFERROR(__xludf.DUMMYFUNCTION("""COMPUTED_VALUE"""),"Female")</f>
        <v>Female</v>
      </c>
      <c r="E2708" s="1" t="str">
        <f ca="1">IFERROR(__xludf.DUMMYFUNCTION("""COMPUTED_VALUE"""),"People who have changed the world for better")</f>
        <v>People who have changed the world for better</v>
      </c>
      <c r="F2708" s="1" t="str">
        <f ca="1">IFERROR(__xludf.DUMMYFUNCTION("""COMPUTED_VALUE"""),"Yes, I will earn and do that")</f>
        <v>Yes, I will earn and do that</v>
      </c>
      <c r="G2708" s="1" t="str">
        <f ca="1">IFERROR(__xludf.DUMMYFUNCTION("""COMPUTED_VALUE"""),"This will be hard to do, but if it is the right company I would try")</f>
        <v>This will be hard to do, but if it is the right company I would try</v>
      </c>
      <c r="H2708" s="1" t="str">
        <f ca="1">IFERROR(__xludf.DUMMYFUNCTION("""COMPUTED_VALUE"""),"No")</f>
        <v>No</v>
      </c>
      <c r="I2708" s="1" t="str">
        <f ca="1">IFERROR(__xludf.DUMMYFUNCTION("""COMPUTED_VALUE"""),"Will NOT work for them")</f>
        <v>Will NOT work for them</v>
      </c>
      <c r="J2708" s="1">
        <f ca="1">IFERROR(__xludf.DUMMYFUNCTION("""COMPUTED_VALUE"""),8)</f>
        <v>8</v>
      </c>
      <c r="K2708" s="1" t="str">
        <f ca="1">IFERROR(__xludf.DUMMYFUNCTION("""COMPUTED_VALUE"""),"Every Day Office Environment")</f>
        <v>Every Day Office Environment</v>
      </c>
      <c r="L270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08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708" s="1" t="str">
        <f ca="1">IFERROR(__xludf.DUMMYFUNCTION("""COMPUTED_VALUE"""),"Design and Creative strategy in any company, Teaching in any of the institutes/colleges/online or offline, Business Operations in any organization, Build and develop a Team")</f>
        <v>Design and Creative strategy in any company, Teaching in any of the institutes/colleges/online or offline, Business Operations in any organization, Build and develop a Team</v>
      </c>
      <c r="O2708" s="1" t="str">
        <f ca="1">IFERROR(__xludf.DUMMYFUNCTION("""COMPUTED_VALUE"""),"Manager who explains what is expected, sets a goal and helps achieve it")</f>
        <v>Manager who explains what is expected, sets a goal and helps achieve it</v>
      </c>
      <c r="P2708" s="1" t="str">
        <f ca="1">IFERROR(__xludf.DUMMYFUNCTION("""COMPUTED_VALUE"""),"Work alone")</f>
        <v>Work alone</v>
      </c>
      <c r="Q2708" s="1" t="str">
        <f ca="1">IFERROR(__xludf.DUMMYFUNCTION("""COMPUTED_VALUE"""),"Yes, I Understand this is gonna happen everywhere")</f>
        <v>Yes, I Understand this is gonna happen everywhere</v>
      </c>
      <c r="R2708" s="1" t="str">
        <f ca="1">IFERROR(__xludf.DUMMYFUNCTION("""COMPUTED_VALUE"""),"No way")</f>
        <v>No way</v>
      </c>
      <c r="S2708" s="1" t="str">
        <f ca="1">IFERROR(__xludf.DUMMYFUNCTION("""COMPUTED_VALUE"""),"rishikaraghuwanshi1306@gmail.com")</f>
        <v>rishikaraghuwanshi1306@gmail.com</v>
      </c>
    </row>
    <row r="2709" spans="1:19" ht="12.5" x14ac:dyDescent="0.25">
      <c r="A2709" s="2">
        <f ca="1">IFERROR(__xludf.DUMMYFUNCTION("""COMPUTED_VALUE"""),45066.7442758101)</f>
        <v>45066.744275810102</v>
      </c>
      <c r="B2709" s="1" t="str">
        <f ca="1">IFERROR(__xludf.DUMMYFUNCTION("""COMPUTED_VALUE"""),"India")</f>
        <v>India</v>
      </c>
      <c r="C2709" s="1">
        <f ca="1">IFERROR(__xludf.DUMMYFUNCTION("""COMPUTED_VALUE"""),464001)</f>
        <v>464001</v>
      </c>
      <c r="D2709" s="1" t="str">
        <f ca="1">IFERROR(__xludf.DUMMYFUNCTION("""COMPUTED_VALUE"""),"Male")</f>
        <v>Male</v>
      </c>
      <c r="E2709" s="1" t="str">
        <f ca="1">IFERROR(__xludf.DUMMYFUNCTION("""COMPUTED_VALUE"""),"People who have changed the world for better")</f>
        <v>People who have changed the world for better</v>
      </c>
      <c r="F2709" s="1" t="str">
        <f ca="1">IFERROR(__xludf.DUMMYFUNCTION("""COMPUTED_VALUE"""),"No, But if someone could bare the cost I will")</f>
        <v>No, But if someone could bare the cost I will</v>
      </c>
      <c r="G2709" s="1" t="str">
        <f ca="1">IFERROR(__xludf.DUMMYFUNCTION("""COMPUTED_VALUE"""),"No way")</f>
        <v>No way</v>
      </c>
      <c r="H2709" s="1" t="str">
        <f ca="1">IFERROR(__xludf.DUMMYFUNCTION("""COMPUTED_VALUE"""),"No")</f>
        <v>No</v>
      </c>
      <c r="I2709" s="1" t="str">
        <f ca="1">IFERROR(__xludf.DUMMYFUNCTION("""COMPUTED_VALUE"""),"Will NOT work for them")</f>
        <v>Will NOT work for them</v>
      </c>
      <c r="J2709" s="1">
        <f ca="1">IFERROR(__xludf.DUMMYFUNCTION("""COMPUTED_VALUE"""),3)</f>
        <v>3</v>
      </c>
      <c r="K2709" s="1" t="str">
        <f ca="1">IFERROR(__xludf.DUMMYFUNCTION("""COMPUTED_VALUE"""),"Hybrid Working Environment with less than 3 days a month at office")</f>
        <v>Hybrid Working Environment with less than 3 days a month at office</v>
      </c>
      <c r="L2709" s="1" t="str">
        <f ca="1">IFERROR(__xludf.DUMMYFUNCTION("""COMPUTED_VALUE"""),"Employer who appreciates learning and enables that environment")</f>
        <v>Employer who appreciates learning and enables that environment</v>
      </c>
      <c r="M2709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709" s="1" t="str">
        <f ca="1">IFERROR(__xludf.DUMMYFUNCTION("""COMPUTED_VALUE"""),"Teaching in any of the institutes/colleges/online or offline, Manage and drive End-to-End Projects or Products, Design and Develop amazing software, An Artificial Intelligence Specialist / Talking to Robots")</f>
        <v>Teaching in any of the institutes/colleges/online or offline, Manage and drive End-to-End Projects or Products, Design and Develop amazing software, An Artificial Intelligence Specialist / Talking to Robots</v>
      </c>
      <c r="O2709" s="1" t="str">
        <f ca="1">IFERROR(__xludf.DUMMYFUNCTION("""COMPUTED_VALUE"""),"Manager who explains what is expected, sets a goal and helps achieve it")</f>
        <v>Manager who explains what is expected, sets a goal and helps achieve it</v>
      </c>
      <c r="P2709" s="1" t="str">
        <f ca="1">IFERROR(__xludf.DUMMYFUNCTION("""COMPUTED_VALUE"""),"Work with 2 to 3 people in my team")</f>
        <v>Work with 2 to 3 people in my team</v>
      </c>
      <c r="Q2709" s="1" t="str">
        <f ca="1">IFERROR(__xludf.DUMMYFUNCTION("""COMPUTED_VALUE"""),"No")</f>
        <v>No</v>
      </c>
      <c r="R2709" s="1" t="str">
        <f ca="1">IFERROR(__xludf.DUMMYFUNCTION("""COMPUTED_VALUE"""),"No way")</f>
        <v>No way</v>
      </c>
      <c r="S2709" s="1" t="str">
        <f ca="1">IFERROR(__xludf.DUMMYFUNCTION("""COMPUTED_VALUE"""),"peeludev@gmail.com")</f>
        <v>peeludev@gmail.com</v>
      </c>
    </row>
    <row r="2710" spans="1:19" ht="12.5" x14ac:dyDescent="0.25">
      <c r="A2710" s="2">
        <f ca="1">IFERROR(__xludf.DUMMYFUNCTION("""COMPUTED_VALUE"""),45066.7526141782)</f>
        <v>45066.7526141782</v>
      </c>
      <c r="B2710" s="1" t="str">
        <f ca="1">IFERROR(__xludf.DUMMYFUNCTION("""COMPUTED_VALUE"""),"India")</f>
        <v>India</v>
      </c>
      <c r="C2710" s="1">
        <f ca="1">IFERROR(__xludf.DUMMYFUNCTION("""COMPUTED_VALUE"""),500091)</f>
        <v>500091</v>
      </c>
      <c r="D2710" s="1" t="str">
        <f ca="1">IFERROR(__xludf.DUMMYFUNCTION("""COMPUTED_VALUE"""),"Female")</f>
        <v>Female</v>
      </c>
      <c r="E2710" s="1" t="str">
        <f ca="1">IFERROR(__xludf.DUMMYFUNCTION("""COMPUTED_VALUE"""),"Influencers who had successful careers")</f>
        <v>Influencers who had successful careers</v>
      </c>
      <c r="F2710" s="1" t="str">
        <f ca="1">IFERROR(__xludf.DUMMYFUNCTION("""COMPUTED_VALUE"""),"Yes, I will earn and do that")</f>
        <v>Yes, I will earn and do that</v>
      </c>
      <c r="G2710" s="1" t="str">
        <f ca="1">IFERROR(__xludf.DUMMYFUNCTION("""COMPUTED_VALUE"""),"This will be hard to do, but if it is the right company I would try")</f>
        <v>This will be hard to do, but if it is the right company I would try</v>
      </c>
      <c r="H2710" s="1" t="str">
        <f ca="1">IFERROR(__xludf.DUMMYFUNCTION("""COMPUTED_VALUE"""),"Yes")</f>
        <v>Yes</v>
      </c>
      <c r="I2710" s="1" t="str">
        <f ca="1">IFERROR(__xludf.DUMMYFUNCTION("""COMPUTED_VALUE"""),"Will NOT work for them")</f>
        <v>Will NOT work for them</v>
      </c>
      <c r="J2710" s="1">
        <f ca="1">IFERROR(__xludf.DUMMYFUNCTION("""COMPUTED_VALUE"""),4)</f>
        <v>4</v>
      </c>
      <c r="K2710" s="1" t="str">
        <f ca="1">IFERROR(__xludf.DUMMYFUNCTION("""COMPUTED_VALUE"""),"Fully Remote with Options to travel as and when needed")</f>
        <v>Fully Remote with Options to travel as and when needed</v>
      </c>
      <c r="L271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10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710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710" s="1" t="str">
        <f ca="1">IFERROR(__xludf.DUMMYFUNCTION("""COMPUTED_VALUE"""),"Manager who explains what is expected, sets a goal and helps achieve it")</f>
        <v>Manager who explains what is expected, sets a goal and helps achieve it</v>
      </c>
      <c r="P2710" s="1" t="str">
        <f ca="1">IFERROR(__xludf.DUMMYFUNCTION("""COMPUTED_VALUE"""),"Work with 2 to 3 people in my team")</f>
        <v>Work with 2 to 3 people in my team</v>
      </c>
      <c r="Q2710" s="1" t="str">
        <f ca="1">IFERROR(__xludf.DUMMYFUNCTION("""COMPUTED_VALUE"""),"No")</f>
        <v>No</v>
      </c>
      <c r="R2710" s="1" t="str">
        <f ca="1">IFERROR(__xludf.DUMMYFUNCTION("""COMPUTED_VALUE"""),"This will be hard to do, but if it is the right company I would try")</f>
        <v>This will be hard to do, but if it is the right company I would try</v>
      </c>
      <c r="S2710" s="1" t="str">
        <f ca="1">IFERROR(__xludf.DUMMYFUNCTION("""COMPUTED_VALUE"""),"kirtibandi04@gmail.com")</f>
        <v>kirtibandi04@gmail.com</v>
      </c>
    </row>
    <row r="2711" spans="1:19" ht="12.5" x14ac:dyDescent="0.25">
      <c r="A2711" s="2">
        <f ca="1">IFERROR(__xludf.DUMMYFUNCTION("""COMPUTED_VALUE"""),45066.7536623263)</f>
        <v>45066.7536623263</v>
      </c>
      <c r="B2711" s="1" t="str">
        <f ca="1">IFERROR(__xludf.DUMMYFUNCTION("""COMPUTED_VALUE"""),"India")</f>
        <v>India</v>
      </c>
      <c r="C2711" s="1">
        <f ca="1">IFERROR(__xludf.DUMMYFUNCTION("""COMPUTED_VALUE"""),462023)</f>
        <v>462023</v>
      </c>
      <c r="D2711" s="1" t="str">
        <f ca="1">IFERROR(__xludf.DUMMYFUNCTION("""COMPUTED_VALUE"""),"Female")</f>
        <v>Female</v>
      </c>
      <c r="E2711" s="1" t="str">
        <f ca="1">IFERROR(__xludf.DUMMYFUNCTION("""COMPUTED_VALUE"""),"My Parents")</f>
        <v>My Parents</v>
      </c>
      <c r="F2711" s="1" t="str">
        <f ca="1">IFERROR(__xludf.DUMMYFUNCTION("""COMPUTED_VALUE"""),"No I would not be pursuing Higher Education outside of India")</f>
        <v>No I would not be pursuing Higher Education outside of India</v>
      </c>
      <c r="G2711" s="1" t="str">
        <f ca="1">IFERROR(__xludf.DUMMYFUNCTION("""COMPUTED_VALUE"""),"Will work for 3 years or more")</f>
        <v>Will work for 3 years or more</v>
      </c>
      <c r="H2711" s="1" t="str">
        <f ca="1">IFERROR(__xludf.DUMMYFUNCTION("""COMPUTED_VALUE"""),"No")</f>
        <v>No</v>
      </c>
      <c r="I2711" s="1" t="str">
        <f ca="1">IFERROR(__xludf.DUMMYFUNCTION("""COMPUTED_VALUE"""),"Will NOT work for them")</f>
        <v>Will NOT work for them</v>
      </c>
      <c r="J2711" s="1">
        <f ca="1">IFERROR(__xludf.DUMMYFUNCTION("""COMPUTED_VALUE"""),8)</f>
        <v>8</v>
      </c>
      <c r="K2711" s="1" t="str">
        <f ca="1">IFERROR(__xludf.DUMMYFUNCTION("""COMPUTED_VALUE"""),"Hybrid Working Environment with more than 15 days a month at office")</f>
        <v>Hybrid Working Environment with more than 15 days a month at office</v>
      </c>
      <c r="L271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1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11" s="1" t="str">
        <f ca="1">IFERROR(__xludf.DUMMYFUNCTION("""COMPUTED_VALUE"""),"Teaching in any of the institutes/colleges/online or offline, Manage and drive End-to-End Projects or Products, Work as a freelancer and do my thing my way, Entrepreneur or Start Up")</f>
        <v>Teaching in any of the institutes/colleges/online or offline, Manage and drive End-to-End Projects or Products, Work as a freelancer and do my thing my way, Entrepreneur or Start Up</v>
      </c>
      <c r="O2711" s="1" t="str">
        <f ca="1">IFERROR(__xludf.DUMMYFUNCTION("""COMPUTED_VALUE"""),"Manager who explains what is expected, sets a goal and helps achieve it")</f>
        <v>Manager who explains what is expected, sets a goal and helps achieve it</v>
      </c>
      <c r="P2711" s="1" t="str">
        <f ca="1">IFERROR(__xludf.DUMMYFUNCTION("""COMPUTED_VALUE"""),"Work with 2 to 3 people in my team")</f>
        <v>Work with 2 to 3 people in my team</v>
      </c>
      <c r="Q2711" s="1" t="str">
        <f ca="1">IFERROR(__xludf.DUMMYFUNCTION("""COMPUTED_VALUE"""),"Yes, I Understand this is gonna happen everywhere")</f>
        <v>Yes, I Understand this is gonna happen everywhere</v>
      </c>
      <c r="R2711" s="1" t="str">
        <f ca="1">IFERROR(__xludf.DUMMYFUNCTION("""COMPUTED_VALUE"""),"This will be hard to do, but if it is the right company I would try")</f>
        <v>This will be hard to do, but if it is the right company I would try</v>
      </c>
      <c r="S2711" s="1" t="str">
        <f ca="1">IFERROR(__xludf.DUMMYFUNCTION("""COMPUTED_VALUE"""),"riya.raghu96@gmail.com")</f>
        <v>riya.raghu96@gmail.com</v>
      </c>
    </row>
    <row r="2712" spans="1:19" ht="12.5" x14ac:dyDescent="0.25">
      <c r="A2712" s="2">
        <f ca="1">IFERROR(__xludf.DUMMYFUNCTION("""COMPUTED_VALUE"""),45066.7561923842)</f>
        <v>45066.7561923842</v>
      </c>
      <c r="B2712" s="1" t="str">
        <f ca="1">IFERROR(__xludf.DUMMYFUNCTION("""COMPUTED_VALUE"""),"India")</f>
        <v>India</v>
      </c>
      <c r="C2712" s="1">
        <f ca="1">IFERROR(__xludf.DUMMYFUNCTION("""COMPUTED_VALUE"""),464001)</f>
        <v>464001</v>
      </c>
      <c r="D2712" s="1" t="str">
        <f ca="1">IFERROR(__xludf.DUMMYFUNCTION("""COMPUTED_VALUE"""),"Female")</f>
        <v>Female</v>
      </c>
      <c r="E2712" s="1" t="str">
        <f ca="1">IFERROR(__xludf.DUMMYFUNCTION("""COMPUTED_VALUE"""),"People from my circle, but not family members")</f>
        <v>People from my circle, but not family members</v>
      </c>
      <c r="F2712" s="1" t="str">
        <f ca="1">IFERROR(__xludf.DUMMYFUNCTION("""COMPUTED_VALUE"""),"No, But if someone could bare the cost I will")</f>
        <v>No, But if someone could bare the cost I will</v>
      </c>
      <c r="G2712" s="1" t="str">
        <f ca="1">IFERROR(__xludf.DUMMYFUNCTION("""COMPUTED_VALUE"""),"This will be hard to do, but if it is the right company I would try")</f>
        <v>This will be hard to do, but if it is the right company I would try</v>
      </c>
      <c r="H2712" s="1" t="str">
        <f ca="1">IFERROR(__xludf.DUMMYFUNCTION("""COMPUTED_VALUE"""),"Yes")</f>
        <v>Yes</v>
      </c>
      <c r="I2712" s="1" t="str">
        <f ca="1">IFERROR(__xludf.DUMMYFUNCTION("""COMPUTED_VALUE"""),"Will NOT work for them")</f>
        <v>Will NOT work for them</v>
      </c>
      <c r="J2712" s="1">
        <f ca="1">IFERROR(__xludf.DUMMYFUNCTION("""COMPUTED_VALUE"""),8)</f>
        <v>8</v>
      </c>
      <c r="K2712" s="1" t="str">
        <f ca="1">IFERROR(__xludf.DUMMYFUNCTION("""COMPUTED_VALUE"""),"Hybrid Working Environment with more than 15 days a month at office")</f>
        <v>Hybrid Working Environment with more than 15 days a month at office</v>
      </c>
      <c r="L271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12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12" s="1" t="str">
        <f ca="1">IFERROR(__xludf.DUMMYFUNCTION("""COMPUTED_VALUE"""),"Manage and drive End-to-End Projects or Products, Build and develop a Team, Work as a freelancer and do my thing my way, I Want to sell things/Sales")</f>
        <v>Manage and drive End-to-End Projects or Products, Build and develop a Team, Work as a freelancer and do my thing my way, I Want to sell things/Sales</v>
      </c>
      <c r="O2712" s="1" t="str">
        <f ca="1">IFERROR(__xludf.DUMMYFUNCTION("""COMPUTED_VALUE"""),"Manager who explains what is expected, sets a goal and helps achieve it")</f>
        <v>Manager who explains what is expected, sets a goal and helps achieve it</v>
      </c>
      <c r="P2712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712" s="1" t="str">
        <f ca="1">IFERROR(__xludf.DUMMYFUNCTION("""COMPUTED_VALUE"""),"Yes, I Understand this is gonna happen everywhere")</f>
        <v>Yes, I Understand this is gonna happen everywhere</v>
      </c>
      <c r="R2712" s="1" t="str">
        <f ca="1">IFERROR(__xludf.DUMMYFUNCTION("""COMPUTED_VALUE"""),"This will be hard to do, but if it is the right company I would try")</f>
        <v>This will be hard to do, but if it is the right company I would try</v>
      </c>
      <c r="S2712" s="1" t="str">
        <f ca="1">IFERROR(__xludf.DUMMYFUNCTION("""COMPUTED_VALUE"""),"simranraghuwanshi5@gmail.com")</f>
        <v>simranraghuwanshi5@gmail.com</v>
      </c>
    </row>
    <row r="2713" spans="1:19" ht="12.5" x14ac:dyDescent="0.25">
      <c r="A2713" s="2">
        <f ca="1">IFERROR(__xludf.DUMMYFUNCTION("""COMPUTED_VALUE"""),45066.781790081)</f>
        <v>45066.781790080997</v>
      </c>
      <c r="B2713" s="1" t="str">
        <f ca="1">IFERROR(__xludf.DUMMYFUNCTION("""COMPUTED_VALUE"""),"India")</f>
        <v>India</v>
      </c>
      <c r="C2713" s="1">
        <f ca="1">IFERROR(__xludf.DUMMYFUNCTION("""COMPUTED_VALUE"""),632006)</f>
        <v>632006</v>
      </c>
      <c r="D2713" s="1" t="str">
        <f ca="1">IFERROR(__xludf.DUMMYFUNCTION("""COMPUTED_VALUE"""),"Female")</f>
        <v>Female</v>
      </c>
      <c r="E2713" s="1" t="str">
        <f ca="1">IFERROR(__xludf.DUMMYFUNCTION("""COMPUTED_VALUE"""),"My Parents")</f>
        <v>My Parents</v>
      </c>
      <c r="F2713" s="1" t="str">
        <f ca="1">IFERROR(__xludf.DUMMYFUNCTION("""COMPUTED_VALUE"""),"No, But if someone could bare the cost I will")</f>
        <v>No, But if someone could bare the cost I will</v>
      </c>
      <c r="G2713" s="1" t="str">
        <f ca="1">IFERROR(__xludf.DUMMYFUNCTION("""COMPUTED_VALUE"""),"This will be hard to do, but if it is the right company I would try")</f>
        <v>This will be hard to do, but if it is the right company I would try</v>
      </c>
      <c r="H2713" s="1" t="str">
        <f ca="1">IFERROR(__xludf.DUMMYFUNCTION("""COMPUTED_VALUE"""),"No")</f>
        <v>No</v>
      </c>
      <c r="I2713" s="1" t="str">
        <f ca="1">IFERROR(__xludf.DUMMYFUNCTION("""COMPUTED_VALUE"""),"Will NOT work for them")</f>
        <v>Will NOT work for them</v>
      </c>
      <c r="J2713" s="1">
        <f ca="1">IFERROR(__xludf.DUMMYFUNCTION("""COMPUTED_VALUE"""),6)</f>
        <v>6</v>
      </c>
      <c r="K2713" s="1" t="str">
        <f ca="1">IFERROR(__xludf.DUMMYFUNCTION("""COMPUTED_VALUE"""),"Hybrid Working Environment with more than 15 days a month at office")</f>
        <v>Hybrid Working Environment with more than 15 days a month at office</v>
      </c>
      <c r="L271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13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13" s="1" t="str">
        <f ca="1">IFERROR(__xludf.DUMMYFUNCTION("""COMPUTED_VALUE"""),"Design and Creative strategy in any company, Business Operations in any organization, Look deeply into Data and generate insights, Entrepreneur or Start Up")</f>
        <v>Design and Creative strategy in any company, Business Operations in any organization, Look deeply into Data and generate insights, Entrepreneur or Start Up</v>
      </c>
      <c r="O2713" s="1" t="str">
        <f ca="1">IFERROR(__xludf.DUMMYFUNCTION("""COMPUTED_VALUE"""),"Manager who explains what is expected, sets a goal and helps achieve it")</f>
        <v>Manager who explains what is expected, sets a goal and helps achieve it</v>
      </c>
      <c r="P2713" s="1" t="str">
        <f ca="1">IFERROR(__xludf.DUMMYFUNCTION("""COMPUTED_VALUE"""),"Work alone, Work with 2 to 3 people in my team, Work with 5 to 6 people in my team")</f>
        <v>Work alone, Work with 2 to 3 people in my team, Work with 5 to 6 people in my team</v>
      </c>
      <c r="Q2713" s="1" t="str">
        <f ca="1">IFERROR(__xludf.DUMMYFUNCTION("""COMPUTED_VALUE"""),"Yes, I Understand this is gonna happen everywhere")</f>
        <v>Yes, I Understand this is gonna happen everywhere</v>
      </c>
      <c r="R2713" s="1" t="str">
        <f ca="1">IFERROR(__xludf.DUMMYFUNCTION("""COMPUTED_VALUE"""),"This will be hard to do, but if it is the right company I would try")</f>
        <v>This will be hard to do, but if it is the right company I would try</v>
      </c>
      <c r="S2713" s="1" t="str">
        <f ca="1">IFERROR(__xludf.DUMMYFUNCTION("""COMPUTED_VALUE"""),"soobarnikaa21@gmail.com")</f>
        <v>soobarnikaa21@gmail.com</v>
      </c>
    </row>
    <row r="2714" spans="1:19" ht="12.5" x14ac:dyDescent="0.25">
      <c r="A2714" s="2">
        <f ca="1">IFERROR(__xludf.DUMMYFUNCTION("""COMPUTED_VALUE"""),45066.7829974652)</f>
        <v>45066.782997465198</v>
      </c>
      <c r="B2714" s="1" t="str">
        <f ca="1">IFERROR(__xludf.DUMMYFUNCTION("""COMPUTED_VALUE"""),"India")</f>
        <v>India</v>
      </c>
      <c r="C2714" s="1">
        <f ca="1">IFERROR(__xludf.DUMMYFUNCTION("""COMPUTED_VALUE"""),515411)</f>
        <v>515411</v>
      </c>
      <c r="D2714" s="1" t="str">
        <f ca="1">IFERROR(__xludf.DUMMYFUNCTION("""COMPUTED_VALUE"""),"Male")</f>
        <v>Male</v>
      </c>
      <c r="E2714" s="1" t="str">
        <f ca="1">IFERROR(__xludf.DUMMYFUNCTION("""COMPUTED_VALUE"""),"My Parents")</f>
        <v>My Parents</v>
      </c>
      <c r="F2714" s="1" t="str">
        <f ca="1">IFERROR(__xludf.DUMMYFUNCTION("""COMPUTED_VALUE"""),"No, But if someone could bare the cost I will")</f>
        <v>No, But if someone could bare the cost I will</v>
      </c>
      <c r="G2714" s="1" t="str">
        <f ca="1">IFERROR(__xludf.DUMMYFUNCTION("""COMPUTED_VALUE"""),"No way")</f>
        <v>No way</v>
      </c>
      <c r="H2714" s="1" t="str">
        <f ca="1">IFERROR(__xludf.DUMMYFUNCTION("""COMPUTED_VALUE"""),"No")</f>
        <v>No</v>
      </c>
      <c r="I2714" s="1" t="str">
        <f ca="1">IFERROR(__xludf.DUMMYFUNCTION("""COMPUTED_VALUE"""),"Will NOT work for them")</f>
        <v>Will NOT work for them</v>
      </c>
      <c r="J2714" s="1">
        <f ca="1">IFERROR(__xludf.DUMMYFUNCTION("""COMPUTED_VALUE"""),1)</f>
        <v>1</v>
      </c>
      <c r="K2714" s="1" t="str">
        <f ca="1">IFERROR(__xludf.DUMMYFUNCTION("""COMPUTED_VALUE"""),"Fully Remote with Options to travel as and when needed")</f>
        <v>Fully Remote with Options to travel as and when needed</v>
      </c>
      <c r="L2714" s="1" t="str">
        <f ca="1">IFERROR(__xludf.DUMMYFUNCTION("""COMPUTED_VALUE"""),"Employer who appreciates learning and enables that environment")</f>
        <v>Employer who appreciates learning and enables that environment</v>
      </c>
      <c r="M271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14" s="1" t="str">
        <f ca="1">IFERROR(__xludf.DUMMYFUNCTION("""COMPUTED_VALUE"""),"Design and Creative strategy in any company, Teaching in any of the institutes/colleges/online or offline, Manage and drive End-to-End Projects or Products, Design and Develop amazing software")</f>
        <v>Design and Creative strategy in any company, Teaching in any of the institutes/colleges/online or offline, Manage and drive End-to-End Projects or Products, Design and Develop amazing software</v>
      </c>
      <c r="O2714" s="1" t="str">
        <f ca="1">IFERROR(__xludf.DUMMYFUNCTION("""COMPUTED_VALUE"""),"Manager who sets goal and helps me achieve it")</f>
        <v>Manager who sets goal and helps me achieve it</v>
      </c>
      <c r="P2714" s="1" t="str">
        <f ca="1">IFERROR(__xludf.DUMMYFUNCTION("""COMPUTED_VALUE"""),"Work with 5 to 6 people in my team")</f>
        <v>Work with 5 to 6 people in my team</v>
      </c>
      <c r="Q2714" s="1" t="str">
        <f ca="1">IFERROR(__xludf.DUMMYFUNCTION("""COMPUTED_VALUE"""),"No")</f>
        <v>No</v>
      </c>
      <c r="R2714" s="1" t="str">
        <f ca="1">IFERROR(__xludf.DUMMYFUNCTION("""COMPUTED_VALUE"""),"No way")</f>
        <v>No way</v>
      </c>
      <c r="S2714" s="1" t="str">
        <f ca="1">IFERROR(__xludf.DUMMYFUNCTION("""COMPUTED_VALUE"""),"naveenpappuru1999@gmail.com")</f>
        <v>naveenpappuru1999@gmail.com</v>
      </c>
    </row>
    <row r="2715" spans="1:19" ht="12.5" x14ac:dyDescent="0.25">
      <c r="A2715" s="2">
        <f ca="1">IFERROR(__xludf.DUMMYFUNCTION("""COMPUTED_VALUE"""),45066.7873023379)</f>
        <v>45066.7873023379</v>
      </c>
      <c r="B2715" s="1" t="str">
        <f ca="1">IFERROR(__xludf.DUMMYFUNCTION("""COMPUTED_VALUE"""),"India")</f>
        <v>India</v>
      </c>
      <c r="C2715" s="1">
        <f ca="1">IFERROR(__xludf.DUMMYFUNCTION("""COMPUTED_VALUE"""),474001)</f>
        <v>474001</v>
      </c>
      <c r="D2715" s="1" t="str">
        <f ca="1">IFERROR(__xludf.DUMMYFUNCTION("""COMPUTED_VALUE"""),"Male")</f>
        <v>Male</v>
      </c>
      <c r="E2715" s="1" t="str">
        <f ca="1">IFERROR(__xludf.DUMMYFUNCTION("""COMPUTED_VALUE"""),"Social Media like LinkedIn")</f>
        <v>Social Media like LinkedIn</v>
      </c>
      <c r="F2715" s="1" t="str">
        <f ca="1">IFERROR(__xludf.DUMMYFUNCTION("""COMPUTED_VALUE"""),"Yes, I will earn and do that")</f>
        <v>Yes, I will earn and do that</v>
      </c>
      <c r="G2715" s="1" t="str">
        <f ca="1">IFERROR(__xludf.DUMMYFUNCTION("""COMPUTED_VALUE"""),"Will work for 3 years or more")</f>
        <v>Will work for 3 years or more</v>
      </c>
      <c r="H2715" s="1" t="str">
        <f ca="1">IFERROR(__xludf.DUMMYFUNCTION("""COMPUTED_VALUE"""),"Yes")</f>
        <v>Yes</v>
      </c>
      <c r="I2715" s="1" t="str">
        <f ca="1">IFERROR(__xludf.DUMMYFUNCTION("""COMPUTED_VALUE"""),"Will NOT work for them")</f>
        <v>Will NOT work for them</v>
      </c>
      <c r="J2715" s="1">
        <f ca="1">IFERROR(__xludf.DUMMYFUNCTION("""COMPUTED_VALUE"""),5)</f>
        <v>5</v>
      </c>
      <c r="K2715" s="1" t="str">
        <f ca="1">IFERROR(__xludf.DUMMYFUNCTION("""COMPUTED_VALUE"""),"Every Day Office Environment")</f>
        <v>Every Day Office Environment</v>
      </c>
      <c r="L2715" s="1" t="str">
        <f ca="1">IFERROR(__xludf.DUMMYFUNCTION("""COMPUTED_VALUE"""),"Employer who rewards learning and enables that environment")</f>
        <v>Employer who rewards learning and enables that environment</v>
      </c>
      <c r="M271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15" s="1" t="str">
        <f ca="1">IFERROR(__xludf.DUMMYFUNCTION("""COMPUTED_VALUE"""),"Design and Creative strategy in any company, Teaching in any of the institutes/colleges/online or offline, Manage and drive End-to-End Projects or Products, Work as a freelancer and do my thing my way")</f>
        <v>Design and Creative strategy in any company, Teaching in any of the institutes/colleges/online or offline, Manage and drive End-to-End Projects or Products, Work as a freelancer and do my thing my way</v>
      </c>
      <c r="O2715" s="1" t="str">
        <f ca="1">IFERROR(__xludf.DUMMYFUNCTION("""COMPUTED_VALUE"""),"Manager who sets goal and helps me achieve it")</f>
        <v>Manager who sets goal and helps me achieve it</v>
      </c>
      <c r="P2715" s="1" t="str">
        <f ca="1">IFERROR(__xludf.DUMMYFUNCTION("""COMPUTED_VALUE"""),"Work with 5 to 6 people in my team")</f>
        <v>Work with 5 to 6 people in my team</v>
      </c>
      <c r="Q2715" s="1" t="str">
        <f ca="1">IFERROR(__xludf.DUMMYFUNCTION("""COMPUTED_VALUE"""),"Yes")</f>
        <v>Yes</v>
      </c>
      <c r="R2715" s="1" t="str">
        <f ca="1">IFERROR(__xludf.DUMMYFUNCTION("""COMPUTED_VALUE"""),"No way")</f>
        <v>No way</v>
      </c>
      <c r="S2715" s="1" t="str">
        <f ca="1">IFERROR(__xludf.DUMMYFUNCTION("""COMPUTED_VALUE"""),"chandraprakashchauhan15@gmail.com")</f>
        <v>chandraprakashchauhan15@gmail.com</v>
      </c>
    </row>
    <row r="2716" spans="1:19" ht="12.5" x14ac:dyDescent="0.25">
      <c r="A2716" s="2">
        <f ca="1">IFERROR(__xludf.DUMMYFUNCTION("""COMPUTED_VALUE"""),45066.8060411689)</f>
        <v>45066.8060411689</v>
      </c>
      <c r="B2716" s="1" t="str">
        <f ca="1">IFERROR(__xludf.DUMMYFUNCTION("""COMPUTED_VALUE"""),"India")</f>
        <v>India</v>
      </c>
      <c r="C2716" s="1">
        <f ca="1">IFERROR(__xludf.DUMMYFUNCTION("""COMPUTED_VALUE"""),440023)</f>
        <v>440023</v>
      </c>
      <c r="D2716" s="1" t="str">
        <f ca="1">IFERROR(__xludf.DUMMYFUNCTION("""COMPUTED_VALUE"""),"Female")</f>
        <v>Female</v>
      </c>
      <c r="E2716" s="1" t="str">
        <f ca="1">IFERROR(__xludf.DUMMYFUNCTION("""COMPUTED_VALUE"""),"Influencers who had successful careers")</f>
        <v>Influencers who had successful careers</v>
      </c>
      <c r="F2716" s="1" t="str">
        <f ca="1">IFERROR(__xludf.DUMMYFUNCTION("""COMPUTED_VALUE"""),"No I would not be pursuing Higher Education outside of India")</f>
        <v>No I would not be pursuing Higher Education outside of India</v>
      </c>
      <c r="G2716" s="1" t="str">
        <f ca="1">IFERROR(__xludf.DUMMYFUNCTION("""COMPUTED_VALUE"""),"This will be hard to do, but if it is the right company I would try")</f>
        <v>This will be hard to do, but if it is the right company I would try</v>
      </c>
      <c r="H2716" s="1" t="str">
        <f ca="1">IFERROR(__xludf.DUMMYFUNCTION("""COMPUTED_VALUE"""),"Yes")</f>
        <v>Yes</v>
      </c>
      <c r="I2716" s="1" t="str">
        <f ca="1">IFERROR(__xludf.DUMMYFUNCTION("""COMPUTED_VALUE"""),"Will NOT work for them")</f>
        <v>Will NOT work for them</v>
      </c>
      <c r="J2716" s="1">
        <f ca="1">IFERROR(__xludf.DUMMYFUNCTION("""COMPUTED_VALUE"""),6)</f>
        <v>6</v>
      </c>
      <c r="K2716" s="1" t="str">
        <f ca="1">IFERROR(__xludf.DUMMYFUNCTION("""COMPUTED_VALUE"""),"Fully Remote with Options to travel as and when needed")</f>
        <v>Fully Remote with Options to travel as and when needed</v>
      </c>
      <c r="L271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1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16" s="1" t="str">
        <f ca="1">IFERROR(__xludf.DUMMYFUNCTION("""COMPUTED_VALUE"""),"Teaching in any of the institutes/colleges/online or offline, Manage and drive End-to-End Projects or Products, Work as a freelancer and do my thing my way, I Want to sell things/Sales")</f>
        <v>Teaching in any of the institutes/colleges/online or offline, Manage and drive End-to-End Projects or Products, Work as a freelancer and do my thing my way, I Want to sell things/Sales</v>
      </c>
      <c r="O2716" s="1" t="str">
        <f ca="1">IFERROR(__xludf.DUMMYFUNCTION("""COMPUTED_VALUE"""),"Manager who explains what is expected, sets a goal and helps achieve it")</f>
        <v>Manager who explains what is expected, sets a goal and helps achieve it</v>
      </c>
      <c r="P2716" s="1" t="str">
        <f ca="1">IFERROR(__xludf.DUMMYFUNCTION("""COMPUTED_VALUE"""),"Work with 2 to 3 people in my team")</f>
        <v>Work with 2 to 3 people in my team</v>
      </c>
      <c r="Q2716" s="1" t="str">
        <f ca="1">IFERROR(__xludf.DUMMYFUNCTION("""COMPUTED_VALUE"""),"Yes, I Understand this is gonna happen everywhere")</f>
        <v>Yes, I Understand this is gonna happen everywhere</v>
      </c>
      <c r="R2716" s="1" t="str">
        <f ca="1">IFERROR(__xludf.DUMMYFUNCTION("""COMPUTED_VALUE"""),"This will be hard to do, but if it is the right company I would try")</f>
        <v>This will be hard to do, but if it is the right company I would try</v>
      </c>
      <c r="S2716" s="1" t="str">
        <f ca="1">IFERROR(__xludf.DUMMYFUNCTION("""COMPUTED_VALUE"""),"rupalgurnule6180@gmail.com")</f>
        <v>rupalgurnule6180@gmail.com</v>
      </c>
    </row>
    <row r="2717" spans="1:19" ht="12.5" x14ac:dyDescent="0.25">
      <c r="A2717" s="2">
        <f ca="1">IFERROR(__xludf.DUMMYFUNCTION("""COMPUTED_VALUE"""),45066.811786412)</f>
        <v>45066.811786411999</v>
      </c>
      <c r="B2717" s="1" t="str">
        <f ca="1">IFERROR(__xludf.DUMMYFUNCTION("""COMPUTED_VALUE"""),"India")</f>
        <v>India</v>
      </c>
      <c r="C2717" s="1">
        <f ca="1">IFERROR(__xludf.DUMMYFUNCTION("""COMPUTED_VALUE"""),500019)</f>
        <v>500019</v>
      </c>
      <c r="D2717" s="1" t="str">
        <f ca="1">IFERROR(__xludf.DUMMYFUNCTION("""COMPUTED_VALUE"""),"Female")</f>
        <v>Female</v>
      </c>
      <c r="E2717" s="1" t="str">
        <f ca="1">IFERROR(__xludf.DUMMYFUNCTION("""COMPUTED_VALUE"""),"Influencers who had successful careers")</f>
        <v>Influencers who had successful careers</v>
      </c>
      <c r="F2717" s="1" t="str">
        <f ca="1">IFERROR(__xludf.DUMMYFUNCTION("""COMPUTED_VALUE"""),"Yes, I will earn and do that")</f>
        <v>Yes, I will earn and do that</v>
      </c>
      <c r="G2717" s="1" t="str">
        <f ca="1">IFERROR(__xludf.DUMMYFUNCTION("""COMPUTED_VALUE"""),"Will work for 3 years or more")</f>
        <v>Will work for 3 years or more</v>
      </c>
      <c r="H2717" s="1" t="str">
        <f ca="1">IFERROR(__xludf.DUMMYFUNCTION("""COMPUTED_VALUE"""),"Yes")</f>
        <v>Yes</v>
      </c>
      <c r="I2717" s="1" t="str">
        <f ca="1">IFERROR(__xludf.DUMMYFUNCTION("""COMPUTED_VALUE"""),"Will work for them")</f>
        <v>Will work for them</v>
      </c>
      <c r="J2717" s="1">
        <f ca="1">IFERROR(__xludf.DUMMYFUNCTION("""COMPUTED_VALUE"""),10)</f>
        <v>10</v>
      </c>
      <c r="K2717" s="1" t="str">
        <f ca="1">IFERROR(__xludf.DUMMYFUNCTION("""COMPUTED_VALUE"""),"Hybrid Working Environment with less than 3 days a month at office")</f>
        <v>Hybrid Working Environment with less than 3 days a month at office</v>
      </c>
      <c r="L2717" s="1" t="str">
        <f ca="1">IFERROR(__xludf.DUMMYFUNCTION("""COMPUTED_VALUE"""),"Employer who rewards learning and enables that environment")</f>
        <v>Employer who rewards learning and enables that environment</v>
      </c>
      <c r="M2717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717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717" s="1" t="str">
        <f ca="1">IFERROR(__xludf.DUMMYFUNCTION("""COMPUTED_VALUE"""),"Manager who clearly describes what she/he needs")</f>
        <v>Manager who clearly describes what she/he needs</v>
      </c>
      <c r="P2717" s="1" t="str">
        <f ca="1">IFERROR(__xludf.DUMMYFUNCTION("""COMPUTED_VALUE"""),"Work with 5 to 6 people in my team")</f>
        <v>Work with 5 to 6 people in my team</v>
      </c>
      <c r="Q2717" s="1" t="str">
        <f ca="1">IFERROR(__xludf.DUMMYFUNCTION("""COMPUTED_VALUE"""),"Yes")</f>
        <v>Yes</v>
      </c>
      <c r="R2717" s="1" t="str">
        <f ca="1">IFERROR(__xludf.DUMMYFUNCTION("""COMPUTED_VALUE"""),"Will work for 7 years or more")</f>
        <v>Will work for 7 years or more</v>
      </c>
      <c r="S2717" s="1" t="str">
        <f ca="1">IFERROR(__xludf.DUMMYFUNCTION("""COMPUTED_VALUE"""),"paddulella97n@gmail.com")</f>
        <v>paddulella97n@gmail.com</v>
      </c>
    </row>
    <row r="2718" spans="1:19" ht="12.5" x14ac:dyDescent="0.25">
      <c r="A2718" s="2">
        <f ca="1">IFERROR(__xludf.DUMMYFUNCTION("""COMPUTED_VALUE"""),45066.8314149189)</f>
        <v>45066.831414918903</v>
      </c>
      <c r="B2718" s="1" t="str">
        <f ca="1">IFERROR(__xludf.DUMMYFUNCTION("""COMPUTED_VALUE"""),"India")</f>
        <v>India</v>
      </c>
      <c r="C2718" s="1">
        <f ca="1">IFERROR(__xludf.DUMMYFUNCTION("""COMPUTED_VALUE"""),416234)</f>
        <v>416234</v>
      </c>
      <c r="D2718" s="1" t="str">
        <f ca="1">IFERROR(__xludf.DUMMYFUNCTION("""COMPUTED_VALUE"""),"Female")</f>
        <v>Female</v>
      </c>
      <c r="E2718" s="1" t="str">
        <f ca="1">IFERROR(__xludf.DUMMYFUNCTION("""COMPUTED_VALUE"""),"Influencers who had successful careers")</f>
        <v>Influencers who had successful careers</v>
      </c>
      <c r="F2718" s="1" t="str">
        <f ca="1">IFERROR(__xludf.DUMMYFUNCTION("""COMPUTED_VALUE"""),"Yes, I will earn and do that")</f>
        <v>Yes, I will earn and do that</v>
      </c>
      <c r="G2718" s="1" t="str">
        <f ca="1">IFERROR(__xludf.DUMMYFUNCTION("""COMPUTED_VALUE"""),"This will be hard to do, but if it is the right company I would try")</f>
        <v>This will be hard to do, but if it is the right company I would try</v>
      </c>
      <c r="H2718" s="1" t="str">
        <f ca="1">IFERROR(__xludf.DUMMYFUNCTION("""COMPUTED_VALUE"""),"No")</f>
        <v>No</v>
      </c>
      <c r="I2718" s="1" t="str">
        <f ca="1">IFERROR(__xludf.DUMMYFUNCTION("""COMPUTED_VALUE"""),"Will NOT work for them")</f>
        <v>Will NOT work for them</v>
      </c>
      <c r="J2718" s="1">
        <f ca="1">IFERROR(__xludf.DUMMYFUNCTION("""COMPUTED_VALUE"""),7)</f>
        <v>7</v>
      </c>
      <c r="K2718" s="1" t="str">
        <f ca="1">IFERROR(__xludf.DUMMYFUNCTION("""COMPUTED_VALUE"""),"Hybrid Working Environment with more than 15 days a month at office")</f>
        <v>Hybrid Working Environment with more than 15 days a month at office</v>
      </c>
      <c r="L271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18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718" s="1" t="str">
        <f ca="1">IFERROR(__xludf.DUMMYFUNCTION("""COMPUTED_VALUE"""),"Design and Creative strategy in any company, Manage and drive End-to-End Projects or Products, Design and Develop amazing software, Entrepreneur or Start Up")</f>
        <v>Design and Creative strategy in any company, Manage and drive End-to-End Projects or Products, Design and Develop amazing software, Entrepreneur or Start Up</v>
      </c>
      <c r="O2718" s="1" t="str">
        <f ca="1">IFERROR(__xludf.DUMMYFUNCTION("""COMPUTED_VALUE"""),"Manager who explains what is expected, sets a goal and helps achieve it")</f>
        <v>Manager who explains what is expected, sets a goal and helps achieve it</v>
      </c>
      <c r="P2718" s="1" t="str">
        <f ca="1">IFERROR(__xludf.DUMMYFUNCTION("""COMPUTED_VALUE"""),"Work with 2 to 3 people in my team")</f>
        <v>Work with 2 to 3 people in my team</v>
      </c>
      <c r="Q2718" s="1" t="str">
        <f ca="1">IFERROR(__xludf.DUMMYFUNCTION("""COMPUTED_VALUE"""),"Yes, I Understand this is gonna happen everywhere")</f>
        <v>Yes, I Understand this is gonna happen everywhere</v>
      </c>
      <c r="R2718" s="1" t="str">
        <f ca="1">IFERROR(__xludf.DUMMYFUNCTION("""COMPUTED_VALUE"""),"This will be hard to do, but if it is the right company I would try")</f>
        <v>This will be hard to do, but if it is the right company I would try</v>
      </c>
      <c r="S2718" s="1" t="str">
        <f ca="1">IFERROR(__xludf.DUMMYFUNCTION("""COMPUTED_VALUE"""),"apurvadeuskar@gmail.com")</f>
        <v>apurvadeuskar@gmail.com</v>
      </c>
    </row>
    <row r="2719" spans="1:19" ht="12.5" x14ac:dyDescent="0.25">
      <c r="A2719" s="2">
        <f ca="1">IFERROR(__xludf.DUMMYFUNCTION("""COMPUTED_VALUE"""),45066.8363523842)</f>
        <v>45066.836352384198</v>
      </c>
      <c r="B2719" s="1" t="str">
        <f ca="1">IFERROR(__xludf.DUMMYFUNCTION("""COMPUTED_VALUE"""),"India")</f>
        <v>India</v>
      </c>
      <c r="C2719" s="1">
        <f ca="1">IFERROR(__xludf.DUMMYFUNCTION("""COMPUTED_VALUE"""),416606)</f>
        <v>416606</v>
      </c>
      <c r="D2719" s="1" t="str">
        <f ca="1">IFERROR(__xludf.DUMMYFUNCTION("""COMPUTED_VALUE"""),"Female")</f>
        <v>Female</v>
      </c>
      <c r="E2719" s="1" t="str">
        <f ca="1">IFERROR(__xludf.DUMMYFUNCTION("""COMPUTED_VALUE"""),"Influencers who had successful careers")</f>
        <v>Influencers who had successful careers</v>
      </c>
      <c r="F2719" s="1" t="str">
        <f ca="1">IFERROR(__xludf.DUMMYFUNCTION("""COMPUTED_VALUE"""),"Yes, I will earn and do that")</f>
        <v>Yes, I will earn and do that</v>
      </c>
      <c r="G2719" s="1" t="str">
        <f ca="1">IFERROR(__xludf.DUMMYFUNCTION("""COMPUTED_VALUE"""),"This will be hard to do, but if it is the right company I would try")</f>
        <v>This will be hard to do, but if it is the right company I would try</v>
      </c>
      <c r="H2719" s="1" t="str">
        <f ca="1">IFERROR(__xludf.DUMMYFUNCTION("""COMPUTED_VALUE"""),"No")</f>
        <v>No</v>
      </c>
      <c r="I2719" s="1" t="str">
        <f ca="1">IFERROR(__xludf.DUMMYFUNCTION("""COMPUTED_VALUE"""),"Will NOT work for them")</f>
        <v>Will NOT work for them</v>
      </c>
      <c r="J2719" s="1">
        <f ca="1">IFERROR(__xludf.DUMMYFUNCTION("""COMPUTED_VALUE"""),4)</f>
        <v>4</v>
      </c>
      <c r="K2719" s="1" t="str">
        <f ca="1">IFERROR(__xludf.DUMMYFUNCTION("""COMPUTED_VALUE"""),"Every Day Office Environment")</f>
        <v>Every Day Office Environment</v>
      </c>
      <c r="L2719" s="1" t="str">
        <f ca="1">IFERROR(__xludf.DUMMYFUNCTION("""COMPUTED_VALUE"""),"Employer who appreciates learning and enables that environment")</f>
        <v>Employer who appreciates learning and enables that environment</v>
      </c>
      <c r="M2719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719" s="1" t="str">
        <f ca="1">IFERROR(__xludf.DUMMYFUNCTION("""COMPUTED_VALUE"""),"Design and Creative strategy in any company, Look deeply into Data and generate insights, Entrepreneur or Start Up, An Artificial Intelligence Specialist / Talking to Robots")</f>
        <v>Design and Creative strategy in any company, Look deeply into Data and generate insights, Entrepreneur or Start Up, An Artificial Intelligence Specialist / Talking to Robots</v>
      </c>
      <c r="O2719" s="1" t="str">
        <f ca="1">IFERROR(__xludf.DUMMYFUNCTION("""COMPUTED_VALUE"""),"Manager who explains what is expected, sets a goal and helps achieve it")</f>
        <v>Manager who explains what is expected, sets a goal and helps achieve it</v>
      </c>
      <c r="P2719" s="1" t="str">
        <f ca="1">IFERROR(__xludf.DUMMYFUNCTION("""COMPUTED_VALUE"""),"Work with 7 to 10 or more people in my team")</f>
        <v>Work with 7 to 10 or more people in my team</v>
      </c>
      <c r="Q2719" s="1" t="str">
        <f ca="1">IFERROR(__xludf.DUMMYFUNCTION("""COMPUTED_VALUE"""),"Yes, I Understand this is gonna happen everywhere")</f>
        <v>Yes, I Understand this is gonna happen everywhere</v>
      </c>
      <c r="R2719" s="1" t="str">
        <f ca="1">IFERROR(__xludf.DUMMYFUNCTION("""COMPUTED_VALUE"""),"This will be hard to do, but if it is the right company I would try")</f>
        <v>This will be hard to do, but if it is the right company I would try</v>
      </c>
      <c r="S2719" s="1" t="str">
        <f ca="1">IFERROR(__xludf.DUMMYFUNCTION("""COMPUTED_VALUE"""),"mrunalighadshi007@gmail.com")</f>
        <v>mrunalighadshi007@gmail.com</v>
      </c>
    </row>
    <row r="2720" spans="1:19" ht="12.5" x14ac:dyDescent="0.25">
      <c r="A2720" s="2">
        <f ca="1">IFERROR(__xludf.DUMMYFUNCTION("""COMPUTED_VALUE"""),45066.8412255324)</f>
        <v>45066.8412255324</v>
      </c>
      <c r="B2720" s="1" t="str">
        <f ca="1">IFERROR(__xludf.DUMMYFUNCTION("""COMPUTED_VALUE"""),"India")</f>
        <v>India</v>
      </c>
      <c r="C2720" s="1">
        <f ca="1">IFERROR(__xludf.DUMMYFUNCTION("""COMPUTED_VALUE"""),464001)</f>
        <v>464001</v>
      </c>
      <c r="D2720" s="1" t="str">
        <f ca="1">IFERROR(__xludf.DUMMYFUNCTION("""COMPUTED_VALUE"""),"Female")</f>
        <v>Female</v>
      </c>
      <c r="E2720" s="1" t="str">
        <f ca="1">IFERROR(__xludf.DUMMYFUNCTION("""COMPUTED_VALUE"""),"People who have changed the world for better")</f>
        <v>People who have changed the world for better</v>
      </c>
      <c r="F2720" s="1" t="str">
        <f ca="1">IFERROR(__xludf.DUMMYFUNCTION("""COMPUTED_VALUE"""),"No I would not be pursuing Higher Education outside of India")</f>
        <v>No I would not be pursuing Higher Education outside of India</v>
      </c>
      <c r="G2720" s="1" t="str">
        <f ca="1">IFERROR(__xludf.DUMMYFUNCTION("""COMPUTED_VALUE"""),"Will work for 3 years or more")</f>
        <v>Will work for 3 years or more</v>
      </c>
      <c r="H2720" s="1" t="str">
        <f ca="1">IFERROR(__xludf.DUMMYFUNCTION("""COMPUTED_VALUE"""),"No")</f>
        <v>No</v>
      </c>
      <c r="I2720" s="1" t="str">
        <f ca="1">IFERROR(__xludf.DUMMYFUNCTION("""COMPUTED_VALUE"""),"Will NOT work for them")</f>
        <v>Will NOT work for them</v>
      </c>
      <c r="J2720" s="1">
        <f ca="1">IFERROR(__xludf.DUMMYFUNCTION("""COMPUTED_VALUE"""),4)</f>
        <v>4</v>
      </c>
      <c r="K2720" s="1" t="str">
        <f ca="1">IFERROR(__xludf.DUMMYFUNCTION("""COMPUTED_VALUE"""),"Fully Remote with Options to travel as and when needed")</f>
        <v>Fully Remote with Options to travel as and when needed</v>
      </c>
      <c r="L272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2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20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720" s="1" t="str">
        <f ca="1">IFERROR(__xludf.DUMMYFUNCTION("""COMPUTED_VALUE"""),"Manager who explains what is expected, sets a goal and helps achieve it")</f>
        <v>Manager who explains what is expected, sets a goal and helps achieve it</v>
      </c>
      <c r="P2720" s="1" t="str">
        <f ca="1">IFERROR(__xludf.DUMMYFUNCTION("""COMPUTED_VALUE"""),"Work with 2 to 3 people in my team")</f>
        <v>Work with 2 to 3 people in my team</v>
      </c>
      <c r="Q2720" s="1" t="str">
        <f ca="1">IFERROR(__xludf.DUMMYFUNCTION("""COMPUTED_VALUE"""),"No")</f>
        <v>No</v>
      </c>
      <c r="R2720" s="1" t="str">
        <f ca="1">IFERROR(__xludf.DUMMYFUNCTION("""COMPUTED_VALUE"""),"Will work for 7 years or more")</f>
        <v>Will work for 7 years or more</v>
      </c>
      <c r="S2720" s="1" t="str">
        <f ca="1">IFERROR(__xludf.DUMMYFUNCTION("""COMPUTED_VALUE"""),"priyanka.raghuwanshi1990@gmail.com")</f>
        <v>priyanka.raghuwanshi1990@gmail.com</v>
      </c>
    </row>
    <row r="2721" spans="1:19" ht="12.5" x14ac:dyDescent="0.25">
      <c r="A2721" s="2">
        <f ca="1">IFERROR(__xludf.DUMMYFUNCTION("""COMPUTED_VALUE"""),45066.8510004861)</f>
        <v>45066.851000486102</v>
      </c>
      <c r="B2721" s="1" t="str">
        <f ca="1">IFERROR(__xludf.DUMMYFUNCTION("""COMPUTED_VALUE"""),"India")</f>
        <v>India</v>
      </c>
      <c r="C2721" s="1">
        <f ca="1">IFERROR(__xludf.DUMMYFUNCTION("""COMPUTED_VALUE"""),532263)</f>
        <v>532263</v>
      </c>
      <c r="D2721" s="1" t="str">
        <f ca="1">IFERROR(__xludf.DUMMYFUNCTION("""COMPUTED_VALUE"""),"Female")</f>
        <v>Female</v>
      </c>
      <c r="E2721" s="1" t="str">
        <f ca="1">IFERROR(__xludf.DUMMYFUNCTION("""COMPUTED_VALUE"""),"People who have changed the world for better")</f>
        <v>People who have changed the world for better</v>
      </c>
      <c r="F2721" s="1" t="str">
        <f ca="1">IFERROR(__xludf.DUMMYFUNCTION("""COMPUTED_VALUE"""),"No I would not be pursuing Higher Education outside of India")</f>
        <v>No I would not be pursuing Higher Education outside of India</v>
      </c>
      <c r="G2721" s="1" t="str">
        <f ca="1">IFERROR(__xludf.DUMMYFUNCTION("""COMPUTED_VALUE"""),"This will be hard to do, but if it is the right company I would try")</f>
        <v>This will be hard to do, but if it is the right company I would try</v>
      </c>
      <c r="H2721" s="1" t="str">
        <f ca="1">IFERROR(__xludf.DUMMYFUNCTION("""COMPUTED_VALUE"""),"No")</f>
        <v>No</v>
      </c>
      <c r="I2721" s="1" t="str">
        <f ca="1">IFERROR(__xludf.DUMMYFUNCTION("""COMPUTED_VALUE"""),"Will NOT work for them")</f>
        <v>Will NOT work for them</v>
      </c>
      <c r="J2721" s="1">
        <f ca="1">IFERROR(__xludf.DUMMYFUNCTION("""COMPUTED_VALUE"""),4)</f>
        <v>4</v>
      </c>
      <c r="K2721" s="1" t="str">
        <f ca="1">IFERROR(__xludf.DUMMYFUNCTION("""COMPUTED_VALUE"""),"Every Day Office Environment")</f>
        <v>Every Day Office Environment</v>
      </c>
      <c r="L2721" s="1" t="str">
        <f ca="1">IFERROR(__xludf.DUMMYFUNCTION("""COMPUTED_VALUE"""),"Employer who rewards learning and enables that environment")</f>
        <v>Employer who rewards learning and enables that environment</v>
      </c>
      <c r="M272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21" s="1" t="str">
        <f ca="1">IFERROR(__xludf.DUMMYFUNCTION("""COMPUTED_VALUE"""),"Design and Creative strategy in any company, Teaching in any of the institutes/colleges/online or offline, Manage and drive End-to-End Projects or Products, Build and develop a Team")</f>
        <v>Design and Creative strategy in any company, Teaching in any of the institutes/colleges/online or offline, Manage and drive End-to-End Projects or Products, Build and develop a Team</v>
      </c>
      <c r="O2721" s="1" t="str">
        <f ca="1">IFERROR(__xludf.DUMMYFUNCTION("""COMPUTED_VALUE"""),"Manager who explains what is expected, sets a goal and helps achieve it")</f>
        <v>Manager who explains what is expected, sets a goal and helps achieve it</v>
      </c>
      <c r="P2721" s="1" t="str">
        <f ca="1">IFERROR(__xludf.DUMMYFUNCTION("""COMPUTED_VALUE"""),"Work with 2 to 3 people in my team")</f>
        <v>Work with 2 to 3 people in my team</v>
      </c>
      <c r="Q2721" s="1" t="str">
        <f ca="1">IFERROR(__xludf.DUMMYFUNCTION("""COMPUTED_VALUE"""),"Yes, I Understand this is gonna happen everywhere")</f>
        <v>Yes, I Understand this is gonna happen everywhere</v>
      </c>
      <c r="R2721" s="1" t="str">
        <f ca="1">IFERROR(__xludf.DUMMYFUNCTION("""COMPUTED_VALUE"""),"This will be hard to do, but if it is the right company I would try")</f>
        <v>This will be hard to do, but if it is the right company I would try</v>
      </c>
      <c r="S2721" s="1" t="str">
        <f ca="1">IFERROR(__xludf.DUMMYFUNCTION("""COMPUTED_VALUE"""),"ashucoolheart@gmail.com")</f>
        <v>ashucoolheart@gmail.com</v>
      </c>
    </row>
    <row r="2722" spans="1:19" ht="12.5" x14ac:dyDescent="0.25">
      <c r="A2722" s="2">
        <f ca="1">IFERROR(__xludf.DUMMYFUNCTION("""COMPUTED_VALUE"""),45066.8580311574)</f>
        <v>45066.858031157397</v>
      </c>
      <c r="B2722" s="1" t="str">
        <f ca="1">IFERROR(__xludf.DUMMYFUNCTION("""COMPUTED_VALUE"""),"India")</f>
        <v>India</v>
      </c>
      <c r="C2722" s="1">
        <f ca="1">IFERROR(__xludf.DUMMYFUNCTION("""COMPUTED_VALUE"""),560066)</f>
        <v>560066</v>
      </c>
      <c r="D2722" s="1" t="str">
        <f ca="1">IFERROR(__xludf.DUMMYFUNCTION("""COMPUTED_VALUE"""),"Male")</f>
        <v>Male</v>
      </c>
      <c r="E2722" s="1" t="str">
        <f ca="1">IFERROR(__xludf.DUMMYFUNCTION("""COMPUTED_VALUE"""),"People who have changed the world for better")</f>
        <v>People who have changed the world for better</v>
      </c>
      <c r="F2722" s="1" t="str">
        <f ca="1">IFERROR(__xludf.DUMMYFUNCTION("""COMPUTED_VALUE"""),"Yes, I will earn and do that")</f>
        <v>Yes, I will earn and do that</v>
      </c>
      <c r="G2722" s="1" t="str">
        <f ca="1">IFERROR(__xludf.DUMMYFUNCTION("""COMPUTED_VALUE"""),"Will work for 3 years or more")</f>
        <v>Will work for 3 years or more</v>
      </c>
      <c r="H2722" s="1" t="str">
        <f ca="1">IFERROR(__xludf.DUMMYFUNCTION("""COMPUTED_VALUE"""),"No")</f>
        <v>No</v>
      </c>
      <c r="I2722" s="1" t="str">
        <f ca="1">IFERROR(__xludf.DUMMYFUNCTION("""COMPUTED_VALUE"""),"Will NOT work for them")</f>
        <v>Will NOT work for them</v>
      </c>
      <c r="J2722" s="1">
        <f ca="1">IFERROR(__xludf.DUMMYFUNCTION("""COMPUTED_VALUE"""),4)</f>
        <v>4</v>
      </c>
      <c r="K2722" s="1" t="str">
        <f ca="1">IFERROR(__xludf.DUMMYFUNCTION("""COMPUTED_VALUE"""),"Every Day Office Environment")</f>
        <v>Every Day Office Environment</v>
      </c>
      <c r="L2722" s="1" t="str">
        <f ca="1">IFERROR(__xludf.DUMMYFUNCTION("""COMPUTED_VALUE"""),"Employer who appreciates learning and enables that environment")</f>
        <v>Employer who appreciates learning and enables that environment</v>
      </c>
      <c r="M2722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722" s="1" t="str">
        <f ca="1">IFERROR(__xludf.DUMMYFUNCTION("""COMPUTED_VALUE"""),"Business Operations in any organization, Look deeply into Data and generate insights, Entrepreneur or Start Up, Manufacturing / Oil and Gas/ Construction / Hard Physical Work related")</f>
        <v>Business Operations in any organization, Look deeply into Data and generate insights, Entrepreneur or Start Up, Manufacturing / Oil and Gas/ Construction / Hard Physical Work related</v>
      </c>
      <c r="O2722" s="1" t="str">
        <f ca="1">IFERROR(__xludf.DUMMYFUNCTION("""COMPUTED_VALUE"""),"Manager who sets goal and helps me achieve it")</f>
        <v>Manager who sets goal and helps me achieve it</v>
      </c>
      <c r="P2722" s="1" t="str">
        <f ca="1">IFERROR(__xludf.DUMMYFUNCTION("""COMPUTED_VALUE"""),"Work with more than 10 people in my team")</f>
        <v>Work with more than 10 people in my team</v>
      </c>
      <c r="Q2722" s="1" t="str">
        <f ca="1">IFERROR(__xludf.DUMMYFUNCTION("""COMPUTED_VALUE"""),"Yes, I Understand this is gonna happen everywhere")</f>
        <v>Yes, I Understand this is gonna happen everywhere</v>
      </c>
      <c r="R2722" s="1" t="str">
        <f ca="1">IFERROR(__xludf.DUMMYFUNCTION("""COMPUTED_VALUE"""),"This will be hard to do, but if it is the right company I would try")</f>
        <v>This will be hard to do, but if it is the right company I would try</v>
      </c>
      <c r="S2722" s="1" t="str">
        <f ca="1">IFERROR(__xludf.DUMMYFUNCTION("""COMPUTED_VALUE"""),"raj.tilakraj4@gmail.com")</f>
        <v>raj.tilakraj4@gmail.com</v>
      </c>
    </row>
    <row r="2723" spans="1:19" ht="12.5" x14ac:dyDescent="0.25">
      <c r="A2723" s="2">
        <f ca="1">IFERROR(__xludf.DUMMYFUNCTION("""COMPUTED_VALUE"""),45066.8789423148)</f>
        <v>45066.878942314797</v>
      </c>
      <c r="B2723" s="1" t="str">
        <f ca="1">IFERROR(__xludf.DUMMYFUNCTION("""COMPUTED_VALUE"""),"India")</f>
        <v>India</v>
      </c>
      <c r="C2723" s="1">
        <f ca="1">IFERROR(__xludf.DUMMYFUNCTION("""COMPUTED_VALUE"""),110071)</f>
        <v>110071</v>
      </c>
      <c r="D2723" s="1" t="str">
        <f ca="1">IFERROR(__xludf.DUMMYFUNCTION("""COMPUTED_VALUE"""),"Female")</f>
        <v>Female</v>
      </c>
      <c r="E2723" s="1" t="str">
        <f ca="1">IFERROR(__xludf.DUMMYFUNCTION("""COMPUTED_VALUE"""),"Influencers who had successful careers")</f>
        <v>Influencers who had successful careers</v>
      </c>
      <c r="F2723" s="1" t="str">
        <f ca="1">IFERROR(__xludf.DUMMYFUNCTION("""COMPUTED_VALUE"""),"Yes, I will earn and do that")</f>
        <v>Yes, I will earn and do that</v>
      </c>
      <c r="G2723" s="1" t="str">
        <f ca="1">IFERROR(__xludf.DUMMYFUNCTION("""COMPUTED_VALUE"""),"No way")</f>
        <v>No way</v>
      </c>
      <c r="H2723" s="1" t="str">
        <f ca="1">IFERROR(__xludf.DUMMYFUNCTION("""COMPUTED_VALUE"""),"Yes")</f>
        <v>Yes</v>
      </c>
      <c r="I2723" s="1" t="str">
        <f ca="1">IFERROR(__xludf.DUMMYFUNCTION("""COMPUTED_VALUE"""),"Will work for them")</f>
        <v>Will work for them</v>
      </c>
      <c r="J2723" s="1">
        <f ca="1">IFERROR(__xludf.DUMMYFUNCTION("""COMPUTED_VALUE"""),10)</f>
        <v>10</v>
      </c>
      <c r="K2723" s="1" t="str">
        <f ca="1">IFERROR(__xludf.DUMMYFUNCTION("""COMPUTED_VALUE"""),"Every Day Office Environment")</f>
        <v>Every Day Office Environment</v>
      </c>
      <c r="L2723" s="1" t="str">
        <f ca="1">IFERROR(__xludf.DUMMYFUNCTION("""COMPUTED_VALUE"""),"Employer who appreciates learning and enables that environment")</f>
        <v>Employer who appreciates learning and enables that environment</v>
      </c>
      <c r="M2723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723" s="1" t="str">
        <f ca="1">IFERROR(__xludf.DUMMYFUNCTION("""COMPUTED_VALUE"""),"Teaching in any of the institutes/colleges/online or offline, Business Operations in any organization, Work as a freelancer and do my thing my way, Entrepreneur or Start Up")</f>
        <v>Teaching in any of the institutes/colleges/online or offline, Business Operations in any organization, Work as a freelancer and do my thing my way, Entrepreneur or Start Up</v>
      </c>
      <c r="O2723" s="1" t="str">
        <f ca="1">IFERROR(__xludf.DUMMYFUNCTION("""COMPUTED_VALUE"""),"Manager who sets targets and expects me to achieve it")</f>
        <v>Manager who sets targets and expects me to achieve it</v>
      </c>
      <c r="P2723" s="1" t="str">
        <f ca="1">IFERROR(__xludf.DUMMYFUNCTION("""COMPUTED_VALUE"""),"Work with 2 to 3 people in my team, Work with more than 10 people in my team")</f>
        <v>Work with 2 to 3 people in my team, Work with more than 10 people in my team</v>
      </c>
      <c r="Q2723" s="1" t="str">
        <f ca="1">IFERROR(__xludf.DUMMYFUNCTION("""COMPUTED_VALUE"""),"Yes")</f>
        <v>Yes</v>
      </c>
      <c r="R2723" s="1" t="str">
        <f ca="1">IFERROR(__xludf.DUMMYFUNCTION("""COMPUTED_VALUE"""),"This will be hard to do, but if it is the right company I would try")</f>
        <v>This will be hard to do, but if it is the right company I would try</v>
      </c>
      <c r="S2723" s="1" t="str">
        <f ca="1">IFERROR(__xludf.DUMMYFUNCTION("""COMPUTED_VALUE"""),"dalalhimani577@gmail.com")</f>
        <v>dalalhimani577@gmail.com</v>
      </c>
    </row>
    <row r="2724" spans="1:19" ht="12.5" x14ac:dyDescent="0.25">
      <c r="A2724" s="2">
        <f ca="1">IFERROR(__xludf.DUMMYFUNCTION("""COMPUTED_VALUE"""),45066.8842275924)</f>
        <v>45066.884227592498</v>
      </c>
      <c r="B2724" s="1" t="str">
        <f ca="1">IFERROR(__xludf.DUMMYFUNCTION("""COMPUTED_VALUE"""),"India")</f>
        <v>India</v>
      </c>
      <c r="C2724" s="1">
        <f ca="1">IFERROR(__xludf.DUMMYFUNCTION("""COMPUTED_VALUE"""),464001)</f>
        <v>464001</v>
      </c>
      <c r="D2724" s="1" t="str">
        <f ca="1">IFERROR(__xludf.DUMMYFUNCTION("""COMPUTED_VALUE"""),"Female")</f>
        <v>Female</v>
      </c>
      <c r="E2724" s="1" t="str">
        <f ca="1">IFERROR(__xludf.DUMMYFUNCTION("""COMPUTED_VALUE"""),"Influencers who had successful careers")</f>
        <v>Influencers who had successful careers</v>
      </c>
      <c r="F2724" s="1" t="str">
        <f ca="1">IFERROR(__xludf.DUMMYFUNCTION("""COMPUTED_VALUE"""),"Yes, I will earn and do that")</f>
        <v>Yes, I will earn and do that</v>
      </c>
      <c r="G2724" s="1" t="str">
        <f ca="1">IFERROR(__xludf.DUMMYFUNCTION("""COMPUTED_VALUE"""),"This will be hard to do, but if it is the right company I would try")</f>
        <v>This will be hard to do, but if it is the right company I would try</v>
      </c>
      <c r="H2724" s="1" t="str">
        <f ca="1">IFERROR(__xludf.DUMMYFUNCTION("""COMPUTED_VALUE"""),"Yes")</f>
        <v>Yes</v>
      </c>
      <c r="I2724" s="1" t="str">
        <f ca="1">IFERROR(__xludf.DUMMYFUNCTION("""COMPUTED_VALUE"""),"Will work for them")</f>
        <v>Will work for them</v>
      </c>
      <c r="J2724" s="1">
        <f ca="1">IFERROR(__xludf.DUMMYFUNCTION("""COMPUTED_VALUE"""),4)</f>
        <v>4</v>
      </c>
      <c r="K2724" s="1" t="str">
        <f ca="1">IFERROR(__xludf.DUMMYFUNCTION("""COMPUTED_VALUE"""),"Hybrid Working Environment with less than 3 days a month at office")</f>
        <v>Hybrid Working Environment with less than 3 days a month at office</v>
      </c>
      <c r="L2724" s="1" t="str">
        <f ca="1">IFERROR(__xludf.DUMMYFUNCTION("""COMPUTED_VALUE"""),"Employer who rewards learning and enables that environment")</f>
        <v>Employer who rewards learning and enables that environment</v>
      </c>
      <c r="M2724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2724" s="1" t="str">
        <f ca="1">IFERROR(__xludf.DUMMYFUNCTION("""COMPUTED_VALUE"""),"Design and Creative strategy in any company, Become a content Creator in some platform, Entrepreneur or Start Up, Manufacturing / Oil and Gas/ Construction / Hard Physical Work related")</f>
        <v>Design and Creative strategy in any company, Become a content Creator in some platform, Entrepreneur or Start Up, Manufacturing / Oil and Gas/ Construction / Hard Physical Work related</v>
      </c>
      <c r="O2724" s="1" t="str">
        <f ca="1">IFERROR(__xludf.DUMMYFUNCTION("""COMPUTED_VALUE"""),"Manager who clearly describes what she/he needs")</f>
        <v>Manager who clearly describes what she/he needs</v>
      </c>
      <c r="P2724" s="1" t="str">
        <f ca="1">IFERROR(__xludf.DUMMYFUNCTION("""COMPUTED_VALUE"""),"Work with 7 to 10 or more people in my team")</f>
        <v>Work with 7 to 10 or more people in my team</v>
      </c>
      <c r="Q2724" s="1" t="str">
        <f ca="1">IFERROR(__xludf.DUMMYFUNCTION("""COMPUTED_VALUE"""),"Yes, I Understand this is gonna happen everywhere")</f>
        <v>Yes, I Understand this is gonna happen everywhere</v>
      </c>
      <c r="R2724" s="1" t="str">
        <f ca="1">IFERROR(__xludf.DUMMYFUNCTION("""COMPUTED_VALUE"""),"This will be hard to do, but if it is the right company I would try")</f>
        <v>This will be hard to do, but if it is the right company I would try</v>
      </c>
      <c r="S2724" s="1" t="str">
        <f ca="1">IFERROR(__xludf.DUMMYFUNCTION("""COMPUTED_VALUE"""),"raghuwanshipooja7828@gmail.com")</f>
        <v>raghuwanshipooja7828@gmail.com</v>
      </c>
    </row>
    <row r="2725" spans="1:19" ht="12.5" x14ac:dyDescent="0.25">
      <c r="A2725" s="2">
        <f ca="1">IFERROR(__xludf.DUMMYFUNCTION("""COMPUTED_VALUE"""),45066.8988882523)</f>
        <v>45066.898888252297</v>
      </c>
      <c r="B2725" s="1" t="str">
        <f ca="1">IFERROR(__xludf.DUMMYFUNCTION("""COMPUTED_VALUE"""),"India")</f>
        <v>India</v>
      </c>
      <c r="C2725" s="1">
        <f ca="1">IFERROR(__xludf.DUMMYFUNCTION("""COMPUTED_VALUE"""),411046)</f>
        <v>411046</v>
      </c>
      <c r="D2725" s="1" t="str">
        <f ca="1">IFERROR(__xludf.DUMMYFUNCTION("""COMPUTED_VALUE"""),"Male")</f>
        <v>Male</v>
      </c>
      <c r="E2725" s="1" t="str">
        <f ca="1">IFERROR(__xludf.DUMMYFUNCTION("""COMPUTED_VALUE"""),"My Parents")</f>
        <v>My Parents</v>
      </c>
      <c r="F2725" s="1" t="str">
        <f ca="1">IFERROR(__xludf.DUMMYFUNCTION("""COMPUTED_VALUE"""),"Yes, I will earn and do that")</f>
        <v>Yes, I will earn and do that</v>
      </c>
      <c r="G2725" s="1" t="str">
        <f ca="1">IFERROR(__xludf.DUMMYFUNCTION("""COMPUTED_VALUE"""),"No way")</f>
        <v>No way</v>
      </c>
      <c r="H2725" s="1" t="str">
        <f ca="1">IFERROR(__xludf.DUMMYFUNCTION("""COMPUTED_VALUE"""),"Yes")</f>
        <v>Yes</v>
      </c>
      <c r="I2725" s="1" t="str">
        <f ca="1">IFERROR(__xludf.DUMMYFUNCTION("""COMPUTED_VALUE"""),"Will NOT work for them")</f>
        <v>Will NOT work for them</v>
      </c>
      <c r="J2725" s="1">
        <f ca="1">IFERROR(__xludf.DUMMYFUNCTION("""COMPUTED_VALUE"""),5)</f>
        <v>5</v>
      </c>
      <c r="K2725" s="1" t="str">
        <f ca="1">IFERROR(__xludf.DUMMYFUNCTION("""COMPUTED_VALUE"""),"Fully Remote with No option to visit offices")</f>
        <v>Fully Remote with No option to visit offices</v>
      </c>
      <c r="L2725" s="1" t="str">
        <f ca="1">IFERROR(__xludf.DUMMYFUNCTION("""COMPUTED_VALUE"""),"Employer who pushes your limits and doesn't enables learning environment and never rewards you")</f>
        <v>Employer who pushes your limits and doesn't enables learning environment and never rewards you</v>
      </c>
      <c r="M272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725" s="1" t="str">
        <f ca="1">IFERROR(__xludf.DUMMYFUNCTION("""COMPUTED_VALUE"""),"Business Operations in any organization, Design and Develop amazing software, Become a content Creator in some platform, Manufacturing / Oil and Gas/ Construction / Hard Physical Work related")</f>
        <v>Business Operations in any organization, Design and Develop amazing software, Become a content Creator in some platform, Manufacturing / Oil and Gas/ Construction / Hard Physical Work related</v>
      </c>
      <c r="O2725" s="1" t="str">
        <f ca="1">IFERROR(__xludf.DUMMYFUNCTION("""COMPUTED_VALUE"""),"Manager who sets goal and helps me achieve it")</f>
        <v>Manager who sets goal and helps me achieve it</v>
      </c>
      <c r="P2725" s="1" t="str">
        <f ca="1">IFERROR(__xludf.DUMMYFUNCTION("""COMPUTED_VALUE"""),"Work alone")</f>
        <v>Work alone</v>
      </c>
      <c r="Q2725" s="1" t="str">
        <f ca="1">IFERROR(__xludf.DUMMYFUNCTION("""COMPUTED_VALUE"""),"I have NO other choice")</f>
        <v>I have NO other choice</v>
      </c>
      <c r="R2725" s="1" t="str">
        <f ca="1">IFERROR(__xludf.DUMMYFUNCTION("""COMPUTED_VALUE"""),"No way")</f>
        <v>No way</v>
      </c>
      <c r="S2725" s="1" t="str">
        <f ca="1">IFERROR(__xludf.DUMMYFUNCTION("""COMPUTED_VALUE"""),"snehal.fakade03@gmail.com")</f>
        <v>snehal.fakade03@gmail.com</v>
      </c>
    </row>
    <row r="2726" spans="1:19" ht="12.5" x14ac:dyDescent="0.25">
      <c r="A2726" s="2">
        <f ca="1">IFERROR(__xludf.DUMMYFUNCTION("""COMPUTED_VALUE"""),45066.89957228)</f>
        <v>45066.899572280003</v>
      </c>
      <c r="B2726" s="1" t="str">
        <f ca="1">IFERROR(__xludf.DUMMYFUNCTION("""COMPUTED_VALUE"""),"India")</f>
        <v>India</v>
      </c>
      <c r="C2726" s="1">
        <f ca="1">IFERROR(__xludf.DUMMYFUNCTION("""COMPUTED_VALUE"""),132103)</f>
        <v>132103</v>
      </c>
      <c r="D2726" s="1" t="str">
        <f ca="1">IFERROR(__xludf.DUMMYFUNCTION("""COMPUTED_VALUE"""),"Male")</f>
        <v>Male</v>
      </c>
      <c r="E2726" s="1" t="str">
        <f ca="1">IFERROR(__xludf.DUMMYFUNCTION("""COMPUTED_VALUE"""),"My Parents")</f>
        <v>My Parents</v>
      </c>
      <c r="F2726" s="1" t="str">
        <f ca="1">IFERROR(__xludf.DUMMYFUNCTION("""COMPUTED_VALUE"""),"No, But if someone could bare the cost I will")</f>
        <v>No, But if someone could bare the cost I will</v>
      </c>
      <c r="G2726" s="1" t="str">
        <f ca="1">IFERROR(__xludf.DUMMYFUNCTION("""COMPUTED_VALUE"""),"No way")</f>
        <v>No way</v>
      </c>
      <c r="H2726" s="1" t="str">
        <f ca="1">IFERROR(__xludf.DUMMYFUNCTION("""COMPUTED_VALUE"""),"Yes")</f>
        <v>Yes</v>
      </c>
      <c r="I2726" s="1" t="str">
        <f ca="1">IFERROR(__xludf.DUMMYFUNCTION("""COMPUTED_VALUE"""),"Will work for them")</f>
        <v>Will work for them</v>
      </c>
      <c r="J2726" s="1">
        <f ca="1">IFERROR(__xludf.DUMMYFUNCTION("""COMPUTED_VALUE"""),8)</f>
        <v>8</v>
      </c>
      <c r="K2726" s="1" t="str">
        <f ca="1">IFERROR(__xludf.DUMMYFUNCTION("""COMPUTED_VALUE"""),"Hybrid Working Environment with less than 3 days a month at office")</f>
        <v>Hybrid Working Environment with less than 3 days a month at office</v>
      </c>
      <c r="L272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26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26" s="1" t="str">
        <f ca="1">IFERROR(__xludf.DUMMYFUNCTION("""COMPUTED_VALUE"""),"Design and Creative strategy in any company, Business Operations in any organization, Manage and drive End-to-End Projects or Products, Work as a freelancer and do my thing my way")</f>
        <v>Design and Creative strategy in any company, Business Operations in any organization, Manage and drive End-to-End Projects or Products, Work as a freelancer and do my thing my way</v>
      </c>
      <c r="O2726" s="1" t="str">
        <f ca="1">IFERROR(__xludf.DUMMYFUNCTION("""COMPUTED_VALUE"""),"Manager who explains what is expected, sets a goal and helps achieve it")</f>
        <v>Manager who explains what is expected, sets a goal and helps achieve it</v>
      </c>
      <c r="P2726" s="1" t="str">
        <f ca="1">IFERROR(__xludf.DUMMYFUNCTION("""COMPUTED_VALUE"""),"Work with 5 to 6 people in my team")</f>
        <v>Work with 5 to 6 people in my team</v>
      </c>
      <c r="Q2726" s="1" t="str">
        <f ca="1">IFERROR(__xludf.DUMMYFUNCTION("""COMPUTED_VALUE"""),"No")</f>
        <v>No</v>
      </c>
      <c r="R2726" s="1" t="str">
        <f ca="1">IFERROR(__xludf.DUMMYFUNCTION("""COMPUTED_VALUE"""),"No way")</f>
        <v>No way</v>
      </c>
      <c r="S2726" s="1" t="str">
        <f ca="1">IFERROR(__xludf.DUMMYFUNCTION("""COMPUTED_VALUE"""),"harshkaushik.lav@gmail.com")</f>
        <v>harshkaushik.lav@gmail.com</v>
      </c>
    </row>
    <row r="2727" spans="1:19" ht="12.5" x14ac:dyDescent="0.25">
      <c r="A2727" s="2">
        <f ca="1">IFERROR(__xludf.DUMMYFUNCTION("""COMPUTED_VALUE"""),45066.918450625)</f>
        <v>45066.918450625002</v>
      </c>
      <c r="B2727" s="1" t="str">
        <f ca="1">IFERROR(__xludf.DUMMYFUNCTION("""COMPUTED_VALUE"""),"India")</f>
        <v>India</v>
      </c>
      <c r="C2727" s="1">
        <f ca="1">IFERROR(__xludf.DUMMYFUNCTION("""COMPUTED_VALUE"""),522101)</f>
        <v>522101</v>
      </c>
      <c r="D2727" s="1" t="str">
        <f ca="1">IFERROR(__xludf.DUMMYFUNCTION("""COMPUTED_VALUE"""),"Male")</f>
        <v>Male</v>
      </c>
      <c r="E2727" s="1" t="str">
        <f ca="1">IFERROR(__xludf.DUMMYFUNCTION("""COMPUTED_VALUE"""),"People from my circle, but not family members")</f>
        <v>People from my circle, but not family members</v>
      </c>
      <c r="F2727" s="1" t="str">
        <f ca="1">IFERROR(__xludf.DUMMYFUNCTION("""COMPUTED_VALUE"""),"No I would not be pursuing Higher Education outside of India")</f>
        <v>No I would not be pursuing Higher Education outside of India</v>
      </c>
      <c r="G2727" s="1" t="str">
        <f ca="1">IFERROR(__xludf.DUMMYFUNCTION("""COMPUTED_VALUE"""),"This will be hard to do, but if it is the right company I would try")</f>
        <v>This will be hard to do, but if it is the right company I would try</v>
      </c>
      <c r="H2727" s="1" t="str">
        <f ca="1">IFERROR(__xludf.DUMMYFUNCTION("""COMPUTED_VALUE"""),"No")</f>
        <v>No</v>
      </c>
      <c r="I2727" s="1" t="str">
        <f ca="1">IFERROR(__xludf.DUMMYFUNCTION("""COMPUTED_VALUE"""),"Will NOT work for them")</f>
        <v>Will NOT work for them</v>
      </c>
      <c r="J2727" s="1">
        <f ca="1">IFERROR(__xludf.DUMMYFUNCTION("""COMPUTED_VALUE"""),7)</f>
        <v>7</v>
      </c>
      <c r="K2727" s="1" t="str">
        <f ca="1">IFERROR(__xludf.DUMMYFUNCTION("""COMPUTED_VALUE"""),"Hybrid Working Environment with more than 15 days a month at office")</f>
        <v>Hybrid Working Environment with more than 15 days a month at office</v>
      </c>
      <c r="L2727" s="1" t="str">
        <f ca="1">IFERROR(__xludf.DUMMYFUNCTION("""COMPUTED_VALUE"""),"Employer who rewards learning and enables that environment")</f>
        <v>Employer who rewards learning and enables that environment</v>
      </c>
      <c r="M272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727" s="1" t="str">
        <f ca="1">IFERROR(__xludf.DUMMYFUNCTION("""COMPUTED_VALUE"""),"Design and Creative strategy in any company, Manage and drive End-to-End Projects or Products, Look deeply into Data and generate insights, Manufacturing / Oil and Gas/ Construction / Hard Physical Work related")</f>
        <v>Design and Creative strategy in any company, Manage and drive End-to-End Projects or Products, Look deeply into Data and generate insights, Manufacturing / Oil and Gas/ Construction / Hard Physical Work related</v>
      </c>
      <c r="O2727" s="1" t="str">
        <f ca="1">IFERROR(__xludf.DUMMYFUNCTION("""COMPUTED_VALUE"""),"Manager who sets goal and helps me achieve it")</f>
        <v>Manager who sets goal and helps me achieve it</v>
      </c>
      <c r="P2727" s="1" t="str">
        <f ca="1">IFERROR(__xludf.DUMMYFUNCTION("""COMPUTED_VALUE"""),"Work with 2 to 3 people in my team")</f>
        <v>Work with 2 to 3 people in my team</v>
      </c>
      <c r="Q2727" s="1" t="str">
        <f ca="1">IFERROR(__xludf.DUMMYFUNCTION("""COMPUTED_VALUE"""),"Yes, I Understand this is gonna happen everywhere")</f>
        <v>Yes, I Understand this is gonna happen everywhere</v>
      </c>
      <c r="R2727" s="1" t="str">
        <f ca="1">IFERROR(__xludf.DUMMYFUNCTION("""COMPUTED_VALUE"""),"No way")</f>
        <v>No way</v>
      </c>
      <c r="S2727" s="1" t="str">
        <f ca="1">IFERROR(__xludf.DUMMYFUNCTION("""COMPUTED_VALUE"""),"srinivasraju363@gmail.com")</f>
        <v>srinivasraju363@gmail.com</v>
      </c>
    </row>
    <row r="2728" spans="1:19" ht="12.5" x14ac:dyDescent="0.25">
      <c r="A2728" s="2">
        <f ca="1">IFERROR(__xludf.DUMMYFUNCTION("""COMPUTED_VALUE"""),45066.9190497916)</f>
        <v>45066.919049791599</v>
      </c>
      <c r="B2728" s="1" t="str">
        <f ca="1">IFERROR(__xludf.DUMMYFUNCTION("""COMPUTED_VALUE"""),"India")</f>
        <v>India</v>
      </c>
      <c r="C2728" s="1">
        <f ca="1">IFERROR(__xludf.DUMMYFUNCTION("""COMPUTED_VALUE"""),464001)</f>
        <v>464001</v>
      </c>
      <c r="D2728" s="1" t="str">
        <f ca="1">IFERROR(__xludf.DUMMYFUNCTION("""COMPUTED_VALUE"""),"Female")</f>
        <v>Female</v>
      </c>
      <c r="E2728" s="1" t="str">
        <f ca="1">IFERROR(__xludf.DUMMYFUNCTION("""COMPUTED_VALUE"""),"My Parents")</f>
        <v>My Parents</v>
      </c>
      <c r="F2728" s="1" t="str">
        <f ca="1">IFERROR(__xludf.DUMMYFUNCTION("""COMPUTED_VALUE"""),"Yes, I will earn and do that")</f>
        <v>Yes, I will earn and do that</v>
      </c>
      <c r="G2728" s="1" t="str">
        <f ca="1">IFERROR(__xludf.DUMMYFUNCTION("""COMPUTED_VALUE"""),"Will work for 3 years or more")</f>
        <v>Will work for 3 years or more</v>
      </c>
      <c r="H2728" s="1" t="str">
        <f ca="1">IFERROR(__xludf.DUMMYFUNCTION("""COMPUTED_VALUE"""),"No")</f>
        <v>No</v>
      </c>
      <c r="I2728" s="1" t="str">
        <f ca="1">IFERROR(__xludf.DUMMYFUNCTION("""COMPUTED_VALUE"""),"Will NOT work for them")</f>
        <v>Will NOT work for them</v>
      </c>
      <c r="J2728" s="1">
        <f ca="1">IFERROR(__xludf.DUMMYFUNCTION("""COMPUTED_VALUE"""),7)</f>
        <v>7</v>
      </c>
      <c r="K2728" s="1" t="str">
        <f ca="1">IFERROR(__xludf.DUMMYFUNCTION("""COMPUTED_VALUE"""),"Every Day Office Environment")</f>
        <v>Every Day Office Environment</v>
      </c>
      <c r="L272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2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72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728" s="1" t="str">
        <f ca="1">IFERROR(__xludf.DUMMYFUNCTION("""COMPUTED_VALUE"""),"Manager who sets targets and expects me to achieve it")</f>
        <v>Manager who sets targets and expects me to achieve it</v>
      </c>
      <c r="P2728" s="1" t="str">
        <f ca="1">IFERROR(__xludf.DUMMYFUNCTION("""COMPUTED_VALUE"""),"Work with more than 10 people in my team")</f>
        <v>Work with more than 10 people in my team</v>
      </c>
      <c r="Q2728" s="1" t="str">
        <f ca="1">IFERROR(__xludf.DUMMYFUNCTION("""COMPUTED_VALUE"""),"Yes, I Understand this is gonna happen everywhere")</f>
        <v>Yes, I Understand this is gonna happen everywhere</v>
      </c>
      <c r="R2728" s="1" t="str">
        <f ca="1">IFERROR(__xludf.DUMMYFUNCTION("""COMPUTED_VALUE"""),"This will be hard to do, but if it is the right company I would try")</f>
        <v>This will be hard to do, but if it is the right company I would try</v>
      </c>
      <c r="S2728" s="1" t="str">
        <f ca="1">IFERROR(__xludf.DUMMYFUNCTION("""COMPUTED_VALUE"""),"sejalraghuwanshi03@gmail.com")</f>
        <v>sejalraghuwanshi03@gmail.com</v>
      </c>
    </row>
    <row r="2729" spans="1:19" ht="12.5" x14ac:dyDescent="0.25">
      <c r="A2729" s="2">
        <f ca="1">IFERROR(__xludf.DUMMYFUNCTION("""COMPUTED_VALUE"""),45066.9253737847)</f>
        <v>45066.925373784703</v>
      </c>
      <c r="B2729" s="1" t="str">
        <f ca="1">IFERROR(__xludf.DUMMYFUNCTION("""COMPUTED_VALUE"""),"India")</f>
        <v>India</v>
      </c>
      <c r="C2729" s="1">
        <f ca="1">IFERROR(__xludf.DUMMYFUNCTION("""COMPUTED_VALUE"""),464001)</f>
        <v>464001</v>
      </c>
      <c r="D2729" s="1" t="str">
        <f ca="1">IFERROR(__xludf.DUMMYFUNCTION("""COMPUTED_VALUE"""),"Female")</f>
        <v>Female</v>
      </c>
      <c r="E2729" s="1" t="str">
        <f ca="1">IFERROR(__xludf.DUMMYFUNCTION("""COMPUTED_VALUE"""),"People who have changed the world for better")</f>
        <v>People who have changed the world for better</v>
      </c>
      <c r="F2729" s="1" t="str">
        <f ca="1">IFERROR(__xludf.DUMMYFUNCTION("""COMPUTED_VALUE"""),"Yes, I will earn and do that")</f>
        <v>Yes, I will earn and do that</v>
      </c>
      <c r="G2729" s="1" t="str">
        <f ca="1">IFERROR(__xludf.DUMMYFUNCTION("""COMPUTED_VALUE"""),"This will be hard to do, but if it is the right company I would try")</f>
        <v>This will be hard to do, but if it is the right company I would try</v>
      </c>
      <c r="H2729" s="1" t="str">
        <f ca="1">IFERROR(__xludf.DUMMYFUNCTION("""COMPUTED_VALUE"""),"No")</f>
        <v>No</v>
      </c>
      <c r="I2729" s="1" t="str">
        <f ca="1">IFERROR(__xludf.DUMMYFUNCTION("""COMPUTED_VALUE"""),"Will NOT work for them")</f>
        <v>Will NOT work for them</v>
      </c>
      <c r="J2729" s="1">
        <f ca="1">IFERROR(__xludf.DUMMYFUNCTION("""COMPUTED_VALUE"""),7)</f>
        <v>7</v>
      </c>
      <c r="K2729" s="1" t="str">
        <f ca="1">IFERROR(__xludf.DUMMYFUNCTION("""COMPUTED_VALUE"""),"Fully Remote with Options to travel as and when needed")</f>
        <v>Fully Remote with Options to travel as and when needed</v>
      </c>
      <c r="L2729" s="1" t="str">
        <f ca="1">IFERROR(__xludf.DUMMYFUNCTION("""COMPUTED_VALUE"""),"Employer who appreciates learning and enables that environment")</f>
        <v>Employer who appreciates learning and enables that environment</v>
      </c>
      <c r="M2729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729" s="1" t="str">
        <f ca="1">IFERROR(__xludf.DUMMYFUNCTION("""COMPUTED_VALUE"""),"Design and Creative strategy in any company, Teaching in any of the institutes/colleges/online or offline, Design and Develop amazing software, Become a content Creator in some platform")</f>
        <v>Design and Creative strategy in any company, Teaching in any of the institutes/colleges/online or offline, Design and Develop amazing software, Become a content Creator in some platform</v>
      </c>
      <c r="O2729" s="1" t="str">
        <f ca="1">IFERROR(__xludf.DUMMYFUNCTION("""COMPUTED_VALUE"""),"Manager who explains what is expected, sets a goal and helps achieve it")</f>
        <v>Manager who explains what is expected, sets a goal and helps achieve it</v>
      </c>
      <c r="P2729" s="1" t="str">
        <f ca="1">IFERROR(__xludf.DUMMYFUNCTION("""COMPUTED_VALUE"""),"Work with 2 to 3 people in my team")</f>
        <v>Work with 2 to 3 people in my team</v>
      </c>
      <c r="Q2729" s="1" t="str">
        <f ca="1">IFERROR(__xludf.DUMMYFUNCTION("""COMPUTED_VALUE"""),"Yes, I Understand this is gonna happen everywhere")</f>
        <v>Yes, I Understand this is gonna happen everywhere</v>
      </c>
      <c r="R2729" s="1" t="str">
        <f ca="1">IFERROR(__xludf.DUMMYFUNCTION("""COMPUTED_VALUE"""),"No way")</f>
        <v>No way</v>
      </c>
      <c r="S2729" s="1" t="str">
        <f ca="1">IFERROR(__xludf.DUMMYFUNCTION("""COMPUTED_VALUE"""),"kajoljain2121@gmail.com")</f>
        <v>kajoljain2121@gmail.com</v>
      </c>
    </row>
    <row r="2730" spans="1:19" ht="12.5" x14ac:dyDescent="0.25">
      <c r="A2730" s="2">
        <f ca="1">IFERROR(__xludf.DUMMYFUNCTION("""COMPUTED_VALUE"""),45066.9505773611)</f>
        <v>45066.950577361102</v>
      </c>
      <c r="B2730" s="1" t="str">
        <f ca="1">IFERROR(__xludf.DUMMYFUNCTION("""COMPUTED_VALUE"""),"India")</f>
        <v>India</v>
      </c>
      <c r="C2730" s="1">
        <f ca="1">IFERROR(__xludf.DUMMYFUNCTION("""COMPUTED_VALUE"""),520012)</f>
        <v>520012</v>
      </c>
      <c r="D2730" s="1" t="str">
        <f ca="1">IFERROR(__xludf.DUMMYFUNCTION("""COMPUTED_VALUE"""),"Female")</f>
        <v>Female</v>
      </c>
      <c r="E2730" s="1" t="str">
        <f ca="1">IFERROR(__xludf.DUMMYFUNCTION("""COMPUTED_VALUE"""),"Influencers who had successful careers")</f>
        <v>Influencers who had successful careers</v>
      </c>
      <c r="F2730" s="1" t="str">
        <f ca="1">IFERROR(__xludf.DUMMYFUNCTION("""COMPUTED_VALUE"""),"No I would not be pursuing Higher Education outside of India")</f>
        <v>No I would not be pursuing Higher Education outside of India</v>
      </c>
      <c r="G2730" s="1" t="str">
        <f ca="1">IFERROR(__xludf.DUMMYFUNCTION("""COMPUTED_VALUE"""),"Will work for 3 years or more")</f>
        <v>Will work for 3 years or more</v>
      </c>
      <c r="H2730" s="1" t="str">
        <f ca="1">IFERROR(__xludf.DUMMYFUNCTION("""COMPUTED_VALUE"""),"No")</f>
        <v>No</v>
      </c>
      <c r="I2730" s="1" t="str">
        <f ca="1">IFERROR(__xludf.DUMMYFUNCTION("""COMPUTED_VALUE"""),"Will NOT work for them")</f>
        <v>Will NOT work for them</v>
      </c>
      <c r="J2730" s="1">
        <f ca="1">IFERROR(__xludf.DUMMYFUNCTION("""COMPUTED_VALUE"""),8)</f>
        <v>8</v>
      </c>
      <c r="K2730" s="1" t="str">
        <f ca="1">IFERROR(__xludf.DUMMYFUNCTION("""COMPUTED_VALUE"""),"Hybrid Working Environment with less than 3 days a month at office")</f>
        <v>Hybrid Working Environment with less than 3 days a month at office</v>
      </c>
      <c r="L273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30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730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2730" s="1" t="str">
        <f ca="1">IFERROR(__xludf.DUMMYFUNCTION("""COMPUTED_VALUE"""),"Manager who explains what is expected, sets a goal and helps achieve it")</f>
        <v>Manager who explains what is expected, sets a goal and helps achieve it</v>
      </c>
      <c r="P2730" s="1" t="str">
        <f ca="1">IFERROR(__xludf.DUMMYFUNCTION("""COMPUTED_VALUE"""),"Work with 5 to 6 people in my team")</f>
        <v>Work with 5 to 6 people in my team</v>
      </c>
      <c r="Q2730" s="1" t="str">
        <f ca="1">IFERROR(__xludf.DUMMYFUNCTION("""COMPUTED_VALUE"""),"Yes, I Understand this is gonna happen everywhere")</f>
        <v>Yes, I Understand this is gonna happen everywhere</v>
      </c>
      <c r="R2730" s="1" t="str">
        <f ca="1">IFERROR(__xludf.DUMMYFUNCTION("""COMPUTED_VALUE"""),"This will be hard to do, but if it is the right company I would try")</f>
        <v>This will be hard to do, but if it is the right company I would try</v>
      </c>
      <c r="S2730" s="1" t="str">
        <f ca="1">IFERROR(__xludf.DUMMYFUNCTION("""COMPUTED_VALUE"""),"srividya.vedantam@gmail.com")</f>
        <v>srividya.vedantam@gmail.com</v>
      </c>
    </row>
    <row r="2731" spans="1:19" ht="12.5" x14ac:dyDescent="0.25">
      <c r="A2731" s="2">
        <f ca="1">IFERROR(__xludf.DUMMYFUNCTION("""COMPUTED_VALUE"""),45066.9637209606)</f>
        <v>45066.963720960601</v>
      </c>
      <c r="B2731" s="1" t="str">
        <f ca="1">IFERROR(__xludf.DUMMYFUNCTION("""COMPUTED_VALUE"""),"India")</f>
        <v>India</v>
      </c>
      <c r="C2731" s="1">
        <f ca="1">IFERROR(__xludf.DUMMYFUNCTION("""COMPUTED_VALUE"""),464001)</f>
        <v>464001</v>
      </c>
      <c r="D2731" s="1" t="str">
        <f ca="1">IFERROR(__xludf.DUMMYFUNCTION("""COMPUTED_VALUE"""),"Female")</f>
        <v>Female</v>
      </c>
      <c r="E2731" s="1" t="str">
        <f ca="1">IFERROR(__xludf.DUMMYFUNCTION("""COMPUTED_VALUE"""),"My Parents")</f>
        <v>My Parents</v>
      </c>
      <c r="F2731" s="1" t="str">
        <f ca="1">IFERROR(__xludf.DUMMYFUNCTION("""COMPUTED_VALUE"""),"No, But if someone could bare the cost I will")</f>
        <v>No, But if someone could bare the cost I will</v>
      </c>
      <c r="G2731" s="1" t="str">
        <f ca="1">IFERROR(__xludf.DUMMYFUNCTION("""COMPUTED_VALUE"""),"This will be hard to do, but if it is the right company I would try")</f>
        <v>This will be hard to do, but if it is the right company I would try</v>
      </c>
      <c r="H2731" s="1" t="str">
        <f ca="1">IFERROR(__xludf.DUMMYFUNCTION("""COMPUTED_VALUE"""),"No")</f>
        <v>No</v>
      </c>
      <c r="I2731" s="1" t="str">
        <f ca="1">IFERROR(__xludf.DUMMYFUNCTION("""COMPUTED_VALUE"""),"Will NOT work for them")</f>
        <v>Will NOT work for them</v>
      </c>
      <c r="J2731" s="1">
        <f ca="1">IFERROR(__xludf.DUMMYFUNCTION("""COMPUTED_VALUE"""),1)</f>
        <v>1</v>
      </c>
      <c r="K2731" s="1" t="str">
        <f ca="1">IFERROR(__xludf.DUMMYFUNCTION("""COMPUTED_VALUE"""),"Hybrid Working Environment with less than 3 days a month at office")</f>
        <v>Hybrid Working Environment with less than 3 days a month at office</v>
      </c>
      <c r="L273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31" s="1" t="str">
        <f ca="1">IFERROR(__xludf.DUMMYFUNCTION("""COMPUTED_VALUE"""),"Learning by observing others, Self Purchased Course from External Platforms, Manager Teaching you")</f>
        <v>Learning by observing others, Self Purchased Course from External Platforms, Manager Teaching you</v>
      </c>
      <c r="N2731" s="1" t="str">
        <f ca="1">IFERROR(__xludf.DUMMYFUNCTION("""COMPUTED_VALUE"""),"Design and Creative strategy in any company, Teaching in any of the institutes/colleges/online or offline, Build and develop a Team, Design and Develop amazing software")</f>
        <v>Design and Creative strategy in any company, Teaching in any of the institutes/colleges/online or offline, Build and develop a Team, Design and Develop amazing software</v>
      </c>
      <c r="O2731" s="1" t="str">
        <f ca="1">IFERROR(__xludf.DUMMYFUNCTION("""COMPUTED_VALUE"""),"Manager who sets goal and helps me achieve it")</f>
        <v>Manager who sets goal and helps me achieve it</v>
      </c>
      <c r="P2731" s="1" t="str">
        <f ca="1">IFERROR(__xludf.DUMMYFUNCTION("""COMPUTED_VALUE"""),"Work with 2 to 3 people in my team")</f>
        <v>Work with 2 to 3 people in my team</v>
      </c>
      <c r="Q2731" s="1" t="str">
        <f ca="1">IFERROR(__xludf.DUMMYFUNCTION("""COMPUTED_VALUE"""),"No")</f>
        <v>No</v>
      </c>
      <c r="R2731" s="1" t="str">
        <f ca="1">IFERROR(__xludf.DUMMYFUNCTION("""COMPUTED_VALUE"""),"This will be hard to do, but if it is the right company I would try")</f>
        <v>This will be hard to do, but if it is the right company I would try</v>
      </c>
      <c r="S2731" s="1" t="str">
        <f ca="1">IFERROR(__xludf.DUMMYFUNCTION("""COMPUTED_VALUE"""),"pathakj890@gmail.com")</f>
        <v>pathakj890@gmail.com</v>
      </c>
    </row>
    <row r="2732" spans="1:19" ht="12.5" x14ac:dyDescent="0.25">
      <c r="A2732" s="2">
        <f ca="1">IFERROR(__xludf.DUMMYFUNCTION("""COMPUTED_VALUE"""),45066.9638128472)</f>
        <v>45066.9638128472</v>
      </c>
      <c r="B2732" s="1" t="str">
        <f ca="1">IFERROR(__xludf.DUMMYFUNCTION("""COMPUTED_VALUE"""),"India")</f>
        <v>India</v>
      </c>
      <c r="C2732" s="1">
        <f ca="1">IFERROR(__xludf.DUMMYFUNCTION("""COMPUTED_VALUE"""),421201)</f>
        <v>421201</v>
      </c>
      <c r="D2732" s="1" t="str">
        <f ca="1">IFERROR(__xludf.DUMMYFUNCTION("""COMPUTED_VALUE"""),"Male")</f>
        <v>Male</v>
      </c>
      <c r="E2732" s="1" t="str">
        <f ca="1">IFERROR(__xludf.DUMMYFUNCTION("""COMPUTED_VALUE"""),"People who have changed the world for better")</f>
        <v>People who have changed the world for better</v>
      </c>
      <c r="F2732" s="1" t="str">
        <f ca="1">IFERROR(__xludf.DUMMYFUNCTION("""COMPUTED_VALUE"""),"Yes, I will earn and do that")</f>
        <v>Yes, I will earn and do that</v>
      </c>
      <c r="G2732" s="1" t="str">
        <f ca="1">IFERROR(__xludf.DUMMYFUNCTION("""COMPUTED_VALUE"""),"This will be hard to do, but if it is the right company I would try")</f>
        <v>This will be hard to do, but if it is the right company I would try</v>
      </c>
      <c r="H2732" s="1" t="str">
        <f ca="1">IFERROR(__xludf.DUMMYFUNCTION("""COMPUTED_VALUE"""),"No")</f>
        <v>No</v>
      </c>
      <c r="I2732" s="1" t="str">
        <f ca="1">IFERROR(__xludf.DUMMYFUNCTION("""COMPUTED_VALUE"""),"Will NOT work for them")</f>
        <v>Will NOT work for them</v>
      </c>
      <c r="J2732" s="1">
        <f ca="1">IFERROR(__xludf.DUMMYFUNCTION("""COMPUTED_VALUE"""),7)</f>
        <v>7</v>
      </c>
      <c r="K2732" s="1" t="str">
        <f ca="1">IFERROR(__xludf.DUMMYFUNCTION("""COMPUTED_VALUE"""),"Fully Remote with Options to travel as and when needed")</f>
        <v>Fully Remote with Options to travel as and when needed</v>
      </c>
      <c r="L2732" s="1" t="str">
        <f ca="1">IFERROR(__xludf.DUMMYFUNCTION("""COMPUTED_VALUE"""),"Employer who rewards learning and enables that environment")</f>
        <v>Employer who rewards learning and enables that environment</v>
      </c>
      <c r="M2732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732" s="1" t="str">
        <f ca="1">IFERROR(__xludf.DUMMYFUNCTION("""COMPUTED_VALUE"""),"Design and Creative strategy in any company, Manage and drive End-to-End Projects or Products, Look deeply into Data and generate insights, An Artificial Intelligence Specialist / Talking to Robots")</f>
        <v>Design and Creative strategy in any company, Manage and drive End-to-End Projects or Products, Look deeply into Data and generate insights, An Artificial Intelligence Specialist / Talking to Robots</v>
      </c>
      <c r="O2732" s="1" t="str">
        <f ca="1">IFERROR(__xludf.DUMMYFUNCTION("""COMPUTED_VALUE"""),"Manager who explains what is expected, sets a goal and helps achieve it")</f>
        <v>Manager who explains what is expected, sets a goal and helps achieve it</v>
      </c>
      <c r="P2732" s="1" t="str">
        <f ca="1">IFERROR(__xludf.DUMMYFUNCTION("""COMPUTED_VALUE"""),"Work with 5 to 6 people in my team")</f>
        <v>Work with 5 to 6 people in my team</v>
      </c>
      <c r="Q2732" s="1" t="str">
        <f ca="1">IFERROR(__xludf.DUMMYFUNCTION("""COMPUTED_VALUE"""),"Yes, I Understand this is gonna happen everywhere")</f>
        <v>Yes, I Understand this is gonna happen everywhere</v>
      </c>
      <c r="R2732" s="1" t="str">
        <f ca="1">IFERROR(__xludf.DUMMYFUNCTION("""COMPUTED_VALUE"""),"This will be hard to do, but if it is the right company I would try")</f>
        <v>This will be hard to do, but if it is the right company I would try</v>
      </c>
      <c r="S2732" s="1" t="str">
        <f ca="1">IFERROR(__xludf.DUMMYFUNCTION("""COMPUTED_VALUE"""),"pratikgode18@gmail.com")</f>
        <v>pratikgode18@gmail.com</v>
      </c>
    </row>
    <row r="2733" spans="1:19" ht="12.5" x14ac:dyDescent="0.25">
      <c r="A2733" s="2">
        <f ca="1">IFERROR(__xludf.DUMMYFUNCTION("""COMPUTED_VALUE"""),45067.0131909143)</f>
        <v>45067.013190914302</v>
      </c>
      <c r="B2733" s="1" t="str">
        <f ca="1">IFERROR(__xludf.DUMMYFUNCTION("""COMPUTED_VALUE"""),"India")</f>
        <v>India</v>
      </c>
      <c r="C2733" s="1">
        <f ca="1">IFERROR(__xludf.DUMMYFUNCTION("""COMPUTED_VALUE"""),508116)</f>
        <v>508116</v>
      </c>
      <c r="D2733" s="1" t="str">
        <f ca="1">IFERROR(__xludf.DUMMYFUNCTION("""COMPUTED_VALUE"""),"Male")</f>
        <v>Male</v>
      </c>
      <c r="E2733" s="1" t="str">
        <f ca="1">IFERROR(__xludf.DUMMYFUNCTION("""COMPUTED_VALUE"""),"My Parents")</f>
        <v>My Parents</v>
      </c>
      <c r="F2733" s="1" t="str">
        <f ca="1">IFERROR(__xludf.DUMMYFUNCTION("""COMPUTED_VALUE"""),"Yes, I will earn and do that")</f>
        <v>Yes, I will earn and do that</v>
      </c>
      <c r="G2733" s="1" t="str">
        <f ca="1">IFERROR(__xludf.DUMMYFUNCTION("""COMPUTED_VALUE"""),"Will work for 3 years or more")</f>
        <v>Will work for 3 years or more</v>
      </c>
      <c r="H2733" s="1" t="str">
        <f ca="1">IFERROR(__xludf.DUMMYFUNCTION("""COMPUTED_VALUE"""),"No")</f>
        <v>No</v>
      </c>
      <c r="I2733" s="1" t="str">
        <f ca="1">IFERROR(__xludf.DUMMYFUNCTION("""COMPUTED_VALUE"""),"Will NOT work for them")</f>
        <v>Will NOT work for them</v>
      </c>
      <c r="J2733" s="1">
        <f ca="1">IFERROR(__xludf.DUMMYFUNCTION("""COMPUTED_VALUE"""),4)</f>
        <v>4</v>
      </c>
      <c r="K2733" s="1" t="str">
        <f ca="1">IFERROR(__xludf.DUMMYFUNCTION("""COMPUTED_VALUE"""),"Fully Remote with Options to travel as and when needed")</f>
        <v>Fully Remote with Options to travel as and when needed</v>
      </c>
      <c r="L2733" s="1" t="str">
        <f ca="1">IFERROR(__xludf.DUMMYFUNCTION("""COMPUTED_VALUE"""),"Employer who appreciates learning and enables that environment")</f>
        <v>Employer who appreciates learning and enables that environment</v>
      </c>
      <c r="M273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33" s="1" t="str">
        <f ca="1">IFERROR(__xludf.DUMMYFUNCTION("""COMPUTED_VALUE"""),"Manage and drive End-to-End Projects or Products, Build and develop a Team, Look deeply into Data and generate insights, An Artificial Intelligence Specialist / Talking to Robots")</f>
        <v>Manage and drive End-to-End Projects or Products, Build and develop a Team, Look deeply into Data and generate insights, An Artificial Intelligence Specialist / Talking to Robots</v>
      </c>
      <c r="O2733" s="1" t="str">
        <f ca="1">IFERROR(__xludf.DUMMYFUNCTION("""COMPUTED_VALUE"""),"Manager who sets unrealistic targets")</f>
        <v>Manager who sets unrealistic targets</v>
      </c>
      <c r="P2733" s="1" t="str">
        <f ca="1">IFERROR(__xludf.DUMMYFUNCTION("""COMPUTED_VALUE"""),"Work with 2 to 3 people in my team, Work with 5 to 6 people in my team, Work with 7 to 10 or more people in my team, Work with more than 10 people in my team")</f>
        <v>Work with 2 to 3 people in my team, Work with 5 to 6 people in my team, Work with 7 to 10 or more people in my team, Work with more than 10 people in my team</v>
      </c>
      <c r="Q2733" s="1" t="str">
        <f ca="1">IFERROR(__xludf.DUMMYFUNCTION("""COMPUTED_VALUE"""),"Yes, I Understand this is gonna happen everywhere")</f>
        <v>Yes, I Understand this is gonna happen everywhere</v>
      </c>
      <c r="R2733" s="1" t="str">
        <f ca="1">IFERROR(__xludf.DUMMYFUNCTION("""COMPUTED_VALUE"""),"This will be hard to do, but if it is the right company I would try")</f>
        <v>This will be hard to do, but if it is the right company I would try</v>
      </c>
      <c r="S2733" s="1" t="str">
        <f ca="1">IFERROR(__xludf.DUMMYFUNCTION("""COMPUTED_VALUE"""),"sainaresh008@gmail.com")</f>
        <v>sainaresh008@gmail.com</v>
      </c>
    </row>
    <row r="2734" spans="1:19" ht="12.5" x14ac:dyDescent="0.25">
      <c r="A2734" s="2">
        <f ca="1">IFERROR(__xludf.DUMMYFUNCTION("""COMPUTED_VALUE"""),45067.0498313888)</f>
        <v>45067.049831388802</v>
      </c>
      <c r="B2734" s="1" t="str">
        <f ca="1">IFERROR(__xludf.DUMMYFUNCTION("""COMPUTED_VALUE"""),"India")</f>
        <v>India</v>
      </c>
      <c r="C2734" s="1">
        <f ca="1">IFERROR(__xludf.DUMMYFUNCTION("""COMPUTED_VALUE"""),400604)</f>
        <v>400604</v>
      </c>
      <c r="D2734" s="1" t="str">
        <f ca="1">IFERROR(__xludf.DUMMYFUNCTION("""COMPUTED_VALUE"""),"Female")</f>
        <v>Female</v>
      </c>
      <c r="E2734" s="1" t="str">
        <f ca="1">IFERROR(__xludf.DUMMYFUNCTION("""COMPUTED_VALUE"""),"Influencers who had successful careers")</f>
        <v>Influencers who had successful careers</v>
      </c>
      <c r="F2734" s="1" t="str">
        <f ca="1">IFERROR(__xludf.DUMMYFUNCTION("""COMPUTED_VALUE"""),"Yes, I will earn and do that")</f>
        <v>Yes, I will earn and do that</v>
      </c>
      <c r="G2734" s="1" t="str">
        <f ca="1">IFERROR(__xludf.DUMMYFUNCTION("""COMPUTED_VALUE"""),"This will be hard to do, but if it is the right company I would try")</f>
        <v>This will be hard to do, but if it is the right company I would try</v>
      </c>
      <c r="H2734" s="1" t="str">
        <f ca="1">IFERROR(__xludf.DUMMYFUNCTION("""COMPUTED_VALUE"""),"No")</f>
        <v>No</v>
      </c>
      <c r="I2734" s="1" t="str">
        <f ca="1">IFERROR(__xludf.DUMMYFUNCTION("""COMPUTED_VALUE"""),"Will NOT work for them")</f>
        <v>Will NOT work for them</v>
      </c>
      <c r="J2734" s="1">
        <f ca="1">IFERROR(__xludf.DUMMYFUNCTION("""COMPUTED_VALUE"""),7)</f>
        <v>7</v>
      </c>
      <c r="K2734" s="1" t="str">
        <f ca="1">IFERROR(__xludf.DUMMYFUNCTION("""COMPUTED_VALUE"""),"Fully Remote with Options to travel as and when needed")</f>
        <v>Fully Remote with Options to travel as and when needed</v>
      </c>
      <c r="L273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34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734" s="1" t="str">
        <f ca="1">IFERROR(__xludf.DUMMYFUNCTION("""COMPUTED_VALUE"""),"Manage and drive End-to-End Projects or Products, Build and develop a Team, Look deeply into Data and generate insights, Work in a BPO setup for some well known client")</f>
        <v>Manage and drive End-to-End Projects or Products, Build and develop a Team, Look deeply into Data and generate insights, Work in a BPO setup for some well known client</v>
      </c>
      <c r="O2734" s="1" t="str">
        <f ca="1">IFERROR(__xludf.DUMMYFUNCTION("""COMPUTED_VALUE"""),"Manager who explains what is expected, sets a goal and helps achieve it")</f>
        <v>Manager who explains what is expected, sets a goal and helps achieve it</v>
      </c>
      <c r="P2734" s="1" t="str">
        <f ca="1">IFERROR(__xludf.DUMMYFUNCTION("""COMPUTED_VALUE"""),"Work with 5 to 6 people in my team")</f>
        <v>Work with 5 to 6 people in my team</v>
      </c>
      <c r="Q2734" s="1" t="str">
        <f ca="1">IFERROR(__xludf.DUMMYFUNCTION("""COMPUTED_VALUE"""),"No")</f>
        <v>No</v>
      </c>
      <c r="R2734" s="1" t="str">
        <f ca="1">IFERROR(__xludf.DUMMYFUNCTION("""COMPUTED_VALUE"""),"This will be hard to do, but if it is the right company I would try")</f>
        <v>This will be hard to do, but if it is the right company I would try</v>
      </c>
      <c r="S2734" s="1" t="str">
        <f ca="1">IFERROR(__xludf.DUMMYFUNCTION("""COMPUTED_VALUE"""),"tejashwinib26@gmail.com")</f>
        <v>tejashwinib26@gmail.com</v>
      </c>
    </row>
    <row r="2735" spans="1:19" ht="12.5" x14ac:dyDescent="0.25">
      <c r="A2735" s="2">
        <f ca="1">IFERROR(__xludf.DUMMYFUNCTION("""COMPUTED_VALUE"""),45067.4502698148)</f>
        <v>45067.450269814799</v>
      </c>
      <c r="B2735" s="1" t="str">
        <f ca="1">IFERROR(__xludf.DUMMYFUNCTION("""COMPUTED_VALUE"""),"India")</f>
        <v>India</v>
      </c>
      <c r="C2735" s="1">
        <f ca="1">IFERROR(__xludf.DUMMYFUNCTION("""COMPUTED_VALUE"""),411057)</f>
        <v>411057</v>
      </c>
      <c r="D2735" s="1" t="str">
        <f ca="1">IFERROR(__xludf.DUMMYFUNCTION("""COMPUTED_VALUE"""),"Male")</f>
        <v>Male</v>
      </c>
      <c r="E2735" s="1" t="str">
        <f ca="1">IFERROR(__xludf.DUMMYFUNCTION("""COMPUTED_VALUE"""),"My Parents")</f>
        <v>My Parents</v>
      </c>
      <c r="F2735" s="1" t="str">
        <f ca="1">IFERROR(__xludf.DUMMYFUNCTION("""COMPUTED_VALUE"""),"No I would not be pursuing Higher Education outside of India")</f>
        <v>No I would not be pursuing Higher Education outside of India</v>
      </c>
      <c r="G2735" s="1" t="str">
        <f ca="1">IFERROR(__xludf.DUMMYFUNCTION("""COMPUTED_VALUE"""),"Will work for 3 years or more")</f>
        <v>Will work for 3 years or more</v>
      </c>
      <c r="H2735" s="1" t="str">
        <f ca="1">IFERROR(__xludf.DUMMYFUNCTION("""COMPUTED_VALUE"""),"Yes")</f>
        <v>Yes</v>
      </c>
      <c r="I2735" s="1" t="str">
        <f ca="1">IFERROR(__xludf.DUMMYFUNCTION("""COMPUTED_VALUE"""),"Will work for them")</f>
        <v>Will work for them</v>
      </c>
      <c r="J2735" s="1">
        <f ca="1">IFERROR(__xludf.DUMMYFUNCTION("""COMPUTED_VALUE"""),7)</f>
        <v>7</v>
      </c>
      <c r="K2735" s="1" t="str">
        <f ca="1">IFERROR(__xludf.DUMMYFUNCTION("""COMPUTED_VALUE"""),"Every Day Office Environment")</f>
        <v>Every Day Office Environment</v>
      </c>
      <c r="L2735" s="1" t="str">
        <f ca="1">IFERROR(__xludf.DUMMYFUNCTION("""COMPUTED_VALUE"""),"Employer who appreciates learning and enables that environment")</f>
        <v>Employer who appreciates learning and enables that environment</v>
      </c>
      <c r="M2735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35" s="1" t="str">
        <f ca="1">IFERROR(__xludf.DUMMYFUNCTION("""COMPUTED_VALUE"""),"Design and Creative strategy in any company, Teaching in any of the institutes/colleges/online or offline, Manage and drive End-to-End Projects or Products, Entrepreneur or Start Up")</f>
        <v>Design and Creative strategy in any company, Teaching in any of the institutes/colleges/online or offline, Manage and drive End-to-End Projects or Products, Entrepreneur or Start Up</v>
      </c>
      <c r="O2735" s="1" t="str">
        <f ca="1">IFERROR(__xludf.DUMMYFUNCTION("""COMPUTED_VALUE"""),"Manager who explains what is expected, sets a goal and helps achieve it")</f>
        <v>Manager who explains what is expected, sets a goal and helps achieve it</v>
      </c>
      <c r="P2735" s="1" t="str">
        <f ca="1">IFERROR(__xludf.DUMMYFUNCTION("""COMPUTED_VALUE"""),"Work with more than 10 people in my team")</f>
        <v>Work with more than 10 people in my team</v>
      </c>
      <c r="Q2735" s="1" t="str">
        <f ca="1">IFERROR(__xludf.DUMMYFUNCTION("""COMPUTED_VALUE"""),"Yes")</f>
        <v>Yes</v>
      </c>
      <c r="R2735" s="1" t="str">
        <f ca="1">IFERROR(__xludf.DUMMYFUNCTION("""COMPUTED_VALUE"""),"This will be hard to do, but if it is the right company I would try")</f>
        <v>This will be hard to do, but if it is the right company I would try</v>
      </c>
      <c r="S2735" s="1" t="str">
        <f ca="1">IFERROR(__xludf.DUMMYFUNCTION("""COMPUTED_VALUE"""),"amrutraibagi2018@gmail.com")</f>
        <v>amrutraibagi2018@gmail.com</v>
      </c>
    </row>
    <row r="2736" spans="1:19" ht="12.5" x14ac:dyDescent="0.25">
      <c r="A2736" s="2">
        <f ca="1">IFERROR(__xludf.DUMMYFUNCTION("""COMPUTED_VALUE"""),45067.4780134375)</f>
        <v>45067.478013437503</v>
      </c>
      <c r="B2736" s="1" t="str">
        <f ca="1">IFERROR(__xludf.DUMMYFUNCTION("""COMPUTED_VALUE"""),"India")</f>
        <v>India</v>
      </c>
      <c r="C2736" s="1">
        <f ca="1">IFERROR(__xludf.DUMMYFUNCTION("""COMPUTED_VALUE"""),520002)</f>
        <v>520002</v>
      </c>
      <c r="D2736" s="1" t="str">
        <f ca="1">IFERROR(__xludf.DUMMYFUNCTION("""COMPUTED_VALUE"""),"Male")</f>
        <v>Male</v>
      </c>
      <c r="E2736" s="1" t="str">
        <f ca="1">IFERROR(__xludf.DUMMYFUNCTION("""COMPUTED_VALUE"""),"People from my circle, but not family members")</f>
        <v>People from my circle, but not family members</v>
      </c>
      <c r="F2736" s="1" t="str">
        <f ca="1">IFERROR(__xludf.DUMMYFUNCTION("""COMPUTED_VALUE"""),"No I would not be pursuing Higher Education outside of India")</f>
        <v>No I would not be pursuing Higher Education outside of India</v>
      </c>
      <c r="G2736" s="1" t="str">
        <f ca="1">IFERROR(__xludf.DUMMYFUNCTION("""COMPUTED_VALUE"""),"Will work for 3 years or more")</f>
        <v>Will work for 3 years or more</v>
      </c>
      <c r="H2736" s="1" t="str">
        <f ca="1">IFERROR(__xludf.DUMMYFUNCTION("""COMPUTED_VALUE"""),"Yes")</f>
        <v>Yes</v>
      </c>
      <c r="I2736" s="1" t="str">
        <f ca="1">IFERROR(__xludf.DUMMYFUNCTION("""COMPUTED_VALUE"""),"Will work for them")</f>
        <v>Will work for them</v>
      </c>
      <c r="J2736" s="1">
        <f ca="1">IFERROR(__xludf.DUMMYFUNCTION("""COMPUTED_VALUE"""),10)</f>
        <v>10</v>
      </c>
      <c r="K2736" s="1" t="str">
        <f ca="1">IFERROR(__xludf.DUMMYFUNCTION("""COMPUTED_VALUE"""),"Every Day Office Environment")</f>
        <v>Every Day Office Environment</v>
      </c>
      <c r="L2736" s="1" t="str">
        <f ca="1">IFERROR(__xludf.DUMMYFUNCTION("""COMPUTED_VALUE"""),"Employer who appreciates learning and enables that environment")</f>
        <v>Employer who appreciates learning and enables that environment</v>
      </c>
      <c r="M2736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36" s="1" t="str">
        <f ca="1">IFERROR(__xludf.DUMMYFUNCTION("""COMPUTED_VALUE"""),"Business Operations in any organization, Build and develop a Team, Entrepreneur or Start Up, Manufacturing / Oil and Gas/ Construction / Hard Physical Work related")</f>
        <v>Business Operations in any organization, Build and develop a Team, Entrepreneur or Start Up, Manufacturing / Oil and Gas/ Construction / Hard Physical Work related</v>
      </c>
      <c r="O2736" s="1" t="str">
        <f ca="1">IFERROR(__xludf.DUMMYFUNCTION("""COMPUTED_VALUE"""),"Manager who explains what is expected, sets a goal and helps achieve it")</f>
        <v>Manager who explains what is expected, sets a goal and helps achieve it</v>
      </c>
      <c r="P2736" s="1" t="str">
        <f ca="1">IFERROR(__xludf.DUMMYFUNCTION("""COMPUTED_VALUE"""),"Work with 5 to 6 people in my team")</f>
        <v>Work with 5 to 6 people in my team</v>
      </c>
      <c r="Q2736" s="1" t="str">
        <f ca="1">IFERROR(__xludf.DUMMYFUNCTION("""COMPUTED_VALUE"""),"Yes")</f>
        <v>Yes</v>
      </c>
      <c r="R2736" s="1" t="str">
        <f ca="1">IFERROR(__xludf.DUMMYFUNCTION("""COMPUTED_VALUE"""),"Will work for 7 years or more")</f>
        <v>Will work for 7 years or more</v>
      </c>
      <c r="S2736" s="1" t="str">
        <f ca="1">IFERROR(__xludf.DUMMYFUNCTION("""COMPUTED_VALUE"""),"sharifkosala@gmail.com")</f>
        <v>sharifkosala@gmail.com</v>
      </c>
    </row>
    <row r="2737" spans="1:19" ht="12.5" x14ac:dyDescent="0.25">
      <c r="A2737" s="2">
        <f ca="1">IFERROR(__xludf.DUMMYFUNCTION("""COMPUTED_VALUE"""),45067.5304293171)</f>
        <v>45067.530429317099</v>
      </c>
      <c r="B2737" s="1" t="str">
        <f ca="1">IFERROR(__xludf.DUMMYFUNCTION("""COMPUTED_VALUE"""),"India")</f>
        <v>India</v>
      </c>
      <c r="C2737" s="1">
        <f ca="1">IFERROR(__xludf.DUMMYFUNCTION("""COMPUTED_VALUE"""),500090)</f>
        <v>500090</v>
      </c>
      <c r="D2737" s="1" t="str">
        <f ca="1">IFERROR(__xludf.DUMMYFUNCTION("""COMPUTED_VALUE"""),"Female")</f>
        <v>Female</v>
      </c>
      <c r="E2737" s="1" t="str">
        <f ca="1">IFERROR(__xludf.DUMMYFUNCTION("""COMPUTED_VALUE"""),"Social Media like LinkedIn")</f>
        <v>Social Media like LinkedIn</v>
      </c>
      <c r="F2737" s="1" t="str">
        <f ca="1">IFERROR(__xludf.DUMMYFUNCTION("""COMPUTED_VALUE"""),"Yes, I will earn and do that")</f>
        <v>Yes, I will earn and do that</v>
      </c>
      <c r="G2737" s="1" t="str">
        <f ca="1">IFERROR(__xludf.DUMMYFUNCTION("""COMPUTED_VALUE"""),"Will work for 3 years or more")</f>
        <v>Will work for 3 years or more</v>
      </c>
      <c r="H2737" s="1" t="str">
        <f ca="1">IFERROR(__xludf.DUMMYFUNCTION("""COMPUTED_VALUE"""),"No")</f>
        <v>No</v>
      </c>
      <c r="I2737" s="1" t="str">
        <f ca="1">IFERROR(__xludf.DUMMYFUNCTION("""COMPUTED_VALUE"""),"Will NOT work for them")</f>
        <v>Will NOT work for them</v>
      </c>
      <c r="J2737" s="1">
        <f ca="1">IFERROR(__xludf.DUMMYFUNCTION("""COMPUTED_VALUE"""),9)</f>
        <v>9</v>
      </c>
      <c r="K2737" s="1" t="str">
        <f ca="1">IFERROR(__xludf.DUMMYFUNCTION("""COMPUTED_VALUE"""),"Hybrid Working Environment with less than 3 days a month at office")</f>
        <v>Hybrid Working Environment with less than 3 days a month at office</v>
      </c>
      <c r="L2737" s="1" t="str">
        <f ca="1">IFERROR(__xludf.DUMMYFUNCTION("""COMPUTED_VALUE"""),"Employer who rewards learning and enables that environment")</f>
        <v>Employer who rewards learning and enables that environment</v>
      </c>
      <c r="M273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37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737" s="1" t="str">
        <f ca="1">IFERROR(__xludf.DUMMYFUNCTION("""COMPUTED_VALUE"""),"Manager who sets targets and expects me to achieve it")</f>
        <v>Manager who sets targets and expects me to achieve it</v>
      </c>
      <c r="P2737" s="1" t="str">
        <f ca="1">IFERROR(__xludf.DUMMYFUNCTION("""COMPUTED_VALUE"""),"Work with 5 to 6 people in my team")</f>
        <v>Work with 5 to 6 people in my team</v>
      </c>
      <c r="Q2737" s="1" t="str">
        <f ca="1">IFERROR(__xludf.DUMMYFUNCTION("""COMPUTED_VALUE"""),"Yes, I Understand this is gonna happen everywhere")</f>
        <v>Yes, I Understand this is gonna happen everywhere</v>
      </c>
      <c r="R2737" s="1" t="str">
        <f ca="1">IFERROR(__xludf.DUMMYFUNCTION("""COMPUTED_VALUE"""),"This will be hard to do, but if it is the right company I would try")</f>
        <v>This will be hard to do, but if it is the right company I would try</v>
      </c>
      <c r="S2737" s="1" t="str">
        <f ca="1">IFERROR(__xludf.DUMMYFUNCTION("""COMPUTED_VALUE"""),"neelapunageswari@gmail.com")</f>
        <v>neelapunageswari@gmail.com</v>
      </c>
    </row>
    <row r="2738" spans="1:19" ht="12.5" x14ac:dyDescent="0.25">
      <c r="A2738" s="2">
        <f ca="1">IFERROR(__xludf.DUMMYFUNCTION("""COMPUTED_VALUE"""),45067.5349382522)</f>
        <v>45067.534938252298</v>
      </c>
      <c r="B2738" s="1" t="str">
        <f ca="1">IFERROR(__xludf.DUMMYFUNCTION("""COMPUTED_VALUE"""),"India")</f>
        <v>India</v>
      </c>
      <c r="C2738" s="1">
        <f ca="1">IFERROR(__xludf.DUMMYFUNCTION("""COMPUTED_VALUE"""),464001)</f>
        <v>464001</v>
      </c>
      <c r="D2738" s="1" t="str">
        <f ca="1">IFERROR(__xludf.DUMMYFUNCTION("""COMPUTED_VALUE"""),"Female")</f>
        <v>Female</v>
      </c>
      <c r="E2738" s="1" t="str">
        <f ca="1">IFERROR(__xludf.DUMMYFUNCTION("""COMPUTED_VALUE"""),"My Parents")</f>
        <v>My Parents</v>
      </c>
      <c r="F2738" s="1" t="str">
        <f ca="1">IFERROR(__xludf.DUMMYFUNCTION("""COMPUTED_VALUE"""),"No, But if someone could bare the cost I will")</f>
        <v>No, But if someone could bare the cost I will</v>
      </c>
      <c r="G2738" s="1" t="str">
        <f ca="1">IFERROR(__xludf.DUMMYFUNCTION("""COMPUTED_VALUE"""),"This will be hard to do, but if it is the right company I would try")</f>
        <v>This will be hard to do, but if it is the right company I would try</v>
      </c>
      <c r="H2738" s="1" t="str">
        <f ca="1">IFERROR(__xludf.DUMMYFUNCTION("""COMPUTED_VALUE"""),"No")</f>
        <v>No</v>
      </c>
      <c r="I2738" s="1" t="str">
        <f ca="1">IFERROR(__xludf.DUMMYFUNCTION("""COMPUTED_VALUE"""),"Will NOT work for them")</f>
        <v>Will NOT work for them</v>
      </c>
      <c r="J2738" s="1">
        <f ca="1">IFERROR(__xludf.DUMMYFUNCTION("""COMPUTED_VALUE"""),1)</f>
        <v>1</v>
      </c>
      <c r="K2738" s="1" t="str">
        <f ca="1">IFERROR(__xludf.DUMMYFUNCTION("""COMPUTED_VALUE"""),"Fully Remote with Options to travel as and when needed")</f>
        <v>Fully Remote with Options to travel as and when needed</v>
      </c>
      <c r="L273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38" s="1" t="str">
        <f ca="1">IFERROR(__xludf.DUMMYFUNCTION("""COMPUTED_VALUE"""),"Self Paced Learning Portals of the Company, Instructor or Expert Learning Programs, Manager Teaching you")</f>
        <v>Self Paced Learning Portals of the Company, Instructor or Expert Learning Programs, Manager Teaching you</v>
      </c>
      <c r="N2738" s="1" t="str">
        <f ca="1">IFERROR(__xludf.DUMMYFUNCTION("""COMPUTED_VALUE"""),"Design and Creative strategy in any company, Teaching in any of the institutes/colleges/online or offline, Build and develop a Team, An Artificial Intelligence Specialist / Talking to Robots")</f>
        <v>Design and Creative strategy in any company, Teaching in any of the institutes/colleges/online or offline, Build and develop a Team, An Artificial Intelligence Specialist / Talking to Robots</v>
      </c>
      <c r="O2738" s="1" t="str">
        <f ca="1">IFERROR(__xludf.DUMMYFUNCTION("""COMPUTED_VALUE"""),"Manager who explains what is expected, sets a goal and helps achieve it")</f>
        <v>Manager who explains what is expected, sets a goal and helps achieve it</v>
      </c>
      <c r="P273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738" s="1" t="str">
        <f ca="1">IFERROR(__xludf.DUMMYFUNCTION("""COMPUTED_VALUE"""),"No")</f>
        <v>No</v>
      </c>
      <c r="R2738" s="1" t="str">
        <f ca="1">IFERROR(__xludf.DUMMYFUNCTION("""COMPUTED_VALUE"""),"This will be hard to do, but if it is the right company I would try")</f>
        <v>This will be hard to do, but if it is the right company I would try</v>
      </c>
      <c r="S2738" s="1" t="str">
        <f ca="1">IFERROR(__xludf.DUMMYFUNCTION("""COMPUTED_VALUE"""),"garimaraghuwanshi95@gmail.com")</f>
        <v>garimaraghuwanshi95@gmail.com</v>
      </c>
    </row>
    <row r="2739" spans="1:19" ht="12.5" x14ac:dyDescent="0.25">
      <c r="A2739" s="2">
        <f ca="1">IFERROR(__xludf.DUMMYFUNCTION("""COMPUTED_VALUE"""),45067.5580866666)</f>
        <v>45067.558086666599</v>
      </c>
      <c r="B2739" s="1" t="str">
        <f ca="1">IFERROR(__xludf.DUMMYFUNCTION("""COMPUTED_VALUE"""),"India")</f>
        <v>India</v>
      </c>
      <c r="C2739" s="1">
        <f ca="1">IFERROR(__xludf.DUMMYFUNCTION("""COMPUTED_VALUE"""),124111)</f>
        <v>124111</v>
      </c>
      <c r="D2739" s="1" t="str">
        <f ca="1">IFERROR(__xludf.DUMMYFUNCTION("""COMPUTED_VALUE"""),"Male")</f>
        <v>Male</v>
      </c>
      <c r="E2739" s="1" t="str">
        <f ca="1">IFERROR(__xludf.DUMMYFUNCTION("""COMPUTED_VALUE"""),"My Parents")</f>
        <v>My Parents</v>
      </c>
      <c r="F2739" s="1" t="str">
        <f ca="1">IFERROR(__xludf.DUMMYFUNCTION("""COMPUTED_VALUE"""),"Yes, I will earn and do that")</f>
        <v>Yes, I will earn and do that</v>
      </c>
      <c r="G2739" s="1" t="str">
        <f ca="1">IFERROR(__xludf.DUMMYFUNCTION("""COMPUTED_VALUE"""),"Will work for 3 years or more")</f>
        <v>Will work for 3 years or more</v>
      </c>
      <c r="H2739" s="1" t="str">
        <f ca="1">IFERROR(__xludf.DUMMYFUNCTION("""COMPUTED_VALUE"""),"No")</f>
        <v>No</v>
      </c>
      <c r="I2739" s="1" t="str">
        <f ca="1">IFERROR(__xludf.DUMMYFUNCTION("""COMPUTED_VALUE"""),"Will NOT work for them")</f>
        <v>Will NOT work for them</v>
      </c>
      <c r="J2739" s="1">
        <f ca="1">IFERROR(__xludf.DUMMYFUNCTION("""COMPUTED_VALUE"""),7)</f>
        <v>7</v>
      </c>
      <c r="K2739" s="1" t="str">
        <f ca="1">IFERROR(__xludf.DUMMYFUNCTION("""COMPUTED_VALUE"""),"Fully Remote with Options to travel as and when needed")</f>
        <v>Fully Remote with Options to travel as and when needed</v>
      </c>
      <c r="L273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39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39" s="1" t="str">
        <f ca="1">IFERROR(__xludf.DUMMYFUNCTION("""COMPUTED_VALUE"""),"Design and Creative strategy in any company, Build and develop a Team, Design and Develop amazing software, An Artificial Intelligence Specialist / Talking to Robots")</f>
        <v>Design and Creative strategy in any company, Build and develop a Team, Design and Develop amazing software, An Artificial Intelligence Specialist / Talking to Robots</v>
      </c>
      <c r="O2739" s="1" t="str">
        <f ca="1">IFERROR(__xludf.DUMMYFUNCTION("""COMPUTED_VALUE"""),"Manager who explains what is expected, sets a goal and helps achieve it")</f>
        <v>Manager who explains what is expected, sets a goal and helps achieve it</v>
      </c>
      <c r="P2739" s="1" t="str">
        <f ca="1">IFERROR(__xludf.DUMMYFUNCTION("""COMPUTED_VALUE"""),"Work with 7 to 10 or more people in my team")</f>
        <v>Work with 7 to 10 or more people in my team</v>
      </c>
      <c r="Q2739" s="1" t="str">
        <f ca="1">IFERROR(__xludf.DUMMYFUNCTION("""COMPUTED_VALUE"""),"Yes, I Understand this is gonna happen everywhere")</f>
        <v>Yes, I Understand this is gonna happen everywhere</v>
      </c>
      <c r="R2739" s="1" t="str">
        <f ca="1">IFERROR(__xludf.DUMMYFUNCTION("""COMPUTED_VALUE"""),"This will be hard to do, but if it is the right company I would try")</f>
        <v>This will be hard to do, but if it is the right company I would try</v>
      </c>
      <c r="S2739" s="1" t="str">
        <f ca="1">IFERROR(__xludf.DUMMYFUNCTION("""COMPUTED_VALUE"""),"dangirajesh19971@gmail.com")</f>
        <v>dangirajesh19971@gmail.com</v>
      </c>
    </row>
    <row r="2740" spans="1:19" ht="12.5" x14ac:dyDescent="0.25">
      <c r="A2740" s="2">
        <f ca="1">IFERROR(__xludf.DUMMYFUNCTION("""COMPUTED_VALUE"""),45067.5627362384)</f>
        <v>45067.562736238397</v>
      </c>
      <c r="B2740" s="1" t="str">
        <f ca="1">IFERROR(__xludf.DUMMYFUNCTION("""COMPUTED_VALUE"""),"India")</f>
        <v>India</v>
      </c>
      <c r="C2740" s="1">
        <f ca="1">IFERROR(__xludf.DUMMYFUNCTION("""COMPUTED_VALUE"""),122505)</f>
        <v>122505</v>
      </c>
      <c r="D2740" s="1" t="str">
        <f ca="1">IFERROR(__xludf.DUMMYFUNCTION("""COMPUTED_VALUE"""),"Female")</f>
        <v>Female</v>
      </c>
      <c r="E2740" s="1" t="str">
        <f ca="1">IFERROR(__xludf.DUMMYFUNCTION("""COMPUTED_VALUE"""),"Influencers who had successful careers")</f>
        <v>Influencers who had successful careers</v>
      </c>
      <c r="F2740" s="1" t="str">
        <f ca="1">IFERROR(__xludf.DUMMYFUNCTION("""COMPUTED_VALUE"""),"No I would not be pursuing Higher Education outside of India")</f>
        <v>No I would not be pursuing Higher Education outside of India</v>
      </c>
      <c r="G2740" s="1" t="str">
        <f ca="1">IFERROR(__xludf.DUMMYFUNCTION("""COMPUTED_VALUE"""),"This will be hard to do, but if it is the right company I would try")</f>
        <v>This will be hard to do, but if it is the right company I would try</v>
      </c>
      <c r="H2740" s="1" t="str">
        <f ca="1">IFERROR(__xludf.DUMMYFUNCTION("""COMPUTED_VALUE"""),"No")</f>
        <v>No</v>
      </c>
      <c r="I2740" s="1" t="str">
        <f ca="1">IFERROR(__xludf.DUMMYFUNCTION("""COMPUTED_VALUE"""),"Will NOT work for them")</f>
        <v>Will NOT work for them</v>
      </c>
      <c r="J2740" s="1">
        <f ca="1">IFERROR(__xludf.DUMMYFUNCTION("""COMPUTED_VALUE"""),8)</f>
        <v>8</v>
      </c>
      <c r="K2740" s="1" t="str">
        <f ca="1">IFERROR(__xludf.DUMMYFUNCTION("""COMPUTED_VALUE"""),"Every Day Office Environment")</f>
        <v>Every Day Office Environment</v>
      </c>
      <c r="L2740" s="1" t="str">
        <f ca="1">IFERROR(__xludf.DUMMYFUNCTION("""COMPUTED_VALUE"""),"Employer who appreciates learning and enables that environment")</f>
        <v>Employer who appreciates learning and enables that environment</v>
      </c>
      <c r="M274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40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2740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0" s="1" t="str">
        <f ca="1">IFERROR(__xludf.DUMMYFUNCTION("""COMPUTED_VALUE"""),"Work with 5 to 6 people in my team")</f>
        <v>Work with 5 to 6 people in my team</v>
      </c>
      <c r="Q2740" s="1" t="str">
        <f ca="1">IFERROR(__xludf.DUMMYFUNCTION("""COMPUTED_VALUE"""),"No")</f>
        <v>No</v>
      </c>
      <c r="R2740" s="1" t="str">
        <f ca="1">IFERROR(__xludf.DUMMYFUNCTION("""COMPUTED_VALUE"""),"No way")</f>
        <v>No way</v>
      </c>
      <c r="S2740" s="1" t="str">
        <f ca="1">IFERROR(__xludf.DUMMYFUNCTION("""COMPUTED_VALUE"""),"shivanibalhara1996@gmail.com")</f>
        <v>shivanibalhara1996@gmail.com</v>
      </c>
    </row>
    <row r="2741" spans="1:19" ht="12.5" x14ac:dyDescent="0.25">
      <c r="A2741" s="2">
        <f ca="1">IFERROR(__xludf.DUMMYFUNCTION("""COMPUTED_VALUE"""),45067.5656106249)</f>
        <v>45067.565610624901</v>
      </c>
      <c r="B2741" s="1" t="str">
        <f ca="1">IFERROR(__xludf.DUMMYFUNCTION("""COMPUTED_VALUE"""),"India")</f>
        <v>India</v>
      </c>
      <c r="C2741" s="1">
        <f ca="1">IFERROR(__xludf.DUMMYFUNCTION("""COMPUTED_VALUE"""),122052)</f>
        <v>122052</v>
      </c>
      <c r="D2741" s="1" t="str">
        <f ca="1">IFERROR(__xludf.DUMMYFUNCTION("""COMPUTED_VALUE"""),"Male")</f>
        <v>Male</v>
      </c>
      <c r="E2741" s="1" t="str">
        <f ca="1">IFERROR(__xludf.DUMMYFUNCTION("""COMPUTED_VALUE"""),"Influencers who had successful careers")</f>
        <v>Influencers who had successful careers</v>
      </c>
      <c r="F2741" s="1" t="str">
        <f ca="1">IFERROR(__xludf.DUMMYFUNCTION("""COMPUTED_VALUE"""),"Yes, I will earn and do that")</f>
        <v>Yes, I will earn and do that</v>
      </c>
      <c r="G2741" s="1" t="str">
        <f ca="1">IFERROR(__xludf.DUMMYFUNCTION("""COMPUTED_VALUE"""),"Will work for 3 years or more")</f>
        <v>Will work for 3 years or more</v>
      </c>
      <c r="H2741" s="1" t="str">
        <f ca="1">IFERROR(__xludf.DUMMYFUNCTION("""COMPUTED_VALUE"""),"Yes")</f>
        <v>Yes</v>
      </c>
      <c r="I2741" s="1" t="str">
        <f ca="1">IFERROR(__xludf.DUMMYFUNCTION("""COMPUTED_VALUE"""),"Will NOT work for them")</f>
        <v>Will NOT work for them</v>
      </c>
      <c r="J2741" s="1">
        <f ca="1">IFERROR(__xludf.DUMMYFUNCTION("""COMPUTED_VALUE"""),8)</f>
        <v>8</v>
      </c>
      <c r="K2741" s="1" t="str">
        <f ca="1">IFERROR(__xludf.DUMMYFUNCTION("""COMPUTED_VALUE"""),"Every Day Office Environment")</f>
        <v>Every Day Office Environment</v>
      </c>
      <c r="L274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4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41" s="1" t="str">
        <f ca="1">IFERROR(__xludf.DUMMYFUNCTION("""COMPUTED_VALUE"""),"Teaching in any of the institutes/colleges/online or offline, Business Operations in any organization, Manage and drive End-to-End Projects or Products, Entrepreneur or Start Up")</f>
        <v>Teaching in any of the institutes/colleges/online or offline, Business Operations in any organization, Manage and drive End-to-End Projects or Products, Entrepreneur or Start Up</v>
      </c>
      <c r="O2741" s="1" t="str">
        <f ca="1">IFERROR(__xludf.DUMMYFUNCTION("""COMPUTED_VALUE"""),"Manager who sets goal and helps me achieve it")</f>
        <v>Manager who sets goal and helps me achieve it</v>
      </c>
      <c r="P2741" s="1" t="str">
        <f ca="1">IFERROR(__xludf.DUMMYFUNCTION("""COMPUTED_VALUE"""),"Work with 5 to 6 people in my team")</f>
        <v>Work with 5 to 6 people in my team</v>
      </c>
      <c r="Q2741" s="1" t="str">
        <f ca="1">IFERROR(__xludf.DUMMYFUNCTION("""COMPUTED_VALUE"""),"Yes, I Understand this is gonna happen everywhere")</f>
        <v>Yes, I Understand this is gonna happen everywhere</v>
      </c>
      <c r="R2741" s="1" t="str">
        <f ca="1">IFERROR(__xludf.DUMMYFUNCTION("""COMPUTED_VALUE"""),"This will be hard to do, but if it is the right company I would try")</f>
        <v>This will be hard to do, but if it is the right company I would try</v>
      </c>
      <c r="S2741" s="1" t="str">
        <f ca="1">IFERROR(__xludf.DUMMYFUNCTION("""COMPUTED_VALUE"""),"ayushshukla68@gmail.com")</f>
        <v>ayushshukla68@gmail.com</v>
      </c>
    </row>
    <row r="2742" spans="1:19" ht="12.5" x14ac:dyDescent="0.25">
      <c r="A2742" s="2">
        <f ca="1">IFERROR(__xludf.DUMMYFUNCTION("""COMPUTED_VALUE"""),45067.569362824)</f>
        <v>45067.569362823997</v>
      </c>
      <c r="B2742" s="1" t="str">
        <f ca="1">IFERROR(__xludf.DUMMYFUNCTION("""COMPUTED_VALUE"""),"India")</f>
        <v>India</v>
      </c>
      <c r="C2742" s="1">
        <f ca="1">IFERROR(__xludf.DUMMYFUNCTION("""COMPUTED_VALUE"""),411048)</f>
        <v>411048</v>
      </c>
      <c r="D2742" s="1" t="str">
        <f ca="1">IFERROR(__xludf.DUMMYFUNCTION("""COMPUTED_VALUE"""),"Male")</f>
        <v>Male</v>
      </c>
      <c r="E2742" s="1" t="str">
        <f ca="1">IFERROR(__xludf.DUMMYFUNCTION("""COMPUTED_VALUE"""),"My Parents")</f>
        <v>My Parents</v>
      </c>
      <c r="F2742" s="1" t="str">
        <f ca="1">IFERROR(__xludf.DUMMYFUNCTION("""COMPUTED_VALUE"""),"Yes, I will earn and do that")</f>
        <v>Yes, I will earn and do that</v>
      </c>
      <c r="G2742" s="1" t="str">
        <f ca="1">IFERROR(__xludf.DUMMYFUNCTION("""COMPUTED_VALUE"""),"This will be hard to do, but if it is the right company I would try")</f>
        <v>This will be hard to do, but if it is the right company I would try</v>
      </c>
      <c r="H2742" s="1" t="str">
        <f ca="1">IFERROR(__xludf.DUMMYFUNCTION("""COMPUTED_VALUE"""),"Yes")</f>
        <v>Yes</v>
      </c>
      <c r="I2742" s="1" t="str">
        <f ca="1">IFERROR(__xludf.DUMMYFUNCTION("""COMPUTED_VALUE"""),"Will NOT work for them")</f>
        <v>Will NOT work for them</v>
      </c>
      <c r="J2742" s="1">
        <f ca="1">IFERROR(__xludf.DUMMYFUNCTION("""COMPUTED_VALUE"""),10)</f>
        <v>10</v>
      </c>
      <c r="K2742" s="1" t="str">
        <f ca="1">IFERROR(__xludf.DUMMYFUNCTION("""COMPUTED_VALUE"""),"Fully Remote with Options to travel as and when needed")</f>
        <v>Fully Remote with Options to travel as and when needed</v>
      </c>
      <c r="L274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4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742" s="1" t="str">
        <f ca="1">IFERROR(__xludf.DUMMYFUNCTION("""COMPUTED_VALUE"""),"Business Operations in any organization, Work as a freelancer and do my thing my way, Entrepreneur or Start Up, Manufacturing / Oil and Gas/ Construction / Hard Physical Work related")</f>
        <v>Business Operations in any organization, Work as a freelancer and do my thing my way, Entrepreneur or Start Up, Manufacturing / Oil and Gas/ Construction / Hard Physical Work related</v>
      </c>
      <c r="O2742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2" s="1" t="str">
        <f ca="1">IFERROR(__xludf.DUMMYFUNCTION("""COMPUTED_VALUE"""),"Work with more than 10 people in my team")</f>
        <v>Work with more than 10 people in my team</v>
      </c>
      <c r="Q2742" s="1" t="str">
        <f ca="1">IFERROR(__xludf.DUMMYFUNCTION("""COMPUTED_VALUE"""),"Yes, I Understand this is gonna happen everywhere")</f>
        <v>Yes, I Understand this is gonna happen everywhere</v>
      </c>
      <c r="R2742" s="1" t="str">
        <f ca="1">IFERROR(__xludf.DUMMYFUNCTION("""COMPUTED_VALUE"""),"This will be hard to do, but if it is the right company I would try")</f>
        <v>This will be hard to do, but if it is the right company I would try</v>
      </c>
      <c r="S2742" s="1" t="str">
        <f ca="1">IFERROR(__xludf.DUMMYFUNCTION("""COMPUTED_VALUE"""),"yash24600sakhariya@gmail.com")</f>
        <v>yash24600sakhariya@gmail.com</v>
      </c>
    </row>
    <row r="2743" spans="1:19" ht="12.5" x14ac:dyDescent="0.25">
      <c r="A2743" s="2">
        <f ca="1">IFERROR(__xludf.DUMMYFUNCTION("""COMPUTED_VALUE"""),45067.6017842824)</f>
        <v>45067.6017842824</v>
      </c>
      <c r="B2743" s="1" t="str">
        <f ca="1">IFERROR(__xludf.DUMMYFUNCTION("""COMPUTED_VALUE"""),"India")</f>
        <v>India</v>
      </c>
      <c r="C2743" s="1">
        <f ca="1">IFERROR(__xludf.DUMMYFUNCTION("""COMPUTED_VALUE"""),600072)</f>
        <v>600072</v>
      </c>
      <c r="D2743" s="1" t="str">
        <f ca="1">IFERROR(__xludf.DUMMYFUNCTION("""COMPUTED_VALUE"""),"Male")</f>
        <v>Male</v>
      </c>
      <c r="E2743" s="1" t="str">
        <f ca="1">IFERROR(__xludf.DUMMYFUNCTION("""COMPUTED_VALUE"""),"Social Media like LinkedIn")</f>
        <v>Social Media like LinkedIn</v>
      </c>
      <c r="F2743" s="1" t="str">
        <f ca="1">IFERROR(__xludf.DUMMYFUNCTION("""COMPUTED_VALUE"""),"No I would not be pursuing Higher Education outside of India")</f>
        <v>No I would not be pursuing Higher Education outside of India</v>
      </c>
      <c r="G2743" s="1" t="str">
        <f ca="1">IFERROR(__xludf.DUMMYFUNCTION("""COMPUTED_VALUE"""),"Will work for 3 years or more")</f>
        <v>Will work for 3 years or more</v>
      </c>
      <c r="H2743" s="1" t="str">
        <f ca="1">IFERROR(__xludf.DUMMYFUNCTION("""COMPUTED_VALUE"""),"No")</f>
        <v>No</v>
      </c>
      <c r="I2743" s="1" t="str">
        <f ca="1">IFERROR(__xludf.DUMMYFUNCTION("""COMPUTED_VALUE"""),"Will NOT work for them")</f>
        <v>Will NOT work for them</v>
      </c>
      <c r="J2743" s="1">
        <f ca="1">IFERROR(__xludf.DUMMYFUNCTION("""COMPUTED_VALUE"""),2)</f>
        <v>2</v>
      </c>
      <c r="K2743" s="1" t="str">
        <f ca="1">IFERROR(__xludf.DUMMYFUNCTION("""COMPUTED_VALUE"""),"Hybrid Working Environment with more than 15 days a month at office")</f>
        <v>Hybrid Working Environment with more than 15 days a month at office</v>
      </c>
      <c r="L274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4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43" s="1" t="str">
        <f ca="1">IFERROR(__xludf.DUMMYFUNCTION("""COMPUTED_VALUE"""),"Design and Develop amazing software, Look deeply into Data and generate insights, Become a content Creator in some platform, An Artificial Intelligence Specialist / Talking to Robots")</f>
        <v>Design and Develop amazing software, Look deeply into Data and generate insights, Become a content Creator in some platform, An Artificial Intelligence Specialist / Talking to Robots</v>
      </c>
      <c r="O2743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3" s="1" t="str">
        <f ca="1">IFERROR(__xludf.DUMMYFUNCTION("""COMPUTED_VALUE"""),"Work with 2 to 3 people in my team, Work with 5 to 6 people in my team")</f>
        <v>Work with 2 to 3 people in my team, Work with 5 to 6 people in my team</v>
      </c>
      <c r="Q2743" s="1" t="str">
        <f ca="1">IFERROR(__xludf.DUMMYFUNCTION("""COMPUTED_VALUE"""),"Yes, I Understand this is gonna happen everywhere")</f>
        <v>Yes, I Understand this is gonna happen everywhere</v>
      </c>
      <c r="R2743" s="1" t="str">
        <f ca="1">IFERROR(__xludf.DUMMYFUNCTION("""COMPUTED_VALUE"""),"This will be hard to do, but if it is the right company I would try")</f>
        <v>This will be hard to do, but if it is the right company I would try</v>
      </c>
      <c r="S2743" s="1" t="str">
        <f ca="1">IFERROR(__xludf.DUMMYFUNCTION("""COMPUTED_VALUE"""),"vigneshprabakaran2003@gmail.com")</f>
        <v>vigneshprabakaran2003@gmail.com</v>
      </c>
    </row>
    <row r="2744" spans="1:19" ht="12.5" x14ac:dyDescent="0.25">
      <c r="A2744" s="2">
        <f ca="1">IFERROR(__xludf.DUMMYFUNCTION("""COMPUTED_VALUE"""),45067.6429480439)</f>
        <v>45067.642948043896</v>
      </c>
      <c r="B2744" s="1" t="str">
        <f ca="1">IFERROR(__xludf.DUMMYFUNCTION("""COMPUTED_VALUE"""),"India")</f>
        <v>India</v>
      </c>
      <c r="C2744" s="1">
        <f ca="1">IFERROR(__xludf.DUMMYFUNCTION("""COMPUTED_VALUE"""),474001)</f>
        <v>474001</v>
      </c>
      <c r="D2744" s="1" t="str">
        <f ca="1">IFERROR(__xludf.DUMMYFUNCTION("""COMPUTED_VALUE"""),"Male")</f>
        <v>Male</v>
      </c>
      <c r="E2744" s="1" t="str">
        <f ca="1">IFERROR(__xludf.DUMMYFUNCTION("""COMPUTED_VALUE"""),"Social Media like LinkedIn")</f>
        <v>Social Media like LinkedIn</v>
      </c>
      <c r="F2744" s="1" t="str">
        <f ca="1">IFERROR(__xludf.DUMMYFUNCTION("""COMPUTED_VALUE"""),"Yes, I will earn and do that")</f>
        <v>Yes, I will earn and do that</v>
      </c>
      <c r="G2744" s="1" t="str">
        <f ca="1">IFERROR(__xludf.DUMMYFUNCTION("""COMPUTED_VALUE"""),"Will work for 3 years or more")</f>
        <v>Will work for 3 years or more</v>
      </c>
      <c r="H2744" s="1" t="str">
        <f ca="1">IFERROR(__xludf.DUMMYFUNCTION("""COMPUTED_VALUE"""),"No")</f>
        <v>No</v>
      </c>
      <c r="I2744" s="1" t="str">
        <f ca="1">IFERROR(__xludf.DUMMYFUNCTION("""COMPUTED_VALUE"""),"Will work for them")</f>
        <v>Will work for them</v>
      </c>
      <c r="J2744" s="1">
        <f ca="1">IFERROR(__xludf.DUMMYFUNCTION("""COMPUTED_VALUE"""),6)</f>
        <v>6</v>
      </c>
      <c r="K2744" s="1" t="str">
        <f ca="1">IFERROR(__xludf.DUMMYFUNCTION("""COMPUTED_VALUE"""),"Fully Remote with Options to travel as and when needed")</f>
        <v>Fully Remote with Options to travel as and when needed</v>
      </c>
      <c r="L2744" s="1" t="str">
        <f ca="1">IFERROR(__xludf.DUMMYFUNCTION("""COMPUTED_VALUE"""),"Employer who appreciates learning and enables that environment")</f>
        <v>Employer who appreciates learning and enables that environment</v>
      </c>
      <c r="M274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44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744" s="1" t="str">
        <f ca="1">IFERROR(__xludf.DUMMYFUNCTION("""COMPUTED_VALUE"""),"Manager who sets goal and helps me achieve it")</f>
        <v>Manager who sets goal and helps me achieve it</v>
      </c>
      <c r="P2744" s="1" t="str">
        <f ca="1">IFERROR(__xludf.DUMMYFUNCTION("""COMPUTED_VALUE"""),"Work with 7 to 10 or more people in my team")</f>
        <v>Work with 7 to 10 or more people in my team</v>
      </c>
      <c r="Q2744" s="1" t="str">
        <f ca="1">IFERROR(__xludf.DUMMYFUNCTION("""COMPUTED_VALUE"""),"Yes")</f>
        <v>Yes</v>
      </c>
      <c r="R2744" s="1" t="str">
        <f ca="1">IFERROR(__xludf.DUMMYFUNCTION("""COMPUTED_VALUE"""),"No way")</f>
        <v>No way</v>
      </c>
      <c r="S2744" s="1" t="str">
        <f ca="1">IFERROR(__xludf.DUMMYFUNCTION("""COMPUTED_VALUE"""),"rarya2344@gmail.com")</f>
        <v>rarya2344@gmail.com</v>
      </c>
    </row>
    <row r="2745" spans="1:19" ht="12.5" x14ac:dyDescent="0.25">
      <c r="A2745" s="2">
        <f ca="1">IFERROR(__xludf.DUMMYFUNCTION("""COMPUTED_VALUE"""),45067.6443993171)</f>
        <v>45067.644399317098</v>
      </c>
      <c r="B2745" s="1" t="str">
        <f ca="1">IFERROR(__xludf.DUMMYFUNCTION("""COMPUTED_VALUE"""),"India")</f>
        <v>India</v>
      </c>
      <c r="C2745" s="1">
        <f ca="1">IFERROR(__xludf.DUMMYFUNCTION("""COMPUTED_VALUE"""),474001)</f>
        <v>474001</v>
      </c>
      <c r="D2745" s="1" t="str">
        <f ca="1">IFERROR(__xludf.DUMMYFUNCTION("""COMPUTED_VALUE"""),"Male")</f>
        <v>Male</v>
      </c>
      <c r="E2745" s="1" t="str">
        <f ca="1">IFERROR(__xludf.DUMMYFUNCTION("""COMPUTED_VALUE"""),"My Parents")</f>
        <v>My Parents</v>
      </c>
      <c r="F2745" s="1" t="str">
        <f ca="1">IFERROR(__xludf.DUMMYFUNCTION("""COMPUTED_VALUE"""),"No, But if someone could bare the cost I will")</f>
        <v>No, But if someone could bare the cost I will</v>
      </c>
      <c r="G2745" s="1" t="str">
        <f ca="1">IFERROR(__xludf.DUMMYFUNCTION("""COMPUTED_VALUE"""),"No way")</f>
        <v>No way</v>
      </c>
      <c r="H2745" s="1" t="str">
        <f ca="1">IFERROR(__xludf.DUMMYFUNCTION("""COMPUTED_VALUE"""),"No")</f>
        <v>No</v>
      </c>
      <c r="I2745" s="1" t="str">
        <f ca="1">IFERROR(__xludf.DUMMYFUNCTION("""COMPUTED_VALUE"""),"Will NOT work for them")</f>
        <v>Will NOT work for them</v>
      </c>
      <c r="J2745" s="1">
        <f ca="1">IFERROR(__xludf.DUMMYFUNCTION("""COMPUTED_VALUE"""),1)</f>
        <v>1</v>
      </c>
      <c r="K2745" s="1" t="str">
        <f ca="1">IFERROR(__xludf.DUMMYFUNCTION("""COMPUTED_VALUE"""),"Hybrid Working Environment with less than 3 days a month at office")</f>
        <v>Hybrid Working Environment with less than 3 days a month at office</v>
      </c>
      <c r="L2745" s="1" t="str">
        <f ca="1">IFERROR(__xludf.DUMMYFUNCTION("""COMPUTED_VALUE"""),"Employer who appreciates learning and enables that environment")</f>
        <v>Employer who appreciates learning and enables that environment</v>
      </c>
      <c r="M274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45" s="1" t="str">
        <f ca="1">IFERROR(__xludf.DUMMYFUNCTION("""COMPUTED_VALUE"""),"Design and Creative strategy in any company, Teaching in any of the institutes/colleges/online or offline, Business Operations in any organization, Manage and drive End-to-End Projects or Products")</f>
        <v>Design and Creative strategy in any company, Teaching in any of the institutes/colleges/online or offline, Business Operations in any organization, Manage and drive End-to-End Projects or Products</v>
      </c>
      <c r="O2745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5" s="1" t="str">
        <f ca="1">IFERROR(__xludf.DUMMYFUNCTION("""COMPUTED_VALUE"""),"Work with more than 10 people in my team")</f>
        <v>Work with more than 10 people in my team</v>
      </c>
      <c r="Q2745" s="1" t="str">
        <f ca="1">IFERROR(__xludf.DUMMYFUNCTION("""COMPUTED_VALUE"""),"No")</f>
        <v>No</v>
      </c>
      <c r="R2745" s="1" t="str">
        <f ca="1">IFERROR(__xludf.DUMMYFUNCTION("""COMPUTED_VALUE"""),"No way")</f>
        <v>No way</v>
      </c>
      <c r="S2745" s="1" t="str">
        <f ca="1">IFERROR(__xludf.DUMMYFUNCTION("""COMPUTED_VALUE"""),"nk387902@gmail.com")</f>
        <v>nk387902@gmail.com</v>
      </c>
    </row>
    <row r="2746" spans="1:19" ht="12.5" x14ac:dyDescent="0.25">
      <c r="A2746" s="2">
        <f ca="1">IFERROR(__xludf.DUMMYFUNCTION("""COMPUTED_VALUE"""),45067.7680731365)</f>
        <v>45067.768073136504</v>
      </c>
      <c r="B2746" s="1" t="str">
        <f ca="1">IFERROR(__xludf.DUMMYFUNCTION("""COMPUTED_VALUE"""),"India")</f>
        <v>India</v>
      </c>
      <c r="C2746" s="1">
        <f ca="1">IFERROR(__xludf.DUMMYFUNCTION("""COMPUTED_VALUE"""),208021)</f>
        <v>208021</v>
      </c>
      <c r="D2746" s="1" t="str">
        <f ca="1">IFERROR(__xludf.DUMMYFUNCTION("""COMPUTED_VALUE"""),"Female")</f>
        <v>Female</v>
      </c>
      <c r="E2746" s="1" t="str">
        <f ca="1">IFERROR(__xludf.DUMMYFUNCTION("""COMPUTED_VALUE"""),"People from my circle, but not family members")</f>
        <v>People from my circle, but not family members</v>
      </c>
      <c r="F2746" s="1" t="str">
        <f ca="1">IFERROR(__xludf.DUMMYFUNCTION("""COMPUTED_VALUE"""),"No, But if someone could bare the cost I will")</f>
        <v>No, But if someone could bare the cost I will</v>
      </c>
      <c r="G2746" s="1" t="str">
        <f ca="1">IFERROR(__xludf.DUMMYFUNCTION("""COMPUTED_VALUE"""),"This will be hard to do, but if it is the right company I would try")</f>
        <v>This will be hard to do, but if it is the right company I would try</v>
      </c>
      <c r="H2746" s="1" t="str">
        <f ca="1">IFERROR(__xludf.DUMMYFUNCTION("""COMPUTED_VALUE"""),"No")</f>
        <v>No</v>
      </c>
      <c r="I2746" s="1" t="str">
        <f ca="1">IFERROR(__xludf.DUMMYFUNCTION("""COMPUTED_VALUE"""),"Will NOT work for them")</f>
        <v>Will NOT work for them</v>
      </c>
      <c r="J2746" s="1">
        <f ca="1">IFERROR(__xludf.DUMMYFUNCTION("""COMPUTED_VALUE"""),1)</f>
        <v>1</v>
      </c>
      <c r="K2746" s="1" t="str">
        <f ca="1">IFERROR(__xludf.DUMMYFUNCTION("""COMPUTED_VALUE"""),"Fully Remote with Options to travel as and when needed")</f>
        <v>Fully Remote with Options to travel as and when needed</v>
      </c>
      <c r="L2746" s="1" t="str">
        <f ca="1">IFERROR(__xludf.DUMMYFUNCTION("""COMPUTED_VALUE"""),"Employer who appreciates learning and enables that environment")</f>
        <v>Employer who appreciates learning and enables that environment</v>
      </c>
      <c r="M2746" s="1" t="str">
        <f ca="1">IFERROR(__xludf.DUMMYFUNCTION("""COMPUTED_VALUE"""),"Self Paced Learning Portals of the Company, Learning by observing others, Self Purchased Course from External Platforms")</f>
        <v>Self Paced Learning Portals of the Company, Learning by observing others, Self Purchased Course from External Platforms</v>
      </c>
      <c r="N2746" s="1" t="str">
        <f ca="1">IFERROR(__xludf.DUMMYFUNCTION("""COMPUTED_VALUE"""),"Design and Creative strategy in any company, Teaching in any of the institutes/colleges/online or offline, Work as a freelancer and do my thing my way, Become a content Creator in some platform")</f>
        <v>Design and Creative strategy in any company, Teaching in any of the institutes/colleges/online or offline, Work as a freelancer and do my thing my way, Become a content Creator in some platform</v>
      </c>
      <c r="O2746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6" s="1" t="str">
        <f ca="1">IFERROR(__xludf.DUMMYFUNCTION("""COMPUTED_VALUE"""),"Work with 2 to 3 people in my team")</f>
        <v>Work with 2 to 3 people in my team</v>
      </c>
      <c r="Q2746" s="1" t="str">
        <f ca="1">IFERROR(__xludf.DUMMYFUNCTION("""COMPUTED_VALUE"""),"Yes, I Understand this is gonna happen everywhere")</f>
        <v>Yes, I Understand this is gonna happen everywhere</v>
      </c>
      <c r="R2746" s="1" t="str">
        <f ca="1">IFERROR(__xludf.DUMMYFUNCTION("""COMPUTED_VALUE"""),"This will be hard to do, but if it is the right company I would try")</f>
        <v>This will be hard to do, but if it is the right company I would try</v>
      </c>
      <c r="S2746" s="1" t="str">
        <f ca="1">IFERROR(__xludf.DUMMYFUNCTION("""COMPUTED_VALUE"""),"nushkie18@gmail.com")</f>
        <v>nushkie18@gmail.com</v>
      </c>
    </row>
    <row r="2747" spans="1:19" ht="12.5" x14ac:dyDescent="0.25">
      <c r="A2747" s="2">
        <f ca="1">IFERROR(__xludf.DUMMYFUNCTION("""COMPUTED_VALUE"""),45067.7917097685)</f>
        <v>45067.791709768499</v>
      </c>
      <c r="B2747" s="1" t="str">
        <f ca="1">IFERROR(__xludf.DUMMYFUNCTION("""COMPUTED_VALUE"""),"India")</f>
        <v>India</v>
      </c>
      <c r="C2747" s="1">
        <f ca="1">IFERROR(__xludf.DUMMYFUNCTION("""COMPUTED_VALUE"""),464001)</f>
        <v>464001</v>
      </c>
      <c r="D2747" s="1" t="str">
        <f ca="1">IFERROR(__xludf.DUMMYFUNCTION("""COMPUTED_VALUE"""),"Male")</f>
        <v>Male</v>
      </c>
      <c r="E2747" s="1" t="str">
        <f ca="1">IFERROR(__xludf.DUMMYFUNCTION("""COMPUTED_VALUE"""),"My Parents")</f>
        <v>My Parents</v>
      </c>
      <c r="F2747" s="1" t="str">
        <f ca="1">IFERROR(__xludf.DUMMYFUNCTION("""COMPUTED_VALUE"""),"Yes, I will earn and do that")</f>
        <v>Yes, I will earn and do that</v>
      </c>
      <c r="G2747" s="1" t="str">
        <f ca="1">IFERROR(__xludf.DUMMYFUNCTION("""COMPUTED_VALUE"""),"This will be hard to do, but if it is the right company I would try")</f>
        <v>This will be hard to do, but if it is the right company I would try</v>
      </c>
      <c r="H2747" s="1" t="str">
        <f ca="1">IFERROR(__xludf.DUMMYFUNCTION("""COMPUTED_VALUE"""),"Yes")</f>
        <v>Yes</v>
      </c>
      <c r="I2747" s="1" t="str">
        <f ca="1">IFERROR(__xludf.DUMMYFUNCTION("""COMPUTED_VALUE"""),"Will work for them")</f>
        <v>Will work for them</v>
      </c>
      <c r="J2747" s="1">
        <f ca="1">IFERROR(__xludf.DUMMYFUNCTION("""COMPUTED_VALUE"""),10)</f>
        <v>10</v>
      </c>
      <c r="K2747" s="1" t="str">
        <f ca="1">IFERROR(__xludf.DUMMYFUNCTION("""COMPUTED_VALUE"""),"Fully Remote with No option to visit offices")</f>
        <v>Fully Remote with No option to visit offices</v>
      </c>
      <c r="L2747" s="1" t="str">
        <f ca="1">IFERROR(__xludf.DUMMYFUNCTION("""COMPUTED_VALUE"""),"Employer who appreciates learning and enables that environment")</f>
        <v>Employer who appreciates learning and enables that environment</v>
      </c>
      <c r="M2747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747" s="1" t="str">
        <f ca="1">IFERROR(__xludf.DUMMYFUNCTION("""COMPUTED_VALUE"""),"Design and Creative strategy in any company, Look deeply into Data and generate insights, Become a content Creator in some platform, Manufacturing / Oil and Gas/ Construction / Hard Physical Work related")</f>
        <v>Design and Creative strategy in any company, Look deeply into Data and generate insights, Become a content Creator in some platform, Manufacturing / Oil and Gas/ Construction / Hard Physical Work related</v>
      </c>
      <c r="O2747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7" s="1" t="str">
        <f ca="1">IFERROR(__xludf.DUMMYFUNCTION("""COMPUTED_VALUE"""),"Work with 7 to 10 or more people in my team")</f>
        <v>Work with 7 to 10 or more people in my team</v>
      </c>
      <c r="Q2747" s="1" t="str">
        <f ca="1">IFERROR(__xludf.DUMMYFUNCTION("""COMPUTED_VALUE"""),"I have NO other choice")</f>
        <v>I have NO other choice</v>
      </c>
      <c r="R2747" s="1" t="str">
        <f ca="1">IFERROR(__xludf.DUMMYFUNCTION("""COMPUTED_VALUE"""),"No way")</f>
        <v>No way</v>
      </c>
      <c r="S2747" s="1" t="str">
        <f ca="1">IFERROR(__xludf.DUMMYFUNCTION("""COMPUTED_VALUE"""),"meghraj.raghu@gmail.com")</f>
        <v>meghraj.raghu@gmail.com</v>
      </c>
    </row>
    <row r="2748" spans="1:19" ht="12.5" x14ac:dyDescent="0.25">
      <c r="A2748" s="2">
        <f ca="1">IFERROR(__xludf.DUMMYFUNCTION("""COMPUTED_VALUE"""),45067.8613491666)</f>
        <v>45067.861349166596</v>
      </c>
      <c r="B2748" s="1" t="str">
        <f ca="1">IFERROR(__xludf.DUMMYFUNCTION("""COMPUTED_VALUE"""),"India")</f>
        <v>India</v>
      </c>
      <c r="C2748" s="1">
        <f ca="1">IFERROR(__xludf.DUMMYFUNCTION("""COMPUTED_VALUE"""),600126)</f>
        <v>600126</v>
      </c>
      <c r="D2748" s="1" t="str">
        <f ca="1">IFERROR(__xludf.DUMMYFUNCTION("""COMPUTED_VALUE"""),"Male")</f>
        <v>Male</v>
      </c>
      <c r="E2748" s="1" t="str">
        <f ca="1">IFERROR(__xludf.DUMMYFUNCTION("""COMPUTED_VALUE"""),"Influencers who had successful careers")</f>
        <v>Influencers who had successful careers</v>
      </c>
      <c r="F2748" s="1" t="str">
        <f ca="1">IFERROR(__xludf.DUMMYFUNCTION("""COMPUTED_VALUE"""),"No I would not be pursuing Higher Education outside of India")</f>
        <v>No I would not be pursuing Higher Education outside of India</v>
      </c>
      <c r="G2748" s="1" t="str">
        <f ca="1">IFERROR(__xludf.DUMMYFUNCTION("""COMPUTED_VALUE"""),"Will work for 3 years or more")</f>
        <v>Will work for 3 years or more</v>
      </c>
      <c r="H2748" s="1" t="str">
        <f ca="1">IFERROR(__xludf.DUMMYFUNCTION("""COMPUTED_VALUE"""),"No")</f>
        <v>No</v>
      </c>
      <c r="I2748" s="1" t="str">
        <f ca="1">IFERROR(__xludf.DUMMYFUNCTION("""COMPUTED_VALUE"""),"Will NOT work for them")</f>
        <v>Will NOT work for them</v>
      </c>
      <c r="J2748" s="1">
        <f ca="1">IFERROR(__xludf.DUMMYFUNCTION("""COMPUTED_VALUE"""),7)</f>
        <v>7</v>
      </c>
      <c r="K2748" s="1" t="str">
        <f ca="1">IFERROR(__xludf.DUMMYFUNCTION("""COMPUTED_VALUE"""),"Hybrid Working Environment with less than 3 days a month at office")</f>
        <v>Hybrid Working Environment with less than 3 days a month at office</v>
      </c>
      <c r="L2748" s="1" t="str">
        <f ca="1">IFERROR(__xludf.DUMMYFUNCTION("""COMPUTED_VALUE"""),"Employer who appreciates learning and enables that environment")</f>
        <v>Employer who appreciates learning and enables that environment</v>
      </c>
      <c r="M274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48" s="1" t="str">
        <f ca="1">IFERROR(__xludf.DUMMYFUNCTION("""COMPUTED_VALUE"""),"Teaching in any of the institutes/colleges/online or offline, Business Operations in any organization, Look deeply into Data and generate insights, Work as a freelancer and do my thing my way")</f>
        <v>Teaching in any of the institutes/colleges/online or offline, Business Operations in any organization, Look deeply into Data and generate insights, Work as a freelancer and do my thing my way</v>
      </c>
      <c r="O2748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8" s="1" t="str">
        <f ca="1">IFERROR(__xludf.DUMMYFUNCTION("""COMPUTED_VALUE"""),"Work with 5 to 6 people in my team")</f>
        <v>Work with 5 to 6 people in my team</v>
      </c>
      <c r="Q2748" s="1" t="str">
        <f ca="1">IFERROR(__xludf.DUMMYFUNCTION("""COMPUTED_VALUE"""),"No")</f>
        <v>No</v>
      </c>
      <c r="R2748" s="1" t="str">
        <f ca="1">IFERROR(__xludf.DUMMYFUNCTION("""COMPUTED_VALUE"""),"Will work for 7 years or more")</f>
        <v>Will work for 7 years or more</v>
      </c>
      <c r="S2748" s="1" t="str">
        <f ca="1">IFERROR(__xludf.DUMMYFUNCTION("""COMPUTED_VALUE"""),"veronica.grite@gmail.com")</f>
        <v>veronica.grite@gmail.com</v>
      </c>
    </row>
    <row r="2749" spans="1:19" ht="12.5" x14ac:dyDescent="0.25">
      <c r="A2749" s="2">
        <f ca="1">IFERROR(__xludf.DUMMYFUNCTION("""COMPUTED_VALUE"""),45067.8988215046)</f>
        <v>45067.898821504597</v>
      </c>
      <c r="B2749" s="1" t="str">
        <f ca="1">IFERROR(__xludf.DUMMYFUNCTION("""COMPUTED_VALUE"""),"India")</f>
        <v>India</v>
      </c>
      <c r="C2749" s="1">
        <f ca="1">IFERROR(__xludf.DUMMYFUNCTION("""COMPUTED_VALUE"""),400068)</f>
        <v>400068</v>
      </c>
      <c r="D2749" s="1" t="str">
        <f ca="1">IFERROR(__xludf.DUMMYFUNCTION("""COMPUTED_VALUE"""),"Female")</f>
        <v>Female</v>
      </c>
      <c r="E2749" s="1" t="str">
        <f ca="1">IFERROR(__xludf.DUMMYFUNCTION("""COMPUTED_VALUE"""),"People from my circle, but not family members")</f>
        <v>People from my circle, but not family members</v>
      </c>
      <c r="F2749" s="1" t="str">
        <f ca="1">IFERROR(__xludf.DUMMYFUNCTION("""COMPUTED_VALUE"""),"Yes, I will earn and do that")</f>
        <v>Yes, I will earn and do that</v>
      </c>
      <c r="G2749" s="1" t="str">
        <f ca="1">IFERROR(__xludf.DUMMYFUNCTION("""COMPUTED_VALUE"""),"Will work for 3 years or more")</f>
        <v>Will work for 3 years or more</v>
      </c>
      <c r="H2749" s="1" t="str">
        <f ca="1">IFERROR(__xludf.DUMMYFUNCTION("""COMPUTED_VALUE"""),"Yes")</f>
        <v>Yes</v>
      </c>
      <c r="I2749" s="1" t="str">
        <f ca="1">IFERROR(__xludf.DUMMYFUNCTION("""COMPUTED_VALUE"""),"Will NOT work for them")</f>
        <v>Will NOT work for them</v>
      </c>
      <c r="J2749" s="1">
        <f ca="1">IFERROR(__xludf.DUMMYFUNCTION("""COMPUTED_VALUE"""),6)</f>
        <v>6</v>
      </c>
      <c r="K2749" s="1" t="str">
        <f ca="1">IFERROR(__xludf.DUMMYFUNCTION("""COMPUTED_VALUE"""),"Hybrid Working Environment with more than 15 days a month at office")</f>
        <v>Hybrid Working Environment with more than 15 days a month at office</v>
      </c>
      <c r="L274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49" s="1" t="str">
        <f ca="1">IFERROR(__xludf.DUMMYFUNCTION("""COMPUTED_VALUE"""),"Self Paced Learning Portals of the Company, Trial and error by doing side projects within the company, Self Purchased Course from External Platforms")</f>
        <v>Self Paced Learning Portals of the Company, Trial and error by doing side projects within the company, Self Purchased Course from External Platforms</v>
      </c>
      <c r="N2749" s="1" t="str">
        <f ca="1">IFERROR(__xludf.DUMMYFUNCTION("""COMPUTED_VALUE"""),"Design and Creative strategy in any company, Manage and drive End-to-End Projects or Products, Design and Develop amazing software, Look deeply into Data and generate insights")</f>
        <v>Design and Creative strategy in any company, Manage and drive End-to-End Projects or Products, Design and Develop amazing software, Look deeply into Data and generate insights</v>
      </c>
      <c r="O2749" s="1" t="str">
        <f ca="1">IFERROR(__xludf.DUMMYFUNCTION("""COMPUTED_VALUE"""),"Manager who explains what is expected, sets a goal and helps achieve it")</f>
        <v>Manager who explains what is expected, sets a goal and helps achieve it</v>
      </c>
      <c r="P2749" s="1" t="str">
        <f ca="1">IFERROR(__xludf.DUMMYFUNCTION("""COMPUTED_VALUE"""),"Work with 2 to 3 people in my team, Work with 5 to 6 people in my team")</f>
        <v>Work with 2 to 3 people in my team, Work with 5 to 6 people in my team</v>
      </c>
      <c r="Q2749" s="1" t="str">
        <f ca="1">IFERROR(__xludf.DUMMYFUNCTION("""COMPUTED_VALUE"""),"Yes")</f>
        <v>Yes</v>
      </c>
      <c r="R2749" s="1" t="str">
        <f ca="1">IFERROR(__xludf.DUMMYFUNCTION("""COMPUTED_VALUE"""),"This will be hard to do, but if it is the right company I would try")</f>
        <v>This will be hard to do, but if it is the right company I would try</v>
      </c>
      <c r="S2749" s="1" t="str">
        <f ca="1">IFERROR(__xludf.DUMMYFUNCTION("""COMPUTED_VALUE"""),"nidhishetty11102@gmail.com")</f>
        <v>nidhishetty11102@gmail.com</v>
      </c>
    </row>
    <row r="2750" spans="1:19" ht="12.5" x14ac:dyDescent="0.25">
      <c r="A2750" s="2">
        <f ca="1">IFERROR(__xludf.DUMMYFUNCTION("""COMPUTED_VALUE"""),45067.9124260763)</f>
        <v>45067.912426076298</v>
      </c>
      <c r="B2750" s="1" t="str">
        <f ca="1">IFERROR(__xludf.DUMMYFUNCTION("""COMPUTED_VALUE"""),"India")</f>
        <v>India</v>
      </c>
      <c r="C2750" s="1">
        <f ca="1">IFERROR(__xludf.DUMMYFUNCTION("""COMPUTED_VALUE"""),211008)</f>
        <v>211008</v>
      </c>
      <c r="D2750" s="1" t="str">
        <f ca="1">IFERROR(__xludf.DUMMYFUNCTION("""COMPUTED_VALUE"""),"Female")</f>
        <v>Female</v>
      </c>
      <c r="E2750" s="1" t="str">
        <f ca="1">IFERROR(__xludf.DUMMYFUNCTION("""COMPUTED_VALUE"""),"People from my circle, but not family members")</f>
        <v>People from my circle, but not family members</v>
      </c>
      <c r="F2750" s="1" t="str">
        <f ca="1">IFERROR(__xludf.DUMMYFUNCTION("""COMPUTED_VALUE"""),"No I would not be pursuing Higher Education outside of India")</f>
        <v>No I would not be pursuing Higher Education outside of India</v>
      </c>
      <c r="G2750" s="1" t="str">
        <f ca="1">IFERROR(__xludf.DUMMYFUNCTION("""COMPUTED_VALUE"""),"Will work for 3 years or more")</f>
        <v>Will work for 3 years or more</v>
      </c>
      <c r="H2750" s="1" t="str">
        <f ca="1">IFERROR(__xludf.DUMMYFUNCTION("""COMPUTED_VALUE"""),"Yes")</f>
        <v>Yes</v>
      </c>
      <c r="I2750" s="1" t="str">
        <f ca="1">IFERROR(__xludf.DUMMYFUNCTION("""COMPUTED_VALUE"""),"Will work for them")</f>
        <v>Will work for them</v>
      </c>
      <c r="J2750" s="1">
        <f ca="1">IFERROR(__xludf.DUMMYFUNCTION("""COMPUTED_VALUE"""),10)</f>
        <v>10</v>
      </c>
      <c r="K2750" s="1" t="str">
        <f ca="1">IFERROR(__xludf.DUMMYFUNCTION("""COMPUTED_VALUE"""),"Hybrid Working Environment with less than 3 days a month at office")</f>
        <v>Hybrid Working Environment with less than 3 days a month at office</v>
      </c>
      <c r="L275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50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50" s="1" t="str">
        <f ca="1">IFERROR(__xludf.DUMMYFUNCTION("""COMPUTED_VALUE"""),"Design and Creative strategy in any company, Manage and drive End-to-End Projects or Products, Design and Develop amazing software, Entrepreneur or Start Up")</f>
        <v>Design and Creative strategy in any company, Manage and drive End-to-End Projects or Products, Design and Develop amazing software, Entrepreneur or Start Up</v>
      </c>
      <c r="O2750" s="1" t="str">
        <f ca="1">IFERROR(__xludf.DUMMYFUNCTION("""COMPUTED_VALUE"""),"Manager who clearly describes what she/he needs")</f>
        <v>Manager who clearly describes what she/he needs</v>
      </c>
      <c r="P2750" s="1" t="str">
        <f ca="1">IFERROR(__xludf.DUMMYFUNCTION("""COMPUTED_VALUE"""),"Work with 2 to 3 people in my team")</f>
        <v>Work with 2 to 3 people in my team</v>
      </c>
      <c r="Q2750" s="1" t="str">
        <f ca="1">IFERROR(__xludf.DUMMYFUNCTION("""COMPUTED_VALUE"""),"I have NO other choice")</f>
        <v>I have NO other choice</v>
      </c>
      <c r="R2750" s="1" t="str">
        <f ca="1">IFERROR(__xludf.DUMMYFUNCTION("""COMPUTED_VALUE"""),"This will be hard to do, but if it is the right company I would try")</f>
        <v>This will be hard to do, but if it is the right company I would try</v>
      </c>
      <c r="S2750" s="1" t="str">
        <f ca="1">IFERROR(__xludf.DUMMYFUNCTION("""COMPUTED_VALUE"""),"rondhebhagyashri@gmail.com")</f>
        <v>rondhebhagyashri@gmail.com</v>
      </c>
    </row>
    <row r="2751" spans="1:19" ht="12.5" x14ac:dyDescent="0.25">
      <c r="A2751" s="2">
        <f ca="1">IFERROR(__xludf.DUMMYFUNCTION("""COMPUTED_VALUE"""),45067.9914715162)</f>
        <v>45067.991471516201</v>
      </c>
      <c r="B2751" s="1" t="str">
        <f ca="1">IFERROR(__xludf.DUMMYFUNCTION("""COMPUTED_VALUE"""),"India")</f>
        <v>India</v>
      </c>
      <c r="C2751" s="1">
        <f ca="1">IFERROR(__xludf.DUMMYFUNCTION("""COMPUTED_VALUE"""),431136)</f>
        <v>431136</v>
      </c>
      <c r="D2751" s="1" t="str">
        <f ca="1">IFERROR(__xludf.DUMMYFUNCTION("""COMPUTED_VALUE"""),"Male")</f>
        <v>Male</v>
      </c>
      <c r="E2751" s="1" t="str">
        <f ca="1">IFERROR(__xludf.DUMMYFUNCTION("""COMPUTED_VALUE"""),"People who have changed the world for better")</f>
        <v>People who have changed the world for better</v>
      </c>
      <c r="F2751" s="1" t="str">
        <f ca="1">IFERROR(__xludf.DUMMYFUNCTION("""COMPUTED_VALUE"""),"No I would not be pursuing Higher Education outside of India")</f>
        <v>No I would not be pursuing Higher Education outside of India</v>
      </c>
      <c r="G2751" s="1" t="str">
        <f ca="1">IFERROR(__xludf.DUMMYFUNCTION("""COMPUTED_VALUE"""),"This will be hard to do, but if it is the right company I would try")</f>
        <v>This will be hard to do, but if it is the right company I would try</v>
      </c>
      <c r="H2751" s="1" t="str">
        <f ca="1">IFERROR(__xludf.DUMMYFUNCTION("""COMPUTED_VALUE"""),"No")</f>
        <v>No</v>
      </c>
      <c r="I2751" s="1" t="str">
        <f ca="1">IFERROR(__xludf.DUMMYFUNCTION("""COMPUTED_VALUE"""),"Will NOT work for them")</f>
        <v>Will NOT work for them</v>
      </c>
      <c r="J2751" s="1">
        <f ca="1">IFERROR(__xludf.DUMMYFUNCTION("""COMPUTED_VALUE"""),8)</f>
        <v>8</v>
      </c>
      <c r="K2751" s="1" t="str">
        <f ca="1">IFERROR(__xludf.DUMMYFUNCTION("""COMPUTED_VALUE"""),"Fully Remote with Options to travel as and when needed")</f>
        <v>Fully Remote with Options to travel as and when needed</v>
      </c>
      <c r="L275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51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751" s="1" t="str">
        <f ca="1">IFERROR(__xludf.DUMMYFUNCTION("""COMPUTED_VALUE"""),"Design and Creative strategy in any company, Business Operations in any organization, Build and develop a Team, Entrepreneur or Start Up")</f>
        <v>Design and Creative strategy in any company, Business Operations in any organization, Build and develop a Team, Entrepreneur or Start Up</v>
      </c>
      <c r="O2751" s="1" t="str">
        <f ca="1">IFERROR(__xludf.DUMMYFUNCTION("""COMPUTED_VALUE"""),"Manager who explains what is expected, sets a goal and helps achieve it")</f>
        <v>Manager who explains what is expected, sets a goal and helps achieve it</v>
      </c>
      <c r="P2751" s="1" t="str">
        <f ca="1">IFERROR(__xludf.DUMMYFUNCTION("""COMPUTED_VALUE"""),"Work with 5 to 6 people in my team")</f>
        <v>Work with 5 to 6 people in my team</v>
      </c>
      <c r="Q2751" s="1" t="str">
        <f ca="1">IFERROR(__xludf.DUMMYFUNCTION("""COMPUTED_VALUE"""),"Yes, I Understand this is gonna happen everywhere")</f>
        <v>Yes, I Understand this is gonna happen everywhere</v>
      </c>
      <c r="R2751" s="1" t="str">
        <f ca="1">IFERROR(__xludf.DUMMYFUNCTION("""COMPUTED_VALUE"""),"This will be hard to do, but if it is the right company I would try")</f>
        <v>This will be hard to do, but if it is the right company I would try</v>
      </c>
      <c r="S2751" s="1" t="str">
        <f ca="1">IFERROR(__xludf.DUMMYFUNCTION("""COMPUTED_VALUE"""),"rushimadake007@gmail.com")</f>
        <v>rushimadake007@gmail.com</v>
      </c>
    </row>
    <row r="2752" spans="1:19" ht="12.5" x14ac:dyDescent="0.25">
      <c r="A2752" s="2">
        <f ca="1">IFERROR(__xludf.DUMMYFUNCTION("""COMPUTED_VALUE"""),45068.4229121759)</f>
        <v>45068.422912175898</v>
      </c>
      <c r="B2752" s="1" t="str">
        <f ca="1">IFERROR(__xludf.DUMMYFUNCTION("""COMPUTED_VALUE"""),"India")</f>
        <v>India</v>
      </c>
      <c r="C2752" s="1">
        <f ca="1">IFERROR(__xludf.DUMMYFUNCTION("""COMPUTED_VALUE"""),495220)</f>
        <v>495220</v>
      </c>
      <c r="D2752" s="1" t="str">
        <f ca="1">IFERROR(__xludf.DUMMYFUNCTION("""COMPUTED_VALUE"""),"Male")</f>
        <v>Male</v>
      </c>
      <c r="E2752" s="1" t="str">
        <f ca="1">IFERROR(__xludf.DUMMYFUNCTION("""COMPUTED_VALUE"""),"Social Media like LinkedIn")</f>
        <v>Social Media like LinkedIn</v>
      </c>
      <c r="F2752" s="1" t="str">
        <f ca="1">IFERROR(__xludf.DUMMYFUNCTION("""COMPUTED_VALUE"""),"Yes, I will earn and do that")</f>
        <v>Yes, I will earn and do that</v>
      </c>
      <c r="G2752" s="1" t="str">
        <f ca="1">IFERROR(__xludf.DUMMYFUNCTION("""COMPUTED_VALUE"""),"Will work for 3 years or more")</f>
        <v>Will work for 3 years or more</v>
      </c>
      <c r="H2752" s="1" t="str">
        <f ca="1">IFERROR(__xludf.DUMMYFUNCTION("""COMPUTED_VALUE"""),"Yes")</f>
        <v>Yes</v>
      </c>
      <c r="I2752" s="1" t="str">
        <f ca="1">IFERROR(__xludf.DUMMYFUNCTION("""COMPUTED_VALUE"""),"Will work for them")</f>
        <v>Will work for them</v>
      </c>
      <c r="J2752" s="1">
        <f ca="1">IFERROR(__xludf.DUMMYFUNCTION("""COMPUTED_VALUE"""),10)</f>
        <v>10</v>
      </c>
      <c r="K2752" s="1" t="str">
        <f ca="1">IFERROR(__xludf.DUMMYFUNCTION("""COMPUTED_VALUE"""),"Every Day Office Environment")</f>
        <v>Every Day Office Environment</v>
      </c>
      <c r="L2752" s="1" t="str">
        <f ca="1">IFERROR(__xludf.DUMMYFUNCTION("""COMPUTED_VALUE"""),"Employer who appreciates learning and enables that environment")</f>
        <v>Employer who appreciates learning and enables that environment</v>
      </c>
      <c r="M2752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752" s="1" t="str">
        <f ca="1">IFERROR(__xludf.DUMMYFUNCTION("""COMPUTED_VALUE"""),"Design and Creative strategy in any company, Teaching in any of the institutes/colleges/online or offline, Manage and drive End-to-End Projects or Products, Become a content Creator in some platform")</f>
        <v>Design and Creative strategy in any company, Teaching in any of the institutes/colleges/online or offline, Manage and drive End-to-End Projects or Products, Become a content Creator in some platform</v>
      </c>
      <c r="O2752" s="1" t="str">
        <f ca="1">IFERROR(__xludf.DUMMYFUNCTION("""COMPUTED_VALUE"""),"Manager who clearly describes what she/he needs")</f>
        <v>Manager who clearly describes what she/he needs</v>
      </c>
      <c r="P2752" s="1" t="str">
        <f ca="1">IFERROR(__xludf.DUMMYFUNCTION("""COMPUTED_VALUE"""),"Work with more than 10 people in my team")</f>
        <v>Work with more than 10 people in my team</v>
      </c>
      <c r="Q2752" s="1" t="str">
        <f ca="1">IFERROR(__xludf.DUMMYFUNCTION("""COMPUTED_VALUE"""),"Yes")</f>
        <v>Yes</v>
      </c>
      <c r="R2752" s="1" t="str">
        <f ca="1">IFERROR(__xludf.DUMMYFUNCTION("""COMPUTED_VALUE"""),"Will work for 7 years or more")</f>
        <v>Will work for 7 years or more</v>
      </c>
      <c r="S2752" s="1" t="str">
        <f ca="1">IFERROR(__xludf.DUMMYFUNCTION("""COMPUTED_VALUE"""),"kundansinghburman@gmail.com")</f>
        <v>kundansinghburman@gmail.com</v>
      </c>
    </row>
    <row r="2753" spans="1:19" ht="12.5" x14ac:dyDescent="0.25">
      <c r="A2753" s="2">
        <f ca="1">IFERROR(__xludf.DUMMYFUNCTION("""COMPUTED_VALUE"""),45068.4237231481)</f>
        <v>45068.423723148102</v>
      </c>
      <c r="B2753" s="1" t="str">
        <f ca="1">IFERROR(__xludf.DUMMYFUNCTION("""COMPUTED_VALUE"""),"India")</f>
        <v>India</v>
      </c>
      <c r="C2753" s="1">
        <f ca="1">IFERROR(__xludf.DUMMYFUNCTION("""COMPUTED_VALUE"""),624003)</f>
        <v>624003</v>
      </c>
      <c r="D2753" s="1" t="str">
        <f ca="1">IFERROR(__xludf.DUMMYFUNCTION("""COMPUTED_VALUE"""),"Male")</f>
        <v>Male</v>
      </c>
      <c r="E2753" s="1" t="str">
        <f ca="1">IFERROR(__xludf.DUMMYFUNCTION("""COMPUTED_VALUE"""),"Influencers who had successful careers")</f>
        <v>Influencers who had successful careers</v>
      </c>
      <c r="F2753" s="1" t="str">
        <f ca="1">IFERROR(__xludf.DUMMYFUNCTION("""COMPUTED_VALUE"""),"Yes, I will earn and do that")</f>
        <v>Yes, I will earn and do that</v>
      </c>
      <c r="G2753" s="1" t="str">
        <f ca="1">IFERROR(__xludf.DUMMYFUNCTION("""COMPUTED_VALUE"""),"This will be hard to do, but if it is the right company I would try")</f>
        <v>This will be hard to do, but if it is the right company I would try</v>
      </c>
      <c r="H2753" s="1" t="str">
        <f ca="1">IFERROR(__xludf.DUMMYFUNCTION("""COMPUTED_VALUE"""),"No")</f>
        <v>No</v>
      </c>
      <c r="I2753" s="1" t="str">
        <f ca="1">IFERROR(__xludf.DUMMYFUNCTION("""COMPUTED_VALUE"""),"Will NOT work for them")</f>
        <v>Will NOT work for them</v>
      </c>
      <c r="J2753" s="1">
        <f ca="1">IFERROR(__xludf.DUMMYFUNCTION("""COMPUTED_VALUE"""),2)</f>
        <v>2</v>
      </c>
      <c r="K2753" s="1" t="str">
        <f ca="1">IFERROR(__xludf.DUMMYFUNCTION("""COMPUTED_VALUE"""),"Every Day Office Environment")</f>
        <v>Every Day Office Environment</v>
      </c>
      <c r="L2753" s="1" t="str">
        <f ca="1">IFERROR(__xludf.DUMMYFUNCTION("""COMPUTED_VALUE"""),"Employer who appreciates learning and enables that environment")</f>
        <v>Employer who appreciates learning and enables that environment</v>
      </c>
      <c r="M275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53" s="1" t="str">
        <f ca="1">IFERROR(__xludf.DUMMYFUNCTION("""COMPUTED_VALUE"""),"Design and Creative strategy in any company, Build and develop a Team, Look deeply into Data and generate insights, Become a content Creator in some platform")</f>
        <v>Design and Creative strategy in any company, Build and develop a Team, Look deeply into Data and generate insights, Become a content Creator in some platform</v>
      </c>
      <c r="O2753" s="1" t="str">
        <f ca="1">IFERROR(__xludf.DUMMYFUNCTION("""COMPUTED_VALUE"""),"Manager who clearly describes what she/he needs")</f>
        <v>Manager who clearly describes what she/he needs</v>
      </c>
      <c r="P2753" s="1" t="str">
        <f ca="1">IFERROR(__xludf.DUMMYFUNCTION("""COMPUTED_VALUE"""),"Work with 2 to 3 people in my team")</f>
        <v>Work with 2 to 3 people in my team</v>
      </c>
      <c r="Q2753" s="1" t="str">
        <f ca="1">IFERROR(__xludf.DUMMYFUNCTION("""COMPUTED_VALUE"""),"Yes, I Understand this is gonna happen everywhere")</f>
        <v>Yes, I Understand this is gonna happen everywhere</v>
      </c>
      <c r="R2753" s="1" t="str">
        <f ca="1">IFERROR(__xludf.DUMMYFUNCTION("""COMPUTED_VALUE"""),"This will be hard to do, but if it is the right company I would try")</f>
        <v>This will be hard to do, but if it is the right company I would try</v>
      </c>
      <c r="S2753" s="1" t="str">
        <f ca="1">IFERROR(__xludf.DUMMYFUNCTION("""COMPUTED_VALUE"""),"borriboncias2003@gmail.com")</f>
        <v>borriboncias2003@gmail.com</v>
      </c>
    </row>
    <row r="2754" spans="1:19" ht="12.5" x14ac:dyDescent="0.25">
      <c r="A2754" s="2">
        <f ca="1">IFERROR(__xludf.DUMMYFUNCTION("""COMPUTED_VALUE"""),45068.4492096643)</f>
        <v>45068.449209664301</v>
      </c>
      <c r="B2754" s="1" t="str">
        <f ca="1">IFERROR(__xludf.DUMMYFUNCTION("""COMPUTED_VALUE"""),"India")</f>
        <v>India</v>
      </c>
      <c r="C2754" s="1">
        <f ca="1">IFERROR(__xludf.DUMMYFUNCTION("""COMPUTED_VALUE"""),110071)</f>
        <v>110071</v>
      </c>
      <c r="D2754" s="1" t="str">
        <f ca="1">IFERROR(__xludf.DUMMYFUNCTION("""COMPUTED_VALUE"""),"Male")</f>
        <v>Male</v>
      </c>
      <c r="E2754" s="1" t="str">
        <f ca="1">IFERROR(__xludf.DUMMYFUNCTION("""COMPUTED_VALUE"""),"Influencers who had successful careers")</f>
        <v>Influencers who had successful careers</v>
      </c>
      <c r="F2754" s="1" t="str">
        <f ca="1">IFERROR(__xludf.DUMMYFUNCTION("""COMPUTED_VALUE"""),"No I would not be pursuing Higher Education outside of India")</f>
        <v>No I would not be pursuing Higher Education outside of India</v>
      </c>
      <c r="G2754" s="1" t="str">
        <f ca="1">IFERROR(__xludf.DUMMYFUNCTION("""COMPUTED_VALUE"""),"This will be hard to do, but if it is the right company I would try")</f>
        <v>This will be hard to do, but if it is the right company I would try</v>
      </c>
      <c r="H2754" s="1" t="str">
        <f ca="1">IFERROR(__xludf.DUMMYFUNCTION("""COMPUTED_VALUE"""),"Yes")</f>
        <v>Yes</v>
      </c>
      <c r="I2754" s="1" t="str">
        <f ca="1">IFERROR(__xludf.DUMMYFUNCTION("""COMPUTED_VALUE"""),"Will NOT work for them")</f>
        <v>Will NOT work for them</v>
      </c>
      <c r="J2754" s="1">
        <f ca="1">IFERROR(__xludf.DUMMYFUNCTION("""COMPUTED_VALUE"""),3)</f>
        <v>3</v>
      </c>
      <c r="K2754" s="1" t="str">
        <f ca="1">IFERROR(__xludf.DUMMYFUNCTION("""COMPUTED_VALUE"""),"Hybrid Working Environment with less than 3 days a month at office")</f>
        <v>Hybrid Working Environment with less than 3 days a month at office</v>
      </c>
      <c r="L2754" s="1" t="str">
        <f ca="1">IFERROR(__xludf.DUMMYFUNCTION("""COMPUTED_VALUE"""),"Employers who appreciates learning but doesn't enables an learning environment")</f>
        <v>Employers who appreciates learning but doesn't enables an learning environment</v>
      </c>
      <c r="M2754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54" s="1" t="str">
        <f ca="1">IFERROR(__xludf.DUMMYFUNCTION("""COMPUTED_VALUE"""),"Design and Creative strategy in any company, Business Operations in any organization, Design and Develop amazing software, Work as a freelancer and do my thing my way")</f>
        <v>Design and Creative strategy in any company, Business Operations in any organization, Design and Develop amazing software, Work as a freelancer and do my thing my way</v>
      </c>
      <c r="O2754" s="1" t="str">
        <f ca="1">IFERROR(__xludf.DUMMYFUNCTION("""COMPUTED_VALUE"""),"Manager who sets unrealistic targets")</f>
        <v>Manager who sets unrealistic targets</v>
      </c>
      <c r="P2754" s="1" t="str">
        <f ca="1">IFERROR(__xludf.DUMMYFUNCTION("""COMPUTED_VALUE"""),"Work with 2 to 3 people in my team")</f>
        <v>Work with 2 to 3 people in my team</v>
      </c>
      <c r="Q2754" s="1" t="str">
        <f ca="1">IFERROR(__xludf.DUMMYFUNCTION("""COMPUTED_VALUE"""),"No")</f>
        <v>No</v>
      </c>
      <c r="R2754" s="1" t="str">
        <f ca="1">IFERROR(__xludf.DUMMYFUNCTION("""COMPUTED_VALUE"""),"No way")</f>
        <v>No way</v>
      </c>
      <c r="S2754" s="1" t="str">
        <f ca="1">IFERROR(__xludf.DUMMYFUNCTION("""COMPUTED_VALUE"""),"prashantshokeen2001@gmail.com")</f>
        <v>prashantshokeen2001@gmail.com</v>
      </c>
    </row>
    <row r="2755" spans="1:19" ht="12.5" x14ac:dyDescent="0.25">
      <c r="A2755" s="2">
        <f ca="1">IFERROR(__xludf.DUMMYFUNCTION("""COMPUTED_VALUE"""),45068.4600336226)</f>
        <v>45068.460033622599</v>
      </c>
      <c r="B2755" s="1" t="str">
        <f ca="1">IFERROR(__xludf.DUMMYFUNCTION("""COMPUTED_VALUE"""),"India")</f>
        <v>India</v>
      </c>
      <c r="C2755" s="1">
        <f ca="1">IFERROR(__xludf.DUMMYFUNCTION("""COMPUTED_VALUE"""),110071)</f>
        <v>110071</v>
      </c>
      <c r="D2755" s="1" t="str">
        <f ca="1">IFERROR(__xludf.DUMMYFUNCTION("""COMPUTED_VALUE"""),"Male")</f>
        <v>Male</v>
      </c>
      <c r="E2755" s="1" t="str">
        <f ca="1">IFERROR(__xludf.DUMMYFUNCTION("""COMPUTED_VALUE"""),"My Parents")</f>
        <v>My Parents</v>
      </c>
      <c r="F2755" s="1" t="str">
        <f ca="1">IFERROR(__xludf.DUMMYFUNCTION("""COMPUTED_VALUE"""),"No I would not be pursuing Higher Education outside of India")</f>
        <v>No I would not be pursuing Higher Education outside of India</v>
      </c>
      <c r="G2755" s="1" t="str">
        <f ca="1">IFERROR(__xludf.DUMMYFUNCTION("""COMPUTED_VALUE"""),"Will work for 3 years or more")</f>
        <v>Will work for 3 years or more</v>
      </c>
      <c r="H2755" s="1" t="str">
        <f ca="1">IFERROR(__xludf.DUMMYFUNCTION("""COMPUTED_VALUE"""),"Yes")</f>
        <v>Yes</v>
      </c>
      <c r="I2755" s="1" t="str">
        <f ca="1">IFERROR(__xludf.DUMMYFUNCTION("""COMPUTED_VALUE"""),"Will NOT work for them")</f>
        <v>Will NOT work for them</v>
      </c>
      <c r="J2755" s="1">
        <f ca="1">IFERROR(__xludf.DUMMYFUNCTION("""COMPUTED_VALUE"""),7)</f>
        <v>7</v>
      </c>
      <c r="K2755" s="1" t="str">
        <f ca="1">IFERROR(__xludf.DUMMYFUNCTION("""COMPUTED_VALUE"""),"Hybrid Working Environment with more than 15 days a month at office")</f>
        <v>Hybrid Working Environment with more than 15 days a month at office</v>
      </c>
      <c r="L275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5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755" s="1" t="str">
        <f ca="1">IFERROR(__xludf.DUMMYFUNCTION("""COMPUTED_VALUE"""),"Design and Creative strategy in any company, Build and develop a Team, Look deeply into Data and generate insights, Work as a freelancer and do my thing my way")</f>
        <v>Design and Creative strategy in any company, Build and develop a Team, Look deeply into Data and generate insights, Work as a freelancer and do my thing my way</v>
      </c>
      <c r="O2755" s="1" t="str">
        <f ca="1">IFERROR(__xludf.DUMMYFUNCTION("""COMPUTED_VALUE"""),"Manager who explains what is expected, sets a goal and helps achieve it")</f>
        <v>Manager who explains what is expected, sets a goal and helps achieve it</v>
      </c>
      <c r="P2755" s="1" t="str">
        <f ca="1">IFERROR(__xludf.DUMMYFUNCTION("""COMPUTED_VALUE"""),"Work with 7 to 10 or more people in my team")</f>
        <v>Work with 7 to 10 or more people in my team</v>
      </c>
      <c r="Q2755" s="1" t="str">
        <f ca="1">IFERROR(__xludf.DUMMYFUNCTION("""COMPUTED_VALUE"""),"Yes, I Understand this is gonna happen everywhere")</f>
        <v>Yes, I Understand this is gonna happen everywhere</v>
      </c>
      <c r="R2755" s="1" t="str">
        <f ca="1">IFERROR(__xludf.DUMMYFUNCTION("""COMPUTED_VALUE"""),"This will be hard to do, but if it is the right company I would try")</f>
        <v>This will be hard to do, but if it is the right company I would try</v>
      </c>
      <c r="S2755" s="1" t="str">
        <f ca="1">IFERROR(__xludf.DUMMYFUNCTION("""COMPUTED_VALUE"""),"shokeenvikrant6@gmail.com")</f>
        <v>shokeenvikrant6@gmail.com</v>
      </c>
    </row>
    <row r="2756" spans="1:19" ht="12.5" x14ac:dyDescent="0.25">
      <c r="A2756" s="2">
        <f ca="1">IFERROR(__xludf.DUMMYFUNCTION("""COMPUTED_VALUE"""),45068.4825056134)</f>
        <v>45068.4825056134</v>
      </c>
      <c r="B2756" s="1" t="str">
        <f ca="1">IFERROR(__xludf.DUMMYFUNCTION("""COMPUTED_VALUE"""),"India")</f>
        <v>India</v>
      </c>
      <c r="C2756" s="1">
        <f ca="1">IFERROR(__xludf.DUMMYFUNCTION("""COMPUTED_VALUE"""),110071)</f>
        <v>110071</v>
      </c>
      <c r="D2756" s="1" t="str">
        <f ca="1">IFERROR(__xludf.DUMMYFUNCTION("""COMPUTED_VALUE"""),"Male")</f>
        <v>Male</v>
      </c>
      <c r="E2756" s="1" t="str">
        <f ca="1">IFERROR(__xludf.DUMMYFUNCTION("""COMPUTED_VALUE"""),"My Parents")</f>
        <v>My Parents</v>
      </c>
      <c r="F2756" s="1" t="str">
        <f ca="1">IFERROR(__xludf.DUMMYFUNCTION("""COMPUTED_VALUE"""),"Yes, I will earn and do that")</f>
        <v>Yes, I will earn and do that</v>
      </c>
      <c r="G2756" s="1" t="str">
        <f ca="1">IFERROR(__xludf.DUMMYFUNCTION("""COMPUTED_VALUE"""),"This will be hard to do, but if it is the right company I would try")</f>
        <v>This will be hard to do, but if it is the right company I would try</v>
      </c>
      <c r="H2756" s="1" t="str">
        <f ca="1">IFERROR(__xludf.DUMMYFUNCTION("""COMPUTED_VALUE"""),"No")</f>
        <v>No</v>
      </c>
      <c r="I2756" s="1" t="str">
        <f ca="1">IFERROR(__xludf.DUMMYFUNCTION("""COMPUTED_VALUE"""),"Will NOT work for them")</f>
        <v>Will NOT work for them</v>
      </c>
      <c r="J2756" s="1">
        <f ca="1">IFERROR(__xludf.DUMMYFUNCTION("""COMPUTED_VALUE"""),7)</f>
        <v>7</v>
      </c>
      <c r="K2756" s="1" t="str">
        <f ca="1">IFERROR(__xludf.DUMMYFUNCTION("""COMPUTED_VALUE"""),"Hybrid Working Environment with less than 3 days a month at office")</f>
        <v>Hybrid Working Environment with less than 3 days a month at office</v>
      </c>
      <c r="L2756" s="1" t="str">
        <f ca="1">IFERROR(__xludf.DUMMYFUNCTION("""COMPUTED_VALUE"""),"Employer who rewards learning and enables that environment")</f>
        <v>Employer who rewards learning and enables that environment</v>
      </c>
      <c r="M2756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756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2756" s="1" t="str">
        <f ca="1">IFERROR(__xludf.DUMMYFUNCTION("""COMPUTED_VALUE"""),"Manager who explains what is expected, sets a goal and helps achieve it")</f>
        <v>Manager who explains what is expected, sets a goal and helps achieve it</v>
      </c>
      <c r="P2756" s="1" t="str">
        <f ca="1">IFERROR(__xludf.DUMMYFUNCTION("""COMPUTED_VALUE"""),"Work with 5 to 6 people in my team")</f>
        <v>Work with 5 to 6 people in my team</v>
      </c>
      <c r="Q2756" s="1" t="str">
        <f ca="1">IFERROR(__xludf.DUMMYFUNCTION("""COMPUTED_VALUE"""),"No")</f>
        <v>No</v>
      </c>
      <c r="R2756" s="1" t="str">
        <f ca="1">IFERROR(__xludf.DUMMYFUNCTION("""COMPUTED_VALUE"""),"This will be hard to do, but if it is the right company I would try")</f>
        <v>This will be hard to do, but if it is the right company I would try</v>
      </c>
      <c r="S2756" s="1" t="str">
        <f ca="1">IFERROR(__xludf.DUMMYFUNCTION("""COMPUTED_VALUE"""),"ashwanidhankhar@gmail.com")</f>
        <v>ashwanidhankhar@gmail.com</v>
      </c>
    </row>
    <row r="2757" spans="1:19" ht="12.5" x14ac:dyDescent="0.25">
      <c r="A2757" s="2">
        <f ca="1">IFERROR(__xludf.DUMMYFUNCTION("""COMPUTED_VALUE"""),45068.499964398)</f>
        <v>45068.499964398099</v>
      </c>
      <c r="B2757" s="1" t="str">
        <f ca="1">IFERROR(__xludf.DUMMYFUNCTION("""COMPUTED_VALUE"""),"India")</f>
        <v>India</v>
      </c>
      <c r="C2757" s="1">
        <f ca="1">IFERROR(__xludf.DUMMYFUNCTION("""COMPUTED_VALUE"""),206122)</f>
        <v>206122</v>
      </c>
      <c r="D2757" s="1" t="str">
        <f ca="1">IFERROR(__xludf.DUMMYFUNCTION("""COMPUTED_VALUE"""),"Female")</f>
        <v>Female</v>
      </c>
      <c r="E2757" s="1" t="str">
        <f ca="1">IFERROR(__xludf.DUMMYFUNCTION("""COMPUTED_VALUE"""),"People who have changed the world for better")</f>
        <v>People who have changed the world for better</v>
      </c>
      <c r="F2757" s="1" t="str">
        <f ca="1">IFERROR(__xludf.DUMMYFUNCTION("""COMPUTED_VALUE"""),"Yes, I will earn and do that")</f>
        <v>Yes, I will earn and do that</v>
      </c>
      <c r="G2757" s="1" t="str">
        <f ca="1">IFERROR(__xludf.DUMMYFUNCTION("""COMPUTED_VALUE"""),"Will work for 3 years or more")</f>
        <v>Will work for 3 years or more</v>
      </c>
      <c r="H2757" s="1" t="str">
        <f ca="1">IFERROR(__xludf.DUMMYFUNCTION("""COMPUTED_VALUE"""),"Yes")</f>
        <v>Yes</v>
      </c>
      <c r="I2757" s="1" t="str">
        <f ca="1">IFERROR(__xludf.DUMMYFUNCTION("""COMPUTED_VALUE"""),"Will work for them")</f>
        <v>Will work for them</v>
      </c>
      <c r="J2757" s="1">
        <f ca="1">IFERROR(__xludf.DUMMYFUNCTION("""COMPUTED_VALUE"""),5)</f>
        <v>5</v>
      </c>
      <c r="K2757" s="1" t="str">
        <f ca="1">IFERROR(__xludf.DUMMYFUNCTION("""COMPUTED_VALUE"""),"Hybrid Working Environment with less than 3 days a month at office")</f>
        <v>Hybrid Working Environment with less than 3 days a month at office</v>
      </c>
      <c r="L2757" s="1" t="str">
        <f ca="1">IFERROR(__xludf.DUMMYFUNCTION("""COMPUTED_VALUE"""),"Employer who appreciates learning and enables that environment")</f>
        <v>Employer who appreciates learning and enables that environment</v>
      </c>
      <c r="M2757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57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757" s="1" t="str">
        <f ca="1">IFERROR(__xludf.DUMMYFUNCTION("""COMPUTED_VALUE"""),"Manager who sets targets and expects me to achieve it")</f>
        <v>Manager who sets targets and expects me to achieve it</v>
      </c>
      <c r="P2757" s="1" t="str">
        <f ca="1">IFERROR(__xludf.DUMMYFUNCTION("""COMPUTED_VALUE"""),"Work with 2 to 3 people in my team")</f>
        <v>Work with 2 to 3 people in my team</v>
      </c>
      <c r="Q2757" s="1" t="str">
        <f ca="1">IFERROR(__xludf.DUMMYFUNCTION("""COMPUTED_VALUE"""),"Yes, I Understand this is gonna happen everywhere")</f>
        <v>Yes, I Understand this is gonna happen everywhere</v>
      </c>
      <c r="R2757" s="1" t="str">
        <f ca="1">IFERROR(__xludf.DUMMYFUNCTION("""COMPUTED_VALUE"""),"Will work for 7 years or more")</f>
        <v>Will work for 7 years or more</v>
      </c>
      <c r="S2757" s="1" t="str">
        <f ca="1">IFERROR(__xludf.DUMMYFUNCTION("""COMPUTED_VALUE"""),"sushma.vishnoi20@gmail.com")</f>
        <v>sushma.vishnoi20@gmail.com</v>
      </c>
    </row>
    <row r="2758" spans="1:19" ht="12.5" x14ac:dyDescent="0.25">
      <c r="A2758" s="2">
        <f ca="1">IFERROR(__xludf.DUMMYFUNCTION("""COMPUTED_VALUE"""),45068.5063214351)</f>
        <v>45068.506321435103</v>
      </c>
      <c r="B2758" s="1" t="str">
        <f ca="1">IFERROR(__xludf.DUMMYFUNCTION("""COMPUTED_VALUE"""),"India")</f>
        <v>India</v>
      </c>
      <c r="C2758" s="1">
        <f ca="1">IFERROR(__xludf.DUMMYFUNCTION("""COMPUTED_VALUE"""),530017)</f>
        <v>530017</v>
      </c>
      <c r="D2758" s="1" t="str">
        <f ca="1">IFERROR(__xludf.DUMMYFUNCTION("""COMPUTED_VALUE"""),"Male")</f>
        <v>Male</v>
      </c>
      <c r="E2758" s="1" t="str">
        <f ca="1">IFERROR(__xludf.DUMMYFUNCTION("""COMPUTED_VALUE"""),"Social Media like LinkedIn")</f>
        <v>Social Media like LinkedIn</v>
      </c>
      <c r="F2758" s="1" t="str">
        <f ca="1">IFERROR(__xludf.DUMMYFUNCTION("""COMPUTED_VALUE"""),"Yes, I will earn and do that")</f>
        <v>Yes, I will earn and do that</v>
      </c>
      <c r="G2758" s="1" t="str">
        <f ca="1">IFERROR(__xludf.DUMMYFUNCTION("""COMPUTED_VALUE"""),"Will work for 3 years or more")</f>
        <v>Will work for 3 years or more</v>
      </c>
      <c r="H2758" s="1" t="str">
        <f ca="1">IFERROR(__xludf.DUMMYFUNCTION("""COMPUTED_VALUE"""),"Yes")</f>
        <v>Yes</v>
      </c>
      <c r="I2758" s="1" t="str">
        <f ca="1">IFERROR(__xludf.DUMMYFUNCTION("""COMPUTED_VALUE"""),"Will work for them")</f>
        <v>Will work for them</v>
      </c>
      <c r="J2758" s="1">
        <f ca="1">IFERROR(__xludf.DUMMYFUNCTION("""COMPUTED_VALUE"""),6)</f>
        <v>6</v>
      </c>
      <c r="K2758" s="1" t="str">
        <f ca="1">IFERROR(__xludf.DUMMYFUNCTION("""COMPUTED_VALUE"""),"Every Day Office Environment")</f>
        <v>Every Day Office Environment</v>
      </c>
      <c r="L2758" s="1" t="str">
        <f ca="1">IFERROR(__xludf.DUMMYFUNCTION("""COMPUTED_VALUE"""),"Employer who appreciates learning and enables that environment")</f>
        <v>Employer who appreciates learning and enables that environment</v>
      </c>
      <c r="M275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58" s="1" t="str">
        <f ca="1">IFERROR(__xludf.DUMMYFUNCTION("""COMPUTED_VALUE"""),"Design and Creative strategy in any company, Business Operations in any organization, Manage and drive End-to-End Projects or Products, Build and develop a Team")</f>
        <v>Design and Creative strategy in any company, Business Operations in any organization, Manage and drive End-to-End Projects or Products, Build and develop a Team</v>
      </c>
      <c r="O2758" s="1" t="str">
        <f ca="1">IFERROR(__xludf.DUMMYFUNCTION("""COMPUTED_VALUE"""),"Manager who sets targets and expects me to achieve it")</f>
        <v>Manager who sets targets and expects me to achieve it</v>
      </c>
      <c r="P2758" s="1" t="str">
        <f ca="1">IFERROR(__xludf.DUMMYFUNCTION("""COMPUTED_VALUE"""),"Work with 5 to 6 people in my team")</f>
        <v>Work with 5 to 6 people in my team</v>
      </c>
      <c r="Q2758" s="1" t="str">
        <f ca="1">IFERROR(__xludf.DUMMYFUNCTION("""COMPUTED_VALUE"""),"Yes")</f>
        <v>Yes</v>
      </c>
      <c r="R2758" s="1" t="str">
        <f ca="1">IFERROR(__xludf.DUMMYFUNCTION("""COMPUTED_VALUE"""),"Will work for 7 years or more")</f>
        <v>Will work for 7 years or more</v>
      </c>
      <c r="S2758" s="1" t="str">
        <f ca="1">IFERROR(__xludf.DUMMYFUNCTION("""COMPUTED_VALUE"""),"kirandurgamahanthi@gmail.com")</f>
        <v>kirandurgamahanthi@gmail.com</v>
      </c>
    </row>
    <row r="2759" spans="1:19" ht="12.5" x14ac:dyDescent="0.25">
      <c r="A2759" s="2">
        <f ca="1">IFERROR(__xludf.DUMMYFUNCTION("""COMPUTED_VALUE"""),45068.6501310879)</f>
        <v>45068.650131087903</v>
      </c>
      <c r="B2759" s="1" t="str">
        <f ca="1">IFERROR(__xludf.DUMMYFUNCTION("""COMPUTED_VALUE"""),"India")</f>
        <v>India</v>
      </c>
      <c r="C2759" s="1">
        <f ca="1">IFERROR(__xludf.DUMMYFUNCTION("""COMPUTED_VALUE"""),281001)</f>
        <v>281001</v>
      </c>
      <c r="D2759" s="1" t="str">
        <f ca="1">IFERROR(__xludf.DUMMYFUNCTION("""COMPUTED_VALUE"""),"Male")</f>
        <v>Male</v>
      </c>
      <c r="E2759" s="1" t="str">
        <f ca="1">IFERROR(__xludf.DUMMYFUNCTION("""COMPUTED_VALUE"""),"People who have changed the world for better")</f>
        <v>People who have changed the world for better</v>
      </c>
      <c r="F2759" s="1" t="str">
        <f ca="1">IFERROR(__xludf.DUMMYFUNCTION("""COMPUTED_VALUE"""),"No, But if someone could bare the cost I will")</f>
        <v>No, But if someone could bare the cost I will</v>
      </c>
      <c r="G2759" s="1" t="str">
        <f ca="1">IFERROR(__xludf.DUMMYFUNCTION("""COMPUTED_VALUE"""),"Will work for 3 years or more")</f>
        <v>Will work for 3 years or more</v>
      </c>
      <c r="H2759" s="1" t="str">
        <f ca="1">IFERROR(__xludf.DUMMYFUNCTION("""COMPUTED_VALUE"""),"No")</f>
        <v>No</v>
      </c>
      <c r="I2759" s="1" t="str">
        <f ca="1">IFERROR(__xludf.DUMMYFUNCTION("""COMPUTED_VALUE"""),"Will NOT work for them")</f>
        <v>Will NOT work for them</v>
      </c>
      <c r="J2759" s="1">
        <f ca="1">IFERROR(__xludf.DUMMYFUNCTION("""COMPUTED_VALUE"""),7)</f>
        <v>7</v>
      </c>
      <c r="K2759" s="1" t="str">
        <f ca="1">IFERROR(__xludf.DUMMYFUNCTION("""COMPUTED_VALUE"""),"Fully Remote with Options to travel as and when needed")</f>
        <v>Fully Remote with Options to travel as and when needed</v>
      </c>
      <c r="L2759" s="1" t="str">
        <f ca="1">IFERROR(__xludf.DUMMYFUNCTION("""COMPUTED_VALUE"""),"Employer who appreciates learning and enables that environment")</f>
        <v>Employer who appreciates learning and enables that environment</v>
      </c>
      <c r="M275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59" s="1" t="str">
        <f ca="1">IFERROR(__xludf.DUMMYFUNCTION("""COMPUTED_VALUE"""),"Design and Creative strategy in any company, Teaching in any of the institutes/colleges/online or offline, Business Operations in any organization, I Want to sell things/Sales")</f>
        <v>Design and Creative strategy in any company, Teaching in any of the institutes/colleges/online or offline, Business Operations in any organization, I Want to sell things/Sales</v>
      </c>
      <c r="O2759" s="1" t="str">
        <f ca="1">IFERROR(__xludf.DUMMYFUNCTION("""COMPUTED_VALUE"""),"Manager who clearly describes what she/he needs")</f>
        <v>Manager who clearly describes what she/he needs</v>
      </c>
      <c r="P2759" s="1" t="str">
        <f ca="1">IFERROR(__xludf.DUMMYFUNCTION("""COMPUTED_VALUE"""),"Work alone")</f>
        <v>Work alone</v>
      </c>
      <c r="Q2759" s="1" t="str">
        <f ca="1">IFERROR(__xludf.DUMMYFUNCTION("""COMPUTED_VALUE"""),"No")</f>
        <v>No</v>
      </c>
      <c r="R2759" s="1" t="str">
        <f ca="1">IFERROR(__xludf.DUMMYFUNCTION("""COMPUTED_VALUE"""),"No way")</f>
        <v>No way</v>
      </c>
      <c r="S2759" s="1" t="str">
        <f ca="1">IFERROR(__xludf.DUMMYFUNCTION("""COMPUTED_VALUE"""),"govindsharmasharma@gmail.com")</f>
        <v>govindsharmasharma@gmail.com</v>
      </c>
    </row>
    <row r="2760" spans="1:19" ht="12.5" x14ac:dyDescent="0.25">
      <c r="A2760" s="2">
        <f ca="1">IFERROR(__xludf.DUMMYFUNCTION("""COMPUTED_VALUE"""),45068.6807267824)</f>
        <v>45068.680726782397</v>
      </c>
      <c r="B2760" s="1" t="str">
        <f ca="1">IFERROR(__xludf.DUMMYFUNCTION("""COMPUTED_VALUE"""),"India")</f>
        <v>India</v>
      </c>
      <c r="C2760" s="1">
        <f ca="1">IFERROR(__xludf.DUMMYFUNCTION("""COMPUTED_VALUE"""),600073)</f>
        <v>600073</v>
      </c>
      <c r="D2760" s="1" t="str">
        <f ca="1">IFERROR(__xludf.DUMMYFUNCTION("""COMPUTED_VALUE"""),"Male")</f>
        <v>Male</v>
      </c>
      <c r="E2760" s="1" t="str">
        <f ca="1">IFERROR(__xludf.DUMMYFUNCTION("""COMPUTED_VALUE"""),"People who have changed the world for better")</f>
        <v>People who have changed the world for better</v>
      </c>
      <c r="F2760" s="1" t="str">
        <f ca="1">IFERROR(__xludf.DUMMYFUNCTION("""COMPUTED_VALUE"""),"Yes, I will earn and do that")</f>
        <v>Yes, I will earn and do that</v>
      </c>
      <c r="G2760" s="1" t="str">
        <f ca="1">IFERROR(__xludf.DUMMYFUNCTION("""COMPUTED_VALUE"""),"Will work for 3 years or more")</f>
        <v>Will work for 3 years or more</v>
      </c>
      <c r="H2760" s="1" t="str">
        <f ca="1">IFERROR(__xludf.DUMMYFUNCTION("""COMPUTED_VALUE"""),"No")</f>
        <v>No</v>
      </c>
      <c r="I2760" s="1" t="str">
        <f ca="1">IFERROR(__xludf.DUMMYFUNCTION("""COMPUTED_VALUE"""),"Will work for them")</f>
        <v>Will work for them</v>
      </c>
      <c r="J2760" s="1">
        <f ca="1">IFERROR(__xludf.DUMMYFUNCTION("""COMPUTED_VALUE"""),9)</f>
        <v>9</v>
      </c>
      <c r="K2760" s="1" t="str">
        <f ca="1">IFERROR(__xludf.DUMMYFUNCTION("""COMPUTED_VALUE"""),"Hybrid Working Environment with more than 15 days a month at office")</f>
        <v>Hybrid Working Environment with more than 15 days a month at office</v>
      </c>
      <c r="L276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6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60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2760" s="1" t="str">
        <f ca="1">IFERROR(__xludf.DUMMYFUNCTION("""COMPUTED_VALUE"""),"Manager who sets targets and expects me to achieve it")</f>
        <v>Manager who sets targets and expects me to achieve it</v>
      </c>
      <c r="P2760" s="1" t="str">
        <f ca="1">IFERROR(__xludf.DUMMYFUNCTION("""COMPUTED_VALUE"""),"Work with more than 10 people in my team")</f>
        <v>Work with more than 10 people in my team</v>
      </c>
      <c r="Q2760" s="1" t="str">
        <f ca="1">IFERROR(__xludf.DUMMYFUNCTION("""COMPUTED_VALUE"""),"Yes, I Understand this is gonna happen everywhere")</f>
        <v>Yes, I Understand this is gonna happen everywhere</v>
      </c>
      <c r="R2760" s="1" t="str">
        <f ca="1">IFERROR(__xludf.DUMMYFUNCTION("""COMPUTED_VALUE"""),"Will work for 7 years or more")</f>
        <v>Will work for 7 years or more</v>
      </c>
      <c r="S2760" s="1" t="str">
        <f ca="1">IFERROR(__xludf.DUMMYFUNCTION("""COMPUTED_VALUE"""),"dharanidharan2342@gmail.com")</f>
        <v>dharanidharan2342@gmail.com</v>
      </c>
    </row>
    <row r="2761" spans="1:19" ht="12.5" x14ac:dyDescent="0.25">
      <c r="A2761" s="2">
        <f ca="1">IFERROR(__xludf.DUMMYFUNCTION("""COMPUTED_VALUE"""),45068.7635670601)</f>
        <v>45068.763567060101</v>
      </c>
      <c r="B2761" s="1" t="str">
        <f ca="1">IFERROR(__xludf.DUMMYFUNCTION("""COMPUTED_VALUE"""),"India")</f>
        <v>India</v>
      </c>
      <c r="C2761" s="1">
        <f ca="1">IFERROR(__xludf.DUMMYFUNCTION("""COMPUTED_VALUE"""),600091)</f>
        <v>600091</v>
      </c>
      <c r="D2761" s="1" t="str">
        <f ca="1">IFERROR(__xludf.DUMMYFUNCTION("""COMPUTED_VALUE"""),"Male")</f>
        <v>Male</v>
      </c>
      <c r="E2761" s="1" t="str">
        <f ca="1">IFERROR(__xludf.DUMMYFUNCTION("""COMPUTED_VALUE"""),"People who have changed the world for better")</f>
        <v>People who have changed the world for better</v>
      </c>
      <c r="F2761" s="1" t="str">
        <f ca="1">IFERROR(__xludf.DUMMYFUNCTION("""COMPUTED_VALUE"""),"Yes, I will earn and do that")</f>
        <v>Yes, I will earn and do that</v>
      </c>
      <c r="G2761" s="1" t="str">
        <f ca="1">IFERROR(__xludf.DUMMYFUNCTION("""COMPUTED_VALUE"""),"This will be hard to do, but if it is the right company I would try")</f>
        <v>This will be hard to do, but if it is the right company I would try</v>
      </c>
      <c r="H2761" s="1" t="str">
        <f ca="1">IFERROR(__xludf.DUMMYFUNCTION("""COMPUTED_VALUE"""),"No")</f>
        <v>No</v>
      </c>
      <c r="I2761" s="1" t="str">
        <f ca="1">IFERROR(__xludf.DUMMYFUNCTION("""COMPUTED_VALUE"""),"Will work for them")</f>
        <v>Will work for them</v>
      </c>
      <c r="J2761" s="1">
        <f ca="1">IFERROR(__xludf.DUMMYFUNCTION("""COMPUTED_VALUE"""),5)</f>
        <v>5</v>
      </c>
      <c r="K2761" s="1" t="str">
        <f ca="1">IFERROR(__xludf.DUMMYFUNCTION("""COMPUTED_VALUE"""),"Fully Remote with Options to travel as and when needed")</f>
        <v>Fully Remote with Options to travel as and when needed</v>
      </c>
      <c r="L276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61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761" s="1" t="str">
        <f ca="1">IFERROR(__xludf.DUMMYFUNCTION("""COMPUTED_VALUE"""),"Design and Creative strategy in any company, Design and Develop amazing software, Work as a freelancer and do my thing my way, Entrepreneur or Start Up")</f>
        <v>Design and Creative strategy in any company, Design and Develop amazing software, Work as a freelancer and do my thing my way, Entrepreneur or Start Up</v>
      </c>
      <c r="O2761" s="1" t="str">
        <f ca="1">IFERROR(__xludf.DUMMYFUNCTION("""COMPUTED_VALUE"""),"Manager who explains what is expected, sets a goal and helps achieve it")</f>
        <v>Manager who explains what is expected, sets a goal and helps achieve it</v>
      </c>
      <c r="P2761" s="1" t="str">
        <f ca="1">IFERROR(__xludf.DUMMYFUNCTION("""COMPUTED_VALUE"""),"Work with 2 to 3 people in my team")</f>
        <v>Work with 2 to 3 people in my team</v>
      </c>
      <c r="Q2761" s="1" t="str">
        <f ca="1">IFERROR(__xludf.DUMMYFUNCTION("""COMPUTED_VALUE"""),"Yes, I Understand this is gonna happen everywhere")</f>
        <v>Yes, I Understand this is gonna happen everywhere</v>
      </c>
      <c r="R2761" s="1" t="str">
        <f ca="1">IFERROR(__xludf.DUMMYFUNCTION("""COMPUTED_VALUE"""),"No way")</f>
        <v>No way</v>
      </c>
      <c r="S2761" s="1" t="str">
        <f ca="1">IFERROR(__xludf.DUMMYFUNCTION("""COMPUTED_VALUE"""),"g021306@gmail.com")</f>
        <v>g021306@gmail.com</v>
      </c>
    </row>
    <row r="2762" spans="1:19" ht="12.5" x14ac:dyDescent="0.25">
      <c r="A2762" s="2">
        <f ca="1">IFERROR(__xludf.DUMMYFUNCTION("""COMPUTED_VALUE"""),45068.7888610069)</f>
        <v>45068.788861006899</v>
      </c>
      <c r="B2762" s="1" t="str">
        <f ca="1">IFERROR(__xludf.DUMMYFUNCTION("""COMPUTED_VALUE"""),"India")</f>
        <v>India</v>
      </c>
      <c r="C2762" s="1">
        <f ca="1">IFERROR(__xludf.DUMMYFUNCTION("""COMPUTED_VALUE"""),41613)</f>
        <v>41613</v>
      </c>
      <c r="D2762" s="1" t="str">
        <f ca="1">IFERROR(__xludf.DUMMYFUNCTION("""COMPUTED_VALUE"""),"Male")</f>
        <v>Male</v>
      </c>
      <c r="E2762" s="1" t="str">
        <f ca="1">IFERROR(__xludf.DUMMYFUNCTION("""COMPUTED_VALUE"""),"My Parents")</f>
        <v>My Parents</v>
      </c>
      <c r="F2762" s="1" t="str">
        <f ca="1">IFERROR(__xludf.DUMMYFUNCTION("""COMPUTED_VALUE"""),"No, But if someone could bare the cost I will")</f>
        <v>No, But if someone could bare the cost I will</v>
      </c>
      <c r="G2762" s="1" t="str">
        <f ca="1">IFERROR(__xludf.DUMMYFUNCTION("""COMPUTED_VALUE"""),"No way")</f>
        <v>No way</v>
      </c>
      <c r="H2762" s="1" t="str">
        <f ca="1">IFERROR(__xludf.DUMMYFUNCTION("""COMPUTED_VALUE"""),"Yes")</f>
        <v>Yes</v>
      </c>
      <c r="I2762" s="1" t="str">
        <f ca="1">IFERROR(__xludf.DUMMYFUNCTION("""COMPUTED_VALUE"""),"Will work for them")</f>
        <v>Will work for them</v>
      </c>
      <c r="J2762" s="1">
        <f ca="1">IFERROR(__xludf.DUMMYFUNCTION("""COMPUTED_VALUE"""),1)</f>
        <v>1</v>
      </c>
      <c r="K2762" s="1" t="str">
        <f ca="1">IFERROR(__xludf.DUMMYFUNCTION("""COMPUTED_VALUE"""),"Every Day Office Environment")</f>
        <v>Every Day Office Environment</v>
      </c>
      <c r="L2762" s="1" t="str">
        <f ca="1">IFERROR(__xludf.DUMMYFUNCTION("""COMPUTED_VALUE"""),"Employer who rewards learning and enables that environment")</f>
        <v>Employer who rewards learning and enables that environment</v>
      </c>
      <c r="M2762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62" s="1" t="str">
        <f ca="1">IFERROR(__xludf.DUMMYFUNCTION("""COMPUTED_VALUE"""),"Design and Creative strategy in any company, Teaching in any of the institutes/colleges/online or offline, Business Operations in any organization, Design and Develop amazing software")</f>
        <v>Design and Creative strategy in any company, Teaching in any of the institutes/colleges/online or offline, Business Operations in any organization, Design and Develop amazing software</v>
      </c>
      <c r="O2762" s="1" t="str">
        <f ca="1">IFERROR(__xludf.DUMMYFUNCTION("""COMPUTED_VALUE"""),"Manager who sets targets and expects me to achieve it")</f>
        <v>Manager who sets targets and expects me to achieve it</v>
      </c>
      <c r="P2762" s="1" t="str">
        <f ca="1">IFERROR(__xludf.DUMMYFUNCTION("""COMPUTED_VALUE"""),"Work alone, Work with 5 to 6 people in my team")</f>
        <v>Work alone, Work with 5 to 6 people in my team</v>
      </c>
      <c r="Q2762" s="1" t="str">
        <f ca="1">IFERROR(__xludf.DUMMYFUNCTION("""COMPUTED_VALUE"""),"Yes")</f>
        <v>Yes</v>
      </c>
      <c r="R2762" s="1" t="str">
        <f ca="1">IFERROR(__xludf.DUMMYFUNCTION("""COMPUTED_VALUE"""),"No way")</f>
        <v>No way</v>
      </c>
      <c r="S2762" s="1" t="str">
        <f ca="1">IFERROR(__xludf.DUMMYFUNCTION("""COMPUTED_VALUE"""),"pratikchavan640@gmail.com")</f>
        <v>pratikchavan640@gmail.com</v>
      </c>
    </row>
    <row r="2763" spans="1:19" ht="12.5" x14ac:dyDescent="0.25">
      <c r="A2763" s="2">
        <f ca="1">IFERROR(__xludf.DUMMYFUNCTION("""COMPUTED_VALUE"""),45068.7903202083)</f>
        <v>45068.790320208303</v>
      </c>
      <c r="B2763" s="1" t="str">
        <f ca="1">IFERROR(__xludf.DUMMYFUNCTION("""COMPUTED_VALUE"""),"India")</f>
        <v>India</v>
      </c>
      <c r="C2763" s="1">
        <f ca="1">IFERROR(__xludf.DUMMYFUNCTION("""COMPUTED_VALUE"""),400101)</f>
        <v>400101</v>
      </c>
      <c r="D2763" s="1" t="str">
        <f ca="1">IFERROR(__xludf.DUMMYFUNCTION("""COMPUTED_VALUE"""),"Male")</f>
        <v>Male</v>
      </c>
      <c r="E2763" s="1" t="str">
        <f ca="1">IFERROR(__xludf.DUMMYFUNCTION("""COMPUTED_VALUE"""),"People from my circle, but not family members")</f>
        <v>People from my circle, but not family members</v>
      </c>
      <c r="F2763" s="1" t="str">
        <f ca="1">IFERROR(__xludf.DUMMYFUNCTION("""COMPUTED_VALUE"""),"Yes, I will earn and do that")</f>
        <v>Yes, I will earn and do that</v>
      </c>
      <c r="G2763" s="1" t="str">
        <f ca="1">IFERROR(__xludf.DUMMYFUNCTION("""COMPUTED_VALUE"""),"This will be hard to do, but if it is the right company I would try")</f>
        <v>This will be hard to do, but if it is the right company I would try</v>
      </c>
      <c r="H2763" s="1" t="str">
        <f ca="1">IFERROR(__xludf.DUMMYFUNCTION("""COMPUTED_VALUE"""),"No")</f>
        <v>No</v>
      </c>
      <c r="I2763" s="1" t="str">
        <f ca="1">IFERROR(__xludf.DUMMYFUNCTION("""COMPUTED_VALUE"""),"Will NOT work for them")</f>
        <v>Will NOT work for them</v>
      </c>
      <c r="J2763" s="1">
        <f ca="1">IFERROR(__xludf.DUMMYFUNCTION("""COMPUTED_VALUE"""),6)</f>
        <v>6</v>
      </c>
      <c r="K2763" s="1" t="str">
        <f ca="1">IFERROR(__xludf.DUMMYFUNCTION("""COMPUTED_VALUE"""),"Hybrid Working Environment with less than 3 days a month at office")</f>
        <v>Hybrid Working Environment with less than 3 days a month at office</v>
      </c>
      <c r="L276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6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63" s="1" t="str">
        <f ca="1">IFERROR(__xludf.DUMMYFUNCTION("""COMPUTED_VALUE"""),"Look deeply into Data and generate insights, Work as a freelancer and do my thing my way, I Want to sell things/Sales, An Artificial Intelligence Specialist / Talking to Robots")</f>
        <v>Look deeply into Data and generate insights, Work as a freelancer and do my thing my way, I Want to sell things/Sales, An Artificial Intelligence Specialist / Talking to Robots</v>
      </c>
      <c r="O2763" s="1" t="str">
        <f ca="1">IFERROR(__xludf.DUMMYFUNCTION("""COMPUTED_VALUE"""),"Manager who explains what is expected, sets a goal and helps achieve it")</f>
        <v>Manager who explains what is expected, sets a goal and helps achieve it</v>
      </c>
      <c r="P2763" s="1" t="str">
        <f ca="1">IFERROR(__xludf.DUMMYFUNCTION("""COMPUTED_VALUE"""),"Work alone, Work with 2 to 3 people in my team, Work with more than 10 people in my team")</f>
        <v>Work alone, Work with 2 to 3 people in my team, Work with more than 10 people in my team</v>
      </c>
      <c r="Q2763" s="1" t="str">
        <f ca="1">IFERROR(__xludf.DUMMYFUNCTION("""COMPUTED_VALUE"""),"No")</f>
        <v>No</v>
      </c>
      <c r="R2763" s="1" t="str">
        <f ca="1">IFERROR(__xludf.DUMMYFUNCTION("""COMPUTED_VALUE"""),"This will be hard to do, but if it is the right company I would try")</f>
        <v>This will be hard to do, but if it is the right company I would try</v>
      </c>
      <c r="S2763" s="1" t="str">
        <f ca="1">IFERROR(__xludf.DUMMYFUNCTION("""COMPUTED_VALUE"""),"vinayvc18@gmail.com")</f>
        <v>vinayvc18@gmail.com</v>
      </c>
    </row>
    <row r="2764" spans="1:19" ht="12.5" x14ac:dyDescent="0.25">
      <c r="A2764" s="2">
        <f ca="1">IFERROR(__xludf.DUMMYFUNCTION("""COMPUTED_VALUE"""),45068.8155969328)</f>
        <v>45068.8155969328</v>
      </c>
      <c r="B2764" s="1" t="str">
        <f ca="1">IFERROR(__xludf.DUMMYFUNCTION("""COMPUTED_VALUE"""),"India")</f>
        <v>India</v>
      </c>
      <c r="C2764" s="1">
        <f ca="1">IFERROR(__xludf.DUMMYFUNCTION("""COMPUTED_VALUE"""),411037)</f>
        <v>411037</v>
      </c>
      <c r="D2764" s="1" t="str">
        <f ca="1">IFERROR(__xludf.DUMMYFUNCTION("""COMPUTED_VALUE"""),"Female")</f>
        <v>Female</v>
      </c>
      <c r="E2764" s="1" t="str">
        <f ca="1">IFERROR(__xludf.DUMMYFUNCTION("""COMPUTED_VALUE"""),"My Parents")</f>
        <v>My Parents</v>
      </c>
      <c r="F2764" s="1" t="str">
        <f ca="1">IFERROR(__xludf.DUMMYFUNCTION("""COMPUTED_VALUE"""),"Yes, I will earn and do that")</f>
        <v>Yes, I will earn and do that</v>
      </c>
      <c r="G2764" s="1" t="str">
        <f ca="1">IFERROR(__xludf.DUMMYFUNCTION("""COMPUTED_VALUE"""),"Will work for 3 years or more")</f>
        <v>Will work for 3 years or more</v>
      </c>
      <c r="H2764" s="1" t="str">
        <f ca="1">IFERROR(__xludf.DUMMYFUNCTION("""COMPUTED_VALUE"""),"Yes")</f>
        <v>Yes</v>
      </c>
      <c r="I2764" s="1" t="str">
        <f ca="1">IFERROR(__xludf.DUMMYFUNCTION("""COMPUTED_VALUE"""),"Will work for them")</f>
        <v>Will work for them</v>
      </c>
      <c r="J2764" s="1">
        <f ca="1">IFERROR(__xludf.DUMMYFUNCTION("""COMPUTED_VALUE"""),5)</f>
        <v>5</v>
      </c>
      <c r="K2764" s="1" t="str">
        <f ca="1">IFERROR(__xludf.DUMMYFUNCTION("""COMPUTED_VALUE"""),"Every Day Office Environment")</f>
        <v>Every Day Office Environment</v>
      </c>
      <c r="L2764" s="1" t="str">
        <f ca="1">IFERROR(__xludf.DUMMYFUNCTION("""COMPUTED_VALUE"""),"Employer who appreciates learning and enables that environment")</f>
        <v>Employer who appreciates learning and enables that environment</v>
      </c>
      <c r="M2764" s="1" t="str">
        <f ca="1">IFERROR(__xludf.DUMMYFUNCTION("""COMPUTED_VALUE"""),"Self Paced Learning Portals of the Company, Self Purchased Course from External Platforms, Manager Teaching you")</f>
        <v>Self Paced Learning Portals of the Company, Self Purchased Course from External Platforms, Manager Teaching you</v>
      </c>
      <c r="N2764" s="1" t="str">
        <f ca="1">IFERROR(__xludf.DUMMYFUNCTION("""COMPUTED_VALUE"""),"Design and Creative strategy in any company, Teaching in any of the institutes/colleges/online or offline, Business Operations in any organization, Design and Develop amazing software")</f>
        <v>Design and Creative strategy in any company, Teaching in any of the institutes/colleges/online or offline, Business Operations in any organization, Design and Develop amazing software</v>
      </c>
      <c r="O2764" s="1" t="str">
        <f ca="1">IFERROR(__xludf.DUMMYFUNCTION("""COMPUTED_VALUE"""),"Manager who clearly describes what she/he needs")</f>
        <v>Manager who clearly describes what she/he needs</v>
      </c>
      <c r="P2764" s="1" t="str">
        <f ca="1">IFERROR(__xludf.DUMMYFUNCTION("""COMPUTED_VALUE"""),"Work alone")</f>
        <v>Work alone</v>
      </c>
      <c r="Q2764" s="1" t="str">
        <f ca="1">IFERROR(__xludf.DUMMYFUNCTION("""COMPUTED_VALUE"""),"Yes")</f>
        <v>Yes</v>
      </c>
      <c r="R2764" s="1" t="str">
        <f ca="1">IFERROR(__xludf.DUMMYFUNCTION("""COMPUTED_VALUE"""),"Will work for 7 years or more")</f>
        <v>Will work for 7 years or more</v>
      </c>
      <c r="S2764" s="1" t="str">
        <f ca="1">IFERROR(__xludf.DUMMYFUNCTION("""COMPUTED_VALUE"""),"truptigaikwad463@gmail.com")</f>
        <v>truptigaikwad463@gmail.com</v>
      </c>
    </row>
    <row r="2765" spans="1:19" ht="12.5" x14ac:dyDescent="0.25">
      <c r="A2765" s="2">
        <f ca="1">IFERROR(__xludf.DUMMYFUNCTION("""COMPUTED_VALUE"""),45068.829055949)</f>
        <v>45068.829055948998</v>
      </c>
      <c r="B2765" s="1" t="str">
        <f ca="1">IFERROR(__xludf.DUMMYFUNCTION("""COMPUTED_VALUE"""),"India")</f>
        <v>India</v>
      </c>
      <c r="C2765" s="1">
        <f ca="1">IFERROR(__xludf.DUMMYFUNCTION("""COMPUTED_VALUE"""),602105)</f>
        <v>602105</v>
      </c>
      <c r="D2765" s="1" t="str">
        <f ca="1">IFERROR(__xludf.DUMMYFUNCTION("""COMPUTED_VALUE"""),"Male")</f>
        <v>Male</v>
      </c>
      <c r="E2765" s="1" t="str">
        <f ca="1">IFERROR(__xludf.DUMMYFUNCTION("""COMPUTED_VALUE"""),"My Parents")</f>
        <v>My Parents</v>
      </c>
      <c r="F2765" s="1" t="str">
        <f ca="1">IFERROR(__xludf.DUMMYFUNCTION("""COMPUTED_VALUE"""),"No I would not be pursuing Higher Education outside of India")</f>
        <v>No I would not be pursuing Higher Education outside of India</v>
      </c>
      <c r="G2765" s="1" t="str">
        <f ca="1">IFERROR(__xludf.DUMMYFUNCTION("""COMPUTED_VALUE"""),"This will be hard to do, but if it is the right company I would try")</f>
        <v>This will be hard to do, but if it is the right company I would try</v>
      </c>
      <c r="H2765" s="1" t="str">
        <f ca="1">IFERROR(__xludf.DUMMYFUNCTION("""COMPUTED_VALUE"""),"No")</f>
        <v>No</v>
      </c>
      <c r="I2765" s="1" t="str">
        <f ca="1">IFERROR(__xludf.DUMMYFUNCTION("""COMPUTED_VALUE"""),"Will NOT work for them")</f>
        <v>Will NOT work for them</v>
      </c>
      <c r="J2765" s="1">
        <f ca="1">IFERROR(__xludf.DUMMYFUNCTION("""COMPUTED_VALUE"""),5)</f>
        <v>5</v>
      </c>
      <c r="K2765" s="1" t="str">
        <f ca="1">IFERROR(__xludf.DUMMYFUNCTION("""COMPUTED_VALUE"""),"Fully Remote with No option to visit offices")</f>
        <v>Fully Remote with No option to visit offices</v>
      </c>
      <c r="L2765" s="1" t="str">
        <f ca="1">IFERROR(__xludf.DUMMYFUNCTION("""COMPUTED_VALUE"""),"Employer who appreciates learning and enables that environment")</f>
        <v>Employer who appreciates learning and enables that environment</v>
      </c>
      <c r="M2765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765" s="1" t="str">
        <f ca="1">IFERROR(__xludf.DUMMYFUNCTION("""COMPUTED_VALUE"""),"Design and Creative strategy in any company, I Want to sell things/Sales, An Artificial Intelligence Specialist / Talking to Robots, Manufacturing / Oil and Gas/ Construction / Hard Physical Work related")</f>
        <v>Design and Creative strategy in any company, I Want to sell things/Sales, An Artificial Intelligence Specialist / Talking to Robots, Manufacturing / Oil and Gas/ Construction / Hard Physical Work related</v>
      </c>
      <c r="O2765" s="1" t="str">
        <f ca="1">IFERROR(__xludf.DUMMYFUNCTION("""COMPUTED_VALUE"""),"Manager who explains what is expected, sets a goal and helps achieve it")</f>
        <v>Manager who explains what is expected, sets a goal and helps achieve it</v>
      </c>
      <c r="P2765" s="1" t="str">
        <f ca="1">IFERROR(__xludf.DUMMYFUNCTION("""COMPUTED_VALUE"""),"Work with 7 to 10 or more people in my team, Work with more than 10 people in my team")</f>
        <v>Work with 7 to 10 or more people in my team, Work with more than 10 people in my team</v>
      </c>
      <c r="Q2765" s="1" t="str">
        <f ca="1">IFERROR(__xludf.DUMMYFUNCTION("""COMPUTED_VALUE"""),"Yes, I Understand this is gonna happen everywhere")</f>
        <v>Yes, I Understand this is gonna happen everywhere</v>
      </c>
      <c r="R2765" s="1" t="str">
        <f ca="1">IFERROR(__xludf.DUMMYFUNCTION("""COMPUTED_VALUE"""),"This will be hard to do, but if it is the right company I would try")</f>
        <v>This will be hard to do, but if it is the right company I would try</v>
      </c>
      <c r="S2765" s="1" t="str">
        <f ca="1">IFERROR(__xludf.DUMMYFUNCTION("""COMPUTED_VALUE"""),"harishragavendhar54@gmail.com")</f>
        <v>harishragavendhar54@gmail.com</v>
      </c>
    </row>
    <row r="2766" spans="1:19" ht="12.5" x14ac:dyDescent="0.25">
      <c r="A2766" s="2">
        <f ca="1">IFERROR(__xludf.DUMMYFUNCTION("""COMPUTED_VALUE"""),45069.8541995486)</f>
        <v>45069.854199548601</v>
      </c>
      <c r="B2766" s="1" t="str">
        <f ca="1">IFERROR(__xludf.DUMMYFUNCTION("""COMPUTED_VALUE"""),"India")</f>
        <v>India</v>
      </c>
      <c r="C2766" s="1">
        <f ca="1">IFERROR(__xludf.DUMMYFUNCTION("""COMPUTED_VALUE"""),416001)</f>
        <v>416001</v>
      </c>
      <c r="D2766" s="1" t="str">
        <f ca="1">IFERROR(__xludf.DUMMYFUNCTION("""COMPUTED_VALUE"""),"Male")</f>
        <v>Male</v>
      </c>
      <c r="E2766" s="1" t="str">
        <f ca="1">IFERROR(__xludf.DUMMYFUNCTION("""COMPUTED_VALUE"""),"People who have changed the world for better")</f>
        <v>People who have changed the world for better</v>
      </c>
      <c r="F2766" s="1" t="str">
        <f ca="1">IFERROR(__xludf.DUMMYFUNCTION("""COMPUTED_VALUE"""),"Yes, I will earn and do that")</f>
        <v>Yes, I will earn and do that</v>
      </c>
      <c r="G2766" s="1" t="str">
        <f ca="1">IFERROR(__xludf.DUMMYFUNCTION("""COMPUTED_VALUE"""),"This will be hard to do, but if it is the right company I would try")</f>
        <v>This will be hard to do, but if it is the right company I would try</v>
      </c>
      <c r="H2766" s="1" t="str">
        <f ca="1">IFERROR(__xludf.DUMMYFUNCTION("""COMPUTED_VALUE"""),"No")</f>
        <v>No</v>
      </c>
      <c r="I2766" s="1" t="str">
        <f ca="1">IFERROR(__xludf.DUMMYFUNCTION("""COMPUTED_VALUE"""),"Will NOT work for them")</f>
        <v>Will NOT work for them</v>
      </c>
      <c r="J2766" s="1">
        <f ca="1">IFERROR(__xludf.DUMMYFUNCTION("""COMPUTED_VALUE"""),5)</f>
        <v>5</v>
      </c>
      <c r="K2766" s="1" t="str">
        <f ca="1">IFERROR(__xludf.DUMMYFUNCTION("""COMPUTED_VALUE"""),"Fully Remote with Options to travel as and when needed")</f>
        <v>Fully Remote with Options to travel as and when needed</v>
      </c>
      <c r="L276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6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66" s="1" t="str">
        <f ca="1">IFERROR(__xludf.DUMMYFUNCTION("""COMPUTED_VALUE"""),"Teaching in any of the institutes/colleges/online or offline, Business Operations in any organization, Manage and drive End-to-End Projects or Products, Work in a BPO setup for some well known client")</f>
        <v>Teaching in any of the institutes/colleges/online or offline, Business Operations in any organization, Manage and drive End-to-End Projects or Products, Work in a BPO setup for some well known client</v>
      </c>
      <c r="O2766" s="1" t="str">
        <f ca="1">IFERROR(__xludf.DUMMYFUNCTION("""COMPUTED_VALUE"""),"Manager who explains what is expected, sets a goal and helps achieve it")</f>
        <v>Manager who explains what is expected, sets a goal and helps achieve it</v>
      </c>
      <c r="P2766" s="1" t="str">
        <f ca="1">IFERROR(__xludf.DUMMYFUNCTION("""COMPUTED_VALUE"""),"Work with more than 10 people in my team")</f>
        <v>Work with more than 10 people in my team</v>
      </c>
      <c r="Q2766" s="1" t="str">
        <f ca="1">IFERROR(__xludf.DUMMYFUNCTION("""COMPUTED_VALUE"""),"Yes, I Understand this is gonna happen everywhere")</f>
        <v>Yes, I Understand this is gonna happen everywhere</v>
      </c>
      <c r="R2766" s="1" t="str">
        <f ca="1">IFERROR(__xludf.DUMMYFUNCTION("""COMPUTED_VALUE"""),"This will be hard to do, but if it is the right company I would try")</f>
        <v>This will be hard to do, but if it is the right company I would try</v>
      </c>
      <c r="S2766" s="1" t="str">
        <f ca="1">IFERROR(__xludf.DUMMYFUNCTION("""COMPUTED_VALUE"""),"sidmudrale2000@gmail.com")</f>
        <v>sidmudrale2000@gmail.com</v>
      </c>
    </row>
    <row r="2767" spans="1:19" ht="12.5" x14ac:dyDescent="0.25">
      <c r="A2767" s="2">
        <f ca="1">IFERROR(__xludf.DUMMYFUNCTION("""COMPUTED_VALUE"""),45070.2450147916)</f>
        <v>45070.245014791602</v>
      </c>
      <c r="B2767" s="1" t="str">
        <f ca="1">IFERROR(__xludf.DUMMYFUNCTION("""COMPUTED_VALUE"""),"India")</f>
        <v>India</v>
      </c>
      <c r="C2767" s="1">
        <f ca="1">IFERROR(__xludf.DUMMYFUNCTION("""COMPUTED_VALUE"""),462046)</f>
        <v>462046</v>
      </c>
      <c r="D2767" s="1" t="str">
        <f ca="1">IFERROR(__xludf.DUMMYFUNCTION("""COMPUTED_VALUE"""),"Female")</f>
        <v>Female</v>
      </c>
      <c r="E2767" s="1" t="str">
        <f ca="1">IFERROR(__xludf.DUMMYFUNCTION("""COMPUTED_VALUE"""),"My Parents")</f>
        <v>My Parents</v>
      </c>
      <c r="F2767" s="1" t="str">
        <f ca="1">IFERROR(__xludf.DUMMYFUNCTION("""COMPUTED_VALUE"""),"Yes, I will earn and do that")</f>
        <v>Yes, I will earn and do that</v>
      </c>
      <c r="G2767" s="1" t="str">
        <f ca="1">IFERROR(__xludf.DUMMYFUNCTION("""COMPUTED_VALUE"""),"Will work for 3 years or more")</f>
        <v>Will work for 3 years or more</v>
      </c>
      <c r="H2767" s="1" t="str">
        <f ca="1">IFERROR(__xludf.DUMMYFUNCTION("""COMPUTED_VALUE"""),"No")</f>
        <v>No</v>
      </c>
      <c r="I2767" s="1" t="str">
        <f ca="1">IFERROR(__xludf.DUMMYFUNCTION("""COMPUTED_VALUE"""),"Will NOT work for them")</f>
        <v>Will NOT work for them</v>
      </c>
      <c r="J2767" s="1">
        <f ca="1">IFERROR(__xludf.DUMMYFUNCTION("""COMPUTED_VALUE"""),5)</f>
        <v>5</v>
      </c>
      <c r="K2767" s="1" t="str">
        <f ca="1">IFERROR(__xludf.DUMMYFUNCTION("""COMPUTED_VALUE"""),"Fully Remote with Options to travel as and when needed")</f>
        <v>Fully Remote with Options to travel as and when needed</v>
      </c>
      <c r="L2767" s="1" t="str">
        <f ca="1">IFERROR(__xludf.DUMMYFUNCTION("""COMPUTED_VALUE"""),"Employer who appreciates learning and enables that environment")</f>
        <v>Employer who appreciates learning and enables that environment</v>
      </c>
      <c r="M2767" s="1" t="str">
        <f ca="1">IFERROR(__xludf.DUMMYFUNCTION("""COMPUTED_VALUE"""),"Instructor or Expert Learning Programs, Trial and error by doing side projects within the company, Self Purchased Course from External Platforms")</f>
        <v>Instructor or Expert Learning Programs, Trial and error by doing side projects within the company, Self Purchased Course from External Platforms</v>
      </c>
      <c r="N2767" s="1" t="str">
        <f ca="1">IFERROR(__xludf.DUMMYFUNCTION("""COMPUTED_VALUE"""),"Design and Creative strategy in any company, Teaching in any of the institutes/colleges/online or offline, Build and develop a Team, Work in a BPO setup for some well known client")</f>
        <v>Design and Creative strategy in any company, Teaching in any of the institutes/colleges/online or offline, Build and develop a Team, Work in a BPO setup for some well known client</v>
      </c>
      <c r="O2767" s="1" t="str">
        <f ca="1">IFERROR(__xludf.DUMMYFUNCTION("""COMPUTED_VALUE"""),"Manager who explains what is expected, sets a goal and helps achieve it")</f>
        <v>Manager who explains what is expected, sets a goal and helps achieve it</v>
      </c>
      <c r="P2767" s="1" t="str">
        <f ca="1">IFERROR(__xludf.DUMMYFUNCTION("""COMPUTED_VALUE"""),"Work alone, Work with 2 to 3 people in my team")</f>
        <v>Work alone, Work with 2 to 3 people in my team</v>
      </c>
      <c r="Q2767" s="1" t="str">
        <f ca="1">IFERROR(__xludf.DUMMYFUNCTION("""COMPUTED_VALUE"""),"Yes, I Understand this is gonna happen everywhere")</f>
        <v>Yes, I Understand this is gonna happen everywhere</v>
      </c>
      <c r="R2767" s="1" t="str">
        <f ca="1">IFERROR(__xludf.DUMMYFUNCTION("""COMPUTED_VALUE"""),"Will work for 7 years or more")</f>
        <v>Will work for 7 years or more</v>
      </c>
      <c r="S2767" s="1" t="str">
        <f ca="1">IFERROR(__xludf.DUMMYFUNCTION("""COMPUTED_VALUE"""),"preeti1808t@gmail.com")</f>
        <v>preeti1808t@gmail.com</v>
      </c>
    </row>
    <row r="2768" spans="1:19" ht="12.5" x14ac:dyDescent="0.25">
      <c r="A2768" s="2">
        <f ca="1">IFERROR(__xludf.DUMMYFUNCTION("""COMPUTED_VALUE"""),45070.4143932638)</f>
        <v>45070.414393263804</v>
      </c>
      <c r="B2768" s="1" t="str">
        <f ca="1">IFERROR(__xludf.DUMMYFUNCTION("""COMPUTED_VALUE"""),"India")</f>
        <v>India</v>
      </c>
      <c r="C2768" s="1">
        <f ca="1">IFERROR(__xludf.DUMMYFUNCTION("""COMPUTED_VALUE"""),560100)</f>
        <v>560100</v>
      </c>
      <c r="D2768" s="1" t="str">
        <f ca="1">IFERROR(__xludf.DUMMYFUNCTION("""COMPUTED_VALUE"""),"Male")</f>
        <v>Male</v>
      </c>
      <c r="E2768" s="1" t="str">
        <f ca="1">IFERROR(__xludf.DUMMYFUNCTION("""COMPUTED_VALUE"""),"Social Media like LinkedIn")</f>
        <v>Social Media like LinkedIn</v>
      </c>
      <c r="F2768" s="1" t="str">
        <f ca="1">IFERROR(__xludf.DUMMYFUNCTION("""COMPUTED_VALUE"""),"Yes, I will earn and do that")</f>
        <v>Yes, I will earn and do that</v>
      </c>
      <c r="G2768" s="1" t="str">
        <f ca="1">IFERROR(__xludf.DUMMYFUNCTION("""COMPUTED_VALUE"""),"Will work for 3 years or more")</f>
        <v>Will work for 3 years or more</v>
      </c>
      <c r="H2768" s="1" t="str">
        <f ca="1">IFERROR(__xludf.DUMMYFUNCTION("""COMPUTED_VALUE"""),"Yes")</f>
        <v>Yes</v>
      </c>
      <c r="I2768" s="1" t="str">
        <f ca="1">IFERROR(__xludf.DUMMYFUNCTION("""COMPUTED_VALUE"""),"Will work for them")</f>
        <v>Will work for them</v>
      </c>
      <c r="J2768" s="1">
        <f ca="1">IFERROR(__xludf.DUMMYFUNCTION("""COMPUTED_VALUE"""),10)</f>
        <v>10</v>
      </c>
      <c r="K2768" s="1" t="str">
        <f ca="1">IFERROR(__xludf.DUMMYFUNCTION("""COMPUTED_VALUE"""),"Every Day Office Environment")</f>
        <v>Every Day Office Environment</v>
      </c>
      <c r="L2768" s="1" t="str">
        <f ca="1">IFERROR(__xludf.DUMMYFUNCTION("""COMPUTED_VALUE"""),"Employer who rewards learning and enables that environment")</f>
        <v>Employer who rewards learning and enables that environment</v>
      </c>
      <c r="M2768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68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2768" s="1" t="str">
        <f ca="1">IFERROR(__xludf.DUMMYFUNCTION("""COMPUTED_VALUE"""),"Manager who clearly describes what she/he needs")</f>
        <v>Manager who clearly describes what she/he needs</v>
      </c>
      <c r="P2768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768" s="1" t="str">
        <f ca="1">IFERROR(__xludf.DUMMYFUNCTION("""COMPUTED_VALUE"""),"Yes")</f>
        <v>Yes</v>
      </c>
      <c r="R2768" s="1" t="str">
        <f ca="1">IFERROR(__xludf.DUMMYFUNCTION("""COMPUTED_VALUE"""),"Will work for 7 years or more")</f>
        <v>Will work for 7 years or more</v>
      </c>
      <c r="S2768" s="1" t="str">
        <f ca="1">IFERROR(__xludf.DUMMYFUNCTION("""COMPUTED_VALUE"""),"santoshmagadum99@gmail.com")</f>
        <v>santoshmagadum99@gmail.com</v>
      </c>
    </row>
    <row r="2769" spans="1:19" ht="12.5" x14ac:dyDescent="0.25">
      <c r="A2769" s="2">
        <f ca="1">IFERROR(__xludf.DUMMYFUNCTION("""COMPUTED_VALUE"""),45071.6634164583)</f>
        <v>45071.663416458301</v>
      </c>
      <c r="B2769" s="1" t="str">
        <f ca="1">IFERROR(__xludf.DUMMYFUNCTION("""COMPUTED_VALUE"""),"India")</f>
        <v>India</v>
      </c>
      <c r="C2769" s="1">
        <f ca="1">IFERROR(__xludf.DUMMYFUNCTION("""COMPUTED_VALUE"""),521456)</f>
        <v>521456</v>
      </c>
      <c r="D2769" s="1" t="str">
        <f ca="1">IFERROR(__xludf.DUMMYFUNCTION("""COMPUTED_VALUE"""),"Female")</f>
        <v>Female</v>
      </c>
      <c r="E2769" s="1" t="str">
        <f ca="1">IFERROR(__xludf.DUMMYFUNCTION("""COMPUTED_VALUE"""),"Social Media like LinkedIn")</f>
        <v>Social Media like LinkedIn</v>
      </c>
      <c r="F2769" s="1" t="str">
        <f ca="1">IFERROR(__xludf.DUMMYFUNCTION("""COMPUTED_VALUE"""),"No, But if someone could bare the cost I will")</f>
        <v>No, But if someone could bare the cost I will</v>
      </c>
      <c r="G2769" s="1" t="str">
        <f ca="1">IFERROR(__xludf.DUMMYFUNCTION("""COMPUTED_VALUE"""),"Will work for 3 years or more")</f>
        <v>Will work for 3 years or more</v>
      </c>
      <c r="H2769" s="1" t="str">
        <f ca="1">IFERROR(__xludf.DUMMYFUNCTION("""COMPUTED_VALUE"""),"No")</f>
        <v>No</v>
      </c>
      <c r="I2769" s="1" t="str">
        <f ca="1">IFERROR(__xludf.DUMMYFUNCTION("""COMPUTED_VALUE"""),"Will NOT work for them")</f>
        <v>Will NOT work for them</v>
      </c>
      <c r="J2769" s="1">
        <f ca="1">IFERROR(__xludf.DUMMYFUNCTION("""COMPUTED_VALUE"""),10)</f>
        <v>10</v>
      </c>
      <c r="K2769" s="1" t="str">
        <f ca="1">IFERROR(__xludf.DUMMYFUNCTION("""COMPUTED_VALUE"""),"Fully Remote with No option to visit offices")</f>
        <v>Fully Remote with No option to visit offices</v>
      </c>
      <c r="L276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69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769" s="1" t="str">
        <f ca="1">IFERROR(__xludf.DUMMYFUNCTION("""COMPUTED_VALUE"""),"Design and Creative strategy in any company, Look deeply into Data and generate insights, Work as a freelancer and do my thing my way, Become a content Creator in some platform")</f>
        <v>Design and Creative strategy in any company, Look deeply into Data and generate insights, Work as a freelancer and do my thing my way, Become a content Creator in some platform</v>
      </c>
      <c r="O2769" s="1" t="str">
        <f ca="1">IFERROR(__xludf.DUMMYFUNCTION("""COMPUTED_VALUE"""),"Manager who explains what is expected, sets a goal and helps achieve it")</f>
        <v>Manager who explains what is expected, sets a goal and helps achieve it</v>
      </c>
      <c r="P2769" s="1" t="str">
        <f ca="1">IFERROR(__xludf.DUMMYFUNCTION("""COMPUTED_VALUE"""),"Work with 5 to 6 people in my team")</f>
        <v>Work with 5 to 6 people in my team</v>
      </c>
      <c r="Q2769" s="1" t="str">
        <f ca="1">IFERROR(__xludf.DUMMYFUNCTION("""COMPUTED_VALUE"""),"No")</f>
        <v>No</v>
      </c>
      <c r="R2769" s="1" t="str">
        <f ca="1">IFERROR(__xludf.DUMMYFUNCTION("""COMPUTED_VALUE"""),"This will be hard to do, but if it is the right company I would try")</f>
        <v>This will be hard to do, but if it is the right company I would try</v>
      </c>
      <c r="S2769" s="1" t="str">
        <f ca="1">IFERROR(__xludf.DUMMYFUNCTION("""COMPUTED_VALUE"""),"nikithawinston@gmail.com")</f>
        <v>nikithawinston@gmail.com</v>
      </c>
    </row>
    <row r="2770" spans="1:19" ht="12.5" x14ac:dyDescent="0.25">
      <c r="A2770" s="2">
        <f ca="1">IFERROR(__xludf.DUMMYFUNCTION("""COMPUTED_VALUE"""),45072.8074798032)</f>
        <v>45072.807479803203</v>
      </c>
      <c r="B2770" s="1" t="str">
        <f ca="1">IFERROR(__xludf.DUMMYFUNCTION("""COMPUTED_VALUE"""),"India")</f>
        <v>India</v>
      </c>
      <c r="C2770" s="1">
        <f ca="1">IFERROR(__xludf.DUMMYFUNCTION("""COMPUTED_VALUE"""),445202)</f>
        <v>445202</v>
      </c>
      <c r="D2770" s="1" t="str">
        <f ca="1">IFERROR(__xludf.DUMMYFUNCTION("""COMPUTED_VALUE"""),"Male")</f>
        <v>Male</v>
      </c>
      <c r="E2770" s="1" t="str">
        <f ca="1">IFERROR(__xludf.DUMMYFUNCTION("""COMPUTED_VALUE"""),"My Parents")</f>
        <v>My Parents</v>
      </c>
      <c r="F2770" s="1" t="str">
        <f ca="1">IFERROR(__xludf.DUMMYFUNCTION("""COMPUTED_VALUE"""),"Yes, I will earn and do that")</f>
        <v>Yes, I will earn and do that</v>
      </c>
      <c r="G2770" s="1" t="str">
        <f ca="1">IFERROR(__xludf.DUMMYFUNCTION("""COMPUTED_VALUE"""),"Will work for 3 years or more")</f>
        <v>Will work for 3 years or more</v>
      </c>
      <c r="H2770" s="1" t="str">
        <f ca="1">IFERROR(__xludf.DUMMYFUNCTION("""COMPUTED_VALUE"""),"No")</f>
        <v>No</v>
      </c>
      <c r="I2770" s="1" t="str">
        <f ca="1">IFERROR(__xludf.DUMMYFUNCTION("""COMPUTED_VALUE"""),"Will NOT work for them")</f>
        <v>Will NOT work for them</v>
      </c>
      <c r="J2770" s="1">
        <f ca="1">IFERROR(__xludf.DUMMYFUNCTION("""COMPUTED_VALUE"""),8)</f>
        <v>8</v>
      </c>
      <c r="K2770" s="1" t="str">
        <f ca="1">IFERROR(__xludf.DUMMYFUNCTION("""COMPUTED_VALUE"""),"Hybrid Working Environment with more than 15 days a month at office")</f>
        <v>Hybrid Working Environment with more than 15 days a month at office</v>
      </c>
      <c r="L277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70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70" s="1" t="str">
        <f ca="1">IFERROR(__xludf.DUMMYFUNCTION("""COMPUTED_VALUE"""),"Business Operations in any organization, Build and develop a Team, Look deeply into Data and generate insights, An Artificial Intelligence Specialist / Talking to Robots")</f>
        <v>Business Operations in any organization, Build and develop a Team, Look deeply into Data and generate insights, An Artificial Intelligence Specialist / Talking to Robots</v>
      </c>
      <c r="O2770" s="1" t="str">
        <f ca="1">IFERROR(__xludf.DUMMYFUNCTION("""COMPUTED_VALUE"""),"Manager who explains what is expected, sets a goal and helps achieve it")</f>
        <v>Manager who explains what is expected, sets a goal and helps achieve it</v>
      </c>
      <c r="P2770" s="1" t="str">
        <f ca="1">IFERROR(__xludf.DUMMYFUNCTION("""COMPUTED_VALUE"""),"Work alone, Work with 2 to 3 people in my team, Work with 5 to 6 people in my team, Work with 7 to 10 or more people in my team, Work with more than 10 people in my team")</f>
        <v>Work alone, Work with 2 to 3 people in my team, Work with 5 to 6 people in my team, Work with 7 to 10 or more people in my team, Work with more than 10 people in my team</v>
      </c>
      <c r="Q2770" s="1" t="str">
        <f ca="1">IFERROR(__xludf.DUMMYFUNCTION("""COMPUTED_VALUE"""),"Yes, I Understand this is gonna happen everywhere")</f>
        <v>Yes, I Understand this is gonna happen everywhere</v>
      </c>
      <c r="R2770" s="1" t="str">
        <f ca="1">IFERROR(__xludf.DUMMYFUNCTION("""COMPUTED_VALUE"""),"Will work for 7 years or more")</f>
        <v>Will work for 7 years or more</v>
      </c>
      <c r="S2770" s="1" t="str">
        <f ca="1">IFERROR(__xludf.DUMMYFUNCTION("""COMPUTED_VALUE"""),"shreyash.sable29@gmail.com")</f>
        <v>shreyash.sable29@gmail.com</v>
      </c>
    </row>
    <row r="2771" spans="1:19" ht="12.5" x14ac:dyDescent="0.25">
      <c r="A2771" s="2">
        <f ca="1">IFERROR(__xludf.DUMMYFUNCTION("""COMPUTED_VALUE"""),45073.4688276041)</f>
        <v>45073.468827604098</v>
      </c>
      <c r="B2771" s="1" t="str">
        <f ca="1">IFERROR(__xludf.DUMMYFUNCTION("""COMPUTED_VALUE"""),"India")</f>
        <v>India</v>
      </c>
      <c r="C2771" s="1">
        <f ca="1">IFERROR(__xludf.DUMMYFUNCTION("""COMPUTED_VALUE"""),122101)</f>
        <v>122101</v>
      </c>
      <c r="D2771" s="1" t="str">
        <f ca="1">IFERROR(__xludf.DUMMYFUNCTION("""COMPUTED_VALUE"""),"Male")</f>
        <v>Male</v>
      </c>
      <c r="E2771" s="1" t="str">
        <f ca="1">IFERROR(__xludf.DUMMYFUNCTION("""COMPUTED_VALUE"""),"Influencers who had successful careers")</f>
        <v>Influencers who had successful careers</v>
      </c>
      <c r="F2771" s="1" t="str">
        <f ca="1">IFERROR(__xludf.DUMMYFUNCTION("""COMPUTED_VALUE"""),"No I would not be pursuing Higher Education outside of India")</f>
        <v>No I would not be pursuing Higher Education outside of India</v>
      </c>
      <c r="G2771" s="1" t="str">
        <f ca="1">IFERROR(__xludf.DUMMYFUNCTION("""COMPUTED_VALUE"""),"Will work for 3 years or more")</f>
        <v>Will work for 3 years or more</v>
      </c>
      <c r="H2771" s="1" t="str">
        <f ca="1">IFERROR(__xludf.DUMMYFUNCTION("""COMPUTED_VALUE"""),"Yes")</f>
        <v>Yes</v>
      </c>
      <c r="I2771" s="1" t="str">
        <f ca="1">IFERROR(__xludf.DUMMYFUNCTION("""COMPUTED_VALUE"""),"Will NOT work for them")</f>
        <v>Will NOT work for them</v>
      </c>
      <c r="J2771" s="1">
        <f ca="1">IFERROR(__xludf.DUMMYFUNCTION("""COMPUTED_VALUE"""),5)</f>
        <v>5</v>
      </c>
      <c r="K2771" s="1" t="str">
        <f ca="1">IFERROR(__xludf.DUMMYFUNCTION("""COMPUTED_VALUE"""),"Hybrid Working Environment with less than 3 days a month at office")</f>
        <v>Hybrid Working Environment with less than 3 days a month at office</v>
      </c>
      <c r="L277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71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71" s="1" t="str">
        <f ca="1">IFERROR(__xludf.DUMMYFUNCTION("""COMPUTED_VALUE"""),"Business Operations in any organization, Manage and drive End-to-End Projects or Products, Look deeply into Data and generate insights, Entrepreneur or Start Up")</f>
        <v>Business Operations in any organization, Manage and drive End-to-End Projects or Products, Look deeply into Data and generate insights, Entrepreneur or Start Up</v>
      </c>
      <c r="O2771" s="1" t="str">
        <f ca="1">IFERROR(__xludf.DUMMYFUNCTION("""COMPUTED_VALUE"""),"Manager who explains what is expected, sets a goal and helps achieve it")</f>
        <v>Manager who explains what is expected, sets a goal and helps achieve it</v>
      </c>
      <c r="P2771" s="1" t="str">
        <f ca="1">IFERROR(__xludf.DUMMYFUNCTION("""COMPUTED_VALUE"""),"Work with 2 to 3 people in my team, Work with 5 to 6 people in my team")</f>
        <v>Work with 2 to 3 people in my team, Work with 5 to 6 people in my team</v>
      </c>
      <c r="Q2771" s="1" t="str">
        <f ca="1">IFERROR(__xludf.DUMMYFUNCTION("""COMPUTED_VALUE"""),"Yes, I Understand this is gonna happen everywhere")</f>
        <v>Yes, I Understand this is gonna happen everywhere</v>
      </c>
      <c r="R2771" s="1" t="str">
        <f ca="1">IFERROR(__xludf.DUMMYFUNCTION("""COMPUTED_VALUE"""),"This will be hard to do, but if it is the right company I would try")</f>
        <v>This will be hard to do, but if it is the right company I would try</v>
      </c>
      <c r="S2771" s="1" t="str">
        <f ca="1">IFERROR(__xludf.DUMMYFUNCTION("""COMPUTED_VALUE"""),"ajaysaini00010@gmail.com")</f>
        <v>ajaysaini00010@gmail.com</v>
      </c>
    </row>
    <row r="2772" spans="1:19" ht="12.5" x14ac:dyDescent="0.25">
      <c r="A2772" s="2">
        <f ca="1">IFERROR(__xludf.DUMMYFUNCTION("""COMPUTED_VALUE"""),45073.811978287)</f>
        <v>45073.811978286998</v>
      </c>
      <c r="B2772" s="1" t="str">
        <f ca="1">IFERROR(__xludf.DUMMYFUNCTION("""COMPUTED_VALUE"""),"India")</f>
        <v>India</v>
      </c>
      <c r="C2772" s="1">
        <f ca="1">IFERROR(__xludf.DUMMYFUNCTION("""COMPUTED_VALUE"""),620023)</f>
        <v>620023</v>
      </c>
      <c r="D2772" s="1" t="str">
        <f ca="1">IFERROR(__xludf.DUMMYFUNCTION("""COMPUTED_VALUE"""),"Female")</f>
        <v>Female</v>
      </c>
      <c r="E2772" s="1" t="str">
        <f ca="1">IFERROR(__xludf.DUMMYFUNCTION("""COMPUTED_VALUE"""),"People from my circle, but not family members")</f>
        <v>People from my circle, but not family members</v>
      </c>
      <c r="F2772" s="1" t="str">
        <f ca="1">IFERROR(__xludf.DUMMYFUNCTION("""COMPUTED_VALUE"""),"No I would not be pursuing Higher Education outside of India")</f>
        <v>No I would not be pursuing Higher Education outside of India</v>
      </c>
      <c r="G2772" s="1" t="str">
        <f ca="1">IFERROR(__xludf.DUMMYFUNCTION("""COMPUTED_VALUE"""),"This will be hard to do, but if it is the right company I would try")</f>
        <v>This will be hard to do, but if it is the right company I would try</v>
      </c>
      <c r="H2772" s="1" t="str">
        <f ca="1">IFERROR(__xludf.DUMMYFUNCTION("""COMPUTED_VALUE"""),"No")</f>
        <v>No</v>
      </c>
      <c r="I2772" s="1" t="str">
        <f ca="1">IFERROR(__xludf.DUMMYFUNCTION("""COMPUTED_VALUE"""),"Will NOT work for them")</f>
        <v>Will NOT work for them</v>
      </c>
      <c r="J2772" s="1">
        <f ca="1">IFERROR(__xludf.DUMMYFUNCTION("""COMPUTED_VALUE"""),3)</f>
        <v>3</v>
      </c>
      <c r="K2772" s="1" t="str">
        <f ca="1">IFERROR(__xludf.DUMMYFUNCTION("""COMPUTED_VALUE"""),"Hybrid Working Environment with more than 15 days a month at office")</f>
        <v>Hybrid Working Environment with more than 15 days a month at office</v>
      </c>
      <c r="L2772" s="1" t="str">
        <f ca="1">IFERROR(__xludf.DUMMYFUNCTION("""COMPUTED_VALUE"""),"Employer who appreciates learning and enables that environment")</f>
        <v>Employer who appreciates learning and enables that environment</v>
      </c>
      <c r="M2772" s="1" t="str">
        <f ca="1">IFERROR(__xludf.DUMMYFUNCTION("""COMPUTED_VALUE"""),"Instructor or Expert Learning Programs, Trial and error by doing side projects within the company, Manager Teaching you")</f>
        <v>Instructor or Expert Learning Programs, Trial and error by doing side projects within the company, Manager Teaching you</v>
      </c>
      <c r="N2772" s="1" t="str">
        <f ca="1">IFERROR(__xludf.DUMMYFUNCTION("""COMPUTED_VALUE"""),"Design and Creative strategy in any company, Business Operations in any organization, Work as a freelancer and do my thing my way, Entrepreneur or Start Up")</f>
        <v>Design and Creative strategy in any company, Business Operations in any organization, Work as a freelancer and do my thing my way, Entrepreneur or Start Up</v>
      </c>
      <c r="O2772" s="1" t="str">
        <f ca="1">IFERROR(__xludf.DUMMYFUNCTION("""COMPUTED_VALUE"""),"Manager who explains what is expected, sets a goal and helps achieve it")</f>
        <v>Manager who explains what is expected, sets a goal and helps achieve it</v>
      </c>
      <c r="P2772" s="1" t="str">
        <f ca="1">IFERROR(__xludf.DUMMYFUNCTION("""COMPUTED_VALUE"""),"Work with 5 to 6 people in my team")</f>
        <v>Work with 5 to 6 people in my team</v>
      </c>
      <c r="Q2772" s="1" t="str">
        <f ca="1">IFERROR(__xludf.DUMMYFUNCTION("""COMPUTED_VALUE"""),"No")</f>
        <v>No</v>
      </c>
      <c r="R2772" s="1" t="str">
        <f ca="1">IFERROR(__xludf.DUMMYFUNCTION("""COMPUTED_VALUE"""),"This will be hard to do, but if it is the right company I would try")</f>
        <v>This will be hard to do, but if it is the right company I would try</v>
      </c>
      <c r="S2772" s="1" t="str">
        <f ca="1">IFERROR(__xludf.DUMMYFUNCTION("""COMPUTED_VALUE"""),"mshivasakthi3103@gmail.com")</f>
        <v>mshivasakthi3103@gmail.com</v>
      </c>
    </row>
    <row r="2773" spans="1:19" ht="12.5" x14ac:dyDescent="0.25">
      <c r="A2773" s="2">
        <f ca="1">IFERROR(__xludf.DUMMYFUNCTION("""COMPUTED_VALUE"""),45074.5602450694)</f>
        <v>45074.560245069399</v>
      </c>
      <c r="B2773" s="1" t="str">
        <f ca="1">IFERROR(__xludf.DUMMYFUNCTION("""COMPUTED_VALUE"""),"India")</f>
        <v>India</v>
      </c>
      <c r="C2773" s="1">
        <f ca="1">IFERROR(__xludf.DUMMYFUNCTION("""COMPUTED_VALUE"""),411015)</f>
        <v>411015</v>
      </c>
      <c r="D2773" s="1" t="str">
        <f ca="1">IFERROR(__xludf.DUMMYFUNCTION("""COMPUTED_VALUE"""),"Female")</f>
        <v>Female</v>
      </c>
      <c r="E2773" s="1" t="str">
        <f ca="1">IFERROR(__xludf.DUMMYFUNCTION("""COMPUTED_VALUE"""),"People from my circle, but not family members")</f>
        <v>People from my circle, but not family members</v>
      </c>
      <c r="F2773" s="1" t="str">
        <f ca="1">IFERROR(__xludf.DUMMYFUNCTION("""COMPUTED_VALUE"""),"Yes, I will earn and do that")</f>
        <v>Yes, I will earn and do that</v>
      </c>
      <c r="G2773" s="1" t="str">
        <f ca="1">IFERROR(__xludf.DUMMYFUNCTION("""COMPUTED_VALUE"""),"This will be hard to do, but if it is the right company I would try")</f>
        <v>This will be hard to do, but if it is the right company I would try</v>
      </c>
      <c r="H2773" s="1" t="str">
        <f ca="1">IFERROR(__xludf.DUMMYFUNCTION("""COMPUTED_VALUE"""),"No")</f>
        <v>No</v>
      </c>
      <c r="I2773" s="1" t="str">
        <f ca="1">IFERROR(__xludf.DUMMYFUNCTION("""COMPUTED_VALUE"""),"Will NOT work for them")</f>
        <v>Will NOT work for them</v>
      </c>
      <c r="J2773" s="1">
        <f ca="1">IFERROR(__xludf.DUMMYFUNCTION("""COMPUTED_VALUE"""),5)</f>
        <v>5</v>
      </c>
      <c r="K2773" s="1" t="str">
        <f ca="1">IFERROR(__xludf.DUMMYFUNCTION("""COMPUTED_VALUE"""),"Hybrid Working Environment with more than 15 days a month at office")</f>
        <v>Hybrid Working Environment with more than 15 days a month at office</v>
      </c>
      <c r="L277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73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73" s="1" t="str">
        <f ca="1">IFERROR(__xludf.DUMMYFUNCTION("""COMPUTED_VALUE"""),"Teaching in any of the institutes/colleges/online or offline, Build and develop a Team, Look deeply into Data and generate insights, Entrepreneur or Start Up")</f>
        <v>Teaching in any of the institutes/colleges/online or offline, Build and develop a Team, Look deeply into Data and generate insights, Entrepreneur or Start Up</v>
      </c>
      <c r="O2773" s="1" t="str">
        <f ca="1">IFERROR(__xludf.DUMMYFUNCTION("""COMPUTED_VALUE"""),"Manager who explains what is expected, sets a goal and helps achieve it")</f>
        <v>Manager who explains what is expected, sets a goal and helps achieve it</v>
      </c>
      <c r="P2773" s="1" t="str">
        <f ca="1">IFERROR(__xludf.DUMMYFUNCTION("""COMPUTED_VALUE"""),"Work with 5 to 6 people in my team, Work with 7 to 10 or more people in my team, Work with more than 10 people in my team")</f>
        <v>Work with 5 to 6 people in my team, Work with 7 to 10 or more people in my team, Work with more than 10 people in my team</v>
      </c>
      <c r="Q2773" s="1" t="str">
        <f ca="1">IFERROR(__xludf.DUMMYFUNCTION("""COMPUTED_VALUE"""),"Yes, I Understand this is gonna happen everywhere")</f>
        <v>Yes, I Understand this is gonna happen everywhere</v>
      </c>
      <c r="R2773" s="1" t="str">
        <f ca="1">IFERROR(__xludf.DUMMYFUNCTION("""COMPUTED_VALUE"""),"No way")</f>
        <v>No way</v>
      </c>
      <c r="S2773" s="1" t="str">
        <f ca="1">IFERROR(__xludf.DUMMYFUNCTION("""COMPUTED_VALUE"""),"priyap28401@gmail.com")</f>
        <v>priyap28401@gmail.com</v>
      </c>
    </row>
    <row r="2774" spans="1:19" ht="12.5" x14ac:dyDescent="0.25">
      <c r="A2774" s="2">
        <f ca="1">IFERROR(__xludf.DUMMYFUNCTION("""COMPUTED_VALUE"""),45074.7674903935)</f>
        <v>45074.767490393497</v>
      </c>
      <c r="B2774" s="1" t="str">
        <f ca="1">IFERROR(__xludf.DUMMYFUNCTION("""COMPUTED_VALUE"""),"India")</f>
        <v>India</v>
      </c>
      <c r="C2774" s="1">
        <f ca="1">IFERROR(__xludf.DUMMYFUNCTION("""COMPUTED_VALUE"""),122017)</f>
        <v>122017</v>
      </c>
      <c r="D2774" s="1" t="str">
        <f ca="1">IFERROR(__xludf.DUMMYFUNCTION("""COMPUTED_VALUE"""),"Male")</f>
        <v>Male</v>
      </c>
      <c r="E2774" s="1" t="str">
        <f ca="1">IFERROR(__xludf.DUMMYFUNCTION("""COMPUTED_VALUE"""),"My Parents")</f>
        <v>My Parents</v>
      </c>
      <c r="F2774" s="1" t="str">
        <f ca="1">IFERROR(__xludf.DUMMYFUNCTION("""COMPUTED_VALUE"""),"Yes, I will earn and do that")</f>
        <v>Yes, I will earn and do that</v>
      </c>
      <c r="G2774" s="1" t="str">
        <f ca="1">IFERROR(__xludf.DUMMYFUNCTION("""COMPUTED_VALUE"""),"This will be hard to do, but if it is the right company I would try")</f>
        <v>This will be hard to do, but if it is the right company I would try</v>
      </c>
      <c r="H2774" s="1" t="str">
        <f ca="1">IFERROR(__xludf.DUMMYFUNCTION("""COMPUTED_VALUE"""),"Yes")</f>
        <v>Yes</v>
      </c>
      <c r="I2774" s="1" t="str">
        <f ca="1">IFERROR(__xludf.DUMMYFUNCTION("""COMPUTED_VALUE"""),"Will work for them")</f>
        <v>Will work for them</v>
      </c>
      <c r="J2774" s="1">
        <f ca="1">IFERROR(__xludf.DUMMYFUNCTION("""COMPUTED_VALUE"""),9)</f>
        <v>9</v>
      </c>
      <c r="K2774" s="1" t="str">
        <f ca="1">IFERROR(__xludf.DUMMYFUNCTION("""COMPUTED_VALUE"""),"Fully Remote with Options to travel as and when needed")</f>
        <v>Fully Remote with Options to travel as and when needed</v>
      </c>
      <c r="L277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74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774" s="1" t="str">
        <f ca="1">IFERROR(__xludf.DUMMYFUNCTION("""COMPUTED_VALUE"""),"Design and Creative strategy in any company, Design and Develop amazing software, Entrepreneur or Start Up, Manufacturing / Oil and Gas/ Construction / Hard Physical Work related")</f>
        <v>Design and Creative strategy in any company, Design and Develop amazing software, Entrepreneur or Start Up, Manufacturing / Oil and Gas/ Construction / Hard Physical Work related</v>
      </c>
      <c r="O2774" s="1" t="str">
        <f ca="1">IFERROR(__xludf.DUMMYFUNCTION("""COMPUTED_VALUE"""),"Manager who sets goal and helps me achieve it")</f>
        <v>Manager who sets goal and helps me achieve it</v>
      </c>
      <c r="P2774" s="1" t="str">
        <f ca="1">IFERROR(__xludf.DUMMYFUNCTION("""COMPUTED_VALUE"""),"Work with 5 to 6 people in my team")</f>
        <v>Work with 5 to 6 people in my team</v>
      </c>
      <c r="Q2774" s="1" t="str">
        <f ca="1">IFERROR(__xludf.DUMMYFUNCTION("""COMPUTED_VALUE"""),"No")</f>
        <v>No</v>
      </c>
      <c r="R2774" s="1" t="str">
        <f ca="1">IFERROR(__xludf.DUMMYFUNCTION("""COMPUTED_VALUE"""),"This will be hard to do, but if it is the right company I would try")</f>
        <v>This will be hard to do, but if it is the right company I would try</v>
      </c>
      <c r="S2774" s="1" t="str">
        <f ca="1">IFERROR(__xludf.DUMMYFUNCTION("""COMPUTED_VALUE"""),"harshkhanduja02@gmail.com")</f>
        <v>harshkhanduja02@gmail.com</v>
      </c>
    </row>
    <row r="2775" spans="1:19" ht="12.5" x14ac:dyDescent="0.25">
      <c r="A2775" s="2">
        <f ca="1">IFERROR(__xludf.DUMMYFUNCTION("""COMPUTED_VALUE"""),45074.9338617592)</f>
        <v>45074.9338617592</v>
      </c>
      <c r="B2775" s="1" t="str">
        <f ca="1">IFERROR(__xludf.DUMMYFUNCTION("""COMPUTED_VALUE"""),"India")</f>
        <v>India</v>
      </c>
      <c r="C2775" s="1">
        <f ca="1">IFERROR(__xludf.DUMMYFUNCTION("""COMPUTED_VALUE"""),411018)</f>
        <v>411018</v>
      </c>
      <c r="D2775" s="1" t="str">
        <f ca="1">IFERROR(__xludf.DUMMYFUNCTION("""COMPUTED_VALUE"""),"Female")</f>
        <v>Female</v>
      </c>
      <c r="E2775" s="1" t="str">
        <f ca="1">IFERROR(__xludf.DUMMYFUNCTION("""COMPUTED_VALUE"""),"People who have changed the world for better")</f>
        <v>People who have changed the world for better</v>
      </c>
      <c r="F2775" s="1" t="str">
        <f ca="1">IFERROR(__xludf.DUMMYFUNCTION("""COMPUTED_VALUE"""),"No I would not be pursuing Higher Education outside of India")</f>
        <v>No I would not be pursuing Higher Education outside of India</v>
      </c>
      <c r="G2775" s="1" t="str">
        <f ca="1">IFERROR(__xludf.DUMMYFUNCTION("""COMPUTED_VALUE"""),"This will be hard to do, but if it is the right company I would try")</f>
        <v>This will be hard to do, but if it is the right company I would try</v>
      </c>
      <c r="H2775" s="1" t="str">
        <f ca="1">IFERROR(__xludf.DUMMYFUNCTION("""COMPUTED_VALUE"""),"No")</f>
        <v>No</v>
      </c>
      <c r="I2775" s="1" t="str">
        <f ca="1">IFERROR(__xludf.DUMMYFUNCTION("""COMPUTED_VALUE"""),"Will NOT work for them")</f>
        <v>Will NOT work for them</v>
      </c>
      <c r="J2775" s="1">
        <f ca="1">IFERROR(__xludf.DUMMYFUNCTION("""COMPUTED_VALUE"""),1)</f>
        <v>1</v>
      </c>
      <c r="K2775" s="1" t="str">
        <f ca="1">IFERROR(__xludf.DUMMYFUNCTION("""COMPUTED_VALUE"""),"Hybrid Working Environment with more than 15 days a month at office")</f>
        <v>Hybrid Working Environment with more than 15 days a month at office</v>
      </c>
      <c r="L2775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75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775" s="1" t="str">
        <f ca="1">IFERROR(__xludf.DUMMYFUNCTION("""COMPUTED_VALUE"""),"Design and Creative strategy in any company, Build and develop a Team, Design and Develop amazing software, Entrepreneur or Start Up")</f>
        <v>Design and Creative strategy in any company, Build and develop a Team, Design and Develop amazing software, Entrepreneur or Start Up</v>
      </c>
      <c r="O2775" s="1" t="str">
        <f ca="1">IFERROR(__xludf.DUMMYFUNCTION("""COMPUTED_VALUE"""),"Manager who explains what is expected, sets a goal and helps achieve it")</f>
        <v>Manager who explains what is expected, sets a goal and helps achieve it</v>
      </c>
      <c r="P2775" s="1" t="str">
        <f ca="1">IFERROR(__xludf.DUMMYFUNCTION("""COMPUTED_VALUE"""),"Work alone")</f>
        <v>Work alone</v>
      </c>
      <c r="Q2775" s="1" t="str">
        <f ca="1">IFERROR(__xludf.DUMMYFUNCTION("""COMPUTED_VALUE"""),"No")</f>
        <v>No</v>
      </c>
      <c r="R2775" s="1" t="str">
        <f ca="1">IFERROR(__xludf.DUMMYFUNCTION("""COMPUTED_VALUE"""),"No way")</f>
        <v>No way</v>
      </c>
      <c r="S2775" s="1" t="str">
        <f ca="1">IFERROR(__xludf.DUMMYFUNCTION("""COMPUTED_VALUE"""),"pcchaugule2002@gmail.com")</f>
        <v>pcchaugule2002@gmail.com</v>
      </c>
    </row>
    <row r="2776" spans="1:19" ht="12.5" x14ac:dyDescent="0.25">
      <c r="A2776" s="2">
        <f ca="1">IFERROR(__xludf.DUMMYFUNCTION("""COMPUTED_VALUE"""),45075.6550450231)</f>
        <v>45075.655045023101</v>
      </c>
      <c r="B2776" s="1" t="str">
        <f ca="1">IFERROR(__xludf.DUMMYFUNCTION("""COMPUTED_VALUE"""),"India")</f>
        <v>India</v>
      </c>
      <c r="C2776" s="1">
        <f ca="1">IFERROR(__xludf.DUMMYFUNCTION("""COMPUTED_VALUE"""),580027)</f>
        <v>580027</v>
      </c>
      <c r="D2776" s="1" t="str">
        <f ca="1">IFERROR(__xludf.DUMMYFUNCTION("""COMPUTED_VALUE"""),"Female")</f>
        <v>Female</v>
      </c>
      <c r="E2776" s="1" t="str">
        <f ca="1">IFERROR(__xludf.DUMMYFUNCTION("""COMPUTED_VALUE"""),"People who have changed the world for better")</f>
        <v>People who have changed the world for better</v>
      </c>
      <c r="F2776" s="1" t="str">
        <f ca="1">IFERROR(__xludf.DUMMYFUNCTION("""COMPUTED_VALUE"""),"Yes, I will earn and do that")</f>
        <v>Yes, I will earn and do that</v>
      </c>
      <c r="G2776" s="1" t="str">
        <f ca="1">IFERROR(__xludf.DUMMYFUNCTION("""COMPUTED_VALUE"""),"Will work for 3 years or more")</f>
        <v>Will work for 3 years or more</v>
      </c>
      <c r="H2776" s="1" t="str">
        <f ca="1">IFERROR(__xludf.DUMMYFUNCTION("""COMPUTED_VALUE"""),"No")</f>
        <v>No</v>
      </c>
      <c r="I2776" s="1" t="str">
        <f ca="1">IFERROR(__xludf.DUMMYFUNCTION("""COMPUTED_VALUE"""),"Will NOT work for them")</f>
        <v>Will NOT work for them</v>
      </c>
      <c r="J2776" s="1">
        <f ca="1">IFERROR(__xludf.DUMMYFUNCTION("""COMPUTED_VALUE"""),5)</f>
        <v>5</v>
      </c>
      <c r="K2776" s="1" t="str">
        <f ca="1">IFERROR(__xludf.DUMMYFUNCTION("""COMPUTED_VALUE"""),"Hybrid Working Environment with less than 3 days a month at office")</f>
        <v>Hybrid Working Environment with less than 3 days a month at office</v>
      </c>
      <c r="L2776" s="1" t="str">
        <f ca="1">IFERROR(__xludf.DUMMYFUNCTION("""COMPUTED_VALUE"""),"Employer who appreciates learning and enables that environment")</f>
        <v>Employer who appreciates learning and enables that environment</v>
      </c>
      <c r="M2776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776" s="1" t="str">
        <f ca="1">IFERROR(__xludf.DUMMYFUNCTION("""COMPUTED_VALUE"""),"Teaching in any of the institutes/colleges/online or offline, Build and develop a Team, Work as a freelancer and do my thing my way, Entrepreneur or Start Up")</f>
        <v>Teaching in any of the institutes/colleges/online or offline, Build and develop a Team, Work as a freelancer and do my thing my way, Entrepreneur or Start Up</v>
      </c>
      <c r="O2776" s="1" t="str">
        <f ca="1">IFERROR(__xludf.DUMMYFUNCTION("""COMPUTED_VALUE"""),"Manager who clearly describes what she/he needs")</f>
        <v>Manager who clearly describes what she/he needs</v>
      </c>
      <c r="P2776" s="1" t="str">
        <f ca="1">IFERROR(__xludf.DUMMYFUNCTION("""COMPUTED_VALUE"""),"Work with 7 to 10 or more people in my team")</f>
        <v>Work with 7 to 10 or more people in my team</v>
      </c>
      <c r="Q2776" s="1" t="str">
        <f ca="1">IFERROR(__xludf.DUMMYFUNCTION("""COMPUTED_VALUE"""),"No")</f>
        <v>No</v>
      </c>
      <c r="R2776" s="1" t="str">
        <f ca="1">IFERROR(__xludf.DUMMYFUNCTION("""COMPUTED_VALUE"""),"This will be hard to do, but if it is the right company I would try")</f>
        <v>This will be hard to do, but if it is the right company I would try</v>
      </c>
      <c r="S2776" s="1" t="str">
        <f ca="1">IFERROR(__xludf.DUMMYFUNCTION("""COMPUTED_VALUE"""),"meghanarayaraddi@gmail.com")</f>
        <v>meghanarayaraddi@gmail.com</v>
      </c>
    </row>
    <row r="2777" spans="1:19" ht="12.5" x14ac:dyDescent="0.25">
      <c r="A2777" s="2">
        <f ca="1">IFERROR(__xludf.DUMMYFUNCTION("""COMPUTED_VALUE"""),45075.6580656018)</f>
        <v>45075.658065601798</v>
      </c>
      <c r="B2777" s="1" t="str">
        <f ca="1">IFERROR(__xludf.DUMMYFUNCTION("""COMPUTED_VALUE"""),"India")</f>
        <v>India</v>
      </c>
      <c r="C2777" s="1">
        <f ca="1">IFERROR(__xludf.DUMMYFUNCTION("""COMPUTED_VALUE"""),560037)</f>
        <v>560037</v>
      </c>
      <c r="D2777" s="1" t="str">
        <f ca="1">IFERROR(__xludf.DUMMYFUNCTION("""COMPUTED_VALUE"""),"Male")</f>
        <v>Male</v>
      </c>
      <c r="E2777" s="1" t="str">
        <f ca="1">IFERROR(__xludf.DUMMYFUNCTION("""COMPUTED_VALUE"""),"People who have changed the world for better")</f>
        <v>People who have changed the world for better</v>
      </c>
      <c r="F2777" s="1" t="str">
        <f ca="1">IFERROR(__xludf.DUMMYFUNCTION("""COMPUTED_VALUE"""),"No I would not be pursuing Higher Education outside of India")</f>
        <v>No I would not be pursuing Higher Education outside of India</v>
      </c>
      <c r="G2777" s="1" t="str">
        <f ca="1">IFERROR(__xludf.DUMMYFUNCTION("""COMPUTED_VALUE"""),"Will work for 3 years or more")</f>
        <v>Will work for 3 years or more</v>
      </c>
      <c r="H2777" s="1" t="str">
        <f ca="1">IFERROR(__xludf.DUMMYFUNCTION("""COMPUTED_VALUE"""),"Yes")</f>
        <v>Yes</v>
      </c>
      <c r="I2777" s="1" t="str">
        <f ca="1">IFERROR(__xludf.DUMMYFUNCTION("""COMPUTED_VALUE"""),"Will work for them")</f>
        <v>Will work for them</v>
      </c>
      <c r="J2777" s="1">
        <f ca="1">IFERROR(__xludf.DUMMYFUNCTION("""COMPUTED_VALUE"""),10)</f>
        <v>10</v>
      </c>
      <c r="K2777" s="1" t="str">
        <f ca="1">IFERROR(__xludf.DUMMYFUNCTION("""COMPUTED_VALUE"""),"Every Day Office Environment")</f>
        <v>Every Day Office Environment</v>
      </c>
      <c r="L277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77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77" s="1" t="str">
        <f ca="1">IFERROR(__xludf.DUMMYFUNCTION("""COMPUTED_VALUE"""),"Design and Creative strategy in any company, Manage and drive End-to-End Projects or Products, Build and develop a Team, Design and Develop amazing software")</f>
        <v>Design and Creative strategy in any company, Manage and drive End-to-End Projects or Products, Build and develop a Team, Design and Develop amazing software</v>
      </c>
      <c r="O2777" s="1" t="str">
        <f ca="1">IFERROR(__xludf.DUMMYFUNCTION("""COMPUTED_VALUE"""),"Manager who explains what is expected, sets a goal and helps achieve it")</f>
        <v>Manager who explains what is expected, sets a goal and helps achieve it</v>
      </c>
      <c r="P2777" s="1" t="str">
        <f ca="1">IFERROR(__xludf.DUMMYFUNCTION("""COMPUTED_VALUE"""),"Work with 2 to 3 people in my team")</f>
        <v>Work with 2 to 3 people in my team</v>
      </c>
      <c r="Q2777" s="1" t="str">
        <f ca="1">IFERROR(__xludf.DUMMYFUNCTION("""COMPUTED_VALUE"""),"Yes, I Understand this is gonna happen everywhere")</f>
        <v>Yes, I Understand this is gonna happen everywhere</v>
      </c>
      <c r="R2777" s="1" t="str">
        <f ca="1">IFERROR(__xludf.DUMMYFUNCTION("""COMPUTED_VALUE"""),"This will be hard to do, but if it is the right company I would try")</f>
        <v>This will be hard to do, but if it is the right company I would try</v>
      </c>
      <c r="S2777" s="1" t="str">
        <f ca="1">IFERROR(__xludf.DUMMYFUNCTION("""COMPUTED_VALUE"""),"sirus.j101@gmail.com")</f>
        <v>sirus.j101@gmail.com</v>
      </c>
    </row>
    <row r="2778" spans="1:19" ht="12.5" x14ac:dyDescent="0.25">
      <c r="A2778" s="2">
        <f ca="1">IFERROR(__xludf.DUMMYFUNCTION("""COMPUTED_VALUE"""),45076.3337269328)</f>
        <v>45076.333726932797</v>
      </c>
      <c r="B2778" s="1" t="str">
        <f ca="1">IFERROR(__xludf.DUMMYFUNCTION("""COMPUTED_VALUE"""),"India")</f>
        <v>India</v>
      </c>
      <c r="C2778" s="1">
        <f ca="1">IFERROR(__xludf.DUMMYFUNCTION("""COMPUTED_VALUE"""),700102)</f>
        <v>700102</v>
      </c>
      <c r="D2778" s="1" t="str">
        <f ca="1">IFERROR(__xludf.DUMMYFUNCTION("""COMPUTED_VALUE"""),"Male")</f>
        <v>Male</v>
      </c>
      <c r="E2778" s="1" t="str">
        <f ca="1">IFERROR(__xludf.DUMMYFUNCTION("""COMPUTED_VALUE"""),"Influencers who had successful careers")</f>
        <v>Influencers who had successful careers</v>
      </c>
      <c r="F2778" s="1" t="str">
        <f ca="1">IFERROR(__xludf.DUMMYFUNCTION("""COMPUTED_VALUE"""),"No, But if someone could bare the cost I will")</f>
        <v>No, But if someone could bare the cost I will</v>
      </c>
      <c r="G2778" s="1" t="str">
        <f ca="1">IFERROR(__xludf.DUMMYFUNCTION("""COMPUTED_VALUE"""),"This will be hard to do, but if it is the right company I would try")</f>
        <v>This will be hard to do, but if it is the right company I would try</v>
      </c>
      <c r="H2778" s="1" t="str">
        <f ca="1">IFERROR(__xludf.DUMMYFUNCTION("""COMPUTED_VALUE"""),"Yes")</f>
        <v>Yes</v>
      </c>
      <c r="I2778" s="1" t="str">
        <f ca="1">IFERROR(__xludf.DUMMYFUNCTION("""COMPUTED_VALUE"""),"Will NOT work for them")</f>
        <v>Will NOT work for them</v>
      </c>
      <c r="J2778" s="1">
        <f ca="1">IFERROR(__xludf.DUMMYFUNCTION("""COMPUTED_VALUE"""),7)</f>
        <v>7</v>
      </c>
      <c r="K2778" s="1" t="str">
        <f ca="1">IFERROR(__xludf.DUMMYFUNCTION("""COMPUTED_VALUE"""),"Hybrid Working Environment with more than 15 days a month at office")</f>
        <v>Hybrid Working Environment with more than 15 days a month at office</v>
      </c>
      <c r="L277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78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778" s="1" t="str">
        <f ca="1">IFERROR(__xludf.DUMMYFUNCTION("""COMPUTED_VALUE"""),"Business Operations in any organization, Manage and drive End-to-End Projects or Products, Build and develop a Team, An Artificial Intelligence Specialist / Talking to Robots")</f>
        <v>Business Operations in any organization, Manage and drive End-to-End Projects or Products, Build and develop a Team, An Artificial Intelligence Specialist / Talking to Robots</v>
      </c>
      <c r="O2778" s="1" t="str">
        <f ca="1">IFERROR(__xludf.DUMMYFUNCTION("""COMPUTED_VALUE"""),"Manager who explains what is expected, sets a goal and helps achieve it")</f>
        <v>Manager who explains what is expected, sets a goal and helps achieve it</v>
      </c>
      <c r="P2778" s="1" t="str">
        <f ca="1">IFERROR(__xludf.DUMMYFUNCTION("""COMPUTED_VALUE"""),"Work with 7 to 10 or more people in my team")</f>
        <v>Work with 7 to 10 or more people in my team</v>
      </c>
      <c r="Q2778" s="1" t="str">
        <f ca="1">IFERROR(__xludf.DUMMYFUNCTION("""COMPUTED_VALUE"""),"Yes, I Understand this is gonna happen everywhere")</f>
        <v>Yes, I Understand this is gonna happen everywhere</v>
      </c>
      <c r="R2778" s="1" t="str">
        <f ca="1">IFERROR(__xludf.DUMMYFUNCTION("""COMPUTED_VALUE"""),"No way")</f>
        <v>No way</v>
      </c>
      <c r="S2778" s="1" t="str">
        <f ca="1">IFERROR(__xludf.DUMMYFUNCTION("""COMPUTED_VALUE"""),"souravbhendra@gmail.com")</f>
        <v>souravbhendra@gmail.com</v>
      </c>
    </row>
    <row r="2779" spans="1:19" ht="12.5" x14ac:dyDescent="0.25">
      <c r="A2779" s="2">
        <f ca="1">IFERROR(__xludf.DUMMYFUNCTION("""COMPUTED_VALUE"""),45077.5074245138)</f>
        <v>45077.507424513802</v>
      </c>
      <c r="B2779" s="1" t="str">
        <f ca="1">IFERROR(__xludf.DUMMYFUNCTION("""COMPUTED_VALUE"""),"India")</f>
        <v>India</v>
      </c>
      <c r="C2779" s="1">
        <f ca="1">IFERROR(__xludf.DUMMYFUNCTION("""COMPUTED_VALUE"""),464001)</f>
        <v>464001</v>
      </c>
      <c r="D2779" s="1" t="str">
        <f ca="1">IFERROR(__xludf.DUMMYFUNCTION("""COMPUTED_VALUE"""),"Male")</f>
        <v>Male</v>
      </c>
      <c r="E2779" s="1" t="str">
        <f ca="1">IFERROR(__xludf.DUMMYFUNCTION("""COMPUTED_VALUE"""),"People who have changed the world for better")</f>
        <v>People who have changed the world for better</v>
      </c>
      <c r="F2779" s="1" t="str">
        <f ca="1">IFERROR(__xludf.DUMMYFUNCTION("""COMPUTED_VALUE"""),"Yes, I will earn and do that")</f>
        <v>Yes, I will earn and do that</v>
      </c>
      <c r="G2779" s="1" t="str">
        <f ca="1">IFERROR(__xludf.DUMMYFUNCTION("""COMPUTED_VALUE"""),"Will work for 3 years or more")</f>
        <v>Will work for 3 years or more</v>
      </c>
      <c r="H2779" s="1" t="str">
        <f ca="1">IFERROR(__xludf.DUMMYFUNCTION("""COMPUTED_VALUE"""),"No")</f>
        <v>No</v>
      </c>
      <c r="I2779" s="1" t="str">
        <f ca="1">IFERROR(__xludf.DUMMYFUNCTION("""COMPUTED_VALUE"""),"Will NOT work for them")</f>
        <v>Will NOT work for them</v>
      </c>
      <c r="J2779" s="1">
        <f ca="1">IFERROR(__xludf.DUMMYFUNCTION("""COMPUTED_VALUE"""),1)</f>
        <v>1</v>
      </c>
      <c r="K2779" s="1" t="str">
        <f ca="1">IFERROR(__xludf.DUMMYFUNCTION("""COMPUTED_VALUE"""),"Every Day Office Environment")</f>
        <v>Every Day Office Environment</v>
      </c>
      <c r="L277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79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779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2779" s="1" t="str">
        <f ca="1">IFERROR(__xludf.DUMMYFUNCTION("""COMPUTED_VALUE"""),"Manager who sets goal and helps me achieve it")</f>
        <v>Manager who sets goal and helps me achieve it</v>
      </c>
      <c r="P2779" s="1" t="str">
        <f ca="1">IFERROR(__xludf.DUMMYFUNCTION("""COMPUTED_VALUE"""),"Work with more than 10 people in my team")</f>
        <v>Work with more than 10 people in my team</v>
      </c>
      <c r="Q2779" s="1" t="str">
        <f ca="1">IFERROR(__xludf.DUMMYFUNCTION("""COMPUTED_VALUE"""),"Yes, I Understand this is gonna happen everywhere")</f>
        <v>Yes, I Understand this is gonna happen everywhere</v>
      </c>
      <c r="R2779" s="1" t="str">
        <f ca="1">IFERROR(__xludf.DUMMYFUNCTION("""COMPUTED_VALUE"""),"Will work for 7 years or more")</f>
        <v>Will work for 7 years or more</v>
      </c>
      <c r="S2779" s="1" t="str">
        <f ca="1">IFERROR(__xludf.DUMMYFUNCTION("""COMPUTED_VALUE"""),"harsh.raghuwanshi7b@gmail.com")</f>
        <v>harsh.raghuwanshi7b@gmail.com</v>
      </c>
    </row>
    <row r="2780" spans="1:19" ht="12.5" x14ac:dyDescent="0.25">
      <c r="A2780" s="2">
        <f ca="1">IFERROR(__xludf.DUMMYFUNCTION("""COMPUTED_VALUE"""),45077.9247152893)</f>
        <v>45077.9247152893</v>
      </c>
      <c r="B2780" s="1" t="str">
        <f ca="1">IFERROR(__xludf.DUMMYFUNCTION("""COMPUTED_VALUE"""),"India")</f>
        <v>India</v>
      </c>
      <c r="C2780" s="1">
        <f ca="1">IFERROR(__xludf.DUMMYFUNCTION("""COMPUTED_VALUE"""),605008)</f>
        <v>605008</v>
      </c>
      <c r="D2780" s="1" t="str">
        <f ca="1">IFERROR(__xludf.DUMMYFUNCTION("""COMPUTED_VALUE"""),"Male")</f>
        <v>Male</v>
      </c>
      <c r="E2780" s="1" t="str">
        <f ca="1">IFERROR(__xludf.DUMMYFUNCTION("""COMPUTED_VALUE"""),"My Parents")</f>
        <v>My Parents</v>
      </c>
      <c r="F2780" s="1" t="str">
        <f ca="1">IFERROR(__xludf.DUMMYFUNCTION("""COMPUTED_VALUE"""),"Yes, I will earn and do that")</f>
        <v>Yes, I will earn and do that</v>
      </c>
      <c r="G2780" s="1" t="str">
        <f ca="1">IFERROR(__xludf.DUMMYFUNCTION("""COMPUTED_VALUE"""),"Will work for 3 years or more")</f>
        <v>Will work for 3 years or more</v>
      </c>
      <c r="H2780" s="1" t="str">
        <f ca="1">IFERROR(__xludf.DUMMYFUNCTION("""COMPUTED_VALUE"""),"No")</f>
        <v>No</v>
      </c>
      <c r="I2780" s="1" t="str">
        <f ca="1">IFERROR(__xludf.DUMMYFUNCTION("""COMPUTED_VALUE"""),"Will NOT work for them")</f>
        <v>Will NOT work for them</v>
      </c>
      <c r="J2780" s="1">
        <f ca="1">IFERROR(__xludf.DUMMYFUNCTION("""COMPUTED_VALUE"""),5)</f>
        <v>5</v>
      </c>
      <c r="K2780" s="1" t="str">
        <f ca="1">IFERROR(__xludf.DUMMYFUNCTION("""COMPUTED_VALUE"""),"Fully Remote with Options to travel as and when needed")</f>
        <v>Fully Remote with Options to travel as and when needed</v>
      </c>
      <c r="L278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80" s="1" t="str">
        <f ca="1">IFERROR(__xludf.DUMMYFUNCTION("""COMPUTED_VALUE"""),"Learning by observing others, Trial and error by doing side projects within the company, Manager Teaching you")</f>
        <v>Learning by observing others, Trial and error by doing side projects within the company, Manager Teaching you</v>
      </c>
      <c r="N2780" s="1" t="str">
        <f ca="1">IFERROR(__xludf.DUMMYFUNCTION("""COMPUTED_VALUE"""),"Design and Creative strategy in any company, Build and develop a Team, Work as a freelancer and do my thing my way, Entrepreneur or Start Up")</f>
        <v>Design and Creative strategy in any company, Build and develop a Team, Work as a freelancer and do my thing my way, Entrepreneur or Start Up</v>
      </c>
      <c r="O2780" s="1" t="str">
        <f ca="1">IFERROR(__xludf.DUMMYFUNCTION("""COMPUTED_VALUE"""),"Manager who clearly describes what she/he needs")</f>
        <v>Manager who clearly describes what she/he needs</v>
      </c>
      <c r="P2780" s="1" t="str">
        <f ca="1">IFERROR(__xludf.DUMMYFUNCTION("""COMPUTED_VALUE"""),"Work with more than 10 people in my team")</f>
        <v>Work with more than 10 people in my team</v>
      </c>
      <c r="Q2780" s="1" t="str">
        <f ca="1">IFERROR(__xludf.DUMMYFUNCTION("""COMPUTED_VALUE"""),"Yes, I Understand this is gonna happen everywhere")</f>
        <v>Yes, I Understand this is gonna happen everywhere</v>
      </c>
      <c r="R2780" s="1" t="str">
        <f ca="1">IFERROR(__xludf.DUMMYFUNCTION("""COMPUTED_VALUE"""),"This will be hard to do, but if it is the right company I would try")</f>
        <v>This will be hard to do, but if it is the right company I would try</v>
      </c>
      <c r="S2780" s="1" t="str">
        <f ca="1">IFERROR(__xludf.DUMMYFUNCTION("""COMPUTED_VALUE"""),"kamal29112003@gmail.com")</f>
        <v>kamal29112003@gmail.com</v>
      </c>
    </row>
    <row r="2781" spans="1:19" ht="12.5" x14ac:dyDescent="0.25">
      <c r="A2781" s="2">
        <f ca="1">IFERROR(__xludf.DUMMYFUNCTION("""COMPUTED_VALUE"""),45079.8503284027)</f>
        <v>45079.850328402703</v>
      </c>
      <c r="B2781" s="1" t="str">
        <f ca="1">IFERROR(__xludf.DUMMYFUNCTION("""COMPUTED_VALUE"""),"India")</f>
        <v>India</v>
      </c>
      <c r="C2781" s="1">
        <f ca="1">IFERROR(__xludf.DUMMYFUNCTION("""COMPUTED_VALUE"""),464228)</f>
        <v>464228</v>
      </c>
      <c r="D2781" s="1" t="str">
        <f ca="1">IFERROR(__xludf.DUMMYFUNCTION("""COMPUTED_VALUE"""),"Female")</f>
        <v>Female</v>
      </c>
      <c r="E2781" s="1" t="str">
        <f ca="1">IFERROR(__xludf.DUMMYFUNCTION("""COMPUTED_VALUE"""),"My Parents")</f>
        <v>My Parents</v>
      </c>
      <c r="F2781" s="1" t="str">
        <f ca="1">IFERROR(__xludf.DUMMYFUNCTION("""COMPUTED_VALUE"""),"No I would not be pursuing Higher Education outside of India")</f>
        <v>No I would not be pursuing Higher Education outside of India</v>
      </c>
      <c r="G2781" s="1" t="str">
        <f ca="1">IFERROR(__xludf.DUMMYFUNCTION("""COMPUTED_VALUE"""),"Will work for 3 years or more")</f>
        <v>Will work for 3 years or more</v>
      </c>
      <c r="H2781" s="1" t="str">
        <f ca="1">IFERROR(__xludf.DUMMYFUNCTION("""COMPUTED_VALUE"""),"Yes")</f>
        <v>Yes</v>
      </c>
      <c r="I2781" s="1" t="str">
        <f ca="1">IFERROR(__xludf.DUMMYFUNCTION("""COMPUTED_VALUE"""),"Will NOT work for them")</f>
        <v>Will NOT work for them</v>
      </c>
      <c r="J2781" s="1">
        <f ca="1">IFERROR(__xludf.DUMMYFUNCTION("""COMPUTED_VALUE"""),3)</f>
        <v>3</v>
      </c>
      <c r="K2781" s="1" t="str">
        <f ca="1">IFERROR(__xludf.DUMMYFUNCTION("""COMPUTED_VALUE"""),"Every Day Office Environment")</f>
        <v>Every Day Office Environment</v>
      </c>
      <c r="L2781" s="1" t="str">
        <f ca="1">IFERROR(__xludf.DUMMYFUNCTION("""COMPUTED_VALUE"""),"Employer who appreciates learning and enables that environment")</f>
        <v>Employer who appreciates learning and enables that environment</v>
      </c>
      <c r="M2781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81" s="1" t="str">
        <f ca="1">IFERROR(__xludf.DUMMYFUNCTION("""COMPUTED_VALUE"""),"Design and Creative strategy in any company, Business Operations in any organization, Design and Develop amazing software, An Artificial Intelligence Specialist / Talking to Robots")</f>
        <v>Design and Creative strategy in any company, Business Operations in any organization, Design and Develop amazing software, An Artificial Intelligence Specialist / Talking to Robots</v>
      </c>
      <c r="O2781" s="1" t="str">
        <f ca="1">IFERROR(__xludf.DUMMYFUNCTION("""COMPUTED_VALUE"""),"Manager who sets targets and expects me to achieve it")</f>
        <v>Manager who sets targets and expects me to achieve it</v>
      </c>
      <c r="P2781" s="1" t="str">
        <f ca="1">IFERROR(__xludf.DUMMYFUNCTION("""COMPUTED_VALUE"""),"Work with 5 to 6 people in my team")</f>
        <v>Work with 5 to 6 people in my team</v>
      </c>
      <c r="Q2781" s="1" t="str">
        <f ca="1">IFERROR(__xludf.DUMMYFUNCTION("""COMPUTED_VALUE"""),"No")</f>
        <v>No</v>
      </c>
      <c r="R2781" s="1" t="str">
        <f ca="1">IFERROR(__xludf.DUMMYFUNCTION("""COMPUTED_VALUE"""),"This will be hard to do, but if it is the right company I would try")</f>
        <v>This will be hard to do, but if it is the right company I would try</v>
      </c>
      <c r="S2781" s="1" t="str">
        <f ca="1">IFERROR(__xludf.DUMMYFUNCTION("""COMPUTED_VALUE"""),"raghuwanshishivani088@gmail.com")</f>
        <v>raghuwanshishivani088@gmail.com</v>
      </c>
    </row>
    <row r="2782" spans="1:19" ht="12.5" x14ac:dyDescent="0.25">
      <c r="A2782" s="2">
        <f ca="1">IFERROR(__xludf.DUMMYFUNCTION("""COMPUTED_VALUE"""),45080.4618997685)</f>
        <v>45080.461899768503</v>
      </c>
      <c r="B2782" s="1" t="str">
        <f ca="1">IFERROR(__xludf.DUMMYFUNCTION("""COMPUTED_VALUE"""),"India")</f>
        <v>India</v>
      </c>
      <c r="C2782" s="1">
        <f ca="1">IFERROR(__xludf.DUMMYFUNCTION("""COMPUTED_VALUE"""),500084)</f>
        <v>500084</v>
      </c>
      <c r="D2782" s="1" t="str">
        <f ca="1">IFERROR(__xludf.DUMMYFUNCTION("""COMPUTED_VALUE"""),"Male")</f>
        <v>Male</v>
      </c>
      <c r="E2782" s="1" t="str">
        <f ca="1">IFERROR(__xludf.DUMMYFUNCTION("""COMPUTED_VALUE"""),"My Parents")</f>
        <v>My Parents</v>
      </c>
      <c r="F2782" s="1" t="str">
        <f ca="1">IFERROR(__xludf.DUMMYFUNCTION("""COMPUTED_VALUE"""),"Yes, I will earn and do that")</f>
        <v>Yes, I will earn and do that</v>
      </c>
      <c r="G2782" s="1" t="str">
        <f ca="1">IFERROR(__xludf.DUMMYFUNCTION("""COMPUTED_VALUE"""),"Will work for 3 years or more")</f>
        <v>Will work for 3 years or more</v>
      </c>
      <c r="H2782" s="1" t="str">
        <f ca="1">IFERROR(__xludf.DUMMYFUNCTION("""COMPUTED_VALUE"""),"No")</f>
        <v>No</v>
      </c>
      <c r="I2782" s="1" t="str">
        <f ca="1">IFERROR(__xludf.DUMMYFUNCTION("""COMPUTED_VALUE"""),"Will NOT work for them")</f>
        <v>Will NOT work for them</v>
      </c>
      <c r="J2782" s="1">
        <f ca="1">IFERROR(__xludf.DUMMYFUNCTION("""COMPUTED_VALUE"""),5)</f>
        <v>5</v>
      </c>
      <c r="K2782" s="1" t="str">
        <f ca="1">IFERROR(__xludf.DUMMYFUNCTION("""COMPUTED_VALUE"""),"Every Day Office Environment")</f>
        <v>Every Day Office Environment</v>
      </c>
      <c r="L2782" s="1" t="str">
        <f ca="1">IFERROR(__xludf.DUMMYFUNCTION("""COMPUTED_VALUE"""),"Employer who appreciates learning and enables that environment")</f>
        <v>Employer who appreciates learning and enables that environment</v>
      </c>
      <c r="M2782" s="1" t="str">
        <f ca="1">IFERROR(__xludf.DUMMYFUNCTION("""COMPUTED_VALUE"""),"Learning by observing others, Trial and error by doing side projects within the company, Self Purchased Course from External Platforms")</f>
        <v>Learning by observing others, Trial and error by doing side projects within the company, Self Purchased Course from External Platforms</v>
      </c>
      <c r="N2782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2782" s="1" t="str">
        <f ca="1">IFERROR(__xludf.DUMMYFUNCTION("""COMPUTED_VALUE"""),"Manager who clearly describes what she/he needs")</f>
        <v>Manager who clearly describes what she/he needs</v>
      </c>
      <c r="P2782" s="1" t="str">
        <f ca="1">IFERROR(__xludf.DUMMYFUNCTION("""COMPUTED_VALUE"""),"Work with more than 10 people in my team")</f>
        <v>Work with more than 10 people in my team</v>
      </c>
      <c r="Q2782" s="1" t="str">
        <f ca="1">IFERROR(__xludf.DUMMYFUNCTION("""COMPUTED_VALUE"""),"Yes, I Understand this is gonna happen everywhere")</f>
        <v>Yes, I Understand this is gonna happen everywhere</v>
      </c>
      <c r="R2782" s="1" t="str">
        <f ca="1">IFERROR(__xludf.DUMMYFUNCTION("""COMPUTED_VALUE"""),"No way")</f>
        <v>No way</v>
      </c>
      <c r="S2782" s="1" t="str">
        <f ca="1">IFERROR(__xludf.DUMMYFUNCTION("""COMPUTED_VALUE"""),"mohan99498878@gmail.com")</f>
        <v>mohan99498878@gmail.com</v>
      </c>
    </row>
    <row r="2783" spans="1:19" ht="12.5" x14ac:dyDescent="0.25">
      <c r="A2783" s="2">
        <f ca="1">IFERROR(__xludf.DUMMYFUNCTION("""COMPUTED_VALUE"""),45081.7896017824)</f>
        <v>45081.789601782402</v>
      </c>
      <c r="B2783" s="1" t="str">
        <f ca="1">IFERROR(__xludf.DUMMYFUNCTION("""COMPUTED_VALUE"""),"India")</f>
        <v>India</v>
      </c>
      <c r="C2783" s="1">
        <f ca="1">IFERROR(__xludf.DUMMYFUNCTION("""COMPUTED_VALUE"""),411027)</f>
        <v>411027</v>
      </c>
      <c r="D2783" s="1" t="str">
        <f ca="1">IFERROR(__xludf.DUMMYFUNCTION("""COMPUTED_VALUE"""),"Male")</f>
        <v>Male</v>
      </c>
      <c r="E2783" s="1" t="str">
        <f ca="1">IFERROR(__xludf.DUMMYFUNCTION("""COMPUTED_VALUE"""),"My Parents")</f>
        <v>My Parents</v>
      </c>
      <c r="F2783" s="1" t="str">
        <f ca="1">IFERROR(__xludf.DUMMYFUNCTION("""COMPUTED_VALUE"""),"No I would not be pursuing Higher Education outside of India")</f>
        <v>No I would not be pursuing Higher Education outside of India</v>
      </c>
      <c r="G2783" s="1" t="str">
        <f ca="1">IFERROR(__xludf.DUMMYFUNCTION("""COMPUTED_VALUE"""),"This will be hard to do, but if it is the right company I would try")</f>
        <v>This will be hard to do, but if it is the right company I would try</v>
      </c>
      <c r="H2783" s="1" t="str">
        <f ca="1">IFERROR(__xludf.DUMMYFUNCTION("""COMPUTED_VALUE"""),"No")</f>
        <v>No</v>
      </c>
      <c r="I2783" s="1" t="str">
        <f ca="1">IFERROR(__xludf.DUMMYFUNCTION("""COMPUTED_VALUE"""),"Will NOT work for them")</f>
        <v>Will NOT work for them</v>
      </c>
      <c r="J2783" s="1">
        <f ca="1">IFERROR(__xludf.DUMMYFUNCTION("""COMPUTED_VALUE"""),2)</f>
        <v>2</v>
      </c>
      <c r="K2783" s="1" t="str">
        <f ca="1">IFERROR(__xludf.DUMMYFUNCTION("""COMPUTED_VALUE"""),"Hybrid Working Environment with more than 15 days a month at office")</f>
        <v>Hybrid Working Environment with more than 15 days a month at office</v>
      </c>
      <c r="L278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83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83" s="1" t="str">
        <f ca="1">IFERROR(__xludf.DUMMYFUNCTION("""COMPUTED_VALUE"""),"Design and Creative strategy in any company, Manage and drive End-to-End Projects or Products, Look deeply into Data and generate insights, Entrepreneur or Start Up")</f>
        <v>Design and Creative strategy in any company, Manage and drive End-to-End Projects or Products, Look deeply into Data and generate insights, Entrepreneur or Start Up</v>
      </c>
      <c r="O2783" s="1" t="str">
        <f ca="1">IFERROR(__xludf.DUMMYFUNCTION("""COMPUTED_VALUE"""),"Manager who explains what is expected, sets a goal and helps achieve it")</f>
        <v>Manager who explains what is expected, sets a goal and helps achieve it</v>
      </c>
      <c r="P2783" s="1" t="str">
        <f ca="1">IFERROR(__xludf.DUMMYFUNCTION("""COMPUTED_VALUE"""),"Work with 2 to 3 people in my team")</f>
        <v>Work with 2 to 3 people in my team</v>
      </c>
      <c r="Q2783" s="1" t="str">
        <f ca="1">IFERROR(__xludf.DUMMYFUNCTION("""COMPUTED_VALUE"""),"No")</f>
        <v>No</v>
      </c>
      <c r="R2783" s="1" t="str">
        <f ca="1">IFERROR(__xludf.DUMMYFUNCTION("""COMPUTED_VALUE"""),"No way")</f>
        <v>No way</v>
      </c>
      <c r="S2783" s="1" t="str">
        <f ca="1">IFERROR(__xludf.DUMMYFUNCTION("""COMPUTED_VALUE"""),"surajbhat96@gmail.com")</f>
        <v>surajbhat96@gmail.com</v>
      </c>
    </row>
    <row r="2784" spans="1:19" ht="12.5" x14ac:dyDescent="0.25">
      <c r="A2784" s="2">
        <f ca="1">IFERROR(__xludf.DUMMYFUNCTION("""COMPUTED_VALUE"""),45082.62654478)</f>
        <v>45082.626544780098</v>
      </c>
      <c r="B2784" s="1" t="str">
        <f ca="1">IFERROR(__xludf.DUMMYFUNCTION("""COMPUTED_VALUE"""),"India")</f>
        <v>India</v>
      </c>
      <c r="C2784" s="1">
        <f ca="1">IFERROR(__xludf.DUMMYFUNCTION("""COMPUTED_VALUE"""),442001)</f>
        <v>442001</v>
      </c>
      <c r="D2784" s="1" t="str">
        <f ca="1">IFERROR(__xludf.DUMMYFUNCTION("""COMPUTED_VALUE"""),"Female")</f>
        <v>Female</v>
      </c>
      <c r="E2784" s="1" t="str">
        <f ca="1">IFERROR(__xludf.DUMMYFUNCTION("""COMPUTED_VALUE"""),"Social Media like LinkedIn")</f>
        <v>Social Media like LinkedIn</v>
      </c>
      <c r="F2784" s="1" t="str">
        <f ca="1">IFERROR(__xludf.DUMMYFUNCTION("""COMPUTED_VALUE"""),"Yes, I will earn and do that")</f>
        <v>Yes, I will earn and do that</v>
      </c>
      <c r="G2784" s="1" t="str">
        <f ca="1">IFERROR(__xludf.DUMMYFUNCTION("""COMPUTED_VALUE"""),"Will work for 3 years or more")</f>
        <v>Will work for 3 years or more</v>
      </c>
      <c r="H2784" s="1" t="str">
        <f ca="1">IFERROR(__xludf.DUMMYFUNCTION("""COMPUTED_VALUE"""),"Yes")</f>
        <v>Yes</v>
      </c>
      <c r="I2784" s="1" t="str">
        <f ca="1">IFERROR(__xludf.DUMMYFUNCTION("""COMPUTED_VALUE"""),"Will work for them")</f>
        <v>Will work for them</v>
      </c>
      <c r="J2784" s="1">
        <f ca="1">IFERROR(__xludf.DUMMYFUNCTION("""COMPUTED_VALUE"""),8)</f>
        <v>8</v>
      </c>
      <c r="K2784" s="1" t="str">
        <f ca="1">IFERROR(__xludf.DUMMYFUNCTION("""COMPUTED_VALUE"""),"Hybrid Working Environment with more than 15 days a month at office")</f>
        <v>Hybrid Working Environment with more than 15 days a month at office</v>
      </c>
      <c r="L278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84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84" s="1" t="str">
        <f ca="1">IFERROR(__xludf.DUMMYFUNCTION("""COMPUTED_VALUE"""),"Business Operations in any organization, Manage and drive End-to-End Projects or Products, Look deeply into Data and generate insights, An Artificial Intelligence Specialist / Talking to Robots")</f>
        <v>Business Operations in any organization, Manage and drive End-to-End Projects or Products, Look deeply into Data and generate insights, An Artificial Intelligence Specialist / Talking to Robots</v>
      </c>
      <c r="O2784" s="1" t="str">
        <f ca="1">IFERROR(__xludf.DUMMYFUNCTION("""COMPUTED_VALUE"""),"Manager who sets targets and expects me to achieve it")</f>
        <v>Manager who sets targets and expects me to achieve it</v>
      </c>
      <c r="P2784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784" s="1" t="str">
        <f ca="1">IFERROR(__xludf.DUMMYFUNCTION("""COMPUTED_VALUE"""),"Yes, I Understand this is gonna happen everywhere")</f>
        <v>Yes, I Understand this is gonna happen everywhere</v>
      </c>
      <c r="R2784" s="1" t="str">
        <f ca="1">IFERROR(__xludf.DUMMYFUNCTION("""COMPUTED_VALUE"""),"Will work for 7 years or more")</f>
        <v>Will work for 7 years or more</v>
      </c>
      <c r="S2784" s="1" t="str">
        <f ca="1">IFERROR(__xludf.DUMMYFUNCTION("""COMPUTED_VALUE"""),"pallavibangare20@gmail.com")</f>
        <v>pallavibangare20@gmail.com</v>
      </c>
    </row>
    <row r="2785" spans="1:19" ht="12.5" x14ac:dyDescent="0.25">
      <c r="A2785" s="2">
        <f ca="1">IFERROR(__xludf.DUMMYFUNCTION("""COMPUTED_VALUE"""),45083.9141134722)</f>
        <v>45083.914113472201</v>
      </c>
      <c r="B2785" s="1" t="str">
        <f ca="1">IFERROR(__xludf.DUMMYFUNCTION("""COMPUTED_VALUE"""),"India")</f>
        <v>India</v>
      </c>
      <c r="C2785" s="1">
        <f ca="1">IFERROR(__xludf.DUMMYFUNCTION("""COMPUTED_VALUE"""),411041)</f>
        <v>411041</v>
      </c>
      <c r="D2785" s="1" t="str">
        <f ca="1">IFERROR(__xludf.DUMMYFUNCTION("""COMPUTED_VALUE"""),"Male")</f>
        <v>Male</v>
      </c>
      <c r="E2785" s="1" t="str">
        <f ca="1">IFERROR(__xludf.DUMMYFUNCTION("""COMPUTED_VALUE"""),"Social Media like LinkedIn")</f>
        <v>Social Media like LinkedIn</v>
      </c>
      <c r="F2785" s="1" t="str">
        <f ca="1">IFERROR(__xludf.DUMMYFUNCTION("""COMPUTED_VALUE"""),"Yes, I will earn and do that")</f>
        <v>Yes, I will earn and do that</v>
      </c>
      <c r="G2785" s="1" t="str">
        <f ca="1">IFERROR(__xludf.DUMMYFUNCTION("""COMPUTED_VALUE"""),"Will work for 3 years or more")</f>
        <v>Will work for 3 years or more</v>
      </c>
      <c r="H2785" s="1" t="str">
        <f ca="1">IFERROR(__xludf.DUMMYFUNCTION("""COMPUTED_VALUE"""),"No")</f>
        <v>No</v>
      </c>
      <c r="I2785" s="1" t="str">
        <f ca="1">IFERROR(__xludf.DUMMYFUNCTION("""COMPUTED_VALUE"""),"Will NOT work for them")</f>
        <v>Will NOT work for them</v>
      </c>
      <c r="J2785" s="1">
        <f ca="1">IFERROR(__xludf.DUMMYFUNCTION("""COMPUTED_VALUE"""),6)</f>
        <v>6</v>
      </c>
      <c r="K2785" s="1" t="str">
        <f ca="1">IFERROR(__xludf.DUMMYFUNCTION("""COMPUTED_VALUE"""),"Hybrid Working Environment with more than 15 days a month at office")</f>
        <v>Hybrid Working Environment with more than 15 days a month at office</v>
      </c>
      <c r="L2785" s="1" t="str">
        <f ca="1">IFERROR(__xludf.DUMMYFUNCTION("""COMPUTED_VALUE"""),"Employer who rewards learning and enables that environment")</f>
        <v>Employer who rewards learning and enables that environment</v>
      </c>
      <c r="M2785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85" s="1" t="str">
        <f ca="1">IFERROR(__xludf.DUMMYFUNCTION("""COMPUTED_VALUE"""),"Business Operations in any organization, Manage and drive End-to-End Projects or Products, Look deeply into Data and generate insights, Work as a freelancer and do my thing my way")</f>
        <v>Business Operations in any organization, Manage and drive End-to-End Projects or Products, Look deeply into Data and generate insights, Work as a freelancer and do my thing my way</v>
      </c>
      <c r="O2785" s="1" t="str">
        <f ca="1">IFERROR(__xludf.DUMMYFUNCTION("""COMPUTED_VALUE"""),"Manager who sets goal and helps me achieve it")</f>
        <v>Manager who sets goal and helps me achieve it</v>
      </c>
      <c r="P2785" s="1" t="str">
        <f ca="1">IFERROR(__xludf.DUMMYFUNCTION("""COMPUTED_VALUE"""),"Work with 2 to 3 people in my team")</f>
        <v>Work with 2 to 3 people in my team</v>
      </c>
      <c r="Q2785" s="1" t="str">
        <f ca="1">IFERROR(__xludf.DUMMYFUNCTION("""COMPUTED_VALUE"""),"Yes, I Understand this is gonna happen everywhere")</f>
        <v>Yes, I Understand this is gonna happen everywhere</v>
      </c>
      <c r="R2785" s="1" t="str">
        <f ca="1">IFERROR(__xludf.DUMMYFUNCTION("""COMPUTED_VALUE"""),"This will be hard to do, but if it is the right company I would try")</f>
        <v>This will be hard to do, but if it is the right company I would try</v>
      </c>
      <c r="S2785" s="1" t="str">
        <f ca="1">IFERROR(__xludf.DUMMYFUNCTION("""COMPUTED_VALUE"""),"nishantdandwate000@gmail.com")</f>
        <v>nishantdandwate000@gmail.com</v>
      </c>
    </row>
    <row r="2786" spans="1:19" ht="12.5" x14ac:dyDescent="0.25">
      <c r="A2786" s="2">
        <f ca="1">IFERROR(__xludf.DUMMYFUNCTION("""COMPUTED_VALUE"""),45085.94005978)</f>
        <v>45085.940059779998</v>
      </c>
      <c r="B2786" s="1" t="str">
        <f ca="1">IFERROR(__xludf.DUMMYFUNCTION("""COMPUTED_VALUE"""),"India")</f>
        <v>India</v>
      </c>
      <c r="C2786" s="1">
        <f ca="1">IFERROR(__xludf.DUMMYFUNCTION("""COMPUTED_VALUE"""),826001)</f>
        <v>826001</v>
      </c>
      <c r="D2786" s="1" t="str">
        <f ca="1">IFERROR(__xludf.DUMMYFUNCTION("""COMPUTED_VALUE"""),"Male")</f>
        <v>Male</v>
      </c>
      <c r="E2786" s="1" t="str">
        <f ca="1">IFERROR(__xludf.DUMMYFUNCTION("""COMPUTED_VALUE"""),"People who have changed the world for better")</f>
        <v>People who have changed the world for better</v>
      </c>
      <c r="F2786" s="1" t="str">
        <f ca="1">IFERROR(__xludf.DUMMYFUNCTION("""COMPUTED_VALUE"""),"No, But if someone could bare the cost I will")</f>
        <v>No, But if someone could bare the cost I will</v>
      </c>
      <c r="G2786" s="1" t="str">
        <f ca="1">IFERROR(__xludf.DUMMYFUNCTION("""COMPUTED_VALUE"""),"This will be hard to do, but if it is the right company I would try")</f>
        <v>This will be hard to do, but if it is the right company I would try</v>
      </c>
      <c r="H2786" s="1" t="str">
        <f ca="1">IFERROR(__xludf.DUMMYFUNCTION("""COMPUTED_VALUE"""),"No")</f>
        <v>No</v>
      </c>
      <c r="I2786" s="1" t="str">
        <f ca="1">IFERROR(__xludf.DUMMYFUNCTION("""COMPUTED_VALUE"""),"Will NOT work for them")</f>
        <v>Will NOT work for them</v>
      </c>
      <c r="J2786" s="1">
        <f ca="1">IFERROR(__xludf.DUMMYFUNCTION("""COMPUTED_VALUE"""),7)</f>
        <v>7</v>
      </c>
      <c r="K2786" s="1" t="str">
        <f ca="1">IFERROR(__xludf.DUMMYFUNCTION("""COMPUTED_VALUE"""),"Every Day Office Environment")</f>
        <v>Every Day Office Environment</v>
      </c>
      <c r="L278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86" s="1" t="str">
        <f ca="1">IFERROR(__xludf.DUMMYFUNCTION("""COMPUTED_VALUE"""),"Self Paced Learning Portals of the Company, Learning by observing others, Trial and error by doing side projects within the company")</f>
        <v>Self Paced Learning Portals of the Company, Learning by observing others, Trial and error by doing side projects within the company</v>
      </c>
      <c r="N2786" s="1" t="str">
        <f ca="1">IFERROR(__xludf.DUMMYFUNCTION("""COMPUTED_VALUE"""),"Design and Creative strategy in any company, Business Operations in any organization, Manage and drive End-to-End Projects or Products, Look deeply into Data and generate insights")</f>
        <v>Design and Creative strategy in any company, Business Operations in any organization, Manage and drive End-to-End Projects or Products, Look deeply into Data and generate insights</v>
      </c>
      <c r="O2786" s="1" t="str">
        <f ca="1">IFERROR(__xludf.DUMMYFUNCTION("""COMPUTED_VALUE"""),"Manager who explains what is expected, sets a goal and helps achieve it")</f>
        <v>Manager who explains what is expected, sets a goal and helps achieve it</v>
      </c>
      <c r="P2786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786" s="1" t="str">
        <f ca="1">IFERROR(__xludf.DUMMYFUNCTION("""COMPUTED_VALUE"""),"Yes, I Understand this is gonna happen everywhere")</f>
        <v>Yes, I Understand this is gonna happen everywhere</v>
      </c>
      <c r="R2786" s="1" t="str">
        <f ca="1">IFERROR(__xludf.DUMMYFUNCTION("""COMPUTED_VALUE"""),"This will be hard to do, but if it is the right company I would try")</f>
        <v>This will be hard to do, but if it is the right company I would try</v>
      </c>
      <c r="S2786" s="1" t="str">
        <f ca="1">IFERROR(__xludf.DUMMYFUNCTION("""COMPUTED_VALUE"""),"smfarman786@gmail.com")</f>
        <v>smfarman786@gmail.com</v>
      </c>
    </row>
    <row r="2787" spans="1:19" ht="12.5" x14ac:dyDescent="0.25">
      <c r="A2787" s="2">
        <f ca="1">IFERROR(__xludf.DUMMYFUNCTION("""COMPUTED_VALUE"""),45087.6352223611)</f>
        <v>45087.635222361103</v>
      </c>
      <c r="B2787" s="1" t="str">
        <f ca="1">IFERROR(__xludf.DUMMYFUNCTION("""COMPUTED_VALUE"""),"India")</f>
        <v>India</v>
      </c>
      <c r="C2787" s="1">
        <f ca="1">IFERROR(__xludf.DUMMYFUNCTION("""COMPUTED_VALUE"""),281004)</f>
        <v>281004</v>
      </c>
      <c r="D2787" s="1" t="str">
        <f ca="1">IFERROR(__xludf.DUMMYFUNCTION("""COMPUTED_VALUE"""),"Male")</f>
        <v>Male</v>
      </c>
      <c r="E2787" s="1" t="str">
        <f ca="1">IFERROR(__xludf.DUMMYFUNCTION("""COMPUTED_VALUE"""),"People who have changed the world for better")</f>
        <v>People who have changed the world for better</v>
      </c>
      <c r="F2787" s="1" t="str">
        <f ca="1">IFERROR(__xludf.DUMMYFUNCTION("""COMPUTED_VALUE"""),"Yes, I will earn and do that")</f>
        <v>Yes, I will earn and do that</v>
      </c>
      <c r="G2787" s="1" t="str">
        <f ca="1">IFERROR(__xludf.DUMMYFUNCTION("""COMPUTED_VALUE"""),"This will be hard to do, but if it is the right company I would try")</f>
        <v>This will be hard to do, but if it is the right company I would try</v>
      </c>
      <c r="H2787" s="1" t="str">
        <f ca="1">IFERROR(__xludf.DUMMYFUNCTION("""COMPUTED_VALUE"""),"Yes")</f>
        <v>Yes</v>
      </c>
      <c r="I2787" s="1" t="str">
        <f ca="1">IFERROR(__xludf.DUMMYFUNCTION("""COMPUTED_VALUE"""),"Will NOT work for them")</f>
        <v>Will NOT work for them</v>
      </c>
      <c r="J2787" s="1">
        <f ca="1">IFERROR(__xludf.DUMMYFUNCTION("""COMPUTED_VALUE"""),7)</f>
        <v>7</v>
      </c>
      <c r="K2787" s="1" t="str">
        <f ca="1">IFERROR(__xludf.DUMMYFUNCTION("""COMPUTED_VALUE"""),"Hybrid Working Environment with more than 15 days a month at office")</f>
        <v>Hybrid Working Environment with more than 15 days a month at office</v>
      </c>
      <c r="L2787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87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787" s="1" t="str">
        <f ca="1">IFERROR(__xludf.DUMMYFUNCTION("""COMPUTED_VALUE"""),"Design and Creative strategy in any company, Business Operations in any organization, An Artificial Intelligence Specialist / Talking to Robots, Manufacturing / Oil and Gas/ Construction / Hard Physical Work related")</f>
        <v>Design and Creative strategy in any company, Business Operations in any organization, An Artificial Intelligence Specialist / Talking to Robots, Manufacturing / Oil and Gas/ Construction / Hard Physical Work related</v>
      </c>
      <c r="O2787" s="1" t="str">
        <f ca="1">IFERROR(__xludf.DUMMYFUNCTION("""COMPUTED_VALUE"""),"Manager who sets goal and helps me achieve it")</f>
        <v>Manager who sets goal and helps me achieve it</v>
      </c>
      <c r="P2787" s="1" t="str">
        <f ca="1">IFERROR(__xludf.DUMMYFUNCTION("""COMPUTED_VALUE"""),"Work with 7 to 10 or more people in my team")</f>
        <v>Work with 7 to 10 or more people in my team</v>
      </c>
      <c r="Q2787" s="1" t="str">
        <f ca="1">IFERROR(__xludf.DUMMYFUNCTION("""COMPUTED_VALUE"""),"Yes, I Understand this is gonna happen everywhere")</f>
        <v>Yes, I Understand this is gonna happen everywhere</v>
      </c>
      <c r="R2787" s="1" t="str">
        <f ca="1">IFERROR(__xludf.DUMMYFUNCTION("""COMPUTED_VALUE"""),"This will be hard to do, but if it is the right company I would try")</f>
        <v>This will be hard to do, but if it is the right company I would try</v>
      </c>
      <c r="S2787" s="1" t="str">
        <f ca="1">IFERROR(__xludf.DUMMYFUNCTION("""COMPUTED_VALUE"""),"pulkitvijay673@gmail.com")</f>
        <v>pulkitvijay673@gmail.com</v>
      </c>
    </row>
    <row r="2788" spans="1:19" ht="12.5" x14ac:dyDescent="0.25">
      <c r="A2788" s="2">
        <f ca="1">IFERROR(__xludf.DUMMYFUNCTION("""COMPUTED_VALUE"""),45087.6792978472)</f>
        <v>45087.6792978472</v>
      </c>
      <c r="B2788" s="1" t="str">
        <f ca="1">IFERROR(__xludf.DUMMYFUNCTION("""COMPUTED_VALUE"""),"India")</f>
        <v>India</v>
      </c>
      <c r="C2788" s="1">
        <f ca="1">IFERROR(__xludf.DUMMYFUNCTION("""COMPUTED_VALUE"""),422006)</f>
        <v>422006</v>
      </c>
      <c r="D2788" s="1" t="str">
        <f ca="1">IFERROR(__xludf.DUMMYFUNCTION("""COMPUTED_VALUE"""),"Male")</f>
        <v>Male</v>
      </c>
      <c r="E2788" s="1" t="str">
        <f ca="1">IFERROR(__xludf.DUMMYFUNCTION("""COMPUTED_VALUE"""),"People who have changed the world for better")</f>
        <v>People who have changed the world for better</v>
      </c>
      <c r="F2788" s="1" t="str">
        <f ca="1">IFERROR(__xludf.DUMMYFUNCTION("""COMPUTED_VALUE"""),"No, But if someone could bare the cost I will")</f>
        <v>No, But if someone could bare the cost I will</v>
      </c>
      <c r="G2788" s="1" t="str">
        <f ca="1">IFERROR(__xludf.DUMMYFUNCTION("""COMPUTED_VALUE"""),"Will work for 3 years or more")</f>
        <v>Will work for 3 years or more</v>
      </c>
      <c r="H2788" s="1" t="str">
        <f ca="1">IFERROR(__xludf.DUMMYFUNCTION("""COMPUTED_VALUE"""),"No")</f>
        <v>No</v>
      </c>
      <c r="I2788" s="1" t="str">
        <f ca="1">IFERROR(__xludf.DUMMYFUNCTION("""COMPUTED_VALUE"""),"Will NOT work for them")</f>
        <v>Will NOT work for them</v>
      </c>
      <c r="J2788" s="1">
        <f ca="1">IFERROR(__xludf.DUMMYFUNCTION("""COMPUTED_VALUE"""),5)</f>
        <v>5</v>
      </c>
      <c r="K2788" s="1" t="str">
        <f ca="1">IFERROR(__xludf.DUMMYFUNCTION("""COMPUTED_VALUE"""),"Hybrid Working Environment with less than 3 days a month at office")</f>
        <v>Hybrid Working Environment with less than 3 days a month at office</v>
      </c>
      <c r="L278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88" s="1" t="str">
        <f ca="1">IFERROR(__xludf.DUMMYFUNCTION("""COMPUTED_VALUE"""),"Instructor or Expert Learning Programs, Learning by observing others, Trial and error by doing side projects within the company")</f>
        <v>Instructor or Expert Learning Programs, Learning by observing others, Trial and error by doing side projects within the company</v>
      </c>
      <c r="N2788" s="1" t="str">
        <f ca="1">IFERROR(__xludf.DUMMYFUNCTION("""COMPUTED_VALUE"""),"Manage and drive End-to-End Projects or Products, Look deeply into Data and generate insights, Work as a freelancer and do my thing my way, Entrepreneur or Start Up")</f>
        <v>Manage and drive End-to-End Projects or Products, Look deeply into Data and generate insights, Work as a freelancer and do my thing my way, Entrepreneur or Start Up</v>
      </c>
      <c r="O2788" s="1" t="str">
        <f ca="1">IFERROR(__xludf.DUMMYFUNCTION("""COMPUTED_VALUE"""),"Manager who clearly describes what she/he needs")</f>
        <v>Manager who clearly describes what she/he needs</v>
      </c>
      <c r="P2788" s="1" t="str">
        <f ca="1">IFERROR(__xludf.DUMMYFUNCTION("""COMPUTED_VALUE"""),"Work with 2 to 3 people in my team")</f>
        <v>Work with 2 to 3 people in my team</v>
      </c>
      <c r="Q2788" s="1" t="str">
        <f ca="1">IFERROR(__xludf.DUMMYFUNCTION("""COMPUTED_VALUE"""),"Yes, I Understand this is gonna happen everywhere")</f>
        <v>Yes, I Understand this is gonna happen everywhere</v>
      </c>
      <c r="R2788" s="1" t="str">
        <f ca="1">IFERROR(__xludf.DUMMYFUNCTION("""COMPUTED_VALUE"""),"This will be hard to do, but if it is the right company I would try")</f>
        <v>This will be hard to do, but if it is the right company I would try</v>
      </c>
      <c r="S2788" s="1" t="str">
        <f ca="1">IFERROR(__xludf.DUMMYFUNCTION("""COMPUTED_VALUE"""),"adityadani0@gmail.com")</f>
        <v>adityadani0@gmail.com</v>
      </c>
    </row>
    <row r="2789" spans="1:19" ht="12.5" x14ac:dyDescent="0.25">
      <c r="A2789" s="2">
        <f ca="1">IFERROR(__xludf.DUMMYFUNCTION("""COMPUTED_VALUE"""),45087.8350092824)</f>
        <v>45087.835009282397</v>
      </c>
      <c r="B2789" s="1" t="str">
        <f ca="1">IFERROR(__xludf.DUMMYFUNCTION("""COMPUTED_VALUE"""),"India")</f>
        <v>India</v>
      </c>
      <c r="C2789" s="1">
        <f ca="1">IFERROR(__xludf.DUMMYFUNCTION("""COMPUTED_VALUE"""),416601)</f>
        <v>416601</v>
      </c>
      <c r="D2789" s="1" t="str">
        <f ca="1">IFERROR(__xludf.DUMMYFUNCTION("""COMPUTED_VALUE"""),"Female")</f>
        <v>Female</v>
      </c>
      <c r="E2789" s="1" t="str">
        <f ca="1">IFERROR(__xludf.DUMMYFUNCTION("""COMPUTED_VALUE"""),"My Parents")</f>
        <v>My Parents</v>
      </c>
      <c r="F2789" s="1" t="str">
        <f ca="1">IFERROR(__xludf.DUMMYFUNCTION("""COMPUTED_VALUE"""),"Yes, I will earn and do that")</f>
        <v>Yes, I will earn and do that</v>
      </c>
      <c r="G2789" s="1" t="str">
        <f ca="1">IFERROR(__xludf.DUMMYFUNCTION("""COMPUTED_VALUE"""),"This will be hard to do, but if it is the right company I would try")</f>
        <v>This will be hard to do, but if it is the right company I would try</v>
      </c>
      <c r="H2789" s="1" t="str">
        <f ca="1">IFERROR(__xludf.DUMMYFUNCTION("""COMPUTED_VALUE"""),"No")</f>
        <v>No</v>
      </c>
      <c r="I2789" s="1" t="str">
        <f ca="1">IFERROR(__xludf.DUMMYFUNCTION("""COMPUTED_VALUE"""),"Will NOT work for them")</f>
        <v>Will NOT work for them</v>
      </c>
      <c r="J2789" s="1">
        <f ca="1">IFERROR(__xludf.DUMMYFUNCTION("""COMPUTED_VALUE"""),4)</f>
        <v>4</v>
      </c>
      <c r="K2789" s="1" t="str">
        <f ca="1">IFERROR(__xludf.DUMMYFUNCTION("""COMPUTED_VALUE"""),"Hybrid Working Environment with less than 3 days a month at office")</f>
        <v>Hybrid Working Environment with less than 3 days a month at office</v>
      </c>
      <c r="L2789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89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89" s="1" t="str">
        <f ca="1">IFERROR(__xludf.DUMMYFUNCTION("""COMPUTED_VALUE"""),"Design and Creative strategy in any company, Business Operations in any organization, Work in a BPO setup for some well known client, An Artificial Intelligence Specialist / Talking to Robots")</f>
        <v>Design and Creative strategy in any company, Business Operations in any organization, Work in a BPO setup for some well known client, An Artificial Intelligence Specialist / Talking to Robots</v>
      </c>
      <c r="O2789" s="1" t="str">
        <f ca="1">IFERROR(__xludf.DUMMYFUNCTION("""COMPUTED_VALUE"""),"Manager who clearly describes what she/he needs")</f>
        <v>Manager who clearly describes what she/he needs</v>
      </c>
      <c r="P2789" s="1" t="str">
        <f ca="1">IFERROR(__xludf.DUMMYFUNCTION("""COMPUTED_VALUE"""),"Work with 5 to 6 people in my team")</f>
        <v>Work with 5 to 6 people in my team</v>
      </c>
      <c r="Q2789" s="1" t="str">
        <f ca="1">IFERROR(__xludf.DUMMYFUNCTION("""COMPUTED_VALUE"""),"Yes, I Understand this is gonna happen everywhere")</f>
        <v>Yes, I Understand this is gonna happen everywhere</v>
      </c>
      <c r="R2789" s="1" t="str">
        <f ca="1">IFERROR(__xludf.DUMMYFUNCTION("""COMPUTED_VALUE"""),"No way")</f>
        <v>No way</v>
      </c>
      <c r="S2789" s="1" t="str">
        <f ca="1">IFERROR(__xludf.DUMMYFUNCTION("""COMPUTED_VALUE"""),"anushrikudatarkar2000@gmail.com")</f>
        <v>anushrikudatarkar2000@gmail.com</v>
      </c>
    </row>
    <row r="2790" spans="1:19" ht="12.5" x14ac:dyDescent="0.25">
      <c r="A2790" s="2">
        <f ca="1">IFERROR(__xludf.DUMMYFUNCTION("""COMPUTED_VALUE"""),45088.5902295486)</f>
        <v>45088.590229548601</v>
      </c>
      <c r="B2790" s="1" t="str">
        <f ca="1">IFERROR(__xludf.DUMMYFUNCTION("""COMPUTED_VALUE"""),"Other")</f>
        <v>Other</v>
      </c>
      <c r="C2790" s="1" t="str">
        <f ca="1">IFERROR(__xludf.DUMMYFUNCTION("""COMPUTED_VALUE"""),"03300")</f>
        <v>03300</v>
      </c>
      <c r="D2790" s="1" t="str">
        <f ca="1">IFERROR(__xludf.DUMMYFUNCTION("""COMPUTED_VALUE"""),"Female")</f>
        <v>Female</v>
      </c>
      <c r="E2790" s="1" t="str">
        <f ca="1">IFERROR(__xludf.DUMMYFUNCTION("""COMPUTED_VALUE"""),"People from my circle, but not family members")</f>
        <v>People from my circle, but not family members</v>
      </c>
      <c r="F2790" s="1" t="str">
        <f ca="1">IFERROR(__xludf.DUMMYFUNCTION("""COMPUTED_VALUE"""),"Yes, I will earn and do that")</f>
        <v>Yes, I will earn and do that</v>
      </c>
      <c r="G2790" s="1" t="str">
        <f ca="1">IFERROR(__xludf.DUMMYFUNCTION("""COMPUTED_VALUE"""),"This will be hard to do, but if it is the right company I would try")</f>
        <v>This will be hard to do, but if it is the right company I would try</v>
      </c>
      <c r="H2790" s="1" t="str">
        <f ca="1">IFERROR(__xludf.DUMMYFUNCTION("""COMPUTED_VALUE"""),"Yes")</f>
        <v>Yes</v>
      </c>
      <c r="I2790" s="1" t="str">
        <f ca="1">IFERROR(__xludf.DUMMYFUNCTION("""COMPUTED_VALUE"""),"Will work for them")</f>
        <v>Will work for them</v>
      </c>
      <c r="J2790" s="1">
        <f ca="1">IFERROR(__xludf.DUMMYFUNCTION("""COMPUTED_VALUE"""),9)</f>
        <v>9</v>
      </c>
      <c r="K2790" s="1" t="str">
        <f ca="1">IFERROR(__xludf.DUMMYFUNCTION("""COMPUTED_VALUE"""),"Fully Remote with Options to travel as and when needed")</f>
        <v>Fully Remote with Options to travel as and when needed</v>
      </c>
      <c r="L279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90" s="1" t="str">
        <f ca="1">IFERROR(__xludf.DUMMYFUNCTION("""COMPUTED_VALUE"""),"Instructor or Expert Learning Programs, Learning by observing others, Manager Teaching you")</f>
        <v>Instructor or Expert Learning Programs, Learning by observing others, Manager Teaching you</v>
      </c>
      <c r="N2790" s="1" t="str">
        <f ca="1">IFERROR(__xludf.DUMMYFUNCTION("""COMPUTED_VALUE"""),"Design and Develop amazing software, Look deeply into Data and generate insights, Work as a freelancer and do my thing my way, An Artificial Intelligence Specialist / Talking to Robots")</f>
        <v>Design and Develop amazing software, Look deeply into Data and generate insights, Work as a freelancer and do my thing my way, An Artificial Intelligence Specialist / Talking to Robots</v>
      </c>
      <c r="O2790" s="1" t="str">
        <f ca="1">IFERROR(__xludf.DUMMYFUNCTION("""COMPUTED_VALUE"""),"Manager who explains what is expected, sets a goal and helps achieve it")</f>
        <v>Manager who explains what is expected, sets a goal and helps achieve it</v>
      </c>
      <c r="P2790" s="1" t="str">
        <f ca="1">IFERROR(__xludf.DUMMYFUNCTION("""COMPUTED_VALUE"""),"Work alone, Work with 2 to 3 people in my team")</f>
        <v>Work alone, Work with 2 to 3 people in my team</v>
      </c>
      <c r="Q2790" s="1" t="str">
        <f ca="1">IFERROR(__xludf.DUMMYFUNCTION("""COMPUTED_VALUE"""),"Yes, I Understand this is gonna happen everywhere")</f>
        <v>Yes, I Understand this is gonna happen everywhere</v>
      </c>
      <c r="R2790" s="1" t="str">
        <f ca="1">IFERROR(__xludf.DUMMYFUNCTION("""COMPUTED_VALUE"""),"This will be hard to do, but if it is the right company I would try")</f>
        <v>This will be hard to do, but if it is the right company I would try</v>
      </c>
      <c r="S2790" s="1" t="str">
        <f ca="1">IFERROR(__xludf.DUMMYFUNCTION("""COMPUTED_VALUE"""),"valeriagongar059@gmail.com")</f>
        <v>valeriagongar059@gmail.com</v>
      </c>
    </row>
    <row r="2791" spans="1:19" ht="12.5" x14ac:dyDescent="0.25">
      <c r="A2791" s="2">
        <f ca="1">IFERROR(__xludf.DUMMYFUNCTION("""COMPUTED_VALUE"""),45090.3100168287)</f>
        <v>45090.310016828698</v>
      </c>
      <c r="B2791" s="1" t="str">
        <f ca="1">IFERROR(__xludf.DUMMYFUNCTION("""COMPUTED_VALUE"""),"India")</f>
        <v>India</v>
      </c>
      <c r="C2791" s="1">
        <f ca="1">IFERROR(__xludf.DUMMYFUNCTION("""COMPUTED_VALUE"""),382425)</f>
        <v>382425</v>
      </c>
      <c r="D2791" s="1" t="str">
        <f ca="1">IFERROR(__xludf.DUMMYFUNCTION("""COMPUTED_VALUE"""),"Male")</f>
        <v>Male</v>
      </c>
      <c r="E2791" s="1" t="str">
        <f ca="1">IFERROR(__xludf.DUMMYFUNCTION("""COMPUTED_VALUE"""),"My Parents")</f>
        <v>My Parents</v>
      </c>
      <c r="F2791" s="1" t="str">
        <f ca="1">IFERROR(__xludf.DUMMYFUNCTION("""COMPUTED_VALUE"""),"No, But if someone could bare the cost I will")</f>
        <v>No, But if someone could bare the cost I will</v>
      </c>
      <c r="G2791" s="1" t="str">
        <f ca="1">IFERROR(__xludf.DUMMYFUNCTION("""COMPUTED_VALUE"""),"This will be hard to do, but if it is the right company I would try")</f>
        <v>This will be hard to do, but if it is the right company I would try</v>
      </c>
      <c r="H2791" s="1" t="str">
        <f ca="1">IFERROR(__xludf.DUMMYFUNCTION("""COMPUTED_VALUE"""),"No")</f>
        <v>No</v>
      </c>
      <c r="I2791" s="1" t="str">
        <f ca="1">IFERROR(__xludf.DUMMYFUNCTION("""COMPUTED_VALUE"""),"Will NOT work for them")</f>
        <v>Will NOT work for them</v>
      </c>
      <c r="J2791" s="1">
        <f ca="1">IFERROR(__xludf.DUMMYFUNCTION("""COMPUTED_VALUE"""),1)</f>
        <v>1</v>
      </c>
      <c r="K2791" s="1" t="str">
        <f ca="1">IFERROR(__xludf.DUMMYFUNCTION("""COMPUTED_VALUE"""),"Every Day Office Environment")</f>
        <v>Every Day Office Environment</v>
      </c>
      <c r="L2791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91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91" s="1" t="str">
        <f ca="1">IFERROR(__xludf.DUMMYFUNCTION("""COMPUTED_VALUE"""),"Design and Creative strategy in any company, Build and develop a Team, Become a content Creator in some platform, Manufacturing / Oil and Gas/ Construction / Hard Physical Work related")</f>
        <v>Design and Creative strategy in any company, Build and develop a Team, Become a content Creator in some platform, Manufacturing / Oil and Gas/ Construction / Hard Physical Work related</v>
      </c>
      <c r="O2791" s="1" t="str">
        <f ca="1">IFERROR(__xludf.DUMMYFUNCTION("""COMPUTED_VALUE"""),"Manager who explains what is expected, sets a goal and helps achieve it")</f>
        <v>Manager who explains what is expected, sets a goal and helps achieve it</v>
      </c>
      <c r="P2791" s="1" t="str">
        <f ca="1">IFERROR(__xludf.DUMMYFUNCTION("""COMPUTED_VALUE"""),"Work with more than 10 people in my team")</f>
        <v>Work with more than 10 people in my team</v>
      </c>
      <c r="Q2791" s="1" t="str">
        <f ca="1">IFERROR(__xludf.DUMMYFUNCTION("""COMPUTED_VALUE"""),"Yes, I Understand this is gonna happen everywhere")</f>
        <v>Yes, I Understand this is gonna happen everywhere</v>
      </c>
      <c r="R2791" s="1" t="str">
        <f ca="1">IFERROR(__xludf.DUMMYFUNCTION("""COMPUTED_VALUE"""),"No way")</f>
        <v>No way</v>
      </c>
      <c r="S2791" s="1" t="str">
        <f ca="1">IFERROR(__xludf.DUMMYFUNCTION("""COMPUTED_VALUE"""),"harshilmr79@gmail.com")</f>
        <v>harshilmr79@gmail.com</v>
      </c>
    </row>
    <row r="2792" spans="1:19" ht="12.5" x14ac:dyDescent="0.25">
      <c r="A2792" s="2">
        <f ca="1">IFERROR(__xludf.DUMMYFUNCTION("""COMPUTED_VALUE"""),45091.1569759606)</f>
        <v>45091.156975960599</v>
      </c>
      <c r="B2792" s="1" t="str">
        <f ca="1">IFERROR(__xludf.DUMMYFUNCTION("""COMPUTED_VALUE"""),"India")</f>
        <v>India</v>
      </c>
      <c r="C2792" s="1">
        <f ca="1">IFERROR(__xludf.DUMMYFUNCTION("""COMPUTED_VALUE"""),251001)</f>
        <v>251001</v>
      </c>
      <c r="D2792" s="1" t="str">
        <f ca="1">IFERROR(__xludf.DUMMYFUNCTION("""COMPUTED_VALUE"""),"Male")</f>
        <v>Male</v>
      </c>
      <c r="E2792" s="1" t="str">
        <f ca="1">IFERROR(__xludf.DUMMYFUNCTION("""COMPUTED_VALUE"""),"People from my circle, but not family members")</f>
        <v>People from my circle, but not family members</v>
      </c>
      <c r="F2792" s="1" t="str">
        <f ca="1">IFERROR(__xludf.DUMMYFUNCTION("""COMPUTED_VALUE"""),"No I would not be pursuing Higher Education outside of India")</f>
        <v>No I would not be pursuing Higher Education outside of India</v>
      </c>
      <c r="G2792" s="1" t="str">
        <f ca="1">IFERROR(__xludf.DUMMYFUNCTION("""COMPUTED_VALUE"""),"Will work for 3 years or more")</f>
        <v>Will work for 3 years or more</v>
      </c>
      <c r="H2792" s="1" t="str">
        <f ca="1">IFERROR(__xludf.DUMMYFUNCTION("""COMPUTED_VALUE"""),"No")</f>
        <v>No</v>
      </c>
      <c r="I2792" s="1" t="str">
        <f ca="1">IFERROR(__xludf.DUMMYFUNCTION("""COMPUTED_VALUE"""),"Will NOT work for them")</f>
        <v>Will NOT work for them</v>
      </c>
      <c r="J2792" s="1">
        <f ca="1">IFERROR(__xludf.DUMMYFUNCTION("""COMPUTED_VALUE"""),3)</f>
        <v>3</v>
      </c>
      <c r="K2792" s="1" t="str">
        <f ca="1">IFERROR(__xludf.DUMMYFUNCTION("""COMPUTED_VALUE"""),"Hybrid Working Environment with more than 15 days a month at office")</f>
        <v>Hybrid Working Environment with more than 15 days a month at office</v>
      </c>
      <c r="L2792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92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792" s="1" t="str">
        <f ca="1">IFERROR(__xludf.DUMMYFUNCTION("""COMPUTED_VALUE"""),"Design and Creative strategy in any company, Look deeply into Data and generate insights, Work as a freelancer and do my thing my way, Entrepreneur or Start Up")</f>
        <v>Design and Creative strategy in any company, Look deeply into Data and generate insights, Work as a freelancer and do my thing my way, Entrepreneur or Start Up</v>
      </c>
      <c r="O2792" s="1" t="str">
        <f ca="1">IFERROR(__xludf.DUMMYFUNCTION("""COMPUTED_VALUE"""),"Manager who explains what is expected, sets a goal and helps achieve it")</f>
        <v>Manager who explains what is expected, sets a goal and helps achieve it</v>
      </c>
      <c r="P2792" s="1" t="str">
        <f ca="1">IFERROR(__xludf.DUMMYFUNCTION("""COMPUTED_VALUE"""),"Work with 2 to 3 people in my team, Work with 5 to 6 people in my team")</f>
        <v>Work with 2 to 3 people in my team, Work with 5 to 6 people in my team</v>
      </c>
      <c r="Q2792" s="1" t="str">
        <f ca="1">IFERROR(__xludf.DUMMYFUNCTION("""COMPUTED_VALUE"""),"Yes, I Understand this is gonna happen everywhere")</f>
        <v>Yes, I Understand this is gonna happen everywhere</v>
      </c>
      <c r="R2792" s="1" t="str">
        <f ca="1">IFERROR(__xludf.DUMMYFUNCTION("""COMPUTED_VALUE"""),"This will be hard to do, but if it is the right company I would try")</f>
        <v>This will be hard to do, but if it is the right company I would try</v>
      </c>
      <c r="S2792" s="1" t="str">
        <f ca="1">IFERROR(__xludf.DUMMYFUNCTION("""COMPUTED_VALUE"""),"satin1005@gmail.com")</f>
        <v>satin1005@gmail.com</v>
      </c>
    </row>
    <row r="2793" spans="1:19" ht="12.5" x14ac:dyDescent="0.25">
      <c r="A2793" s="2">
        <f ca="1">IFERROR(__xludf.DUMMYFUNCTION("""COMPUTED_VALUE"""),45091.3900392939)</f>
        <v>45091.390039293903</v>
      </c>
      <c r="B2793" s="1" t="str">
        <f ca="1">IFERROR(__xludf.DUMMYFUNCTION("""COMPUTED_VALUE"""),"India")</f>
        <v>India</v>
      </c>
      <c r="C2793" s="1">
        <f ca="1">IFERROR(__xludf.DUMMYFUNCTION("""COMPUTED_VALUE"""),221107)</f>
        <v>221107</v>
      </c>
      <c r="D2793" s="1" t="str">
        <f ca="1">IFERROR(__xludf.DUMMYFUNCTION("""COMPUTED_VALUE"""),"Male")</f>
        <v>Male</v>
      </c>
      <c r="E2793" s="1" t="str">
        <f ca="1">IFERROR(__xludf.DUMMYFUNCTION("""COMPUTED_VALUE"""),"Influencers who had successful careers")</f>
        <v>Influencers who had successful careers</v>
      </c>
      <c r="F2793" s="1" t="str">
        <f ca="1">IFERROR(__xludf.DUMMYFUNCTION("""COMPUTED_VALUE"""),"No, But if someone could bare the cost I will")</f>
        <v>No, But if someone could bare the cost I will</v>
      </c>
      <c r="G2793" s="1" t="str">
        <f ca="1">IFERROR(__xludf.DUMMYFUNCTION("""COMPUTED_VALUE"""),"This will be hard to do, but if it is the right company I would try")</f>
        <v>This will be hard to do, but if it is the right company I would try</v>
      </c>
      <c r="H2793" s="1" t="str">
        <f ca="1">IFERROR(__xludf.DUMMYFUNCTION("""COMPUTED_VALUE"""),"No")</f>
        <v>No</v>
      </c>
      <c r="I2793" s="1" t="str">
        <f ca="1">IFERROR(__xludf.DUMMYFUNCTION("""COMPUTED_VALUE"""),"Will NOT work for them")</f>
        <v>Will NOT work for them</v>
      </c>
      <c r="J2793" s="1">
        <f ca="1">IFERROR(__xludf.DUMMYFUNCTION("""COMPUTED_VALUE"""),8)</f>
        <v>8</v>
      </c>
      <c r="K2793" s="1" t="str">
        <f ca="1">IFERROR(__xludf.DUMMYFUNCTION("""COMPUTED_VALUE"""),"Hybrid Working Environment with more than 15 days a month at office")</f>
        <v>Hybrid Working Environment with more than 15 days a month at office</v>
      </c>
      <c r="L2793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93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793" s="1" t="str">
        <f ca="1">IFERROR(__xludf.DUMMYFUNCTION("""COMPUTED_VALUE"""),"Manage and drive End-to-End Projects or Products, Build and develop a Team, Design and Develop amazing software, Look deeply into Data and generate insights")</f>
        <v>Manage and drive End-to-End Projects or Products, Build and develop a Team, Design and Develop amazing software, Look deeply into Data and generate insights</v>
      </c>
      <c r="O2793" s="1" t="str">
        <f ca="1">IFERROR(__xludf.DUMMYFUNCTION("""COMPUTED_VALUE"""),"Manager who explains what is expected, sets a goal and helps achieve it")</f>
        <v>Manager who explains what is expected, sets a goal and helps achieve it</v>
      </c>
      <c r="P2793" s="1" t="str">
        <f ca="1">IFERROR(__xludf.DUMMYFUNCTION("""COMPUTED_VALUE"""),"Work with 5 to 6 people in my team, Work with 7 to 10 or more people in my team")</f>
        <v>Work with 5 to 6 people in my team, Work with 7 to 10 or more people in my team</v>
      </c>
      <c r="Q2793" s="1" t="str">
        <f ca="1">IFERROR(__xludf.DUMMYFUNCTION("""COMPUTED_VALUE"""),"Yes, I Understand this is gonna happen everywhere")</f>
        <v>Yes, I Understand this is gonna happen everywhere</v>
      </c>
      <c r="R2793" s="1" t="str">
        <f ca="1">IFERROR(__xludf.DUMMYFUNCTION("""COMPUTED_VALUE"""),"No way")</f>
        <v>No way</v>
      </c>
      <c r="S2793" s="1" t="str">
        <f ca="1">IFERROR(__xludf.DUMMYFUNCTION("""COMPUTED_VALUE"""),"2019umt1811@mnit.ac.in")</f>
        <v>2019umt1811@mnit.ac.in</v>
      </c>
    </row>
    <row r="2794" spans="1:19" ht="12.5" x14ac:dyDescent="0.25">
      <c r="A2794" s="2">
        <f ca="1">IFERROR(__xludf.DUMMYFUNCTION("""COMPUTED_VALUE"""),45091.4326501736)</f>
        <v>45091.4326501736</v>
      </c>
      <c r="B2794" s="1" t="str">
        <f ca="1">IFERROR(__xludf.DUMMYFUNCTION("""COMPUTED_VALUE"""),"India")</f>
        <v>India</v>
      </c>
      <c r="C2794" s="1">
        <f ca="1">IFERROR(__xludf.DUMMYFUNCTION("""COMPUTED_VALUE"""),324010)</f>
        <v>324010</v>
      </c>
      <c r="D2794" s="1" t="str">
        <f ca="1">IFERROR(__xludf.DUMMYFUNCTION("""COMPUTED_VALUE"""),"Male")</f>
        <v>Male</v>
      </c>
      <c r="E2794" s="1" t="str">
        <f ca="1">IFERROR(__xludf.DUMMYFUNCTION("""COMPUTED_VALUE"""),"People from my circle, but not family members")</f>
        <v>People from my circle, but not family members</v>
      </c>
      <c r="F2794" s="1" t="str">
        <f ca="1">IFERROR(__xludf.DUMMYFUNCTION("""COMPUTED_VALUE"""),"No I would not be pursuing Higher Education outside of India")</f>
        <v>No I would not be pursuing Higher Education outside of India</v>
      </c>
      <c r="G2794" s="1" t="str">
        <f ca="1">IFERROR(__xludf.DUMMYFUNCTION("""COMPUTED_VALUE"""),"This will be hard to do, but if it is the right company I would try")</f>
        <v>This will be hard to do, but if it is the right company I would try</v>
      </c>
      <c r="H2794" s="1" t="str">
        <f ca="1">IFERROR(__xludf.DUMMYFUNCTION("""COMPUTED_VALUE"""),"Yes")</f>
        <v>Yes</v>
      </c>
      <c r="I2794" s="1" t="str">
        <f ca="1">IFERROR(__xludf.DUMMYFUNCTION("""COMPUTED_VALUE"""),"Will NOT work for them")</f>
        <v>Will NOT work for them</v>
      </c>
      <c r="J2794" s="1">
        <f ca="1">IFERROR(__xludf.DUMMYFUNCTION("""COMPUTED_VALUE"""),8)</f>
        <v>8</v>
      </c>
      <c r="K2794" s="1" t="str">
        <f ca="1">IFERROR(__xludf.DUMMYFUNCTION("""COMPUTED_VALUE"""),"Fully Remote with Options to travel as and when needed")</f>
        <v>Fully Remote with Options to travel as and when needed</v>
      </c>
      <c r="L2794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94" s="1" t="str">
        <f ca="1">IFERROR(__xludf.DUMMYFUNCTION("""COMPUTED_VALUE"""),"Self Paced Learning Portals of the Company, Learning by observing others, Manager Teaching you")</f>
        <v>Self Paced Learning Portals of the Company, Learning by observing others, Manager Teaching you</v>
      </c>
      <c r="N2794" s="1" t="str">
        <f ca="1">IFERROR(__xludf.DUMMYFUNCTION("""COMPUTED_VALUE"""),"Design and Creative strategy in any company, Business Operations in any organization, Work as a freelancer and do my thing my way, An Artificial Intelligence Specialist / Talking to Robots")</f>
        <v>Design and Creative strategy in any company, Business Operations in any organization, Work as a freelancer and do my thing my way, An Artificial Intelligence Specialist / Talking to Robots</v>
      </c>
      <c r="O2794" s="1" t="str">
        <f ca="1">IFERROR(__xludf.DUMMYFUNCTION("""COMPUTED_VALUE"""),"Manager who sets goal and helps me achieve it")</f>
        <v>Manager who sets goal and helps me achieve it</v>
      </c>
      <c r="P2794" s="1" t="str">
        <f ca="1">IFERROR(__xludf.DUMMYFUNCTION("""COMPUTED_VALUE"""),"Work with 2 to 3 people in my team, Work with 5 to 6 people in my team, Work with 7 to 10 or more people in my team")</f>
        <v>Work with 2 to 3 people in my team, Work with 5 to 6 people in my team, Work with 7 to 10 or more people in my team</v>
      </c>
      <c r="Q2794" s="1" t="str">
        <f ca="1">IFERROR(__xludf.DUMMYFUNCTION("""COMPUTED_VALUE"""),"I have NO other choice")</f>
        <v>I have NO other choice</v>
      </c>
      <c r="R2794" s="1" t="str">
        <f ca="1">IFERROR(__xludf.DUMMYFUNCTION("""COMPUTED_VALUE"""),"This will be hard to do, but if it is the right company I would try")</f>
        <v>This will be hard to do, but if it is the right company I would try</v>
      </c>
      <c r="S2794" s="1" t="str">
        <f ca="1">IFERROR(__xludf.DUMMYFUNCTION("""COMPUTED_VALUE"""),"2019umt1089@mnit.ac.in")</f>
        <v>2019umt1089@mnit.ac.in</v>
      </c>
    </row>
    <row r="2795" spans="1:19" ht="12.5" x14ac:dyDescent="0.25">
      <c r="A2795" s="2">
        <f ca="1">IFERROR(__xludf.DUMMYFUNCTION("""COMPUTED_VALUE"""),45091.5342801504)</f>
        <v>45091.534280150401</v>
      </c>
      <c r="B2795" s="1" t="str">
        <f ca="1">IFERROR(__xludf.DUMMYFUNCTION("""COMPUTED_VALUE"""),"India")</f>
        <v>India</v>
      </c>
      <c r="C2795" s="1">
        <f ca="1">IFERROR(__xludf.DUMMYFUNCTION("""COMPUTED_VALUE"""),600040)</f>
        <v>600040</v>
      </c>
      <c r="D2795" s="1" t="str">
        <f ca="1">IFERROR(__xludf.DUMMYFUNCTION("""COMPUTED_VALUE"""),"Male")</f>
        <v>Male</v>
      </c>
      <c r="E2795" s="1" t="str">
        <f ca="1">IFERROR(__xludf.DUMMYFUNCTION("""COMPUTED_VALUE"""),"My Parents")</f>
        <v>My Parents</v>
      </c>
      <c r="F2795" s="1" t="str">
        <f ca="1">IFERROR(__xludf.DUMMYFUNCTION("""COMPUTED_VALUE"""),"Yes, I will earn and do that")</f>
        <v>Yes, I will earn and do that</v>
      </c>
      <c r="G2795" s="1" t="str">
        <f ca="1">IFERROR(__xludf.DUMMYFUNCTION("""COMPUTED_VALUE"""),"This will be hard to do, but if it is the right company I would try")</f>
        <v>This will be hard to do, but if it is the right company I would try</v>
      </c>
      <c r="H2795" s="1" t="str">
        <f ca="1">IFERROR(__xludf.DUMMYFUNCTION("""COMPUTED_VALUE"""),"Yes")</f>
        <v>Yes</v>
      </c>
      <c r="I2795" s="1" t="str">
        <f ca="1">IFERROR(__xludf.DUMMYFUNCTION("""COMPUTED_VALUE"""),"Will work for them")</f>
        <v>Will work for them</v>
      </c>
      <c r="J2795" s="1">
        <f ca="1">IFERROR(__xludf.DUMMYFUNCTION("""COMPUTED_VALUE"""),6)</f>
        <v>6</v>
      </c>
      <c r="K2795" s="1" t="str">
        <f ca="1">IFERROR(__xludf.DUMMYFUNCTION("""COMPUTED_VALUE"""),"Every Day Office Environment")</f>
        <v>Every Day Office Environment</v>
      </c>
      <c r="L2795" s="1" t="str">
        <f ca="1">IFERROR(__xludf.DUMMYFUNCTION("""COMPUTED_VALUE"""),"Employer who rewards learning and enables that environment")</f>
        <v>Employer who rewards learning and enables that environment</v>
      </c>
      <c r="M2795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95" s="1" t="str">
        <f ca="1">IFERROR(__xludf.DUMMYFUNCTION("""COMPUTED_VALUE"""),"Business Operations in any organization, Build and develop a Team, Entrepreneur or Start Up, I Want to sell things/Sales")</f>
        <v>Business Operations in any organization, Build and develop a Team, Entrepreneur or Start Up, I Want to sell things/Sales</v>
      </c>
      <c r="O2795" s="1" t="str">
        <f ca="1">IFERROR(__xludf.DUMMYFUNCTION("""COMPUTED_VALUE"""),"Manager who sets goal and helps me achieve it")</f>
        <v>Manager who sets goal and helps me achieve it</v>
      </c>
      <c r="P2795" s="1" t="str">
        <f ca="1">IFERROR(__xludf.DUMMYFUNCTION("""COMPUTED_VALUE"""),"Work with 5 to 6 people in my team")</f>
        <v>Work with 5 to 6 people in my team</v>
      </c>
      <c r="Q2795" s="1" t="str">
        <f ca="1">IFERROR(__xludf.DUMMYFUNCTION("""COMPUTED_VALUE"""),"Yes, I Understand this is gonna happen everywhere")</f>
        <v>Yes, I Understand this is gonna happen everywhere</v>
      </c>
      <c r="R2795" s="1" t="str">
        <f ca="1">IFERROR(__xludf.DUMMYFUNCTION("""COMPUTED_VALUE"""),"No way")</f>
        <v>No way</v>
      </c>
      <c r="S2795" s="1" t="str">
        <f ca="1">IFERROR(__xludf.DUMMYFUNCTION("""COMPUTED_VALUE"""),"ganeshk0798@gmail.com")</f>
        <v>ganeshk0798@gmail.com</v>
      </c>
    </row>
    <row r="2796" spans="1:19" ht="12.5" x14ac:dyDescent="0.25">
      <c r="A2796" s="2">
        <f ca="1">IFERROR(__xludf.DUMMYFUNCTION("""COMPUTED_VALUE"""),45091.5384499884)</f>
        <v>45091.538449988402</v>
      </c>
      <c r="B2796" s="1" t="str">
        <f ca="1">IFERROR(__xludf.DUMMYFUNCTION("""COMPUTED_VALUE"""),"India")</f>
        <v>India</v>
      </c>
      <c r="C2796" s="1">
        <f ca="1">IFERROR(__xludf.DUMMYFUNCTION("""COMPUTED_VALUE"""),600092)</f>
        <v>600092</v>
      </c>
      <c r="D2796" s="1" t="str">
        <f ca="1">IFERROR(__xludf.DUMMYFUNCTION("""COMPUTED_VALUE"""),"Female")</f>
        <v>Female</v>
      </c>
      <c r="E2796" s="1" t="str">
        <f ca="1">IFERROR(__xludf.DUMMYFUNCTION("""COMPUTED_VALUE"""),"Influencers who had successful careers")</f>
        <v>Influencers who had successful careers</v>
      </c>
      <c r="F2796" s="1" t="str">
        <f ca="1">IFERROR(__xludf.DUMMYFUNCTION("""COMPUTED_VALUE"""),"No I would not be pursuing Higher Education outside of India")</f>
        <v>No I would not be pursuing Higher Education outside of India</v>
      </c>
      <c r="G2796" s="1" t="str">
        <f ca="1">IFERROR(__xludf.DUMMYFUNCTION("""COMPUTED_VALUE"""),"No way")</f>
        <v>No way</v>
      </c>
      <c r="H2796" s="1" t="str">
        <f ca="1">IFERROR(__xludf.DUMMYFUNCTION("""COMPUTED_VALUE"""),"No")</f>
        <v>No</v>
      </c>
      <c r="I2796" s="1" t="str">
        <f ca="1">IFERROR(__xludf.DUMMYFUNCTION("""COMPUTED_VALUE"""),"Will work for them")</f>
        <v>Will work for them</v>
      </c>
      <c r="J2796" s="1">
        <f ca="1">IFERROR(__xludf.DUMMYFUNCTION("""COMPUTED_VALUE"""),8)</f>
        <v>8</v>
      </c>
      <c r="K2796" s="1" t="str">
        <f ca="1">IFERROR(__xludf.DUMMYFUNCTION("""COMPUTED_VALUE"""),"Every Day Office Environment")</f>
        <v>Every Day Office Environment</v>
      </c>
      <c r="L2796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96" s="1" t="str">
        <f ca="1">IFERROR(__xludf.DUMMYFUNCTION("""COMPUTED_VALUE"""),"Self Paced Learning Portals of the Company, Instructor or Expert Learning Programs, Learning by observing others")</f>
        <v>Self Paced Learning Portals of the Company, Instructor or Expert Learning Programs, Learning by observing others</v>
      </c>
      <c r="N2796" s="1" t="str">
        <f ca="1">IFERROR(__xludf.DUMMYFUNCTION("""COMPUTED_VALUE"""),"Design and Creative strategy in any company, Business Operations in any organization, Manage and drive End-to-End Projects or Products, Entrepreneur or Start Up")</f>
        <v>Design and Creative strategy in any company, Business Operations in any organization, Manage and drive End-to-End Projects or Products, Entrepreneur or Start Up</v>
      </c>
      <c r="O2796" s="1" t="str">
        <f ca="1">IFERROR(__xludf.DUMMYFUNCTION("""COMPUTED_VALUE"""),"Manager who sets goal and helps me achieve it")</f>
        <v>Manager who sets goal and helps me achieve it</v>
      </c>
      <c r="P2796" s="1" t="str">
        <f ca="1">IFERROR(__xludf.DUMMYFUNCTION("""COMPUTED_VALUE"""),"Work with 5 to 6 people in my team")</f>
        <v>Work with 5 to 6 people in my team</v>
      </c>
      <c r="Q2796" s="1" t="str">
        <f ca="1">IFERROR(__xludf.DUMMYFUNCTION("""COMPUTED_VALUE"""),"Yes, I Understand this is gonna happen everywhere")</f>
        <v>Yes, I Understand this is gonna happen everywhere</v>
      </c>
      <c r="R2796" s="1" t="str">
        <f ca="1">IFERROR(__xludf.DUMMYFUNCTION("""COMPUTED_VALUE"""),"This will be hard to do, but if it is the right company I would try")</f>
        <v>This will be hard to do, but if it is the right company I would try</v>
      </c>
      <c r="S2796" s="1" t="str">
        <f ca="1">IFERROR(__xludf.DUMMYFUNCTION("""COMPUTED_VALUE"""),"pk6151@srmist.edu.in")</f>
        <v>pk6151@srmist.edu.in</v>
      </c>
    </row>
    <row r="2797" spans="1:19" ht="12.5" x14ac:dyDescent="0.25">
      <c r="A2797" s="2">
        <f ca="1">IFERROR(__xludf.DUMMYFUNCTION("""COMPUTED_VALUE"""),45091.5590517824)</f>
        <v>45091.559051782402</v>
      </c>
      <c r="B2797" s="1" t="str">
        <f ca="1">IFERROR(__xludf.DUMMYFUNCTION("""COMPUTED_VALUE"""),"India")</f>
        <v>India</v>
      </c>
      <c r="C2797" s="1">
        <f ca="1">IFERROR(__xludf.DUMMYFUNCTION("""COMPUTED_VALUE"""),625016)</f>
        <v>625016</v>
      </c>
      <c r="D2797" s="1" t="str">
        <f ca="1">IFERROR(__xludf.DUMMYFUNCTION("""COMPUTED_VALUE"""),"Female")</f>
        <v>Female</v>
      </c>
      <c r="E2797" s="1" t="str">
        <f ca="1">IFERROR(__xludf.DUMMYFUNCTION("""COMPUTED_VALUE"""),"My Parents")</f>
        <v>My Parents</v>
      </c>
      <c r="F2797" s="1" t="str">
        <f ca="1">IFERROR(__xludf.DUMMYFUNCTION("""COMPUTED_VALUE"""),"No, But if someone could bare the cost I will")</f>
        <v>No, But if someone could bare the cost I will</v>
      </c>
      <c r="G2797" s="1" t="str">
        <f ca="1">IFERROR(__xludf.DUMMYFUNCTION("""COMPUTED_VALUE"""),"This will be hard to do, but if it is the right company I would try")</f>
        <v>This will be hard to do, but if it is the right company I would try</v>
      </c>
      <c r="H2797" s="1" t="str">
        <f ca="1">IFERROR(__xludf.DUMMYFUNCTION("""COMPUTED_VALUE"""),"Yes")</f>
        <v>Yes</v>
      </c>
      <c r="I2797" s="1" t="str">
        <f ca="1">IFERROR(__xludf.DUMMYFUNCTION("""COMPUTED_VALUE"""),"Will NOT work for them")</f>
        <v>Will NOT work for them</v>
      </c>
      <c r="J2797" s="1">
        <f ca="1">IFERROR(__xludf.DUMMYFUNCTION("""COMPUTED_VALUE"""),3)</f>
        <v>3</v>
      </c>
      <c r="K2797" s="1" t="str">
        <f ca="1">IFERROR(__xludf.DUMMYFUNCTION("""COMPUTED_VALUE"""),"Fully Remote with Options to travel as and when needed")</f>
        <v>Fully Remote with Options to travel as and when needed</v>
      </c>
      <c r="L2797" s="1" t="str">
        <f ca="1">IFERROR(__xludf.DUMMYFUNCTION("""COMPUTED_VALUE"""),"Employer who rewards learning and enables that environment")</f>
        <v>Employer who rewards learning and enables that environment</v>
      </c>
      <c r="M2797" s="1" t="str">
        <f ca="1">IFERROR(__xludf.DUMMYFUNCTION("""COMPUTED_VALUE"""),"Self Paced Learning Portals of the Company, Trial and error by doing side projects within the company, Manager Teaching you")</f>
        <v>Self Paced Learning Portals of the Company, Trial and error by doing side projects within the company, Manager Teaching you</v>
      </c>
      <c r="N2797" s="1" t="str">
        <f ca="1">IFERROR(__xludf.DUMMYFUNCTION("""COMPUTED_VALUE"""),"Design and Creative strategy in any company, Business Operations in any organization, Build and develop a Team, Design and Develop amazing software")</f>
        <v>Design and Creative strategy in any company, Business Operations in any organization, Build and develop a Team, Design and Develop amazing software</v>
      </c>
      <c r="O2797" s="1" t="str">
        <f ca="1">IFERROR(__xludf.DUMMYFUNCTION("""COMPUTED_VALUE"""),"Manager who explains what is expected, sets a goal and helps achieve it")</f>
        <v>Manager who explains what is expected, sets a goal and helps achieve it</v>
      </c>
      <c r="P2797" s="1" t="str">
        <f ca="1">IFERROR(__xludf.DUMMYFUNCTION("""COMPUTED_VALUE"""),"Work with 5 to 6 people in my team")</f>
        <v>Work with 5 to 6 people in my team</v>
      </c>
      <c r="Q2797" s="1" t="str">
        <f ca="1">IFERROR(__xludf.DUMMYFUNCTION("""COMPUTED_VALUE"""),"No")</f>
        <v>No</v>
      </c>
      <c r="R2797" s="1" t="str">
        <f ca="1">IFERROR(__xludf.DUMMYFUNCTION("""COMPUTED_VALUE"""),"No way")</f>
        <v>No way</v>
      </c>
      <c r="S2797" s="1" t="str">
        <f ca="1">IFERROR(__xludf.DUMMYFUNCTION("""COMPUTED_VALUE"""),"sharmadhass@gmail.com")</f>
        <v>sharmadhass@gmail.com</v>
      </c>
    </row>
    <row r="2798" spans="1:19" ht="12.5" x14ac:dyDescent="0.25">
      <c r="A2798" s="2">
        <f ca="1">IFERROR(__xludf.DUMMYFUNCTION("""COMPUTED_VALUE"""),45094.4505897916)</f>
        <v>45094.450589791602</v>
      </c>
      <c r="B2798" s="1" t="str">
        <f ca="1">IFERROR(__xludf.DUMMYFUNCTION("""COMPUTED_VALUE"""),"India")</f>
        <v>India</v>
      </c>
      <c r="C2798" s="1">
        <f ca="1">IFERROR(__xludf.DUMMYFUNCTION("""COMPUTED_VALUE"""),515672)</f>
        <v>515672</v>
      </c>
      <c r="D2798" s="1" t="str">
        <f ca="1">IFERROR(__xludf.DUMMYFUNCTION("""COMPUTED_VALUE"""),"Male")</f>
        <v>Male</v>
      </c>
      <c r="E2798" s="1" t="str">
        <f ca="1">IFERROR(__xludf.DUMMYFUNCTION("""COMPUTED_VALUE"""),"Social Media like LinkedIn")</f>
        <v>Social Media like LinkedIn</v>
      </c>
      <c r="F2798" s="1" t="str">
        <f ca="1">IFERROR(__xludf.DUMMYFUNCTION("""COMPUTED_VALUE"""),"No, But if someone could bare the cost I will")</f>
        <v>No, But if someone could bare the cost I will</v>
      </c>
      <c r="G2798" s="1" t="str">
        <f ca="1">IFERROR(__xludf.DUMMYFUNCTION("""COMPUTED_VALUE"""),"This will be hard to do, but if it is the right company I would try")</f>
        <v>This will be hard to do, but if it is the right company I would try</v>
      </c>
      <c r="H2798" s="1" t="str">
        <f ca="1">IFERROR(__xludf.DUMMYFUNCTION("""COMPUTED_VALUE"""),"No")</f>
        <v>No</v>
      </c>
      <c r="I2798" s="1" t="str">
        <f ca="1">IFERROR(__xludf.DUMMYFUNCTION("""COMPUTED_VALUE"""),"Will work for them")</f>
        <v>Will work for them</v>
      </c>
      <c r="J2798" s="1">
        <f ca="1">IFERROR(__xludf.DUMMYFUNCTION("""COMPUTED_VALUE"""),5)</f>
        <v>5</v>
      </c>
      <c r="K2798" s="1" t="str">
        <f ca="1">IFERROR(__xludf.DUMMYFUNCTION("""COMPUTED_VALUE"""),"Hybrid Working Environment with more than 15 days a month at office")</f>
        <v>Hybrid Working Environment with more than 15 days a month at office</v>
      </c>
      <c r="L2798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798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798" s="1" t="str">
        <f ca="1">IFERROR(__xludf.DUMMYFUNCTION("""COMPUTED_VALUE"""),"Design and Creative strategy in any company, Business Operations in any organization, Build and develop a Team, Look deeply into Data and generate insights")</f>
        <v>Design and Creative strategy in any company, Business Operations in any organization, Build and develop a Team, Look deeply into Data and generate insights</v>
      </c>
      <c r="O2798" s="1" t="str">
        <f ca="1">IFERROR(__xludf.DUMMYFUNCTION("""COMPUTED_VALUE"""),"Manager who explains what is expected, sets a goal and helps achieve it")</f>
        <v>Manager who explains what is expected, sets a goal and helps achieve it</v>
      </c>
      <c r="P2798" s="1" t="str">
        <f ca="1">IFERROR(__xludf.DUMMYFUNCTION("""COMPUTED_VALUE"""),"Work with more than 10 people in my team")</f>
        <v>Work with more than 10 people in my team</v>
      </c>
      <c r="Q2798" s="1" t="str">
        <f ca="1">IFERROR(__xludf.DUMMYFUNCTION("""COMPUTED_VALUE"""),"No")</f>
        <v>No</v>
      </c>
      <c r="R2798" s="1" t="str">
        <f ca="1">IFERROR(__xludf.DUMMYFUNCTION("""COMPUTED_VALUE"""),"No way")</f>
        <v>No way</v>
      </c>
      <c r="S2798" s="1" t="str">
        <f ca="1">IFERROR(__xludf.DUMMYFUNCTION("""COMPUTED_VALUE"""),"kscharan16@gmail.com")</f>
        <v>kscharan16@gmail.com</v>
      </c>
    </row>
    <row r="2799" spans="1:19" ht="12.5" x14ac:dyDescent="0.25">
      <c r="A2799" s="2">
        <f ca="1">IFERROR(__xludf.DUMMYFUNCTION("""COMPUTED_VALUE"""),45095.4023538773)</f>
        <v>45095.402353877304</v>
      </c>
      <c r="B2799" s="1" t="str">
        <f ca="1">IFERROR(__xludf.DUMMYFUNCTION("""COMPUTED_VALUE"""),"India")</f>
        <v>India</v>
      </c>
      <c r="C2799" s="1">
        <f ca="1">IFERROR(__xludf.DUMMYFUNCTION("""COMPUTED_VALUE"""),700020)</f>
        <v>700020</v>
      </c>
      <c r="D2799" s="1" t="str">
        <f ca="1">IFERROR(__xludf.DUMMYFUNCTION("""COMPUTED_VALUE"""),"Male")</f>
        <v>Male</v>
      </c>
      <c r="E2799" s="1" t="str">
        <f ca="1">IFERROR(__xludf.DUMMYFUNCTION("""COMPUTED_VALUE"""),"People who have changed the world for better")</f>
        <v>People who have changed the world for better</v>
      </c>
      <c r="F2799" s="1" t="str">
        <f ca="1">IFERROR(__xludf.DUMMYFUNCTION("""COMPUTED_VALUE"""),"Yes, I will earn and do that")</f>
        <v>Yes, I will earn and do that</v>
      </c>
      <c r="G2799" s="1" t="str">
        <f ca="1">IFERROR(__xludf.DUMMYFUNCTION("""COMPUTED_VALUE"""),"Will work for 3 years or more")</f>
        <v>Will work for 3 years or more</v>
      </c>
      <c r="H2799" s="1" t="str">
        <f ca="1">IFERROR(__xludf.DUMMYFUNCTION("""COMPUTED_VALUE"""),"No")</f>
        <v>No</v>
      </c>
      <c r="I2799" s="1" t="str">
        <f ca="1">IFERROR(__xludf.DUMMYFUNCTION("""COMPUTED_VALUE"""),"Will NOT work for them")</f>
        <v>Will NOT work for them</v>
      </c>
      <c r="J2799" s="1">
        <f ca="1">IFERROR(__xludf.DUMMYFUNCTION("""COMPUTED_VALUE"""),10)</f>
        <v>10</v>
      </c>
      <c r="K2799" s="1" t="str">
        <f ca="1">IFERROR(__xludf.DUMMYFUNCTION("""COMPUTED_VALUE"""),"Every Day Office Environment")</f>
        <v>Every Day Office Environment</v>
      </c>
      <c r="L2799" s="1" t="str">
        <f ca="1">IFERROR(__xludf.DUMMYFUNCTION("""COMPUTED_VALUE"""),"Employer who appreciates learning and enables that environment")</f>
        <v>Employer who appreciates learning and enables that environment</v>
      </c>
      <c r="M2799" s="1" t="str">
        <f ca="1">IFERROR(__xludf.DUMMYFUNCTION("""COMPUTED_VALUE"""),"Self Paced Learning Portals of the Company, Instructor or Expert Learning Programs, Self Purchased Course from External Platforms")</f>
        <v>Self Paced Learning Portals of the Company, Instructor or Expert Learning Programs, Self Purchased Course from External Platforms</v>
      </c>
      <c r="N2799" s="1" t="str">
        <f ca="1">IFERROR(__xludf.DUMMYFUNCTION("""COMPUTED_VALUE"""),"Design and Creative strategy in any company, Design and Develop amazing software, Look deeply into Data and generate insights, Work as a freelancer and do my thing my way")</f>
        <v>Design and Creative strategy in any company, Design and Develop amazing software, Look deeply into Data and generate insights, Work as a freelancer and do my thing my way</v>
      </c>
      <c r="O2799" s="1" t="str">
        <f ca="1">IFERROR(__xludf.DUMMYFUNCTION("""COMPUTED_VALUE"""),"Manager who explains what is expected, sets a goal and helps achieve it")</f>
        <v>Manager who explains what is expected, sets a goal and helps achieve it</v>
      </c>
      <c r="P2799" s="1" t="str">
        <f ca="1">IFERROR(__xludf.DUMMYFUNCTION("""COMPUTED_VALUE"""),"Work with 2 to 3 people in my team")</f>
        <v>Work with 2 to 3 people in my team</v>
      </c>
      <c r="Q2799" s="1" t="str">
        <f ca="1">IFERROR(__xludf.DUMMYFUNCTION("""COMPUTED_VALUE"""),"Yes")</f>
        <v>Yes</v>
      </c>
      <c r="R2799" s="1" t="str">
        <f ca="1">IFERROR(__xludf.DUMMYFUNCTION("""COMPUTED_VALUE"""),"Will work for 7 years or more")</f>
        <v>Will work for 7 years or more</v>
      </c>
      <c r="S2799" s="1" t="str">
        <f ca="1">IFERROR(__xludf.DUMMYFUNCTION("""COMPUTED_VALUE"""),"vicky.amit1@gmail.com")</f>
        <v>vicky.amit1@gmail.com</v>
      </c>
    </row>
    <row r="2800" spans="1:19" ht="12.5" x14ac:dyDescent="0.25">
      <c r="A2800" s="2">
        <f ca="1">IFERROR(__xludf.DUMMYFUNCTION("""COMPUTED_VALUE"""),45099.8228831018)</f>
        <v>45099.822883101799</v>
      </c>
      <c r="B2800" s="1" t="str">
        <f ca="1">IFERROR(__xludf.DUMMYFUNCTION("""COMPUTED_VALUE"""),"India")</f>
        <v>India</v>
      </c>
      <c r="C2800" s="1">
        <f ca="1">IFERROR(__xludf.DUMMYFUNCTION("""COMPUTED_VALUE"""),631205)</f>
        <v>631205</v>
      </c>
      <c r="D2800" s="1" t="str">
        <f ca="1">IFERROR(__xludf.DUMMYFUNCTION("""COMPUTED_VALUE"""),"Male")</f>
        <v>Male</v>
      </c>
      <c r="E2800" s="1" t="str">
        <f ca="1">IFERROR(__xludf.DUMMYFUNCTION("""COMPUTED_VALUE"""),"People who have changed the world for better")</f>
        <v>People who have changed the world for better</v>
      </c>
      <c r="F2800" s="1" t="str">
        <f ca="1">IFERROR(__xludf.DUMMYFUNCTION("""COMPUTED_VALUE"""),"No I would not be pursuing Higher Education outside of India")</f>
        <v>No I would not be pursuing Higher Education outside of India</v>
      </c>
      <c r="G2800" s="1" t="str">
        <f ca="1">IFERROR(__xludf.DUMMYFUNCTION("""COMPUTED_VALUE"""),"This will be hard to do, but if it is the right company I would try")</f>
        <v>This will be hard to do, but if it is the right company I would try</v>
      </c>
      <c r="H2800" s="1" t="str">
        <f ca="1">IFERROR(__xludf.DUMMYFUNCTION("""COMPUTED_VALUE"""),"No")</f>
        <v>No</v>
      </c>
      <c r="I2800" s="1" t="str">
        <f ca="1">IFERROR(__xludf.DUMMYFUNCTION("""COMPUTED_VALUE"""),"Will NOT work for them")</f>
        <v>Will NOT work for them</v>
      </c>
      <c r="J2800" s="1">
        <f ca="1">IFERROR(__xludf.DUMMYFUNCTION("""COMPUTED_VALUE"""),7)</f>
        <v>7</v>
      </c>
      <c r="K2800" s="1" t="str">
        <f ca="1">IFERROR(__xludf.DUMMYFUNCTION("""COMPUTED_VALUE"""),"Every Day Office Environment")</f>
        <v>Every Day Office Environment</v>
      </c>
      <c r="L2800" s="1" t="str">
        <f ca="1">IFERROR(__xludf.DUMMYFUNCTION("""COMPUTED_VALUE"""),"Employer who pushes your limits by enabling an learning environment, and rewards you at the end")</f>
        <v>Employer who pushes your limits by enabling an learning environment, and rewards you at the end</v>
      </c>
      <c r="M2800" s="1" t="str">
        <f ca="1">IFERROR(__xludf.DUMMYFUNCTION("""COMPUTED_VALUE"""),"Self Paced Learning Portals of the Company, Instructor or Expert Learning Programs, Trial and error by doing side projects within the company")</f>
        <v>Self Paced Learning Portals of the Company, Instructor or Expert Learning Programs, Trial and error by doing side projects within the company</v>
      </c>
      <c r="N2800" s="1" t="str">
        <f ca="1">IFERROR(__xludf.DUMMYFUNCTION("""COMPUTED_VALUE"""),"Business Operations in any organization, Build and develop a Team, Design and Develop amazing software, Look deeply into Data and generate insights")</f>
        <v>Business Operations in any organization, Build and develop a Team, Design and Develop amazing software, Look deeply into Data and generate insights</v>
      </c>
      <c r="O2800" s="1" t="str">
        <f ca="1">IFERROR(__xludf.DUMMYFUNCTION("""COMPUTED_VALUE"""),"Manager who explains what is expected, sets a goal and helps achieve it")</f>
        <v>Manager who explains what is expected, sets a goal and helps achieve it</v>
      </c>
      <c r="P2800" s="1" t="str">
        <f ca="1">IFERROR(__xludf.DUMMYFUNCTION("""COMPUTED_VALUE"""),"Work with 2 to 3 people in my team")</f>
        <v>Work with 2 to 3 people in my team</v>
      </c>
      <c r="Q2800" s="1" t="str">
        <f ca="1">IFERROR(__xludf.DUMMYFUNCTION("""COMPUTED_VALUE"""),"Yes, I Understand this is gonna happen everywhere")</f>
        <v>Yes, I Understand this is gonna happen everywhere</v>
      </c>
      <c r="R2800" s="1" t="str">
        <f ca="1">IFERROR(__xludf.DUMMYFUNCTION("""COMPUTED_VALUE"""),"This will be hard to do, but if it is the right company I would try")</f>
        <v>This will be hard to do, but if it is the right company I would try</v>
      </c>
      <c r="S2800" s="1" t="str">
        <f ca="1">IFERROR(__xludf.DUMMYFUNCTION("""COMPUTED_VALUE"""),"manojmax3362@gmail.com")</f>
        <v>manojmax3362@gmail.com</v>
      </c>
    </row>
    <row r="2801" spans="1:19" ht="12.5" x14ac:dyDescent="0.2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</row>
    <row r="2802" spans="1:19" ht="12.5" x14ac:dyDescent="0.2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</row>
    <row r="2803" spans="1:19" ht="12.5" x14ac:dyDescent="0.2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</row>
    <row r="2804" spans="1:19" ht="12.5" x14ac:dyDescent="0.2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</row>
    <row r="2805" spans="1:19" ht="12.5" x14ac:dyDescent="0.2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</row>
    <row r="2806" spans="1:19" ht="12.5" x14ac:dyDescent="0.2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</row>
    <row r="2807" spans="1:19" ht="12.5" x14ac:dyDescent="0.2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</row>
    <row r="2808" spans="1:19" ht="12.5" x14ac:dyDescent="0.2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</row>
    <row r="2809" spans="1:19" ht="12.5" x14ac:dyDescent="0.2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</row>
    <row r="2810" spans="1:19" ht="12.5" x14ac:dyDescent="0.2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</row>
    <row r="2811" spans="1:19" ht="12.5" x14ac:dyDescent="0.2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</row>
    <row r="2812" spans="1:19" ht="12.5" x14ac:dyDescent="0.2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</row>
    <row r="2813" spans="1:19" ht="12.5" x14ac:dyDescent="0.2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</row>
    <row r="2814" spans="1:19" ht="12.5" x14ac:dyDescent="0.2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</row>
    <row r="2815" spans="1:19" ht="12.5" x14ac:dyDescent="0.2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</row>
    <row r="2816" spans="1:19" ht="12.5" x14ac:dyDescent="0.2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</row>
    <row r="2817" spans="1:19" ht="12.5" x14ac:dyDescent="0.2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</row>
    <row r="2818" spans="1:19" ht="12.5" x14ac:dyDescent="0.2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</row>
    <row r="2819" spans="1:19" ht="12.5" x14ac:dyDescent="0.2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</row>
    <row r="2820" spans="1:19" ht="12.5" x14ac:dyDescent="0.2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</row>
    <row r="2821" spans="1:19" ht="12.5" x14ac:dyDescent="0.2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</row>
    <row r="2822" spans="1:19" ht="12.5" x14ac:dyDescent="0.2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</row>
    <row r="2823" spans="1:19" ht="12.5" x14ac:dyDescent="0.2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</row>
    <row r="2824" spans="1:19" ht="12.5" x14ac:dyDescent="0.2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</row>
    <row r="2825" spans="1:19" ht="12.5" x14ac:dyDescent="0.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</row>
    <row r="2826" spans="1:19" ht="12.5" x14ac:dyDescent="0.2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</row>
    <row r="2827" spans="1:19" ht="12.5" x14ac:dyDescent="0.2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</row>
    <row r="2828" spans="1:19" ht="12.5" x14ac:dyDescent="0.2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</row>
    <row r="2829" spans="1:19" ht="12.5" x14ac:dyDescent="0.2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</row>
    <row r="2830" spans="1:19" ht="12.5" x14ac:dyDescent="0.2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</row>
    <row r="2831" spans="1:19" ht="12.5" x14ac:dyDescent="0.2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</row>
    <row r="2832" spans="1:19" ht="12.5" x14ac:dyDescent="0.2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</row>
    <row r="2833" spans="1:19" ht="12.5" x14ac:dyDescent="0.2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</row>
    <row r="2834" spans="1:19" ht="12.5" x14ac:dyDescent="0.2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</row>
    <row r="2835" spans="1:19" ht="12.5" x14ac:dyDescent="0.2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</row>
    <row r="2836" spans="1:19" ht="12.5" x14ac:dyDescent="0.2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</row>
    <row r="2837" spans="1:19" ht="12.5" x14ac:dyDescent="0.2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</row>
    <row r="2838" spans="1:19" ht="12.5" x14ac:dyDescent="0.2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</row>
    <row r="2839" spans="1:19" ht="12.5" x14ac:dyDescent="0.2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</row>
    <row r="2840" spans="1:19" ht="12.5" x14ac:dyDescent="0.2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</row>
    <row r="2841" spans="1:19" ht="12.5" x14ac:dyDescent="0.2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</row>
    <row r="2842" spans="1:19" ht="12.5" x14ac:dyDescent="0.2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</row>
    <row r="2843" spans="1:19" ht="12.5" x14ac:dyDescent="0.2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</row>
    <row r="2844" spans="1:19" ht="12.5" x14ac:dyDescent="0.2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</row>
    <row r="2845" spans="1:19" ht="12.5" x14ac:dyDescent="0.2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</row>
    <row r="2846" spans="1:19" ht="12.5" x14ac:dyDescent="0.2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</row>
    <row r="2847" spans="1:19" ht="12.5" x14ac:dyDescent="0.2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</row>
    <row r="2848" spans="1:19" ht="12.5" x14ac:dyDescent="0.2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</row>
    <row r="2849" spans="1:19" ht="12.5" x14ac:dyDescent="0.2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</row>
    <row r="2850" spans="1:19" ht="12.5" x14ac:dyDescent="0.2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</row>
    <row r="2851" spans="1:19" ht="12.5" x14ac:dyDescent="0.2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</row>
    <row r="2852" spans="1:19" ht="12.5" x14ac:dyDescent="0.2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</row>
    <row r="2853" spans="1:19" ht="12.5" x14ac:dyDescent="0.2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</row>
    <row r="2854" spans="1:19" ht="12.5" x14ac:dyDescent="0.2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</row>
    <row r="2855" spans="1:19" ht="12.5" x14ac:dyDescent="0.2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</row>
    <row r="2856" spans="1:19" ht="12.5" x14ac:dyDescent="0.2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</row>
    <row r="2857" spans="1:19" ht="12.5" x14ac:dyDescent="0.2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</row>
    <row r="2858" spans="1:19" ht="12.5" x14ac:dyDescent="0.2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</row>
    <row r="2859" spans="1:19" ht="12.5" x14ac:dyDescent="0.2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</row>
    <row r="2860" spans="1:19" ht="12.5" x14ac:dyDescent="0.2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</row>
    <row r="2861" spans="1:19" ht="12.5" x14ac:dyDescent="0.2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</row>
    <row r="2862" spans="1:19" ht="12.5" x14ac:dyDescent="0.2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</row>
    <row r="2863" spans="1:19" ht="12.5" x14ac:dyDescent="0.2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</row>
    <row r="2864" spans="1:19" ht="12.5" x14ac:dyDescent="0.2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</row>
    <row r="2865" spans="1:19" ht="12.5" x14ac:dyDescent="0.2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</row>
    <row r="2866" spans="1:19" ht="12.5" x14ac:dyDescent="0.2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</row>
    <row r="2867" spans="1:19" ht="12.5" x14ac:dyDescent="0.2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</row>
    <row r="2868" spans="1:19" ht="12.5" x14ac:dyDescent="0.2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</row>
    <row r="2869" spans="1:19" ht="12.5" x14ac:dyDescent="0.2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</row>
    <row r="2870" spans="1:19" ht="12.5" x14ac:dyDescent="0.2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</row>
    <row r="2871" spans="1:19" ht="12.5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</row>
    <row r="2872" spans="1:19" ht="12.5" x14ac:dyDescent="0.2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</row>
    <row r="2873" spans="1:19" ht="12.5" x14ac:dyDescent="0.2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</row>
    <row r="2874" spans="1:19" ht="12.5" x14ac:dyDescent="0.2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</row>
    <row r="2875" spans="1:19" ht="12.5" x14ac:dyDescent="0.2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</row>
    <row r="2876" spans="1:19" ht="12.5" x14ac:dyDescent="0.2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</row>
    <row r="2877" spans="1:19" ht="12.5" x14ac:dyDescent="0.2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</row>
    <row r="2878" spans="1:19" ht="12.5" x14ac:dyDescent="0.2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</row>
    <row r="2879" spans="1:19" ht="12.5" x14ac:dyDescent="0.2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</row>
    <row r="2880" spans="1:19" ht="12.5" x14ac:dyDescent="0.2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</row>
    <row r="2881" spans="1:19" ht="12.5" x14ac:dyDescent="0.2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</row>
    <row r="2882" spans="1:19" ht="12.5" x14ac:dyDescent="0.2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</row>
    <row r="2883" spans="1:19" ht="12.5" x14ac:dyDescent="0.2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</row>
    <row r="2884" spans="1:19" ht="12.5" x14ac:dyDescent="0.2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</row>
    <row r="2885" spans="1:19" ht="12.5" x14ac:dyDescent="0.2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</row>
    <row r="2886" spans="1:19" ht="12.5" x14ac:dyDescent="0.2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</row>
    <row r="2887" spans="1:19" ht="12.5" x14ac:dyDescent="0.2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</row>
    <row r="2888" spans="1:19" ht="12.5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</row>
    <row r="2889" spans="1:19" ht="12.5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</row>
    <row r="2890" spans="1:19" ht="12.5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</row>
    <row r="2891" spans="1:19" ht="12.5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</row>
    <row r="2892" spans="1:19" ht="12.5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</row>
    <row r="2893" spans="1:19" ht="12.5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</row>
    <row r="2894" spans="1:19" ht="12.5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</row>
    <row r="2895" spans="1:19" ht="12.5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</row>
    <row r="2896" spans="1:19" ht="12.5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</row>
    <row r="2897" spans="1:19" ht="12.5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</row>
    <row r="2898" spans="1:19" ht="12.5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</row>
    <row r="2899" spans="1:19" ht="12.5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</row>
    <row r="2900" spans="1:19" ht="12.5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sadhu</cp:lastModifiedBy>
  <dcterms:created xsi:type="dcterms:W3CDTF">2023-07-06T16:40:23Z</dcterms:created>
  <dcterms:modified xsi:type="dcterms:W3CDTF">2023-07-06T16:40:23Z</dcterms:modified>
</cp:coreProperties>
</file>